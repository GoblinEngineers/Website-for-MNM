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D4B9F9DD-FC78-438E-85E7-A1B2E9F3B865}" xr6:coauthVersionLast="47" xr6:coauthVersionMax="47" xr10:uidLastSave="{00000000-0000-0000-0000-000000000000}"/>
  <bookViews>
    <workbookView xWindow="-120" yWindow="-120" windowWidth="38640" windowHeight="21120"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Matchups!$A$1:$R$4939</definedName>
    <definedName name="Slicer_Month">#N/A</definedName>
    <definedName name="Slicer_Year">#N/A</definedName>
  </definedNames>
  <calcPr calcId="191029"/>
  <pivotCaches>
    <pivotCache cacheId="11" r:id="rId11"/>
    <pivotCache cacheId="17"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4" i="2" l="1"/>
  <c r="H84" i="2"/>
  <c r="I84" i="2"/>
  <c r="K84" i="2"/>
  <c r="L84" i="2"/>
  <c r="M84" i="2"/>
  <c r="G55" i="2"/>
  <c r="H55" i="2"/>
  <c r="I55" i="2"/>
  <c r="K55" i="2"/>
  <c r="L55" i="2"/>
  <c r="M55" i="2"/>
  <c r="G89" i="2"/>
  <c r="H89" i="2"/>
  <c r="I89" i="2"/>
  <c r="K89" i="2"/>
  <c r="L89" i="2"/>
  <c r="M89"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8" i="2"/>
  <c r="H88" i="2"/>
  <c r="I88" i="2"/>
  <c r="K88" i="2"/>
  <c r="L88" i="2"/>
  <c r="M88" i="2"/>
  <c r="G87" i="2"/>
  <c r="H87" i="2"/>
  <c r="I87" i="2"/>
  <c r="K87" i="2"/>
  <c r="L87" i="2"/>
  <c r="M87"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54" i="14"/>
  <c r="G56" i="14"/>
  <c r="H54" i="14"/>
  <c r="H55" i="14"/>
  <c r="H56" i="14"/>
  <c r="G86" i="2"/>
  <c r="H86" i="2"/>
  <c r="I86" i="2"/>
  <c r="K86" i="2"/>
  <c r="L86" i="2"/>
  <c r="M86"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93" i="2"/>
  <c r="H93" i="2"/>
  <c r="I93" i="2"/>
  <c r="K93" i="2"/>
  <c r="L93" i="2"/>
  <c r="M93" i="2"/>
  <c r="G92" i="2"/>
  <c r="H92" i="2"/>
  <c r="I92" i="2"/>
  <c r="K92" i="2"/>
  <c r="L92" i="2"/>
  <c r="M92" i="2"/>
  <c r="G91" i="2"/>
  <c r="H91" i="2"/>
  <c r="I91" i="2"/>
  <c r="K91" i="2"/>
  <c r="L91" i="2"/>
  <c r="M91" i="2"/>
  <c r="G90" i="2"/>
  <c r="H90" i="2"/>
  <c r="I90" i="2"/>
  <c r="K90" i="2"/>
  <c r="L90" i="2"/>
  <c r="M90"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20" i="2"/>
  <c r="H20" i="2"/>
  <c r="I20" i="2"/>
  <c r="K20" i="2"/>
  <c r="L20" i="2"/>
  <c r="M20" i="2"/>
  <c r="G53" i="2"/>
  <c r="H53" i="2"/>
  <c r="I53" i="2"/>
  <c r="K53" i="2"/>
  <c r="L53" i="2"/>
  <c r="M53" i="2"/>
  <c r="G51" i="2"/>
  <c r="H51" i="2"/>
  <c r="I51" i="2"/>
  <c r="K51" i="2"/>
  <c r="L51" i="2"/>
  <c r="M51" i="2"/>
  <c r="G17" i="2"/>
  <c r="H17" i="2"/>
  <c r="I17" i="2"/>
  <c r="K17" i="2"/>
  <c r="L17" i="2"/>
  <c r="M17" i="2"/>
  <c r="G85" i="2"/>
  <c r="H85" i="2"/>
  <c r="I85" i="2"/>
  <c r="K85" i="2"/>
  <c r="L85" i="2"/>
  <c r="M85"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K16" i="2"/>
  <c r="I67" i="2"/>
  <c r="I58" i="2"/>
  <c r="K68" i="2"/>
  <c r="H63" i="2"/>
  <c r="L94" i="2"/>
  <c r="L13" i="2"/>
  <c r="L69" i="2"/>
  <c r="G66" i="2"/>
  <c r="M58" i="2"/>
  <c r="M72" i="2"/>
  <c r="M75" i="2"/>
  <c r="I71" i="2"/>
  <c r="M15" i="2"/>
  <c r="K73" i="2"/>
  <c r="M95" i="2"/>
  <c r="G15" i="2"/>
  <c r="K66" i="2"/>
  <c r="K46" i="2"/>
  <c r="M83" i="2"/>
  <c r="G11" i="2"/>
  <c r="H74" i="2"/>
  <c r="I35" i="2"/>
  <c r="I70" i="2"/>
  <c r="H42" i="2"/>
  <c r="M81" i="2"/>
  <c r="H70" i="2"/>
  <c r="M8" i="2"/>
  <c r="M48" i="2"/>
  <c r="M70" i="2"/>
  <c r="H62" i="2"/>
  <c r="G79" i="2"/>
  <c r="L58" i="2"/>
  <c r="K69" i="2"/>
  <c r="G76" i="2"/>
  <c r="K83" i="2"/>
  <c r="G42" i="2"/>
  <c r="K11" i="2"/>
  <c r="L39" i="2"/>
  <c r="K27" i="2"/>
  <c r="H64" i="2"/>
  <c r="L11" i="2"/>
  <c r="I94" i="2"/>
  <c r="M97" i="2"/>
  <c r="H52" i="2"/>
  <c r="L80" i="2"/>
  <c r="K82" i="2"/>
  <c r="G81" i="2"/>
  <c r="I54" i="2"/>
  <c r="M80" i="2"/>
  <c r="I41" i="2"/>
  <c r="G65" i="2"/>
  <c r="H61" i="2"/>
  <c r="L83" i="2"/>
  <c r="H56" i="2"/>
  <c r="G52" i="2"/>
  <c r="L27" i="2"/>
  <c r="L62" i="2"/>
  <c r="L78" i="2"/>
  <c r="K8" i="2"/>
  <c r="M18" i="2"/>
  <c r="I65" i="2"/>
  <c r="G54" i="2"/>
  <c r="H80" i="2"/>
  <c r="H76" i="2"/>
  <c r="I75" i="2"/>
  <c r="I82" i="2"/>
  <c r="H81" i="2"/>
  <c r="M11" i="2"/>
  <c r="L59" i="2"/>
  <c r="L64" i="2"/>
  <c r="L81" i="2"/>
  <c r="H72" i="2"/>
  <c r="I95" i="2"/>
  <c r="I77" i="2"/>
  <c r="M77" i="2"/>
  <c r="H19" i="2"/>
  <c r="I8" i="2"/>
  <c r="I69" i="2"/>
  <c r="L41" i="2"/>
  <c r="M41" i="2"/>
  <c r="M74" i="2"/>
  <c r="G72" i="2"/>
  <c r="G64" i="2"/>
  <c r="L8" i="2"/>
  <c r="L67" i="2"/>
  <c r="M67" i="2"/>
  <c r="H18" i="2"/>
  <c r="H35" i="2"/>
  <c r="M44" i="2"/>
  <c r="M66" i="2"/>
  <c r="G71" i="2"/>
  <c r="H68" i="2"/>
  <c r="L75" i="2"/>
  <c r="H59" i="2"/>
  <c r="L54" i="2"/>
  <c r="H78" i="2"/>
  <c r="K67" i="2"/>
  <c r="G77" i="2"/>
  <c r="K71" i="2"/>
  <c r="G78" i="2"/>
  <c r="K94" i="2"/>
  <c r="I68" i="2"/>
  <c r="L35" i="2"/>
  <c r="H97" i="2"/>
  <c r="H44" i="2"/>
  <c r="L73" i="2"/>
  <c r="M69" i="2"/>
  <c r="H46" i="2"/>
  <c r="G67" i="2"/>
  <c r="H8" i="2"/>
  <c r="G69" i="2"/>
  <c r="K81" i="2"/>
  <c r="I80" i="2"/>
  <c r="I63" i="2"/>
  <c r="M35" i="2"/>
  <c r="H66" i="2"/>
  <c r="M76" i="2"/>
  <c r="L16" i="2"/>
  <c r="I19" i="2"/>
  <c r="I61" i="2"/>
  <c r="H83" i="2"/>
  <c r="G73" i="2"/>
  <c r="I48" i="2"/>
  <c r="H71" i="2"/>
  <c r="I64" i="2"/>
  <c r="M71" i="2"/>
  <c r="H41" i="2"/>
  <c r="L18" i="2"/>
  <c r="L57" i="2"/>
  <c r="G48" i="2"/>
  <c r="L12" i="2"/>
  <c r="I79" i="2"/>
  <c r="G57" i="2"/>
  <c r="G80" i="2"/>
  <c r="L70" i="2"/>
  <c r="L52" i="2"/>
  <c r="H95" i="2"/>
  <c r="I83" i="2"/>
  <c r="L42" i="2"/>
  <c r="G62" i="2"/>
  <c r="G19" i="2"/>
  <c r="M94" i="2"/>
  <c r="K19" i="2"/>
  <c r="I15" i="2"/>
  <c r="M78" i="2"/>
  <c r="G70" i="2"/>
  <c r="K77" i="2"/>
  <c r="I73" i="2"/>
  <c r="M54" i="2"/>
  <c r="G12" i="2"/>
  <c r="I81" i="2"/>
  <c r="K75" i="2"/>
  <c r="L82" i="2"/>
  <c r="M59" i="2"/>
  <c r="H54" i="2"/>
  <c r="H15" i="2"/>
  <c r="G75" i="2"/>
  <c r="I74" i="2"/>
  <c r="M13" i="2"/>
  <c r="I39" i="2"/>
  <c r="K70" i="2"/>
  <c r="G74" i="2"/>
  <c r="I56" i="2"/>
  <c r="G8" i="2"/>
  <c r="H57" i="2"/>
  <c r="H77" i="2"/>
  <c r="L19" i="2"/>
  <c r="M82" i="2"/>
  <c r="M27" i="2"/>
  <c r="L66" i="2"/>
  <c r="L72" i="2"/>
  <c r="K59" i="2"/>
  <c r="M39" i="2"/>
  <c r="L68" i="2"/>
  <c r="G13" i="2"/>
  <c r="M46" i="2"/>
  <c r="L76" i="2"/>
  <c r="L71" i="2"/>
  <c r="I66" i="2"/>
  <c r="K56" i="2"/>
  <c r="G97" i="2"/>
  <c r="G39" i="2"/>
  <c r="G18" i="2"/>
  <c r="M12" i="2"/>
  <c r="I11" i="2"/>
  <c r="M65" i="2"/>
  <c r="G61" i="2"/>
  <c r="L97" i="2"/>
  <c r="K65" i="2"/>
  <c r="G58" i="2"/>
  <c r="L63" i="2"/>
  <c r="K44" i="2"/>
  <c r="L61" i="2"/>
  <c r="I13" i="2"/>
  <c r="G82" i="2"/>
  <c r="K78" i="2"/>
  <c r="K58" i="2"/>
  <c r="G44" i="2"/>
  <c r="L56" i="2"/>
  <c r="H79" i="2"/>
  <c r="M64" i="2"/>
  <c r="I59" i="2"/>
  <c r="G94" i="2"/>
  <c r="I72" i="2"/>
  <c r="L79" i="2"/>
  <c r="K13" i="2"/>
  <c r="H11" i="2"/>
  <c r="K97" i="2"/>
  <c r="H12" i="2"/>
  <c r="M52" i="2"/>
  <c r="M73" i="2"/>
  <c r="G27" i="2"/>
  <c r="K42" i="2"/>
  <c r="K12" i="2"/>
  <c r="H58" i="2"/>
  <c r="M19" i="2"/>
  <c r="L44" i="2"/>
  <c r="I57" i="2"/>
  <c r="I52" i="2"/>
  <c r="K61" i="2"/>
  <c r="G59" i="2"/>
  <c r="M42" i="2"/>
  <c r="L48" i="2"/>
  <c r="H69" i="2"/>
  <c r="I97" i="2"/>
  <c r="G83" i="2"/>
  <c r="M16" i="2"/>
  <c r="I78" i="2"/>
  <c r="I16" i="2"/>
  <c r="L77" i="2"/>
  <c r="K54" i="2"/>
  <c r="H75" i="2"/>
  <c r="L65" i="2"/>
  <c r="G95" i="2"/>
  <c r="K95" i="2"/>
  <c r="M61" i="2"/>
  <c r="G35" i="2"/>
  <c r="L74" i="2"/>
  <c r="G68" i="2"/>
  <c r="G41" i="2"/>
  <c r="M68" i="2"/>
  <c r="K48" i="2"/>
  <c r="M63" i="2"/>
  <c r="K41" i="2"/>
  <c r="I44" i="2"/>
  <c r="L46" i="2"/>
  <c r="H13" i="2"/>
  <c r="H67" i="2"/>
  <c r="I27" i="2"/>
  <c r="H94" i="2"/>
  <c r="M62" i="2"/>
  <c r="I12" i="2"/>
  <c r="G16" i="2"/>
  <c r="K79" i="2"/>
  <c r="K18" i="2"/>
  <c r="K74" i="2"/>
  <c r="L95" i="2"/>
  <c r="H48" i="2"/>
  <c r="K39" i="2"/>
  <c r="M56" i="2"/>
  <c r="G63" i="2"/>
  <c r="H65" i="2"/>
  <c r="H73" i="2"/>
  <c r="K64" i="2"/>
  <c r="H39" i="2"/>
  <c r="I42" i="2"/>
  <c r="H82" i="2"/>
  <c r="H16" i="2"/>
  <c r="L15" i="2"/>
  <c r="I62" i="2"/>
  <c r="H27" i="2"/>
  <c r="I18" i="2"/>
  <c r="I76" i="2"/>
  <c r="G46" i="2"/>
  <c r="K15" i="2"/>
  <c r="K62" i="2"/>
  <c r="K63" i="2"/>
  <c r="M79" i="2"/>
  <c r="K76" i="2"/>
  <c r="K52" i="2"/>
  <c r="K57" i="2"/>
  <c r="K35" i="2"/>
  <c r="M57" i="2"/>
  <c r="K72" i="2"/>
  <c r="G56" i="2"/>
  <c r="K80" i="2"/>
  <c r="I46" i="2"/>
  <c r="G55" i="14" l="1"/>
  <c r="J84" i="2"/>
  <c r="F84" i="2" s="1"/>
  <c r="N84" i="2"/>
  <c r="O84" i="2"/>
  <c r="J55" i="2"/>
  <c r="F55" i="2" s="1"/>
  <c r="N55" i="2"/>
  <c r="J89" i="2"/>
  <c r="F89" i="2" s="1"/>
  <c r="N89" i="2"/>
  <c r="J88" i="2"/>
  <c r="F88" i="2" s="1"/>
  <c r="N88" i="2"/>
  <c r="O88" i="2"/>
  <c r="J87" i="2"/>
  <c r="F87" i="2" s="1"/>
  <c r="N87" i="2"/>
  <c r="H53" i="14"/>
  <c r="J86" i="2"/>
  <c r="F86" i="2" s="1"/>
  <c r="N86" i="2"/>
  <c r="J93" i="2"/>
  <c r="N93" i="2"/>
  <c r="O93" i="2"/>
  <c r="J92" i="2"/>
  <c r="N92" i="2"/>
  <c r="J91" i="2"/>
  <c r="N91" i="2"/>
  <c r="J90" i="2"/>
  <c r="N90" i="2"/>
  <c r="J20" i="2"/>
  <c r="N20" i="2"/>
  <c r="J53" i="2"/>
  <c r="N53" i="2"/>
  <c r="O53" i="2" s="1"/>
  <c r="J51" i="2"/>
  <c r="N51" i="2"/>
  <c r="O51" i="2" s="1"/>
  <c r="J17" i="2"/>
  <c r="N17" i="2"/>
  <c r="J85" i="2"/>
  <c r="N85" i="2"/>
  <c r="O85" i="2" s="1"/>
  <c r="N19" i="2"/>
  <c r="O19" i="2" s="1"/>
  <c r="J19" i="2"/>
  <c r="F19" i="2" s="1"/>
  <c r="H52" i="14"/>
  <c r="N35" i="2"/>
  <c r="O35" i="2" s="1"/>
  <c r="J35" i="2"/>
  <c r="F35" i="2" s="1"/>
  <c r="N13" i="2"/>
  <c r="O13" i="2" s="1"/>
  <c r="J13" i="2"/>
  <c r="F13" i="2" s="1"/>
  <c r="N83" i="2"/>
  <c r="O83" i="2" s="1"/>
  <c r="J83" i="2"/>
  <c r="F83" i="2" s="1"/>
  <c r="N82" i="2"/>
  <c r="O82" i="2" s="1"/>
  <c r="J82" i="2"/>
  <c r="F82" i="2" s="1"/>
  <c r="N81" i="2"/>
  <c r="O81" i="2" s="1"/>
  <c r="J81" i="2"/>
  <c r="F81" i="2" s="1"/>
  <c r="N80" i="2"/>
  <c r="O80" i="2" s="1"/>
  <c r="J80" i="2"/>
  <c r="F80"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12" i="2"/>
  <c r="O12" i="2" s="1"/>
  <c r="J12" i="2"/>
  <c r="F12" i="2" s="1"/>
  <c r="N66" i="2"/>
  <c r="O66" i="2" s="1"/>
  <c r="J66" i="2"/>
  <c r="F66" i="2" s="1"/>
  <c r="N65" i="2"/>
  <c r="O65" i="2" s="1"/>
  <c r="J65" i="2"/>
  <c r="F65" i="2" s="1"/>
  <c r="N64" i="2"/>
  <c r="O64" i="2" s="1"/>
  <c r="J64" i="2"/>
  <c r="F64" i="2" s="1"/>
  <c r="N48" i="2"/>
  <c r="O48" i="2" s="1"/>
  <c r="J48" i="2"/>
  <c r="F48" i="2" s="1"/>
  <c r="N63" i="2"/>
  <c r="O63" i="2" s="1"/>
  <c r="J63" i="2"/>
  <c r="F63" i="2" s="1"/>
  <c r="N62" i="2"/>
  <c r="O62" i="2" s="1"/>
  <c r="J62" i="2"/>
  <c r="F62" i="2" s="1"/>
  <c r="N61" i="2"/>
  <c r="O61" i="2" s="1"/>
  <c r="J61" i="2"/>
  <c r="F61" i="2" s="1"/>
  <c r="N97" i="2"/>
  <c r="O97" i="2" s="1"/>
  <c r="J97" i="2"/>
  <c r="F97" i="2" s="1"/>
  <c r="N59" i="2"/>
  <c r="O59" i="2" s="1"/>
  <c r="J59" i="2"/>
  <c r="F59" i="2" s="1"/>
  <c r="N58" i="2"/>
  <c r="O58" i="2" s="1"/>
  <c r="J58" i="2"/>
  <c r="F58" i="2" s="1"/>
  <c r="N57" i="2"/>
  <c r="O57" i="2" s="1"/>
  <c r="J57" i="2"/>
  <c r="F57" i="2" s="1"/>
  <c r="N56" i="2"/>
  <c r="O56" i="2" s="1"/>
  <c r="J56" i="2"/>
  <c r="F56" i="2" s="1"/>
  <c r="N95" i="2"/>
  <c r="O95" i="2" s="1"/>
  <c r="J95" i="2"/>
  <c r="F95" i="2" s="1"/>
  <c r="N54" i="2"/>
  <c r="O54" i="2" s="1"/>
  <c r="J54" i="2"/>
  <c r="F54" i="2" s="1"/>
  <c r="N94" i="2"/>
  <c r="O94" i="2" s="1"/>
  <c r="J94" i="2"/>
  <c r="F94" i="2" s="1"/>
  <c r="N15" i="2"/>
  <c r="O15" i="2" s="1"/>
  <c r="J15" i="2"/>
  <c r="F15" i="2" s="1"/>
  <c r="N52" i="2"/>
  <c r="O52" i="2" s="1"/>
  <c r="J52" i="2"/>
  <c r="F52" i="2" s="1"/>
  <c r="H51" i="14"/>
  <c r="N16" i="2"/>
  <c r="O16" i="2" s="1"/>
  <c r="J16" i="2"/>
  <c r="F16" i="2" s="1"/>
  <c r="N46" i="2"/>
  <c r="O46" i="2" s="1"/>
  <c r="J46" i="2"/>
  <c r="F46" i="2" s="1"/>
  <c r="N44" i="2"/>
  <c r="O44" i="2" s="1"/>
  <c r="J44" i="2"/>
  <c r="F44" i="2" s="1"/>
  <c r="H50" i="14"/>
  <c r="H49" i="14"/>
  <c r="H46" i="14"/>
  <c r="N42" i="2"/>
  <c r="O42" i="2" s="1"/>
  <c r="J42" i="2"/>
  <c r="F42" i="2" s="1"/>
  <c r="N41" i="2"/>
  <c r="O41" i="2" s="1"/>
  <c r="J41" i="2"/>
  <c r="F41" i="2" s="1"/>
  <c r="N11" i="2"/>
  <c r="O11" i="2" s="1"/>
  <c r="J11" i="2"/>
  <c r="F11" i="2" s="1"/>
  <c r="H48" i="14"/>
  <c r="N27" i="2"/>
  <c r="O27" i="2" s="1"/>
  <c r="J27" i="2"/>
  <c r="F27" i="2" s="1"/>
  <c r="N8" i="2"/>
  <c r="O8" i="2" s="1"/>
  <c r="J8" i="2"/>
  <c r="F8" i="2" s="1"/>
  <c r="N39" i="2"/>
  <c r="O39" i="2" s="1"/>
  <c r="J39" i="2"/>
  <c r="F39" i="2" s="1"/>
  <c r="N18" i="2"/>
  <c r="O18" i="2" s="1"/>
  <c r="J18" i="2"/>
  <c r="F18"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G99" i="1"/>
  <c r="G304" i="1"/>
  <c r="G22" i="1"/>
  <c r="G667" i="1"/>
  <c r="G359" i="1"/>
  <c r="G457" i="1"/>
  <c r="G254" i="1"/>
  <c r="G909" i="1"/>
  <c r="G29" i="1"/>
  <c r="G816" i="1"/>
  <c r="G756" i="1"/>
  <c r="G815" i="1"/>
  <c r="G366" i="1"/>
  <c r="G759" i="1"/>
  <c r="G112" i="1"/>
  <c r="G157" i="1"/>
  <c r="G5" i="1"/>
  <c r="G155" i="1"/>
  <c r="G606" i="1"/>
  <c r="G430" i="1"/>
  <c r="G220" i="1"/>
  <c r="G922" i="1"/>
  <c r="I45" i="2"/>
  <c r="K23" i="2"/>
  <c r="H45" i="2"/>
  <c r="H43" i="2"/>
  <c r="L38" i="2"/>
  <c r="L50" i="2"/>
  <c r="K47" i="2"/>
  <c r="H5" i="2"/>
  <c r="I29" i="2"/>
  <c r="C6" i="5"/>
  <c r="H37" i="2"/>
  <c r="G21" i="2"/>
  <c r="M9" i="2"/>
  <c r="M6" i="2"/>
  <c r="M36" i="2"/>
  <c r="I14" i="2"/>
  <c r="G9" i="2"/>
  <c r="K22" i="2"/>
  <c r="H29" i="2"/>
  <c r="K28" i="2"/>
  <c r="G7" i="2"/>
  <c r="K96" i="2"/>
  <c r="M24" i="2"/>
  <c r="L14" i="2"/>
  <c r="M37" i="2"/>
  <c r="L47" i="2"/>
  <c r="I22" i="2"/>
  <c r="L49" i="2"/>
  <c r="L26" i="2"/>
  <c r="H30" i="2"/>
  <c r="G47" i="2"/>
  <c r="I96" i="2"/>
  <c r="I10" i="2"/>
  <c r="K60" i="2"/>
  <c r="H47" i="2"/>
  <c r="I47" i="2"/>
  <c r="G24" i="2"/>
  <c r="L98" i="2"/>
  <c r="M31" i="2"/>
  <c r="I33" i="2"/>
  <c r="L25" i="2"/>
  <c r="G60" i="2"/>
  <c r="K25" i="2"/>
  <c r="H96" i="2"/>
  <c r="C9" i="5"/>
  <c r="K36" i="2"/>
  <c r="H50" i="2"/>
  <c r="I28" i="2"/>
  <c r="G26" i="2"/>
  <c r="H28" i="2"/>
  <c r="H10" i="2"/>
  <c r="K30" i="2"/>
  <c r="L30" i="2"/>
  <c r="G5" i="2"/>
  <c r="H25" i="2"/>
  <c r="K33" i="2"/>
  <c r="G40" i="2"/>
  <c r="I5" i="2"/>
  <c r="I23" i="2"/>
  <c r="H26" i="2"/>
  <c r="M7" i="2"/>
  <c r="L28" i="2"/>
  <c r="L9" i="2"/>
  <c r="M38" i="2"/>
  <c r="L99" i="2"/>
  <c r="M33" i="2"/>
  <c r="G29" i="2"/>
  <c r="K14" i="2"/>
  <c r="K31" i="2"/>
  <c r="G99" i="2"/>
  <c r="I9" i="2"/>
  <c r="G50" i="2"/>
  <c r="M26" i="2"/>
  <c r="H40" i="2"/>
  <c r="K45" i="2"/>
  <c r="I40" i="2"/>
  <c r="I7" i="2"/>
  <c r="C5" i="5"/>
  <c r="I34" i="2"/>
  <c r="M43" i="2"/>
  <c r="G36" i="2"/>
  <c r="G31" i="2"/>
  <c r="G43" i="2"/>
  <c r="I25" i="2"/>
  <c r="M50" i="2"/>
  <c r="K24" i="2"/>
  <c r="K98" i="2"/>
  <c r="I43" i="2"/>
  <c r="H98" i="2"/>
  <c r="G14" i="2"/>
  <c r="M96" i="2"/>
  <c r="H32" i="2"/>
  <c r="L6" i="2"/>
  <c r="G33" i="2"/>
  <c r="M10" i="2"/>
  <c r="L45" i="2"/>
  <c r="L34" i="2"/>
  <c r="M22" i="2"/>
  <c r="G38" i="2"/>
  <c r="I31" i="2"/>
  <c r="L33" i="2"/>
  <c r="K10" i="2"/>
  <c r="I49" i="2"/>
  <c r="M28" i="2"/>
  <c r="G98" i="2"/>
  <c r="G34" i="2"/>
  <c r="M14" i="2"/>
  <c r="H24" i="2"/>
  <c r="G6" i="2"/>
  <c r="H21" i="2"/>
  <c r="G25" i="2"/>
  <c r="M45" i="2"/>
  <c r="K29" i="2"/>
  <c r="H60" i="2"/>
  <c r="M99" i="2"/>
  <c r="M47" i="2"/>
  <c r="L21" i="2"/>
  <c r="H34" i="2"/>
  <c r="H36" i="2"/>
  <c r="I30" i="2"/>
  <c r="K21" i="2"/>
  <c r="G22" i="2"/>
  <c r="M21" i="2"/>
  <c r="H38" i="2"/>
  <c r="L37" i="2"/>
  <c r="L5" i="2"/>
  <c r="I26" i="2"/>
  <c r="C16" i="5"/>
  <c r="K99" i="2"/>
  <c r="G96" i="2"/>
  <c r="M5" i="2"/>
  <c r="I37" i="2"/>
  <c r="I21" i="2"/>
  <c r="M25" i="2"/>
  <c r="K7" i="2"/>
  <c r="K40" i="2"/>
  <c r="M98" i="2"/>
  <c r="I32" i="2"/>
  <c r="K9" i="2"/>
  <c r="L60" i="2"/>
  <c r="H9" i="2"/>
  <c r="H33" i="2"/>
  <c r="L40" i="2"/>
  <c r="K5" i="2"/>
  <c r="H14" i="2"/>
  <c r="I98" i="2"/>
  <c r="M30" i="2"/>
  <c r="C7" i="5"/>
  <c r="K6" i="2"/>
  <c r="C10" i="5"/>
  <c r="G28" i="2"/>
  <c r="K43" i="2"/>
  <c r="I38" i="2"/>
  <c r="H49" i="2"/>
  <c r="G37" i="2"/>
  <c r="L36" i="2"/>
  <c r="K26" i="2"/>
  <c r="G45" i="2"/>
  <c r="L24" i="2"/>
  <c r="H22" i="2"/>
  <c r="H31" i="2"/>
  <c r="I60" i="2"/>
  <c r="L96" i="2"/>
  <c r="M49" i="2"/>
  <c r="I6" i="2"/>
  <c r="M34" i="2"/>
  <c r="L10" i="2"/>
  <c r="M60" i="2"/>
  <c r="G10" i="2"/>
  <c r="M23" i="2"/>
  <c r="L43" i="2"/>
  <c r="L29" i="2"/>
  <c r="L22" i="2"/>
  <c r="L31" i="2"/>
  <c r="H23" i="2"/>
  <c r="H6" i="2"/>
  <c r="K32" i="2"/>
  <c r="K49" i="2"/>
  <c r="M32" i="2"/>
  <c r="H99" i="2"/>
  <c r="H7" i="2"/>
  <c r="K38" i="2"/>
  <c r="C8" i="5"/>
  <c r="L23" i="2"/>
  <c r="G49" i="2"/>
  <c r="I36" i="2"/>
  <c r="K37" i="2"/>
  <c r="G30" i="2"/>
  <c r="G23" i="2"/>
  <c r="L7" i="2"/>
  <c r="I24" i="2"/>
  <c r="K50" i="2"/>
  <c r="I50" i="2"/>
  <c r="G32" i="2"/>
  <c r="L32" i="2"/>
  <c r="K34" i="2"/>
  <c r="I99" i="2"/>
  <c r="M29" i="2"/>
  <c r="M40" i="2"/>
  <c r="H1717" i="1" l="1"/>
  <c r="E84" i="2"/>
  <c r="O55" i="2"/>
  <c r="E55" i="2"/>
  <c r="E89" i="2"/>
  <c r="O89" i="2"/>
  <c r="O17"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8" i="2"/>
  <c r="O86" i="2"/>
  <c r="O20" i="2"/>
  <c r="O90" i="2"/>
  <c r="O91" i="2"/>
  <c r="O92" i="2"/>
  <c r="O87" i="2"/>
  <c r="E87"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86"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93" i="2"/>
  <c r="E93" i="2"/>
  <c r="F92" i="2"/>
  <c r="E92" i="2"/>
  <c r="F91" i="2"/>
  <c r="E91" i="2"/>
  <c r="F90" i="2"/>
  <c r="E90"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20" i="2"/>
  <c r="E20" i="2"/>
  <c r="F53" i="2"/>
  <c r="E53" i="2"/>
  <c r="F51" i="2"/>
  <c r="E51" i="2"/>
  <c r="F17" i="2"/>
  <c r="E17" i="2"/>
  <c r="F85" i="2"/>
  <c r="E85"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19"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5" i="2"/>
  <c r="E13" i="2"/>
  <c r="E83" i="2"/>
  <c r="E82" i="2"/>
  <c r="E81" i="2"/>
  <c r="E80" i="2"/>
  <c r="E79" i="2"/>
  <c r="E78" i="2"/>
  <c r="E77" i="2"/>
  <c r="E76" i="2"/>
  <c r="E75" i="2"/>
  <c r="E74" i="2"/>
  <c r="E73" i="2"/>
  <c r="E72" i="2"/>
  <c r="E71" i="2"/>
  <c r="E70" i="2"/>
  <c r="E69" i="2"/>
  <c r="E68" i="2"/>
  <c r="E67" i="2"/>
  <c r="E12" i="2"/>
  <c r="E66" i="2"/>
  <c r="E65" i="2"/>
  <c r="E64" i="2"/>
  <c r="E48" i="2"/>
  <c r="E63" i="2"/>
  <c r="E62" i="2"/>
  <c r="E61" i="2"/>
  <c r="E97" i="2"/>
  <c r="E59" i="2"/>
  <c r="E58" i="2"/>
  <c r="E57" i="2"/>
  <c r="E56" i="2"/>
  <c r="E95" i="2"/>
  <c r="E54" i="2"/>
  <c r="E94" i="2"/>
  <c r="E15" i="2"/>
  <c r="E52"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16" i="2"/>
  <c r="E46" i="2"/>
  <c r="E44"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42" i="2"/>
  <c r="E41"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11" i="2"/>
  <c r="E27" i="2"/>
  <c r="E8" i="2"/>
  <c r="E39" i="2"/>
  <c r="E18"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23" i="2"/>
  <c r="O23" i="2" s="1"/>
  <c r="J32" i="2"/>
  <c r="F32" i="2" s="1"/>
  <c r="N7" i="2"/>
  <c r="O7" i="2" s="1"/>
  <c r="J14" i="2"/>
  <c r="F14" i="2" s="1"/>
  <c r="J10" i="2"/>
  <c r="F10" i="2" s="1"/>
  <c r="N96" i="2"/>
  <c r="O96" i="2" s="1"/>
  <c r="J45" i="2"/>
  <c r="F45" i="2" s="1"/>
  <c r="J34" i="2"/>
  <c r="F34" i="2" s="1"/>
  <c r="J60" i="2"/>
  <c r="F60" i="2" s="1"/>
  <c r="J26" i="2"/>
  <c r="F26" i="2" s="1"/>
  <c r="N10" i="2"/>
  <c r="O10" i="2" s="1"/>
  <c r="N14" i="2"/>
  <c r="O14" i="2" s="1"/>
  <c r="N43" i="2"/>
  <c r="O43" i="2" s="1"/>
  <c r="N9" i="2"/>
  <c r="O9" i="2" s="1"/>
  <c r="J36" i="2"/>
  <c r="F36" i="2" s="1"/>
  <c r="N49" i="2"/>
  <c r="O49" i="2" s="1"/>
  <c r="N32" i="2"/>
  <c r="O32" i="2" s="1"/>
  <c r="N60" i="2"/>
  <c r="O60" i="2" s="1"/>
  <c r="N21" i="2"/>
  <c r="O21" i="2" s="1"/>
  <c r="N45" i="2"/>
  <c r="O45" i="2" s="1"/>
  <c r="N50" i="2"/>
  <c r="O50" i="2" s="1"/>
  <c r="J99" i="2"/>
  <c r="F99" i="2" s="1"/>
  <c r="N22" i="2"/>
  <c r="O22" i="2" s="1"/>
  <c r="N33" i="2"/>
  <c r="O33" i="2" s="1"/>
  <c r="J50" i="2"/>
  <c r="F50" i="2" s="1"/>
  <c r="N30" i="2"/>
  <c r="O30" i="2" s="1"/>
  <c r="J30" i="2"/>
  <c r="F30" i="2" s="1"/>
  <c r="J43" i="2"/>
  <c r="F43" i="2" s="1"/>
  <c r="J33" i="2"/>
  <c r="F33" i="2" s="1"/>
  <c r="J21" i="2"/>
  <c r="F21" i="2" s="1"/>
  <c r="N29" i="2"/>
  <c r="O29" i="2" s="1"/>
  <c r="J29" i="2"/>
  <c r="F29" i="2" s="1"/>
  <c r="N37" i="2"/>
  <c r="O37" i="2" s="1"/>
  <c r="J37" i="2"/>
  <c r="F37" i="2" s="1"/>
  <c r="N38" i="2"/>
  <c r="O38" i="2" s="1"/>
  <c r="J38" i="2"/>
  <c r="F38" i="2" s="1"/>
  <c r="N28" i="2"/>
  <c r="O28" i="2" s="1"/>
  <c r="N5" i="2"/>
  <c r="O5" i="2" s="1"/>
  <c r="N26" i="2"/>
  <c r="O26" i="2" s="1"/>
  <c r="J31" i="2"/>
  <c r="F31" i="2" s="1"/>
  <c r="N99" i="2"/>
  <c r="O99" i="2" s="1"/>
  <c r="N25" i="2"/>
  <c r="O25" i="2" s="1"/>
  <c r="N31" i="2"/>
  <c r="O31" i="2" s="1"/>
  <c r="J28" i="2"/>
  <c r="F28" i="2" s="1"/>
  <c r="N6" i="2"/>
  <c r="O6" i="2" s="1"/>
  <c r="N98" i="2"/>
  <c r="O98" i="2" s="1"/>
  <c r="N34" i="2"/>
  <c r="O34" i="2" s="1"/>
  <c r="N40" i="2"/>
  <c r="O40" i="2" s="1"/>
  <c r="J22" i="2"/>
  <c r="F22" i="2" s="1"/>
  <c r="N24" i="2"/>
  <c r="O24" i="2" s="1"/>
  <c r="N36" i="2"/>
  <c r="O36" i="2" s="1"/>
  <c r="N47" i="2"/>
  <c r="O47" i="2" s="1"/>
  <c r="J23" i="2"/>
  <c r="F23"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96" i="2"/>
  <c r="F96" i="2" s="1"/>
  <c r="J40" i="2"/>
  <c r="F40" i="2" s="1"/>
  <c r="J9" i="2"/>
  <c r="F9" i="2" s="1"/>
  <c r="J7" i="2"/>
  <c r="F7" i="2" s="1"/>
  <c r="J6" i="2"/>
  <c r="F6" i="2" s="1"/>
  <c r="J25" i="2"/>
  <c r="F25" i="2" s="1"/>
  <c r="J47" i="2"/>
  <c r="F47" i="2" s="1"/>
  <c r="J98" i="2"/>
  <c r="F98" i="2" s="1"/>
  <c r="J5" i="2"/>
  <c r="F5" i="2" s="1"/>
  <c r="J24" i="2"/>
  <c r="F24" i="2" s="1"/>
  <c r="J49" i="2"/>
  <c r="F49" i="2" s="1"/>
  <c r="C13" i="5"/>
  <c r="D9" i="5"/>
  <c r="G20" i="5"/>
  <c r="G17" i="5"/>
  <c r="G19" i="5"/>
  <c r="G16" i="5"/>
  <c r="G18" i="5"/>
  <c r="G21" i="5" s="1"/>
  <c r="P84" i="2" l="1"/>
  <c r="P55" i="2"/>
  <c r="P89" i="2"/>
  <c r="P88" i="2"/>
  <c r="P87" i="2"/>
  <c r="P86" i="2"/>
  <c r="P93" i="2"/>
  <c r="P92" i="2"/>
  <c r="P91" i="2"/>
  <c r="P90" i="2"/>
  <c r="P20" i="2"/>
  <c r="P51" i="2"/>
  <c r="P53" i="2"/>
  <c r="P17" i="2"/>
  <c r="P85" i="2"/>
  <c r="P19" i="2"/>
  <c r="P35" i="2"/>
  <c r="P83" i="2"/>
  <c r="P13" i="2"/>
  <c r="P81" i="2"/>
  <c r="P82" i="2"/>
  <c r="P79" i="2"/>
  <c r="P80" i="2"/>
  <c r="P77" i="2"/>
  <c r="P78" i="2"/>
  <c r="P76" i="2"/>
  <c r="P73" i="2"/>
  <c r="P75" i="2"/>
  <c r="P74" i="2"/>
  <c r="P71" i="2"/>
  <c r="P72" i="2"/>
  <c r="P69" i="2"/>
  <c r="P70" i="2"/>
  <c r="P67" i="2"/>
  <c r="P68" i="2"/>
  <c r="P66" i="2"/>
  <c r="P12" i="2"/>
  <c r="P64" i="2"/>
  <c r="P65" i="2"/>
  <c r="P63" i="2"/>
  <c r="P48" i="2"/>
  <c r="P61" i="2"/>
  <c r="P62" i="2"/>
  <c r="P59" i="2"/>
  <c r="P97" i="2"/>
  <c r="P57" i="2"/>
  <c r="P58" i="2"/>
  <c r="P95" i="2"/>
  <c r="P56" i="2"/>
  <c r="P94" i="2"/>
  <c r="P54" i="2"/>
  <c r="P52" i="2"/>
  <c r="P15" i="2"/>
  <c r="P16" i="2"/>
  <c r="P46" i="2"/>
  <c r="P44" i="2"/>
  <c r="E14" i="2"/>
  <c r="P41" i="2"/>
  <c r="P42" i="2"/>
  <c r="E38" i="2"/>
  <c r="P11" i="2"/>
  <c r="E30" i="2"/>
  <c r="E36" i="2"/>
  <c r="P27" i="2"/>
  <c r="P8" i="2"/>
  <c r="P39" i="2"/>
  <c r="E10" i="2"/>
  <c r="E34" i="2"/>
  <c r="E31" i="2"/>
  <c r="E45" i="2"/>
  <c r="E50" i="2"/>
  <c r="P18" i="2"/>
  <c r="E33" i="2"/>
  <c r="E60" i="2"/>
  <c r="E43" i="2"/>
  <c r="E23" i="2"/>
  <c r="E32" i="2"/>
  <c r="E26" i="2"/>
  <c r="E22" i="2"/>
  <c r="E21" i="2"/>
  <c r="E37" i="2"/>
  <c r="E28" i="2"/>
  <c r="E99" i="2"/>
  <c r="E29" i="2"/>
  <c r="P29" i="2"/>
  <c r="P38" i="2"/>
  <c r="P21" i="2"/>
  <c r="P37" i="2"/>
  <c r="P28" i="2"/>
  <c r="P36" i="2"/>
  <c r="P30" i="2"/>
  <c r="P43" i="2"/>
  <c r="P99" i="2"/>
  <c r="P26" i="2"/>
  <c r="P10" i="2"/>
  <c r="P22" i="2"/>
  <c r="P33" i="2"/>
  <c r="P14" i="2"/>
  <c r="P32" i="2"/>
  <c r="P23" i="2"/>
  <c r="P60" i="2"/>
  <c r="P50" i="2"/>
  <c r="P45" i="2"/>
  <c r="P34" i="2"/>
  <c r="P31" i="2"/>
  <c r="E24" i="2"/>
  <c r="E9" i="2"/>
  <c r="E40" i="2"/>
  <c r="E47" i="2"/>
  <c r="E6" i="2"/>
  <c r="E25" i="2"/>
  <c r="E5" i="2"/>
  <c r="E49"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7" i="2"/>
  <c r="E96" i="2"/>
  <c r="D10" i="5"/>
  <c r="D7" i="5"/>
  <c r="D6" i="5"/>
  <c r="D5" i="5"/>
  <c r="E98" i="2"/>
  <c r="C14" i="5"/>
  <c r="D84" i="2" l="1"/>
  <c r="C84" i="2" s="1"/>
  <c r="D89" i="2"/>
  <c r="C89" i="2" s="1"/>
  <c r="D55" i="2"/>
  <c r="C55" i="2" s="1"/>
  <c r="D87" i="2"/>
  <c r="C87" i="2" s="1"/>
  <c r="D88" i="2"/>
  <c r="C88" i="2" s="1"/>
  <c r="D86" i="2"/>
  <c r="C86" i="2" s="1"/>
  <c r="D93" i="2"/>
  <c r="C93" i="2" s="1"/>
  <c r="D92" i="2"/>
  <c r="C92" i="2" s="1"/>
  <c r="D91" i="2"/>
  <c r="C91" i="2" s="1"/>
  <c r="D90" i="2"/>
  <c r="C90" i="2" s="1"/>
  <c r="D20" i="2"/>
  <c r="C20" i="2" s="1"/>
  <c r="D51" i="2"/>
  <c r="C51" i="2" s="1"/>
  <c r="D53" i="2"/>
  <c r="C53" i="2" s="1"/>
  <c r="D85" i="2"/>
  <c r="C85" i="2" s="1"/>
  <c r="D17" i="2"/>
  <c r="C17" i="2" s="1"/>
  <c r="D19" i="2"/>
  <c r="C19" i="2" s="1"/>
  <c r="D13" i="2"/>
  <c r="C13" i="2" s="1"/>
  <c r="D35" i="2"/>
  <c r="C35" i="2" s="1"/>
  <c r="D82" i="2"/>
  <c r="C82" i="2" s="1"/>
  <c r="D83" i="2"/>
  <c r="C83" i="2" s="1"/>
  <c r="D80" i="2"/>
  <c r="C80" i="2" s="1"/>
  <c r="D81" i="2"/>
  <c r="C8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12" i="2"/>
  <c r="C12" i="2" s="1"/>
  <c r="D67" i="2"/>
  <c r="C67" i="2" s="1"/>
  <c r="D65" i="2"/>
  <c r="C65" i="2" s="1"/>
  <c r="D66" i="2"/>
  <c r="C66" i="2" s="1"/>
  <c r="D64" i="2"/>
  <c r="C64" i="2" s="1"/>
  <c r="D63" i="2"/>
  <c r="C63" i="2" s="1"/>
  <c r="D48" i="2"/>
  <c r="C48" i="2" s="1"/>
  <c r="D61" i="2"/>
  <c r="C61" i="2" s="1"/>
  <c r="D62" i="2"/>
  <c r="C62" i="2" s="1"/>
  <c r="D59" i="2"/>
  <c r="C59" i="2" s="1"/>
  <c r="D97" i="2"/>
  <c r="C97" i="2" s="1"/>
  <c r="D57" i="2"/>
  <c r="C57" i="2" s="1"/>
  <c r="D58" i="2"/>
  <c r="C58" i="2" s="1"/>
  <c r="D95" i="2"/>
  <c r="C95" i="2" s="1"/>
  <c r="D56" i="2"/>
  <c r="C56" i="2" s="1"/>
  <c r="D94" i="2"/>
  <c r="C94" i="2" s="1"/>
  <c r="D54" i="2"/>
  <c r="C54" i="2" s="1"/>
  <c r="D52" i="2"/>
  <c r="C52" i="2" s="1"/>
  <c r="D15" i="2"/>
  <c r="C15" i="2" s="1"/>
  <c r="D16" i="2"/>
  <c r="C16" i="2" s="1"/>
  <c r="D46" i="2"/>
  <c r="C46" i="2" s="1"/>
  <c r="D44" i="2"/>
  <c r="C44" i="2" s="1"/>
  <c r="D42" i="2"/>
  <c r="C42" i="2" s="1"/>
  <c r="D41" i="2"/>
  <c r="C41" i="2" s="1"/>
  <c r="D11" i="2"/>
  <c r="C11" i="2" s="1"/>
  <c r="D27" i="2"/>
  <c r="C27" i="2" s="1"/>
  <c r="D8" i="2"/>
  <c r="C8" i="2" s="1"/>
  <c r="D39" i="2"/>
  <c r="C39" i="2" s="1"/>
  <c r="D18" i="2"/>
  <c r="C18" i="2" s="1"/>
  <c r="D29" i="2"/>
  <c r="C29" i="2" s="1"/>
  <c r="D38" i="2"/>
  <c r="C38" i="2" s="1"/>
  <c r="D21" i="2"/>
  <c r="C21" i="2" s="1"/>
  <c r="D37" i="2"/>
  <c r="C37" i="2" s="1"/>
  <c r="D28" i="2"/>
  <c r="C28" i="2" s="1"/>
  <c r="D36" i="2"/>
  <c r="C36" i="2" s="1"/>
  <c r="D30" i="2"/>
  <c r="C30" i="2" s="1"/>
  <c r="D43" i="2"/>
  <c r="C43" i="2" s="1"/>
  <c r="D99" i="2"/>
  <c r="C99" i="2" s="1"/>
  <c r="D26" i="2"/>
  <c r="C26" i="2" s="1"/>
  <c r="D10" i="2"/>
  <c r="C10" i="2" s="1"/>
  <c r="D22" i="2"/>
  <c r="C22" i="2" s="1"/>
  <c r="D32" i="2"/>
  <c r="C32" i="2" s="1"/>
  <c r="D33" i="2"/>
  <c r="C33" i="2" s="1"/>
  <c r="D14" i="2"/>
  <c r="C14" i="2" s="1"/>
  <c r="D23" i="2"/>
  <c r="C23" i="2" s="1"/>
  <c r="D60" i="2"/>
  <c r="C60" i="2" s="1"/>
  <c r="D50" i="2"/>
  <c r="C50" i="2" s="1"/>
  <c r="D45" i="2"/>
  <c r="C45" i="2" s="1"/>
  <c r="D34" i="2"/>
  <c r="C34" i="2" s="1"/>
  <c r="D31" i="2"/>
  <c r="C31" i="2" s="1"/>
  <c r="D5" i="2"/>
  <c r="C15" i="5"/>
  <c r="D40" i="2"/>
  <c r="D7" i="2"/>
  <c r="D47" i="2"/>
  <c r="D25" i="2"/>
  <c r="D49" i="2"/>
  <c r="D9" i="2"/>
  <c r="D6" i="2"/>
  <c r="D24" i="2"/>
  <c r="D98" i="2"/>
  <c r="D96" i="2"/>
  <c r="G7" i="5"/>
  <c r="G5" i="5"/>
  <c r="G8" i="5" s="1"/>
  <c r="G6" i="5"/>
  <c r="G13" i="5"/>
  <c r="P25" i="2" l="1"/>
  <c r="C25" i="2" s="1"/>
  <c r="P96" i="2"/>
  <c r="C96" i="2" s="1"/>
  <c r="P49" i="2"/>
  <c r="C49" i="2" s="1"/>
  <c r="P7" i="2"/>
  <c r="C7" i="2" s="1"/>
  <c r="P98" i="2"/>
  <c r="C98" i="2" s="1"/>
  <c r="P47" i="2"/>
  <c r="C47" i="2" s="1"/>
  <c r="P40" i="2"/>
  <c r="C40" i="2" s="1"/>
  <c r="P6" i="2"/>
  <c r="C6" i="2" s="1"/>
  <c r="P9" i="2"/>
  <c r="C9" i="2" s="1"/>
  <c r="P5" i="2"/>
  <c r="C5" i="2" s="1"/>
  <c r="P24" i="2"/>
  <c r="C24"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<sst xmlns="http://schemas.openxmlformats.org/spreadsheetml/2006/main" count="33410" uniqueCount="606">
  <si>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</si>
  <si>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</si>
  <si>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</si>
  <si>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</si>
  <si>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</si>
  <si>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</si>
  <si>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</si>
  <si>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</si>
  <si>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</si>
  <si>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</si>
  <si>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</si>
  <si>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</si>
  <si>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</si>
  <si>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</si>
  <si>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</si>
  <si>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</si>
  <si>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</si>
  <si>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</si>
  <si>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</si>
  <si>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</si>
  <si>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</si>
  <si>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</si>
  <si>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</si>
  <si>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</si>
  <si>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</si>
  <si>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</si>
  <si>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</si>
  <si>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</si>
  <si>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</si>
  <si>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</si>
  <si>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</si>
  <si>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</si>
  <si>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</si>
  <si>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</si>
  <si>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</si>
  <si>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</si>
  <si>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</si>
  <si>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</si>
  <si>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</si>
  <si>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</si>
  <si>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</si>
  <si>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</si>
  <si>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</si>
  <si>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</si>
  <si>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</si>
  <si>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</si>
  <si>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</si>
  <si>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</si>
  <si>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</si>
  <si>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</si>
  <si>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</si>
  <si>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</si>
  <si>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</si>
  <si>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</si>
  <si>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</si>
  <si>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</si>
  <si>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</si>
  <si>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</si>
  <si>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</si>
  <si>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</si>
  <si>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</si>
  <si>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</si>
  <si>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</si>
  <si>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</si>
  <si>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</si>
  <si>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</si>
  <si>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</si>
  <si>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</si>
  <si>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</si>
  <si>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</si>
  <si>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</si>
  <si>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</si>
  <si>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</si>
  <si>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</si>
  <si>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</si>
  <si>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</si>
  <si>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</si>
  <si>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</si>
  <si>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</si>
  <si>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</si>
  <si>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</si>
  <si>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</si>
  <si>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</si>
  <si>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</si>
  <si>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</si>
  <si>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</si>
  <si>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</si>
  <si>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</si>
  <si>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</si>
  <si>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</si>
  <si>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</si>
  <si>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</si>
  <si>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</si>
  <si>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</si>
  <si>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</si>
  <si>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</si>
  <si>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</si>
  <si>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</si>
  <si>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</si>
  <si>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</si>
  <si>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</si>
  <si>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</si>
  <si>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</si>
  <si>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</si>
  <si>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</si>
  <si>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</si>
  <si>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</si>
  <si>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</si>
  <si>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</si>
  <si>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</si>
  <si>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</si>
  <si>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</si>
  <si>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</si>
  <si>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</si>
  <si>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</si>
  <si>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</si>
  <si>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</si>
  <si>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</si>
  <si>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</si>
  <si>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</si>
  <si>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</si>
  <si>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</si>
  <si>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</si>
  <si>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</si>
  <si>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</si>
  <si>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</si>
  <si>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</si>
  <si>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</si>
  <si>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</si>
  <si>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</si>
  <si>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</si>
  <si>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</si>
  <si>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</si>
  <si>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</si>
  <si>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</si>
  <si>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</si>
  <si>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</si>
  <si>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</si>
  <si>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</si>
  <si>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</si>
  <si>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</si>
  <si>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</si>
  <si>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</si>
  <si>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</si>
  <si>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</si>
  <si>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</si>
  <si>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</si>
  <si>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</si>
  <si>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</si>
  <si>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</si>
  <si>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</si>
  <si>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</si>
  <si>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</si>
  <si>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</si>
  <si>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</si>
  <si>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</si>
  <si>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</si>
  <si>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</si>
  <si>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</si>
  <si>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</si>
  <si>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</si>
  <si>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</si>
  <si>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</si>
  <si>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</si>
  <si>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</si>
  <si>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</si>
  <si>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</si>
  <si>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</si>
  <si>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</si>
  <si>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</si>
  <si>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</si>
  <si>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</si>
  <si>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</si>
  <si>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</si>
  <si>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</si>
  <si>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</si>
  <si>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</si>
  <si>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</si>
  <si>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</si>
  <si>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</si>
  <si>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</si>
  <si>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</si>
  <si>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</si>
  <si>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</si>
  <si>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</si>
  <si>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</si>
  <si>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</si>
  <si>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</si>
  <si>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</si>
  <si>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</si>
  <si>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</si>
  <si>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</si>
  <si>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</si>
  <si>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</si>
  <si>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</si>
  <si>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</si>
  <si>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</si>
  <si>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</si>
  <si>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</si>
  <si>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</si>
  <si>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</si>
  <si>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</si>
  <si>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</si>
  <si>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</si>
  <si>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</si>
  <si>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</si>
  <si>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</si>
  <si>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</si>
  <si>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</si>
  <si>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</si>
  <si>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</si>
  <si>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</si>
  <si>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</si>
  <si>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</si>
  <si>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</si>
  <si>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</si>
  <si>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</si>
  <si>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</si>
  <si>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</si>
  <si>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</si>
  <si>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</si>
  <si>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</si>
  <si>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</si>
  <si>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</si>
  <si>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</si>
  <si>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</si>
  <si>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</si>
  <si>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</si>
  <si>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</si>
  <si>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</si>
  <si>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</si>
  <si>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</si>
  <si>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</si>
  <si>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</si>
  <si>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</si>
  <si>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</si>
  <si>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</si>
  <si>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</si>
  <si>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</si>
  <si>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</si>
  <si>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</si>
  <si>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</si>
  <si>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</si>
  <si>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</si>
  <si>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</si>
  <si>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</si>
  <si>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</si>
  <si>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</si>
  <si>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</si>
  <si>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</si>
  <si>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</si>
  <si>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</si>
  <si>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</si>
  <si>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</si>
  <si>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</si>
  <si>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</si>
  <si>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</si>
  <si>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</si>
  <si>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</si>
  <si>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</si>
  <si>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</si>
  <si>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</si>
  <si>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</si>
  <si>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</si>
  <si>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</si>
  <si>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</si>
  <si>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</si>
  <si>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</si>
  <si>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</si>
  <si>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</si>
  <si>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</si>
  <si>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</si>
  <si>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</si>
  <si>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</si>
  <si>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</si>
  <si>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</si>
  <si>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</si>
  <si>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</si>
  <si>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</si>
  <si>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</si>
  <si>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</si>
  <si>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</si>
  <si>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</si>
  <si>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</si>
  <si>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</si>
  <si>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</si>
  <si>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</si>
  <si>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</si>
  <si>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</si>
  <si>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</si>
  <si>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</si>
  <si>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</si>
  <si>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</si>
  <si>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</si>
  <si>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</si>
  <si>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</si>
  <si>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</si>
  <si>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</si>
  <si>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</si>
  <si>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</si>
  <si>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</si>
  <si>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</si>
  <si>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</si>
  <si>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</si>
  <si>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</si>
  <si>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</si>
  <si>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</si>
  <si>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</si>
  <si>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</si>
  <si>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</si>
  <si>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</si>
  <si>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</si>
  <si>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</si>
  <si>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</si>
  <si>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</si>
  <si>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</si>
  <si>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</si>
  <si>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</si>
  <si>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</si>
  <si>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</si>
  <si>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</si>
  <si>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</si>
  <si>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</si>
  <si>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</si>
  <si>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</si>
  <si>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</si>
  <si>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</si>
  <si>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</si>
  <si>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</si>
  <si>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</si>
  <si>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</si>
  <si>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</si>
  <si>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</si>
  <si>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</si>
  <si>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</si>
  <si>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</si>
  <si>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</si>
  <si>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</si>
  <si>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</si>
  <si>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</si>
  <si>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</si>
  <si>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</si>
  <si>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</si>
  <si>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</si>
  <si>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</si>
  <si>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</si>
  <si>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</si>
  <si>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</si>
  <si>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</si>
  <si>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</si>
  <si>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</si>
  <si>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</si>
  <si>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</si>
  <si>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</si>
  <si>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</si>
  <si>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</si>
  <si>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</si>
  <si>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</si>
  <si>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</si>
  <si>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</si>
  <si>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</si>
  <si>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</si>
  <si>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</si>
  <si>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</si>
  <si>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</si>
  <si>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</si>
  <si>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</si>
  <si>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</si>
  <si>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</si>
  <si>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</si>
  <si>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</si>
  <si>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</si>
  <si>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</si>
  <si>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</si>
  <si>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</si>
  <si>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</si>
  <si>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</si>
  <si>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</si>
  <si>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</si>
  <si>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</si>
  <si>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</si>
  <si>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</si>
  <si>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</si>
  <si>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</si>
  <si>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</si>
  <si>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</si>
  <si>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</si>
  <si>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</si>
  <si>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</si>
  <si>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</si>
  <si>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</si>
  <si>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</si>
  <si>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</si>
  <si>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</si>
  <si>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</si>
  <si>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</si>
  <si>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</si>
  <si>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</si>
  <si>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</si>
  <si>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</si>
  <si>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</si>
  <si>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</si>
  <si>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</si>
  <si>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</si>
  <si>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</si>
  <si>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</si>
  <si>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</si>
  <si>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</si>
  <si>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</si>
  <si>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</si>
  <si>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</si>
  <si>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</si>
  <si>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</si>
  <si>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</si>
  <si>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</si>
  <si>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</si>
  <si>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</si>
  <si>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</si>
  <si>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</si>
  <si>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</si>
  <si>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</si>
  <si>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</si>
  <si>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</si>
  <si>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</si>
  <si>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</si>
  <si>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</si>
  <si>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</si>
  <si>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</si>
  <si>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</si>
  <si>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</si>
  <si>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</si>
  <si>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</si>
  <si>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</si>
  <si>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</si>
  <si>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</si>
  <si>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</si>
  <si>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</si>
  <si>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</si>
  <si>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</si>
  <si>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</si>
  <si>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</si>
  <si>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</si>
  <si>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</si>
  <si>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</si>
  <si>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</si>
  <si>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</si>
  <si>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</si>
  <si>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</si>
  <si>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</si>
  <si>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</si>
  <si>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</si>
  <si>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</si>
  <si>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</si>
  <si>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</si>
  <si>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</si>
  <si>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</si>
  <si>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</si>
  <si>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</si>
  <si>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</si>
  <si>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</si>
  <si>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</si>
  <si>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</si>
  <si>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</si>
  <si>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</si>
  <si>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</si>
  <si>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</si>
  <si>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</si>
  <si>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</si>
  <si>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</si>
  <si>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</si>
  <si>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</si>
  <si>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</si>
  <si>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</si>
  <si>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</si>
  <si>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</si>
  <si>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</si>
  <si>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</si>
  <si>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</si>
  <si>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</si>
  <si>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</si>
  <si>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</si>
  <si>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</si>
  <si>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</si>
  <si>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</si>
  <si>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</si>
  <si>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</si>
  <si>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</si>
  <si>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</si>
  <si>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</si>
  <si>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</si>
  <si>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</si>
  <si>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</si>
  <si>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</si>
  <si>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</si>
  <si>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</si>
  <si>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</si>
  <si>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</si>
  <si>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</si>
  <si>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</si>
  <si>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</si>
  <si>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</si>
  <si>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</si>
  <si>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</si>
  <si>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</si>
  <si>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</si>
  <si>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</si>
  <si>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</si>
  <si>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</si>
  <si>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</si>
  <si>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</si>
  <si>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</si>
  <si>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</si>
  <si>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</si>
  <si>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</si>
  <si>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</si>
  <si>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</si>
  <si>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</si>
  <si>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</si>
  <si>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</si>
  <si>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</si>
  <si>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</si>
  <si>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</si>
  <si>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</si>
  <si>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</si>
  <si>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</si>
  <si>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</si>
  <si>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</si>
  <si>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</si>
  <si>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</si>
  <si>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</si>
  <si>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</si>
  <si>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</si>
  <si>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</si>
  <si>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</si>
  <si>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</si>
  <si>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</si>
  <si>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</si>
  <si>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</si>
  <si>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</si>
  <si>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</si>
  <si>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</si>
  <si>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</si>
  <si>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</si>
  <si>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Arman</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</si>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</sst>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0">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cellXfs>
  <cellStyles count="1">
    <cellStyle name="Normal" xfId="0" builtinId="0"/>
  </cellStyles>
  <dxfs count="44">
    <dxf>
      <numFmt numFmtId="27" formatCode="m/d/yyyy\ h:mm"/>
    </dxf>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327214</xdr:colOff>
      <xdr:row>0</xdr:row>
      <xdr:rowOff>2815479</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2793066</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197.876897222224" createdVersion="8" refreshedVersion="8" minRefreshableVersion="3" recordCount="1716" xr:uid="{DC51D016-C251-461D-A8BC-322113D3679A}">
  <cacheSource type="worksheet">
    <worksheetSource name="GameLog"/>
  </cacheSource>
  <cacheFields count="11">
    <cacheField name="Player" numFmtId="0">
      <sharedItems containsBlank="1" count="140">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Andrew" u="1"/>
        <s v="Russ C" u="1"/>
        <s v=" Eric E" u="1"/>
        <s v="Edwin M" u="1"/>
        <s v="Charlie B" u="1"/>
        <s v="Bryce C" u="1"/>
        <s v="Mark D" u="1"/>
        <s v="Trevor S" u="1"/>
        <s v="Tyler B" u="1"/>
        <s v="Jake D" u="1"/>
        <s v="Dakota P" u="1"/>
        <s v="Arman"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5" count="6">
        <n v="2"/>
        <n v="3"/>
        <n v="4"/>
        <n v="5"/>
        <n v="1"/>
        <m/>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6-23T00:00:00"/>
    </cacheField>
    <cacheField name="Pod ID" numFmtId="1">
      <sharedItems/>
    </cacheField>
    <cacheField name="Pod Size" numFmtId="0">
      <sharedItems containsSemiMixedTypes="0" containsString="0" containsNumber="1" containsInteger="1" minValue="1" maxValue="10" count="6">
        <n v="4"/>
        <n v="5"/>
        <n v="3"/>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197.876897453702" createdVersion="8" refreshedVersion="8" minRefreshableVersion="3" recordCount="4944" xr:uid="{A68797AC-E72E-49CE-BBC1-16C3348D6A5F}">
  <cacheSource type="worksheet">
    <worksheetSource name="Matchups"/>
  </cacheSource>
  <cacheFields count="22">
    <cacheField name="Player" numFmtId="0">
      <sharedItems count="126">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s v="Javier"/>
        <s v="Manny"/>
        <s v="Ben"/>
        <s v="Josh"/>
        <s v="Peter"/>
        <s v="Jerimah"/>
        <s v="Mason"/>
        <s v="Jeremiah"/>
        <s v="Jonathon"/>
        <s v="Steven"/>
        <s v="Steve A-G"/>
        <s v="Vance"/>
        <s v="Nicholas"/>
        <s v="Gus"/>
        <s v="Fernado"/>
        <s v="Nick"/>
        <s v="Fernando J"/>
        <s v="Matt P"/>
        <s v="Leo C"/>
        <s v="Sage"/>
        <s v="Ethan S"/>
        <s v="Zack D"/>
        <s v="Eric E"/>
        <s v="Kevin S"/>
        <s v="Devyn"/>
        <s v="Matthew P"/>
        <s v="Tony W"/>
        <s v="Russ C"/>
        <s v="Alexander D"/>
        <s v="Nicholas S"/>
        <s v="Sean"/>
        <s v="Taylor C"/>
        <s v=" Eric E"/>
        <s v="Paul B"/>
        <s v="Edwin M"/>
        <s v="Andrew M"/>
        <s v="Lucas A"/>
        <s v="Tyler Unknown"/>
        <s v="Savi"/>
        <s v="Gavin J"/>
        <s v="Lee"/>
        <s v="Dave P"/>
        <s v="Jared B"/>
        <s v="Joel C"/>
        <s v="Charlie B" u="1"/>
        <s v="Bryce C" u="1"/>
        <s v="Mark D" u="1"/>
        <s v="Trevor S" u="1"/>
        <s v="Tyler B" u="1"/>
        <s v="Jake D" u="1"/>
        <s v="Dakota P" u="1"/>
        <s v="Arman"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6-23T00:00:00" count="48">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26">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s v="Manny"/>
        <s v="Ben"/>
        <s v="Josh"/>
        <s v="Peter"/>
        <s v="Jerimah"/>
        <s v="Mason"/>
        <s v="Jeremiah"/>
        <s v="Jonathon"/>
        <s v="Steven"/>
        <s v="Steve A-G"/>
        <s v="Vance"/>
        <s v="Nicholas"/>
        <s v="Gus"/>
        <s v="Fernado"/>
        <s v="Nick"/>
        <s v="Fernando J"/>
        <s v="Matt P"/>
        <s v="Sage"/>
        <s v="Ethan S"/>
        <s v="Leo C"/>
        <s v="Zack D"/>
        <s v="Eric E"/>
        <s v="Kevin S"/>
        <s v="Devyn"/>
        <s v="Matthew P"/>
        <s v="Tony W"/>
        <s v="Russ C"/>
        <s v="Nicholas S"/>
        <s v="Alexander D"/>
        <s v="Sean"/>
        <s v="Taylor C"/>
        <s v=" Eric E"/>
        <s v="Paul B"/>
        <s v="Edwin M"/>
        <s v="Andrew M"/>
        <s v="Lucas A"/>
        <s v="Tyler Unknown"/>
        <s v="Savi"/>
        <s v="Gavin J"/>
        <s v="Lee"/>
        <s v="Dave P"/>
        <s v="Jared B"/>
        <s v="Joel C"/>
        <s v="Charlie B" u="1"/>
        <s v="Bryce C" u="1"/>
        <s v="Mark D" u="1"/>
        <s v="Trevor S" u="1"/>
        <s v="Tyler B" u="1"/>
        <s v="Jake D" u="1"/>
        <s v="Dakota P" u="1"/>
        <s v="Arman"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6-23T00:00:00"/>
        <groupItems count="14">
          <s v="&lt;7/21/2025"/>
          <s v="Jan"/>
          <s v="Feb"/>
          <s v="Mar"/>
          <s v="Apr"/>
          <s v="May"/>
          <s v="Jun"/>
          <s v="Jul"/>
          <s v="Aug"/>
          <s v="Sep"/>
          <s v="Oct"/>
          <s v="Nov"/>
          <s v="Dec"/>
          <s v="&gt;6/23/2026"/>
        </groupItems>
      </fieldGroup>
    </cacheField>
    <cacheField name="Quarters (Date)" numFmtId="0" databaseField="0">
      <fieldGroup base="5">
        <rangePr groupBy="quarters" startDate="2025-07-21T00:00:00" endDate="2026-06-23T00:00:00"/>
        <groupItems count="6">
          <s v="&lt;7/21/2025"/>
          <s v="Qtr1"/>
          <s v="Qtr2"/>
          <s v="Qtr3"/>
          <s v="Qtr4"/>
          <s v="&gt;6/23/2026"/>
        </groupItems>
      </fieldGroup>
    </cacheField>
    <cacheField name="Years (Date)" numFmtId="0" databaseField="0">
      <fieldGroup base="5">
        <rangePr groupBy="years" startDate="2025-07-21T00:00:00" endDate="2026-06-23T00:00:00"/>
        <groupItems count="4">
          <s v="&lt;7/21/2025"/>
          <s v="2025"/>
          <s v="2026"/>
          <s v="&gt;6/23/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16">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1"/>
  </r>
  <r>
    <x v="57"/>
    <x v="1"/>
    <x v="0"/>
    <n v="1"/>
    <n v="1"/>
    <d v="2026-06-22T00:00:00"/>
    <s v="1|19000101|46195"/>
    <x v="0"/>
    <x v="1"/>
    <x v="11"/>
    <x v="1"/>
  </r>
  <r>
    <x v="1"/>
    <x v="0"/>
    <x v="1"/>
    <n v="1"/>
    <n v="1"/>
    <d v="2026-06-22T00:00:00"/>
    <s v="1|19000101|46195"/>
    <x v="0"/>
    <x v="1"/>
    <x v="11"/>
    <x v="1"/>
  </r>
  <r>
    <x v="18"/>
    <x v="1"/>
    <x v="2"/>
    <n v="1"/>
    <n v="1"/>
    <d v="2026-06-22T00:00:00"/>
    <s v="1|19000101|46195"/>
    <x v="0"/>
    <x v="1"/>
    <x v="11"/>
    <x v="1"/>
  </r>
  <r>
    <x v="11"/>
    <x v="2"/>
    <x v="4"/>
    <n v="2"/>
    <n v="1"/>
    <d v="2026-06-22T00:00:00"/>
    <s v="2|19000101|46195"/>
    <x v="0"/>
    <x v="1"/>
    <x v="11"/>
    <x v="1"/>
  </r>
  <r>
    <x v="70"/>
    <x v="2"/>
    <x v="0"/>
    <n v="2"/>
    <n v="1"/>
    <d v="2026-06-22T00:00:00"/>
    <s v="2|19000101|46195"/>
    <x v="0"/>
    <x v="1"/>
    <x v="11"/>
    <x v="1"/>
  </r>
  <r>
    <x v="62"/>
    <x v="2"/>
    <x v="1"/>
    <n v="2"/>
    <n v="1"/>
    <d v="2026-06-22T00:00:00"/>
    <s v="2|19000101|46195"/>
    <x v="0"/>
    <x v="1"/>
    <x v="11"/>
    <x v="1"/>
  </r>
  <r>
    <x v="4"/>
    <x v="2"/>
    <x v="2"/>
    <n v="2"/>
    <n v="1"/>
    <d v="2026-06-22T00:00:00"/>
    <s v="2|19000101|46195"/>
    <x v="0"/>
    <x v="1"/>
    <x v="11"/>
    <x v="1"/>
  </r>
  <r>
    <x v="13"/>
    <x v="1"/>
    <x v="4"/>
    <n v="3"/>
    <n v="1"/>
    <d v="2026-06-22T00:00:00"/>
    <s v="3|19000101|46195"/>
    <x v="0"/>
    <x v="1"/>
    <x v="11"/>
    <x v="1"/>
  </r>
  <r>
    <x v="42"/>
    <x v="1"/>
    <x v="0"/>
    <n v="3"/>
    <n v="1"/>
    <d v="2026-06-22T00:00:00"/>
    <s v="3|19000101|46195"/>
    <x v="0"/>
    <x v="1"/>
    <x v="11"/>
    <x v="1"/>
  </r>
  <r>
    <x v="83"/>
    <x v="0"/>
    <x v="1"/>
    <n v="3"/>
    <n v="1"/>
    <d v="2026-06-22T00:00:00"/>
    <s v="3|19000101|46195"/>
    <x v="0"/>
    <x v="1"/>
    <x v="11"/>
    <x v="1"/>
  </r>
  <r>
    <x v="85"/>
    <x v="1"/>
    <x v="2"/>
    <n v="3"/>
    <n v="1"/>
    <d v="2026-06-22T00:00:00"/>
    <s v="3|19000101|46195"/>
    <x v="0"/>
    <x v="1"/>
    <x v="11"/>
    <x v="1"/>
  </r>
  <r>
    <x v="80"/>
    <x v="2"/>
    <x v="4"/>
    <n v="4"/>
    <n v="1"/>
    <d v="2026-06-22T00:00:00"/>
    <s v="4|19000101|46195"/>
    <x v="0"/>
    <x v="1"/>
    <x v="11"/>
    <x v="1"/>
  </r>
  <r>
    <x v="37"/>
    <x v="2"/>
    <x v="0"/>
    <n v="4"/>
    <n v="1"/>
    <d v="2026-06-22T00:00:00"/>
    <s v="4|19000101|46195"/>
    <x v="0"/>
    <x v="1"/>
    <x v="11"/>
    <x v="1"/>
  </r>
  <r>
    <x v="86"/>
    <x v="2"/>
    <x v="1"/>
    <n v="4"/>
    <n v="1"/>
    <d v="2026-06-22T00:00:00"/>
    <s v="4|19000101|46195"/>
    <x v="0"/>
    <x v="1"/>
    <x v="11"/>
    <x v="1"/>
  </r>
  <r>
    <x v="14"/>
    <x v="2"/>
    <x v="2"/>
    <n v="4"/>
    <n v="1"/>
    <d v="2026-06-22T00:00:00"/>
    <s v="4|19000101|46195"/>
    <x v="0"/>
    <x v="1"/>
    <x v="11"/>
    <x v="1"/>
  </r>
  <r>
    <x v="58"/>
    <x v="2"/>
    <x v="4"/>
    <n v="5"/>
    <n v="1"/>
    <d v="2026-06-22T00:00:00"/>
    <s v="5|19000101|46195"/>
    <x v="0"/>
    <x v="1"/>
    <x v="11"/>
    <x v="1"/>
  </r>
  <r>
    <x v="27"/>
    <x v="2"/>
    <x v="0"/>
    <n v="5"/>
    <n v="1"/>
    <d v="2026-06-22T00:00:00"/>
    <s v="5|19000101|46195"/>
    <x v="0"/>
    <x v="1"/>
    <x v="11"/>
    <x v="1"/>
  </r>
  <r>
    <x v="87"/>
    <x v="2"/>
    <x v="1"/>
    <n v="5"/>
    <n v="1"/>
    <d v="2026-06-22T00:00:00"/>
    <s v="5|19000101|46195"/>
    <x v="0"/>
    <x v="1"/>
    <x v="11"/>
    <x v="1"/>
  </r>
  <r>
    <x v="28"/>
    <x v="2"/>
    <x v="2"/>
    <n v="5"/>
    <n v="1"/>
    <d v="2026-06-22T00:00:00"/>
    <s v="5|19000101|46195"/>
    <x v="0"/>
    <x v="1"/>
    <x v="11"/>
    <x v="1"/>
  </r>
  <r>
    <x v="8"/>
    <x v="0"/>
    <x v="4"/>
    <n v="6"/>
    <n v="1"/>
    <d v="2026-06-22T00:00:00"/>
    <s v="6|19000101|46195"/>
    <x v="2"/>
    <x v="1"/>
    <x v="11"/>
    <x v="1"/>
  </r>
  <r>
    <x v="79"/>
    <x v="1"/>
    <x v="0"/>
    <n v="6"/>
    <n v="1"/>
    <d v="2026-06-22T00:00:00"/>
    <s v="6|19000101|46195"/>
    <x v="2"/>
    <x v="1"/>
    <x v="11"/>
    <x v="1"/>
  </r>
  <r>
    <x v="15"/>
    <x v="1"/>
    <x v="1"/>
    <n v="6"/>
    <n v="1"/>
    <d v="2026-06-22T00:00:00"/>
    <s v="6|19000101|46195"/>
    <x v="2"/>
    <x v="1"/>
    <x v="11"/>
    <x v="1"/>
  </r>
  <r>
    <x v="28"/>
    <x v="1"/>
    <x v="4"/>
    <n v="1"/>
    <n v="2"/>
    <d v="2026-06-22T00:00:00"/>
    <s v="1|19000102|46195"/>
    <x v="0"/>
    <x v="1"/>
    <x v="11"/>
    <x v="1"/>
  </r>
  <r>
    <x v="80"/>
    <x v="1"/>
    <x v="0"/>
    <n v="1"/>
    <n v="2"/>
    <d v="2026-06-22T00:00:00"/>
    <s v="1|19000102|46195"/>
    <x v="0"/>
    <x v="1"/>
    <x v="11"/>
    <x v="1"/>
  </r>
  <r>
    <x v="9"/>
    <x v="0"/>
    <x v="1"/>
    <n v="1"/>
    <n v="2"/>
    <d v="2026-06-22T00:00:00"/>
    <s v="1|19000102|46195"/>
    <x v="0"/>
    <x v="1"/>
    <x v="11"/>
    <x v="1"/>
  </r>
  <r>
    <x v="70"/>
    <x v="1"/>
    <x v="2"/>
    <n v="1"/>
    <n v="2"/>
    <d v="2026-06-22T00:00:00"/>
    <s v="1|19000102|46195"/>
    <x v="0"/>
    <x v="1"/>
    <x v="11"/>
    <x v="1"/>
  </r>
  <r>
    <x v="4"/>
    <x v="0"/>
    <x v="4"/>
    <n v="2"/>
    <n v="2"/>
    <d v="2026-06-22T00:00:00"/>
    <s v="2|19000102|46195"/>
    <x v="0"/>
    <x v="1"/>
    <x v="11"/>
    <x v="1"/>
  </r>
  <r>
    <x v="57"/>
    <x v="1"/>
    <x v="0"/>
    <n v="2"/>
    <n v="2"/>
    <d v="2026-06-22T00:00:00"/>
    <s v="2|19000102|46195"/>
    <x v="0"/>
    <x v="1"/>
    <x v="11"/>
    <x v="1"/>
  </r>
  <r>
    <x v="8"/>
    <x v="1"/>
    <x v="1"/>
    <n v="2"/>
    <n v="2"/>
    <d v="2026-06-22T00:00:00"/>
    <s v="2|19000102|46195"/>
    <x v="0"/>
    <x v="1"/>
    <x v="11"/>
    <x v="1"/>
  </r>
  <r>
    <x v="86"/>
    <x v="1"/>
    <x v="2"/>
    <n v="2"/>
    <n v="2"/>
    <d v="2026-06-22T00:00:00"/>
    <s v="2|19000102|46195"/>
    <x v="0"/>
    <x v="1"/>
    <x v="11"/>
    <x v="1"/>
  </r>
  <r>
    <x v="87"/>
    <x v="1"/>
    <x v="4"/>
    <n v="3"/>
    <n v="2"/>
    <d v="2026-06-22T00:00:00"/>
    <s v="3|19000102|46195"/>
    <x v="0"/>
    <x v="1"/>
    <x v="11"/>
    <x v="1"/>
  </r>
  <r>
    <x v="14"/>
    <x v="0"/>
    <x v="0"/>
    <n v="3"/>
    <n v="2"/>
    <d v="2026-06-22T00:00:00"/>
    <s v="3|19000102|46195"/>
    <x v="0"/>
    <x v="1"/>
    <x v="11"/>
    <x v="1"/>
  </r>
  <r>
    <x v="85"/>
    <x v="1"/>
    <x v="1"/>
    <n v="3"/>
    <n v="2"/>
    <d v="2026-06-22T00:00:00"/>
    <s v="3|19000102|46195"/>
    <x v="0"/>
    <x v="1"/>
    <x v="11"/>
    <x v="1"/>
  </r>
  <r>
    <x v="83"/>
    <x v="1"/>
    <x v="2"/>
    <n v="3"/>
    <n v="2"/>
    <d v="2026-06-22T00:00:00"/>
    <s v="3|19000102|46195"/>
    <x v="0"/>
    <x v="1"/>
    <x v="11"/>
    <x v="1"/>
  </r>
  <r>
    <x v="62"/>
    <x v="0"/>
    <x v="4"/>
    <n v="4"/>
    <n v="2"/>
    <d v="2026-06-22T00:00:00"/>
    <s v="4|19000102|46195"/>
    <x v="0"/>
    <x v="1"/>
    <x v="11"/>
    <x v="1"/>
  </r>
  <r>
    <x v="1"/>
    <x v="1"/>
    <x v="0"/>
    <n v="4"/>
    <n v="2"/>
    <d v="2026-06-22T00:00:00"/>
    <s v="4|19000102|46195"/>
    <x v="0"/>
    <x v="1"/>
    <x v="11"/>
    <x v="1"/>
  </r>
  <r>
    <x v="27"/>
    <x v="1"/>
    <x v="1"/>
    <n v="4"/>
    <n v="2"/>
    <d v="2026-06-22T00:00:00"/>
    <s v="4|19000102|46195"/>
    <x v="0"/>
    <x v="1"/>
    <x v="11"/>
    <x v="1"/>
  </r>
  <r>
    <x v="37"/>
    <x v="1"/>
    <x v="2"/>
    <n v="4"/>
    <n v="2"/>
    <d v="2026-06-22T00:00:00"/>
    <s v="4|19000102|46195"/>
    <x v="0"/>
    <x v="1"/>
    <x v="11"/>
    <x v="1"/>
  </r>
  <r>
    <x v="79"/>
    <x v="1"/>
    <x v="4"/>
    <n v="5"/>
    <n v="2"/>
    <d v="2026-06-22T00:00:00"/>
    <s v="5|19000102|46195"/>
    <x v="0"/>
    <x v="1"/>
    <x v="11"/>
    <x v="1"/>
  </r>
  <r>
    <x v="11"/>
    <x v="1"/>
    <x v="0"/>
    <n v="5"/>
    <n v="2"/>
    <d v="2026-06-22T00:00:00"/>
    <s v="5|19000102|46195"/>
    <x v="0"/>
    <x v="1"/>
    <x v="11"/>
    <x v="1"/>
  </r>
  <r>
    <x v="84"/>
    <x v="0"/>
    <x v="1"/>
    <n v="5"/>
    <n v="2"/>
    <d v="2026-06-22T00:00:00"/>
    <s v="5|19000102|46195"/>
    <x v="0"/>
    <x v="1"/>
    <x v="11"/>
    <x v="1"/>
  </r>
  <r>
    <x v="13"/>
    <x v="1"/>
    <x v="2"/>
    <n v="5"/>
    <n v="2"/>
    <d v="2026-06-22T00:00:00"/>
    <s v="5|19000102|46195"/>
    <x v="0"/>
    <x v="1"/>
    <x v="11"/>
    <x v="1"/>
  </r>
  <r>
    <x v="18"/>
    <x v="1"/>
    <x v="4"/>
    <n v="6"/>
    <n v="2"/>
    <d v="2026-06-22T00:00:00"/>
    <s v="6|19000102|46195"/>
    <x v="0"/>
    <x v="1"/>
    <x v="11"/>
    <x v="1"/>
  </r>
  <r>
    <x v="58"/>
    <x v="1"/>
    <x v="0"/>
    <n v="6"/>
    <n v="2"/>
    <d v="2026-06-22T00:00:00"/>
    <s v="6|19000102|46195"/>
    <x v="0"/>
    <x v="1"/>
    <x v="11"/>
    <x v="1"/>
  </r>
  <r>
    <x v="42"/>
    <x v="0"/>
    <x v="1"/>
    <n v="6"/>
    <n v="2"/>
    <d v="2026-06-22T00:00:00"/>
    <s v="6|19000102|46195"/>
    <x v="0"/>
    <x v="1"/>
    <x v="11"/>
    <x v="1"/>
  </r>
  <r>
    <x v="15"/>
    <x v="1"/>
    <x v="2"/>
    <n v="6"/>
    <n v="2"/>
    <d v="2026-06-22T00:00:00"/>
    <s v="6|19000102|46195"/>
    <x v="0"/>
    <x v="1"/>
    <x v="11"/>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44">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4"/>
    <n v="2026"/>
    <n v="5"/>
    <s v="Previous"/>
    <x v="80"/>
    <s v="Draw"/>
    <b v="0"/>
    <n v="0"/>
    <n v="0"/>
    <n v="1"/>
    <n v="0"/>
  </r>
  <r>
    <x v="0"/>
    <s v="Draw"/>
    <n v="1"/>
    <n v="2"/>
    <n v="1"/>
    <x v="42"/>
    <s v="2|19000101|46160"/>
    <n v="4"/>
    <n v="2026"/>
    <n v="5"/>
    <s v="Previous"/>
    <x v="20"/>
    <s v="Draw"/>
    <b v="0"/>
    <n v="0"/>
    <n v="0"/>
    <n v="1"/>
    <n v="0"/>
  </r>
  <r>
    <x v="0"/>
    <s v="Draw"/>
    <n v="1"/>
    <n v="2"/>
    <n v="1"/>
    <x v="42"/>
    <s v="2|19000101|46160"/>
    <n v="4"/>
    <n v="2026"/>
    <n v="5"/>
    <s v="Previous"/>
    <x v="18"/>
    <s v="Draw"/>
    <b v="0"/>
    <n v="0"/>
    <n v="0"/>
    <n v="1"/>
    <n v="0"/>
  </r>
  <r>
    <x v="80"/>
    <s v="Draw"/>
    <n v="2"/>
    <n v="2"/>
    <n v="1"/>
    <x v="42"/>
    <s v="2|19000101|46160"/>
    <n v="4"/>
    <n v="2026"/>
    <n v="5"/>
    <s v="Previous"/>
    <x v="3"/>
    <s v="Draw"/>
    <b v="0"/>
    <n v="0"/>
    <n v="0"/>
    <n v="1"/>
    <n v="0"/>
  </r>
  <r>
    <x v="80"/>
    <s v="Draw"/>
    <n v="2"/>
    <n v="2"/>
    <n v="1"/>
    <x v="42"/>
    <s v="2|19000101|46160"/>
    <n v="4"/>
    <n v="2026"/>
    <n v="5"/>
    <s v="Previous"/>
    <x v="20"/>
    <s v="Draw"/>
    <b v="0"/>
    <n v="0"/>
    <n v="0"/>
    <n v="1"/>
    <n v="0"/>
  </r>
  <r>
    <x v="80"/>
    <s v="Draw"/>
    <n v="2"/>
    <n v="2"/>
    <n v="1"/>
    <x v="42"/>
    <s v="2|19000101|46160"/>
    <n v="4"/>
    <n v="2026"/>
    <n v="5"/>
    <s v="Previous"/>
    <x v="18"/>
    <s v="Draw"/>
    <b v="0"/>
    <n v="0"/>
    <n v="0"/>
    <n v="1"/>
    <n v="0"/>
  </r>
  <r>
    <x v="20"/>
    <s v="Draw"/>
    <n v="3"/>
    <n v="2"/>
    <n v="1"/>
    <x v="42"/>
    <s v="2|19000101|46160"/>
    <n v="4"/>
    <n v="2026"/>
    <n v="5"/>
    <s v="Previous"/>
    <x v="3"/>
    <s v="Draw"/>
    <b v="0"/>
    <n v="0"/>
    <n v="0"/>
    <n v="1"/>
    <n v="0"/>
  </r>
  <r>
    <x v="20"/>
    <s v="Draw"/>
    <n v="3"/>
    <n v="2"/>
    <n v="1"/>
    <x v="42"/>
    <s v="2|19000101|46160"/>
    <n v="4"/>
    <n v="2026"/>
    <n v="5"/>
    <s v="Previous"/>
    <x v="80"/>
    <s v="Draw"/>
    <b v="0"/>
    <n v="0"/>
    <n v="0"/>
    <n v="1"/>
    <n v="0"/>
  </r>
  <r>
    <x v="20"/>
    <s v="Draw"/>
    <n v="3"/>
    <n v="2"/>
    <n v="1"/>
    <x v="42"/>
    <s v="2|19000101|46160"/>
    <n v="4"/>
    <n v="2026"/>
    <n v="5"/>
    <s v="Previous"/>
    <x v="18"/>
    <s v="Draw"/>
    <b v="0"/>
    <n v="0"/>
    <n v="0"/>
    <n v="1"/>
    <n v="0"/>
  </r>
  <r>
    <x v="18"/>
    <s v="Draw"/>
    <n v="4"/>
    <n v="2"/>
    <n v="1"/>
    <x v="42"/>
    <s v="2|19000101|46160"/>
    <n v="4"/>
    <n v="2026"/>
    <n v="5"/>
    <s v="Previous"/>
    <x v="3"/>
    <s v="Draw"/>
    <b v="0"/>
    <n v="0"/>
    <n v="0"/>
    <n v="1"/>
    <n v="0"/>
  </r>
  <r>
    <x v="18"/>
    <s v="Draw"/>
    <n v="4"/>
    <n v="2"/>
    <n v="1"/>
    <x v="42"/>
    <s v="2|19000101|46160"/>
    <n v="4"/>
    <n v="2026"/>
    <n v="5"/>
    <s v="Previous"/>
    <x v="80"/>
    <s v="Draw"/>
    <b v="0"/>
    <n v="0"/>
    <n v="0"/>
    <n v="1"/>
    <n v="0"/>
  </r>
  <r>
    <x v="18"/>
    <s v="Draw"/>
    <n v="4"/>
    <n v="2"/>
    <n v="1"/>
    <x v="42"/>
    <s v="2|19000101|46160"/>
    <n v="4"/>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1"/>
    <s v="Draw"/>
    <n v="1"/>
    <n v="2"/>
    <n v="1"/>
    <x v="43"/>
    <s v="2|19000101|46167"/>
    <n v="4"/>
    <n v="2026"/>
    <n v="5"/>
    <s v="Previous"/>
    <x v="10"/>
    <s v="Draw"/>
    <b v="0"/>
    <n v="0"/>
    <n v="0"/>
    <n v="1"/>
    <n v="0"/>
  </r>
  <r>
    <x v="81"/>
    <s v="Draw"/>
    <n v="1"/>
    <n v="2"/>
    <n v="1"/>
    <x v="43"/>
    <s v="2|19000101|46167"/>
    <n v="4"/>
    <n v="2026"/>
    <n v="5"/>
    <s v="Previous"/>
    <x v="7"/>
    <s v="Draw"/>
    <b v="0"/>
    <n v="0"/>
    <n v="0"/>
    <n v="1"/>
    <n v="0"/>
  </r>
  <r>
    <x v="81"/>
    <s v="Draw"/>
    <n v="1"/>
    <n v="2"/>
    <n v="1"/>
    <x v="43"/>
    <s v="2|19000101|46167"/>
    <n v="4"/>
    <n v="2026"/>
    <n v="5"/>
    <s v="Previous"/>
    <x v="44"/>
    <s v="Draw"/>
    <b v="0"/>
    <n v="0"/>
    <n v="0"/>
    <n v="1"/>
    <n v="0"/>
  </r>
  <r>
    <x v="10"/>
    <s v="Draw"/>
    <n v="2"/>
    <n v="2"/>
    <n v="1"/>
    <x v="43"/>
    <s v="2|19000101|46167"/>
    <n v="4"/>
    <n v="2026"/>
    <n v="5"/>
    <s v="Previous"/>
    <x v="81"/>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1"/>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1"/>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1"/>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1"/>
    <s v="Win"/>
    <n v="2"/>
    <n v="3"/>
    <n v="2"/>
    <x v="43"/>
    <s v="3|19000102|46167"/>
    <n v="4"/>
    <n v="2026"/>
    <n v="5"/>
    <s v="Previous"/>
    <x v="14"/>
    <s v="Loss"/>
    <b v="0"/>
    <n v="1"/>
    <n v="0"/>
    <n v="0"/>
    <n v="0"/>
  </r>
  <r>
    <x v="81"/>
    <s v="Win"/>
    <n v="2"/>
    <n v="3"/>
    <n v="2"/>
    <x v="43"/>
    <s v="3|19000102|46167"/>
    <n v="4"/>
    <n v="2026"/>
    <n v="5"/>
    <s v="Previous"/>
    <x v="70"/>
    <s v="Loss"/>
    <b v="0"/>
    <n v="1"/>
    <n v="0"/>
    <n v="0"/>
    <n v="0"/>
  </r>
  <r>
    <x v="81"/>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1"/>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1"/>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82"/>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82"/>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82"/>
    <s v="Draw"/>
    <b v="0"/>
    <n v="0"/>
    <n v="0"/>
    <n v="1"/>
    <n v="0"/>
  </r>
  <r>
    <x v="82"/>
    <s v="Draw"/>
    <n v="4"/>
    <n v="2"/>
    <n v="1"/>
    <x v="44"/>
    <s v="2|19000101|46174"/>
    <n v="4"/>
    <n v="2026"/>
    <n v="6"/>
    <s v="Previous"/>
    <x v="4"/>
    <s v="Draw"/>
    <b v="0"/>
    <n v="0"/>
    <n v="0"/>
    <n v="1"/>
    <n v="0"/>
  </r>
  <r>
    <x v="82"/>
    <s v="Draw"/>
    <n v="4"/>
    <n v="2"/>
    <n v="1"/>
    <x v="44"/>
    <s v="2|19000101|46174"/>
    <n v="4"/>
    <n v="2026"/>
    <n v="6"/>
    <s v="Previous"/>
    <x v="46"/>
    <s v="Draw"/>
    <b v="0"/>
    <n v="0"/>
    <n v="0"/>
    <n v="1"/>
    <n v="0"/>
  </r>
  <r>
    <x v="8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83"/>
    <s v="Loss"/>
    <b v="0"/>
    <n v="0"/>
    <n v="1"/>
    <n v="0"/>
    <n v="0"/>
  </r>
  <r>
    <x v="14"/>
    <s v="Loss"/>
    <n v="1"/>
    <n v="4"/>
    <n v="1"/>
    <x v="44"/>
    <s v="4|19000101|46174"/>
    <n v="3"/>
    <n v="2026"/>
    <n v="6"/>
    <s v="Previous"/>
    <x v="43"/>
    <s v="Win"/>
    <b v="0"/>
    <n v="0"/>
    <n v="1"/>
    <n v="0"/>
    <n v="1"/>
  </r>
  <r>
    <x v="83"/>
    <s v="Loss"/>
    <n v="2"/>
    <n v="4"/>
    <n v="1"/>
    <x v="44"/>
    <s v="4|19000101|46174"/>
    <n v="3"/>
    <n v="2026"/>
    <n v="6"/>
    <s v="Previous"/>
    <x v="14"/>
    <s v="Loss"/>
    <b v="0"/>
    <n v="0"/>
    <n v="1"/>
    <n v="0"/>
    <n v="0"/>
  </r>
  <r>
    <x v="83"/>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83"/>
    <s v="Loss"/>
    <b v="0"/>
    <n v="1"/>
    <n v="0"/>
    <n v="0"/>
    <n v="0"/>
  </r>
  <r>
    <x v="84"/>
    <s v="Loss"/>
    <n v="1"/>
    <n v="5"/>
    <n v="1"/>
    <x v="44"/>
    <s v="5|19000101|46174"/>
    <n v="3"/>
    <n v="2026"/>
    <n v="6"/>
    <s v="Previous"/>
    <x v="70"/>
    <s v="Win"/>
    <b v="0"/>
    <n v="0"/>
    <n v="1"/>
    <n v="0"/>
    <n v="1"/>
  </r>
  <r>
    <x v="84"/>
    <s v="Loss"/>
    <n v="1"/>
    <n v="5"/>
    <n v="1"/>
    <x v="44"/>
    <s v="5|19000101|46174"/>
    <n v="3"/>
    <n v="2026"/>
    <n v="6"/>
    <s v="Previous"/>
    <x v="5"/>
    <s v="Loss"/>
    <b v="0"/>
    <n v="0"/>
    <n v="1"/>
    <n v="0"/>
    <n v="0"/>
  </r>
  <r>
    <x v="70"/>
    <s v="Win"/>
    <n v="2"/>
    <n v="5"/>
    <n v="1"/>
    <x v="44"/>
    <s v="5|19000101|46174"/>
    <n v="3"/>
    <n v="2026"/>
    <n v="6"/>
    <s v="Previous"/>
    <x v="84"/>
    <s v="Loss"/>
    <b v="0"/>
    <n v="1"/>
    <n v="0"/>
    <n v="0"/>
    <n v="0"/>
  </r>
  <r>
    <x v="70"/>
    <s v="Win"/>
    <n v="2"/>
    <n v="5"/>
    <n v="1"/>
    <x v="44"/>
    <s v="5|19000101|46174"/>
    <n v="3"/>
    <n v="2026"/>
    <n v="6"/>
    <s v="Previous"/>
    <x v="5"/>
    <s v="Loss"/>
    <b v="0"/>
    <n v="1"/>
    <n v="0"/>
    <n v="0"/>
    <n v="0"/>
  </r>
  <r>
    <x v="5"/>
    <s v="Loss"/>
    <n v="3"/>
    <n v="5"/>
    <n v="1"/>
    <x v="44"/>
    <s v="5|19000101|46174"/>
    <n v="3"/>
    <n v="2026"/>
    <n v="6"/>
    <s v="Previous"/>
    <x v="84"/>
    <s v="Loss"/>
    <b v="0"/>
    <n v="0"/>
    <n v="1"/>
    <n v="0"/>
    <n v="0"/>
  </r>
  <r>
    <x v="5"/>
    <s v="Loss"/>
    <n v="3"/>
    <n v="5"/>
    <n v="1"/>
    <x v="44"/>
    <s v="5|19000101|46174"/>
    <n v="3"/>
    <n v="2026"/>
    <n v="6"/>
    <s v="Previous"/>
    <x v="70"/>
    <s v="Win"/>
    <b v="0"/>
    <n v="0"/>
    <n v="1"/>
    <n v="0"/>
    <n v="1"/>
  </r>
  <r>
    <x v="85"/>
    <s v="Win"/>
    <n v="1"/>
    <n v="6"/>
    <n v="1"/>
    <x v="44"/>
    <s v="6|19000101|46174"/>
    <n v="3"/>
    <n v="2026"/>
    <n v="6"/>
    <s v="Previous"/>
    <x v="15"/>
    <s v="Loss"/>
    <b v="0"/>
    <n v="1"/>
    <n v="0"/>
    <n v="0"/>
    <n v="0"/>
  </r>
  <r>
    <x v="85"/>
    <s v="Win"/>
    <n v="1"/>
    <n v="6"/>
    <n v="1"/>
    <x v="44"/>
    <s v="6|19000101|46174"/>
    <n v="3"/>
    <n v="2026"/>
    <n v="6"/>
    <s v="Previous"/>
    <x v="16"/>
    <s v="Loss"/>
    <b v="0"/>
    <n v="1"/>
    <n v="0"/>
    <n v="0"/>
    <n v="0"/>
  </r>
  <r>
    <x v="15"/>
    <s v="Loss"/>
    <n v="2"/>
    <n v="6"/>
    <n v="1"/>
    <x v="44"/>
    <s v="6|19000101|46174"/>
    <n v="3"/>
    <n v="2026"/>
    <n v="6"/>
    <s v="Previous"/>
    <x v="85"/>
    <s v="Win"/>
    <b v="0"/>
    <n v="0"/>
    <n v="1"/>
    <n v="0"/>
    <n v="1"/>
  </r>
  <r>
    <x v="15"/>
    <s v="Loss"/>
    <n v="2"/>
    <n v="6"/>
    <n v="1"/>
    <x v="44"/>
    <s v="6|19000101|46174"/>
    <n v="3"/>
    <n v="2026"/>
    <n v="6"/>
    <s v="Previous"/>
    <x v="16"/>
    <s v="Loss"/>
    <b v="0"/>
    <n v="0"/>
    <n v="1"/>
    <n v="0"/>
    <n v="0"/>
  </r>
  <r>
    <x v="16"/>
    <s v="Loss"/>
    <n v="3"/>
    <n v="6"/>
    <n v="1"/>
    <x v="44"/>
    <s v="6|19000101|46174"/>
    <n v="3"/>
    <n v="2026"/>
    <n v="6"/>
    <s v="Previous"/>
    <x v="85"/>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83"/>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83"/>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83"/>
    <s v="Loss"/>
    <b v="0"/>
    <n v="0"/>
    <n v="1"/>
    <n v="0"/>
    <n v="0"/>
  </r>
  <r>
    <x v="83"/>
    <s v="Loss"/>
    <n v="4"/>
    <n v="4"/>
    <n v="2"/>
    <x v="44"/>
    <s v="4|19000102|46174"/>
    <n v="4"/>
    <n v="2026"/>
    <n v="6"/>
    <s v="Previous"/>
    <x v="70"/>
    <s v="Win"/>
    <b v="0"/>
    <n v="0"/>
    <n v="1"/>
    <n v="0"/>
    <n v="1"/>
  </r>
  <r>
    <x v="83"/>
    <s v="Loss"/>
    <n v="4"/>
    <n v="4"/>
    <n v="2"/>
    <x v="44"/>
    <s v="4|19000102|46174"/>
    <n v="4"/>
    <n v="2026"/>
    <n v="6"/>
    <s v="Previous"/>
    <x v="15"/>
    <s v="Loss"/>
    <b v="0"/>
    <n v="0"/>
    <n v="1"/>
    <n v="0"/>
    <n v="0"/>
  </r>
  <r>
    <x v="83"/>
    <s v="Loss"/>
    <n v="4"/>
    <n v="4"/>
    <n v="2"/>
    <x v="44"/>
    <s v="4|19000102|46174"/>
    <n v="4"/>
    <n v="2026"/>
    <n v="6"/>
    <s v="Previous"/>
    <x v="46"/>
    <s v="Loss"/>
    <b v="0"/>
    <n v="0"/>
    <n v="1"/>
    <n v="0"/>
    <n v="0"/>
  </r>
  <r>
    <x v="2"/>
    <s v="Loss"/>
    <n v="1"/>
    <n v="5"/>
    <n v="2"/>
    <x v="44"/>
    <s v="5|19000102|46174"/>
    <n v="4"/>
    <n v="2026"/>
    <n v="6"/>
    <s v="Previous"/>
    <x v="84"/>
    <s v="Loss"/>
    <b v="0"/>
    <n v="0"/>
    <n v="1"/>
    <n v="0"/>
    <n v="0"/>
  </r>
  <r>
    <x v="2"/>
    <s v="Loss"/>
    <n v="1"/>
    <n v="5"/>
    <n v="2"/>
    <x v="44"/>
    <s v="5|19000102|46174"/>
    <n v="4"/>
    <n v="2026"/>
    <n v="6"/>
    <s v="Previous"/>
    <x v="85"/>
    <s v="Loss"/>
    <b v="0"/>
    <n v="0"/>
    <n v="1"/>
    <n v="0"/>
    <n v="0"/>
  </r>
  <r>
    <x v="2"/>
    <s v="Loss"/>
    <n v="1"/>
    <n v="5"/>
    <n v="2"/>
    <x v="44"/>
    <s v="5|19000102|46174"/>
    <n v="4"/>
    <n v="2026"/>
    <n v="6"/>
    <s v="Previous"/>
    <x v="14"/>
    <s v="Win"/>
    <b v="0"/>
    <n v="0"/>
    <n v="1"/>
    <n v="0"/>
    <n v="1"/>
  </r>
  <r>
    <x v="84"/>
    <s v="Loss"/>
    <n v="2"/>
    <n v="5"/>
    <n v="2"/>
    <x v="44"/>
    <s v="5|19000102|46174"/>
    <n v="4"/>
    <n v="2026"/>
    <n v="6"/>
    <s v="Previous"/>
    <x v="1"/>
    <s v="Loss"/>
    <b v="0"/>
    <n v="0"/>
    <n v="1"/>
    <n v="0"/>
    <n v="0"/>
  </r>
  <r>
    <x v="84"/>
    <s v="Loss"/>
    <n v="2"/>
    <n v="5"/>
    <n v="2"/>
    <x v="44"/>
    <s v="5|19000102|46174"/>
    <n v="4"/>
    <n v="2026"/>
    <n v="6"/>
    <s v="Previous"/>
    <x v="85"/>
    <s v="Loss"/>
    <b v="0"/>
    <n v="0"/>
    <n v="1"/>
    <n v="0"/>
    <n v="0"/>
  </r>
  <r>
    <x v="84"/>
    <s v="Loss"/>
    <n v="2"/>
    <n v="5"/>
    <n v="2"/>
    <x v="44"/>
    <s v="5|19000102|46174"/>
    <n v="4"/>
    <n v="2026"/>
    <n v="6"/>
    <s v="Previous"/>
    <x v="14"/>
    <s v="Win"/>
    <b v="0"/>
    <n v="0"/>
    <n v="1"/>
    <n v="0"/>
    <n v="1"/>
  </r>
  <r>
    <x v="85"/>
    <s v="Loss"/>
    <n v="3"/>
    <n v="5"/>
    <n v="2"/>
    <x v="44"/>
    <s v="5|19000102|46174"/>
    <n v="4"/>
    <n v="2026"/>
    <n v="6"/>
    <s v="Previous"/>
    <x v="1"/>
    <s v="Loss"/>
    <b v="0"/>
    <n v="0"/>
    <n v="1"/>
    <n v="0"/>
    <n v="0"/>
  </r>
  <r>
    <x v="85"/>
    <s v="Loss"/>
    <n v="3"/>
    <n v="5"/>
    <n v="2"/>
    <x v="44"/>
    <s v="5|19000102|46174"/>
    <n v="4"/>
    <n v="2026"/>
    <n v="6"/>
    <s v="Previous"/>
    <x v="84"/>
    <s v="Loss"/>
    <b v="0"/>
    <n v="0"/>
    <n v="1"/>
    <n v="0"/>
    <n v="0"/>
  </r>
  <r>
    <x v="85"/>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4"/>
    <s v="Loss"/>
    <b v="0"/>
    <n v="1"/>
    <n v="0"/>
    <n v="0"/>
    <n v="0"/>
  </r>
  <r>
    <x v="14"/>
    <s v="Win"/>
    <n v="4"/>
    <n v="5"/>
    <n v="2"/>
    <x v="44"/>
    <s v="5|19000102|46174"/>
    <n v="4"/>
    <n v="2026"/>
    <n v="6"/>
    <s v="Previous"/>
    <x v="85"/>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1"/>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1"/>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1"/>
    <s v="Loss"/>
    <b v="0"/>
    <n v="0"/>
    <n v="1"/>
    <n v="0"/>
    <n v="0"/>
  </r>
  <r>
    <x v="81"/>
    <s v="Loss"/>
    <n v="4"/>
    <n v="2"/>
    <n v="1"/>
    <x v="45"/>
    <s v="2|19000101|46182"/>
    <n v="4"/>
    <n v="2026"/>
    <n v="6"/>
    <s v="Previous"/>
    <x v="17"/>
    <s v="Loss"/>
    <b v="0"/>
    <n v="0"/>
    <n v="1"/>
    <n v="0"/>
    <n v="0"/>
  </r>
  <r>
    <x v="81"/>
    <s v="Loss"/>
    <n v="4"/>
    <n v="2"/>
    <n v="1"/>
    <x v="45"/>
    <s v="2|19000101|46182"/>
    <n v="4"/>
    <n v="2026"/>
    <n v="6"/>
    <s v="Previous"/>
    <x v="4"/>
    <s v="Win"/>
    <b v="0"/>
    <n v="0"/>
    <n v="1"/>
    <n v="0"/>
    <n v="1"/>
  </r>
  <r>
    <x v="81"/>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6"/>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6"/>
    <s v="Loss"/>
    <b v="0"/>
    <n v="0"/>
    <n v="1"/>
    <n v="0"/>
    <n v="0"/>
  </r>
  <r>
    <x v="70"/>
    <s v="Loss"/>
    <n v="2"/>
    <n v="5"/>
    <n v="1"/>
    <x v="45"/>
    <s v="5|19000101|46182"/>
    <n v="4"/>
    <n v="2026"/>
    <n v="6"/>
    <s v="Previous"/>
    <x v="24"/>
    <s v="Loss"/>
    <b v="0"/>
    <n v="0"/>
    <n v="1"/>
    <n v="0"/>
    <n v="0"/>
  </r>
  <r>
    <x v="86"/>
    <s v="Loss"/>
    <n v="3"/>
    <n v="5"/>
    <n v="1"/>
    <x v="45"/>
    <s v="5|19000101|46182"/>
    <n v="4"/>
    <n v="2026"/>
    <n v="6"/>
    <s v="Previous"/>
    <x v="20"/>
    <s v="Win"/>
    <b v="0"/>
    <n v="0"/>
    <n v="1"/>
    <n v="0"/>
    <n v="1"/>
  </r>
  <r>
    <x v="86"/>
    <s v="Loss"/>
    <n v="3"/>
    <n v="5"/>
    <n v="1"/>
    <x v="45"/>
    <s v="5|19000101|46182"/>
    <n v="4"/>
    <n v="2026"/>
    <n v="6"/>
    <s v="Previous"/>
    <x v="70"/>
    <s v="Loss"/>
    <b v="0"/>
    <n v="0"/>
    <n v="1"/>
    <n v="0"/>
    <n v="0"/>
  </r>
  <r>
    <x v="86"/>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6"/>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1"/>
    <s v="Loss"/>
    <n v="1"/>
    <n v="4"/>
    <n v="2"/>
    <x v="45"/>
    <s v="4|19000102|46182"/>
    <n v="4"/>
    <n v="2026"/>
    <n v="6"/>
    <s v="Previous"/>
    <x v="70"/>
    <s v="Win"/>
    <b v="0"/>
    <n v="0"/>
    <n v="1"/>
    <n v="0"/>
    <n v="1"/>
  </r>
  <r>
    <x v="81"/>
    <s v="Loss"/>
    <n v="1"/>
    <n v="4"/>
    <n v="2"/>
    <x v="45"/>
    <s v="4|19000102|46182"/>
    <n v="4"/>
    <n v="2026"/>
    <n v="6"/>
    <s v="Previous"/>
    <x v="1"/>
    <s v="Loss"/>
    <b v="0"/>
    <n v="0"/>
    <n v="1"/>
    <n v="0"/>
    <n v="0"/>
  </r>
  <r>
    <x v="81"/>
    <s v="Loss"/>
    <n v="1"/>
    <n v="4"/>
    <n v="2"/>
    <x v="45"/>
    <s v="4|19000102|46182"/>
    <n v="4"/>
    <n v="2026"/>
    <n v="6"/>
    <s v="Previous"/>
    <x v="14"/>
    <s v="Loss"/>
    <b v="0"/>
    <n v="0"/>
    <n v="1"/>
    <n v="0"/>
    <n v="0"/>
  </r>
  <r>
    <x v="70"/>
    <s v="Win"/>
    <n v="2"/>
    <n v="4"/>
    <n v="2"/>
    <x v="45"/>
    <s v="4|19000102|46182"/>
    <n v="4"/>
    <n v="2026"/>
    <n v="6"/>
    <s v="Previous"/>
    <x v="81"/>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1"/>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1"/>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6"/>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6"/>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6"/>
    <s v="Loss"/>
    <b v="0"/>
    <n v="0"/>
    <n v="1"/>
    <n v="0"/>
    <n v="0"/>
  </r>
  <r>
    <x v="86"/>
    <s v="Loss"/>
    <n v="4"/>
    <n v="5"/>
    <n v="2"/>
    <x v="45"/>
    <s v="5|19000102|46182"/>
    <n v="4"/>
    <n v="2026"/>
    <n v="6"/>
    <s v="Previous"/>
    <x v="32"/>
    <s v="Loss"/>
    <b v="0"/>
    <n v="0"/>
    <n v="1"/>
    <n v="0"/>
    <n v="0"/>
  </r>
  <r>
    <x v="86"/>
    <s v="Loss"/>
    <n v="4"/>
    <n v="5"/>
    <n v="2"/>
    <x v="45"/>
    <s v="5|19000102|46182"/>
    <n v="4"/>
    <n v="2026"/>
    <n v="6"/>
    <s v="Previous"/>
    <x v="0"/>
    <s v="Win"/>
    <b v="0"/>
    <n v="0"/>
    <n v="1"/>
    <n v="0"/>
    <n v="1"/>
  </r>
  <r>
    <x v="86"/>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7"/>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7"/>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7"/>
    <s v="Loss"/>
    <b v="0"/>
    <n v="1"/>
    <n v="0"/>
    <n v="0"/>
    <n v="0"/>
  </r>
  <r>
    <x v="87"/>
    <s v="Loss"/>
    <n v="4"/>
    <n v="1"/>
    <n v="1"/>
    <x v="46"/>
    <s v="1|19000101|46188"/>
    <n v="4"/>
    <n v="2026"/>
    <n v="6"/>
    <s v="Previous"/>
    <x v="20"/>
    <s v="Loss"/>
    <b v="0"/>
    <n v="0"/>
    <n v="1"/>
    <n v="0"/>
    <n v="0"/>
  </r>
  <r>
    <x v="87"/>
    <s v="Loss"/>
    <n v="4"/>
    <n v="1"/>
    <n v="1"/>
    <x v="46"/>
    <s v="1|19000101|46188"/>
    <n v="4"/>
    <n v="2026"/>
    <n v="6"/>
    <s v="Previous"/>
    <x v="46"/>
    <s v="Loss"/>
    <b v="0"/>
    <n v="0"/>
    <n v="1"/>
    <n v="0"/>
    <n v="0"/>
  </r>
  <r>
    <x v="87"/>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88"/>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88"/>
    <s v="Loss"/>
    <b v="0"/>
    <n v="0"/>
    <n v="1"/>
    <n v="0"/>
    <n v="0"/>
  </r>
  <r>
    <x v="14"/>
    <s v="Loss"/>
    <n v="2"/>
    <n v="3"/>
    <n v="1"/>
    <x v="46"/>
    <s v="3|19000101|46188"/>
    <n v="4"/>
    <n v="2026"/>
    <n v="6"/>
    <s v="Previous"/>
    <x v="4"/>
    <s v="Win"/>
    <b v="0"/>
    <n v="0"/>
    <n v="1"/>
    <n v="0"/>
    <n v="1"/>
  </r>
  <r>
    <x v="88"/>
    <s v="Loss"/>
    <n v="3"/>
    <n v="3"/>
    <n v="1"/>
    <x v="46"/>
    <s v="3|19000101|46188"/>
    <n v="4"/>
    <n v="2026"/>
    <n v="6"/>
    <s v="Previous"/>
    <x v="34"/>
    <s v="Loss"/>
    <b v="0"/>
    <n v="0"/>
    <n v="1"/>
    <n v="0"/>
    <n v="0"/>
  </r>
  <r>
    <x v="88"/>
    <s v="Loss"/>
    <n v="3"/>
    <n v="3"/>
    <n v="1"/>
    <x v="46"/>
    <s v="3|19000101|46188"/>
    <n v="4"/>
    <n v="2026"/>
    <n v="6"/>
    <s v="Previous"/>
    <x v="14"/>
    <s v="Loss"/>
    <b v="0"/>
    <n v="0"/>
    <n v="1"/>
    <n v="0"/>
    <n v="0"/>
  </r>
  <r>
    <x v="88"/>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88"/>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88"/>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88"/>
    <s v="Loss"/>
    <n v="2"/>
    <n v="3"/>
    <n v="2"/>
    <x v="46"/>
    <s v="3|19000102|46188"/>
    <n v="4"/>
    <n v="2026"/>
    <n v="6"/>
    <s v="Previous"/>
    <x v="70"/>
    <s v="Loss"/>
    <b v="0"/>
    <n v="0"/>
    <n v="1"/>
    <n v="0"/>
    <n v="0"/>
  </r>
  <r>
    <x v="88"/>
    <s v="Loss"/>
    <n v="2"/>
    <n v="3"/>
    <n v="2"/>
    <x v="46"/>
    <s v="3|19000102|46188"/>
    <n v="4"/>
    <n v="2026"/>
    <n v="6"/>
    <s v="Previous"/>
    <x v="0"/>
    <s v="Loss"/>
    <b v="0"/>
    <n v="0"/>
    <n v="1"/>
    <n v="0"/>
    <n v="0"/>
  </r>
  <r>
    <x v="88"/>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88"/>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88"/>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7"/>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7"/>
    <s v="Loss"/>
    <b v="0"/>
    <n v="0"/>
    <n v="1"/>
    <n v="0"/>
    <n v="0"/>
  </r>
  <r>
    <x v="38"/>
    <s v="Loss"/>
    <n v="2"/>
    <n v="4"/>
    <n v="2"/>
    <x v="46"/>
    <s v="4|19000102|46188"/>
    <n v="4"/>
    <n v="2026"/>
    <n v="6"/>
    <s v="Previous"/>
    <x v="21"/>
    <s v="Win"/>
    <b v="0"/>
    <n v="0"/>
    <n v="1"/>
    <n v="0"/>
    <n v="1"/>
  </r>
  <r>
    <x v="87"/>
    <s v="Loss"/>
    <n v="3"/>
    <n v="4"/>
    <n v="2"/>
    <x v="46"/>
    <s v="4|19000102|46188"/>
    <n v="4"/>
    <n v="2026"/>
    <n v="6"/>
    <s v="Previous"/>
    <x v="18"/>
    <s v="Loss"/>
    <b v="0"/>
    <n v="0"/>
    <n v="1"/>
    <n v="0"/>
    <n v="0"/>
  </r>
  <r>
    <x v="87"/>
    <s v="Loss"/>
    <n v="3"/>
    <n v="4"/>
    <n v="2"/>
    <x v="46"/>
    <s v="4|19000102|46188"/>
    <n v="4"/>
    <n v="2026"/>
    <n v="6"/>
    <s v="Previous"/>
    <x v="38"/>
    <s v="Loss"/>
    <b v="0"/>
    <n v="0"/>
    <n v="1"/>
    <n v="0"/>
    <n v="0"/>
  </r>
  <r>
    <x v="87"/>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7"/>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7"/>
    <s v="Loss"/>
    <n v="1"/>
    <n v="1"/>
    <n v="1"/>
    <x v="47"/>
    <s v="1|19000101|46195"/>
    <n v="4"/>
    <n v="2026"/>
    <n v="6"/>
    <s v="Current"/>
    <x v="17"/>
    <s v="Loss"/>
    <b v="0"/>
    <n v="0"/>
    <n v="1"/>
    <n v="0"/>
    <n v="0"/>
  </r>
  <r>
    <x v="87"/>
    <s v="Loss"/>
    <n v="1"/>
    <n v="1"/>
    <n v="1"/>
    <x v="47"/>
    <s v="1|19000101|46195"/>
    <n v="4"/>
    <n v="2026"/>
    <n v="6"/>
    <s v="Current"/>
    <x v="4"/>
    <s v="Win"/>
    <b v="0"/>
    <n v="0"/>
    <n v="1"/>
    <n v="0"/>
    <n v="1"/>
  </r>
  <r>
    <x v="87"/>
    <s v="Loss"/>
    <n v="1"/>
    <n v="1"/>
    <n v="1"/>
    <x v="47"/>
    <s v="1|19000101|46195"/>
    <n v="4"/>
    <n v="2026"/>
    <n v="6"/>
    <s v="Current"/>
    <x v="1"/>
    <s v="Loss"/>
    <b v="0"/>
    <n v="0"/>
    <n v="1"/>
    <n v="0"/>
    <n v="0"/>
  </r>
  <r>
    <x v="17"/>
    <s v="Loss"/>
    <n v="2"/>
    <n v="1"/>
    <n v="1"/>
    <x v="47"/>
    <s v="1|19000101|46195"/>
    <n v="4"/>
    <n v="2026"/>
    <n v="6"/>
    <s v="Current"/>
    <x v="87"/>
    <s v="Loss"/>
    <b v="0"/>
    <n v="0"/>
    <n v="1"/>
    <n v="0"/>
    <n v="0"/>
  </r>
  <r>
    <x v="17"/>
    <s v="Loss"/>
    <n v="2"/>
    <n v="1"/>
    <n v="1"/>
    <x v="47"/>
    <s v="1|19000101|46195"/>
    <n v="4"/>
    <n v="2026"/>
    <n v="6"/>
    <s v="Current"/>
    <x v="4"/>
    <s v="Win"/>
    <b v="0"/>
    <n v="0"/>
    <n v="1"/>
    <n v="0"/>
    <n v="1"/>
  </r>
  <r>
    <x v="17"/>
    <s v="Loss"/>
    <n v="2"/>
    <n v="1"/>
    <n v="1"/>
    <x v="47"/>
    <s v="1|19000101|46195"/>
    <n v="4"/>
    <n v="2026"/>
    <n v="6"/>
    <s v="Current"/>
    <x v="1"/>
    <s v="Loss"/>
    <b v="0"/>
    <n v="0"/>
    <n v="1"/>
    <n v="0"/>
    <n v="0"/>
  </r>
  <r>
    <x v="4"/>
    <s v="Win"/>
    <n v="3"/>
    <n v="1"/>
    <n v="1"/>
    <x v="47"/>
    <s v="1|19000101|46195"/>
    <n v="4"/>
    <n v="2026"/>
    <n v="6"/>
    <s v="Current"/>
    <x v="87"/>
    <s v="Loss"/>
    <b v="0"/>
    <n v="1"/>
    <n v="0"/>
    <n v="0"/>
    <n v="0"/>
  </r>
  <r>
    <x v="4"/>
    <s v="Win"/>
    <n v="3"/>
    <n v="1"/>
    <n v="1"/>
    <x v="47"/>
    <s v="1|19000101|46195"/>
    <n v="4"/>
    <n v="2026"/>
    <n v="6"/>
    <s v="Current"/>
    <x v="17"/>
    <s v="Loss"/>
    <b v="0"/>
    <n v="1"/>
    <n v="0"/>
    <n v="0"/>
    <n v="0"/>
  </r>
  <r>
    <x v="4"/>
    <s v="Win"/>
    <n v="3"/>
    <n v="1"/>
    <n v="1"/>
    <x v="47"/>
    <s v="1|19000101|46195"/>
    <n v="4"/>
    <n v="2026"/>
    <n v="6"/>
    <s v="Current"/>
    <x v="1"/>
    <s v="Loss"/>
    <b v="0"/>
    <n v="1"/>
    <n v="0"/>
    <n v="0"/>
    <n v="0"/>
  </r>
  <r>
    <x v="2"/>
    <s v="Loss"/>
    <n v="4"/>
    <n v="1"/>
    <n v="1"/>
    <x v="47"/>
    <s v="1|19000101|46195"/>
    <n v="4"/>
    <n v="2026"/>
    <n v="6"/>
    <s v="Current"/>
    <x v="87"/>
    <s v="Loss"/>
    <b v="0"/>
    <n v="0"/>
    <n v="1"/>
    <n v="0"/>
    <n v="0"/>
  </r>
  <r>
    <x v="2"/>
    <s v="Loss"/>
    <n v="4"/>
    <n v="1"/>
    <n v="1"/>
    <x v="47"/>
    <s v="1|19000101|46195"/>
    <n v="4"/>
    <n v="2026"/>
    <n v="6"/>
    <s v="Current"/>
    <x v="17"/>
    <s v="Loss"/>
    <b v="0"/>
    <n v="0"/>
    <n v="1"/>
    <n v="0"/>
    <n v="0"/>
  </r>
  <r>
    <x v="2"/>
    <s v="Loss"/>
    <n v="4"/>
    <n v="1"/>
    <n v="1"/>
    <x v="47"/>
    <s v="1|19000101|46195"/>
    <n v="4"/>
    <n v="2026"/>
    <n v="6"/>
    <s v="Current"/>
    <x v="4"/>
    <s v="Win"/>
    <b v="0"/>
    <n v="0"/>
    <n v="1"/>
    <n v="0"/>
    <n v="1"/>
  </r>
  <r>
    <x v="18"/>
    <s v="Draw"/>
    <n v="1"/>
    <n v="2"/>
    <n v="1"/>
    <x v="47"/>
    <s v="2|19000101|46195"/>
    <n v="4"/>
    <n v="2026"/>
    <n v="6"/>
    <s v="Current"/>
    <x v="70"/>
    <s v="Draw"/>
    <b v="0"/>
    <n v="0"/>
    <n v="0"/>
    <n v="1"/>
    <n v="0"/>
  </r>
  <r>
    <x v="18"/>
    <s v="Draw"/>
    <n v="1"/>
    <n v="2"/>
    <n v="1"/>
    <x v="47"/>
    <s v="2|19000101|46195"/>
    <n v="4"/>
    <n v="2026"/>
    <n v="6"/>
    <s v="Current"/>
    <x v="21"/>
    <s v="Draw"/>
    <b v="0"/>
    <n v="0"/>
    <n v="0"/>
    <n v="1"/>
    <n v="0"/>
  </r>
  <r>
    <x v="18"/>
    <s v="Draw"/>
    <n v="1"/>
    <n v="2"/>
    <n v="1"/>
    <x v="47"/>
    <s v="2|19000101|46195"/>
    <n v="4"/>
    <n v="2026"/>
    <n v="6"/>
    <s v="Current"/>
    <x v="44"/>
    <s v="Draw"/>
    <b v="0"/>
    <n v="0"/>
    <n v="0"/>
    <n v="1"/>
    <n v="0"/>
  </r>
  <r>
    <x v="70"/>
    <s v="Draw"/>
    <n v="2"/>
    <n v="2"/>
    <n v="1"/>
    <x v="47"/>
    <s v="2|19000101|46195"/>
    <n v="4"/>
    <n v="2026"/>
    <n v="6"/>
    <s v="Current"/>
    <x v="18"/>
    <s v="Draw"/>
    <b v="0"/>
    <n v="0"/>
    <n v="0"/>
    <n v="1"/>
    <n v="0"/>
  </r>
  <r>
    <x v="70"/>
    <s v="Draw"/>
    <n v="2"/>
    <n v="2"/>
    <n v="1"/>
    <x v="47"/>
    <s v="2|19000101|46195"/>
    <n v="4"/>
    <n v="2026"/>
    <n v="6"/>
    <s v="Current"/>
    <x v="21"/>
    <s v="Draw"/>
    <b v="0"/>
    <n v="0"/>
    <n v="0"/>
    <n v="1"/>
    <n v="0"/>
  </r>
  <r>
    <x v="70"/>
    <s v="Draw"/>
    <n v="2"/>
    <n v="2"/>
    <n v="1"/>
    <x v="47"/>
    <s v="2|19000101|46195"/>
    <n v="4"/>
    <n v="2026"/>
    <n v="6"/>
    <s v="Current"/>
    <x v="44"/>
    <s v="Draw"/>
    <b v="0"/>
    <n v="0"/>
    <n v="0"/>
    <n v="1"/>
    <n v="0"/>
  </r>
  <r>
    <x v="21"/>
    <s v="Draw"/>
    <n v="3"/>
    <n v="2"/>
    <n v="1"/>
    <x v="47"/>
    <s v="2|19000101|46195"/>
    <n v="4"/>
    <n v="2026"/>
    <n v="6"/>
    <s v="Current"/>
    <x v="18"/>
    <s v="Draw"/>
    <b v="0"/>
    <n v="0"/>
    <n v="0"/>
    <n v="1"/>
    <n v="0"/>
  </r>
  <r>
    <x v="21"/>
    <s v="Draw"/>
    <n v="3"/>
    <n v="2"/>
    <n v="1"/>
    <x v="47"/>
    <s v="2|19000101|46195"/>
    <n v="4"/>
    <n v="2026"/>
    <n v="6"/>
    <s v="Current"/>
    <x v="70"/>
    <s v="Draw"/>
    <b v="0"/>
    <n v="0"/>
    <n v="0"/>
    <n v="1"/>
    <n v="0"/>
  </r>
  <r>
    <x v="21"/>
    <s v="Draw"/>
    <n v="3"/>
    <n v="2"/>
    <n v="1"/>
    <x v="47"/>
    <s v="2|19000101|46195"/>
    <n v="4"/>
    <n v="2026"/>
    <n v="6"/>
    <s v="Current"/>
    <x v="44"/>
    <s v="Draw"/>
    <b v="0"/>
    <n v="0"/>
    <n v="0"/>
    <n v="1"/>
    <n v="0"/>
  </r>
  <r>
    <x v="44"/>
    <s v="Draw"/>
    <n v="4"/>
    <n v="2"/>
    <n v="1"/>
    <x v="47"/>
    <s v="2|19000101|46195"/>
    <n v="4"/>
    <n v="2026"/>
    <n v="6"/>
    <s v="Current"/>
    <x v="18"/>
    <s v="Draw"/>
    <b v="0"/>
    <n v="0"/>
    <n v="0"/>
    <n v="1"/>
    <n v="0"/>
  </r>
  <r>
    <x v="44"/>
    <s v="Draw"/>
    <n v="4"/>
    <n v="2"/>
    <n v="1"/>
    <x v="47"/>
    <s v="2|19000101|46195"/>
    <n v="4"/>
    <n v="2026"/>
    <n v="6"/>
    <s v="Current"/>
    <x v="70"/>
    <s v="Draw"/>
    <b v="0"/>
    <n v="0"/>
    <n v="0"/>
    <n v="1"/>
    <n v="0"/>
  </r>
  <r>
    <x v="44"/>
    <s v="Draw"/>
    <n v="4"/>
    <n v="2"/>
    <n v="1"/>
    <x v="47"/>
    <s v="2|19000101|46195"/>
    <n v="4"/>
    <n v="2026"/>
    <n v="6"/>
    <s v="Current"/>
    <x v="21"/>
    <s v="Draw"/>
    <b v="0"/>
    <n v="0"/>
    <n v="0"/>
    <n v="1"/>
    <n v="0"/>
  </r>
  <r>
    <x v="1"/>
    <s v="Loss"/>
    <n v="1"/>
    <n v="3"/>
    <n v="1"/>
    <x v="47"/>
    <s v="3|19000101|46195"/>
    <n v="4"/>
    <n v="2026"/>
    <n v="6"/>
    <s v="Current"/>
    <x v="2"/>
    <s v="Loss"/>
    <b v="0"/>
    <n v="0"/>
    <n v="1"/>
    <n v="0"/>
    <n v="0"/>
  </r>
  <r>
    <x v="1"/>
    <s v="Loss"/>
    <n v="1"/>
    <n v="3"/>
    <n v="1"/>
    <x v="47"/>
    <s v="3|19000101|46195"/>
    <n v="4"/>
    <n v="2026"/>
    <n v="6"/>
    <s v="Current"/>
    <x v="86"/>
    <s v="Win"/>
    <b v="0"/>
    <n v="0"/>
    <n v="1"/>
    <n v="0"/>
    <n v="1"/>
  </r>
  <r>
    <x v="1"/>
    <s v="Loss"/>
    <n v="1"/>
    <n v="3"/>
    <n v="1"/>
    <x v="47"/>
    <s v="3|19000101|46195"/>
    <n v="4"/>
    <n v="2026"/>
    <n v="6"/>
    <s v="Current"/>
    <x v="89"/>
    <s v="Loss"/>
    <b v="0"/>
    <n v="0"/>
    <n v="1"/>
    <n v="0"/>
    <n v="0"/>
  </r>
  <r>
    <x v="3"/>
    <s v="Loss"/>
    <n v="2"/>
    <n v="3"/>
    <n v="1"/>
    <x v="47"/>
    <s v="3|19000101|46195"/>
    <n v="4"/>
    <n v="2026"/>
    <n v="6"/>
    <s v="Current"/>
    <x v="0"/>
    <s v="Loss"/>
    <b v="0"/>
    <n v="0"/>
    <n v="1"/>
    <n v="0"/>
    <n v="0"/>
  </r>
  <r>
    <x v="3"/>
    <s v="Loss"/>
    <n v="2"/>
    <n v="3"/>
    <n v="1"/>
    <x v="47"/>
    <s v="3|19000101|46195"/>
    <n v="4"/>
    <n v="2026"/>
    <n v="6"/>
    <s v="Current"/>
    <x v="86"/>
    <s v="Win"/>
    <b v="0"/>
    <n v="0"/>
    <n v="1"/>
    <n v="0"/>
    <n v="1"/>
  </r>
  <r>
    <x v="3"/>
    <s v="Loss"/>
    <n v="2"/>
    <n v="3"/>
    <n v="1"/>
    <x v="47"/>
    <s v="3|19000101|46195"/>
    <n v="4"/>
    <n v="2026"/>
    <n v="6"/>
    <s v="Current"/>
    <x v="89"/>
    <s v="Loss"/>
    <b v="0"/>
    <n v="0"/>
    <n v="1"/>
    <n v="0"/>
    <n v="0"/>
  </r>
  <r>
    <x v="86"/>
    <s v="Win"/>
    <n v="3"/>
    <n v="3"/>
    <n v="1"/>
    <x v="47"/>
    <s v="3|19000101|46195"/>
    <n v="4"/>
    <n v="2026"/>
    <n v="6"/>
    <s v="Current"/>
    <x v="0"/>
    <s v="Loss"/>
    <b v="0"/>
    <n v="1"/>
    <n v="0"/>
    <n v="0"/>
    <n v="0"/>
  </r>
  <r>
    <x v="86"/>
    <s v="Win"/>
    <n v="3"/>
    <n v="3"/>
    <n v="1"/>
    <x v="47"/>
    <s v="3|19000101|46195"/>
    <n v="4"/>
    <n v="2026"/>
    <n v="6"/>
    <s v="Current"/>
    <x v="2"/>
    <s v="Loss"/>
    <b v="0"/>
    <n v="1"/>
    <n v="0"/>
    <n v="0"/>
    <n v="0"/>
  </r>
  <r>
    <x v="86"/>
    <s v="Win"/>
    <n v="3"/>
    <n v="3"/>
    <n v="1"/>
    <x v="47"/>
    <s v="3|19000101|46195"/>
    <n v="4"/>
    <n v="2026"/>
    <n v="6"/>
    <s v="Current"/>
    <x v="89"/>
    <s v="Loss"/>
    <b v="0"/>
    <n v="1"/>
    <n v="0"/>
    <n v="0"/>
    <n v="0"/>
  </r>
  <r>
    <x v="89"/>
    <s v="Loss"/>
    <n v="4"/>
    <n v="3"/>
    <n v="1"/>
    <x v="47"/>
    <s v="3|19000101|46195"/>
    <n v="4"/>
    <n v="2026"/>
    <n v="6"/>
    <s v="Current"/>
    <x v="0"/>
    <s v="Loss"/>
    <b v="0"/>
    <n v="0"/>
    <n v="1"/>
    <n v="0"/>
    <n v="0"/>
  </r>
  <r>
    <x v="89"/>
    <s v="Loss"/>
    <n v="4"/>
    <n v="3"/>
    <n v="1"/>
    <x v="47"/>
    <s v="3|19000101|46195"/>
    <n v="4"/>
    <n v="2026"/>
    <n v="6"/>
    <s v="Current"/>
    <x v="2"/>
    <s v="Loss"/>
    <b v="0"/>
    <n v="0"/>
    <n v="1"/>
    <n v="0"/>
    <n v="0"/>
  </r>
  <r>
    <x v="89"/>
    <s v="Loss"/>
    <n v="4"/>
    <n v="3"/>
    <n v="1"/>
    <x v="47"/>
    <s v="3|19000101|46195"/>
    <n v="4"/>
    <n v="2026"/>
    <n v="6"/>
    <s v="Current"/>
    <x v="86"/>
    <s v="Win"/>
    <b v="0"/>
    <n v="0"/>
    <n v="1"/>
    <n v="0"/>
    <n v="1"/>
  </r>
  <r>
    <x v="81"/>
    <s v="Draw"/>
    <n v="1"/>
    <n v="4"/>
    <n v="1"/>
    <x v="47"/>
    <s v="4|19000101|46195"/>
    <n v="4"/>
    <n v="2026"/>
    <n v="6"/>
    <s v="Current"/>
    <x v="43"/>
    <s v="Draw"/>
    <b v="0"/>
    <n v="0"/>
    <n v="0"/>
    <n v="1"/>
    <n v="0"/>
  </r>
  <r>
    <x v="81"/>
    <s v="Draw"/>
    <n v="1"/>
    <n v="4"/>
    <n v="1"/>
    <x v="47"/>
    <s v="4|19000101|46195"/>
    <n v="4"/>
    <n v="2026"/>
    <n v="6"/>
    <s v="Current"/>
    <x v="90"/>
    <s v="Draw"/>
    <b v="0"/>
    <n v="0"/>
    <n v="0"/>
    <n v="1"/>
    <n v="0"/>
  </r>
  <r>
    <x v="81"/>
    <s v="Draw"/>
    <n v="1"/>
    <n v="4"/>
    <n v="1"/>
    <x v="47"/>
    <s v="4|19000101|46195"/>
    <n v="4"/>
    <n v="2026"/>
    <n v="6"/>
    <s v="Current"/>
    <x v="16"/>
    <s v="Draw"/>
    <b v="0"/>
    <n v="0"/>
    <n v="0"/>
    <n v="1"/>
    <n v="0"/>
  </r>
  <r>
    <x v="43"/>
    <s v="Draw"/>
    <n v="2"/>
    <n v="4"/>
    <n v="1"/>
    <x v="47"/>
    <s v="4|19000101|46195"/>
    <n v="4"/>
    <n v="2026"/>
    <n v="6"/>
    <s v="Current"/>
    <x v="81"/>
    <s v="Draw"/>
    <b v="0"/>
    <n v="0"/>
    <n v="0"/>
    <n v="1"/>
    <n v="0"/>
  </r>
  <r>
    <x v="43"/>
    <s v="Draw"/>
    <n v="2"/>
    <n v="4"/>
    <n v="1"/>
    <x v="47"/>
    <s v="4|19000101|46195"/>
    <n v="4"/>
    <n v="2026"/>
    <n v="6"/>
    <s v="Current"/>
    <x v="90"/>
    <s v="Draw"/>
    <b v="0"/>
    <n v="0"/>
    <n v="0"/>
    <n v="1"/>
    <n v="0"/>
  </r>
  <r>
    <x v="43"/>
    <s v="Draw"/>
    <n v="2"/>
    <n v="4"/>
    <n v="1"/>
    <x v="47"/>
    <s v="4|19000101|46195"/>
    <n v="4"/>
    <n v="2026"/>
    <n v="6"/>
    <s v="Current"/>
    <x v="16"/>
    <s v="Draw"/>
    <b v="0"/>
    <n v="0"/>
    <n v="0"/>
    <n v="1"/>
    <n v="0"/>
  </r>
  <r>
    <x v="90"/>
    <s v="Draw"/>
    <n v="3"/>
    <n v="4"/>
    <n v="1"/>
    <x v="47"/>
    <s v="4|19000101|46195"/>
    <n v="4"/>
    <n v="2026"/>
    <n v="6"/>
    <s v="Current"/>
    <x v="81"/>
    <s v="Draw"/>
    <b v="0"/>
    <n v="0"/>
    <n v="0"/>
    <n v="1"/>
    <n v="0"/>
  </r>
  <r>
    <x v="90"/>
    <s v="Draw"/>
    <n v="3"/>
    <n v="4"/>
    <n v="1"/>
    <x v="47"/>
    <s v="4|19000101|46195"/>
    <n v="4"/>
    <n v="2026"/>
    <n v="6"/>
    <s v="Current"/>
    <x v="43"/>
    <s v="Draw"/>
    <b v="0"/>
    <n v="0"/>
    <n v="0"/>
    <n v="1"/>
    <n v="0"/>
  </r>
  <r>
    <x v="90"/>
    <s v="Draw"/>
    <n v="3"/>
    <n v="4"/>
    <n v="1"/>
    <x v="47"/>
    <s v="4|19000101|46195"/>
    <n v="4"/>
    <n v="2026"/>
    <n v="6"/>
    <s v="Current"/>
    <x v="16"/>
    <s v="Draw"/>
    <b v="0"/>
    <n v="0"/>
    <n v="0"/>
    <n v="1"/>
    <n v="0"/>
  </r>
  <r>
    <x v="16"/>
    <s v="Draw"/>
    <n v="4"/>
    <n v="4"/>
    <n v="1"/>
    <x v="47"/>
    <s v="4|19000101|46195"/>
    <n v="4"/>
    <n v="2026"/>
    <n v="6"/>
    <s v="Current"/>
    <x v="81"/>
    <s v="Draw"/>
    <b v="0"/>
    <n v="0"/>
    <n v="0"/>
    <n v="1"/>
    <n v="0"/>
  </r>
  <r>
    <x v="16"/>
    <s v="Draw"/>
    <n v="4"/>
    <n v="4"/>
    <n v="1"/>
    <x v="47"/>
    <s v="4|19000101|46195"/>
    <n v="4"/>
    <n v="2026"/>
    <n v="6"/>
    <s v="Current"/>
    <x v="43"/>
    <s v="Draw"/>
    <b v="0"/>
    <n v="0"/>
    <n v="0"/>
    <n v="1"/>
    <n v="0"/>
  </r>
  <r>
    <x v="16"/>
    <s v="Draw"/>
    <n v="4"/>
    <n v="4"/>
    <n v="1"/>
    <x v="47"/>
    <s v="4|19000101|46195"/>
    <n v="4"/>
    <n v="2026"/>
    <n v="6"/>
    <s v="Current"/>
    <x v="90"/>
    <s v="Draw"/>
    <b v="0"/>
    <n v="0"/>
    <n v="0"/>
    <n v="1"/>
    <n v="0"/>
  </r>
  <r>
    <x v="7"/>
    <s v="Draw"/>
    <n v="1"/>
    <n v="5"/>
    <n v="1"/>
    <x v="47"/>
    <s v="5|19000101|46195"/>
    <n v="4"/>
    <n v="2026"/>
    <n v="6"/>
    <s v="Current"/>
    <x v="24"/>
    <s v="Draw"/>
    <b v="0"/>
    <n v="0"/>
    <n v="0"/>
    <n v="1"/>
    <n v="0"/>
  </r>
  <r>
    <x v="7"/>
    <s v="Draw"/>
    <n v="1"/>
    <n v="5"/>
    <n v="1"/>
    <x v="47"/>
    <s v="5|19000101|46195"/>
    <n v="4"/>
    <n v="2026"/>
    <n v="6"/>
    <s v="Current"/>
    <x v="91"/>
    <s v="Draw"/>
    <b v="0"/>
    <n v="0"/>
    <n v="0"/>
    <n v="1"/>
    <n v="0"/>
  </r>
  <r>
    <x v="7"/>
    <s v="Draw"/>
    <n v="1"/>
    <n v="5"/>
    <n v="1"/>
    <x v="47"/>
    <s v="5|19000101|46195"/>
    <n v="4"/>
    <n v="2026"/>
    <n v="6"/>
    <s v="Current"/>
    <x v="32"/>
    <s v="Draw"/>
    <b v="0"/>
    <n v="0"/>
    <n v="0"/>
    <n v="1"/>
    <n v="0"/>
  </r>
  <r>
    <x v="24"/>
    <s v="Draw"/>
    <n v="2"/>
    <n v="5"/>
    <n v="1"/>
    <x v="47"/>
    <s v="5|19000101|46195"/>
    <n v="4"/>
    <n v="2026"/>
    <n v="6"/>
    <s v="Current"/>
    <x v="7"/>
    <s v="Draw"/>
    <b v="0"/>
    <n v="0"/>
    <n v="0"/>
    <n v="1"/>
    <n v="0"/>
  </r>
  <r>
    <x v="24"/>
    <s v="Draw"/>
    <n v="2"/>
    <n v="5"/>
    <n v="1"/>
    <x v="47"/>
    <s v="5|19000101|46195"/>
    <n v="4"/>
    <n v="2026"/>
    <n v="6"/>
    <s v="Current"/>
    <x v="91"/>
    <s v="Draw"/>
    <b v="0"/>
    <n v="0"/>
    <n v="0"/>
    <n v="1"/>
    <n v="0"/>
  </r>
  <r>
    <x v="24"/>
    <s v="Draw"/>
    <n v="2"/>
    <n v="5"/>
    <n v="1"/>
    <x v="47"/>
    <s v="5|19000101|46195"/>
    <n v="4"/>
    <n v="2026"/>
    <n v="6"/>
    <s v="Current"/>
    <x v="32"/>
    <s v="Draw"/>
    <b v="0"/>
    <n v="0"/>
    <n v="0"/>
    <n v="1"/>
    <n v="0"/>
  </r>
  <r>
    <x v="91"/>
    <s v="Draw"/>
    <n v="3"/>
    <n v="5"/>
    <n v="1"/>
    <x v="47"/>
    <s v="5|19000101|46195"/>
    <n v="4"/>
    <n v="2026"/>
    <n v="6"/>
    <s v="Current"/>
    <x v="7"/>
    <s v="Draw"/>
    <b v="0"/>
    <n v="0"/>
    <n v="0"/>
    <n v="1"/>
    <n v="0"/>
  </r>
  <r>
    <x v="91"/>
    <s v="Draw"/>
    <n v="3"/>
    <n v="5"/>
    <n v="1"/>
    <x v="47"/>
    <s v="5|19000101|46195"/>
    <n v="4"/>
    <n v="2026"/>
    <n v="6"/>
    <s v="Current"/>
    <x v="24"/>
    <s v="Draw"/>
    <b v="0"/>
    <n v="0"/>
    <n v="0"/>
    <n v="1"/>
    <n v="0"/>
  </r>
  <r>
    <x v="91"/>
    <s v="Draw"/>
    <n v="3"/>
    <n v="5"/>
    <n v="1"/>
    <x v="47"/>
    <s v="5|19000101|46195"/>
    <n v="4"/>
    <n v="2026"/>
    <n v="6"/>
    <s v="Current"/>
    <x v="32"/>
    <s v="Draw"/>
    <b v="0"/>
    <n v="0"/>
    <n v="0"/>
    <n v="1"/>
    <n v="0"/>
  </r>
  <r>
    <x v="32"/>
    <s v="Draw"/>
    <n v="4"/>
    <n v="5"/>
    <n v="1"/>
    <x v="47"/>
    <s v="5|19000101|46195"/>
    <n v="4"/>
    <n v="2026"/>
    <n v="6"/>
    <s v="Current"/>
    <x v="7"/>
    <s v="Draw"/>
    <b v="0"/>
    <n v="0"/>
    <n v="0"/>
    <n v="1"/>
    <n v="0"/>
  </r>
  <r>
    <x v="32"/>
    <s v="Draw"/>
    <n v="4"/>
    <n v="5"/>
    <n v="1"/>
    <x v="47"/>
    <s v="5|19000101|46195"/>
    <n v="4"/>
    <n v="2026"/>
    <n v="6"/>
    <s v="Current"/>
    <x v="24"/>
    <s v="Draw"/>
    <b v="0"/>
    <n v="0"/>
    <n v="0"/>
    <n v="1"/>
    <n v="0"/>
  </r>
  <r>
    <x v="32"/>
    <s v="Draw"/>
    <n v="4"/>
    <n v="5"/>
    <n v="1"/>
    <x v="47"/>
    <s v="5|19000101|46195"/>
    <n v="4"/>
    <n v="2026"/>
    <n v="6"/>
    <s v="Current"/>
    <x v="91"/>
    <s v="Draw"/>
    <b v="0"/>
    <n v="0"/>
    <n v="0"/>
    <n v="1"/>
    <n v="0"/>
  </r>
  <r>
    <x v="14"/>
    <s v="Win"/>
    <n v="1"/>
    <n v="6"/>
    <n v="1"/>
    <x v="47"/>
    <s v="6|19000101|46195"/>
    <n v="3"/>
    <n v="2026"/>
    <n v="6"/>
    <s v="Current"/>
    <x v="79"/>
    <s v="Loss"/>
    <b v="0"/>
    <n v="1"/>
    <n v="0"/>
    <n v="0"/>
    <n v="0"/>
  </r>
  <r>
    <x v="14"/>
    <s v="Win"/>
    <n v="1"/>
    <n v="6"/>
    <n v="1"/>
    <x v="47"/>
    <s v="6|19000101|46195"/>
    <n v="3"/>
    <n v="2026"/>
    <n v="6"/>
    <s v="Current"/>
    <x v="10"/>
    <s v="Loss"/>
    <b v="0"/>
    <n v="1"/>
    <n v="0"/>
    <n v="0"/>
    <n v="0"/>
  </r>
  <r>
    <x v="79"/>
    <s v="Loss"/>
    <n v="2"/>
    <n v="6"/>
    <n v="1"/>
    <x v="47"/>
    <s v="6|19000101|46195"/>
    <n v="3"/>
    <n v="2026"/>
    <n v="6"/>
    <s v="Current"/>
    <x v="14"/>
    <s v="Win"/>
    <b v="0"/>
    <n v="0"/>
    <n v="1"/>
    <n v="0"/>
    <n v="1"/>
  </r>
  <r>
    <x v="79"/>
    <s v="Loss"/>
    <n v="2"/>
    <n v="6"/>
    <n v="1"/>
    <x v="47"/>
    <s v="6|19000101|46195"/>
    <n v="3"/>
    <n v="2026"/>
    <n v="6"/>
    <s v="Current"/>
    <x v="10"/>
    <s v="Loss"/>
    <b v="0"/>
    <n v="0"/>
    <n v="1"/>
    <n v="0"/>
    <n v="0"/>
  </r>
  <r>
    <x v="10"/>
    <s v="Loss"/>
    <n v="3"/>
    <n v="6"/>
    <n v="1"/>
    <x v="47"/>
    <s v="6|19000101|46195"/>
    <n v="3"/>
    <n v="2026"/>
    <n v="6"/>
    <s v="Current"/>
    <x v="14"/>
    <s v="Win"/>
    <b v="0"/>
    <n v="0"/>
    <n v="1"/>
    <n v="0"/>
    <n v="1"/>
  </r>
  <r>
    <x v="10"/>
    <s v="Loss"/>
    <n v="3"/>
    <n v="6"/>
    <n v="1"/>
    <x v="47"/>
    <s v="6|19000101|46195"/>
    <n v="3"/>
    <n v="2026"/>
    <n v="6"/>
    <s v="Current"/>
    <x v="79"/>
    <s v="Loss"/>
    <b v="0"/>
    <n v="0"/>
    <n v="1"/>
    <n v="0"/>
    <n v="0"/>
  </r>
  <r>
    <x v="32"/>
    <s v="Loss"/>
    <n v="1"/>
    <n v="1"/>
    <n v="2"/>
    <x v="47"/>
    <s v="1|19000102|46195"/>
    <n v="4"/>
    <n v="2026"/>
    <n v="6"/>
    <s v="Current"/>
    <x v="81"/>
    <s v="Loss"/>
    <b v="0"/>
    <n v="0"/>
    <n v="1"/>
    <n v="0"/>
    <n v="0"/>
  </r>
  <r>
    <x v="32"/>
    <s v="Loss"/>
    <n v="1"/>
    <n v="1"/>
    <n v="2"/>
    <x v="47"/>
    <s v="1|19000102|46195"/>
    <n v="4"/>
    <n v="2026"/>
    <n v="6"/>
    <s v="Current"/>
    <x v="5"/>
    <s v="Win"/>
    <b v="0"/>
    <n v="0"/>
    <n v="1"/>
    <n v="0"/>
    <n v="1"/>
  </r>
  <r>
    <x v="32"/>
    <s v="Loss"/>
    <n v="1"/>
    <n v="1"/>
    <n v="2"/>
    <x v="47"/>
    <s v="1|19000102|46195"/>
    <n v="4"/>
    <n v="2026"/>
    <n v="6"/>
    <s v="Current"/>
    <x v="70"/>
    <s v="Loss"/>
    <b v="0"/>
    <n v="0"/>
    <n v="1"/>
    <n v="0"/>
    <n v="0"/>
  </r>
  <r>
    <x v="81"/>
    <s v="Loss"/>
    <n v="2"/>
    <n v="1"/>
    <n v="2"/>
    <x v="47"/>
    <s v="1|19000102|46195"/>
    <n v="4"/>
    <n v="2026"/>
    <n v="6"/>
    <s v="Current"/>
    <x v="32"/>
    <s v="Loss"/>
    <b v="0"/>
    <n v="0"/>
    <n v="1"/>
    <n v="0"/>
    <n v="0"/>
  </r>
  <r>
    <x v="81"/>
    <s v="Loss"/>
    <n v="2"/>
    <n v="1"/>
    <n v="2"/>
    <x v="47"/>
    <s v="1|19000102|46195"/>
    <n v="4"/>
    <n v="2026"/>
    <n v="6"/>
    <s v="Current"/>
    <x v="5"/>
    <s v="Win"/>
    <b v="0"/>
    <n v="0"/>
    <n v="1"/>
    <n v="0"/>
    <n v="1"/>
  </r>
  <r>
    <x v="81"/>
    <s v="Loss"/>
    <n v="2"/>
    <n v="1"/>
    <n v="2"/>
    <x v="47"/>
    <s v="1|19000102|46195"/>
    <n v="4"/>
    <n v="2026"/>
    <n v="6"/>
    <s v="Current"/>
    <x v="70"/>
    <s v="Loss"/>
    <b v="0"/>
    <n v="0"/>
    <n v="1"/>
    <n v="0"/>
    <n v="0"/>
  </r>
  <r>
    <x v="5"/>
    <s v="Win"/>
    <n v="3"/>
    <n v="1"/>
    <n v="2"/>
    <x v="47"/>
    <s v="1|19000102|46195"/>
    <n v="4"/>
    <n v="2026"/>
    <n v="6"/>
    <s v="Current"/>
    <x v="32"/>
    <s v="Loss"/>
    <b v="0"/>
    <n v="1"/>
    <n v="0"/>
    <n v="0"/>
    <n v="0"/>
  </r>
  <r>
    <x v="5"/>
    <s v="Win"/>
    <n v="3"/>
    <n v="1"/>
    <n v="2"/>
    <x v="47"/>
    <s v="1|19000102|46195"/>
    <n v="4"/>
    <n v="2026"/>
    <n v="6"/>
    <s v="Current"/>
    <x v="81"/>
    <s v="Loss"/>
    <b v="0"/>
    <n v="1"/>
    <n v="0"/>
    <n v="0"/>
    <n v="0"/>
  </r>
  <r>
    <x v="5"/>
    <s v="Win"/>
    <n v="3"/>
    <n v="1"/>
    <n v="2"/>
    <x v="47"/>
    <s v="1|19000102|46195"/>
    <n v="4"/>
    <n v="2026"/>
    <n v="6"/>
    <s v="Current"/>
    <x v="70"/>
    <s v="Loss"/>
    <b v="0"/>
    <n v="1"/>
    <n v="0"/>
    <n v="0"/>
    <n v="0"/>
  </r>
  <r>
    <x v="70"/>
    <s v="Loss"/>
    <n v="4"/>
    <n v="1"/>
    <n v="2"/>
    <x v="47"/>
    <s v="1|19000102|46195"/>
    <n v="4"/>
    <n v="2026"/>
    <n v="6"/>
    <s v="Current"/>
    <x v="32"/>
    <s v="Loss"/>
    <b v="0"/>
    <n v="0"/>
    <n v="1"/>
    <n v="0"/>
    <n v="0"/>
  </r>
  <r>
    <x v="70"/>
    <s v="Loss"/>
    <n v="4"/>
    <n v="1"/>
    <n v="2"/>
    <x v="47"/>
    <s v="1|19000102|46195"/>
    <n v="4"/>
    <n v="2026"/>
    <n v="6"/>
    <s v="Current"/>
    <x v="81"/>
    <s v="Loss"/>
    <b v="0"/>
    <n v="0"/>
    <n v="1"/>
    <n v="0"/>
    <n v="0"/>
  </r>
  <r>
    <x v="70"/>
    <s v="Loss"/>
    <n v="4"/>
    <n v="1"/>
    <n v="2"/>
    <x v="47"/>
    <s v="1|19000102|46195"/>
    <n v="4"/>
    <n v="2026"/>
    <n v="6"/>
    <s v="Current"/>
    <x v="5"/>
    <s v="Win"/>
    <b v="0"/>
    <n v="0"/>
    <n v="1"/>
    <n v="0"/>
    <n v="1"/>
  </r>
  <r>
    <x v="44"/>
    <s v="Win"/>
    <n v="1"/>
    <n v="2"/>
    <n v="2"/>
    <x v="47"/>
    <s v="2|19000102|46195"/>
    <n v="4"/>
    <n v="2026"/>
    <n v="6"/>
    <s v="Current"/>
    <x v="17"/>
    <s v="Loss"/>
    <b v="0"/>
    <n v="1"/>
    <n v="0"/>
    <n v="0"/>
    <n v="0"/>
  </r>
  <r>
    <x v="44"/>
    <s v="Win"/>
    <n v="1"/>
    <n v="2"/>
    <n v="2"/>
    <x v="47"/>
    <s v="2|19000102|46195"/>
    <n v="4"/>
    <n v="2026"/>
    <n v="6"/>
    <s v="Current"/>
    <x v="14"/>
    <s v="Loss"/>
    <b v="0"/>
    <n v="1"/>
    <n v="0"/>
    <n v="0"/>
    <n v="0"/>
  </r>
  <r>
    <x v="44"/>
    <s v="Win"/>
    <n v="1"/>
    <n v="2"/>
    <n v="2"/>
    <x v="47"/>
    <s v="2|19000102|46195"/>
    <n v="4"/>
    <n v="2026"/>
    <n v="6"/>
    <s v="Current"/>
    <x v="90"/>
    <s v="Loss"/>
    <b v="0"/>
    <n v="1"/>
    <n v="0"/>
    <n v="0"/>
    <n v="0"/>
  </r>
  <r>
    <x v="17"/>
    <s v="Loss"/>
    <n v="2"/>
    <n v="2"/>
    <n v="2"/>
    <x v="47"/>
    <s v="2|19000102|46195"/>
    <n v="4"/>
    <n v="2026"/>
    <n v="6"/>
    <s v="Current"/>
    <x v="44"/>
    <s v="Win"/>
    <b v="0"/>
    <n v="0"/>
    <n v="1"/>
    <n v="0"/>
    <n v="1"/>
  </r>
  <r>
    <x v="17"/>
    <s v="Loss"/>
    <n v="2"/>
    <n v="2"/>
    <n v="2"/>
    <x v="47"/>
    <s v="2|19000102|46195"/>
    <n v="4"/>
    <n v="2026"/>
    <n v="6"/>
    <s v="Current"/>
    <x v="14"/>
    <s v="Loss"/>
    <b v="0"/>
    <n v="0"/>
    <n v="1"/>
    <n v="0"/>
    <n v="0"/>
  </r>
  <r>
    <x v="17"/>
    <s v="Loss"/>
    <n v="2"/>
    <n v="2"/>
    <n v="2"/>
    <x v="47"/>
    <s v="2|19000102|46195"/>
    <n v="4"/>
    <n v="2026"/>
    <n v="6"/>
    <s v="Current"/>
    <x v="90"/>
    <s v="Loss"/>
    <b v="0"/>
    <n v="0"/>
    <n v="1"/>
    <n v="0"/>
    <n v="0"/>
  </r>
  <r>
    <x v="14"/>
    <s v="Loss"/>
    <n v="3"/>
    <n v="2"/>
    <n v="2"/>
    <x v="47"/>
    <s v="2|19000102|46195"/>
    <n v="4"/>
    <n v="2026"/>
    <n v="6"/>
    <s v="Current"/>
    <x v="44"/>
    <s v="Win"/>
    <b v="0"/>
    <n v="0"/>
    <n v="1"/>
    <n v="0"/>
    <n v="1"/>
  </r>
  <r>
    <x v="14"/>
    <s v="Loss"/>
    <n v="3"/>
    <n v="2"/>
    <n v="2"/>
    <x v="47"/>
    <s v="2|19000102|46195"/>
    <n v="4"/>
    <n v="2026"/>
    <n v="6"/>
    <s v="Current"/>
    <x v="17"/>
    <s v="Loss"/>
    <b v="0"/>
    <n v="0"/>
    <n v="1"/>
    <n v="0"/>
    <n v="0"/>
  </r>
  <r>
    <x v="14"/>
    <s v="Loss"/>
    <n v="3"/>
    <n v="2"/>
    <n v="2"/>
    <x v="47"/>
    <s v="2|19000102|46195"/>
    <n v="4"/>
    <n v="2026"/>
    <n v="6"/>
    <s v="Current"/>
    <x v="90"/>
    <s v="Loss"/>
    <b v="0"/>
    <n v="0"/>
    <n v="1"/>
    <n v="0"/>
    <n v="0"/>
  </r>
  <r>
    <x v="90"/>
    <s v="Loss"/>
    <n v="4"/>
    <n v="2"/>
    <n v="2"/>
    <x v="47"/>
    <s v="2|19000102|46195"/>
    <n v="4"/>
    <n v="2026"/>
    <n v="6"/>
    <s v="Current"/>
    <x v="44"/>
    <s v="Win"/>
    <b v="0"/>
    <n v="0"/>
    <n v="1"/>
    <n v="0"/>
    <n v="1"/>
  </r>
  <r>
    <x v="90"/>
    <s v="Loss"/>
    <n v="4"/>
    <n v="2"/>
    <n v="2"/>
    <x v="47"/>
    <s v="2|19000102|46195"/>
    <n v="4"/>
    <n v="2026"/>
    <n v="6"/>
    <s v="Current"/>
    <x v="17"/>
    <s v="Loss"/>
    <b v="0"/>
    <n v="0"/>
    <n v="1"/>
    <n v="0"/>
    <n v="0"/>
  </r>
  <r>
    <x v="90"/>
    <s v="Loss"/>
    <n v="4"/>
    <n v="2"/>
    <n v="2"/>
    <x v="47"/>
    <s v="2|19000102|46195"/>
    <n v="4"/>
    <n v="2026"/>
    <n v="6"/>
    <s v="Current"/>
    <x v="14"/>
    <s v="Loss"/>
    <b v="0"/>
    <n v="0"/>
    <n v="1"/>
    <n v="0"/>
    <n v="0"/>
  </r>
  <r>
    <x v="91"/>
    <s v="Loss"/>
    <n v="1"/>
    <n v="3"/>
    <n v="2"/>
    <x v="47"/>
    <s v="3|19000102|46195"/>
    <n v="4"/>
    <n v="2026"/>
    <n v="6"/>
    <s v="Current"/>
    <x v="16"/>
    <s v="Win"/>
    <b v="0"/>
    <n v="0"/>
    <n v="1"/>
    <n v="0"/>
    <n v="1"/>
  </r>
  <r>
    <x v="91"/>
    <s v="Loss"/>
    <n v="1"/>
    <n v="3"/>
    <n v="2"/>
    <x v="47"/>
    <s v="3|19000102|46195"/>
    <n v="4"/>
    <n v="2026"/>
    <n v="6"/>
    <s v="Current"/>
    <x v="89"/>
    <s v="Loss"/>
    <b v="0"/>
    <n v="0"/>
    <n v="1"/>
    <n v="0"/>
    <n v="0"/>
  </r>
  <r>
    <x v="91"/>
    <s v="Loss"/>
    <n v="1"/>
    <n v="3"/>
    <n v="2"/>
    <x v="47"/>
    <s v="3|19000102|46195"/>
    <n v="4"/>
    <n v="2026"/>
    <n v="6"/>
    <s v="Current"/>
    <x v="86"/>
    <s v="Loss"/>
    <b v="0"/>
    <n v="0"/>
    <n v="1"/>
    <n v="0"/>
    <n v="0"/>
  </r>
  <r>
    <x v="16"/>
    <s v="Win"/>
    <n v="2"/>
    <n v="3"/>
    <n v="2"/>
    <x v="47"/>
    <s v="3|19000102|46195"/>
    <n v="4"/>
    <n v="2026"/>
    <n v="6"/>
    <s v="Current"/>
    <x v="91"/>
    <s v="Loss"/>
    <b v="0"/>
    <n v="1"/>
    <n v="0"/>
    <n v="0"/>
    <n v="0"/>
  </r>
  <r>
    <x v="16"/>
    <s v="Win"/>
    <n v="2"/>
    <n v="3"/>
    <n v="2"/>
    <x v="47"/>
    <s v="3|19000102|46195"/>
    <n v="4"/>
    <n v="2026"/>
    <n v="6"/>
    <s v="Current"/>
    <x v="89"/>
    <s v="Loss"/>
    <b v="0"/>
    <n v="1"/>
    <n v="0"/>
    <n v="0"/>
    <n v="0"/>
  </r>
  <r>
    <x v="16"/>
    <s v="Win"/>
    <n v="2"/>
    <n v="3"/>
    <n v="2"/>
    <x v="47"/>
    <s v="3|19000102|46195"/>
    <n v="4"/>
    <n v="2026"/>
    <n v="6"/>
    <s v="Current"/>
    <x v="86"/>
    <s v="Loss"/>
    <b v="0"/>
    <n v="1"/>
    <n v="0"/>
    <n v="0"/>
    <n v="0"/>
  </r>
  <r>
    <x v="89"/>
    <s v="Loss"/>
    <n v="3"/>
    <n v="3"/>
    <n v="2"/>
    <x v="47"/>
    <s v="3|19000102|46195"/>
    <n v="4"/>
    <n v="2026"/>
    <n v="6"/>
    <s v="Current"/>
    <x v="91"/>
    <s v="Loss"/>
    <b v="0"/>
    <n v="0"/>
    <n v="1"/>
    <n v="0"/>
    <n v="0"/>
  </r>
  <r>
    <x v="89"/>
    <s v="Loss"/>
    <n v="3"/>
    <n v="3"/>
    <n v="2"/>
    <x v="47"/>
    <s v="3|19000102|46195"/>
    <n v="4"/>
    <n v="2026"/>
    <n v="6"/>
    <s v="Current"/>
    <x v="16"/>
    <s v="Win"/>
    <b v="0"/>
    <n v="0"/>
    <n v="1"/>
    <n v="0"/>
    <n v="1"/>
  </r>
  <r>
    <x v="89"/>
    <s v="Loss"/>
    <n v="3"/>
    <n v="3"/>
    <n v="2"/>
    <x v="47"/>
    <s v="3|19000102|46195"/>
    <n v="4"/>
    <n v="2026"/>
    <n v="6"/>
    <s v="Current"/>
    <x v="86"/>
    <s v="Loss"/>
    <b v="0"/>
    <n v="0"/>
    <n v="1"/>
    <n v="0"/>
    <n v="0"/>
  </r>
  <r>
    <x v="86"/>
    <s v="Loss"/>
    <n v="4"/>
    <n v="3"/>
    <n v="2"/>
    <x v="47"/>
    <s v="3|19000102|46195"/>
    <n v="4"/>
    <n v="2026"/>
    <n v="6"/>
    <s v="Current"/>
    <x v="91"/>
    <s v="Loss"/>
    <b v="0"/>
    <n v="0"/>
    <n v="1"/>
    <n v="0"/>
    <n v="0"/>
  </r>
  <r>
    <x v="86"/>
    <s v="Loss"/>
    <n v="4"/>
    <n v="3"/>
    <n v="2"/>
    <x v="47"/>
    <s v="3|19000102|46195"/>
    <n v="4"/>
    <n v="2026"/>
    <n v="6"/>
    <s v="Current"/>
    <x v="16"/>
    <s v="Win"/>
    <b v="0"/>
    <n v="0"/>
    <n v="1"/>
    <n v="0"/>
    <n v="1"/>
  </r>
  <r>
    <x v="86"/>
    <s v="Loss"/>
    <n v="4"/>
    <n v="3"/>
    <n v="2"/>
    <x v="47"/>
    <s v="3|19000102|46195"/>
    <n v="4"/>
    <n v="2026"/>
    <n v="6"/>
    <s v="Current"/>
    <x v="89"/>
    <s v="Loss"/>
    <b v="0"/>
    <n v="0"/>
    <n v="1"/>
    <n v="0"/>
    <n v="0"/>
  </r>
  <r>
    <x v="21"/>
    <s v="Win"/>
    <n v="1"/>
    <n v="4"/>
    <n v="2"/>
    <x v="47"/>
    <s v="4|19000102|46195"/>
    <n v="4"/>
    <n v="2026"/>
    <n v="6"/>
    <s v="Current"/>
    <x v="4"/>
    <s v="Loss"/>
    <b v="0"/>
    <n v="1"/>
    <n v="0"/>
    <n v="0"/>
    <n v="0"/>
  </r>
  <r>
    <x v="21"/>
    <s v="Win"/>
    <n v="1"/>
    <n v="4"/>
    <n v="2"/>
    <x v="47"/>
    <s v="4|19000102|46195"/>
    <n v="4"/>
    <n v="2026"/>
    <n v="6"/>
    <s v="Current"/>
    <x v="24"/>
    <s v="Loss"/>
    <b v="0"/>
    <n v="1"/>
    <n v="0"/>
    <n v="0"/>
    <n v="0"/>
  </r>
  <r>
    <x v="21"/>
    <s v="Win"/>
    <n v="1"/>
    <n v="4"/>
    <n v="2"/>
    <x v="47"/>
    <s v="4|19000102|46195"/>
    <n v="4"/>
    <n v="2026"/>
    <n v="6"/>
    <s v="Current"/>
    <x v="43"/>
    <s v="Loss"/>
    <b v="0"/>
    <n v="1"/>
    <n v="0"/>
    <n v="0"/>
    <n v="0"/>
  </r>
  <r>
    <x v="4"/>
    <s v="Loss"/>
    <n v="2"/>
    <n v="4"/>
    <n v="2"/>
    <x v="47"/>
    <s v="4|19000102|46195"/>
    <n v="4"/>
    <n v="2026"/>
    <n v="6"/>
    <s v="Current"/>
    <x v="21"/>
    <s v="Win"/>
    <b v="0"/>
    <n v="0"/>
    <n v="1"/>
    <n v="0"/>
    <n v="1"/>
  </r>
  <r>
    <x v="4"/>
    <s v="Loss"/>
    <n v="2"/>
    <n v="4"/>
    <n v="2"/>
    <x v="47"/>
    <s v="4|19000102|46195"/>
    <n v="4"/>
    <n v="2026"/>
    <n v="6"/>
    <s v="Current"/>
    <x v="24"/>
    <s v="Loss"/>
    <b v="0"/>
    <n v="0"/>
    <n v="1"/>
    <n v="0"/>
    <n v="0"/>
  </r>
  <r>
    <x v="4"/>
    <s v="Loss"/>
    <n v="2"/>
    <n v="4"/>
    <n v="2"/>
    <x v="47"/>
    <s v="4|19000102|46195"/>
    <n v="4"/>
    <n v="2026"/>
    <n v="6"/>
    <s v="Current"/>
    <x v="43"/>
    <s v="Loss"/>
    <b v="0"/>
    <n v="0"/>
    <n v="1"/>
    <n v="0"/>
    <n v="0"/>
  </r>
  <r>
    <x v="24"/>
    <s v="Loss"/>
    <n v="3"/>
    <n v="4"/>
    <n v="2"/>
    <x v="47"/>
    <s v="4|19000102|46195"/>
    <n v="4"/>
    <n v="2026"/>
    <n v="6"/>
    <s v="Current"/>
    <x v="21"/>
    <s v="Win"/>
    <b v="0"/>
    <n v="0"/>
    <n v="1"/>
    <n v="0"/>
    <n v="1"/>
  </r>
  <r>
    <x v="24"/>
    <s v="Loss"/>
    <n v="3"/>
    <n v="4"/>
    <n v="2"/>
    <x v="47"/>
    <s v="4|19000102|46195"/>
    <n v="4"/>
    <n v="2026"/>
    <n v="6"/>
    <s v="Current"/>
    <x v="4"/>
    <s v="Loss"/>
    <b v="0"/>
    <n v="0"/>
    <n v="1"/>
    <n v="0"/>
    <n v="0"/>
  </r>
  <r>
    <x v="24"/>
    <s v="Loss"/>
    <n v="3"/>
    <n v="4"/>
    <n v="2"/>
    <x v="47"/>
    <s v="4|19000102|46195"/>
    <n v="4"/>
    <n v="2026"/>
    <n v="6"/>
    <s v="Current"/>
    <x v="43"/>
    <s v="Loss"/>
    <b v="0"/>
    <n v="0"/>
    <n v="1"/>
    <n v="0"/>
    <n v="0"/>
  </r>
  <r>
    <x v="43"/>
    <s v="Loss"/>
    <n v="4"/>
    <n v="4"/>
    <n v="2"/>
    <x v="47"/>
    <s v="4|19000102|46195"/>
    <n v="4"/>
    <n v="2026"/>
    <n v="6"/>
    <s v="Current"/>
    <x v="21"/>
    <s v="Win"/>
    <b v="0"/>
    <n v="0"/>
    <n v="1"/>
    <n v="0"/>
    <n v="1"/>
  </r>
  <r>
    <x v="43"/>
    <s v="Loss"/>
    <n v="4"/>
    <n v="4"/>
    <n v="2"/>
    <x v="47"/>
    <s v="4|19000102|46195"/>
    <n v="4"/>
    <n v="2026"/>
    <n v="6"/>
    <s v="Current"/>
    <x v="4"/>
    <s v="Loss"/>
    <b v="0"/>
    <n v="0"/>
    <n v="1"/>
    <n v="0"/>
    <n v="0"/>
  </r>
  <r>
    <x v="43"/>
    <s v="Loss"/>
    <n v="4"/>
    <n v="4"/>
    <n v="2"/>
    <x v="47"/>
    <s v="4|19000102|46195"/>
    <n v="4"/>
    <n v="2026"/>
    <n v="6"/>
    <s v="Current"/>
    <x v="24"/>
    <s v="Loss"/>
    <b v="0"/>
    <n v="0"/>
    <n v="1"/>
    <n v="0"/>
    <n v="0"/>
  </r>
  <r>
    <x v="79"/>
    <s v="Loss"/>
    <n v="1"/>
    <n v="5"/>
    <n v="2"/>
    <x v="47"/>
    <s v="5|19000102|46195"/>
    <n v="4"/>
    <n v="2026"/>
    <n v="6"/>
    <s v="Current"/>
    <x v="18"/>
    <s v="Loss"/>
    <b v="0"/>
    <n v="0"/>
    <n v="1"/>
    <n v="0"/>
    <n v="0"/>
  </r>
  <r>
    <x v="79"/>
    <s v="Loss"/>
    <n v="1"/>
    <n v="5"/>
    <n v="2"/>
    <x v="47"/>
    <s v="5|19000102|46195"/>
    <n v="4"/>
    <n v="2026"/>
    <n v="6"/>
    <s v="Current"/>
    <x v="87"/>
    <s v="Win"/>
    <b v="0"/>
    <n v="0"/>
    <n v="1"/>
    <n v="0"/>
    <n v="1"/>
  </r>
  <r>
    <x v="79"/>
    <s v="Loss"/>
    <n v="1"/>
    <n v="5"/>
    <n v="2"/>
    <x v="47"/>
    <s v="5|19000102|46195"/>
    <n v="4"/>
    <n v="2026"/>
    <n v="6"/>
    <s v="Current"/>
    <x v="0"/>
    <s v="Loss"/>
    <b v="0"/>
    <n v="0"/>
    <n v="1"/>
    <n v="0"/>
    <n v="0"/>
  </r>
  <r>
    <x v="18"/>
    <s v="Loss"/>
    <n v="2"/>
    <n v="5"/>
    <n v="2"/>
    <x v="47"/>
    <s v="5|19000102|46195"/>
    <n v="4"/>
    <n v="2026"/>
    <n v="6"/>
    <s v="Current"/>
    <x v="79"/>
    <s v="Loss"/>
    <b v="0"/>
    <n v="0"/>
    <n v="1"/>
    <n v="0"/>
    <n v="0"/>
  </r>
  <r>
    <x v="18"/>
    <s v="Loss"/>
    <n v="2"/>
    <n v="5"/>
    <n v="2"/>
    <x v="47"/>
    <s v="5|19000102|46195"/>
    <n v="4"/>
    <n v="2026"/>
    <n v="6"/>
    <s v="Current"/>
    <x v="87"/>
    <s v="Win"/>
    <b v="0"/>
    <n v="0"/>
    <n v="1"/>
    <n v="0"/>
    <n v="1"/>
  </r>
  <r>
    <x v="18"/>
    <s v="Loss"/>
    <n v="2"/>
    <n v="5"/>
    <n v="2"/>
    <x v="47"/>
    <s v="5|19000102|46195"/>
    <n v="4"/>
    <n v="2026"/>
    <n v="6"/>
    <s v="Current"/>
    <x v="0"/>
    <s v="Loss"/>
    <b v="0"/>
    <n v="0"/>
    <n v="1"/>
    <n v="0"/>
    <n v="0"/>
  </r>
  <r>
    <x v="87"/>
    <s v="Win"/>
    <n v="3"/>
    <n v="5"/>
    <n v="2"/>
    <x v="47"/>
    <s v="5|19000102|46195"/>
    <n v="4"/>
    <n v="2026"/>
    <n v="6"/>
    <s v="Current"/>
    <x v="79"/>
    <s v="Loss"/>
    <b v="0"/>
    <n v="1"/>
    <n v="0"/>
    <n v="0"/>
    <n v="0"/>
  </r>
  <r>
    <x v="87"/>
    <s v="Win"/>
    <n v="3"/>
    <n v="5"/>
    <n v="2"/>
    <x v="47"/>
    <s v="5|19000102|46195"/>
    <n v="4"/>
    <n v="2026"/>
    <n v="6"/>
    <s v="Current"/>
    <x v="18"/>
    <s v="Loss"/>
    <b v="0"/>
    <n v="1"/>
    <n v="0"/>
    <n v="0"/>
    <n v="0"/>
  </r>
  <r>
    <x v="87"/>
    <s v="Win"/>
    <n v="3"/>
    <n v="5"/>
    <n v="2"/>
    <x v="47"/>
    <s v="5|19000102|46195"/>
    <n v="4"/>
    <n v="2026"/>
    <n v="6"/>
    <s v="Current"/>
    <x v="0"/>
    <s v="Loss"/>
    <b v="0"/>
    <n v="1"/>
    <n v="0"/>
    <n v="0"/>
    <n v="0"/>
  </r>
  <r>
    <x v="1"/>
    <s v="Loss"/>
    <n v="4"/>
    <n v="5"/>
    <n v="2"/>
    <x v="47"/>
    <s v="5|19000102|46195"/>
    <n v="4"/>
    <n v="2026"/>
    <n v="6"/>
    <s v="Current"/>
    <x v="79"/>
    <s v="Loss"/>
    <b v="0"/>
    <n v="0"/>
    <n v="1"/>
    <n v="0"/>
    <n v="0"/>
  </r>
  <r>
    <x v="1"/>
    <s v="Loss"/>
    <n v="4"/>
    <n v="5"/>
    <n v="2"/>
    <x v="47"/>
    <s v="5|19000102|46195"/>
    <n v="4"/>
    <n v="2026"/>
    <n v="6"/>
    <s v="Current"/>
    <x v="18"/>
    <s v="Loss"/>
    <b v="0"/>
    <n v="0"/>
    <n v="1"/>
    <n v="0"/>
    <n v="0"/>
  </r>
  <r>
    <x v="1"/>
    <s v="Loss"/>
    <n v="4"/>
    <n v="5"/>
    <n v="2"/>
    <x v="47"/>
    <s v="5|19000102|46195"/>
    <n v="4"/>
    <n v="2026"/>
    <n v="6"/>
    <s v="Current"/>
    <x v="87"/>
    <s v="Win"/>
    <b v="0"/>
    <n v="0"/>
    <n v="1"/>
    <n v="0"/>
    <n v="1"/>
  </r>
  <r>
    <x v="2"/>
    <s v="Loss"/>
    <n v="1"/>
    <n v="6"/>
    <n v="2"/>
    <x v="47"/>
    <s v="6|19000102|46195"/>
    <n v="4"/>
    <n v="2026"/>
    <n v="6"/>
    <s v="Current"/>
    <x v="7"/>
    <s v="Loss"/>
    <b v="0"/>
    <n v="0"/>
    <n v="1"/>
    <n v="0"/>
    <n v="0"/>
  </r>
  <r>
    <x v="2"/>
    <s v="Loss"/>
    <n v="1"/>
    <n v="6"/>
    <n v="2"/>
    <x v="47"/>
    <s v="6|19000102|46195"/>
    <n v="4"/>
    <n v="2026"/>
    <n v="6"/>
    <s v="Current"/>
    <x v="2"/>
    <s v="Win"/>
    <b v="0"/>
    <n v="0"/>
    <n v="1"/>
    <n v="0"/>
    <n v="1"/>
  </r>
  <r>
    <x v="2"/>
    <s v="Loss"/>
    <n v="1"/>
    <n v="6"/>
    <n v="2"/>
    <x v="47"/>
    <s v="6|19000102|46195"/>
    <n v="4"/>
    <n v="2026"/>
    <n v="6"/>
    <s v="Current"/>
    <x v="10"/>
    <s v="Loss"/>
    <b v="0"/>
    <n v="0"/>
    <n v="1"/>
    <n v="0"/>
    <n v="0"/>
  </r>
  <r>
    <x v="7"/>
    <s v="Loss"/>
    <n v="2"/>
    <n v="6"/>
    <n v="2"/>
    <x v="47"/>
    <s v="6|19000102|46195"/>
    <n v="4"/>
    <n v="2026"/>
    <n v="6"/>
    <s v="Current"/>
    <x v="1"/>
    <s v="Loss"/>
    <b v="0"/>
    <n v="0"/>
    <n v="1"/>
    <n v="0"/>
    <n v="0"/>
  </r>
  <r>
    <x v="7"/>
    <s v="Loss"/>
    <n v="2"/>
    <n v="6"/>
    <n v="2"/>
    <x v="47"/>
    <s v="6|19000102|46195"/>
    <n v="4"/>
    <n v="2026"/>
    <n v="6"/>
    <s v="Current"/>
    <x v="2"/>
    <s v="Win"/>
    <b v="0"/>
    <n v="0"/>
    <n v="1"/>
    <n v="0"/>
    <n v="1"/>
  </r>
  <r>
    <x v="7"/>
    <s v="Loss"/>
    <n v="2"/>
    <n v="6"/>
    <n v="2"/>
    <x v="47"/>
    <s v="6|19000102|46195"/>
    <n v="4"/>
    <n v="2026"/>
    <n v="6"/>
    <s v="Current"/>
    <x v="10"/>
    <s v="Loss"/>
    <b v="0"/>
    <n v="0"/>
    <n v="1"/>
    <n v="0"/>
    <n v="0"/>
  </r>
  <r>
    <x v="3"/>
    <s v="Win"/>
    <n v="3"/>
    <n v="6"/>
    <n v="2"/>
    <x v="47"/>
    <s v="6|19000102|46195"/>
    <n v="4"/>
    <n v="2026"/>
    <n v="6"/>
    <s v="Current"/>
    <x v="1"/>
    <s v="Loss"/>
    <b v="0"/>
    <n v="1"/>
    <n v="0"/>
    <n v="0"/>
    <n v="0"/>
  </r>
  <r>
    <x v="3"/>
    <s v="Win"/>
    <n v="3"/>
    <n v="6"/>
    <n v="2"/>
    <x v="47"/>
    <s v="6|19000102|46195"/>
    <n v="4"/>
    <n v="2026"/>
    <n v="6"/>
    <s v="Current"/>
    <x v="7"/>
    <s v="Loss"/>
    <b v="0"/>
    <n v="1"/>
    <n v="0"/>
    <n v="0"/>
    <n v="0"/>
  </r>
  <r>
    <x v="3"/>
    <s v="Win"/>
    <n v="3"/>
    <n v="6"/>
    <n v="2"/>
    <x v="47"/>
    <s v="6|19000102|46195"/>
    <n v="4"/>
    <n v="2026"/>
    <n v="6"/>
    <s v="Current"/>
    <x v="10"/>
    <s v="Loss"/>
    <b v="0"/>
    <n v="1"/>
    <n v="0"/>
    <n v="0"/>
    <n v="0"/>
  </r>
  <r>
    <x v="10"/>
    <s v="Loss"/>
    <n v="4"/>
    <n v="6"/>
    <n v="2"/>
    <x v="47"/>
    <s v="6|19000102|46195"/>
    <n v="4"/>
    <n v="2026"/>
    <n v="6"/>
    <s v="Current"/>
    <x v="1"/>
    <s v="Loss"/>
    <b v="0"/>
    <n v="0"/>
    <n v="1"/>
    <n v="0"/>
    <n v="0"/>
  </r>
  <r>
    <x v="10"/>
    <s v="Loss"/>
    <n v="4"/>
    <n v="6"/>
    <n v="2"/>
    <x v="47"/>
    <s v="6|19000102|46195"/>
    <n v="4"/>
    <n v="2026"/>
    <n v="6"/>
    <s v="Current"/>
    <x v="7"/>
    <s v="Loss"/>
    <b v="0"/>
    <n v="0"/>
    <n v="1"/>
    <n v="0"/>
    <n v="0"/>
  </r>
  <r>
    <x v="10"/>
    <s v="Loss"/>
    <n v="4"/>
    <n v="6"/>
    <n v="2"/>
    <x v="47"/>
    <s v="6|19000102|46195"/>
    <n v="4"/>
    <n v="2026"/>
    <n v="6"/>
    <s v="Current"/>
    <x v="2"/>
    <s v="Win"/>
    <b v="0"/>
    <n v="0"/>
    <n v="1"/>
    <n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7">
        <item x="4"/>
        <item x="0"/>
        <item x="1"/>
        <item x="2"/>
        <item x="3"/>
        <item x="5"/>
        <item t="default"/>
      </items>
    </pivotField>
    <pivotField showAll="0"/>
    <pivotField showAll="0"/>
    <pivotField numFmtId="14" showAll="0"/>
    <pivotField showAll="0"/>
    <pivotField axis="axisCol" showAll="0">
      <items count="7">
        <item x="2"/>
        <item x="0"/>
        <item x="1"/>
        <item m="1" x="4"/>
        <item m="1" x="5"/>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7">
        <item x="4"/>
        <item x="0"/>
        <item x="1"/>
        <item x="2"/>
        <item x="3"/>
        <item x="5"/>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1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50" firstHeaderRow="1" firstDataRow="2" firstDataCol="1" rowPageCount="2" colPageCount="1"/>
  <pivotFields count="11">
    <pivotField axis="axisRow" showAll="0">
      <items count="141">
        <item x="1"/>
        <item x="8"/>
        <item x="9"/>
        <item x="11"/>
        <item x="13"/>
        <item x="15"/>
        <item m="1" x="121"/>
        <item x="42"/>
        <item x="47"/>
        <item x="48"/>
        <item x="50"/>
        <item x="51"/>
        <item x="55"/>
        <item x="56"/>
        <item x="57"/>
        <item x="58"/>
        <item x="61"/>
        <item x="0"/>
        <item m="1" x="108"/>
        <item x="72"/>
        <item x="18"/>
        <item x="33"/>
        <item x="53"/>
        <item x="22"/>
        <item m="1" x="134"/>
        <item m="1" x="135"/>
        <item m="1" x="136"/>
        <item m="1" x="137"/>
        <item m="1" x="138"/>
        <item m="1" x="139"/>
        <item x="60"/>
        <item m="1" x="102"/>
        <item x="45"/>
        <item x="27"/>
        <item x="44"/>
        <item x="26"/>
        <item x="52"/>
        <item m="1" x="132"/>
        <item x="43"/>
        <item x="6"/>
        <item x="35"/>
        <item x="23"/>
        <item m="1" x="120"/>
        <item x="49"/>
        <item x="36"/>
        <item m="1" x="114"/>
        <item x="19"/>
        <item m="1" x="133"/>
        <item m="1" x="129"/>
        <item x="16"/>
        <item m="1" x="104"/>
        <item x="38"/>
        <item x="31"/>
        <item x="21"/>
        <item x="46"/>
        <item m="1" x="130"/>
        <item x="62"/>
        <item m="1" x="131"/>
        <item x="39"/>
        <item x="17"/>
        <item x="41"/>
        <item x="3"/>
        <item m="1" x="96"/>
        <item x="32"/>
        <item x="20"/>
        <item x="30"/>
        <item x="59"/>
        <item x="34"/>
        <item m="1" x="128"/>
        <item m="1" x="117"/>
        <item m="1" x="110"/>
        <item m="1" x="109"/>
        <item x="12"/>
        <item m="1" x="112"/>
        <item x="40"/>
        <item m="1" x="127"/>
        <item m="1" x="125"/>
        <item m="1" x="124"/>
        <item m="1" x="126"/>
        <item m="1" x="122"/>
        <item m="1" x="123"/>
        <item m="1" x="111"/>
        <item x="5"/>
        <item m="1" x="88"/>
        <item x="29"/>
        <item x="10"/>
        <item x="37"/>
        <item m="1" x="118"/>
        <item m="1" x="113"/>
        <item x="4"/>
        <item m="1" x="119"/>
        <item x="25"/>
        <item x="14"/>
        <item x="54"/>
        <item m="1" x="97"/>
        <item x="63"/>
        <item m="1" x="116"/>
        <item m="1" x="115"/>
        <item x="65"/>
        <item x="66"/>
        <item x="67"/>
        <item x="68"/>
        <item x="69"/>
        <item x="70"/>
        <item x="71"/>
        <item x="7"/>
        <item x="24"/>
        <item x="28"/>
        <item x="64"/>
        <item x="73"/>
        <item x="74"/>
        <item m="1" x="106"/>
        <item m="1" x="107"/>
        <item m="1" x="105"/>
        <item m="1" x="100"/>
        <item m="1" x="89"/>
        <item m="1" x="103"/>
        <item x="76"/>
        <item x="77"/>
        <item x="78"/>
        <item m="1" x="101"/>
        <item x="79"/>
        <item m="1" x="90"/>
        <item x="80"/>
        <item m="1" x="98"/>
        <item m="1" x="99"/>
        <item m="1" x="91"/>
        <item x="2"/>
        <item x="81"/>
        <item x="82"/>
        <item x="83"/>
        <item x="84"/>
        <item x="75"/>
        <item m="1" x="93"/>
        <item m="1" x="94"/>
        <item x="85"/>
        <item x="86"/>
        <item m="1" x="92"/>
        <item x="87"/>
        <item m="1" x="95"/>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x="9"/>
        <item x="10"/>
        <item x="11"/>
        <item h="1" x="6"/>
        <item h="1" x="4"/>
        <item h="1" x="5"/>
        <item h="1" x="3"/>
        <item h="1" x="1"/>
        <item h="1" x="0"/>
        <item t="default"/>
      </items>
    </pivotField>
    <pivotField axis="axisPage" showAll="0">
      <items count="4">
        <item x="1"/>
        <item x="0"/>
        <item m="1" x="2"/>
        <item t="default"/>
      </items>
    </pivotField>
  </pivotFields>
  <rowFields count="1">
    <field x="0"/>
  </rowFields>
  <rowItems count="44">
    <i>
      <x/>
    </i>
    <i>
      <x v="1"/>
    </i>
    <i>
      <x v="2"/>
    </i>
    <i>
      <x v="3"/>
    </i>
    <i>
      <x v="4"/>
    </i>
    <i>
      <x v="5"/>
    </i>
    <i>
      <x v="7"/>
    </i>
    <i>
      <x v="10"/>
    </i>
    <i>
      <x v="14"/>
    </i>
    <i>
      <x v="15"/>
    </i>
    <i>
      <x v="17"/>
    </i>
    <i>
      <x v="20"/>
    </i>
    <i>
      <x v="21"/>
    </i>
    <i>
      <x v="33"/>
    </i>
    <i>
      <x v="46"/>
    </i>
    <i>
      <x v="49"/>
    </i>
    <i>
      <x v="56"/>
    </i>
    <i>
      <x v="61"/>
    </i>
    <i>
      <x v="72"/>
    </i>
    <i>
      <x v="82"/>
    </i>
    <i>
      <x v="85"/>
    </i>
    <i>
      <x v="86"/>
    </i>
    <i>
      <x v="89"/>
    </i>
    <i>
      <x v="91"/>
    </i>
    <i>
      <x v="92"/>
    </i>
    <i>
      <x v="93"/>
    </i>
    <i>
      <x v="100"/>
    </i>
    <i>
      <x v="103"/>
    </i>
    <i>
      <x v="105"/>
    </i>
    <i>
      <x v="106"/>
    </i>
    <i>
      <x v="107"/>
    </i>
    <i>
      <x v="110"/>
    </i>
    <i>
      <x v="117"/>
    </i>
    <i>
      <x v="118"/>
    </i>
    <i>
      <x v="119"/>
    </i>
    <i>
      <x v="121"/>
    </i>
    <i>
      <x v="123"/>
    </i>
    <i>
      <x v="127"/>
    </i>
    <i>
      <x v="128"/>
    </i>
    <i>
      <x v="129"/>
    </i>
    <i>
      <x v="130"/>
    </i>
    <i>
      <x v="131"/>
    </i>
    <i>
      <x v="132"/>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1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59" firstHeaderRow="0" firstDataRow="1" firstDataCol="1" rowPageCount="1" colPageCount="1"/>
  <pivotFields count="22">
    <pivotField axis="axisPage" showAll="0">
      <items count="127">
        <item x="0"/>
        <item x="4"/>
        <item x="40"/>
        <item x="50"/>
        <item x="14"/>
        <item x="5"/>
        <item x="18"/>
        <item m="1" x="107"/>
        <item x="1"/>
        <item x="10"/>
        <item x="15"/>
        <item x="8"/>
        <item x="2"/>
        <item x="34"/>
        <item x="62"/>
        <item m="1" x="120"/>
        <item x="9"/>
        <item x="61"/>
        <item x="22"/>
        <item x="24"/>
        <item m="1" x="119"/>
        <item m="1" x="113"/>
        <item x="55"/>
        <item x="53"/>
        <item x="35"/>
        <item x="13"/>
        <item x="37"/>
        <item x="56"/>
        <item x="51"/>
        <item m="1" x="103"/>
        <item x="29"/>
        <item x="36"/>
        <item x="49"/>
        <item x="3"/>
        <item x="54"/>
        <item x="25"/>
        <item x="60"/>
        <item x="63"/>
        <item x="6"/>
        <item x="19"/>
        <item x="52"/>
        <item x="20"/>
        <item x="23"/>
        <item x="27"/>
        <item x="30"/>
        <item x="26"/>
        <item x="57"/>
        <item x="17"/>
        <item x="7"/>
        <item x="31"/>
        <item x="59"/>
        <item m="1" x="101"/>
        <item x="33"/>
        <item m="1" x="116"/>
        <item m="1" x="110"/>
        <item m="1" x="109"/>
        <item x="12"/>
        <item m="1" x="111"/>
        <item x="42"/>
        <item m="1" x="125"/>
        <item m="1" x="123"/>
        <item m="1" x="124"/>
        <item m="1" x="121"/>
        <item m="1" x="122"/>
        <item x="28"/>
        <item m="1" x="108"/>
        <item x="45"/>
        <item x="47"/>
        <item x="48"/>
        <item x="46"/>
        <item x="43"/>
        <item m="1" x="117"/>
        <item m="1" x="112"/>
        <item x="21"/>
        <item x="44"/>
        <item m="1" x="118"/>
        <item x="11"/>
        <item x="16"/>
        <item x="58"/>
        <item m="1" x="97"/>
        <item x="64"/>
        <item m="1" x="115"/>
        <item m="1" x="114"/>
        <item x="66"/>
        <item x="65"/>
        <item x="67"/>
        <item x="68"/>
        <item x="69"/>
        <item x="70"/>
        <item x="71"/>
        <item x="72"/>
        <item x="32"/>
        <item x="38"/>
        <item x="39"/>
        <item x="41"/>
        <item x="73"/>
        <item x="74"/>
        <item m="1" x="105"/>
        <item m="1" x="106"/>
        <item m="1" x="104"/>
        <item m="1" x="100"/>
        <item x="75"/>
        <item m="1" x="102"/>
        <item x="76"/>
        <item x="77"/>
        <item x="78"/>
        <item m="1" x="96"/>
        <item x="79"/>
        <item x="80"/>
        <item x="81"/>
        <item m="1" x="98"/>
        <item m="1" x="99"/>
        <item x="82"/>
        <item x="83"/>
        <item x="84"/>
        <item x="85"/>
        <item x="86"/>
        <item x="87"/>
        <item x="88"/>
        <item m="1" x="93"/>
        <item m="1" x="94"/>
        <item x="89"/>
        <item x="90"/>
        <item m="1" x="92"/>
        <item x="91"/>
        <item m="1" x="95"/>
        <item t="default"/>
      </items>
    </pivotField>
    <pivotField showAll="0"/>
    <pivotField showAll="0"/>
    <pivotField showAll="0"/>
    <pivotField showAll="0"/>
    <pivotField numFmtId="22" showAll="0">
      <items count="49">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t="default"/>
      </items>
    </pivotField>
    <pivotField dataField="1" showAll="0"/>
    <pivotField showAll="0"/>
    <pivotField showAll="0"/>
    <pivotField showAll="0"/>
    <pivotField showAll="0"/>
    <pivotField axis="axisRow" showAll="0" sortType="descending">
      <items count="127">
        <item x="3"/>
        <item x="4"/>
        <item x="40"/>
        <item x="50"/>
        <item x="14"/>
        <item x="5"/>
        <item x="18"/>
        <item m="1" x="107"/>
        <item x="0"/>
        <item x="10"/>
        <item x="15"/>
        <item x="8"/>
        <item x="1"/>
        <item x="34"/>
        <item x="62"/>
        <item m="1" x="120"/>
        <item x="9"/>
        <item x="61"/>
        <item x="22"/>
        <item x="24"/>
        <item m="1" x="119"/>
        <item m="1" x="113"/>
        <item x="55"/>
        <item x="53"/>
        <item x="35"/>
        <item x="13"/>
        <item x="37"/>
        <item x="56"/>
        <item x="51"/>
        <item m="1" x="103"/>
        <item x="29"/>
        <item x="36"/>
        <item x="49"/>
        <item x="2"/>
        <item x="54"/>
        <item x="25"/>
        <item x="60"/>
        <item x="63"/>
        <item x="6"/>
        <item x="19"/>
        <item x="52"/>
        <item x="20"/>
        <item x="23"/>
        <item x="27"/>
        <item x="30"/>
        <item x="26"/>
        <item x="57"/>
        <item x="17"/>
        <item x="7"/>
        <item x="31"/>
        <item x="59"/>
        <item m="1" x="101"/>
        <item x="33"/>
        <item m="1" x="116"/>
        <item m="1" x="110"/>
        <item m="1" x="109"/>
        <item x="12"/>
        <item m="1" x="111"/>
        <item x="42"/>
        <item m="1" x="125"/>
        <item m="1" x="123"/>
        <item m="1" x="124"/>
        <item m="1" x="121"/>
        <item m="1" x="122"/>
        <item x="28"/>
        <item m="1" x="108"/>
        <item x="45"/>
        <item x="47"/>
        <item x="48"/>
        <item x="46"/>
        <item x="43"/>
        <item m="1" x="117"/>
        <item m="1" x="112"/>
        <item x="21"/>
        <item x="44"/>
        <item m="1" x="118"/>
        <item x="11"/>
        <item x="16"/>
        <item x="58"/>
        <item m="1" x="97"/>
        <item x="64"/>
        <item m="1" x="115"/>
        <item m="1" x="114"/>
        <item x="65"/>
        <item x="66"/>
        <item x="67"/>
        <item x="68"/>
        <item x="69"/>
        <item x="70"/>
        <item x="71"/>
        <item x="72"/>
        <item x="32"/>
        <item x="38"/>
        <item x="39"/>
        <item x="41"/>
        <item x="73"/>
        <item x="74"/>
        <item m="1" x="105"/>
        <item m="1" x="106"/>
        <item m="1" x="104"/>
        <item m="1" x="100"/>
        <item x="75"/>
        <item m="1" x="102"/>
        <item x="76"/>
        <item x="77"/>
        <item x="78"/>
        <item m="1" x="96"/>
        <item x="79"/>
        <item x="80"/>
        <item m="1" x="98"/>
        <item x="81"/>
        <item m="1" x="99"/>
        <item x="82"/>
        <item x="83"/>
        <item x="84"/>
        <item x="85"/>
        <item x="86"/>
        <item x="87"/>
        <item x="88"/>
        <item m="1" x="94"/>
        <item x="89"/>
        <item m="1" x="93"/>
        <item x="90"/>
        <item m="1" x="92"/>
        <item x="91"/>
        <item m="1" x="95"/>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56">
    <i>
      <x v="47"/>
    </i>
    <i>
      <x v="1"/>
    </i>
    <i>
      <x v="12"/>
    </i>
    <i>
      <x v="73"/>
    </i>
    <i>
      <x v="6"/>
    </i>
    <i>
      <x v="33"/>
    </i>
    <i>
      <x v="9"/>
    </i>
    <i>
      <x v="19"/>
    </i>
    <i>
      <x v="48"/>
    </i>
    <i>
      <x v="4"/>
    </i>
    <i>
      <x v="5"/>
    </i>
    <i>
      <x v="10"/>
    </i>
    <i>
      <x v="56"/>
    </i>
    <i>
      <x v="64"/>
    </i>
    <i>
      <x v="25"/>
    </i>
    <i>
      <x v="74"/>
    </i>
    <i>
      <x v="13"/>
    </i>
    <i>
      <x v="41"/>
    </i>
    <i>
      <x v="42"/>
    </i>
    <i>
      <x v="77"/>
    </i>
    <i>
      <x v="88"/>
    </i>
    <i>
      <x v="43"/>
    </i>
    <i>
      <x v="45"/>
    </i>
    <i>
      <x v="49"/>
    </i>
    <i>
      <x v="76"/>
    </i>
    <i>
      <x v="107"/>
    </i>
    <i>
      <x/>
    </i>
    <i>
      <x v="11"/>
    </i>
    <i>
      <x v="70"/>
    </i>
    <i>
      <x v="116"/>
    </i>
    <i>
      <x v="31"/>
    </i>
    <i>
      <x v="38"/>
    </i>
    <i>
      <x v="52"/>
    </i>
    <i>
      <x v="91"/>
    </i>
    <i>
      <x v="35"/>
    </i>
    <i>
      <x v="69"/>
    </i>
    <i>
      <x v="39"/>
    </i>
    <i>
      <x v="2"/>
    </i>
    <i>
      <x v="95"/>
    </i>
    <i>
      <x v="66"/>
    </i>
    <i>
      <x v="37"/>
    </i>
    <i>
      <x v="3"/>
    </i>
    <i>
      <x v="27"/>
    </i>
    <i>
      <x v="118"/>
    </i>
    <i>
      <x v="120"/>
    </i>
    <i>
      <x v="93"/>
    </i>
    <i>
      <x v="14"/>
    </i>
    <i>
      <x v="105"/>
    </i>
    <i>
      <x v="78"/>
    </i>
    <i>
      <x v="110"/>
    </i>
    <i>
      <x v="87"/>
    </i>
    <i>
      <x v="117"/>
    </i>
    <i>
      <x v="36"/>
    </i>
    <i>
      <x v="30"/>
    </i>
    <i>
      <x v="90"/>
    </i>
    <i>
      <x v="44"/>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1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52" firstHeaderRow="1" firstDataRow="2" firstDataCol="1" rowPageCount="1" colPageCount="1"/>
  <pivotFields count="11">
    <pivotField axis="axisRow" showAll="0">
      <items count="141">
        <item x="1"/>
        <item x="8"/>
        <item x="9"/>
        <item x="11"/>
        <item x="13"/>
        <item x="15"/>
        <item m="1" x="121"/>
        <item x="42"/>
        <item x="47"/>
        <item x="48"/>
        <item x="50"/>
        <item x="51"/>
        <item x="55"/>
        <item x="56"/>
        <item x="57"/>
        <item x="58"/>
        <item x="61"/>
        <item x="0"/>
        <item m="1" x="108"/>
        <item x="72"/>
        <item x="18"/>
        <item x="33"/>
        <item x="53"/>
        <item x="22"/>
        <item m="1" x="134"/>
        <item m="1" x="135"/>
        <item m="1" x="136"/>
        <item m="1" x="137"/>
        <item m="1" x="138"/>
        <item m="1" x="139"/>
        <item x="60"/>
        <item m="1" x="102"/>
        <item x="45"/>
        <item x="27"/>
        <item x="44"/>
        <item x="26"/>
        <item x="52"/>
        <item m="1" x="132"/>
        <item x="43"/>
        <item x="6"/>
        <item x="35"/>
        <item x="23"/>
        <item m="1" x="120"/>
        <item x="49"/>
        <item x="36"/>
        <item m="1" x="114"/>
        <item x="19"/>
        <item m="1" x="133"/>
        <item m="1" x="129"/>
        <item x="16"/>
        <item m="1" x="104"/>
        <item x="38"/>
        <item x="31"/>
        <item x="21"/>
        <item x="46"/>
        <item m="1" x="130"/>
        <item x="62"/>
        <item m="1" x="131"/>
        <item x="39"/>
        <item x="17"/>
        <item x="41"/>
        <item x="3"/>
        <item m="1" x="96"/>
        <item x="32"/>
        <item x="20"/>
        <item x="30"/>
        <item x="59"/>
        <item x="34"/>
        <item m="1" x="128"/>
        <item m="1" x="117"/>
        <item m="1" x="110"/>
        <item m="1" x="109"/>
        <item x="12"/>
        <item m="1" x="112"/>
        <item x="40"/>
        <item m="1" x="127"/>
        <item m="1" x="125"/>
        <item m="1" x="124"/>
        <item m="1" x="126"/>
        <item m="1" x="122"/>
        <item m="1" x="123"/>
        <item m="1" x="111"/>
        <item x="5"/>
        <item m="1" x="88"/>
        <item x="29"/>
        <item x="10"/>
        <item x="37"/>
        <item m="1" x="118"/>
        <item m="1" x="113"/>
        <item x="4"/>
        <item m="1" x="119"/>
        <item x="25"/>
        <item x="14"/>
        <item x="54"/>
        <item m="1" x="97"/>
        <item x="63"/>
        <item m="1" x="116"/>
        <item m="1" x="115"/>
        <item x="65"/>
        <item x="66"/>
        <item x="67"/>
        <item x="68"/>
        <item x="69"/>
        <item x="70"/>
        <item x="71"/>
        <item x="7"/>
        <item x="24"/>
        <item x="28"/>
        <item x="64"/>
        <item x="73"/>
        <item x="74"/>
        <item m="1" x="106"/>
        <item m="1" x="107"/>
        <item m="1" x="105"/>
        <item m="1" x="100"/>
        <item m="1" x="89"/>
        <item m="1" x="103"/>
        <item x="76"/>
        <item x="77"/>
        <item x="78"/>
        <item m="1" x="101"/>
        <item x="79"/>
        <item m="1" x="90"/>
        <item x="80"/>
        <item m="1" x="98"/>
        <item m="1" x="99"/>
        <item m="1" x="91"/>
        <item x="2"/>
        <item x="81"/>
        <item x="82"/>
        <item x="83"/>
        <item x="84"/>
        <item x="75"/>
        <item m="1" x="93"/>
        <item m="1" x="94"/>
        <item x="85"/>
        <item x="86"/>
        <item m="1" x="92"/>
        <item x="87"/>
        <item m="1" x="95"/>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x="9"/>
        <item x="10"/>
        <item x="11"/>
        <item h="1" x="6"/>
        <item h="1" x="4"/>
        <item h="1" x="5"/>
        <item h="1" x="3"/>
        <item h="1" x="1"/>
        <item h="1" x="0"/>
        <item t="default"/>
      </items>
    </pivotField>
    <pivotField showAll="0"/>
  </pivotFields>
  <rowFields count="1">
    <field x="0"/>
  </rowFields>
  <rowItems count="47">
    <i>
      <x/>
    </i>
    <i>
      <x v="1"/>
    </i>
    <i>
      <x v="2"/>
    </i>
    <i>
      <x v="3"/>
    </i>
    <i>
      <x v="4"/>
    </i>
    <i>
      <x v="5"/>
    </i>
    <i>
      <x v="7"/>
    </i>
    <i>
      <x v="10"/>
    </i>
    <i>
      <x v="14"/>
    </i>
    <i>
      <x v="15"/>
    </i>
    <i>
      <x v="17"/>
    </i>
    <i>
      <x v="20"/>
    </i>
    <i>
      <x v="21"/>
    </i>
    <i>
      <x v="33"/>
    </i>
    <i>
      <x v="46"/>
    </i>
    <i>
      <x v="49"/>
    </i>
    <i>
      <x v="56"/>
    </i>
    <i>
      <x v="61"/>
    </i>
    <i>
      <x v="72"/>
    </i>
    <i>
      <x v="82"/>
    </i>
    <i>
      <x v="85"/>
    </i>
    <i>
      <x v="86"/>
    </i>
    <i>
      <x v="89"/>
    </i>
    <i>
      <x v="91"/>
    </i>
    <i>
      <x v="92"/>
    </i>
    <i>
      <x v="93"/>
    </i>
    <i>
      <x v="100"/>
    </i>
    <i>
      <x v="103"/>
    </i>
    <i>
      <x v="105"/>
    </i>
    <i>
      <x v="106"/>
    </i>
    <i>
      <x v="107"/>
    </i>
    <i>
      <x v="110"/>
    </i>
    <i>
      <x v="117"/>
    </i>
    <i>
      <x v="118"/>
    </i>
    <i>
      <x v="119"/>
    </i>
    <i>
      <x v="121"/>
    </i>
    <i>
      <x v="123"/>
    </i>
    <i>
      <x v="127"/>
    </i>
    <i>
      <x v="128"/>
    </i>
    <i>
      <x v="129"/>
    </i>
    <i>
      <x v="130"/>
    </i>
    <i>
      <x v="131"/>
    </i>
    <i>
      <x v="132"/>
    </i>
    <i>
      <x v="135"/>
    </i>
    <i>
      <x v="136"/>
    </i>
    <i>
      <x v="138"/>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1" s="1"/>
        <i x="2"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s="1"/>
        <i x="10" s="1"/>
        <i x="11" s="1"/>
        <i x="6" nd="1"/>
        <i x="4" nd="1"/>
        <i x="5" nd="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99" totalsRowShown="0">
  <autoFilter ref="B4:P99" xr:uid="{F63DFD6A-A871-49D3-9D52-012AE1A05CAE}">
    <filterColumn colId="8">
      <filters>
        <filter val="10"/>
        <filter val="12"/>
        <filter val="14"/>
        <filter val="16"/>
        <filter val="18"/>
        <filter val="19"/>
        <filter val="20"/>
        <filter val="22"/>
        <filter val="24"/>
        <filter val="8"/>
      </filters>
    </filterColumn>
  </autoFilter>
  <sortState xmlns:xlrd2="http://schemas.microsoft.com/office/spreadsheetml/2017/richdata2" ref="B5:P99">
    <sortCondition ref="D4:D99"/>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1717" totalsRowShown="0">
  <autoFilter ref="A1:K1717" xr:uid="{5D12F212-41F7-47F6-8D3C-5B1C2A153568}"/>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4939" tableType="queryTable" totalsRowShown="0">
  <autoFilter ref="A1:R4939" xr:uid="{DDC3A255-7CB4-4BC0-B90A-E549D2B789AF}"/>
  <tableColumns count="18">
    <tableColumn id="1" xr3:uid="{2DBF0ACE-3A4A-44E5-8ADF-F89C664005F5}" uniqueName="1" name="Player" queryTableFieldId="1" dataDxfId="11"/>
    <tableColumn id="2" xr3:uid="{E41929E9-0D07-457C-8DBC-4392C493D30E}" uniqueName="2" name="Result" queryTableFieldId="2" dataDxfId="10"/>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0"/>
    <tableColumn id="7" xr3:uid="{B4491C83-EB27-4EBF-850B-0C3D0CFCD92C}" uniqueName="7" name="Pod ID" queryTableFieldId="7" dataDxfId="9"/>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8"/>
    <tableColumn id="12" xr3:uid="{935BC677-B468-4C8F-9C07-5326743B624C}" uniqueName="12" name="Opponent" queryTableFieldId="12" dataDxfId="7"/>
    <tableColumn id="13" xr3:uid="{946B56DC-8905-459D-90F9-20709EF9401E}" uniqueName="13" name="Opponent Result" queryTableFieldId="13" dataDxfId="6"/>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99"/>
  <sheetViews>
    <sheetView tabSelected="1" zoomScaleNormal="100" workbookViewId="0">
      <selection activeCell="S15" sqref="S15"/>
    </sheetView>
  </sheetViews>
  <sheetFormatPr defaultColWidth="19.42578125" defaultRowHeight="15" x14ac:dyDescent="0.25"/>
  <cols>
    <col min="3" max="3" width="3.140625" customWidth="1"/>
    <col min="4" max="4" width="7.7109375" customWidth="1"/>
    <col min="5" max="5" width="17.42578125" style="10" customWidth="1"/>
    <col min="6" max="6" width="9.28515625" customWidth="1"/>
    <col min="7" max="7" width="8.85546875" style="4" customWidth="1"/>
    <col min="8" max="8" width="9.7109375" style="4" customWidth="1"/>
    <col min="9" max="9" width="9.28515625" customWidth="1"/>
    <col min="10" max="10" width="11.7109375" customWidth="1"/>
    <col min="11" max="14" width="19.42578125" hidden="1" customWidth="1"/>
    <col min="15" max="15" width="19.42578125" style="4" hidden="1" customWidth="1"/>
    <col min="16" max="16" width="19.42578125" hidden="1" customWidth="1"/>
  </cols>
  <sheetData>
    <row r="1" spans="2:16" ht="247.5" customHeight="1" x14ac:dyDescent="0.25"/>
    <row r="4" spans="2:16" x14ac:dyDescent="0.2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25">
      <c r="B5" s="3" t="s">
        <v>11</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0.42</v>
      </c>
      <c r="F5" s="8">
        <f>IF(View_Table[[#This Row],[Games]]=0,0,(View_Table[[#This Row],[Wins]] + (View_Table[[#This Row],[Draws]] * 0.25))/View_Table[[#This Row],[Games]])</f>
        <v>0.5535714285714286</v>
      </c>
      <c r="G5" s="5">
        <f>IFERROR(
    GETPIVOTDATA(
        "Result",
        'Pivot Table'!$A$3,
        "Player",View_Table[[#This Row],[Player]],
        "Result","Win"
    ),
    0
)</f>
        <v>7</v>
      </c>
      <c r="H5" s="5">
        <f>IFERROR(
    GETPIVOTDATA(
        "Result",
        'Pivot Table'!$A$3,
        "Player",View_Table[[#This Row],[Player]],
        "Result","Loss"
    ),
    0
)</f>
        <v>4</v>
      </c>
      <c r="I5" s="5">
        <f>IFERROR(
    GETPIVOTDATA(
        "Result",
        'Pivot Table'!$A$3,
        "Player",View_Table[[#This Row],[Player]],
        "Result","Draw"
    ),
    0
)</f>
        <v>3</v>
      </c>
      <c r="J5" s="5">
        <f>View_Table[[#This Row],[Wins]]+View_Table[[#This Row],[Losses]]+View_Table[[#This Row],[Draws]]</f>
        <v>14</v>
      </c>
      <c r="K5" s="5">
        <f>IFERROR(
    GETPIVOTDATA(
        "Result",
        'Pivot Table Previous'!$A$3,
        "Player",View_Table[[#This Row],[Player]],
        "Result","Win"
    ),
    0
)</f>
        <v>7</v>
      </c>
      <c r="L5" s="5">
        <f>IFERROR(
    GETPIVOTDATA(
        "Result",
        'Pivot Table Previous'!$A$3,
        "Player",View_Table[[#This Row],[Player]],
        "Result","Loss"
    ),
    0
)</f>
        <v>4</v>
      </c>
      <c r="M5" s="5">
        <f>IFERROR(
    GETPIVOTDATA(
        "Result",
        'Pivot Table Previous'!$A$3,
        "Player",View_Table[[#This Row],[Player]],
        "Result","Draw"
    ),
    0
)</f>
        <v>3</v>
      </c>
      <c r="N5" s="5">
        <f>View_Table[[#This Row],[Wins Previous]]+View_Table[[#This Row],[Losses Previous]]+View_Table[[#This Row],[Draws Previous]]</f>
        <v>14</v>
      </c>
      <c r="O5" s="9">
        <f>_xlfn.LET(_xlpm.g,View_Table[[#This Row],[Games Previous]], _xlpm.w,(View_Table[[#This Row],[Wins Previous]] + View_Table[[#This Row],[Draws Previous]] * 0.25), _xlpm.fake, MAX(0,25-_xlpm.g), IF(_xlpm.g=0,0,(_xlpm.w + _xlpm.fake*0.25)/(_xlpm.g + _xlpm.fake)))</f>
        <v>0.42</v>
      </c>
      <c r="P5" s="7">
        <f>IF(View_Table[[#This Row],[Games Previous]]=0,
    View_Table[[#This Row],[Rank]],
    _xlfn.RANK.EQ(View_Table[[#This Row],[Weighted Win% Previous]], View_Table[Weighted Win% Previous], 0)
)</f>
        <v>1</v>
      </c>
    </row>
    <row r="6" spans="2:16" x14ac:dyDescent="0.25">
      <c r="B6" s="3" t="s">
        <v>19</v>
      </c>
      <c r="C6" s="6">
        <f>View_Table[[#This Row],[Rank Previous]]-View_Table[[#This Row],[Rank]]</f>
        <v>0</v>
      </c>
      <c r="D6" s="7">
        <f>_xlfn.RANK.EQ(View_Table[[#This Row],[Weighted Win%]], View_Table[Weighted Win%], 0)</f>
        <v>2</v>
      </c>
      <c r="E6" s="9">
        <f>_xlfn.LET(_xlpm.g,View_Table[[#This Row],[Games]], _xlpm.w,(View_Table[[#This Row],[Wins]] + View_Table[[#This Row],[Draws]] * 0.25), _xlpm.fake, MAX(0,25-_xlpm.g), IF(_xlpm.g=0,0,(_xlpm.w + _xlpm.fake*0.25)/(_xlpm.g + _xlpm.fake)))</f>
        <v>0.4</v>
      </c>
      <c r="F6" s="8">
        <f>IF(View_Table[[#This Row],[Games]]=0,0,(View_Table[[#This Row],[Wins]] + (View_Table[[#This Row],[Draws]] * 0.25))/View_Table[[#This Row],[Games]])</f>
        <v>0.4375</v>
      </c>
      <c r="G6" s="5">
        <f>IFERROR(
    GETPIVOTDATA(
        "Result",
        'Pivot Table'!$A$3,
        "Player",View_Table[[#This Row],[Player]],
        "Result","Win"
    ),
    0
)</f>
        <v>8</v>
      </c>
      <c r="H6" s="5">
        <f>IFERROR(
    GETPIVOTDATA(
        "Result",
        'Pivot Table'!$A$3,
        "Player",View_Table[[#This Row],[Player]],
        "Result","Loss"
    ),
    0
)</f>
        <v>9</v>
      </c>
      <c r="I6" s="5">
        <f>IFERROR(
    GETPIVOTDATA(
        "Result",
        'Pivot Table'!$A$3,
        "Player",View_Table[[#This Row],[Player]],
        "Result","Draw"
    ),
    0
)</f>
        <v>3</v>
      </c>
      <c r="J6" s="5">
        <f>View_Table[[#This Row],[Wins]]+View_Table[[#This Row],[Losses]]+View_Table[[#This Row],[Draws]]</f>
        <v>20</v>
      </c>
      <c r="K6" s="5">
        <f>IFERROR(
    GETPIVOTDATA(
        "Result",
        'Pivot Table Previous'!$A$3,
        "Player",View_Table[[#This Row],[Player]],
        "Result","Win"
    ),
    0
)</f>
        <v>7</v>
      </c>
      <c r="L6" s="5">
        <f>IFERROR(
    GETPIVOTDATA(
        "Result",
        'Pivot Table Previous'!$A$3,
        "Player",View_Table[[#This Row],[Player]],
        "Result","Loss"
    ),
    0
)</f>
        <v>8</v>
      </c>
      <c r="M6" s="5">
        <f>IFERROR(
    GETPIVOTDATA(
        "Result",
        'Pivot Table Previous'!$A$3,
        "Player",View_Table[[#This Row],[Player]],
        "Result","Draw"
    ),
    0
)</f>
        <v>3</v>
      </c>
      <c r="N6" s="5">
        <f>View_Table[[#This Row],[Wins Previous]]+View_Table[[#This Row],[Losses Previous]]+View_Table[[#This Row],[Draws Previous]]</f>
        <v>18</v>
      </c>
      <c r="O6" s="9">
        <f>_xlfn.LET(_xlpm.g,View_Table[[#This Row],[Games Previous]], _xlpm.w,(View_Table[[#This Row],[Wins Previous]] + View_Table[[#This Row],[Draws Previous]] * 0.25), _xlpm.fake, MAX(0,25-_xlpm.g), IF(_xlpm.g=0,0,(_xlpm.w + _xlpm.fake*0.25)/(_xlpm.g + _xlpm.fake)))</f>
        <v>0.38</v>
      </c>
      <c r="P6" s="7">
        <f>IF(View_Table[[#This Row],[Games Previous]]=0,
    View_Table[[#This Row],[Rank]],
    _xlfn.RANK.EQ(View_Table[[#This Row],[Weighted Win% Previous]], View_Table[Weighted Win% Previous], 0)
)</f>
        <v>2</v>
      </c>
    </row>
    <row r="7" spans="2:16" x14ac:dyDescent="0.25">
      <c r="B7" s="3" t="s">
        <v>13</v>
      </c>
      <c r="C7" s="6">
        <f>View_Table[[#This Row],[Rank Previous]]-View_Table[[#This Row],[Rank]]</f>
        <v>1</v>
      </c>
      <c r="D7" s="7">
        <f>_xlfn.RANK.EQ(View_Table[[#This Row],[Weighted Win%]], View_Table[Weighted Win%], 0)</f>
        <v>3</v>
      </c>
      <c r="E7" s="9">
        <f>_xlfn.LET(_xlpm.g,View_Table[[#This Row],[Games]], _xlpm.w,(View_Table[[#This Row],[Wins]] + View_Table[[#This Row],[Draws]] * 0.25), _xlpm.fake, MAX(0,25-_xlpm.g), IF(_xlpm.g=0,0,(_xlpm.w + _xlpm.fake*0.25)/(_xlpm.g + _xlpm.fake)))</f>
        <v>0.38</v>
      </c>
      <c r="F7" s="8">
        <f>IF(View_Table[[#This Row],[Games]]=0,0,(View_Table[[#This Row],[Wins]] + (View_Table[[#This Row],[Draws]] * 0.25))/View_Table[[#This Row],[Games]])</f>
        <v>0.42105263157894735</v>
      </c>
      <c r="G7" s="5">
        <f>IFERROR(
    GETPIVOTDATA(
        "Result",
        'Pivot Table'!$A$3,
        "Player",View_Table[[#This Row],[Player]],
        "Result","Win"
    ),
    0
)</f>
        <v>7</v>
      </c>
      <c r="H7" s="5">
        <f>IFERROR(
    GETPIVOTDATA(
        "Result",
        'Pivot Table'!$A$3,
        "Player",View_Table[[#This Row],[Player]],
        "Result","Loss"
    ),
    0
)</f>
        <v>8</v>
      </c>
      <c r="I7" s="5">
        <f>IFERROR(
    GETPIVOTDATA(
        "Result",
        'Pivot Table'!$A$3,
        "Player",View_Table[[#This Row],[Player]],
        "Result","Draw"
    ),
    0
)</f>
        <v>4</v>
      </c>
      <c r="J7" s="5">
        <f>View_Table[[#This Row],[Wins]]+View_Table[[#This Row],[Losses]]+View_Table[[#This Row],[Draws]]</f>
        <v>19</v>
      </c>
      <c r="K7" s="5">
        <f>IFERROR(
    GETPIVOTDATA(
        "Result",
        'Pivot Table Previous'!$A$3,
        "Player",View_Table[[#This Row],[Player]],
        "Result","Win"
    ),
    0
)</f>
        <v>6</v>
      </c>
      <c r="L7" s="5">
        <f>IFERROR(
    GETPIVOTDATA(
        "Result",
        'Pivot Table Previous'!$A$3,
        "Player",View_Table[[#This Row],[Player]],
        "Result","Loss"
    ),
    0
)</f>
        <v>8</v>
      </c>
      <c r="M7" s="5">
        <f>IFERROR(
    GETPIVOTDATA(
        "Result",
        'Pivot Table Previous'!$A$3,
        "Player",View_Table[[#This Row],[Player]],
        "Result","Draw"
    ),
    0
)</f>
        <v>4</v>
      </c>
      <c r="N7" s="5">
        <f>View_Table[[#This Row],[Wins Previous]]+View_Table[[#This Row],[Losses Previous]]+View_Table[[#This Row],[Draws Previous]]</f>
        <v>18</v>
      </c>
      <c r="O7" s="9">
        <f>_xlfn.LET(_xlpm.g,View_Table[[#This Row],[Games Previous]], _xlpm.w,(View_Table[[#This Row],[Wins Previous]] + View_Table[[#This Row],[Draws Previous]] * 0.25), _xlpm.fake, MAX(0,25-_xlpm.g), IF(_xlpm.g=0,0,(_xlpm.w + _xlpm.fake*0.25)/(_xlpm.g + _xlpm.fake)))</f>
        <v>0.35</v>
      </c>
      <c r="P7" s="7">
        <f>IF(View_Table[[#This Row],[Games Previous]]=0,
    View_Table[[#This Row],[Rank]],
    _xlfn.RANK.EQ(View_Table[[#This Row],[Weighted Win% Previous]], View_Table[Weighted Win% Previous], 0)
)</f>
        <v>4</v>
      </c>
    </row>
    <row r="8" spans="2:16" hidden="1" x14ac:dyDescent="0.25">
      <c r="B8" s="3" t="s">
        <v>434</v>
      </c>
      <c r="C8" s="6">
        <f>View_Table[[#This Row],[Rank Previous]]-View_Table[[#This Row],[Rank]]</f>
        <v>1</v>
      </c>
      <c r="D8" s="7">
        <f>_xlfn.RANK.EQ(View_Table[[#This Row],[Weighted Win%]], View_Table[Weighted Win%], 0)</f>
        <v>7</v>
      </c>
      <c r="E8" s="9">
        <f>_xlfn.LET(_xlpm.g,View_Table[[#This Row],[Games]], _xlpm.w,(View_Table[[#This Row],[Wins]] + View_Table[[#This Row],[Draws]] * 0.25), _xlpm.fake, MAX(0,25-_xlpm.g), IF(_xlpm.g=0,0,(_xlpm.w + _xlpm.fake*0.25)/(_xlpm.g + _xlpm.fake)))</f>
        <v>0.31</v>
      </c>
      <c r="F8" s="8">
        <f>IF(View_Table[[#This Row],[Games]]=0,0,(View_Table[[#This Row],[Wins]] + (View_Table[[#This Row],[Draws]] * 0.25))/View_Table[[#This Row],[Games]])</f>
        <v>1</v>
      </c>
      <c r="G8" s="5">
        <f>IFERROR(
    GETPIVOTDATA(
        "Result",
        'Pivot Table'!$A$3,
        "Player",View_Table[[#This Row],[Player]],
        "Result","Win"
    ),
    0
)</f>
        <v>2</v>
      </c>
      <c r="H8" s="5">
        <f>IFERROR(
    GETPIVOTDATA(
        "Result",
        'Pivot Table'!$A$3,
        "Player",View_Table[[#This Row],[Player]],
        "Result","Loss"
    ),
    0
)</f>
        <v>0</v>
      </c>
      <c r="I8" s="5">
        <f>IFERROR(
    GETPIVOTDATA(
        "Result",
        'Pivot Table'!$A$3,
        "Player",View_Table[[#This Row],[Player]],
        "Result","Draw"
    ),
    0
)</f>
        <v>0</v>
      </c>
      <c r="J8" s="5">
        <f>View_Table[[#This Row],[Wins]]+View_Table[[#This Row],[Losses]]+View_Table[[#This Row],[Draws]]</f>
        <v>2</v>
      </c>
      <c r="K8" s="7">
        <f>IFERROR(
    GETPIVOTDATA(
        "Result",
        'Pivot Table Previous'!$A$3,
        "Player",View_Table[[#This Row],[Player]],
        "Result","Win"
    ),
    0
)</f>
        <v>2</v>
      </c>
      <c r="L8" s="5">
        <f>IFERROR(
    GETPIVOTDATA(
        "Result",
        'Pivot Table Previous'!$A$3,
        "Player",View_Table[[#This Row],[Player]],
        "Result","Loss"
    ),
    0
)</f>
        <v>0</v>
      </c>
      <c r="M8" s="5">
        <f>IFERROR(
    GETPIVOTDATA(
        "Result",
        'Pivot Table Previous'!$A$3,
        "Player",View_Table[[#This Row],[Player]],
        "Result","Draw"
    ),
    0
)</f>
        <v>0</v>
      </c>
      <c r="N8" s="5">
        <f>View_Table[[#This Row],[Wins Previous]]+View_Table[[#This Row],[Losses Previous]]+View_Table[[#This Row],[Draws Previous]]</f>
        <v>2</v>
      </c>
      <c r="O8" s="9">
        <f>_xlfn.LET(_xlpm.g,View_Table[[#This Row],[Games Previous]], _xlpm.w,(View_Table[[#This Row],[Wins Previous]] + View_Table[[#This Row],[Draws Previous]] * 0.25), _xlpm.fake, MAX(0,25-_xlpm.g), IF(_xlpm.g=0,0,(_xlpm.w + _xlpm.fake*0.25)/(_xlpm.g + _xlpm.fake)))</f>
        <v>0.31</v>
      </c>
      <c r="P8" s="7">
        <f>_xlfn.RANK.EQ(View_Table[[#This Row],[Weighted Win% Previous]], View_Table[Weighted Win% Previous], 0)</f>
        <v>8</v>
      </c>
    </row>
    <row r="9" spans="2:16" x14ac:dyDescent="0.25">
      <c r="B9" s="3" t="s">
        <v>7</v>
      </c>
      <c r="C9" s="6">
        <f>View_Table[[#This Row],[Rank Previous]]-View_Table[[#This Row],[Rank]]</f>
        <v>-2</v>
      </c>
      <c r="D9" s="7">
        <f>_xlfn.RANK.EQ(View_Table[[#This Row],[Weighted Win%]], View_Table[Weighted Win%], 0)</f>
        <v>4</v>
      </c>
      <c r="E9" s="9">
        <f>_xlfn.LET(_xlpm.g,View_Table[[#This Row],[Games]], _xlpm.w,(View_Table[[#This Row],[Wins]] + View_Table[[#This Row],[Draws]] * 0.25), _xlpm.fake, MAX(0,25-_xlpm.g), IF(_xlpm.g=0,0,(_xlpm.w + _xlpm.fake*0.25)/(_xlpm.g + _xlpm.fake)))</f>
        <v>0.36</v>
      </c>
      <c r="F9" s="8">
        <f>IF(View_Table[[#This Row],[Games]]=0,0,(View_Table[[#This Row],[Wins]] + (View_Table[[#This Row],[Draws]] * 0.25))/View_Table[[#This Row],[Games]])</f>
        <v>0.36458333333333331</v>
      </c>
      <c r="G9" s="5">
        <f>IFERROR(
    GETPIVOTDATA(
        "Result",
        'Pivot Table'!$A$3,
        "Player",View_Table[[#This Row],[Player]],
        "Result","Win"
    ),
    0
)</f>
        <v>7</v>
      </c>
      <c r="H9" s="5">
        <f>IFERROR(
    GETPIVOTDATA(
        "Result",
        'Pivot Table'!$A$3,
        "Player",View_Table[[#This Row],[Player]],
        "Result","Loss"
    ),
    0
)</f>
        <v>10</v>
      </c>
      <c r="I9" s="5">
        <f>IFERROR(
    GETPIVOTDATA(
        "Result",
        'Pivot Table'!$A$3,
        "Player",View_Table[[#This Row],[Player]],
        "Result","Draw"
    ),
    0
)</f>
        <v>7</v>
      </c>
      <c r="J9" s="5">
        <f>View_Table[[#This Row],[Wins]]+View_Table[[#This Row],[Losses]]+View_Table[[#This Row],[Draws]]</f>
        <v>24</v>
      </c>
      <c r="K9" s="5">
        <f>IFERROR(
    GETPIVOTDATA(
        "Result",
        'Pivot Table Previous'!$A$3,
        "Player",View_Table[[#This Row],[Player]],
        "Result","Win"
    ),
    0
)</f>
        <v>7</v>
      </c>
      <c r="L9" s="5">
        <f>IFERROR(
    GETPIVOTDATA(
        "Result",
        'Pivot Table Previous'!$A$3,
        "Player",View_Table[[#This Row],[Player]],
        "Result","Loss"
    ),
    0
)</f>
        <v>8</v>
      </c>
      <c r="M9" s="5">
        <f>IFERROR(
    GETPIVOTDATA(
        "Result",
        'Pivot Table Previous'!$A$3,
        "Player",View_Table[[#This Row],[Player]],
        "Result","Draw"
    ),
    0
)</f>
        <v>7</v>
      </c>
      <c r="N9" s="5">
        <f>View_Table[[#This Row],[Wins Previous]]+View_Table[[#This Row],[Losses Previous]]+View_Table[[#This Row],[Draws Previous]]</f>
        <v>22</v>
      </c>
      <c r="O9" s="9">
        <f>_xlfn.LET(_xlpm.g,View_Table[[#This Row],[Games Previous]], _xlpm.w,(View_Table[[#This Row],[Wins Previous]] + View_Table[[#This Row],[Draws Previous]] * 0.25), _xlpm.fake, MAX(0,25-_xlpm.g), IF(_xlpm.g=0,0,(_xlpm.w + _xlpm.fake*0.25)/(_xlpm.g + _xlpm.fake)))</f>
        <v>0.38</v>
      </c>
      <c r="P9" s="7">
        <f>IF(View_Table[[#This Row],[Games Previous]]=0,
    View_Table[[#This Row],[Rank]],
    _xlfn.RANK.EQ(View_Table[[#This Row],[Weighted Win% Previous]], View_Table[Weighted Win% Previous], 0)
)</f>
        <v>2</v>
      </c>
    </row>
    <row r="10" spans="2:16" x14ac:dyDescent="0.25">
      <c r="B10" s="3" t="s">
        <v>352</v>
      </c>
      <c r="C10" s="6">
        <f>View_Table[[#This Row],[Rank Previous]]-View_Table[[#This Row],[Rank]]</f>
        <v>1</v>
      </c>
      <c r="D10" s="7">
        <f>_xlfn.RANK.EQ(View_Table[[#This Row],[Weighted Win%]], View_Table[Weighted Win%], 0)</f>
        <v>5</v>
      </c>
      <c r="E10" s="9">
        <f>_xlfn.LET(_xlpm.g,View_Table[[#This Row],[Games]], _xlpm.w,(View_Table[[#This Row],[Wins]] + View_Table[[#This Row],[Draws]] * 0.25), _xlpm.fake, MAX(0,25-_xlpm.g), IF(_xlpm.g=0,0,(_xlpm.w + _xlpm.fake*0.25)/(_xlpm.g + _xlpm.fake)))</f>
        <v>0.35</v>
      </c>
      <c r="F10" s="8">
        <f>IF(View_Table[[#This Row],[Games]]=0,0,(View_Table[[#This Row],[Wins]] + (View_Table[[#This Row],[Draws]] * 0.25))/View_Table[[#This Row],[Games]])</f>
        <v>0.35416666666666669</v>
      </c>
      <c r="G10" s="5">
        <f>IFERROR(
    GETPIVOTDATA(
        "Result",
        'Pivot Table'!$A$3,
        "Player",View_Table[[#This Row],[Player]],
        "Result","Win"
    ),
    0
)</f>
        <v>7</v>
      </c>
      <c r="H10" s="5">
        <f>IFERROR(
    GETPIVOTDATA(
        "Result",
        'Pivot Table'!$A$3,
        "Player",View_Table[[#This Row],[Player]],
        "Result","Loss"
    ),
    0
)</f>
        <v>11</v>
      </c>
      <c r="I10" s="5">
        <f>IFERROR(
    GETPIVOTDATA(
        "Result",
        'Pivot Table'!$A$3,
        "Player",View_Table[[#This Row],[Player]],
        "Result","Draw"
    ),
    0
)</f>
        <v>6</v>
      </c>
      <c r="J10" s="5">
        <f>View_Table[[#This Row],[Wins]]+View_Table[[#This Row],[Losses]]+View_Table[[#This Row],[Draws]]</f>
        <v>24</v>
      </c>
      <c r="K10" s="7">
        <f>IFERROR(
    GETPIVOTDATA(
        "Result",
        'Pivot Table Previous'!$A$3,
        "Player",View_Table[[#This Row],[Player]],
        "Result","Win"
    ),
    0
)</f>
        <v>6</v>
      </c>
      <c r="L10" s="5">
        <f>IFERROR(
    GETPIVOTDATA(
        "Result",
        'Pivot Table Previous'!$A$3,
        "Player",View_Table[[#This Row],[Player]],
        "Result","Loss"
    ),
    0
)</f>
        <v>11</v>
      </c>
      <c r="M10" s="5">
        <f>IFERROR(
    GETPIVOTDATA(
        "Result",
        'Pivot Table Previous'!$A$3,
        "Player",View_Table[[#This Row],[Player]],
        "Result","Draw"
    ),
    0
)</f>
        <v>5</v>
      </c>
      <c r="N10" s="5">
        <f>View_Table[[#This Row],[Wins Previous]]+View_Table[[#This Row],[Losses Previous]]+View_Table[[#This Row],[Draws Previous]]</f>
        <v>22</v>
      </c>
      <c r="O10" s="9">
        <f>_xlfn.LET(_xlpm.g,View_Table[[#This Row],[Games Previous]], _xlpm.w,(View_Table[[#This Row],[Wins Previous]] + View_Table[[#This Row],[Draws Previous]] * 0.25), _xlpm.fake, MAX(0,25-_xlpm.g), IF(_xlpm.g=0,0,(_xlpm.w + _xlpm.fake*0.25)/(_xlpm.g + _xlpm.fake)))</f>
        <v>0.32</v>
      </c>
      <c r="P10" s="7">
        <f>_xlfn.RANK.EQ(View_Table[[#This Row],[Weighted Win% Previous]], View_Table[Weighted Win% Previous], 0)</f>
        <v>6</v>
      </c>
    </row>
    <row r="11" spans="2:16" x14ac:dyDescent="0.25">
      <c r="B11" s="3" t="s">
        <v>436</v>
      </c>
      <c r="C11" s="6">
        <f>View_Table[[#This Row],[Rank Previous]]-View_Table[[#This Row],[Rank]]</f>
        <v>-1</v>
      </c>
      <c r="D11" s="7">
        <f>_xlfn.RANK.EQ(View_Table[[#This Row],[Weighted Win%]], View_Table[Weighted Win%], 0)</f>
        <v>6</v>
      </c>
      <c r="E11" s="9">
        <f>_xlfn.LET(_xlpm.g,View_Table[[#This Row],[Games]], _xlpm.w,(View_Table[[#This Row],[Wins]] + View_Table[[#This Row],[Draws]] * 0.25), _xlpm.fake, MAX(0,25-_xlpm.g), IF(_xlpm.g=0,0,(_xlpm.w + _xlpm.fake*0.25)/(_xlpm.g + _xlpm.fake)))</f>
        <v>0.33</v>
      </c>
      <c r="F11" s="8">
        <f>IF(View_Table[[#This Row],[Games]]=0,0,(View_Table[[#This Row],[Wins]] + (View_Table[[#This Row],[Draws]] * 0.25))/View_Table[[#This Row],[Games]])</f>
        <v>0.45</v>
      </c>
      <c r="G11" s="5">
        <f>IFERROR(
    GETPIVOTDATA(
        "Result",
        'Pivot Table'!$A$3,
        "Player",View_Table[[#This Row],[Player]],
        "Result","Win"
    ),
    0
)</f>
        <v>4</v>
      </c>
      <c r="H11" s="5">
        <f>IFERROR(
    GETPIVOTDATA(
        "Result",
        'Pivot Table'!$A$3,
        "Player",View_Table[[#This Row],[Player]],
        "Result","Loss"
    ),
    0
)</f>
        <v>4</v>
      </c>
      <c r="I11" s="5">
        <f>IFERROR(
    GETPIVOTDATA(
        "Result",
        'Pivot Table'!$A$3,
        "Player",View_Table[[#This Row],[Player]],
        "Result","Draw"
    ),
    0
)</f>
        <v>2</v>
      </c>
      <c r="J11" s="5">
        <f>View_Table[[#This Row],[Wins]]+View_Table[[#This Row],[Losses]]+View_Table[[#This Row],[Draws]]</f>
        <v>10</v>
      </c>
      <c r="K11" s="7">
        <f>IFERROR(
    GETPIVOTDATA(
        "Result",
        'Pivot Table Previous'!$A$3,
        "Player",View_Table[[#This Row],[Player]],
        "Result","Win"
    ),
    0
)</f>
        <v>4</v>
      </c>
      <c r="L11" s="5">
        <f>IFERROR(
    GETPIVOTDATA(
        "Result",
        'Pivot Table Previous'!$A$3,
        "Player",View_Table[[#This Row],[Player]],
        "Result","Loss"
    ),
    0
)</f>
        <v>4</v>
      </c>
      <c r="M11" s="5">
        <f>IFERROR(
    GETPIVOTDATA(
        "Result",
        'Pivot Table Previous'!$A$3,
        "Player",View_Table[[#This Row],[Player]],
        "Result","Draw"
    ),
    0
)</f>
        <v>2</v>
      </c>
      <c r="N11" s="5">
        <f>View_Table[[#This Row],[Wins Previous]]+View_Table[[#This Row],[Losses Previous]]+View_Table[[#This Row],[Draws Previous]]</f>
        <v>10</v>
      </c>
      <c r="O11" s="9">
        <f>_xlfn.LET(_xlpm.g,View_Table[[#This Row],[Games Previous]], _xlpm.w,(View_Table[[#This Row],[Wins Previous]] + View_Table[[#This Row],[Draws Previous]] * 0.25), _xlpm.fake, MAX(0,25-_xlpm.g), IF(_xlpm.g=0,0,(_xlpm.w + _xlpm.fake*0.25)/(_xlpm.g + _xlpm.fake)))</f>
        <v>0.33</v>
      </c>
      <c r="P11" s="7">
        <f>_xlfn.RANK.EQ(View_Table[[#This Row],[Weighted Win% Previous]], View_Table[Weighted Win% Previous], 0)</f>
        <v>5</v>
      </c>
    </row>
    <row r="12" spans="2:16" x14ac:dyDescent="0.25">
      <c r="B12" s="3" t="s">
        <v>326</v>
      </c>
      <c r="C12" s="6">
        <f>View_Table[[#This Row],[Rank Previous]]-View_Table[[#This Row],[Rank]]</f>
        <v>-1</v>
      </c>
      <c r="D12" s="7">
        <f>_xlfn.RANK.EQ(View_Table[[#This Row],[Weighted Win%]], View_Table[Weighted Win%], 0)</f>
        <v>7</v>
      </c>
      <c r="E12" s="9">
        <f>_xlfn.LET(_xlpm.g,View_Table[[#This Row],[Games]], _xlpm.w,(View_Table[[#This Row],[Wins]] + View_Table[[#This Row],[Draws]] * 0.25), _xlpm.fake, MAX(0,25-_xlpm.g), IF(_xlpm.g=0,0,(_xlpm.w + _xlpm.fake*0.25)/(_xlpm.g + _xlpm.fake)))</f>
        <v>0.31</v>
      </c>
      <c r="F12" s="8">
        <f>IF(View_Table[[#This Row],[Games]]=0,0,(View_Table[[#This Row],[Wins]] + (View_Table[[#This Row],[Draws]] * 0.25))/View_Table[[#This Row],[Games]])</f>
        <v>0.4375</v>
      </c>
      <c r="G12" s="5">
        <f>IFERROR(
    GETPIVOTDATA(
        "Result",
        'Pivot Table'!$A$3,
        "Player",View_Table[[#This Row],[Player]],
        "Result","Win"
    ),
    0
)</f>
        <v>3</v>
      </c>
      <c r="H12" s="5">
        <f>IFERROR(
    GETPIVOTDATA(
        "Result",
        'Pivot Table'!$A$3,
        "Player",View_Table[[#This Row],[Player]],
        "Result","Loss"
    ),
    0
)</f>
        <v>3</v>
      </c>
      <c r="I12" s="5">
        <f>IFERROR(
    GETPIVOTDATA(
        "Result",
        'Pivot Table'!$A$3,
        "Player",View_Table[[#This Row],[Player]],
        "Result","Draw"
    ),
    0
)</f>
        <v>2</v>
      </c>
      <c r="J12" s="5">
        <f>View_Table[[#This Row],[Wins]]+View_Table[[#This Row],[Losses]]+View_Table[[#This Row],[Draws]]</f>
        <v>8</v>
      </c>
      <c r="K12" s="7">
        <f>IFERROR(
    GETPIVOTDATA(
        "Result",
        'Pivot Table Previous'!$A$3,
        "Player",View_Table[[#This Row],[Player]],
        "Result","Win"
    ),
    0
)</f>
        <v>3</v>
      </c>
      <c r="L12" s="5">
        <f>IFERROR(
    GETPIVOTDATA(
        "Result",
        'Pivot Table Previous'!$A$3,
        "Player",View_Table[[#This Row],[Player]],
        "Result","Loss"
    ),
    0
)</f>
        <v>2</v>
      </c>
      <c r="M12" s="5">
        <f>IFERROR(
    GETPIVOTDATA(
        "Result",
        'Pivot Table Previous'!$A$3,
        "Player",View_Table[[#This Row],[Player]],
        "Result","Draw"
    ),
    0
)</f>
        <v>1</v>
      </c>
      <c r="N12" s="5">
        <f>View_Table[[#This Row],[Wins Previous]]+View_Table[[#This Row],[Losses Previous]]+View_Table[[#This Row],[Draws Previous]]</f>
        <v>6</v>
      </c>
      <c r="O12" s="9">
        <f>_xlfn.LET(_xlpm.g,View_Table[[#This Row],[Games Previous]], _xlpm.w,(View_Table[[#This Row],[Wins Previous]] + View_Table[[#This Row],[Draws Previous]] * 0.25), _xlpm.fake, MAX(0,25-_xlpm.g), IF(_xlpm.g=0,0,(_xlpm.w + _xlpm.fake*0.25)/(_xlpm.g + _xlpm.fake)))</f>
        <v>0.32</v>
      </c>
      <c r="P12" s="7">
        <f>_xlfn.RANK.EQ(View_Table[[#This Row],[Weighted Win% Previous]], View_Table[Weighted Win% Previous], 0)</f>
        <v>6</v>
      </c>
    </row>
    <row r="13" spans="2:16" x14ac:dyDescent="0.25">
      <c r="B13" s="3" t="s">
        <v>405</v>
      </c>
      <c r="C13" s="6">
        <f>View_Table[[#This Row],[Rank Previous]]-View_Table[[#This Row],[Rank]]</f>
        <v>-1</v>
      </c>
      <c r="D13" s="7">
        <f>_xlfn.RANK.EQ(View_Table[[#This Row],[Weighted Win%]], View_Table[Weighted Win%], 0)</f>
        <v>9</v>
      </c>
      <c r="E13" s="9">
        <f>_xlfn.LET(_xlpm.g,View_Table[[#This Row],[Games]], _xlpm.w,(View_Table[[#This Row],[Wins]] + View_Table[[#This Row],[Draws]] * 0.25), _xlpm.fake, MAX(0,25-_xlpm.g), IF(_xlpm.g=0,0,(_xlpm.w + _xlpm.fake*0.25)/(_xlpm.g + _xlpm.fake)))</f>
        <v>0.3</v>
      </c>
      <c r="F13" s="8">
        <f>IF(View_Table[[#This Row],[Games]]=0,0,(View_Table[[#This Row],[Wins]] + (View_Table[[#This Row],[Draws]] * 0.25))/View_Table[[#This Row],[Games]])</f>
        <v>0.3125</v>
      </c>
      <c r="G13" s="5">
        <f>IFERROR(
    GETPIVOTDATA(
        "Result",
        'Pivot Table'!$A$3,
        "Player",View_Table[[#This Row],[Player]],
        "Result","Win"
    ),
    0
)</f>
        <v>5</v>
      </c>
      <c r="H13" s="5">
        <f>IFERROR(
    GETPIVOTDATA(
        "Result",
        'Pivot Table'!$A$3,
        "Player",View_Table[[#This Row],[Player]],
        "Result","Loss"
    ),
    0
)</f>
        <v>10</v>
      </c>
      <c r="I13" s="5">
        <f>IFERROR(
    GETPIVOTDATA(
        "Result",
        'Pivot Table'!$A$3,
        "Player",View_Table[[#This Row],[Player]],
        "Result","Draw"
    ),
    0
)</f>
        <v>5</v>
      </c>
      <c r="J13" s="5">
        <f>View_Table[[#This Row],[Wins]]+View_Table[[#This Row],[Losses]]+View_Table[[#This Row],[Draws]]</f>
        <v>20</v>
      </c>
      <c r="K13" s="7">
        <f>IFERROR(
    GETPIVOTDATA(
        "Result",
        'Pivot Table Previous'!$A$3,
        "Player",View_Table[[#This Row],[Player]],
        "Result","Win"
    ),
    0
)</f>
        <v>5</v>
      </c>
      <c r="L13" s="5">
        <f>IFERROR(
    GETPIVOTDATA(
        "Result",
        'Pivot Table Previous'!$A$3,
        "Player",View_Table[[#This Row],[Player]],
        "Result","Loss"
    ),
    0
)</f>
        <v>9</v>
      </c>
      <c r="M13" s="5">
        <f>IFERROR(
    GETPIVOTDATA(
        "Result",
        'Pivot Table Previous'!$A$3,
        "Player",View_Table[[#This Row],[Player]],
        "Result","Draw"
    ),
    0
)</f>
        <v>4</v>
      </c>
      <c r="N13" s="5">
        <f>View_Table[[#This Row],[Wins Previous]]+View_Table[[#This Row],[Losses Previous]]+View_Table[[#This Row],[Draws Previous]]</f>
        <v>18</v>
      </c>
      <c r="O13" s="9">
        <f>_xlfn.LET(_xlpm.g,View_Table[[#This Row],[Games Previous]], _xlpm.w,(View_Table[[#This Row],[Wins Previous]] + View_Table[[#This Row],[Draws Previous]] * 0.25), _xlpm.fake, MAX(0,25-_xlpm.g), IF(_xlpm.g=0,0,(_xlpm.w + _xlpm.fake*0.25)/(_xlpm.g + _xlpm.fake)))</f>
        <v>0.31</v>
      </c>
      <c r="P13" s="7">
        <f>_xlfn.RANK.EQ(View_Table[[#This Row],[Weighted Win% Previous]], View_Table[Weighted Win% Previous], 0)</f>
        <v>8</v>
      </c>
    </row>
    <row r="14" spans="2:16" hidden="1" x14ac:dyDescent="0.25">
      <c r="B14" s="3" t="s">
        <v>322</v>
      </c>
      <c r="C14" s="6">
        <f>View_Table[[#This Row],[Rank Previous]]-View_Table[[#This Row],[Rank]]</f>
        <v>-1</v>
      </c>
      <c r="D14" s="7">
        <f>_xlfn.RANK.EQ(View_Table[[#This Row],[Weighted Win%]], View_Table[Weighted Win%], 0)</f>
        <v>14</v>
      </c>
      <c r="E14" s="9">
        <f>_xlfn.LET(_xlpm.g,View_Table[[#This Row],[Games]], _xlpm.w,(View_Table[[#This Row],[Wins]] + View_Table[[#This Row],[Draws]] * 0.25), _xlpm.fake, MAX(0,25-_xlpm.g), IF(_xlpm.g=0,0,(_xlpm.w + _xlpm.fake*0.25)/(_xlpm.g + _xlpm.fake)))</f>
        <v>0.27</v>
      </c>
      <c r="F14" s="8">
        <f>IF(View_Table[[#This Row],[Games]]=0,0,(View_Table[[#This Row],[Wins]] + (View_Table[[#This Row],[Draws]] * 0.25))/View_Table[[#This Row],[Games]])</f>
        <v>0.5</v>
      </c>
      <c r="G14" s="5">
        <f>IFERROR(
    GETPIVOTDATA(
        "Result",
        'Pivot Table'!$A$3,
        "Player",View_Table[[#This Row],[Player]],
        "Result","Win"
    ),
    0
)</f>
        <v>1</v>
      </c>
      <c r="H14" s="5">
        <f>IFERROR(
    GETPIVOTDATA(
        "Result",
        'Pivot Table'!$A$3,
        "Player",View_Table[[#This Row],[Player]],
        "Result","Loss"
    ),
    0
)</f>
        <v>1</v>
      </c>
      <c r="I14" s="5">
        <f>IFERROR(
    GETPIVOTDATA(
        "Result",
        'Pivot Table'!$A$3,
        "Player",View_Table[[#This Row],[Player]],
        "Result","Draw"
    ),
    0
)</f>
        <v>0</v>
      </c>
      <c r="J14" s="5">
        <f>View_Table[[#This Row],[Wins]]+View_Table[[#This Row],[Losses]]+View_Table[[#This Row],[Draws]]</f>
        <v>2</v>
      </c>
      <c r="K14" s="7">
        <f>IFERROR(
    GETPIVOTDATA(
        "Result",
        'Pivot Table Previous'!$A$3,
        "Player",View_Table[[#This Row],[Player]],
        "Result","Win"
    ),
    0
)</f>
        <v>1</v>
      </c>
      <c r="L14" s="5">
        <f>IFERROR(
    GETPIVOTDATA(
        "Result",
        'Pivot Table Previous'!$A$3,
        "Player",View_Table[[#This Row],[Player]],
        "Result","Loss"
    ),
    0
)</f>
        <v>1</v>
      </c>
      <c r="M14" s="5">
        <f>IFERROR(
    GETPIVOTDATA(
        "Result",
        'Pivot Table Previous'!$A$3,
        "Player",View_Table[[#This Row],[Player]],
        "Result","Draw"
    ),
    0
)</f>
        <v>0</v>
      </c>
      <c r="N14" s="5">
        <f>View_Table[[#This Row],[Wins Previous]]+View_Table[[#This Row],[Losses Previous]]+View_Table[[#This Row],[Draws Previous]]</f>
        <v>2</v>
      </c>
      <c r="O14" s="9">
        <f>_xlfn.LET(_xlpm.g,View_Table[[#This Row],[Games Previous]], _xlpm.w,(View_Table[[#This Row],[Wins Previous]] + View_Table[[#This Row],[Draws Previous]] * 0.25), _xlpm.fake, MAX(0,25-_xlpm.g), IF(_xlpm.g=0,0,(_xlpm.w + _xlpm.fake*0.25)/(_xlpm.g + _xlpm.fake)))</f>
        <v>0.27</v>
      </c>
      <c r="P14" s="7">
        <f>_xlfn.RANK.EQ(View_Table[[#This Row],[Weighted Win% Previous]], View_Table[Weighted Win% Previous], 0)</f>
        <v>13</v>
      </c>
    </row>
    <row r="15" spans="2:16" x14ac:dyDescent="0.25">
      <c r="B15" s="3" t="s">
        <v>325</v>
      </c>
      <c r="C15" s="6">
        <f>View_Table[[#This Row],[Rank Previous]]-View_Table[[#This Row],[Rank]]</f>
        <v>1</v>
      </c>
      <c r="D15" s="7">
        <f>_xlfn.RANK.EQ(View_Table[[#This Row],[Weighted Win%]], View_Table[Weighted Win%], 0)</f>
        <v>9</v>
      </c>
      <c r="E15" s="9">
        <f>_xlfn.LET(_xlpm.g,View_Table[[#This Row],[Games]], _xlpm.w,(View_Table[[#This Row],[Wins]] + View_Table[[#This Row],[Draws]] * 0.25), _xlpm.fake, MAX(0,25-_xlpm.g), IF(_xlpm.g=0,0,(_xlpm.w + _xlpm.fake*0.25)/(_xlpm.g + _xlpm.fake)))</f>
        <v>0.3</v>
      </c>
      <c r="F15" s="8">
        <f>IF(View_Table[[#This Row],[Games]]=0,0,(View_Table[[#This Row],[Wins]] + (View_Table[[#This Row],[Draws]] * 0.25))/View_Table[[#This Row],[Games]])</f>
        <v>0.40625</v>
      </c>
      <c r="G15" s="5">
        <f>IFERROR(
    GETPIVOTDATA(
        "Result",
        'Pivot Table'!$A$3,
        "Player",View_Table[[#This Row],[Player]],
        "Result","Win"
    ),
    0
)</f>
        <v>3</v>
      </c>
      <c r="H15" s="5">
        <f>IFERROR(
    GETPIVOTDATA(
        "Result",
        'Pivot Table'!$A$3,
        "Player",View_Table[[#This Row],[Player]],
        "Result","Loss"
    ),
    0
)</f>
        <v>4</v>
      </c>
      <c r="I15" s="5">
        <f>IFERROR(
    GETPIVOTDATA(
        "Result",
        'Pivot Table'!$A$3,
        "Player",View_Table[[#This Row],[Player]],
        "Result","Draw"
    ),
    0
)</f>
        <v>1</v>
      </c>
      <c r="J15" s="5">
        <f>View_Table[[#This Row],[Wins]]+View_Table[[#This Row],[Losses]]+View_Table[[#This Row],[Draws]]</f>
        <v>8</v>
      </c>
      <c r="K15" s="7">
        <f>IFERROR(
    GETPIVOTDATA(
        "Result",
        'Pivot Table Previous'!$A$3,
        "Player",View_Table[[#This Row],[Player]],
        "Result","Win"
    ),
    0
)</f>
        <v>3</v>
      </c>
      <c r="L15" s="5">
        <f>IFERROR(
    GETPIVOTDATA(
        "Result",
        'Pivot Table Previous'!$A$3,
        "Player",View_Table[[#This Row],[Player]],
        "Result","Loss"
    ),
    0
)</f>
        <v>4</v>
      </c>
      <c r="M15" s="5">
        <f>IFERROR(
    GETPIVOTDATA(
        "Result",
        'Pivot Table Previous'!$A$3,
        "Player",View_Table[[#This Row],[Player]],
        "Result","Draw"
    ),
    0
)</f>
        <v>1</v>
      </c>
      <c r="N15" s="5">
        <f>View_Table[[#This Row],[Wins Previous]]+View_Table[[#This Row],[Losses Previous]]+View_Table[[#This Row],[Draws Previous]]</f>
        <v>8</v>
      </c>
      <c r="O15" s="9">
        <f>_xlfn.LET(_xlpm.g,View_Table[[#This Row],[Games Previous]], _xlpm.w,(View_Table[[#This Row],[Wins Previous]] + View_Table[[#This Row],[Draws Previous]] * 0.25), _xlpm.fake, MAX(0,25-_xlpm.g), IF(_xlpm.g=0,0,(_xlpm.w + _xlpm.fake*0.25)/(_xlpm.g + _xlpm.fake)))</f>
        <v>0.3</v>
      </c>
      <c r="P15" s="7">
        <f>_xlfn.RANK.EQ(View_Table[[#This Row],[Weighted Win% Previous]], View_Table[Weighted Win% Previous], 0)</f>
        <v>10</v>
      </c>
    </row>
    <row r="16" spans="2:16" x14ac:dyDescent="0.25">
      <c r="B16" s="3" t="s">
        <v>465</v>
      </c>
      <c r="C16" s="6">
        <f>View_Table[[#This Row],[Rank Previous]]-View_Table[[#This Row],[Rank]]</f>
        <v>1</v>
      </c>
      <c r="D16" s="7">
        <f>_xlfn.RANK.EQ(View_Table[[#This Row],[Weighted Win%]], View_Table[Weighted Win%], 0)</f>
        <v>11</v>
      </c>
      <c r="E16" s="9">
        <f>_xlfn.LET(_xlpm.g,View_Table[[#This Row],[Games]], _xlpm.w,(View_Table[[#This Row],[Wins]] + View_Table[[#This Row],[Draws]] * 0.25), _xlpm.fake, MAX(0,25-_xlpm.g), IF(_xlpm.g=0,0,(_xlpm.w + _xlpm.fake*0.25)/(_xlpm.g + _xlpm.fake)))</f>
        <v>0.28999999999999998</v>
      </c>
      <c r="F16" s="8">
        <f>IF(View_Table[[#This Row],[Games]]=0,0,(View_Table[[#This Row],[Wins]] + (View_Table[[#This Row],[Draws]] * 0.25))/View_Table[[#This Row],[Games]])</f>
        <v>0.35</v>
      </c>
      <c r="G16" s="5">
        <f>IFERROR(
    GETPIVOTDATA(
        "Result",
        'Pivot Table'!$A$3,
        "Player",View_Table[[#This Row],[Player]],
        "Result","Win"
    ),
    0
)</f>
        <v>3</v>
      </c>
      <c r="H16" s="5">
        <f>IFERROR(
    GETPIVOTDATA(
        "Result",
        'Pivot Table'!$A$3,
        "Player",View_Table[[#This Row],[Player]],
        "Result","Loss"
    ),
    0
)</f>
        <v>5</v>
      </c>
      <c r="I16" s="5">
        <f>IFERROR(
    GETPIVOTDATA(
        "Result",
        'Pivot Table'!$A$3,
        "Player",View_Table[[#This Row],[Player]],
        "Result","Draw"
    ),
    0
)</f>
        <v>2</v>
      </c>
      <c r="J16" s="5">
        <f>View_Table[[#This Row],[Wins]]+View_Table[[#This Row],[Losses]]+View_Table[[#This Row],[Draws]]</f>
        <v>10</v>
      </c>
      <c r="K16" s="7">
        <f>IFERROR(
    GETPIVOTDATA(
        "Result",
        'Pivot Table Previous'!$A$3,
        "Player",View_Table[[#This Row],[Player]],
        "Result","Win"
    ),
    0
)</f>
        <v>3</v>
      </c>
      <c r="L16" s="5">
        <f>IFERROR(
    GETPIVOTDATA(
        "Result",
        'Pivot Table Previous'!$A$3,
        "Player",View_Table[[#This Row],[Player]],
        "Result","Loss"
    ),
    0
)</f>
        <v>5</v>
      </c>
      <c r="M16" s="5">
        <f>IFERROR(
    GETPIVOTDATA(
        "Result",
        'Pivot Table Previous'!$A$3,
        "Player",View_Table[[#This Row],[Player]],
        "Result","Draw"
    ),
    0
)</f>
        <v>2</v>
      </c>
      <c r="N16" s="5">
        <f>View_Table[[#This Row],[Wins Previous]]+View_Table[[#This Row],[Losses Previous]]+View_Table[[#This Row],[Draws Previous]]</f>
        <v>10</v>
      </c>
      <c r="O16" s="9">
        <f>_xlfn.LET(_xlpm.g,View_Table[[#This Row],[Games Previous]], _xlpm.w,(View_Table[[#This Row],[Wins Previous]] + View_Table[[#This Row],[Draws Previous]] * 0.25), _xlpm.fake, MAX(0,25-_xlpm.g), IF(_xlpm.g=0,0,(_xlpm.w + _xlpm.fake*0.25)/(_xlpm.g + _xlpm.fake)))</f>
        <v>0.28999999999999998</v>
      </c>
      <c r="P16" s="7">
        <f>_xlfn.RANK.EQ(View_Table[[#This Row],[Weighted Win% Previous]], View_Table[Weighted Win% Previous], 0)</f>
        <v>12</v>
      </c>
    </row>
    <row r="17" spans="2:16" hidden="1" x14ac:dyDescent="0.25">
      <c r="B17" s="3" t="s">
        <v>540</v>
      </c>
      <c r="C17" s="6">
        <f>View_Table[[#This Row],[Rank Previous]]-View_Table[[#This Row],[Rank]]</f>
        <v>-3</v>
      </c>
      <c r="D17" s="7">
        <f>_xlfn.RANK.EQ(View_Table[[#This Row],[Weighted Win%]], View_Table[Weighted Win%], 0)</f>
        <v>19</v>
      </c>
      <c r="E17" s="9">
        <f>_xlfn.LET(_xlpm.g,View_Table[[#This Row],[Games]], _xlpm.w,(View_Table[[#This Row],[Wins]] + View_Table[[#This Row],[Draws]] * 0.25), _xlpm.fake, MAX(0,25-_xlpm.g), IF(_xlpm.g=0,0,(_xlpm.w + _xlpm.fake*0.25)/(_xlpm.g + _xlpm.fake)))</f>
        <v>0.25</v>
      </c>
      <c r="F17" s="8">
        <f>IF(View_Table[[#This Row],[Games]]=0,0,(View_Table[[#This Row],[Wins]] + (View_Table[[#This Row],[Draws]] * 0.25))/View_Table[[#This Row],[Games]])</f>
        <v>0.25</v>
      </c>
      <c r="G17" s="5">
        <f>IFERROR(
    GETPIVOTDATA(
        "Result",
        'Pivot Table'!$A$3,
        "Player",View_Table[[#This Row],[Player]],
        "Result","Win"
    ),
    0
)</f>
        <v>1</v>
      </c>
      <c r="H17" s="5">
        <f>IFERROR(
    GETPIVOTDATA(
        "Result",
        'Pivot Table'!$A$3,
        "Player",View_Table[[#This Row],[Player]],
        "Result","Loss"
    ),
    0
)</f>
        <v>3</v>
      </c>
      <c r="I17" s="5">
        <f>IFERROR(
    GETPIVOTDATA(
        "Result",
        'Pivot Table'!$A$3,
        "Player",View_Table[[#This Row],[Player]],
        "Result","Draw"
    ),
    0
)</f>
        <v>2</v>
      </c>
      <c r="J17" s="5">
        <f>View_Table[[#This Row],[Wins]]+View_Table[[#This Row],[Losses]]+View_Table[[#This Row],[Draws]]</f>
        <v>6</v>
      </c>
      <c r="K17" s="7">
        <f>IFERROR(
    GETPIVOTDATA(
        "Result",
        'Pivot Table Previous'!$A$3,
        "Player",View_Table[[#This Row],[Player]],
        "Result","Win"
    ),
    0
)</f>
        <v>1</v>
      </c>
      <c r="L17" s="5">
        <f>IFERROR(
    GETPIVOTDATA(
        "Result",
        'Pivot Table Previous'!$A$3,
        "Player",View_Table[[#This Row],[Player]],
        "Result","Loss"
    ),
    0
)</f>
        <v>2</v>
      </c>
      <c r="M17" s="5">
        <f>IFERROR(
    GETPIVOTDATA(
        "Result",
        'Pivot Table Previous'!$A$3,
        "Player",View_Table[[#This Row],[Player]],
        "Result","Draw"
    ),
    0
)</f>
        <v>1</v>
      </c>
      <c r="N17" s="5">
        <f>View_Table[[#This Row],[Wins Previous]]+View_Table[[#This Row],[Losses Previous]]+View_Table[[#This Row],[Draws Previous]]</f>
        <v>4</v>
      </c>
      <c r="O17" s="9">
        <f>_xlfn.LET(_xlpm.g,View_Table[[#This Row],[Games Previous]], _xlpm.w,(View_Table[[#This Row],[Wins Previous]] + View_Table[[#This Row],[Draws Previous]] * 0.25), _xlpm.fake, MAX(0,25-_xlpm.g), IF(_xlpm.g=0,0,(_xlpm.w + _xlpm.fake*0.25)/(_xlpm.g + _xlpm.fake)))</f>
        <v>0.26</v>
      </c>
      <c r="P17" s="7">
        <f>_xlfn.RANK.EQ(View_Table[[#This Row],[Weighted Win% Previous]], View_Table[Weighted Win% Previous], 0)</f>
        <v>16</v>
      </c>
    </row>
    <row r="18" spans="2:16" hidden="1" x14ac:dyDescent="0.25">
      <c r="B18" s="3" t="s">
        <v>421</v>
      </c>
      <c r="C18" s="6">
        <f>View_Table[[#This Row],[Rank Previous]]-View_Table[[#This Row],[Rank]]</f>
        <v>-3</v>
      </c>
      <c r="D18" s="7">
        <f>_xlfn.RANK.EQ(View_Table[[#This Row],[Weighted Win%]], View_Table[Weighted Win%], 0)</f>
        <v>47</v>
      </c>
      <c r="E18" s="9">
        <f>_xlfn.LET(_xlpm.g,View_Table[[#This Row],[Games]], _xlpm.w,(View_Table[[#This Row],[Wins]] + View_Table[[#This Row],[Draws]] * 0.25), _xlpm.fake, MAX(0,25-_xlpm.g), IF(_xlpm.g=0,0,(_xlpm.w + _xlpm.fake*0.25)/(_xlpm.g + _xlpm.fake)))</f>
        <v>0</v>
      </c>
      <c r="F18" s="8">
        <f>IF(View_Table[[#This Row],[Games]]=0,0,(View_Table[[#This Row],[Wins]] + (View_Table[[#This Row],[Draws]] * 0.25))/View_Table[[#This Row],[Games]])</f>
        <v>0</v>
      </c>
      <c r="G18" s="5">
        <f>IFERROR(
    GETPIVOTDATA(
        "Result",
        'Pivot Table'!$A$3,
        "Player",View_Table[[#This Row],[Player]],
        "Result","Win"
    ),
    0
)</f>
        <v>0</v>
      </c>
      <c r="H18" s="5">
        <f>IFERROR(
    GETPIVOTDATA(
        "Result",
        'Pivot Table'!$A$3,
        "Player",View_Table[[#This Row],[Player]],
        "Result","Loss"
    ),
    0
)</f>
        <v>0</v>
      </c>
      <c r="I18" s="5">
        <f>IFERROR(
    GETPIVOTDATA(
        "Result",
        'Pivot Table'!$A$3,
        "Player",View_Table[[#This Row],[Player]],
        "Result","Draw"
    ),
    0
)</f>
        <v>0</v>
      </c>
      <c r="J18" s="5">
        <f>View_Table[[#This Row],[Wins]]+View_Table[[#This Row],[Losses]]+View_Table[[#This Row],[Draws]]</f>
        <v>0</v>
      </c>
      <c r="K18" s="7">
        <f>IFERROR(
    GETPIVOTDATA(
        "Result",
        'Pivot Table Previous'!$A$3,
        "Player",View_Table[[#This Row],[Player]],
        "Result","Win"
    ),
    0
)</f>
        <v>0</v>
      </c>
      <c r="L18" s="5">
        <f>IFERROR(
    GETPIVOTDATA(
        "Result",
        'Pivot Table Previous'!$A$3,
        "Player",View_Table[[#This Row],[Player]],
        "Result","Loss"
    ),
    0
)</f>
        <v>0</v>
      </c>
      <c r="M18" s="5">
        <f>IFERROR(
    GETPIVOTDATA(
        "Result",
        'Pivot Table Previous'!$A$3,
        "Player",View_Table[[#This Row],[Player]],
        "Result","Draw"
    ),
    0
)</f>
        <v>0</v>
      </c>
      <c r="N18" s="5">
        <f>View_Table[[#This Row],[Wins Previous]]+View_Table[[#This Row],[Losses Previous]]+View_Table[[#This Row],[Draws Previous]]</f>
        <v>0</v>
      </c>
      <c r="O18" s="9">
        <f>_xlfn.LET(_xlpm.g,View_Table[[#This Row],[Games Previous]], _xlpm.w,(View_Table[[#This Row],[Wins Previous]] + View_Table[[#This Row],[Draws Previous]] * 0.25), _xlpm.fake, MAX(0,25-_xlpm.g), IF(_xlpm.g=0,0,(_xlpm.w + _xlpm.fake*0.25)/(_xlpm.g + _xlpm.fake)))</f>
        <v>0</v>
      </c>
      <c r="P18" s="7">
        <f>_xlfn.RANK.EQ(View_Table[[#This Row],[Weighted Win% Previous]], View_Table[Weighted Win% Previous], 0)</f>
        <v>44</v>
      </c>
    </row>
    <row r="19" spans="2:16" x14ac:dyDescent="0.25">
      <c r="B19" s="3" t="s">
        <v>519</v>
      </c>
      <c r="C19" s="6">
        <f>View_Table[[#This Row],[Rank Previous]]-View_Table[[#This Row],[Rank]]</f>
        <v>-2</v>
      </c>
      <c r="D19" s="7">
        <f>_xlfn.RANK.EQ(View_Table[[#This Row],[Weighted Win%]], View_Table[Weighted Win%], 0)</f>
        <v>12</v>
      </c>
      <c r="E19" s="9">
        <f>_xlfn.LET(_xlpm.g,View_Table[[#This Row],[Games]], _xlpm.w,(View_Table[[#This Row],[Wins]] + View_Table[[#This Row],[Draws]] * 0.25), _xlpm.fake, MAX(0,25-_xlpm.g), IF(_xlpm.g=0,0,(_xlpm.w + _xlpm.fake*0.25)/(_xlpm.g + _xlpm.fake)))</f>
        <v>0.28000000000000003</v>
      </c>
      <c r="F19" s="8">
        <f>IF(View_Table[[#This Row],[Games]]=0,0,(View_Table[[#This Row],[Wins]] + (View_Table[[#This Row],[Draws]] * 0.25))/View_Table[[#This Row],[Games]])</f>
        <v>0.32500000000000001</v>
      </c>
      <c r="G19" s="5">
        <f>IFERROR(
    GETPIVOTDATA(
        "Result",
        'Pivot Table'!$A$3,
        "Player",View_Table[[#This Row],[Player]],
        "Result","Win"
    ),
    0
)</f>
        <v>3</v>
      </c>
      <c r="H19" s="5">
        <f>IFERROR(
    GETPIVOTDATA(
        "Result",
        'Pivot Table'!$A$3,
        "Player",View_Table[[#This Row],[Player]],
        "Result","Loss"
    ),
    0
)</f>
        <v>6</v>
      </c>
      <c r="I19" s="5">
        <f>IFERROR(
    GETPIVOTDATA(
        "Result",
        'Pivot Table'!$A$3,
        "Player",View_Table[[#This Row],[Player]],
        "Result","Draw"
    ),
    0
)</f>
        <v>1</v>
      </c>
      <c r="J19" s="5">
        <f>View_Table[[#This Row],[Wins]]+View_Table[[#This Row],[Losses]]+View_Table[[#This Row],[Draws]]</f>
        <v>10</v>
      </c>
      <c r="K19" s="7">
        <f>IFERROR(
    GETPIVOTDATA(
        "Result",
        'Pivot Table Previous'!$A$3,
        "Player",View_Table[[#This Row],[Player]],
        "Result","Win"
    ),
    0
)</f>
        <v>3</v>
      </c>
      <c r="L19" s="5">
        <f>IFERROR(
    GETPIVOTDATA(
        "Result",
        'Pivot Table Previous'!$A$3,
        "Player",View_Table[[#This Row],[Player]],
        "Result","Loss"
    ),
    0
)</f>
        <v>4</v>
      </c>
      <c r="M19" s="5">
        <f>IFERROR(
    GETPIVOTDATA(
        "Result",
        'Pivot Table Previous'!$A$3,
        "Player",View_Table[[#This Row],[Player]],
        "Result","Draw"
    ),
    0
)</f>
        <v>1</v>
      </c>
      <c r="N19" s="5">
        <f>View_Table[[#This Row],[Wins Previous]]+View_Table[[#This Row],[Losses Previous]]+View_Table[[#This Row],[Draws Previous]]</f>
        <v>8</v>
      </c>
      <c r="O19" s="9">
        <f>_xlfn.LET(_xlpm.g,View_Table[[#This Row],[Games Previous]], _xlpm.w,(View_Table[[#This Row],[Wins Previous]] + View_Table[[#This Row],[Draws Previous]] * 0.25), _xlpm.fake, MAX(0,25-_xlpm.g), IF(_xlpm.g=0,0,(_xlpm.w + _xlpm.fake*0.25)/(_xlpm.g + _xlpm.fake)))</f>
        <v>0.3</v>
      </c>
      <c r="P19" s="7">
        <f>_xlfn.RANK.EQ(View_Table[[#This Row],[Weighted Win% Previous]], View_Table[Weighted Win% Previous], 0)</f>
        <v>10</v>
      </c>
    </row>
    <row r="20" spans="2:16" hidden="1" x14ac:dyDescent="0.25">
      <c r="B20" s="3" t="s">
        <v>543</v>
      </c>
      <c r="C20" s="6">
        <f>View_Table[[#This Row],[Rank Previous]]-View_Table[[#This Row],[Rank]]</f>
        <v>-3</v>
      </c>
      <c r="D20" s="7">
        <f>_xlfn.RANK.EQ(View_Table[[#This Row],[Weighted Win%]], View_Table[Weighted Win%], 0)</f>
        <v>47</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44</v>
      </c>
    </row>
    <row r="21" spans="2:16" hidden="1" x14ac:dyDescent="0.25">
      <c r="B21" s="3" t="s">
        <v>402</v>
      </c>
      <c r="C21" s="6">
        <f>View_Table[[#This Row],[Rank Previous]]-View_Table[[#This Row],[Rank]]</f>
        <v>-1</v>
      </c>
      <c r="D21" s="7">
        <f>_xlfn.RANK.EQ(View_Table[[#This Row],[Weighted Win%]], View_Table[Weighted Win%], 0)</f>
        <v>17</v>
      </c>
      <c r="E21" s="9">
        <f>_xlfn.LET(_xlpm.g,View_Table[[#This Row],[Games]], _xlpm.w,(View_Table[[#This Row],[Wins]] + View_Table[[#This Row],[Draws]] * 0.25), _xlpm.fake, MAX(0,25-_xlpm.g), IF(_xlpm.g=0,0,(_xlpm.w + _xlpm.fake*0.25)/(_xlpm.g + _xlpm.fake)))</f>
        <v>0.26</v>
      </c>
      <c r="F21" s="8">
        <f>IF(View_Table[[#This Row],[Games]]=0,0,(View_Table[[#This Row],[Wins]] + (View_Table[[#This Row],[Draws]] * 0.25))/View_Table[[#This Row],[Games]])</f>
        <v>0.29166666666666669</v>
      </c>
      <c r="G21" s="5">
        <f>IFERROR(
    GETPIVOTDATA(
        "Result",
        'Pivot Table'!$A$3,
        "Player",View_Table[[#This Row],[Player]],
        "Result","Win"
    ),
    0
)</f>
        <v>1</v>
      </c>
      <c r="H21" s="5">
        <f>IFERROR(
    GETPIVOTDATA(
        "Result",
        'Pivot Table'!$A$3,
        "Player",View_Table[[#This Row],[Player]],
        "Result","Loss"
    ),
    0
)</f>
        <v>2</v>
      </c>
      <c r="I21" s="5">
        <f>IFERROR(
    GETPIVOTDATA(
        "Result",
        'Pivot Table'!$A$3,
        "Player",View_Table[[#This Row],[Player]],
        "Result","Draw"
    ),
    0
)</f>
        <v>3</v>
      </c>
      <c r="J21" s="5">
        <f>View_Table[[#This Row],[Wins]]+View_Table[[#This Row],[Losses]]+View_Table[[#This Row],[Draws]]</f>
        <v>6</v>
      </c>
      <c r="K21" s="7">
        <f>IFERROR(
    GETPIVOTDATA(
        "Result",
        'Pivot Table Previous'!$A$3,
        "Player",View_Table[[#This Row],[Player]],
        "Result","Win"
    ),
    0
)</f>
        <v>1</v>
      </c>
      <c r="L21" s="5">
        <f>IFERROR(
    GETPIVOTDATA(
        "Result",
        'Pivot Table Previous'!$A$3,
        "Player",View_Table[[#This Row],[Player]],
        "Result","Loss"
    ),
    0
)</f>
        <v>2</v>
      </c>
      <c r="M21" s="5">
        <f>IFERROR(
    GETPIVOTDATA(
        "Result",
        'Pivot Table Previous'!$A$3,
        "Player",View_Table[[#This Row],[Player]],
        "Result","Draw"
    ),
    0
)</f>
        <v>3</v>
      </c>
      <c r="N21" s="5">
        <f>View_Table[[#This Row],[Wins Previous]]+View_Table[[#This Row],[Losses Previous]]+View_Table[[#This Row],[Draws Previous]]</f>
        <v>6</v>
      </c>
      <c r="O21" s="9">
        <f>_xlfn.LET(_xlpm.g,View_Table[[#This Row],[Games Previous]], _xlpm.w,(View_Table[[#This Row],[Wins Previous]] + View_Table[[#This Row],[Draws Previous]] * 0.25), _xlpm.fake, MAX(0,25-_xlpm.g), IF(_xlpm.g=0,0,(_xlpm.w + _xlpm.fake*0.25)/(_xlpm.g + _xlpm.fake)))</f>
        <v>0.26</v>
      </c>
      <c r="P21" s="7">
        <f>_xlfn.RANK.EQ(View_Table[[#This Row],[Weighted Win% Previous]], View_Table[Weighted Win% Previous], 0)</f>
        <v>16</v>
      </c>
    </row>
    <row r="22" spans="2:16" x14ac:dyDescent="0.25">
      <c r="B22" s="3" t="s">
        <v>351</v>
      </c>
      <c r="C22" s="6">
        <f>View_Table[[#This Row],[Rank Previous]]-View_Table[[#This Row],[Rank]]</f>
        <v>6</v>
      </c>
      <c r="D22" s="7">
        <f>_xlfn.RANK.EQ(View_Table[[#This Row],[Weighted Win%]], View_Table[Weighted Win%], 0)</f>
        <v>12</v>
      </c>
      <c r="E22" s="9">
        <f>_xlfn.LET(_xlpm.g,View_Table[[#This Row],[Games]], _xlpm.w,(View_Table[[#This Row],[Wins]] + View_Table[[#This Row],[Draws]] * 0.25), _xlpm.fake, MAX(0,25-_xlpm.g), IF(_xlpm.g=0,0,(_xlpm.w + _xlpm.fake*0.25)/(_xlpm.g + _xlpm.fake)))</f>
        <v>0.28000000000000003</v>
      </c>
      <c r="F22" s="8">
        <f>IF(View_Table[[#This Row],[Games]]=0,0,(View_Table[[#This Row],[Wins]] + (View_Table[[#This Row],[Draws]] * 0.25))/View_Table[[#This Row],[Games]])</f>
        <v>0.29166666666666669</v>
      </c>
      <c r="G22" s="5">
        <f>IFERROR(
    GETPIVOTDATA(
        "Result",
        'Pivot Table'!$A$3,
        "Player",View_Table[[#This Row],[Player]],
        "Result","Win"
    ),
    0
)</f>
        <v>4</v>
      </c>
      <c r="H22" s="5">
        <f>IFERROR(
    GETPIVOTDATA(
        "Result",
        'Pivot Table'!$A$3,
        "Player",View_Table[[#This Row],[Player]],
        "Result","Loss"
    ),
    0
)</f>
        <v>9</v>
      </c>
      <c r="I22" s="5">
        <f>IFERROR(
    GETPIVOTDATA(
        "Result",
        'Pivot Table'!$A$3,
        "Player",View_Table[[#This Row],[Player]],
        "Result","Draw"
    ),
    0
)</f>
        <v>5</v>
      </c>
      <c r="J22" s="5">
        <f>View_Table[[#This Row],[Wins]]+View_Table[[#This Row],[Losses]]+View_Table[[#This Row],[Draws]]</f>
        <v>18</v>
      </c>
      <c r="K22" s="7">
        <f>IFERROR(
    GETPIVOTDATA(
        "Result",
        'Pivot Table Previous'!$A$3,
        "Player",View_Table[[#This Row],[Player]],
        "Result","Win"
    ),
    0
)</f>
        <v>3</v>
      </c>
      <c r="L22" s="5">
        <f>IFERROR(
    GETPIVOTDATA(
        "Result",
        'Pivot Table Previous'!$A$3,
        "Player",View_Table[[#This Row],[Player]],
        "Result","Loss"
    ),
    0
)</f>
        <v>9</v>
      </c>
      <c r="M22" s="5">
        <f>IFERROR(
    GETPIVOTDATA(
        "Result",
        'Pivot Table Previous'!$A$3,
        "Player",View_Table[[#This Row],[Player]],
        "Result","Draw"
    ),
    0
)</f>
        <v>4</v>
      </c>
      <c r="N22" s="5">
        <f>View_Table[[#This Row],[Wins Previous]]+View_Table[[#This Row],[Losses Previous]]+View_Table[[#This Row],[Draws Previous]]</f>
        <v>16</v>
      </c>
      <c r="O22" s="9">
        <f>_xlfn.LET(_xlpm.g,View_Table[[#This Row],[Games Previous]], _xlpm.w,(View_Table[[#This Row],[Wins Previous]] + View_Table[[#This Row],[Draws Previous]] * 0.25), _xlpm.fake, MAX(0,25-_xlpm.g), IF(_xlpm.g=0,0,(_xlpm.w + _xlpm.fake*0.25)/(_xlpm.g + _xlpm.fake)))</f>
        <v>0.25</v>
      </c>
      <c r="P22" s="7">
        <f>_xlfn.RANK.EQ(View_Table[[#This Row],[Weighted Win% Previous]], View_Table[Weighted Win% Previous], 0)</f>
        <v>18</v>
      </c>
    </row>
    <row r="23" spans="2:16" hidden="1" x14ac:dyDescent="0.25">
      <c r="B23" s="3" t="s">
        <v>296</v>
      </c>
      <c r="C23" s="6">
        <f>View_Table[[#This Row],[Rank Previous]]-View_Table[[#This Row],[Rank]]</f>
        <v>-3</v>
      </c>
      <c r="D23" s="7">
        <f>_xlfn.RANK.EQ(View_Table[[#This Row],[Weighted Win%]], View_Table[Weighted Win%], 0)</f>
        <v>47</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44</v>
      </c>
    </row>
    <row r="24" spans="2:16" x14ac:dyDescent="0.25">
      <c r="B24" s="3" t="s">
        <v>14</v>
      </c>
      <c r="C24" s="6">
        <f>View_Table[[#This Row],[Rank Previous]]-View_Table[[#This Row],[Rank]]</f>
        <v>4</v>
      </c>
      <c r="D24" s="7">
        <f>_xlfn.RANK.EQ(View_Table[[#This Row],[Weighted Win%]], View_Table[Weighted Win%], 0)</f>
        <v>14</v>
      </c>
      <c r="E24" s="9">
        <f>_xlfn.LET(_xlpm.g,View_Table[[#This Row],[Games]], _xlpm.w,(View_Table[[#This Row],[Wins]] + View_Table[[#This Row],[Draws]] * 0.25), _xlpm.fake, MAX(0,25-_xlpm.g), IF(_xlpm.g=0,0,(_xlpm.w + _xlpm.fake*0.25)/(_xlpm.g + _xlpm.fake)))</f>
        <v>0.27</v>
      </c>
      <c r="F24" s="8">
        <f>IF(View_Table[[#This Row],[Games]]=0,0,(View_Table[[#This Row],[Wins]] + (View_Table[[#This Row],[Draws]] * 0.25))/View_Table[[#This Row],[Games]])</f>
        <v>0.27083333333333331</v>
      </c>
      <c r="G24" s="5">
        <f>IFERROR(
    GETPIVOTDATA(
        "Result",
        'Pivot Table'!$A$3,
        "Player",View_Table[[#This Row],[Player]],
        "Result","Win"
    ),
    0
)</f>
        <v>5</v>
      </c>
      <c r="H24" s="5">
        <f>IFERROR(
    GETPIVOTDATA(
        "Result",
        'Pivot Table'!$A$3,
        "Player",View_Table[[#This Row],[Player]],
        "Result","Loss"
    ),
    0
)</f>
        <v>13</v>
      </c>
      <c r="I24" s="5">
        <f>IFERROR(
    GETPIVOTDATA(
        "Result",
        'Pivot Table'!$A$3,
        "Player",View_Table[[#This Row],[Player]],
        "Result","Draw"
    ),
    0
)</f>
        <v>6</v>
      </c>
      <c r="J24" s="5">
        <f>View_Table[[#This Row],[Wins]]+View_Table[[#This Row],[Losses]]+View_Table[[#This Row],[Draws]]</f>
        <v>24</v>
      </c>
      <c r="K24" s="5">
        <f>IFERROR(
    GETPIVOTDATA(
        "Result",
        'Pivot Table Previous'!$A$3,
        "Player",View_Table[[#This Row],[Player]],
        "Result","Win"
    ),
    0
)</f>
        <v>4</v>
      </c>
      <c r="L24" s="5">
        <f>IFERROR(
    GETPIVOTDATA(
        "Result",
        'Pivot Table Previous'!$A$3,
        "Player",View_Table[[#This Row],[Player]],
        "Result","Loss"
    ),
    0
)</f>
        <v>12</v>
      </c>
      <c r="M24" s="5">
        <f>IFERROR(
    GETPIVOTDATA(
        "Result",
        'Pivot Table Previous'!$A$3,
        "Player",View_Table[[#This Row],[Player]],
        "Result","Draw"
    ),
    0
)</f>
        <v>6</v>
      </c>
      <c r="N24" s="5">
        <f>View_Table[[#This Row],[Wins Previous]]+View_Table[[#This Row],[Losses Previous]]+View_Table[[#This Row],[Draws Previous]]</f>
        <v>22</v>
      </c>
      <c r="O24" s="9">
        <f>_xlfn.LET(_xlpm.g,View_Table[[#This Row],[Games Previous]], _xlpm.w,(View_Table[[#This Row],[Wins Previous]] + View_Table[[#This Row],[Draws Previous]] * 0.25), _xlpm.fake, MAX(0,25-_xlpm.g), IF(_xlpm.g=0,0,(_xlpm.w + _xlpm.fake*0.25)/(_xlpm.g + _xlpm.fake)))</f>
        <v>0.25</v>
      </c>
      <c r="P24" s="7">
        <f>IF(View_Table[[#This Row],[Games Previous]]=0,
    View_Table[[#This Row],[Rank]],
    _xlfn.RANK.EQ(View_Table[[#This Row],[Weighted Win% Previous]], View_Table[Weighted Win% Previous], 0)
)</f>
        <v>18</v>
      </c>
    </row>
    <row r="25" spans="2:16" hidden="1" x14ac:dyDescent="0.25">
      <c r="B25" s="3" t="s">
        <v>22</v>
      </c>
      <c r="C25" s="6">
        <f>View_Table[[#This Row],[Rank Previous]]-View_Table[[#This Row],[Rank]]</f>
        <v>0</v>
      </c>
      <c r="D25" s="7">
        <f>_xlfn.RANK.EQ(View_Table[[#This Row],[Weighted Win%]], View_Table[Weighted Win%], 0)</f>
        <v>47</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5">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IF(View_Table[[#This Row],[Games Previous]]=0,
    View_Table[[#This Row],[Rank]],
    _xlfn.RANK.EQ(View_Table[[#This Row],[Weighted Win% Previous]], View_Table[Weighted Win% Previous], 0)
)</f>
        <v>47</v>
      </c>
    </row>
    <row r="26" spans="2:16" hidden="1" x14ac:dyDescent="0.25">
      <c r="B26" s="3" t="s">
        <v>364</v>
      </c>
      <c r="C26" s="6">
        <f>View_Table[[#This Row],[Rank Previous]]-View_Table[[#This Row],[Rank]]</f>
        <v>-1</v>
      </c>
      <c r="D26" s="7">
        <f>_xlfn.RANK.EQ(View_Table[[#This Row],[Weighted Win%]], View_Table[Weighted Win%], 0)</f>
        <v>19</v>
      </c>
      <c r="E26" s="9">
        <f>_xlfn.LET(_xlpm.g,View_Table[[#This Row],[Games]], _xlpm.w,(View_Table[[#This Row],[Wins]] + View_Table[[#This Row],[Draws]] * 0.25), _xlpm.fake, MAX(0,25-_xlpm.g), IF(_xlpm.g=0,0,(_xlpm.w + _xlpm.fake*0.25)/(_xlpm.g + _xlpm.fake)))</f>
        <v>0.25</v>
      </c>
      <c r="F26" s="8">
        <f>IF(View_Table[[#This Row],[Games]]=0,0,(View_Table[[#This Row],[Wins]] + (View_Table[[#This Row],[Draws]] * 0.25))/View_Table[[#This Row],[Games]])</f>
        <v>0.25</v>
      </c>
      <c r="G26" s="5">
        <f>IFERROR(
    GETPIVOTDATA(
        "Result",
        'Pivot Table'!$A$3,
        "Player",View_Table[[#This Row],[Player]],
        "Result","Win"
    ),
    0
)</f>
        <v>1</v>
      </c>
      <c r="H26" s="5">
        <f>IFERROR(
    GETPIVOTDATA(
        "Result",
        'Pivot Table'!$A$3,
        "Player",View_Table[[#This Row],[Player]],
        "Result","Loss"
    ),
    0
)</f>
        <v>3</v>
      </c>
      <c r="I26" s="5">
        <f>IFERROR(
    GETPIVOTDATA(
        "Result",
        'Pivot Table'!$A$3,
        "Player",View_Table[[#This Row],[Player]],
        "Result","Draw"
    ),
    0
)</f>
        <v>2</v>
      </c>
      <c r="J26" s="5">
        <f>View_Table[[#This Row],[Wins]]+View_Table[[#This Row],[Losses]]+View_Table[[#This Row],[Draws]]</f>
        <v>6</v>
      </c>
      <c r="K26" s="7">
        <f>IFERROR(
    GETPIVOTDATA(
        "Result",
        'Pivot Table Previous'!$A$3,
        "Player",View_Table[[#This Row],[Player]],
        "Result","Win"
    ),
    0
)</f>
        <v>1</v>
      </c>
      <c r="L26" s="5">
        <f>IFERROR(
    GETPIVOTDATA(
        "Result",
        'Pivot Table Previous'!$A$3,
        "Player",View_Table[[#This Row],[Player]],
        "Result","Loss"
    ),
    0
)</f>
        <v>3</v>
      </c>
      <c r="M26" s="5">
        <f>IFERROR(
    GETPIVOTDATA(
        "Result",
        'Pivot Table Previous'!$A$3,
        "Player",View_Table[[#This Row],[Player]],
        "Result","Draw"
    ),
    0
)</f>
        <v>2</v>
      </c>
      <c r="N26" s="5">
        <f>View_Table[[#This Row],[Wins Previous]]+View_Table[[#This Row],[Losses Previous]]+View_Table[[#This Row],[Draws Previous]]</f>
        <v>6</v>
      </c>
      <c r="O26" s="9">
        <f>_xlfn.LET(_xlpm.g,View_Table[[#This Row],[Games Previous]], _xlpm.w,(View_Table[[#This Row],[Wins Previous]] + View_Table[[#This Row],[Draws Previous]] * 0.25), _xlpm.fake, MAX(0,25-_xlpm.g), IF(_xlpm.g=0,0,(_xlpm.w + _xlpm.fake*0.25)/(_xlpm.g + _xlpm.fake)))</f>
        <v>0.25</v>
      </c>
      <c r="P26" s="7">
        <f>_xlfn.RANK.EQ(View_Table[[#This Row],[Weighted Win% Previous]], View_Table[Weighted Win% Previous], 0)</f>
        <v>18</v>
      </c>
    </row>
    <row r="27" spans="2:16" hidden="1" x14ac:dyDescent="0.25">
      <c r="B27" s="3" t="s">
        <v>432</v>
      </c>
      <c r="C27" s="6">
        <f>View_Table[[#This Row],[Rank Previous]]-View_Table[[#This Row],[Rank]]</f>
        <v>-3</v>
      </c>
      <c r="D27" s="7">
        <f>_xlfn.RANK.EQ(View_Table[[#This Row],[Weighted Win%]], View_Table[Weighted Win%], 0)</f>
        <v>47</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44</v>
      </c>
    </row>
    <row r="28" spans="2:16" hidden="1" x14ac:dyDescent="0.25">
      <c r="B28" s="3" t="s">
        <v>400</v>
      </c>
      <c r="C28" s="6">
        <f>View_Table[[#This Row],[Rank Previous]]-View_Table[[#This Row],[Rank]]</f>
        <v>-3</v>
      </c>
      <c r="D28" s="7">
        <f>_xlfn.RANK.EQ(View_Table[[#This Row],[Weighted Win%]], View_Table[Weighted Win%], 0)</f>
        <v>47</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44</v>
      </c>
    </row>
    <row r="29" spans="2:16" hidden="1" x14ac:dyDescent="0.25">
      <c r="B29" s="3" t="s">
        <v>406</v>
      </c>
      <c r="C29" s="6">
        <f>View_Table[[#This Row],[Rank Previous]]-View_Table[[#This Row],[Rank]]</f>
        <v>-3</v>
      </c>
      <c r="D29" s="7">
        <f>_xlfn.RANK.EQ(View_Table[[#This Row],[Weighted Win%]], View_Table[Weighted Win%], 0)</f>
        <v>47</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44</v>
      </c>
    </row>
    <row r="30" spans="2:16" hidden="1" x14ac:dyDescent="0.25">
      <c r="B30" s="3" t="s">
        <v>386</v>
      </c>
      <c r="C30" s="6">
        <f>View_Table[[#This Row],[Rank Previous]]-View_Table[[#This Row],[Rank]]</f>
        <v>-3</v>
      </c>
      <c r="D30" s="7">
        <f>_xlfn.RANK.EQ(View_Table[[#This Row],[Weighted Win%]], View_Table[Weighted Win%], 0)</f>
        <v>47</v>
      </c>
      <c r="E30" s="9">
        <f>_xlfn.LET(_xlpm.g,View_Table[[#This Row],[Games]], _xlpm.w,(View_Table[[#This Row],[Wins]] + View_Table[[#This Row],[Draws]] * 0.25), _xlpm.fake, MAX(0,25-_xlpm.g), IF(_xlpm.g=0,0,(_xlpm.w + _xlpm.fake*0.25)/(_xlpm.g + _xlpm.fake)))</f>
        <v>0</v>
      </c>
      <c r="F30" s="8">
        <f>IF(View_Table[[#This Row],[Games]]=0,0,(View_Table[[#This Row],[Wins]] + (View_Table[[#This Row],[Draws]] * 0.25))/View_Table[[#This Row],[Games]])</f>
        <v>0</v>
      </c>
      <c r="G30" s="5">
        <f>IFERROR(
    GETPIVOTDATA(
        "Result",
        'Pivot Table'!$A$3,
        "Player",View_Table[[#This Row],[Player]],
        "Result","Win"
    ),
    0
)</f>
        <v>0</v>
      </c>
      <c r="H30" s="5">
        <f>IFERROR(
    GETPIVOTDATA(
        "Result",
        'Pivot Table'!$A$3,
        "Player",View_Table[[#This Row],[Player]],
        "Result","Loss"
    ),
    0
)</f>
        <v>0</v>
      </c>
      <c r="I30" s="5">
        <f>IFERROR(
    GETPIVOTDATA(
        "Result",
        'Pivot Table'!$A$3,
        "Player",View_Table[[#This Row],[Player]],
        "Result","Draw"
    ),
    0
)</f>
        <v>0</v>
      </c>
      <c r="J30" s="5">
        <f>View_Table[[#This Row],[Wins]]+View_Table[[#This Row],[Losses]]+View_Table[[#This Row],[Draws]]</f>
        <v>0</v>
      </c>
      <c r="K30" s="7">
        <f>IFERROR(
    GETPIVOTDATA(
        "Result",
        'Pivot Table Previous'!$A$3,
        "Player",View_Table[[#This Row],[Player]],
        "Result","Win"
    ),
    0
)</f>
        <v>0</v>
      </c>
      <c r="L30" s="5">
        <f>IFERROR(
    GETPIVOTDATA(
        "Result",
        'Pivot Table Previous'!$A$3,
        "Player",View_Table[[#This Row],[Player]],
        "Result","Loss"
    ),
    0
)</f>
        <v>0</v>
      </c>
      <c r="M30" s="5">
        <f>IFERROR(
    GETPIVOTDATA(
        "Result",
        'Pivot Table Previous'!$A$3,
        "Player",View_Table[[#This Row],[Player]],
        "Result","Draw"
    ),
    0
)</f>
        <v>0</v>
      </c>
      <c r="N30" s="5">
        <f>View_Table[[#This Row],[Wins Previous]]+View_Table[[#This Row],[Losses Previous]]+View_Table[[#This Row],[Draws Previous]]</f>
        <v>0</v>
      </c>
      <c r="O30" s="9">
        <f>_xlfn.LET(_xlpm.g,View_Table[[#This Row],[Games Previous]], _xlpm.w,(View_Table[[#This Row],[Wins Previous]] + View_Table[[#This Row],[Draws Previous]] * 0.25), _xlpm.fake, MAX(0,25-_xlpm.g), IF(_xlpm.g=0,0,(_xlpm.w + _xlpm.fake*0.25)/(_xlpm.g + _xlpm.fake)))</f>
        <v>0</v>
      </c>
      <c r="P30" s="7">
        <f>_xlfn.RANK.EQ(View_Table[[#This Row],[Weighted Win% Previous]], View_Table[Weighted Win% Previous], 0)</f>
        <v>44</v>
      </c>
    </row>
    <row r="31" spans="2:16" hidden="1" x14ac:dyDescent="0.25">
      <c r="B31" s="3" t="s">
        <v>43</v>
      </c>
      <c r="C31" s="6">
        <f>View_Table[[#This Row],[Rank Previous]]-View_Table[[#This Row],[Rank]]</f>
        <v>-3</v>
      </c>
      <c r="D31" s="7">
        <f>_xlfn.RANK.EQ(View_Table[[#This Row],[Weighted Win%]], View_Table[Weighted Win%], 0)</f>
        <v>47</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44</v>
      </c>
    </row>
    <row r="32" spans="2:16" hidden="1" x14ac:dyDescent="0.25">
      <c r="B32" s="3" t="s">
        <v>323</v>
      </c>
      <c r="C32" s="6">
        <f>View_Table[[#This Row],[Rank Previous]]-View_Table[[#This Row],[Rank]]</f>
        <v>-3</v>
      </c>
      <c r="D32" s="7">
        <f>_xlfn.RANK.EQ(View_Table[[#This Row],[Weighted Win%]], View_Table[Weighted Win%], 0)</f>
        <v>47</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44</v>
      </c>
    </row>
    <row r="33" spans="2:16" hidden="1" x14ac:dyDescent="0.25">
      <c r="B33" s="3" t="s">
        <v>324</v>
      </c>
      <c r="C33" s="6">
        <f>View_Table[[#This Row],[Rank Previous]]-View_Table[[#This Row],[Rank]]</f>
        <v>-3</v>
      </c>
      <c r="D33" s="7">
        <f>_xlfn.RANK.EQ(View_Table[[#This Row],[Weighted Win%]], View_Table[Weighted Win%], 0)</f>
        <v>47</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44</v>
      </c>
    </row>
    <row r="34" spans="2:16" x14ac:dyDescent="0.25">
      <c r="B34" s="3" t="s">
        <v>9</v>
      </c>
      <c r="C34" s="6">
        <f>View_Table[[#This Row],[Rank Previous]]-View_Table[[#This Row],[Rank]]</f>
        <v>-6</v>
      </c>
      <c r="D34" s="7">
        <f>_xlfn.RANK.EQ(View_Table[[#This Row],[Weighted Win%]], View_Table[Weighted Win%], 0)</f>
        <v>19</v>
      </c>
      <c r="E34" s="9">
        <f>_xlfn.LET(_xlpm.g,View_Table[[#This Row],[Games]], _xlpm.w,(View_Table[[#This Row],[Wins]] + View_Table[[#This Row],[Draws]] * 0.25), _xlpm.fake, MAX(0,25-_xlpm.g), IF(_xlpm.g=0,0,(_xlpm.w + _xlpm.fake*0.25)/(_xlpm.g + _xlpm.fake)))</f>
        <v>0.25</v>
      </c>
      <c r="F34" s="8">
        <f>IF(View_Table[[#This Row],[Games]]=0,0,(View_Table[[#This Row],[Wins]] + (View_Table[[#This Row],[Draws]] * 0.25))/View_Table[[#This Row],[Games]])</f>
        <v>0.25</v>
      </c>
      <c r="G34" s="5">
        <f>IFERROR(
    GETPIVOTDATA(
        "Result",
        'Pivot Table'!$A$3,
        "Player",View_Table[[#This Row],[Player]],
        "Result","Win"
    ),
    0
)</f>
        <v>3</v>
      </c>
      <c r="H34" s="5">
        <f>IFERROR(
    GETPIVOTDATA(
        "Result",
        'Pivot Table'!$A$3,
        "Player",View_Table[[#This Row],[Player]],
        "Result","Loss"
    ),
    0
)</f>
        <v>9</v>
      </c>
      <c r="I34" s="5">
        <f>IFERROR(
    GETPIVOTDATA(
        "Result",
        'Pivot Table'!$A$3,
        "Player",View_Table[[#This Row],[Player]],
        "Result","Draw"
    ),
    0
)</f>
        <v>4</v>
      </c>
      <c r="J34" s="5">
        <f>View_Table[[#This Row],[Wins]]+View_Table[[#This Row],[Losses]]+View_Table[[#This Row],[Draws]]</f>
        <v>16</v>
      </c>
      <c r="K34" s="7">
        <f>IFERROR(
    GETPIVOTDATA(
        "Result",
        'Pivot Table Previous'!$A$3,
        "Player",View_Table[[#This Row],[Player]],
        "Result","Win"
    ),
    0
)</f>
        <v>3</v>
      </c>
      <c r="L34" s="5">
        <f>IFERROR(
    GETPIVOTDATA(
        "Result",
        'Pivot Table Previous'!$A$3,
        "Player",View_Table[[#This Row],[Player]],
        "Result","Loss"
    ),
    0
)</f>
        <v>7</v>
      </c>
      <c r="M34" s="5">
        <f>IFERROR(
    GETPIVOTDATA(
        "Result",
        'Pivot Table Previous'!$A$3,
        "Player",View_Table[[#This Row],[Player]],
        "Result","Draw"
    ),
    0
)</f>
        <v>4</v>
      </c>
      <c r="N34" s="5">
        <f>View_Table[[#This Row],[Wins Previous]]+View_Table[[#This Row],[Losses Previous]]+View_Table[[#This Row],[Draws Previous]]</f>
        <v>14</v>
      </c>
      <c r="O34" s="9">
        <f>_xlfn.LET(_xlpm.g,View_Table[[#This Row],[Games Previous]], _xlpm.w,(View_Table[[#This Row],[Wins Previous]] + View_Table[[#This Row],[Draws Previous]] * 0.25), _xlpm.fake, MAX(0,25-_xlpm.g), IF(_xlpm.g=0,0,(_xlpm.w + _xlpm.fake*0.25)/(_xlpm.g + _xlpm.fake)))</f>
        <v>0.27</v>
      </c>
      <c r="P34" s="7">
        <f>_xlfn.RANK.EQ(View_Table[[#This Row],[Weighted Win% Previous]], View_Table[Weighted Win% Previous], 0)</f>
        <v>13</v>
      </c>
    </row>
    <row r="35" spans="2:16" hidden="1" x14ac:dyDescent="0.25">
      <c r="B35" s="3" t="s">
        <v>478</v>
      </c>
      <c r="C35" s="6">
        <f>View_Table[[#This Row],[Rank Previous]]-View_Table[[#This Row],[Rank]]</f>
        <v>-1</v>
      </c>
      <c r="D35" s="7">
        <f>_xlfn.RANK.EQ(View_Table[[#This Row],[Weighted Win%]], View_Table[Weighted Win%], 0)</f>
        <v>24</v>
      </c>
      <c r="E35" s="9">
        <f>_xlfn.LET(_xlpm.g,View_Table[[#This Row],[Games]], _xlpm.w,(View_Table[[#This Row],[Wins]] + View_Table[[#This Row],[Draws]] * 0.25), _xlpm.fake, MAX(0,25-_xlpm.g), IF(_xlpm.g=0,0,(_xlpm.w + _xlpm.fake*0.25)/(_xlpm.g + _xlpm.fake)))</f>
        <v>0.24</v>
      </c>
      <c r="F35" s="8">
        <f>IF(View_Table[[#This Row],[Games]]=0,0,(View_Table[[#This Row],[Wins]] + (View_Table[[#This Row],[Draws]] * 0.25))/View_Table[[#This Row],[Games]])</f>
        <v>0.125</v>
      </c>
      <c r="G35" s="5">
        <f>IFERROR(
    GETPIVOTDATA(
        "Result",
        'Pivot Table'!$A$3,
        "Player",View_Table[[#This Row],[Player]],
        "Result","Win"
    ),
    0
)</f>
        <v>0</v>
      </c>
      <c r="H35" s="5">
        <f>IFERROR(
    GETPIVOTDATA(
        "Result",
        'Pivot Table'!$A$3,
        "Player",View_Table[[#This Row],[Player]],
        "Result","Loss"
    ),
    0
)</f>
        <v>1</v>
      </c>
      <c r="I35" s="5">
        <f>IFERROR(
    GETPIVOTDATA(
        "Result",
        'Pivot Table'!$A$3,
        "Player",View_Table[[#This Row],[Player]],
        "Result","Draw"
    ),
    0
)</f>
        <v>1</v>
      </c>
      <c r="J35" s="5">
        <f>View_Table[[#This Row],[Wins]]+View_Table[[#This Row],[Losses]]+View_Table[[#This Row],[Draws]]</f>
        <v>2</v>
      </c>
      <c r="K35" s="7">
        <f>IFERROR(
    GETPIVOTDATA(
        "Result",
        'Pivot Table Previous'!$A$3,
        "Player",View_Table[[#This Row],[Player]],
        "Result","Win"
    ),
    0
)</f>
        <v>0</v>
      </c>
      <c r="L35" s="5">
        <f>IFERROR(
    GETPIVOTDATA(
        "Result",
        'Pivot Table Previous'!$A$3,
        "Player",View_Table[[#This Row],[Player]],
        "Result","Loss"
    ),
    0
)</f>
        <v>1</v>
      </c>
      <c r="M35" s="5">
        <f>IFERROR(
    GETPIVOTDATA(
        "Result",
        'Pivot Table Previous'!$A$3,
        "Player",View_Table[[#This Row],[Player]],
        "Result","Draw"
    ),
    0
)</f>
        <v>1</v>
      </c>
      <c r="N35" s="5">
        <f>View_Table[[#This Row],[Wins Previous]]+View_Table[[#This Row],[Losses Previous]]+View_Table[[#This Row],[Draws Previous]]</f>
        <v>2</v>
      </c>
      <c r="O35" s="9">
        <f>_xlfn.LET(_xlpm.g,View_Table[[#This Row],[Games Previous]], _xlpm.w,(View_Table[[#This Row],[Wins Previous]] + View_Table[[#This Row],[Draws Previous]] * 0.25), _xlpm.fake, MAX(0,25-_xlpm.g), IF(_xlpm.g=0,0,(_xlpm.w + _xlpm.fake*0.25)/(_xlpm.g + _xlpm.fake)))</f>
        <v>0.24</v>
      </c>
      <c r="P35" s="7">
        <f>_xlfn.RANK.EQ(View_Table[[#This Row],[Weighted Win% Previous]], View_Table[Weighted Win% Previous], 0)</f>
        <v>23</v>
      </c>
    </row>
    <row r="36" spans="2:16" hidden="1" x14ac:dyDescent="0.25">
      <c r="B36" s="3" t="s">
        <v>401</v>
      </c>
      <c r="C36" s="6">
        <f>View_Table[[#This Row],[Rank Previous]]-View_Table[[#This Row],[Rank]]</f>
        <v>-3</v>
      </c>
      <c r="D36" s="7">
        <f>_xlfn.RANK.EQ(View_Table[[#This Row],[Weighted Win%]], View_Table[Weighted Win%], 0)</f>
        <v>47</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7">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_xlfn.RANK.EQ(View_Table[[#This Row],[Weighted Win% Previous]], View_Table[Weighted Win% Previous], 0)</f>
        <v>44</v>
      </c>
    </row>
    <row r="37" spans="2:16" hidden="1" x14ac:dyDescent="0.25">
      <c r="B37" s="3" t="s">
        <v>403</v>
      </c>
      <c r="C37" s="6">
        <f>View_Table[[#This Row],[Rank Previous]]-View_Table[[#This Row],[Rank]]</f>
        <v>-3</v>
      </c>
      <c r="D37" s="7">
        <f>_xlfn.RANK.EQ(View_Table[[#This Row],[Weighted Win%]], View_Table[Weighted Win%], 0)</f>
        <v>47</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44</v>
      </c>
    </row>
    <row r="38" spans="2:16" hidden="1" x14ac:dyDescent="0.25">
      <c r="B38" s="3" t="s">
        <v>404</v>
      </c>
      <c r="C38" s="6">
        <f>View_Table[[#This Row],[Rank Previous]]-View_Table[[#This Row],[Rank]]</f>
        <v>-3</v>
      </c>
      <c r="D38" s="7">
        <f>_xlfn.RANK.EQ(View_Table[[#This Row],[Weighted Win%]], View_Table[Weighted Win%], 0)</f>
        <v>47</v>
      </c>
      <c r="E38" s="9">
        <f>_xlfn.LET(_xlpm.g,View_Table[[#This Row],[Games]], _xlpm.w,(View_Table[[#This Row],[Wins]] + View_Table[[#This Row],[Draws]] * 0.25), _xlpm.fake, MAX(0,25-_xlpm.g), IF(_xlpm.g=0,0,(_xlpm.w + _xlpm.fake*0.25)/(_xlpm.g + _xlpm.fake)))</f>
        <v>0</v>
      </c>
      <c r="F38" s="8">
        <f>IF(View_Table[[#This Row],[Games]]=0,0,(View_Table[[#This Row],[Wins]] + (View_Table[[#This Row],[Draws]] * 0.25))/View_Table[[#This Row],[Games]])</f>
        <v>0</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0</v>
      </c>
      <c r="J38" s="5">
        <f>View_Table[[#This Row],[Wins]]+View_Table[[#This Row],[Losses]]+View_Table[[#This Row],[Draws]]</f>
        <v>0</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0</v>
      </c>
      <c r="N38" s="5">
        <f>View_Table[[#This Row],[Wins Previous]]+View_Table[[#This Row],[Losses Previous]]+View_Table[[#This Row],[Draws Previous]]</f>
        <v>0</v>
      </c>
      <c r="O38" s="9">
        <f>_xlfn.LET(_xlpm.g,View_Table[[#This Row],[Games Previous]], _xlpm.w,(View_Table[[#This Row],[Wins Previous]] + View_Table[[#This Row],[Draws Previous]] * 0.25), _xlpm.fake, MAX(0,25-_xlpm.g), IF(_xlpm.g=0,0,(_xlpm.w + _xlpm.fake*0.25)/(_xlpm.g + _xlpm.fake)))</f>
        <v>0</v>
      </c>
      <c r="P38" s="7">
        <f>_xlfn.RANK.EQ(View_Table[[#This Row],[Weighted Win% Previous]], View_Table[Weighted Win% Previous], 0)</f>
        <v>44</v>
      </c>
    </row>
    <row r="39" spans="2:16" hidden="1" x14ac:dyDescent="0.25">
      <c r="B39" s="3" t="s">
        <v>435</v>
      </c>
      <c r="C39" s="6">
        <f>View_Table[[#This Row],[Rank Previous]]-View_Table[[#This Row],[Rank]]</f>
        <v>-2</v>
      </c>
      <c r="D39" s="7">
        <f>_xlfn.RANK.EQ(View_Table[[#This Row],[Weighted Win%]], View_Table[Weighted Win%], 0)</f>
        <v>37</v>
      </c>
      <c r="E39" s="9">
        <f>_xlfn.LET(_xlpm.g,View_Table[[#This Row],[Games]], _xlpm.w,(View_Table[[#This Row],[Wins]] + View_Table[[#This Row],[Draws]] * 0.25), _xlpm.fake, MAX(0,25-_xlpm.g), IF(_xlpm.g=0,0,(_xlpm.w + _xlpm.fake*0.25)/(_xlpm.g + _xlpm.fake)))</f>
        <v>0.22</v>
      </c>
      <c r="F39" s="8">
        <f>IF(View_Table[[#This Row],[Games]]=0,0,(View_Table[[#This Row],[Wins]] + (View_Table[[#This Row],[Draws]] * 0.25))/View_Table[[#This Row],[Games]])</f>
        <v>6.25E-2</v>
      </c>
      <c r="G39" s="5">
        <f>IFERROR(
    GETPIVOTDATA(
        "Result",
        'Pivot Table'!$A$3,
        "Player",View_Table[[#This Row],[Player]],
        "Result","Win"
    ),
    0
)</f>
        <v>0</v>
      </c>
      <c r="H39" s="5">
        <f>IFERROR(
    GETPIVOTDATA(
        "Result",
        'Pivot Table'!$A$3,
        "Player",View_Table[[#This Row],[Player]],
        "Result","Loss"
    ),
    0
)</f>
        <v>3</v>
      </c>
      <c r="I39" s="5">
        <f>IFERROR(
    GETPIVOTDATA(
        "Result",
        'Pivot Table'!$A$3,
        "Player",View_Table[[#This Row],[Player]],
        "Result","Draw"
    ),
    0
)</f>
        <v>1</v>
      </c>
      <c r="J39" s="5">
        <f>View_Table[[#This Row],[Wins]]+View_Table[[#This Row],[Losses]]+View_Table[[#This Row],[Draws]]</f>
        <v>4</v>
      </c>
      <c r="K39" s="7">
        <f>IFERROR(
    GETPIVOTDATA(
        "Result",
        'Pivot Table Previous'!$A$3,
        "Player",View_Table[[#This Row],[Player]],
        "Result","Win"
    ),
    0
)</f>
        <v>0</v>
      </c>
      <c r="L39" s="5">
        <f>IFERROR(
    GETPIVOTDATA(
        "Result",
        'Pivot Table Previous'!$A$3,
        "Player",View_Table[[#This Row],[Player]],
        "Result","Loss"
    ),
    0
)</f>
        <v>3</v>
      </c>
      <c r="M39" s="5">
        <f>IFERROR(
    GETPIVOTDATA(
        "Result",
        'Pivot Table Previous'!$A$3,
        "Player",View_Table[[#This Row],[Player]],
        "Result","Draw"
    ),
    0
)</f>
        <v>1</v>
      </c>
      <c r="N39" s="5">
        <f>View_Table[[#This Row],[Wins Previous]]+View_Table[[#This Row],[Losses Previous]]+View_Table[[#This Row],[Draws Previous]]</f>
        <v>4</v>
      </c>
      <c r="O39" s="9">
        <f>_xlfn.LET(_xlpm.g,View_Table[[#This Row],[Games Previous]], _xlpm.w,(View_Table[[#This Row],[Wins Previous]] + View_Table[[#This Row],[Draws Previous]] * 0.25), _xlpm.fake, MAX(0,25-_xlpm.g), IF(_xlpm.g=0,0,(_xlpm.w + _xlpm.fake*0.25)/(_xlpm.g + _xlpm.fake)))</f>
        <v>0.22</v>
      </c>
      <c r="P39" s="7">
        <f>_xlfn.RANK.EQ(View_Table[[#This Row],[Weighted Win% Previous]], View_Table[Weighted Win% Previous], 0)</f>
        <v>35</v>
      </c>
    </row>
    <row r="40" spans="2:16" hidden="1" x14ac:dyDescent="0.25">
      <c r="B40" s="3" t="s">
        <v>59</v>
      </c>
      <c r="C40" s="6">
        <f>View_Table[[#This Row],[Rank Previous]]-View_Table[[#This Row],[Rank]]</f>
        <v>-4</v>
      </c>
      <c r="D40" s="7">
        <f>_xlfn.RANK.EQ(View_Table[[#This Row],[Weighted Win%]], View_Table[Weighted Win%], 0)</f>
        <v>29</v>
      </c>
      <c r="E40" s="9">
        <f>_xlfn.LET(_xlpm.g,View_Table[[#This Row],[Games]], _xlpm.w,(View_Table[[#This Row],[Wins]] + View_Table[[#This Row],[Draws]] * 0.25), _xlpm.fake, MAX(0,25-_xlpm.g), IF(_xlpm.g=0,0,(_xlpm.w + _xlpm.fake*0.25)/(_xlpm.g + _xlpm.fake)))</f>
        <v>0.23</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2</v>
      </c>
      <c r="I40" s="5">
        <f>IFERROR(
    GETPIVOTDATA(
        "Result",
        'Pivot Table'!$A$3,
        "Player",View_Table[[#This Row],[Player]],
        "Result","Draw"
    ),
    0
)</f>
        <v>0</v>
      </c>
      <c r="J40" s="5">
        <f>View_Table[[#This Row],[Wins]]+View_Table[[#This Row],[Losses]]+View_Table[[#This Row],[Draws]]</f>
        <v>2</v>
      </c>
      <c r="K40" s="5">
        <f>IFERROR(
    GETPIVOTDATA(
        "Result",
        'Pivot Table Previous'!$A$3,
        "Player",View_Table[[#This Row],[Player]],
        "Result","Win"
    ),
    0
)</f>
        <v>0</v>
      </c>
      <c r="L40" s="5">
        <f>IFERROR(
    GETPIVOTDATA(
        "Result",
        'Pivot Table Previous'!$A$3,
        "Player",View_Table[[#This Row],[Player]],
        "Result","Loss"
    ),
    0
)</f>
        <v>2</v>
      </c>
      <c r="M40" s="5">
        <f>IFERROR(
    GETPIVOTDATA(
        "Result",
        'Pivot Table Previous'!$A$3,
        "Player",View_Table[[#This Row],[Player]],
        "Result","Draw"
    ),
    0
)</f>
        <v>0</v>
      </c>
      <c r="N40" s="5">
        <f>View_Table[[#This Row],[Wins Previous]]+View_Table[[#This Row],[Losses Previous]]+View_Table[[#This Row],[Draws Previous]]</f>
        <v>2</v>
      </c>
      <c r="O40" s="9">
        <f>_xlfn.LET(_xlpm.g,View_Table[[#This Row],[Games Previous]], _xlpm.w,(View_Table[[#This Row],[Wins Previous]] + View_Table[[#This Row],[Draws Previous]] * 0.25), _xlpm.fake, MAX(0,25-_xlpm.g), IF(_xlpm.g=0,0,(_xlpm.w + _xlpm.fake*0.25)/(_xlpm.g + _xlpm.fake)))</f>
        <v>0.23</v>
      </c>
      <c r="P40" s="7">
        <f>IF(View_Table[[#This Row],[Games Previous]]=0,
    View_Table[[#This Row],[Rank]],
    _xlfn.RANK.EQ(View_Table[[#This Row],[Weighted Win% Previous]], View_Table[Weighted Win% Previous], 0)
)</f>
        <v>25</v>
      </c>
    </row>
    <row r="41" spans="2:16" hidden="1" x14ac:dyDescent="0.25">
      <c r="B41" s="3" t="s">
        <v>437</v>
      </c>
      <c r="C41" s="6">
        <f>View_Table[[#This Row],[Rank Previous]]-View_Table[[#This Row],[Rank]]</f>
        <v>-3</v>
      </c>
      <c r="D41" s="7">
        <f>_xlfn.RANK.EQ(View_Table[[#This Row],[Weighted Win%]], View_Table[Weighted Win%], 0)</f>
        <v>47</v>
      </c>
      <c r="E41" s="9">
        <f>_xlfn.LET(_xlpm.g,View_Table[[#This Row],[Games]], _xlpm.w,(View_Table[[#This Row],[Wins]] + View_Table[[#This Row],[Draws]] * 0.25), _xlpm.fake, MAX(0,25-_xlpm.g), IF(_xlpm.g=0,0,(_xlpm.w + _xlpm.fake*0.25)/(_xlpm.g + _xlpm.fake)))</f>
        <v>0</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0</v>
      </c>
      <c r="I41" s="5">
        <f>IFERROR(
    GETPIVOTDATA(
        "Result",
        'Pivot Table'!$A$3,
        "Player",View_Table[[#This Row],[Player]],
        "Result","Draw"
    ),
    0
)</f>
        <v>0</v>
      </c>
      <c r="J41" s="5">
        <f>View_Table[[#This Row],[Wins]]+View_Table[[#This Row],[Losses]]+View_Table[[#This Row],[Draws]]</f>
        <v>0</v>
      </c>
      <c r="K41" s="7">
        <f>IFERROR(
    GETPIVOTDATA(
        "Result",
        'Pivot Table Previous'!$A$3,
        "Player",View_Table[[#This Row],[Player]],
        "Result","Win"
    ),
    0
)</f>
        <v>0</v>
      </c>
      <c r="L41" s="5">
        <f>IFERROR(
    GETPIVOTDATA(
        "Result",
        'Pivot Table Previous'!$A$3,
        "Player",View_Table[[#This Row],[Player]],
        "Result","Loss"
    ),
    0
)</f>
        <v>0</v>
      </c>
      <c r="M41" s="5">
        <f>IFERROR(
    GETPIVOTDATA(
        "Result",
        'Pivot Table Previous'!$A$3,
        "Player",View_Table[[#This Row],[Player]],
        "Result","Draw"
    ),
    0
)</f>
        <v>0</v>
      </c>
      <c r="N41" s="5">
        <f>View_Table[[#This Row],[Wins Previous]]+View_Table[[#This Row],[Losses Previous]]+View_Table[[#This Row],[Draws Previous]]</f>
        <v>0</v>
      </c>
      <c r="O41" s="9">
        <f>_xlfn.LET(_xlpm.g,View_Table[[#This Row],[Games Previous]], _xlpm.w,(View_Table[[#This Row],[Wins Previous]] + View_Table[[#This Row],[Draws Previous]] * 0.25), _xlpm.fake, MAX(0,25-_xlpm.g), IF(_xlpm.g=0,0,(_xlpm.w + _xlpm.fake*0.25)/(_xlpm.g + _xlpm.fake)))</f>
        <v>0</v>
      </c>
      <c r="P41" s="7">
        <f>_xlfn.RANK.EQ(View_Table[[#This Row],[Weighted Win% Previous]], View_Table[Weighted Win% Previous], 0)</f>
        <v>44</v>
      </c>
    </row>
    <row r="42" spans="2:16" hidden="1" x14ac:dyDescent="0.25">
      <c r="B42" s="3" t="s">
        <v>438</v>
      </c>
      <c r="C42" s="6">
        <f>View_Table[[#This Row],[Rank Previous]]-View_Table[[#This Row],[Rank]]</f>
        <v>-4</v>
      </c>
      <c r="D42" s="7">
        <f>_xlfn.RANK.EQ(View_Table[[#This Row],[Weighted Win%]], View_Table[Weighted Win%], 0)</f>
        <v>29</v>
      </c>
      <c r="E42" s="9">
        <f>_xlfn.LET(_xlpm.g,View_Table[[#This Row],[Games]], _xlpm.w,(View_Table[[#This Row],[Wins]] + View_Table[[#This Row],[Draws]] * 0.25), _xlpm.fake, MAX(0,25-_xlpm.g), IF(_xlpm.g=0,0,(_xlpm.w + _xlpm.fake*0.25)/(_xlpm.g + _xlpm.fake)))</f>
        <v>0.23</v>
      </c>
      <c r="F42" s="8">
        <f>IF(View_Table[[#This Row],[Games]]=0,0,(View_Table[[#This Row],[Wins]] + (View_Table[[#This Row],[Draws]] * 0.25))/View_Table[[#This Row],[Games]])</f>
        <v>0</v>
      </c>
      <c r="G42" s="5">
        <f>IFERROR(
    GETPIVOTDATA(
        "Result",
        'Pivot Table'!$A$3,
        "Player",View_Table[[#This Row],[Player]],
        "Result","Win"
    ),
    0
)</f>
        <v>0</v>
      </c>
      <c r="H42" s="5">
        <f>IFERROR(
    GETPIVOTDATA(
        "Result",
        'Pivot Table'!$A$3,
        "Player",View_Table[[#This Row],[Player]],
        "Result","Loss"
    ),
    0
)</f>
        <v>2</v>
      </c>
      <c r="I42" s="5">
        <f>IFERROR(
    GETPIVOTDATA(
        "Result",
        'Pivot Table'!$A$3,
        "Player",View_Table[[#This Row],[Player]],
        "Result","Draw"
    ),
    0
)</f>
        <v>0</v>
      </c>
      <c r="J42" s="5">
        <f>View_Table[[#This Row],[Wins]]+View_Table[[#This Row],[Losses]]+View_Table[[#This Row],[Draws]]</f>
        <v>2</v>
      </c>
      <c r="K42" s="7">
        <f>IFERROR(
    GETPIVOTDATA(
        "Result",
        'Pivot Table Previous'!$A$3,
        "Player",View_Table[[#This Row],[Player]],
        "Result","Win"
    ),
    0
)</f>
        <v>0</v>
      </c>
      <c r="L42" s="5">
        <f>IFERROR(
    GETPIVOTDATA(
        "Result",
        'Pivot Table Previous'!$A$3,
        "Player",View_Table[[#This Row],[Player]],
        "Result","Loss"
    ),
    0
)</f>
        <v>2</v>
      </c>
      <c r="M42" s="5">
        <f>IFERROR(
    GETPIVOTDATA(
        "Result",
        'Pivot Table Previous'!$A$3,
        "Player",View_Table[[#This Row],[Player]],
        "Result","Draw"
    ),
    0
)</f>
        <v>0</v>
      </c>
      <c r="N42" s="5">
        <f>View_Table[[#This Row],[Wins Previous]]+View_Table[[#This Row],[Losses Previous]]+View_Table[[#This Row],[Draws Previous]]</f>
        <v>2</v>
      </c>
      <c r="O42" s="9">
        <f>_xlfn.LET(_xlpm.g,View_Table[[#This Row],[Games Previous]], _xlpm.w,(View_Table[[#This Row],[Wins Previous]] + View_Table[[#This Row],[Draws Previous]] * 0.25), _xlpm.fake, MAX(0,25-_xlpm.g), IF(_xlpm.g=0,0,(_xlpm.w + _xlpm.fake*0.25)/(_xlpm.g + _xlpm.fake)))</f>
        <v>0.23</v>
      </c>
      <c r="P42" s="7">
        <f>_xlfn.RANK.EQ(View_Table[[#This Row],[Weighted Win% Previous]], View_Table[Weighted Win% Previous], 0)</f>
        <v>25</v>
      </c>
    </row>
    <row r="43" spans="2:16" hidden="1" x14ac:dyDescent="0.25">
      <c r="B43" s="3" t="s">
        <v>365</v>
      </c>
      <c r="C43" s="6">
        <f>View_Table[[#This Row],[Rank Previous]]-View_Table[[#This Row],[Rank]]</f>
        <v>-4</v>
      </c>
      <c r="D43" s="7">
        <f>_xlfn.RANK.EQ(View_Table[[#This Row],[Weighted Win%]], View_Table[Weighted Win%], 0)</f>
        <v>29</v>
      </c>
      <c r="E43" s="9">
        <f>_xlfn.LET(_xlpm.g,View_Table[[#This Row],[Games]], _xlpm.w,(View_Table[[#This Row],[Wins]] + View_Table[[#This Row],[Draws]] * 0.25), _xlpm.fake, MAX(0,25-_xlpm.g), IF(_xlpm.g=0,0,(_xlpm.w + _xlpm.fake*0.25)/(_xlpm.g + _xlpm.fake)))</f>
        <v>0.23</v>
      </c>
      <c r="F43" s="8">
        <f>IF(View_Table[[#This Row],[Games]]=0,0,(View_Table[[#This Row],[Wins]] + (View_Table[[#This Row],[Draws]] * 0.25))/View_Table[[#This Row],[Games]])</f>
        <v>0</v>
      </c>
      <c r="G43" s="5">
        <f>IFERROR(
    GETPIVOTDATA(
        "Result",
        'Pivot Table'!$A$3,
        "Player",View_Table[[#This Row],[Player]],
        "Result","Win"
    ),
    0
)</f>
        <v>0</v>
      </c>
      <c r="H43" s="5">
        <f>IFERROR(
    GETPIVOTDATA(
        "Result",
        'Pivot Table'!$A$3,
        "Player",View_Table[[#This Row],[Player]],
        "Result","Loss"
    ),
    0
)</f>
        <v>2</v>
      </c>
      <c r="I43" s="5">
        <f>IFERROR(
    GETPIVOTDATA(
        "Result",
        'Pivot Table'!$A$3,
        "Player",View_Table[[#This Row],[Player]],
        "Result","Draw"
    ),
    0
)</f>
        <v>0</v>
      </c>
      <c r="J43" s="5">
        <f>View_Table[[#This Row],[Wins]]+View_Table[[#This Row],[Losses]]+View_Table[[#This Row],[Draws]]</f>
        <v>2</v>
      </c>
      <c r="K43" s="7">
        <f>IFERROR(
    GETPIVOTDATA(
        "Result",
        'Pivot Table Previous'!$A$3,
        "Player",View_Table[[#This Row],[Player]],
        "Result","Win"
    ),
    0
)</f>
        <v>0</v>
      </c>
      <c r="L43" s="5">
        <f>IFERROR(
    GETPIVOTDATA(
        "Result",
        'Pivot Table Previous'!$A$3,
        "Player",View_Table[[#This Row],[Player]],
        "Result","Loss"
    ),
    0
)</f>
        <v>2</v>
      </c>
      <c r="M43" s="5">
        <f>IFERROR(
    GETPIVOTDATA(
        "Result",
        'Pivot Table Previous'!$A$3,
        "Player",View_Table[[#This Row],[Player]],
        "Result","Draw"
    ),
    0
)</f>
        <v>0</v>
      </c>
      <c r="N43" s="5">
        <f>View_Table[[#This Row],[Wins Previous]]+View_Table[[#This Row],[Losses Previous]]+View_Table[[#This Row],[Draws Previous]]</f>
        <v>2</v>
      </c>
      <c r="O43" s="9">
        <f>_xlfn.LET(_xlpm.g,View_Table[[#This Row],[Games Previous]], _xlpm.w,(View_Table[[#This Row],[Wins Previous]] + View_Table[[#This Row],[Draws Previous]] * 0.25), _xlpm.fake, MAX(0,25-_xlpm.g), IF(_xlpm.g=0,0,(_xlpm.w + _xlpm.fake*0.25)/(_xlpm.g + _xlpm.fake)))</f>
        <v>0.23</v>
      </c>
      <c r="P43" s="7">
        <f>_xlfn.RANK.EQ(View_Table[[#This Row],[Weighted Win% Previous]], View_Table[Weighted Win% Previous], 0)</f>
        <v>25</v>
      </c>
    </row>
    <row r="44" spans="2:16" hidden="1" x14ac:dyDescent="0.25">
      <c r="B44" s="3" t="s">
        <v>463</v>
      </c>
      <c r="C44" s="6">
        <f>View_Table[[#This Row],[Rank Previous]]-View_Table[[#This Row],[Rank]]</f>
        <v>-3</v>
      </c>
      <c r="D44" s="7">
        <f>_xlfn.RANK.EQ(View_Table[[#This Row],[Weighted Win%]], View_Table[Weighted Win%], 0)</f>
        <v>47</v>
      </c>
      <c r="E44" s="9">
        <f>_xlfn.LET(_xlpm.g,View_Table[[#This Row],[Games]], _xlpm.w,(View_Table[[#This Row],[Wins]] + View_Table[[#This Row],[Draws]] * 0.25), _xlpm.fake, MAX(0,25-_xlpm.g), IF(_xlpm.g=0,0,(_xlpm.w + _xlpm.fake*0.25)/(_xlpm.g + _xlpm.fake)))</f>
        <v>0</v>
      </c>
      <c r="F44" s="8">
        <f>IF(View_Table[[#This Row],[Games]]=0,0,(View_Table[[#This Row],[Wins]] + (View_Table[[#This Row],[Draws]] * 0.25))/View_Table[[#This Row],[Games]])</f>
        <v>0</v>
      </c>
      <c r="G44" s="5">
        <f>IFERROR(
    GETPIVOTDATA(
        "Result",
        'Pivot Table'!$A$3,
        "Player",View_Table[[#This Row],[Player]],
        "Result","Win"
    ),
    0
)</f>
        <v>0</v>
      </c>
      <c r="H44" s="5">
        <f>IFERROR(
    GETPIVOTDATA(
        "Result",
        'Pivot Table'!$A$3,
        "Player",View_Table[[#This Row],[Player]],
        "Result","Loss"
    ),
    0
)</f>
        <v>0</v>
      </c>
      <c r="I44" s="5">
        <f>IFERROR(
    GETPIVOTDATA(
        "Result",
        'Pivot Table'!$A$3,
        "Player",View_Table[[#This Row],[Player]],
        "Result","Draw"
    ),
    0
)</f>
        <v>0</v>
      </c>
      <c r="J44" s="5">
        <f>View_Table[[#This Row],[Wins]]+View_Table[[#This Row],[Losses]]+View_Table[[#This Row],[Draws]]</f>
        <v>0</v>
      </c>
      <c r="K44" s="7">
        <f>IFERROR(
    GETPIVOTDATA(
        "Result",
        'Pivot Table Previous'!$A$3,
        "Player",View_Table[[#This Row],[Player]],
        "Result","Win"
    ),
    0
)</f>
        <v>0</v>
      </c>
      <c r="L44" s="5">
        <f>IFERROR(
    GETPIVOTDATA(
        "Result",
        'Pivot Table Previous'!$A$3,
        "Player",View_Table[[#This Row],[Player]],
        "Result","Loss"
    ),
    0
)</f>
        <v>0</v>
      </c>
      <c r="M44" s="5">
        <f>IFERROR(
    GETPIVOTDATA(
        "Result",
        'Pivot Table Previous'!$A$3,
        "Player",View_Table[[#This Row],[Player]],
        "Result","Draw"
    ),
    0
)</f>
        <v>0</v>
      </c>
      <c r="N44" s="5">
        <f>View_Table[[#This Row],[Wins Previous]]+View_Table[[#This Row],[Losses Previous]]+View_Table[[#This Row],[Draws Previous]]</f>
        <v>0</v>
      </c>
      <c r="O44" s="9">
        <f>_xlfn.LET(_xlpm.g,View_Table[[#This Row],[Games Previous]], _xlpm.w,(View_Table[[#This Row],[Wins Previous]] + View_Table[[#This Row],[Draws Previous]] * 0.25), _xlpm.fake, MAX(0,25-_xlpm.g), IF(_xlpm.g=0,0,(_xlpm.w + _xlpm.fake*0.25)/(_xlpm.g + _xlpm.fake)))</f>
        <v>0</v>
      </c>
      <c r="P44" s="7">
        <f>_xlfn.RANK.EQ(View_Table[[#This Row],[Weighted Win% Previous]], View_Table[Weighted Win% Previous], 0)</f>
        <v>44</v>
      </c>
    </row>
    <row r="45" spans="2:16" hidden="1" x14ac:dyDescent="0.25">
      <c r="B45" s="3" t="s">
        <v>42</v>
      </c>
      <c r="C45" s="6">
        <f>View_Table[[#This Row],[Rank Previous]]-View_Table[[#This Row],[Rank]]</f>
        <v>-3</v>
      </c>
      <c r="D45" s="7">
        <f>_xlfn.RANK.EQ(View_Table[[#This Row],[Weighted Win%]], View_Table[Weighted Win%], 0)</f>
        <v>47</v>
      </c>
      <c r="E45" s="9">
        <f>_xlfn.LET(_xlpm.g,View_Table[[#This Row],[Games]], _xlpm.w,(View_Table[[#This Row],[Wins]] + View_Table[[#This Row],[Draws]] * 0.25), _xlpm.fake, MAX(0,25-_xlpm.g), IF(_xlpm.g=0,0,(_xlpm.w + _xlpm.fake*0.25)/(_xlpm.g + _xlpm.fake)))</f>
        <v>0</v>
      </c>
      <c r="F45" s="8">
        <f>IF(View_Table[[#This Row],[Games]]=0,0,(View_Table[[#This Row],[Wins]] + (View_Table[[#This Row],[Draws]] * 0.25))/View_Table[[#This Row],[Games]])</f>
        <v>0</v>
      </c>
      <c r="G45" s="5">
        <f>IFERROR(
    GETPIVOTDATA(
        "Result",
        'Pivot Table'!$A$3,
        "Player",View_Table[[#This Row],[Player]],
        "Result","Win"
    ),
    0
)</f>
        <v>0</v>
      </c>
      <c r="H45" s="5">
        <f>IFERROR(
    GETPIVOTDATA(
        "Result",
        'Pivot Table'!$A$3,
        "Player",View_Table[[#This Row],[Player]],
        "Result","Loss"
    ),
    0
)</f>
        <v>0</v>
      </c>
      <c r="I45" s="5">
        <f>IFERROR(
    GETPIVOTDATA(
        "Result",
        'Pivot Table'!$A$3,
        "Player",View_Table[[#This Row],[Player]],
        "Result","Draw"
    ),
    0
)</f>
        <v>0</v>
      </c>
      <c r="J45" s="5">
        <f>View_Table[[#This Row],[Wins]]+View_Table[[#This Row],[Losses]]+View_Table[[#This Row],[Draws]]</f>
        <v>0</v>
      </c>
      <c r="K45" s="7">
        <f>IFERROR(
    GETPIVOTDATA(
        "Result",
        'Pivot Table Previous'!$A$3,
        "Player",View_Table[[#This Row],[Player]],
        "Result","Win"
    ),
    0
)</f>
        <v>0</v>
      </c>
      <c r="L45" s="5">
        <f>IFERROR(
    GETPIVOTDATA(
        "Result",
        'Pivot Table Previous'!$A$3,
        "Player",View_Table[[#This Row],[Player]],
        "Result","Loss"
    ),
    0
)</f>
        <v>0</v>
      </c>
      <c r="M45" s="5">
        <f>IFERROR(
    GETPIVOTDATA(
        "Result",
        'Pivot Table Previous'!$A$3,
        "Player",View_Table[[#This Row],[Player]],
        "Result","Draw"
    ),
    0
)</f>
        <v>0</v>
      </c>
      <c r="N45" s="5">
        <f>View_Table[[#This Row],[Wins Previous]]+View_Table[[#This Row],[Losses Previous]]+View_Table[[#This Row],[Draws Previous]]</f>
        <v>0</v>
      </c>
      <c r="O45" s="9">
        <f>_xlfn.LET(_xlpm.g,View_Table[[#This Row],[Games Previous]], _xlpm.w,(View_Table[[#This Row],[Wins Previous]] + View_Table[[#This Row],[Draws Previous]] * 0.25), _xlpm.fake, MAX(0,25-_xlpm.g), IF(_xlpm.g=0,0,(_xlpm.w + _xlpm.fake*0.25)/(_xlpm.g + _xlpm.fake)))</f>
        <v>0</v>
      </c>
      <c r="P45" s="7">
        <f>_xlfn.RANK.EQ(View_Table[[#This Row],[Weighted Win% Previous]], View_Table[Weighted Win% Previous], 0)</f>
        <v>44</v>
      </c>
    </row>
    <row r="46" spans="2:16" hidden="1" x14ac:dyDescent="0.25">
      <c r="B46" s="3" t="s">
        <v>464</v>
      </c>
      <c r="C46" s="6">
        <f>View_Table[[#This Row],[Rank Previous]]-View_Table[[#This Row],[Rank]]</f>
        <v>-4</v>
      </c>
      <c r="D46" s="7">
        <f>_xlfn.RANK.EQ(View_Table[[#This Row],[Weighted Win%]], View_Table[Weighted Win%], 0)</f>
        <v>29</v>
      </c>
      <c r="E46" s="9">
        <f>_xlfn.LET(_xlpm.g,View_Table[[#This Row],[Games]], _xlpm.w,(View_Table[[#This Row],[Wins]] + View_Table[[#This Row],[Draws]] * 0.25), _xlpm.fake, MAX(0,25-_xlpm.g), IF(_xlpm.g=0,0,(_xlpm.w + _xlpm.fake*0.25)/(_xlpm.g + _xlpm.fake)))</f>
        <v>0.23</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2</v>
      </c>
      <c r="I46" s="5">
        <f>IFERROR(
    GETPIVOTDATA(
        "Result",
        'Pivot Table'!$A$3,
        "Player",View_Table[[#This Row],[Player]],
        "Result","Draw"
    ),
    0
)</f>
        <v>0</v>
      </c>
      <c r="J46" s="5">
        <f>View_Table[[#This Row],[Wins]]+View_Table[[#This Row],[Losses]]+View_Table[[#This Row],[Draws]]</f>
        <v>2</v>
      </c>
      <c r="K46" s="7">
        <f>IFERROR(
    GETPIVOTDATA(
        "Result",
        'Pivot Table Previous'!$A$3,
        "Player",View_Table[[#This Row],[Player]],
        "Result","Win"
    ),
    0
)</f>
        <v>0</v>
      </c>
      <c r="L46" s="5">
        <f>IFERROR(
    GETPIVOTDATA(
        "Result",
        'Pivot Table Previous'!$A$3,
        "Player",View_Table[[#This Row],[Player]],
        "Result","Loss"
    ),
    0
)</f>
        <v>2</v>
      </c>
      <c r="M46" s="5">
        <f>IFERROR(
    GETPIVOTDATA(
        "Result",
        'Pivot Table Previous'!$A$3,
        "Player",View_Table[[#This Row],[Player]],
        "Result","Draw"
    ),
    0
)</f>
        <v>0</v>
      </c>
      <c r="N46" s="5">
        <f>View_Table[[#This Row],[Wins Previous]]+View_Table[[#This Row],[Losses Previous]]+View_Table[[#This Row],[Draws Previous]]</f>
        <v>2</v>
      </c>
      <c r="O46" s="9">
        <f>_xlfn.LET(_xlpm.g,View_Table[[#This Row],[Games Previous]], _xlpm.w,(View_Table[[#This Row],[Wins Previous]] + View_Table[[#This Row],[Draws Previous]] * 0.25), _xlpm.fake, MAX(0,25-_xlpm.g), IF(_xlpm.g=0,0,(_xlpm.w + _xlpm.fake*0.25)/(_xlpm.g + _xlpm.fake)))</f>
        <v>0.23</v>
      </c>
      <c r="P46" s="7">
        <f>_xlfn.RANK.EQ(View_Table[[#This Row],[Weighted Win% Previous]], View_Table[Weighted Win% Previous], 0)</f>
        <v>25</v>
      </c>
    </row>
    <row r="47" spans="2:16" x14ac:dyDescent="0.25">
      <c r="B47" s="3" t="s">
        <v>17</v>
      </c>
      <c r="C47" s="6">
        <f>View_Table[[#This Row],[Rank Previous]]-View_Table[[#This Row],[Rank]]</f>
        <v>-6</v>
      </c>
      <c r="D47" s="7">
        <f>_xlfn.RANK.EQ(View_Table[[#This Row],[Weighted Win%]], View_Table[Weighted Win%], 0)</f>
        <v>24</v>
      </c>
      <c r="E47" s="9">
        <f>_xlfn.LET(_xlpm.g,View_Table[[#This Row],[Games]], _xlpm.w,(View_Table[[#This Row],[Wins]] + View_Table[[#This Row],[Draws]] * 0.25), _xlpm.fake, MAX(0,25-_xlpm.g), IF(_xlpm.g=0,0,(_xlpm.w + _xlpm.fake*0.25)/(_xlpm.g + _xlpm.fake)))</f>
        <v>0.24</v>
      </c>
      <c r="F47" s="8">
        <f>IF(View_Table[[#This Row],[Games]]=0,0,(View_Table[[#This Row],[Wins]] + (View_Table[[#This Row],[Draws]] * 0.25))/View_Table[[#This Row],[Games]])</f>
        <v>0.23749999999999999</v>
      </c>
      <c r="G47" s="5">
        <f>IFERROR(
    GETPIVOTDATA(
        "Result",
        'Pivot Table'!$A$3,
        "Player",View_Table[[#This Row],[Player]],
        "Result","Win"
    ),
    0
)</f>
        <v>3</v>
      </c>
      <c r="H47" s="5">
        <f>IFERROR(
    GETPIVOTDATA(
        "Result",
        'Pivot Table'!$A$3,
        "Player",View_Table[[#This Row],[Player]],
        "Result","Loss"
    ),
    0
)</f>
        <v>10</v>
      </c>
      <c r="I47" s="5">
        <f>IFERROR(
    GETPIVOTDATA(
        "Result",
        'Pivot Table'!$A$3,
        "Player",View_Table[[#This Row],[Player]],
        "Result","Draw"
    ),
    0
)</f>
        <v>7</v>
      </c>
      <c r="J47" s="5">
        <f>View_Table[[#This Row],[Wins]]+View_Table[[#This Row],[Losses]]+View_Table[[#This Row],[Draws]]</f>
        <v>20</v>
      </c>
      <c r="K47" s="5">
        <f>IFERROR(
    GETPIVOTDATA(
        "Result",
        'Pivot Table Previous'!$A$3,
        "Player",View_Table[[#This Row],[Player]],
        "Result","Win"
    ),
    0
)</f>
        <v>3</v>
      </c>
      <c r="L47" s="5">
        <f>IFERROR(
    GETPIVOTDATA(
        "Result",
        'Pivot Table Previous'!$A$3,
        "Player",View_Table[[#This Row],[Player]],
        "Result","Loss"
    ),
    0
)</f>
        <v>9</v>
      </c>
      <c r="M47" s="5">
        <f>IFERROR(
    GETPIVOTDATA(
        "Result",
        'Pivot Table Previous'!$A$3,
        "Player",View_Table[[#This Row],[Player]],
        "Result","Draw"
    ),
    0
)</f>
        <v>6</v>
      </c>
      <c r="N47" s="5">
        <f>View_Table[[#This Row],[Wins Previous]]+View_Table[[#This Row],[Losses Previous]]+View_Table[[#This Row],[Draws Previous]]</f>
        <v>18</v>
      </c>
      <c r="O47" s="9">
        <f>_xlfn.LET(_xlpm.g,View_Table[[#This Row],[Games Previous]], _xlpm.w,(View_Table[[#This Row],[Wins Previous]] + View_Table[[#This Row],[Draws Previous]] * 0.25), _xlpm.fake, MAX(0,25-_xlpm.g), IF(_xlpm.g=0,0,(_xlpm.w + _xlpm.fake*0.25)/(_xlpm.g + _xlpm.fake)))</f>
        <v>0.25</v>
      </c>
      <c r="P47" s="7">
        <f>IF(View_Table[[#This Row],[Games Previous]]=0,
    View_Table[[#This Row],[Rank]],
    _xlfn.RANK.EQ(View_Table[[#This Row],[Weighted Win% Previous]], View_Table[Weighted Win% Previous], 0)
)</f>
        <v>18</v>
      </c>
    </row>
    <row r="48" spans="2:16" hidden="1" x14ac:dyDescent="0.25">
      <c r="B48" s="3" t="s">
        <v>27</v>
      </c>
      <c r="C48" s="6">
        <f>View_Table[[#This Row],[Rank Previous]]-View_Table[[#This Row],[Rank]]</f>
        <v>-4</v>
      </c>
      <c r="D48" s="7">
        <f>_xlfn.RANK.EQ(View_Table[[#This Row],[Weighted Win%]], View_Table[Weighted Win%], 0)</f>
        <v>29</v>
      </c>
      <c r="E48" s="9">
        <f>_xlfn.LET(_xlpm.g,View_Table[[#This Row],[Games]], _xlpm.w,(View_Table[[#This Row],[Wins]] + View_Table[[#This Row],[Draws]] * 0.25), _xlpm.fake, MAX(0,25-_xlpm.g), IF(_xlpm.g=0,0,(_xlpm.w + _xlpm.fake*0.25)/(_xlpm.g + _xlpm.fake)))</f>
        <v>0.23</v>
      </c>
      <c r="F48" s="8">
        <f>IF(View_Table[[#This Row],[Games]]=0,0,(View_Table[[#This Row],[Wins]] + (View_Table[[#This Row],[Draws]] * 0.25))/View_Table[[#This Row],[Games]])</f>
        <v>0.125</v>
      </c>
      <c r="G48" s="5">
        <f>IFERROR(
    GETPIVOTDATA(
        "Result",
        'Pivot Table'!$A$3,
        "Player",View_Table[[#This Row],[Player]],
        "Result","Win"
    ),
    0
)</f>
        <v>0</v>
      </c>
      <c r="H48" s="5">
        <f>IFERROR(
    GETPIVOTDATA(
        "Result",
        'Pivot Table'!$A$3,
        "Player",View_Table[[#This Row],[Player]],
        "Result","Loss"
    ),
    0
)</f>
        <v>2</v>
      </c>
      <c r="I48" s="5">
        <f>IFERROR(
    GETPIVOTDATA(
        "Result",
        'Pivot Table'!$A$3,
        "Player",View_Table[[#This Row],[Player]],
        "Result","Draw"
    ),
    0
)</f>
        <v>2</v>
      </c>
      <c r="J48" s="5">
        <f>View_Table[[#This Row],[Wins]]+View_Table[[#This Row],[Losses]]+View_Table[[#This Row],[Draws]]</f>
        <v>4</v>
      </c>
      <c r="K48" s="7">
        <f>IFERROR(
    GETPIVOTDATA(
        "Result",
        'Pivot Table Previous'!$A$3,
        "Player",View_Table[[#This Row],[Player]],
        "Result","Win"
    ),
    0
)</f>
        <v>0</v>
      </c>
      <c r="L48" s="5">
        <f>IFERROR(
    GETPIVOTDATA(
        "Result",
        'Pivot Table Previous'!$A$3,
        "Player",View_Table[[#This Row],[Player]],
        "Result","Loss"
    ),
    0
)</f>
        <v>2</v>
      </c>
      <c r="M48" s="5">
        <f>IFERROR(
    GETPIVOTDATA(
        "Result",
        'Pivot Table Previous'!$A$3,
        "Player",View_Table[[#This Row],[Player]],
        "Result","Draw"
    ),
    0
)</f>
        <v>2</v>
      </c>
      <c r="N48" s="5">
        <f>View_Table[[#This Row],[Wins Previous]]+View_Table[[#This Row],[Losses Previous]]+View_Table[[#This Row],[Draws Previous]]</f>
        <v>4</v>
      </c>
      <c r="O48" s="9">
        <f>_xlfn.LET(_xlpm.g,View_Table[[#This Row],[Games Previous]], _xlpm.w,(View_Table[[#This Row],[Wins Previous]] + View_Table[[#This Row],[Draws Previous]] * 0.25), _xlpm.fake, MAX(0,25-_xlpm.g), IF(_xlpm.g=0,0,(_xlpm.w + _xlpm.fake*0.25)/(_xlpm.g + _xlpm.fake)))</f>
        <v>0.23</v>
      </c>
      <c r="P48" s="7">
        <f>_xlfn.RANK.EQ(View_Table[[#This Row],[Weighted Win% Previous]], View_Table[Weighted Win% Previous], 0)</f>
        <v>25</v>
      </c>
    </row>
    <row r="49" spans="2:16" x14ac:dyDescent="0.25">
      <c r="B49" s="3" t="s">
        <v>41</v>
      </c>
      <c r="C49" s="6">
        <f>View_Table[[#This Row],[Rank Previous]]-View_Table[[#This Row],[Rank]]</f>
        <v>-6</v>
      </c>
      <c r="D49" s="7">
        <f>_xlfn.RANK.EQ(View_Table[[#This Row],[Weighted Win%]], View_Table[Weighted Win%], 0)</f>
        <v>24</v>
      </c>
      <c r="E49" s="9">
        <f>_xlfn.LET(_xlpm.g,View_Table[[#This Row],[Games]], _xlpm.w,(View_Table[[#This Row],[Wins]] + View_Table[[#This Row],[Draws]] * 0.25), _xlpm.fake, MAX(0,25-_xlpm.g), IF(_xlpm.g=0,0,(_xlpm.w + _xlpm.fake*0.25)/(_xlpm.g + _xlpm.fake)))</f>
        <v>0.24</v>
      </c>
      <c r="F49" s="8">
        <f>IF(View_Table[[#This Row],[Games]]=0,0,(View_Table[[#This Row],[Wins]] + (View_Table[[#This Row],[Draws]] * 0.25))/View_Table[[#This Row],[Games]])</f>
        <v>0.23749999999999999</v>
      </c>
      <c r="G49" s="5">
        <f>IFERROR(
    GETPIVOTDATA(
        "Result",
        'Pivot Table'!$A$3,
        "Player",View_Table[[#This Row],[Player]],
        "Result","Win"
    ),
    0
)</f>
        <v>4</v>
      </c>
      <c r="H49" s="5">
        <f>IFERROR(
    GETPIVOTDATA(
        "Result",
        'Pivot Table'!$A$3,
        "Player",View_Table[[#This Row],[Player]],
        "Result","Loss"
    ),
    0
)</f>
        <v>13</v>
      </c>
      <c r="I49" s="5">
        <f>IFERROR(
    GETPIVOTDATA(
        "Result",
        'Pivot Table'!$A$3,
        "Player",View_Table[[#This Row],[Player]],
        "Result","Draw"
    ),
    0
)</f>
        <v>3</v>
      </c>
      <c r="J49" s="5">
        <f>View_Table[[#This Row],[Wins]]+View_Table[[#This Row],[Losses]]+View_Table[[#This Row],[Draws]]</f>
        <v>20</v>
      </c>
      <c r="K49" s="5">
        <f>IFERROR(
    GETPIVOTDATA(
        "Result",
        'Pivot Table Previous'!$A$3,
        "Player",View_Table[[#This Row],[Player]],
        "Result","Win"
    ),
    0
)</f>
        <v>4</v>
      </c>
      <c r="L49" s="5">
        <f>IFERROR(
    GETPIVOTDATA(
        "Result",
        'Pivot Table Previous'!$A$3,
        "Player",View_Table[[#This Row],[Player]],
        "Result","Loss"
    ),
    0
)</f>
        <v>12</v>
      </c>
      <c r="M49" s="5">
        <f>IFERROR(
    GETPIVOTDATA(
        "Result",
        'Pivot Table Previous'!$A$3,
        "Player",View_Table[[#This Row],[Player]],
        "Result","Draw"
    ),
    0
)</f>
        <v>2</v>
      </c>
      <c r="N49" s="5">
        <f>View_Table[[#This Row],[Wins Previous]]+View_Table[[#This Row],[Losses Previous]]+View_Table[[#This Row],[Draws Previous]]</f>
        <v>18</v>
      </c>
      <c r="O49" s="9">
        <f>_xlfn.LET(_xlpm.g,View_Table[[#This Row],[Games Previous]], _xlpm.w,(View_Table[[#This Row],[Wins Previous]] + View_Table[[#This Row],[Draws Previous]] * 0.25), _xlpm.fake, MAX(0,25-_xlpm.g), IF(_xlpm.g=0,0,(_xlpm.w + _xlpm.fake*0.25)/(_xlpm.g + _xlpm.fake)))</f>
        <v>0.25</v>
      </c>
      <c r="P49" s="7">
        <f>IF(View_Table[[#This Row],[Games Previous]]=0,
    View_Table[[#This Row],[Rank]],
    _xlfn.RANK.EQ(View_Table[[#This Row],[Weighted Win% Previous]], View_Table[Weighted Win% Previous], 0)
)</f>
        <v>18</v>
      </c>
    </row>
    <row r="50" spans="2:16" hidden="1" x14ac:dyDescent="0.25">
      <c r="B50" s="3" t="s">
        <v>30</v>
      </c>
      <c r="C50" s="6">
        <f>View_Table[[#This Row],[Rank Previous]]-View_Table[[#This Row],[Rank]]</f>
        <v>-2</v>
      </c>
      <c r="D50" s="7">
        <f>_xlfn.RANK.EQ(View_Table[[#This Row],[Weighted Win%]], View_Table[Weighted Win%], 0)</f>
        <v>37</v>
      </c>
      <c r="E50" s="9">
        <f>_xlfn.LET(_xlpm.g,View_Table[[#This Row],[Games]], _xlpm.w,(View_Table[[#This Row],[Wins]] + View_Table[[#This Row],[Draws]] * 0.25), _xlpm.fake, MAX(0,25-_xlpm.g), IF(_xlpm.g=0,0,(_xlpm.w + _xlpm.fake*0.25)/(_xlpm.g + _xlpm.fake)))</f>
        <v>0.22</v>
      </c>
      <c r="F50" s="8">
        <f>IF(View_Table[[#This Row],[Games]]=0,0,(View_Table[[#This Row],[Wins]] + (View_Table[[#This Row],[Draws]] * 0.25))/View_Table[[#This Row],[Games]])</f>
        <v>6.25E-2</v>
      </c>
      <c r="G50" s="5">
        <f>IFERROR(
    GETPIVOTDATA(
        "Result",
        'Pivot Table'!$A$3,
        "Player",View_Table[[#This Row],[Player]],
        "Result","Win"
    ),
    0
)</f>
        <v>0</v>
      </c>
      <c r="H50" s="5">
        <f>IFERROR(
    GETPIVOTDATA(
        "Result",
        'Pivot Table'!$A$3,
        "Player",View_Table[[#This Row],[Player]],
        "Result","Loss"
    ),
    0
)</f>
        <v>3</v>
      </c>
      <c r="I50" s="5">
        <f>IFERROR(
    GETPIVOTDATA(
        "Result",
        'Pivot Table'!$A$3,
        "Player",View_Table[[#This Row],[Player]],
        "Result","Draw"
    ),
    0
)</f>
        <v>1</v>
      </c>
      <c r="J50" s="5">
        <f>View_Table[[#This Row],[Wins]]+View_Table[[#This Row],[Losses]]+View_Table[[#This Row],[Draws]]</f>
        <v>4</v>
      </c>
      <c r="K50" s="7">
        <f>IFERROR(
    GETPIVOTDATA(
        "Result",
        'Pivot Table Previous'!$A$3,
        "Player",View_Table[[#This Row],[Player]],
        "Result","Win"
    ),
    0
)</f>
        <v>0</v>
      </c>
      <c r="L50" s="5">
        <f>IFERROR(
    GETPIVOTDATA(
        "Result",
        'Pivot Table Previous'!$A$3,
        "Player",View_Table[[#This Row],[Player]],
        "Result","Loss"
    ),
    0
)</f>
        <v>3</v>
      </c>
      <c r="M50" s="5">
        <f>IFERROR(
    GETPIVOTDATA(
        "Result",
        'Pivot Table Previous'!$A$3,
        "Player",View_Table[[#This Row],[Player]],
        "Result","Draw"
    ),
    0
)</f>
        <v>1</v>
      </c>
      <c r="N50" s="5">
        <f>View_Table[[#This Row],[Wins Previous]]+View_Table[[#This Row],[Losses Previous]]+View_Table[[#This Row],[Draws Previous]]</f>
        <v>4</v>
      </c>
      <c r="O50" s="9">
        <f>_xlfn.LET(_xlpm.g,View_Table[[#This Row],[Games Previous]], _xlpm.w,(View_Table[[#This Row],[Wins Previous]] + View_Table[[#This Row],[Draws Previous]] * 0.25), _xlpm.fake, MAX(0,25-_xlpm.g), IF(_xlpm.g=0,0,(_xlpm.w + _xlpm.fake*0.25)/(_xlpm.g + _xlpm.fake)))</f>
        <v>0.22</v>
      </c>
      <c r="P50" s="7">
        <f>_xlfn.RANK.EQ(View_Table[[#This Row],[Weighted Win% Previous]], View_Table[Weighted Win% Previous], 0)</f>
        <v>35</v>
      </c>
    </row>
    <row r="51" spans="2:16" hidden="1" x14ac:dyDescent="0.25">
      <c r="B51" s="3" t="s">
        <v>541</v>
      </c>
      <c r="C51" s="6">
        <f>View_Table[[#This Row],[Rank Previous]]-View_Table[[#This Row],[Rank]]</f>
        <v>-3</v>
      </c>
      <c r="D51" s="7">
        <f>_xlfn.RANK.EQ(View_Table[[#This Row],[Weighted Win%]], View_Table[Weighted Win%], 0)</f>
        <v>47</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44</v>
      </c>
    </row>
    <row r="52" spans="2:16" hidden="1" x14ac:dyDescent="0.25">
      <c r="B52" s="3" t="s">
        <v>46</v>
      </c>
      <c r="C52" s="6">
        <f>View_Table[[#This Row],[Rank Previous]]-View_Table[[#This Row],[Rank]]</f>
        <v>-3</v>
      </c>
      <c r="D52" s="7">
        <f>_xlfn.RANK.EQ(View_Table[[#This Row],[Weighted Win%]], View_Table[Weighted Win%], 0)</f>
        <v>47</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44</v>
      </c>
    </row>
    <row r="53" spans="2:16" hidden="1" x14ac:dyDescent="0.25">
      <c r="B53" s="3" t="s">
        <v>542</v>
      </c>
      <c r="C53" s="6">
        <f>View_Table[[#This Row],[Rank Previous]]-View_Table[[#This Row],[Rank]]</f>
        <v>-3</v>
      </c>
      <c r="D53" s="7">
        <f>_xlfn.RANK.EQ(View_Table[[#This Row],[Weighted Win%]], View_Table[Weighted Win%], 0)</f>
        <v>47</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44</v>
      </c>
    </row>
    <row r="54" spans="2:16" hidden="1" x14ac:dyDescent="0.25">
      <c r="B54" s="3" t="s">
        <v>57</v>
      </c>
      <c r="C54" s="6">
        <f>View_Table[[#This Row],[Rank Previous]]-View_Table[[#This Row],[Rank]]</f>
        <v>-3</v>
      </c>
      <c r="D54" s="7">
        <f>_xlfn.RANK.EQ(View_Table[[#This Row],[Weighted Win%]], View_Table[Weighted Win%], 0)</f>
        <v>47</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44</v>
      </c>
    </row>
    <row r="55" spans="2:16" hidden="1" x14ac:dyDescent="0.25">
      <c r="B55" s="3" t="s">
        <v>592</v>
      </c>
      <c r="C55" s="6">
        <f>View_Table[[#This Row],[Rank Previous]]-View_Table[[#This Row],[Rank]]</f>
        <v>20</v>
      </c>
      <c r="D55" s="7">
        <f>_xlfn.RANK.EQ(View_Table[[#This Row],[Weighted Win%]], View_Table[Weighted Win%], 0)</f>
        <v>24</v>
      </c>
      <c r="E55" s="9">
        <f>_xlfn.LET(_xlpm.g,View_Table[[#This Row],[Games]], _xlpm.w,(View_Table[[#This Row],[Wins]] + View_Table[[#This Row],[Draws]] * 0.25), _xlpm.fake, MAX(0,25-_xlpm.g), IF(_xlpm.g=0,0,(_xlpm.w + _xlpm.fake*0.25)/(_xlpm.g + _xlpm.fake)))</f>
        <v>0.24</v>
      </c>
      <c r="F55" s="8">
        <f>IF(View_Table[[#This Row],[Games]]=0,0,(View_Table[[#This Row],[Wins]] + (View_Table[[#This Row],[Draws]] * 0.25))/View_Table[[#This Row],[Games]])</f>
        <v>0.125</v>
      </c>
      <c r="G55" s="5">
        <f>IFERROR(
    GETPIVOTDATA(
        "Result",
        'Pivot Table'!$A$3,
        "Player",View_Table[[#This Row],[Player]],
        "Result","Win"
    ),
    0
)</f>
        <v>0</v>
      </c>
      <c r="H55" s="5">
        <f>IFERROR(
    GETPIVOTDATA(
        "Result",
        'Pivot Table'!$A$3,
        "Player",View_Table[[#This Row],[Player]],
        "Result","Loss"
    ),
    0
)</f>
        <v>1</v>
      </c>
      <c r="I55" s="5">
        <f>IFERROR(
    GETPIVOTDATA(
        "Result",
        'Pivot Table'!$A$3,
        "Player",View_Table[[#This Row],[Player]],
        "Result","Draw"
    ),
    0
)</f>
        <v>1</v>
      </c>
      <c r="J55" s="5">
        <f>View_Table[[#This Row],[Wins]]+View_Table[[#This Row],[Losses]]+View_Table[[#This Row],[Draws]]</f>
        <v>2</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44</v>
      </c>
    </row>
    <row r="56" spans="2:16" hidden="1" x14ac:dyDescent="0.25">
      <c r="B56" s="3" t="s">
        <v>61</v>
      </c>
      <c r="C56" s="6">
        <f>View_Table[[#This Row],[Rank Previous]]-View_Table[[#This Row],[Rank]]</f>
        <v>-3</v>
      </c>
      <c r="D56" s="7">
        <f>_xlfn.RANK.EQ(View_Table[[#This Row],[Weighted Win%]], View_Table[Weighted Win%], 0)</f>
        <v>47</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44</v>
      </c>
    </row>
    <row r="57" spans="2:16" hidden="1" x14ac:dyDescent="0.25">
      <c r="B57" s="3" t="s">
        <v>321</v>
      </c>
      <c r="C57" s="6">
        <f>View_Table[[#This Row],[Rank Previous]]-View_Table[[#This Row],[Rank]]</f>
        <v>-3</v>
      </c>
      <c r="D57" s="7">
        <f>_xlfn.RANK.EQ(View_Table[[#This Row],[Weighted Win%]], View_Table[Weighted Win%], 0)</f>
        <v>47</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44</v>
      </c>
    </row>
    <row r="58" spans="2:16" hidden="1" x14ac:dyDescent="0.25">
      <c r="B58" s="3" t="s">
        <v>38</v>
      </c>
      <c r="C58" s="6">
        <f>View_Table[[#This Row],[Rank Previous]]-View_Table[[#This Row],[Rank]]</f>
        <v>-3</v>
      </c>
      <c r="D58" s="7">
        <f>_xlfn.RANK.EQ(View_Table[[#This Row],[Weighted Win%]], View_Table[Weighted Win%], 0)</f>
        <v>47</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44</v>
      </c>
    </row>
    <row r="59" spans="2:16" hidden="1" x14ac:dyDescent="0.25">
      <c r="B59" s="3" t="s">
        <v>48</v>
      </c>
      <c r="C59" s="6">
        <f>View_Table[[#This Row],[Rank Previous]]-View_Table[[#This Row],[Rank]]</f>
        <v>-3</v>
      </c>
      <c r="D59" s="7">
        <f>_xlfn.RANK.EQ(View_Table[[#This Row],[Weighted Win%]], View_Table[Weighted Win%], 0)</f>
        <v>47</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44</v>
      </c>
    </row>
    <row r="60" spans="2:16" x14ac:dyDescent="0.25">
      <c r="B60" s="3" t="s">
        <v>51</v>
      </c>
      <c r="C60" s="6">
        <f>View_Table[[#This Row],[Rank Previous]]-View_Table[[#This Row],[Rank]]</f>
        <v>-2</v>
      </c>
      <c r="D60" s="7">
        <f>_xlfn.RANK.EQ(View_Table[[#This Row],[Weighted Win%]], View_Table[Weighted Win%], 0)</f>
        <v>37</v>
      </c>
      <c r="E60" s="9">
        <f>_xlfn.LET(_xlpm.g,View_Table[[#This Row],[Games]], _xlpm.w,(View_Table[[#This Row],[Wins]] + View_Table[[#This Row],[Draws]] * 0.25), _xlpm.fake, MAX(0,25-_xlpm.g), IF(_xlpm.g=0,0,(_xlpm.w + _xlpm.fake*0.25)/(_xlpm.g + _xlpm.fake)))</f>
        <v>0.22</v>
      </c>
      <c r="F60" s="8">
        <f>IF(View_Table[[#This Row],[Games]]=0,0,(View_Table[[#This Row],[Wins]] + (View_Table[[#This Row],[Draws]] * 0.25))/View_Table[[#This Row],[Games]])</f>
        <v>0.203125</v>
      </c>
      <c r="G60" s="5">
        <f>IFERROR(
    GETPIVOTDATA(
        "Result",
        'Pivot Table'!$A$3,
        "Player",View_Table[[#This Row],[Player]],
        "Result","Win"
    ),
    0
)</f>
        <v>2</v>
      </c>
      <c r="H60" s="5">
        <f>IFERROR(
    GETPIVOTDATA(
        "Result",
        'Pivot Table'!$A$3,
        "Player",View_Table[[#This Row],[Player]],
        "Result","Loss"
    ),
    0
)</f>
        <v>9</v>
      </c>
      <c r="I60" s="5">
        <f>IFERROR(
    GETPIVOTDATA(
        "Result",
        'Pivot Table'!$A$3,
        "Player",View_Table[[#This Row],[Player]],
        "Result","Draw"
    ),
    0
)</f>
        <v>5</v>
      </c>
      <c r="J60" s="5">
        <f>View_Table[[#This Row],[Wins]]+View_Table[[#This Row],[Losses]]+View_Table[[#This Row],[Draws]]</f>
        <v>16</v>
      </c>
      <c r="K60" s="7">
        <f>IFERROR(
    GETPIVOTDATA(
        "Result",
        'Pivot Table Previous'!$A$3,
        "Player",View_Table[[#This Row],[Player]],
        "Result","Win"
    ),
    0
)</f>
        <v>2</v>
      </c>
      <c r="L60" s="5">
        <f>IFERROR(
    GETPIVOTDATA(
        "Result",
        'Pivot Table Previous'!$A$3,
        "Player",View_Table[[#This Row],[Player]],
        "Result","Loss"
    ),
    0
)</f>
        <v>9</v>
      </c>
      <c r="M60" s="5">
        <f>IFERROR(
    GETPIVOTDATA(
        "Result",
        'Pivot Table Previous'!$A$3,
        "Player",View_Table[[#This Row],[Player]],
        "Result","Draw"
    ),
    0
)</f>
        <v>5</v>
      </c>
      <c r="N60" s="5">
        <f>View_Table[[#This Row],[Wins Previous]]+View_Table[[#This Row],[Losses Previous]]+View_Table[[#This Row],[Draws Previous]]</f>
        <v>16</v>
      </c>
      <c r="O60" s="9">
        <f>_xlfn.LET(_xlpm.g,View_Table[[#This Row],[Games Previous]], _xlpm.w,(View_Table[[#This Row],[Wins Previous]] + View_Table[[#This Row],[Draws Previous]] * 0.25), _xlpm.fake, MAX(0,25-_xlpm.g), IF(_xlpm.g=0,0,(_xlpm.w + _xlpm.fake*0.25)/(_xlpm.g + _xlpm.fake)))</f>
        <v>0.22</v>
      </c>
      <c r="P60" s="7">
        <f>_xlfn.RANK.EQ(View_Table[[#This Row],[Weighted Win% Previous]], View_Table[Weighted Win% Previous], 0)</f>
        <v>35</v>
      </c>
    </row>
    <row r="61" spans="2:16" hidden="1" x14ac:dyDescent="0.25">
      <c r="B61" s="3" t="s">
        <v>62</v>
      </c>
      <c r="C61" s="6">
        <f>View_Table[[#This Row],[Rank Previous]]-View_Table[[#This Row],[Rank]]</f>
        <v>-3</v>
      </c>
      <c r="D61" s="7">
        <f>_xlfn.RANK.EQ(View_Table[[#This Row],[Weighted Win%]], View_Table[Weighted Win%], 0)</f>
        <v>47</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44</v>
      </c>
    </row>
    <row r="62" spans="2:16" hidden="1" x14ac:dyDescent="0.25">
      <c r="B62" s="3" t="s">
        <v>54</v>
      </c>
      <c r="C62" s="6">
        <f>View_Table[[#This Row],[Rank Previous]]-View_Table[[#This Row],[Rank]]</f>
        <v>-3</v>
      </c>
      <c r="D62" s="7">
        <f>_xlfn.RANK.EQ(View_Table[[#This Row],[Weighted Win%]], View_Table[Weighted Win%], 0)</f>
        <v>47</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44</v>
      </c>
    </row>
    <row r="63" spans="2:16" hidden="1" x14ac:dyDescent="0.25">
      <c r="B63" s="3" t="s">
        <v>60</v>
      </c>
      <c r="C63" s="6">
        <f>View_Table[[#This Row],[Rank Previous]]-View_Table[[#This Row],[Rank]]</f>
        <v>-3</v>
      </c>
      <c r="D63" s="7">
        <f>_xlfn.RANK.EQ(View_Table[[#This Row],[Weighted Win%]], View_Table[Weighted Win%], 0)</f>
        <v>47</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44</v>
      </c>
    </row>
    <row r="64" spans="2:16" hidden="1" x14ac:dyDescent="0.25">
      <c r="B64" s="3" t="s">
        <v>85</v>
      </c>
      <c r="C64" s="6">
        <f>View_Table[[#This Row],[Rank Previous]]-View_Table[[#This Row],[Rank]]</f>
        <v>-3</v>
      </c>
      <c r="D64" s="7">
        <f>_xlfn.RANK.EQ(View_Table[[#This Row],[Weighted Win%]], View_Table[Weighted Win%], 0)</f>
        <v>47</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44</v>
      </c>
    </row>
    <row r="65" spans="2:16" hidden="1" x14ac:dyDescent="0.25">
      <c r="B65" s="3" t="s">
        <v>47</v>
      </c>
      <c r="C65" s="6">
        <f>View_Table[[#This Row],[Rank Previous]]-View_Table[[#This Row],[Rank]]</f>
        <v>-3</v>
      </c>
      <c r="D65" s="7">
        <f>_xlfn.RANK.EQ(View_Table[[#This Row],[Weighted Win%]], View_Table[Weighted Win%], 0)</f>
        <v>47</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44</v>
      </c>
    </row>
    <row r="66" spans="2:16" hidden="1" x14ac:dyDescent="0.25">
      <c r="B66" s="3" t="s">
        <v>50</v>
      </c>
      <c r="C66" s="6">
        <f>View_Table[[#This Row],[Rank Previous]]-View_Table[[#This Row],[Rank]]</f>
        <v>-3</v>
      </c>
      <c r="D66" s="7">
        <f>_xlfn.RANK.EQ(View_Table[[#This Row],[Weighted Win%]], View_Table[Weighted Win%], 0)</f>
        <v>47</v>
      </c>
      <c r="E66" s="9">
        <f>_xlfn.LET(_xlpm.g,View_Table[[#This Row],[Games]], _xlpm.w,(View_Table[[#This Row],[Wins]] + View_Table[[#This Row],[Draws]] * 0.25), _xlpm.fake, MAX(0,25-_xlpm.g), IF(_xlpm.g=0,0,(_xlpm.w + _xlpm.fake*0.25)/(_xlpm.g + _xlpm.fake)))</f>
        <v>0</v>
      </c>
      <c r="F66" s="8">
        <f>IF(View_Table[[#This Row],[Games]]=0,0,(View_Table[[#This Row],[Wins]] + (View_Table[[#This Row],[Draws]] * 0.25))/View_Table[[#This Row],[Games]])</f>
        <v>0</v>
      </c>
      <c r="G66" s="5">
        <f>IFERROR(
    GETPIVOTDATA(
        "Result",
        'Pivot Table'!$A$3,
        "Player",View_Table[[#This Row],[Player]],
        "Result","Win"
    ),
    0
)</f>
        <v>0</v>
      </c>
      <c r="H66" s="5">
        <f>IFERROR(
    GETPIVOTDATA(
        "Result",
        'Pivot Table'!$A$3,
        "Player",View_Table[[#This Row],[Player]],
        "Result","Loss"
    ),
    0
)</f>
        <v>0</v>
      </c>
      <c r="I66" s="5">
        <f>IFERROR(
    GETPIVOTDATA(
        "Result",
        'Pivot Table'!$A$3,
        "Player",View_Table[[#This Row],[Player]],
        "Result","Draw"
    ),
    0
)</f>
        <v>0</v>
      </c>
      <c r="J66" s="5">
        <f>View_Table[[#This Row],[Wins]]+View_Table[[#This Row],[Losses]]+View_Table[[#This Row],[Draws]]</f>
        <v>0</v>
      </c>
      <c r="K66" s="7">
        <f>IFERROR(
    GETPIVOTDATA(
        "Result",
        'Pivot Table Previous'!$A$3,
        "Player",View_Table[[#This Row],[Player]],
        "Result","Win"
    ),
    0
)</f>
        <v>0</v>
      </c>
      <c r="L66" s="5">
        <f>IFERROR(
    GETPIVOTDATA(
        "Result",
        'Pivot Table Previous'!$A$3,
        "Player",View_Table[[#This Row],[Player]],
        "Result","Loss"
    ),
    0
)</f>
        <v>0</v>
      </c>
      <c r="M66" s="5">
        <f>IFERROR(
    GETPIVOTDATA(
        "Result",
        'Pivot Table Previous'!$A$3,
        "Player",View_Table[[#This Row],[Player]],
        "Result","Draw"
    ),
    0
)</f>
        <v>0</v>
      </c>
      <c r="N66" s="5">
        <f>View_Table[[#This Row],[Wins Previous]]+View_Table[[#This Row],[Losses Previous]]+View_Table[[#This Row],[Draws Previous]]</f>
        <v>0</v>
      </c>
      <c r="O66" s="9">
        <f>_xlfn.LET(_xlpm.g,View_Table[[#This Row],[Games Previous]], _xlpm.w,(View_Table[[#This Row],[Wins Previous]] + View_Table[[#This Row],[Draws Previous]] * 0.25), _xlpm.fake, MAX(0,25-_xlpm.g), IF(_xlpm.g=0,0,(_xlpm.w + _xlpm.fake*0.25)/(_xlpm.g + _xlpm.fake)))</f>
        <v>0</v>
      </c>
      <c r="P66" s="7">
        <f>_xlfn.RANK.EQ(View_Table[[#This Row],[Weighted Win% Previous]], View_Table[Weighted Win% Previous], 0)</f>
        <v>44</v>
      </c>
    </row>
    <row r="67" spans="2:16" hidden="1" x14ac:dyDescent="0.25">
      <c r="B67" s="3" t="s">
        <v>53</v>
      </c>
      <c r="C67" s="6">
        <f>View_Table[[#This Row],[Rank Previous]]-View_Table[[#This Row],[Rank]]</f>
        <v>-3</v>
      </c>
      <c r="D67" s="7">
        <f>_xlfn.RANK.EQ(View_Table[[#This Row],[Weighted Win%]], View_Table[Weighted Win%], 0)</f>
        <v>47</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44</v>
      </c>
    </row>
    <row r="68" spans="2:16" hidden="1" x14ac:dyDescent="0.25">
      <c r="B68" s="3" t="s">
        <v>56</v>
      </c>
      <c r="C68" s="6">
        <f>View_Table[[#This Row],[Rank Previous]]-View_Table[[#This Row],[Rank]]</f>
        <v>-3</v>
      </c>
      <c r="D68" s="7">
        <f>_xlfn.RANK.EQ(View_Table[[#This Row],[Weighted Win%]], View_Table[Weighted Win%], 0)</f>
        <v>47</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44</v>
      </c>
    </row>
    <row r="69" spans="2:16" hidden="1" x14ac:dyDescent="0.25">
      <c r="B69" s="3" t="s">
        <v>58</v>
      </c>
      <c r="C69" s="6">
        <f>View_Table[[#This Row],[Rank Previous]]-View_Table[[#This Row],[Rank]]</f>
        <v>-3</v>
      </c>
      <c r="D69" s="7">
        <f>_xlfn.RANK.EQ(View_Table[[#This Row],[Weighted Win%]], View_Table[Weighted Win%], 0)</f>
        <v>47</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44</v>
      </c>
    </row>
    <row r="70" spans="2:16" hidden="1" x14ac:dyDescent="0.25">
      <c r="B70" s="3" t="s">
        <v>15</v>
      </c>
      <c r="C70" s="6">
        <f>View_Table[[#This Row],[Rank Previous]]-View_Table[[#This Row],[Rank]]</f>
        <v>6</v>
      </c>
      <c r="D70" s="7">
        <f>_xlfn.RANK.EQ(View_Table[[#This Row],[Weighted Win%]], View_Table[Weighted Win%], 0)</f>
        <v>17</v>
      </c>
      <c r="E70" s="9">
        <f>_xlfn.LET(_xlpm.g,View_Table[[#This Row],[Games]], _xlpm.w,(View_Table[[#This Row],[Wins]] + View_Table[[#This Row],[Draws]] * 0.25), _xlpm.fake, MAX(0,25-_xlpm.g), IF(_xlpm.g=0,0,(_xlpm.w + _xlpm.fake*0.25)/(_xlpm.g + _xlpm.fake)))</f>
        <v>0.26</v>
      </c>
      <c r="F70" s="8">
        <f>IF(View_Table[[#This Row],[Games]]=0,0,(View_Table[[#This Row],[Wins]] + (View_Table[[#This Row],[Draws]] * 0.25))/View_Table[[#This Row],[Games]])</f>
        <v>0.3125</v>
      </c>
      <c r="G70" s="5">
        <f>IFERROR(
    GETPIVOTDATA(
        "Result",
        'Pivot Table'!$A$3,
        "Player",View_Table[[#This Row],[Player]],
        "Result","Win"
    ),
    0
)</f>
        <v>1</v>
      </c>
      <c r="H70" s="5">
        <f>IFERROR(
    GETPIVOTDATA(
        "Result",
        'Pivot Table'!$A$3,
        "Player",View_Table[[#This Row],[Player]],
        "Result","Loss"
    ),
    0
)</f>
        <v>2</v>
      </c>
      <c r="I70" s="5">
        <f>IFERROR(
    GETPIVOTDATA(
        "Result",
        'Pivot Table'!$A$3,
        "Player",View_Table[[#This Row],[Player]],
        "Result","Draw"
    ),
    0
)</f>
        <v>1</v>
      </c>
      <c r="J70" s="5">
        <f>View_Table[[#This Row],[Wins]]+View_Table[[#This Row],[Losses]]+View_Table[[#This Row],[Draws]]</f>
        <v>4</v>
      </c>
      <c r="K70" s="7">
        <f>IFERROR(
    GETPIVOTDATA(
        "Result",
        'Pivot Table Previous'!$A$3,
        "Player",View_Table[[#This Row],[Player]],
        "Result","Win"
    ),
    0
)</f>
        <v>0</v>
      </c>
      <c r="L70" s="5">
        <f>IFERROR(
    GETPIVOTDATA(
        "Result",
        'Pivot Table Previous'!$A$3,
        "Player",View_Table[[#This Row],[Player]],
        "Result","Loss"
    ),
    0
)</f>
        <v>1</v>
      </c>
      <c r="M70" s="5">
        <f>IFERROR(
    GETPIVOTDATA(
        "Result",
        'Pivot Table Previous'!$A$3,
        "Player",View_Table[[#This Row],[Player]],
        "Result","Draw"
    ),
    0
)</f>
        <v>1</v>
      </c>
      <c r="N70" s="5">
        <f>View_Table[[#This Row],[Wins Previous]]+View_Table[[#This Row],[Losses Previous]]+View_Table[[#This Row],[Draws Previous]]</f>
        <v>2</v>
      </c>
      <c r="O70" s="9">
        <f>_xlfn.LET(_xlpm.g,View_Table[[#This Row],[Games Previous]], _xlpm.w,(View_Table[[#This Row],[Wins Previous]] + View_Table[[#This Row],[Draws Previous]] * 0.25), _xlpm.fake, MAX(0,25-_xlpm.g), IF(_xlpm.g=0,0,(_xlpm.w + _xlpm.fake*0.25)/(_xlpm.g + _xlpm.fake)))</f>
        <v>0.24</v>
      </c>
      <c r="P70" s="7">
        <f>_xlfn.RANK.EQ(View_Table[[#This Row],[Weighted Win% Previous]], View_Table[Weighted Win% Previous], 0)</f>
        <v>23</v>
      </c>
    </row>
    <row r="71" spans="2:16" hidden="1" x14ac:dyDescent="0.25">
      <c r="B71" s="3" t="s">
        <v>45</v>
      </c>
      <c r="C71" s="6">
        <f>View_Table[[#This Row],[Rank Previous]]-View_Table[[#This Row],[Rank]]</f>
        <v>-3</v>
      </c>
      <c r="D71" s="7">
        <f>_xlfn.RANK.EQ(View_Table[[#This Row],[Weighted Win%]], View_Table[Weighted Win%], 0)</f>
        <v>47</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44</v>
      </c>
    </row>
    <row r="72" spans="2:16" hidden="1" x14ac:dyDescent="0.25">
      <c r="B72" s="3" t="s">
        <v>40</v>
      </c>
      <c r="C72" s="6">
        <f>View_Table[[#This Row],[Rank Previous]]-View_Table[[#This Row],[Rank]]</f>
        <v>-3</v>
      </c>
      <c r="D72" s="7">
        <f>_xlfn.RANK.EQ(View_Table[[#This Row],[Weighted Win%]], View_Table[Weighted Win%], 0)</f>
        <v>47</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44</v>
      </c>
    </row>
    <row r="73" spans="2:16" hidden="1" x14ac:dyDescent="0.25">
      <c r="B73" s="3" t="s">
        <v>55</v>
      </c>
      <c r="C73" s="6">
        <f>View_Table[[#This Row],[Rank Previous]]-View_Table[[#This Row],[Rank]]</f>
        <v>-3</v>
      </c>
      <c r="D73" s="7">
        <f>_xlfn.RANK.EQ(View_Table[[#This Row],[Weighted Win%]], View_Table[Weighted Win%], 0)</f>
        <v>47</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44</v>
      </c>
    </row>
    <row r="74" spans="2:16" hidden="1" x14ac:dyDescent="0.25">
      <c r="B74" s="3" t="s">
        <v>16</v>
      </c>
      <c r="C74" s="6">
        <f>View_Table[[#This Row],[Rank Previous]]-View_Table[[#This Row],[Rank]]</f>
        <v>-3</v>
      </c>
      <c r="D74" s="7">
        <f>_xlfn.RANK.EQ(View_Table[[#This Row],[Weighted Win%]], View_Table[Weighted Win%], 0)</f>
        <v>47</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44</v>
      </c>
    </row>
    <row r="75" spans="2:16" hidden="1" x14ac:dyDescent="0.25">
      <c r="B75" s="3" t="s">
        <v>21</v>
      </c>
      <c r="C75" s="6">
        <f>View_Table[[#This Row],[Rank Previous]]-View_Table[[#This Row],[Rank]]</f>
        <v>-3</v>
      </c>
      <c r="D75" s="7">
        <f>_xlfn.RANK.EQ(View_Table[[#This Row],[Weighted Win%]], View_Table[Weighted Win%], 0)</f>
        <v>47</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44</v>
      </c>
    </row>
    <row r="76" spans="2:16" hidden="1" x14ac:dyDescent="0.25">
      <c r="B76" s="3" t="s">
        <v>49</v>
      </c>
      <c r="C76" s="6">
        <f>View_Table[[#This Row],[Rank Previous]]-View_Table[[#This Row],[Rank]]</f>
        <v>-3</v>
      </c>
      <c r="D76" s="7">
        <f>_xlfn.RANK.EQ(View_Table[[#This Row],[Weighted Win%]], View_Table[Weighted Win%], 0)</f>
        <v>47</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44</v>
      </c>
    </row>
    <row r="77" spans="2:16" hidden="1" x14ac:dyDescent="0.25">
      <c r="B77" s="3" t="s">
        <v>12</v>
      </c>
      <c r="C77" s="6">
        <f>View_Table[[#This Row],[Rank Previous]]-View_Table[[#This Row],[Rank]]</f>
        <v>-3</v>
      </c>
      <c r="D77" s="7">
        <f>_xlfn.RANK.EQ(View_Table[[#This Row],[Weighted Win%]], View_Table[Weighted Win%], 0)</f>
        <v>47</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44</v>
      </c>
    </row>
    <row r="78" spans="2:16" hidden="1" x14ac:dyDescent="0.25">
      <c r="B78" s="3" t="s">
        <v>44</v>
      </c>
      <c r="C78" s="6">
        <f>View_Table[[#This Row],[Rank Previous]]-View_Table[[#This Row],[Rank]]</f>
        <v>-3</v>
      </c>
      <c r="D78" s="7">
        <f>_xlfn.RANK.EQ(View_Table[[#This Row],[Weighted Win%]], View_Table[Weighted Win%], 0)</f>
        <v>47</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44</v>
      </c>
    </row>
    <row r="79" spans="2:16" hidden="1" x14ac:dyDescent="0.25">
      <c r="B79" s="3" t="s">
        <v>29</v>
      </c>
      <c r="C79" s="6">
        <f>View_Table[[#This Row],[Rank Previous]]-View_Table[[#This Row],[Rank]]</f>
        <v>-3</v>
      </c>
      <c r="D79" s="7">
        <f>_xlfn.RANK.EQ(View_Table[[#This Row],[Weighted Win%]], View_Table[Weighted Win%], 0)</f>
        <v>47</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44</v>
      </c>
    </row>
    <row r="80" spans="2:16" hidden="1" x14ac:dyDescent="0.25">
      <c r="B80" s="3" t="s">
        <v>65</v>
      </c>
      <c r="C80" s="6">
        <f>View_Table[[#This Row],[Rank Previous]]-View_Table[[#This Row],[Rank]]</f>
        <v>-3</v>
      </c>
      <c r="D80" s="7">
        <f>_xlfn.RANK.EQ(View_Table[[#This Row],[Weighted Win%]], View_Table[Weighted Win%], 0)</f>
        <v>47</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44</v>
      </c>
    </row>
    <row r="81" spans="2:16" hidden="1" x14ac:dyDescent="0.25">
      <c r="B81" s="3" t="s">
        <v>76</v>
      </c>
      <c r="C81" s="6">
        <f>View_Table[[#This Row],[Rank Previous]]-View_Table[[#This Row],[Rank]]</f>
        <v>-3</v>
      </c>
      <c r="D81" s="7">
        <f>_xlfn.RANK.EQ(View_Table[[#This Row],[Weighted Win%]], View_Table[Weighted Win%], 0)</f>
        <v>47</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44</v>
      </c>
    </row>
    <row r="82" spans="2:16" hidden="1" x14ac:dyDescent="0.25">
      <c r="B82" s="3" t="s">
        <v>39</v>
      </c>
      <c r="C82" s="6">
        <f>View_Table[[#This Row],[Rank Previous]]-View_Table[[#This Row],[Rank]]</f>
        <v>-3</v>
      </c>
      <c r="D82" s="7">
        <f>_xlfn.RANK.EQ(View_Table[[#This Row],[Weighted Win%]], View_Table[Weighted Win%], 0)</f>
        <v>47</v>
      </c>
      <c r="E82" s="9">
        <f>_xlfn.LET(_xlpm.g,View_Table[[#This Row],[Games]], _xlpm.w,(View_Table[[#This Row],[Wins]] + View_Table[[#This Row],[Draws]] * 0.25), _xlpm.fake, MAX(0,25-_xlpm.g), IF(_xlpm.g=0,0,(_xlpm.w + _xlpm.fake*0.25)/(_xlpm.g + _xlpm.fake)))</f>
        <v>0</v>
      </c>
      <c r="F82" s="8">
        <f>IF(View_Table[[#This Row],[Games]]=0,0,(View_Table[[#This Row],[Wins]] + (View_Table[[#This Row],[Draws]] * 0.25))/View_Table[[#This Row],[Games]])</f>
        <v>0</v>
      </c>
      <c r="G82" s="5">
        <f>IFERROR(
    GETPIVOTDATA(
        "Result",
        'Pivot Table'!$A$3,
        "Player",View_Table[[#This Row],[Player]],
        "Result","Win"
    ),
    0
)</f>
        <v>0</v>
      </c>
      <c r="H82" s="5">
        <f>IFERROR(
    GETPIVOTDATA(
        "Result",
        'Pivot Table'!$A$3,
        "Player",View_Table[[#This Row],[Player]],
        "Result","Loss"
    ),
    0
)</f>
        <v>0</v>
      </c>
      <c r="I82" s="5">
        <f>IFERROR(
    GETPIVOTDATA(
        "Result",
        'Pivot Table'!$A$3,
        "Player",View_Table[[#This Row],[Player]],
        "Result","Draw"
    ),
    0
)</f>
        <v>0</v>
      </c>
      <c r="J82" s="5">
        <f>View_Table[[#This Row],[Wins]]+View_Table[[#This Row],[Losses]]+View_Table[[#This Row],[Draws]]</f>
        <v>0</v>
      </c>
      <c r="K82" s="7">
        <f>IFERROR(
    GETPIVOTDATA(
        "Result",
        'Pivot Table Previous'!$A$3,
        "Player",View_Table[[#This Row],[Player]],
        "Result","Win"
    ),
    0
)</f>
        <v>0</v>
      </c>
      <c r="L82" s="5">
        <f>IFERROR(
    GETPIVOTDATA(
        "Result",
        'Pivot Table Previous'!$A$3,
        "Player",View_Table[[#This Row],[Player]],
        "Result","Loss"
    ),
    0
)</f>
        <v>0</v>
      </c>
      <c r="M82" s="5">
        <f>IFERROR(
    GETPIVOTDATA(
        "Result",
        'Pivot Table Previous'!$A$3,
        "Player",View_Table[[#This Row],[Player]],
        "Result","Draw"
    ),
    0
)</f>
        <v>0</v>
      </c>
      <c r="N82" s="5">
        <f>View_Table[[#This Row],[Wins Previous]]+View_Table[[#This Row],[Losses Previous]]+View_Table[[#This Row],[Draws Previous]]</f>
        <v>0</v>
      </c>
      <c r="O82" s="9">
        <f>_xlfn.LET(_xlpm.g,View_Table[[#This Row],[Games Previous]], _xlpm.w,(View_Table[[#This Row],[Wins Previous]] + View_Table[[#This Row],[Draws Previous]] * 0.25), _xlpm.fake, MAX(0,25-_xlpm.g), IF(_xlpm.g=0,0,(_xlpm.w + _xlpm.fake*0.25)/(_xlpm.g + _xlpm.fake)))</f>
        <v>0</v>
      </c>
      <c r="P82" s="7">
        <f>_xlfn.RANK.EQ(View_Table[[#This Row],[Weighted Win% Previous]], View_Table[Weighted Win% Previous], 0)</f>
        <v>44</v>
      </c>
    </row>
    <row r="83" spans="2:16" hidden="1" x14ac:dyDescent="0.25">
      <c r="B83" s="3" t="s">
        <v>18</v>
      </c>
      <c r="C83" s="6">
        <f>View_Table[[#This Row],[Rank Previous]]-View_Table[[#This Row],[Rank]]</f>
        <v>-3</v>
      </c>
      <c r="D83" s="7">
        <f>_xlfn.RANK.EQ(View_Table[[#This Row],[Weighted Win%]], View_Table[Weighted Win%], 0)</f>
        <v>47</v>
      </c>
      <c r="E83" s="9">
        <f>_xlfn.LET(_xlpm.g,View_Table[[#This Row],[Games]], _xlpm.w,(View_Table[[#This Row],[Wins]] + View_Table[[#This Row],[Draws]] * 0.25), _xlpm.fake, MAX(0,25-_xlpm.g), IF(_xlpm.g=0,0,(_xlpm.w + _xlpm.fake*0.25)/(_xlpm.g + _xlpm.fake)))</f>
        <v>0</v>
      </c>
      <c r="F83" s="8">
        <f>IF(View_Table[[#This Row],[Games]]=0,0,(View_Table[[#This Row],[Wins]] + (View_Table[[#This Row],[Draws]] * 0.25))/View_Table[[#This Row],[Games]])</f>
        <v>0</v>
      </c>
      <c r="G83" s="5">
        <f>IFERROR(
    GETPIVOTDATA(
        "Result",
        'Pivot Table'!$A$3,
        "Player",View_Table[[#This Row],[Player]],
        "Result","Win"
    ),
    0
)</f>
        <v>0</v>
      </c>
      <c r="H83" s="5">
        <f>IFERROR(
    GETPIVOTDATA(
        "Result",
        'Pivot Table'!$A$3,
        "Player",View_Table[[#This Row],[Player]],
        "Result","Loss"
    ),
    0
)</f>
        <v>0</v>
      </c>
      <c r="I83" s="5">
        <f>IFERROR(
    GETPIVOTDATA(
        "Result",
        'Pivot Table'!$A$3,
        "Player",View_Table[[#This Row],[Player]],
        "Result","Draw"
    ),
    0
)</f>
        <v>0</v>
      </c>
      <c r="J83" s="5">
        <f>View_Table[[#This Row],[Wins]]+View_Table[[#This Row],[Losses]]+View_Table[[#This Row],[Draws]]</f>
        <v>0</v>
      </c>
      <c r="K83" s="7">
        <f>IFERROR(
    GETPIVOTDATA(
        "Result",
        'Pivot Table Previous'!$A$3,
        "Player",View_Table[[#This Row],[Player]],
        "Result","Win"
    ),
    0
)</f>
        <v>0</v>
      </c>
      <c r="L83" s="5">
        <f>IFERROR(
    GETPIVOTDATA(
        "Result",
        'Pivot Table Previous'!$A$3,
        "Player",View_Table[[#This Row],[Player]],
        "Result","Loss"
    ),
    0
)</f>
        <v>0</v>
      </c>
      <c r="M83" s="5">
        <f>IFERROR(
    GETPIVOTDATA(
        "Result",
        'Pivot Table Previous'!$A$3,
        "Player",View_Table[[#This Row],[Player]],
        "Result","Draw"
    ),
    0
)</f>
        <v>0</v>
      </c>
      <c r="N83" s="5">
        <f>View_Table[[#This Row],[Wins Previous]]+View_Table[[#This Row],[Losses Previous]]+View_Table[[#This Row],[Draws Previous]]</f>
        <v>0</v>
      </c>
      <c r="O83" s="9">
        <f>_xlfn.LET(_xlpm.g,View_Table[[#This Row],[Games Previous]], _xlpm.w,(View_Table[[#This Row],[Wins Previous]] + View_Table[[#This Row],[Draws Previous]] * 0.25), _xlpm.fake, MAX(0,25-_xlpm.g), IF(_xlpm.g=0,0,(_xlpm.w + _xlpm.fake*0.25)/(_xlpm.g + _xlpm.fake)))</f>
        <v>0</v>
      </c>
      <c r="P83" s="7">
        <f>_xlfn.RANK.EQ(View_Table[[#This Row],[Weighted Win% Previous]], View_Table[Weighted Win% Previous], 0)</f>
        <v>44</v>
      </c>
    </row>
    <row r="84" spans="2:16" hidden="1" x14ac:dyDescent="0.25">
      <c r="B84" s="3" t="s">
        <v>593</v>
      </c>
      <c r="C84" s="6">
        <f>View_Table[[#This Row],[Rank Previous]]-View_Table[[#This Row],[Rank]]</f>
        <v>20</v>
      </c>
      <c r="D84" s="7">
        <f>_xlfn.RANK.EQ(View_Table[[#This Row],[Weighted Win%]], View_Table[Weighted Win%], 0)</f>
        <v>24</v>
      </c>
      <c r="E84" s="9">
        <f>_xlfn.LET(_xlpm.g,View_Table[[#This Row],[Games]], _xlpm.w,(View_Table[[#This Row],[Wins]] + View_Table[[#This Row],[Draws]] * 0.25), _xlpm.fake, MAX(0,25-_xlpm.g), IF(_xlpm.g=0,0,(_xlpm.w + _xlpm.fake*0.25)/(_xlpm.g + _xlpm.fake)))</f>
        <v>0.24</v>
      </c>
      <c r="F84" s="8">
        <f>IF(View_Table[[#This Row],[Games]]=0,0,(View_Table[[#This Row],[Wins]] + (View_Table[[#This Row],[Draws]] * 0.25))/View_Table[[#This Row],[Games]])</f>
        <v>0.125</v>
      </c>
      <c r="G84" s="5">
        <f>IFERROR(
    GETPIVOTDATA(
        "Result",
        'Pivot Table'!$A$3,
        "Player",View_Table[[#This Row],[Player]],
        "Result","Win"
    ),
    0
)</f>
        <v>0</v>
      </c>
      <c r="H84" s="5">
        <f>IFERROR(
    GETPIVOTDATA(
        "Result",
        'Pivot Table'!$A$3,
        "Player",View_Table[[#This Row],[Player]],
        "Result","Loss"
    ),
    0
)</f>
        <v>1</v>
      </c>
      <c r="I84" s="5">
        <f>IFERROR(
    GETPIVOTDATA(
        "Result",
        'Pivot Table'!$A$3,
        "Player",View_Table[[#This Row],[Player]],
        "Result","Draw"
    ),
    0
)</f>
        <v>1</v>
      </c>
      <c r="J84" s="5">
        <f>View_Table[[#This Row],[Wins]]+View_Table[[#This Row],[Losses]]+View_Table[[#This Row],[Draws]]</f>
        <v>2</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44</v>
      </c>
    </row>
    <row r="85" spans="2:16" hidden="1" x14ac:dyDescent="0.25">
      <c r="B85" s="3" t="s">
        <v>539</v>
      </c>
      <c r="C85" s="6">
        <f>View_Table[[#This Row],[Rank Previous]]-View_Table[[#This Row],[Rank]]</f>
        <v>-3</v>
      </c>
      <c r="D85" s="7">
        <f>_xlfn.RANK.EQ(View_Table[[#This Row],[Weighted Win%]], View_Table[Weighted Win%], 0)</f>
        <v>47</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44</v>
      </c>
    </row>
    <row r="86" spans="2:16" hidden="1" x14ac:dyDescent="0.25">
      <c r="B86" s="3" t="s">
        <v>568</v>
      </c>
      <c r="C86" s="6">
        <f>View_Table[[#This Row],[Rank Previous]]-View_Table[[#This Row],[Rank]]</f>
        <v>6</v>
      </c>
      <c r="D86" s="7">
        <f>_xlfn.RANK.EQ(View_Table[[#This Row],[Weighted Win%]], View_Table[Weighted Win%], 0)</f>
        <v>19</v>
      </c>
      <c r="E86" s="9">
        <f>_xlfn.LET(_xlpm.g,View_Table[[#This Row],[Games]], _xlpm.w,(View_Table[[#This Row],[Wins]] + View_Table[[#This Row],[Draws]] * 0.25), _xlpm.fake, MAX(0,25-_xlpm.g), IF(_xlpm.g=0,0,(_xlpm.w + _xlpm.fake*0.25)/(_xlpm.g + _xlpm.fake)))</f>
        <v>0.25</v>
      </c>
      <c r="F86" s="8">
        <f>IF(View_Table[[#This Row],[Games]]=0,0,(View_Table[[#This Row],[Wins]] + (View_Table[[#This Row],[Draws]] * 0.25))/View_Table[[#This Row],[Games]])</f>
        <v>0.25</v>
      </c>
      <c r="G86" s="5">
        <f>IFERROR(
    GETPIVOTDATA(
        "Result",
        'Pivot Table'!$A$3,
        "Player",View_Table[[#This Row],[Player]],
        "Result","Win"
    ),
    0
)</f>
        <v>1</v>
      </c>
      <c r="H86" s="5">
        <f>IFERROR(
    GETPIVOTDATA(
        "Result",
        'Pivot Table'!$A$3,
        "Player",View_Table[[#This Row],[Player]],
        "Result","Loss"
    ),
    0
)</f>
        <v>3</v>
      </c>
      <c r="I86" s="5">
        <f>IFERROR(
    GETPIVOTDATA(
        "Result",
        'Pivot Table'!$A$3,
        "Player",View_Table[[#This Row],[Player]],
        "Result","Draw"
    ),
    0
)</f>
        <v>0</v>
      </c>
      <c r="J86" s="5">
        <f>View_Table[[#This Row],[Wins]]+View_Table[[#This Row],[Losses]]+View_Table[[#This Row],[Draws]]</f>
        <v>4</v>
      </c>
      <c r="K86" s="7">
        <f>IFERROR(
    GETPIVOTDATA(
        "Result",
        'Pivot Table Previous'!$A$3,
        "Player",View_Table[[#This Row],[Player]],
        "Result","Win"
    ),
    0
)</f>
        <v>0</v>
      </c>
      <c r="L86" s="5">
        <f>IFERROR(
    GETPIVOTDATA(
        "Result",
        'Pivot Table Previous'!$A$3,
        "Player",View_Table[[#This Row],[Player]],
        "Result","Loss"
    ),
    0
)</f>
        <v>2</v>
      </c>
      <c r="M86" s="5">
        <f>IFERROR(
    GETPIVOTDATA(
        "Result",
        'Pivot Table Previous'!$A$3,
        "Player",View_Table[[#This Row],[Player]],
        "Result","Draw"
    ),
    0
)</f>
        <v>0</v>
      </c>
      <c r="N86" s="5">
        <f>View_Table[[#This Row],[Wins Previous]]+View_Table[[#This Row],[Losses Previous]]+View_Table[[#This Row],[Draws Previous]]</f>
        <v>2</v>
      </c>
      <c r="O86" s="9">
        <f>_xlfn.LET(_xlpm.g,View_Table[[#This Row],[Games Previous]], _xlpm.w,(View_Table[[#This Row],[Wins Previous]] + View_Table[[#This Row],[Draws Previous]] * 0.25), _xlpm.fake, MAX(0,25-_xlpm.g), IF(_xlpm.g=0,0,(_xlpm.w + _xlpm.fake*0.25)/(_xlpm.g + _xlpm.fake)))</f>
        <v>0.23</v>
      </c>
      <c r="P86" s="7">
        <f>_xlfn.RANK.EQ(View_Table[[#This Row],[Weighted Win% Previous]], View_Table[Weighted Win% Previous], 0)</f>
        <v>25</v>
      </c>
    </row>
    <row r="87" spans="2:16" hidden="1" x14ac:dyDescent="0.25">
      <c r="B87" s="3" t="s">
        <v>579</v>
      </c>
      <c r="C87" s="6">
        <f>View_Table[[#This Row],[Rank Previous]]-View_Table[[#This Row],[Rank]]</f>
        <v>6</v>
      </c>
      <c r="D87" s="7">
        <f>_xlfn.RANK.EQ(View_Table[[#This Row],[Weighted Win%]], View_Table[Weighted Win%], 0)</f>
        <v>19</v>
      </c>
      <c r="E87" s="9">
        <f>_xlfn.LET(_xlpm.g,View_Table[[#This Row],[Games]], _xlpm.w,(View_Table[[#This Row],[Wins]] + View_Table[[#This Row],[Draws]] * 0.25), _xlpm.fake, MAX(0,25-_xlpm.g), IF(_xlpm.g=0,0,(_xlpm.w + _xlpm.fake*0.25)/(_xlpm.g + _xlpm.fake)))</f>
        <v>0.25</v>
      </c>
      <c r="F87" s="8">
        <f>IF(View_Table[[#This Row],[Games]]=0,0,(View_Table[[#This Row],[Wins]] + (View_Table[[#This Row],[Draws]] * 0.25))/View_Table[[#This Row],[Games]])</f>
        <v>0.25</v>
      </c>
      <c r="G87" s="5">
        <f>IFERROR(
    GETPIVOTDATA(
        "Result",
        'Pivot Table'!$A$3,
        "Player",View_Table[[#This Row],[Player]],
        "Result","Win"
    ),
    0
)</f>
        <v>1</v>
      </c>
      <c r="H87" s="5">
        <f>IFERROR(
    GETPIVOTDATA(
        "Result",
        'Pivot Table'!$A$3,
        "Player",View_Table[[#This Row],[Player]],
        "Result","Loss"
    ),
    0
)</f>
        <v>3</v>
      </c>
      <c r="I87" s="5">
        <f>IFERROR(
    GETPIVOTDATA(
        "Result",
        'Pivot Table'!$A$3,
        "Player",View_Table[[#This Row],[Player]],
        "Result","Draw"
    ),
    0
)</f>
        <v>0</v>
      </c>
      <c r="J87" s="5">
        <f>View_Table[[#This Row],[Wins]]+View_Table[[#This Row],[Losses]]+View_Table[[#This Row],[Draws]]</f>
        <v>4</v>
      </c>
      <c r="K87" s="7">
        <f>IFERROR(
    GETPIVOTDATA(
        "Result",
        'Pivot Table Previous'!$A$3,
        "Player",View_Table[[#This Row],[Player]],
        "Result","Win"
    ),
    0
)</f>
        <v>0</v>
      </c>
      <c r="L87" s="5">
        <f>IFERROR(
    GETPIVOTDATA(
        "Result",
        'Pivot Table Previous'!$A$3,
        "Player",View_Table[[#This Row],[Player]],
        "Result","Loss"
    ),
    0
)</f>
        <v>2</v>
      </c>
      <c r="M87" s="5">
        <f>IFERROR(
    GETPIVOTDATA(
        "Result",
        'Pivot Table Previous'!$A$3,
        "Player",View_Table[[#This Row],[Player]],
        "Result","Draw"
    ),
    0
)</f>
        <v>0</v>
      </c>
      <c r="N87" s="5">
        <f>View_Table[[#This Row],[Wins Previous]]+View_Table[[#This Row],[Losses Previous]]+View_Table[[#This Row],[Draws Previous]]</f>
        <v>2</v>
      </c>
      <c r="O87" s="9">
        <f>_xlfn.LET(_xlpm.g,View_Table[[#This Row],[Games Previous]], _xlpm.w,(View_Table[[#This Row],[Wins Previous]] + View_Table[[#This Row],[Draws Previous]] * 0.25), _xlpm.fake, MAX(0,25-_xlpm.g), IF(_xlpm.g=0,0,(_xlpm.w + _xlpm.fake*0.25)/(_xlpm.g + _xlpm.fake)))</f>
        <v>0.23</v>
      </c>
      <c r="P87" s="7">
        <f>_xlfn.RANK.EQ(View_Table[[#This Row],[Weighted Win% Previous]], View_Table[Weighted Win% Previous], 0)</f>
        <v>25</v>
      </c>
    </row>
    <row r="88" spans="2:16" hidden="1" x14ac:dyDescent="0.25">
      <c r="B88" s="3" t="s">
        <v>580</v>
      </c>
      <c r="C88" s="6">
        <f>View_Table[[#This Row],[Rank Previous]]-View_Table[[#This Row],[Rank]]</f>
        <v>-2</v>
      </c>
      <c r="D88" s="7">
        <f>_xlfn.RANK.EQ(View_Table[[#This Row],[Weighted Win%]], View_Table[Weighted Win%], 0)</f>
        <v>40</v>
      </c>
      <c r="E88" s="9">
        <f>_xlfn.LET(_xlpm.g,View_Table[[#This Row],[Games]], _xlpm.w,(View_Table[[#This Row],[Wins]] + View_Table[[#This Row],[Draws]] * 0.25), _xlpm.fake, MAX(0,25-_xlpm.g), IF(_xlpm.g=0,0,(_xlpm.w + _xlpm.fake*0.25)/(_xlpm.g + _xlpm.fake)))</f>
        <v>0.21</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4</v>
      </c>
      <c r="I88" s="5">
        <f>IFERROR(
    GETPIVOTDATA(
        "Result",
        'Pivot Table'!$A$3,
        "Player",View_Table[[#This Row],[Player]],
        "Result","Draw"
    ),
    0
)</f>
        <v>0</v>
      </c>
      <c r="J88" s="5">
        <f>View_Table[[#This Row],[Wins]]+View_Table[[#This Row],[Losses]]+View_Table[[#This Row],[Draws]]</f>
        <v>4</v>
      </c>
      <c r="K88" s="7">
        <f>IFERROR(
    GETPIVOTDATA(
        "Result",
        'Pivot Table Previous'!$A$3,
        "Player",View_Table[[#This Row],[Player]],
        "Result","Win"
    ),
    0
)</f>
        <v>0</v>
      </c>
      <c r="L88" s="5">
        <f>IFERROR(
    GETPIVOTDATA(
        "Result",
        'Pivot Table Previous'!$A$3,
        "Player",View_Table[[#This Row],[Player]],
        "Result","Loss"
    ),
    0
)</f>
        <v>4</v>
      </c>
      <c r="M88" s="5">
        <f>IFERROR(
    GETPIVOTDATA(
        "Result",
        'Pivot Table Previous'!$A$3,
        "Player",View_Table[[#This Row],[Player]],
        "Result","Draw"
    ),
    0
)</f>
        <v>0</v>
      </c>
      <c r="N88" s="5">
        <f>View_Table[[#This Row],[Wins Previous]]+View_Table[[#This Row],[Losses Previous]]+View_Table[[#This Row],[Draws Previous]]</f>
        <v>4</v>
      </c>
      <c r="O88" s="9">
        <f>_xlfn.LET(_xlpm.g,View_Table[[#This Row],[Games Previous]], _xlpm.w,(View_Table[[#This Row],[Wins Previous]] + View_Table[[#This Row],[Draws Previous]] * 0.25), _xlpm.fake, MAX(0,25-_xlpm.g), IF(_xlpm.g=0,0,(_xlpm.w + _xlpm.fake*0.25)/(_xlpm.g + _xlpm.fake)))</f>
        <v>0.21</v>
      </c>
      <c r="P88" s="7">
        <f>_xlfn.RANK.EQ(View_Table[[#This Row],[Weighted Win% Previous]], View_Table[Weighted Win% Previous], 0)</f>
        <v>38</v>
      </c>
    </row>
    <row r="89" spans="2:16" hidden="1" x14ac:dyDescent="0.25">
      <c r="B89" s="3" t="s">
        <v>591</v>
      </c>
      <c r="C89" s="6">
        <f>View_Table[[#This Row],[Rank Previous]]-View_Table[[#This Row],[Rank]]</f>
        <v>15</v>
      </c>
      <c r="D89" s="7">
        <f>_xlfn.RANK.EQ(View_Table[[#This Row],[Weighted Win%]], View_Table[Weighted Win%], 0)</f>
        <v>29</v>
      </c>
      <c r="E89" s="9">
        <f>_xlfn.LET(_xlpm.g,View_Table[[#This Row],[Games]], _xlpm.w,(View_Table[[#This Row],[Wins]] + View_Table[[#This Row],[Draws]] * 0.25), _xlpm.fake, MAX(0,25-_xlpm.g), IF(_xlpm.g=0,0,(_xlpm.w + _xlpm.fake*0.25)/(_xlpm.g + _xlpm.fake)))</f>
        <v>0.23</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2</v>
      </c>
      <c r="I89" s="5">
        <f>IFERROR(
    GETPIVOTDATA(
        "Result",
        'Pivot Table'!$A$3,
        "Player",View_Table[[#This Row],[Player]],
        "Result","Draw"
    ),
    0
)</f>
        <v>0</v>
      </c>
      <c r="J89" s="5">
        <f>View_Table[[#This Row],[Wins]]+View_Table[[#This Row],[Losses]]+View_Table[[#This Row],[Draws]]</f>
        <v>2</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44</v>
      </c>
    </row>
    <row r="90" spans="2:16" hidden="1" x14ac:dyDescent="0.25">
      <c r="B90" s="3" t="s">
        <v>552</v>
      </c>
      <c r="C90" s="6">
        <f>View_Table[[#This Row],[Rank Previous]]-View_Table[[#This Row],[Rank]]</f>
        <v>-3</v>
      </c>
      <c r="D90" s="7">
        <f>_xlfn.RANK.EQ(View_Table[[#This Row],[Weighted Win%]], View_Table[Weighted Win%], 0)</f>
        <v>47</v>
      </c>
      <c r="E90" s="9">
        <f>_xlfn.LET(_xlpm.g,View_Table[[#This Row],[Games]], _xlpm.w,(View_Table[[#This Row],[Wins]] + View_Table[[#This Row],[Draws]] * 0.25), _xlpm.fake, MAX(0,25-_xlpm.g), IF(_xlpm.g=0,0,(_xlpm.w + _xlpm.fake*0.25)/(_xlpm.g + _xlpm.fake)))</f>
        <v>0</v>
      </c>
      <c r="F90" s="8">
        <f>IF(View_Table[[#This Row],[Games]]=0,0,(View_Table[[#This Row],[Wins]] + (View_Table[[#This Row],[Draws]] * 0.25))/View_Table[[#This Row],[Games]])</f>
        <v>0</v>
      </c>
      <c r="G90" s="5">
        <f>IFERROR(
    GETPIVOTDATA(
        "Result",
        'Pivot Table'!$A$3,
        "Player",View_Table[[#This Row],[Player]],
        "Result","Win"
    ),
    0
)</f>
        <v>0</v>
      </c>
      <c r="H90" s="5">
        <f>IFERROR(
    GETPIVOTDATA(
        "Result",
        'Pivot Table'!$A$3,
        "Player",View_Table[[#This Row],[Player]],
        "Result","Loss"
    ),
    0
)</f>
        <v>0</v>
      </c>
      <c r="I90" s="5">
        <f>IFERROR(
    GETPIVOTDATA(
        "Result",
        'Pivot Table'!$A$3,
        "Player",View_Table[[#This Row],[Player]],
        "Result","Draw"
    ),
    0
)</f>
        <v>0</v>
      </c>
      <c r="J90" s="5">
        <f>View_Table[[#This Row],[Wins]]+View_Table[[#This Row],[Losses]]+View_Table[[#This Row],[Draws]]</f>
        <v>0</v>
      </c>
      <c r="K90" s="7">
        <f>IFERROR(
    GETPIVOTDATA(
        "Result",
        'Pivot Table Previous'!$A$3,
        "Player",View_Table[[#This Row],[Player]],
        "Result","Win"
    ),
    0
)</f>
        <v>0</v>
      </c>
      <c r="L90" s="5">
        <f>IFERROR(
    GETPIVOTDATA(
        "Result",
        'Pivot Table Previous'!$A$3,
        "Player",View_Table[[#This Row],[Player]],
        "Result","Loss"
    ),
    0
)</f>
        <v>0</v>
      </c>
      <c r="M90" s="5">
        <f>IFERROR(
    GETPIVOTDATA(
        "Result",
        'Pivot Table Previous'!$A$3,
        "Player",View_Table[[#This Row],[Player]],
        "Result","Draw"
    ),
    0
)</f>
        <v>0</v>
      </c>
      <c r="N90" s="5">
        <f>View_Table[[#This Row],[Wins Previous]]+View_Table[[#This Row],[Losses Previous]]+View_Table[[#This Row],[Draws Previous]]</f>
        <v>0</v>
      </c>
      <c r="O90" s="9">
        <f>_xlfn.LET(_xlpm.g,View_Table[[#This Row],[Games Previous]], _xlpm.w,(View_Table[[#This Row],[Wins Previous]] + View_Table[[#This Row],[Draws Previous]] * 0.25), _xlpm.fake, MAX(0,25-_xlpm.g), IF(_xlpm.g=0,0,(_xlpm.w + _xlpm.fake*0.25)/(_xlpm.g + _xlpm.fake)))</f>
        <v>0</v>
      </c>
      <c r="P90" s="7">
        <f>_xlfn.RANK.EQ(View_Table[[#This Row],[Weighted Win% Previous]], View_Table[Weighted Win% Previous], 0)</f>
        <v>44</v>
      </c>
    </row>
    <row r="91" spans="2:16" hidden="1" x14ac:dyDescent="0.25">
      <c r="B91" s="3" t="s">
        <v>553</v>
      </c>
      <c r="C91" s="6">
        <f>View_Table[[#This Row],[Rank Previous]]-View_Table[[#This Row],[Rank]]</f>
        <v>-4</v>
      </c>
      <c r="D91" s="7">
        <f>_xlfn.RANK.EQ(View_Table[[#This Row],[Weighted Win%]], View_Table[Weighted Win%], 0)</f>
        <v>29</v>
      </c>
      <c r="E91" s="9">
        <f>_xlfn.LET(_xlpm.g,View_Table[[#This Row],[Games]], _xlpm.w,(View_Table[[#This Row],[Wins]] + View_Table[[#This Row],[Draws]] * 0.25), _xlpm.fake, MAX(0,25-_xlpm.g), IF(_xlpm.g=0,0,(_xlpm.w + _xlpm.fake*0.25)/(_xlpm.g + _xlpm.fake)))</f>
        <v>0.23</v>
      </c>
      <c r="F91" s="8">
        <f>IF(View_Table[[#This Row],[Games]]=0,0,(View_Table[[#This Row],[Wins]] + (View_Table[[#This Row],[Draws]] * 0.25))/View_Table[[#This Row],[Games]])</f>
        <v>0</v>
      </c>
      <c r="G91" s="5">
        <f>IFERROR(
    GETPIVOTDATA(
        "Result",
        'Pivot Table'!$A$3,
        "Player",View_Table[[#This Row],[Player]],
        "Result","Win"
    ),
    0
)</f>
        <v>0</v>
      </c>
      <c r="H91" s="5">
        <f>IFERROR(
    GETPIVOTDATA(
        "Result",
        'Pivot Table'!$A$3,
        "Player",View_Table[[#This Row],[Player]],
        "Result","Loss"
    ),
    0
)</f>
        <v>2</v>
      </c>
      <c r="I91" s="5">
        <f>IFERROR(
    GETPIVOTDATA(
        "Result",
        'Pivot Table'!$A$3,
        "Player",View_Table[[#This Row],[Player]],
        "Result","Draw"
    ),
    0
)</f>
        <v>0</v>
      </c>
      <c r="J91" s="5">
        <f>View_Table[[#This Row],[Wins]]+View_Table[[#This Row],[Losses]]+View_Table[[#This Row],[Draws]]</f>
        <v>2</v>
      </c>
      <c r="K91" s="7">
        <f>IFERROR(
    GETPIVOTDATA(
        "Result",
        'Pivot Table Previous'!$A$3,
        "Player",View_Table[[#This Row],[Player]],
        "Result","Win"
    ),
    0
)</f>
        <v>0</v>
      </c>
      <c r="L91" s="5">
        <f>IFERROR(
    GETPIVOTDATA(
        "Result",
        'Pivot Table Previous'!$A$3,
        "Player",View_Table[[#This Row],[Player]],
        "Result","Loss"
    ),
    0
)</f>
        <v>2</v>
      </c>
      <c r="M91" s="5">
        <f>IFERROR(
    GETPIVOTDATA(
        "Result",
        'Pivot Table Previous'!$A$3,
        "Player",View_Table[[#This Row],[Player]],
        "Result","Draw"
    ),
    0
)</f>
        <v>0</v>
      </c>
      <c r="N91" s="5">
        <f>View_Table[[#This Row],[Wins Previous]]+View_Table[[#This Row],[Losses Previous]]+View_Table[[#This Row],[Draws Previous]]</f>
        <v>2</v>
      </c>
      <c r="O91" s="9">
        <f>_xlfn.LET(_xlpm.g,View_Table[[#This Row],[Games Previous]], _xlpm.w,(View_Table[[#This Row],[Wins Previous]] + View_Table[[#This Row],[Draws Previous]] * 0.25), _xlpm.fake, MAX(0,25-_xlpm.g), IF(_xlpm.g=0,0,(_xlpm.w + _xlpm.fake*0.25)/(_xlpm.g + _xlpm.fake)))</f>
        <v>0.23</v>
      </c>
      <c r="P91" s="7">
        <f>_xlfn.RANK.EQ(View_Table[[#This Row],[Weighted Win% Previous]], View_Table[Weighted Win% Previous], 0)</f>
        <v>25</v>
      </c>
    </row>
    <row r="92" spans="2:16" hidden="1" x14ac:dyDescent="0.25">
      <c r="B92" s="3" t="s">
        <v>554</v>
      </c>
      <c r="C92" s="6">
        <f>View_Table[[#This Row],[Rank Previous]]-View_Table[[#This Row],[Rank]]</f>
        <v>-4</v>
      </c>
      <c r="D92" s="7">
        <f>_xlfn.RANK.EQ(View_Table[[#This Row],[Weighted Win%]], View_Table[Weighted Win%], 0)</f>
        <v>29</v>
      </c>
      <c r="E92" s="9">
        <f>_xlfn.LET(_xlpm.g,View_Table[[#This Row],[Games]], _xlpm.w,(View_Table[[#This Row],[Wins]] + View_Table[[#This Row],[Draws]] * 0.25), _xlpm.fake, MAX(0,25-_xlpm.g), IF(_xlpm.g=0,0,(_xlpm.w + _xlpm.fake*0.25)/(_xlpm.g + _xlpm.fake)))</f>
        <v>0.23</v>
      </c>
      <c r="F92" s="8">
        <f>IF(View_Table[[#This Row],[Games]]=0,0,(View_Table[[#This Row],[Wins]] + (View_Table[[#This Row],[Draws]] * 0.25))/View_Table[[#This Row],[Games]])</f>
        <v>0</v>
      </c>
      <c r="G92" s="5">
        <f>IFERROR(
    GETPIVOTDATA(
        "Result",
        'Pivot Table'!$A$3,
        "Player",View_Table[[#This Row],[Player]],
        "Result","Win"
    ),
    0
)</f>
        <v>0</v>
      </c>
      <c r="H92" s="5">
        <f>IFERROR(
    GETPIVOTDATA(
        "Result",
        'Pivot Table'!$A$3,
        "Player",View_Table[[#This Row],[Player]],
        "Result","Loss"
    ),
    0
)</f>
        <v>2</v>
      </c>
      <c r="I92" s="5">
        <f>IFERROR(
    GETPIVOTDATA(
        "Result",
        'Pivot Table'!$A$3,
        "Player",View_Table[[#This Row],[Player]],
        "Result","Draw"
    ),
    0
)</f>
        <v>0</v>
      </c>
      <c r="J92" s="5">
        <f>View_Table[[#This Row],[Wins]]+View_Table[[#This Row],[Losses]]+View_Table[[#This Row],[Draws]]</f>
        <v>2</v>
      </c>
      <c r="K92" s="7">
        <f>IFERROR(
    GETPIVOTDATA(
        "Result",
        'Pivot Table Previous'!$A$3,
        "Player",View_Table[[#This Row],[Player]],
        "Result","Win"
    ),
    0
)</f>
        <v>0</v>
      </c>
      <c r="L92" s="5">
        <f>IFERROR(
    GETPIVOTDATA(
        "Result",
        'Pivot Table Previous'!$A$3,
        "Player",View_Table[[#This Row],[Player]],
        "Result","Loss"
    ),
    0
)</f>
        <v>2</v>
      </c>
      <c r="M92" s="5">
        <f>IFERROR(
    GETPIVOTDATA(
        "Result",
        'Pivot Table Previous'!$A$3,
        "Player",View_Table[[#This Row],[Player]],
        "Result","Draw"
    ),
    0
)</f>
        <v>0</v>
      </c>
      <c r="N92" s="5">
        <f>View_Table[[#This Row],[Wins Previous]]+View_Table[[#This Row],[Losses Previous]]+View_Table[[#This Row],[Draws Previous]]</f>
        <v>2</v>
      </c>
      <c r="O92" s="9">
        <f>_xlfn.LET(_xlpm.g,View_Table[[#This Row],[Games Previous]], _xlpm.w,(View_Table[[#This Row],[Wins Previous]] + View_Table[[#This Row],[Draws Previous]] * 0.25), _xlpm.fake, MAX(0,25-_xlpm.g), IF(_xlpm.g=0,0,(_xlpm.w + _xlpm.fake*0.25)/(_xlpm.g + _xlpm.fake)))</f>
        <v>0.23</v>
      </c>
      <c r="P92" s="7">
        <f>_xlfn.RANK.EQ(View_Table[[#This Row],[Weighted Win% Previous]], View_Table[Weighted Win% Previous], 0)</f>
        <v>25</v>
      </c>
    </row>
    <row r="93" spans="2:16" hidden="1" x14ac:dyDescent="0.25">
      <c r="B93" s="3" t="s">
        <v>555</v>
      </c>
      <c r="C93" s="6">
        <f>View_Table[[#This Row],[Rank Previous]]-View_Table[[#This Row],[Rank]]</f>
        <v>-1</v>
      </c>
      <c r="D93" s="7">
        <f>_xlfn.RANK.EQ(View_Table[[#This Row],[Weighted Win%]], View_Table[Weighted Win%], 0)</f>
        <v>14</v>
      </c>
      <c r="E93" s="9">
        <f>_xlfn.LET(_xlpm.g,View_Table[[#This Row],[Games]], _xlpm.w,(View_Table[[#This Row],[Wins]] + View_Table[[#This Row],[Draws]] * 0.25), _xlpm.fake, MAX(0,25-_xlpm.g), IF(_xlpm.g=0,0,(_xlpm.w + _xlpm.fake*0.25)/(_xlpm.g + _xlpm.fake)))</f>
        <v>0.27</v>
      </c>
      <c r="F93" s="8">
        <f>IF(View_Table[[#This Row],[Games]]=0,0,(View_Table[[#This Row],[Wins]] + (View_Table[[#This Row],[Draws]] * 0.25))/View_Table[[#This Row],[Games]])</f>
        <v>0.5</v>
      </c>
      <c r="G93" s="5">
        <f>IFERROR(
    GETPIVOTDATA(
        "Result",
        'Pivot Table'!$A$3,
        "Player",View_Table[[#This Row],[Player]],
        "Result","Win"
    ),
    0
)</f>
        <v>1</v>
      </c>
      <c r="H93" s="5">
        <f>IFERROR(
    GETPIVOTDATA(
        "Result",
        'Pivot Table'!$A$3,
        "Player",View_Table[[#This Row],[Player]],
        "Result","Loss"
    ),
    0
)</f>
        <v>1</v>
      </c>
      <c r="I93" s="5">
        <f>IFERROR(
    GETPIVOTDATA(
        "Result",
        'Pivot Table'!$A$3,
        "Player",View_Table[[#This Row],[Player]],
        "Result","Draw"
    ),
    0
)</f>
        <v>0</v>
      </c>
      <c r="J93" s="5">
        <f>View_Table[[#This Row],[Wins]]+View_Table[[#This Row],[Losses]]+View_Table[[#This Row],[Draws]]</f>
        <v>2</v>
      </c>
      <c r="K93" s="7">
        <f>IFERROR(
    GETPIVOTDATA(
        "Result",
        'Pivot Table Previous'!$A$3,
        "Player",View_Table[[#This Row],[Player]],
        "Result","Win"
    ),
    0
)</f>
        <v>1</v>
      </c>
      <c r="L93" s="5">
        <f>IFERROR(
    GETPIVOTDATA(
        "Result",
        'Pivot Table Previous'!$A$3,
        "Player",View_Table[[#This Row],[Player]],
        "Result","Loss"
    ),
    0
)</f>
        <v>1</v>
      </c>
      <c r="M93" s="5">
        <f>IFERROR(
    GETPIVOTDATA(
        "Result",
        'Pivot Table Previous'!$A$3,
        "Player",View_Table[[#This Row],[Player]],
        "Result","Draw"
    ),
    0
)</f>
        <v>0</v>
      </c>
      <c r="N93" s="5">
        <f>View_Table[[#This Row],[Wins Previous]]+View_Table[[#This Row],[Losses Previous]]+View_Table[[#This Row],[Draws Previous]]</f>
        <v>2</v>
      </c>
      <c r="O93" s="9">
        <f>_xlfn.LET(_xlpm.g,View_Table[[#This Row],[Games Previous]], _xlpm.w,(View_Table[[#This Row],[Wins Previous]] + View_Table[[#This Row],[Draws Previous]] * 0.25), _xlpm.fake, MAX(0,25-_xlpm.g), IF(_xlpm.g=0,0,(_xlpm.w + _xlpm.fake*0.25)/(_xlpm.g + _xlpm.fake)))</f>
        <v>0.27</v>
      </c>
      <c r="P93" s="7">
        <f>_xlfn.RANK.EQ(View_Table[[#This Row],[Weighted Win% Previous]], View_Table[Weighted Win% Previous], 0)</f>
        <v>13</v>
      </c>
    </row>
    <row r="94" spans="2:16" x14ac:dyDescent="0.25">
      <c r="B94" s="3" t="s">
        <v>20</v>
      </c>
      <c r="C94" s="6">
        <f>View_Table[[#This Row],[Rank Previous]]-View_Table[[#This Row],[Rank]]</f>
        <v>-15</v>
      </c>
      <c r="D94" s="7">
        <f>_xlfn.RANK.EQ(View_Table[[#This Row],[Weighted Win%]], View_Table[Weighted Win%], 0)</f>
        <v>40</v>
      </c>
      <c r="E94" s="9">
        <f>_xlfn.LET(_xlpm.g,View_Table[[#This Row],[Games]], _xlpm.w,(View_Table[[#This Row],[Wins]] + View_Table[[#This Row],[Draws]] * 0.25), _xlpm.fake, MAX(0,25-_xlpm.g), IF(_xlpm.g=0,0,(_xlpm.w + _xlpm.fake*0.25)/(_xlpm.g + _xlpm.fake)))</f>
        <v>0.21</v>
      </c>
      <c r="F94" s="8">
        <f>IF(View_Table[[#This Row],[Games]]=0,0,(View_Table[[#This Row],[Wins]] + (View_Table[[#This Row],[Draws]] * 0.25))/View_Table[[#This Row],[Games]])</f>
        <v>0.17857142857142858</v>
      </c>
      <c r="G94" s="5">
        <f>IFERROR(
    GETPIVOTDATA(
        "Result",
        'Pivot Table'!$A$3,
        "Player",View_Table[[#This Row],[Player]],
        "Result","Win"
    ),
    0
)</f>
        <v>1</v>
      </c>
      <c r="H94" s="5">
        <f>IFERROR(
    GETPIVOTDATA(
        "Result",
        'Pivot Table'!$A$3,
        "Player",View_Table[[#This Row],[Player]],
        "Result","Loss"
    ),
    0
)</f>
        <v>7</v>
      </c>
      <c r="I94" s="5">
        <f>IFERROR(
    GETPIVOTDATA(
        "Result",
        'Pivot Table'!$A$3,
        "Player",View_Table[[#This Row],[Player]],
        "Result","Draw"
    ),
    0
)</f>
        <v>6</v>
      </c>
      <c r="J94" s="5">
        <f>View_Table[[#This Row],[Wins]]+View_Table[[#This Row],[Losses]]+View_Table[[#This Row],[Draws]]</f>
        <v>14</v>
      </c>
      <c r="K94" s="7">
        <f>IFERROR(
    GETPIVOTDATA(
        "Result",
        'Pivot Table Previous'!$A$3,
        "Player",View_Table[[#This Row],[Player]],
        "Result","Win"
    ),
    0
)</f>
        <v>1</v>
      </c>
      <c r="L94" s="5">
        <f>IFERROR(
    GETPIVOTDATA(
        "Result",
        'Pivot Table Previous'!$A$3,
        "Player",View_Table[[#This Row],[Player]],
        "Result","Loss"
    ),
    0
)</f>
        <v>5</v>
      </c>
      <c r="M94" s="5">
        <f>IFERROR(
    GETPIVOTDATA(
        "Result",
        'Pivot Table Previous'!$A$3,
        "Player",View_Table[[#This Row],[Player]],
        "Result","Draw"
    ),
    0
)</f>
        <v>6</v>
      </c>
      <c r="N94" s="5">
        <f>View_Table[[#This Row],[Wins Previous]]+View_Table[[#This Row],[Losses Previous]]+View_Table[[#This Row],[Draws Previous]]</f>
        <v>12</v>
      </c>
      <c r="O94" s="9">
        <f>_xlfn.LET(_xlpm.g,View_Table[[#This Row],[Games Previous]], _xlpm.w,(View_Table[[#This Row],[Wins Previous]] + View_Table[[#This Row],[Draws Previous]] * 0.25), _xlpm.fake, MAX(0,25-_xlpm.g), IF(_xlpm.g=0,0,(_xlpm.w + _xlpm.fake*0.25)/(_xlpm.g + _xlpm.fake)))</f>
        <v>0.23</v>
      </c>
      <c r="P94" s="7">
        <f>_xlfn.RANK.EQ(View_Table[[#This Row],[Weighted Win% Previous]], View_Table[Weighted Win% Previous], 0)</f>
        <v>25</v>
      </c>
    </row>
    <row r="95" spans="2:16" x14ac:dyDescent="0.25">
      <c r="B95" s="3" t="s">
        <v>28</v>
      </c>
      <c r="C95" s="6">
        <f>View_Table[[#This Row],[Rank Previous]]-View_Table[[#This Row],[Rank]]</f>
        <v>-4</v>
      </c>
      <c r="D95" s="7">
        <f>_xlfn.RANK.EQ(View_Table[[#This Row],[Weighted Win%]], View_Table[Weighted Win%], 0)</f>
        <v>42</v>
      </c>
      <c r="E95" s="9">
        <f>_xlfn.LET(_xlpm.g,View_Table[[#This Row],[Games]], _xlpm.w,(View_Table[[#This Row],[Wins]] + View_Table[[#This Row],[Draws]] * 0.25), _xlpm.fake, MAX(0,25-_xlpm.g), IF(_xlpm.g=0,0,(_xlpm.w + _xlpm.fake*0.25)/(_xlpm.g + _xlpm.fake)))</f>
        <v>0.19</v>
      </c>
      <c r="F95" s="8">
        <f>IF(View_Table[[#This Row],[Games]]=0,0,(View_Table[[#This Row],[Wins]] + (View_Table[[#This Row],[Draws]] * 0.25))/View_Table[[#This Row],[Games]])</f>
        <v>0.13461538461538461</v>
      </c>
      <c r="G95" s="5">
        <f>IFERROR(
    GETPIVOTDATA(
        "Result",
        'Pivot Table'!$A$3,
        "Player",View_Table[[#This Row],[Player]],
        "Result","Win"
    ),
    0
)</f>
        <v>1</v>
      </c>
      <c r="H95" s="5">
        <f>IFERROR(
    GETPIVOTDATA(
        "Result",
        'Pivot Table'!$A$3,
        "Player",View_Table[[#This Row],[Player]],
        "Result","Loss"
    ),
    0
)</f>
        <v>9</v>
      </c>
      <c r="I95" s="5">
        <f>IFERROR(
    GETPIVOTDATA(
        "Result",
        'Pivot Table'!$A$3,
        "Player",View_Table[[#This Row],[Player]],
        "Result","Draw"
    ),
    0
)</f>
        <v>3</v>
      </c>
      <c r="J95" s="5">
        <f>View_Table[[#This Row],[Wins]]+View_Table[[#This Row],[Losses]]+View_Table[[#This Row],[Draws]]</f>
        <v>13</v>
      </c>
      <c r="K95" s="7">
        <f>IFERROR(
    GETPIVOTDATA(
        "Result",
        'Pivot Table Previous'!$A$3,
        "Player",View_Table[[#This Row],[Player]],
        "Result","Win"
    ),
    0
)</f>
        <v>1</v>
      </c>
      <c r="L95" s="5">
        <f>IFERROR(
    GETPIVOTDATA(
        "Result",
        'Pivot Table Previous'!$A$3,
        "Player",View_Table[[#This Row],[Player]],
        "Result","Loss"
    ),
    0
)</f>
        <v>7</v>
      </c>
      <c r="M95" s="5">
        <f>IFERROR(
    GETPIVOTDATA(
        "Result",
        'Pivot Table Previous'!$A$3,
        "Player",View_Table[[#This Row],[Player]],
        "Result","Draw"
    ),
    0
)</f>
        <v>3</v>
      </c>
      <c r="N95" s="5">
        <f>View_Table[[#This Row],[Wins Previous]]+View_Table[[#This Row],[Losses Previous]]+View_Table[[#This Row],[Draws Previous]]</f>
        <v>11</v>
      </c>
      <c r="O95" s="9">
        <f>_xlfn.LET(_xlpm.g,View_Table[[#This Row],[Games Previous]], _xlpm.w,(View_Table[[#This Row],[Wins Previous]] + View_Table[[#This Row],[Draws Previous]] * 0.25), _xlpm.fake, MAX(0,25-_xlpm.g), IF(_xlpm.g=0,0,(_xlpm.w + _xlpm.fake*0.25)/(_xlpm.g + _xlpm.fake)))</f>
        <v>0.21</v>
      </c>
      <c r="P95" s="7">
        <f>_xlfn.RANK.EQ(View_Table[[#This Row],[Weighted Win% Previous]], View_Table[Weighted Win% Previous], 0)</f>
        <v>38</v>
      </c>
    </row>
    <row r="96" spans="2:16" x14ac:dyDescent="0.25">
      <c r="B96" s="3" t="s">
        <v>52</v>
      </c>
      <c r="C96" s="6">
        <f>View_Table[[#This Row],[Rank Previous]]-View_Table[[#This Row],[Rank]]</f>
        <v>-3</v>
      </c>
      <c r="D96" s="7">
        <f>_xlfn.RANK.EQ(View_Table[[#This Row],[Weighted Win%]], View_Table[Weighted Win%], 0)</f>
        <v>43</v>
      </c>
      <c r="E96" s="9">
        <f>_xlfn.LET(_xlpm.g,View_Table[[#This Row],[Games]], _xlpm.w,(View_Table[[#This Row],[Wins]] + View_Table[[#This Row],[Draws]] * 0.25), _xlpm.fake, MAX(0,25-_xlpm.g), IF(_xlpm.g=0,0,(_xlpm.w + _xlpm.fake*0.25)/(_xlpm.g + _xlpm.fake)))</f>
        <v>0.18</v>
      </c>
      <c r="F96" s="8">
        <f>IF(View_Table[[#This Row],[Games]]=0,0,(View_Table[[#This Row],[Wins]] + (View_Table[[#This Row],[Draws]] * 0.25))/View_Table[[#This Row],[Games]])</f>
        <v>0.140625</v>
      </c>
      <c r="G96" s="5">
        <f>IFERROR(
    GETPIVOTDATA(
        "Result",
        'Pivot Table'!$A$3,
        "Player",View_Table[[#This Row],[Player]],
        "Result","Win"
    ),
    0
)</f>
        <v>2</v>
      </c>
      <c r="H96" s="5">
        <f>IFERROR(
    GETPIVOTDATA(
        "Result",
        'Pivot Table'!$A$3,
        "Player",View_Table[[#This Row],[Player]],
        "Result","Loss"
    ),
    0
)</f>
        <v>13</v>
      </c>
      <c r="I96" s="5">
        <f>IFERROR(
    GETPIVOTDATA(
        "Result",
        'Pivot Table'!$A$3,
        "Player",View_Table[[#This Row],[Player]],
        "Result","Draw"
    ),
    0
)</f>
        <v>1</v>
      </c>
      <c r="J96" s="5">
        <f>View_Table[[#This Row],[Wins]]+View_Table[[#This Row],[Losses]]+View_Table[[#This Row],[Draws]]</f>
        <v>16</v>
      </c>
      <c r="K96" s="5">
        <f>IFERROR(
    GETPIVOTDATA(
        "Result",
        'Pivot Table Previous'!$A$3,
        "Player",View_Table[[#This Row],[Player]],
        "Result","Win"
    ),
    0
)</f>
        <v>2</v>
      </c>
      <c r="L96" s="5">
        <f>IFERROR(
    GETPIVOTDATA(
        "Result",
        'Pivot Table Previous'!$A$3,
        "Player",View_Table[[#This Row],[Player]],
        "Result","Loss"
    ),
    0
)</f>
        <v>13</v>
      </c>
      <c r="M96" s="5">
        <f>IFERROR(
    GETPIVOTDATA(
        "Result",
        'Pivot Table Previous'!$A$3,
        "Player",View_Table[[#This Row],[Player]],
        "Result","Draw"
    ),
    0
)</f>
        <v>1</v>
      </c>
      <c r="N96" s="5">
        <f>View_Table[[#This Row],[Wins Previous]]+View_Table[[#This Row],[Losses Previous]]+View_Table[[#This Row],[Draws Previous]]</f>
        <v>16</v>
      </c>
      <c r="O96" s="9">
        <f>_xlfn.LET(_xlpm.g,View_Table[[#This Row],[Games Previous]], _xlpm.w,(View_Table[[#This Row],[Wins Previous]] + View_Table[[#This Row],[Draws Previous]] * 0.25), _xlpm.fake, MAX(0,25-_xlpm.g), IF(_xlpm.g=0,0,(_xlpm.w + _xlpm.fake*0.25)/(_xlpm.g + _xlpm.fake)))</f>
        <v>0.18</v>
      </c>
      <c r="P96" s="7">
        <f>IF(View_Table[[#This Row],[Games Previous]]=0,
    View_Table[[#This Row],[Rank]],
    _xlfn.RANK.EQ(View_Table[[#This Row],[Weighted Win% Previous]], View_Table[Weighted Win% Previous], 0)
)</f>
        <v>40</v>
      </c>
    </row>
    <row r="97" spans="2:16" x14ac:dyDescent="0.25">
      <c r="B97" s="3" t="s">
        <v>433</v>
      </c>
      <c r="C97" s="6">
        <f>View_Table[[#This Row],[Rank Previous]]-View_Table[[#This Row],[Rank]]</f>
        <v>-4</v>
      </c>
      <c r="D97" s="7">
        <f>_xlfn.RANK.EQ(View_Table[[#This Row],[Weighted Win%]], View_Table[Weighted Win%], 0)</f>
        <v>44</v>
      </c>
      <c r="E97" s="9">
        <f>_xlfn.LET(_xlpm.g,View_Table[[#This Row],[Games]], _xlpm.w,(View_Table[[#This Row],[Wins]] + View_Table[[#This Row],[Draws]] * 0.25), _xlpm.fake, MAX(0,25-_xlpm.g), IF(_xlpm.g=0,0,(_xlpm.w + _xlpm.fake*0.25)/(_xlpm.g + _xlpm.fake)))</f>
        <v>0.17</v>
      </c>
      <c r="F97" s="8">
        <f>IF(View_Table[[#This Row],[Games]]=0,0,(View_Table[[#This Row],[Wins]] + (View_Table[[#This Row],[Draws]] * 0.25))/View_Table[[#This Row],[Games]])</f>
        <v>0.05</v>
      </c>
      <c r="G97" s="5">
        <f>IFERROR(
    GETPIVOTDATA(
        "Result",
        'Pivot Table'!$A$3,
        "Player",View_Table[[#This Row],[Player]],
        "Result","Win"
    ),
    0
)</f>
        <v>0</v>
      </c>
      <c r="H97" s="5">
        <f>IFERROR(
    GETPIVOTDATA(
        "Result",
        'Pivot Table'!$A$3,
        "Player",View_Table[[#This Row],[Player]],
        "Result","Loss"
    ),
    0
)</f>
        <v>8</v>
      </c>
      <c r="I97" s="5">
        <f>IFERROR(
    GETPIVOTDATA(
        "Result",
        'Pivot Table'!$A$3,
        "Player",View_Table[[#This Row],[Player]],
        "Result","Draw"
    ),
    0
)</f>
        <v>2</v>
      </c>
      <c r="J97" s="5">
        <f>View_Table[[#This Row],[Wins]]+View_Table[[#This Row],[Losses]]+View_Table[[#This Row],[Draws]]</f>
        <v>10</v>
      </c>
      <c r="K97" s="7">
        <f>IFERROR(
    GETPIVOTDATA(
        "Result",
        'Pivot Table Previous'!$A$3,
        "Player",View_Table[[#This Row],[Player]],
        "Result","Win"
    ),
    0
)</f>
        <v>0</v>
      </c>
      <c r="L97" s="5">
        <f>IFERROR(
    GETPIVOTDATA(
        "Result",
        'Pivot Table Previous'!$A$3,
        "Player",View_Table[[#This Row],[Player]],
        "Result","Loss"
    ),
    0
)</f>
        <v>7</v>
      </c>
      <c r="M97" s="5">
        <f>IFERROR(
    GETPIVOTDATA(
        "Result",
        'Pivot Table Previous'!$A$3,
        "Player",View_Table[[#This Row],[Player]],
        "Result","Draw"
    ),
    0
)</f>
        <v>1</v>
      </c>
      <c r="N97" s="5">
        <f>View_Table[[#This Row],[Wins Previous]]+View_Table[[#This Row],[Losses Previous]]+View_Table[[#This Row],[Draws Previous]]</f>
        <v>8</v>
      </c>
      <c r="O97" s="9">
        <f>_xlfn.LET(_xlpm.g,View_Table[[#This Row],[Games Previous]], _xlpm.w,(View_Table[[#This Row],[Wins Previous]] + View_Table[[#This Row],[Draws Previous]] * 0.25), _xlpm.fake, MAX(0,25-_xlpm.g), IF(_xlpm.g=0,0,(_xlpm.w + _xlpm.fake*0.25)/(_xlpm.g + _xlpm.fake)))</f>
        <v>0.18</v>
      </c>
      <c r="P97" s="7">
        <f>_xlfn.RANK.EQ(View_Table[[#This Row],[Weighted Win% Previous]], View_Table[Weighted Win% Previous], 0)</f>
        <v>40</v>
      </c>
    </row>
    <row r="98" spans="2:16" x14ac:dyDescent="0.25">
      <c r="B98" s="3" t="s">
        <v>10</v>
      </c>
      <c r="C98" s="6">
        <f>View_Table[[#This Row],[Rank Previous]]-View_Table[[#This Row],[Rank]]</f>
        <v>-4</v>
      </c>
      <c r="D98" s="7">
        <f>_xlfn.RANK.EQ(View_Table[[#This Row],[Weighted Win%]], View_Table[Weighted Win%], 0)</f>
        <v>44</v>
      </c>
      <c r="E98" s="9">
        <f>_xlfn.LET(_xlpm.g,View_Table[[#This Row],[Games]], _xlpm.w,(View_Table[[#This Row],[Wins]] + View_Table[[#This Row],[Draws]] * 0.25), _xlpm.fake, MAX(0,25-_xlpm.g), IF(_xlpm.g=0,0,(_xlpm.w + _xlpm.fake*0.25)/(_xlpm.g + _xlpm.fake)))</f>
        <v>0.17</v>
      </c>
      <c r="F98" s="8">
        <f>IF(View_Table[[#This Row],[Games]]=0,0,(View_Table[[#This Row],[Wins]] + (View_Table[[#This Row],[Draws]] * 0.25))/View_Table[[#This Row],[Games]])</f>
        <v>0.15909090909090909</v>
      </c>
      <c r="G98" s="5">
        <f>IFERROR(
    GETPIVOTDATA(
        "Result",
        'Pivot Table'!$A$3,
        "Player",View_Table[[#This Row],[Player]],
        "Result","Win"
    ),
    0
)</f>
        <v>2</v>
      </c>
      <c r="H98" s="5">
        <f>IFERROR(
    GETPIVOTDATA(
        "Result",
        'Pivot Table'!$A$3,
        "Player",View_Table[[#This Row],[Player]],
        "Result","Loss"
    ),
    0
)</f>
        <v>14</v>
      </c>
      <c r="I98" s="5">
        <f>IFERROR(
    GETPIVOTDATA(
        "Result",
        'Pivot Table'!$A$3,
        "Player",View_Table[[#This Row],[Player]],
        "Result","Draw"
    ),
    0
)</f>
        <v>6</v>
      </c>
      <c r="J98" s="5">
        <f>View_Table[[#This Row],[Wins]]+View_Table[[#This Row],[Losses]]+View_Table[[#This Row],[Draws]]</f>
        <v>22</v>
      </c>
      <c r="K98" s="5">
        <f>IFERROR(
    GETPIVOTDATA(
        "Result",
        'Pivot Table Previous'!$A$3,
        "Player",View_Table[[#This Row],[Player]],
        "Result","Win"
    ),
    0
)</f>
        <v>2</v>
      </c>
      <c r="L98" s="5">
        <f>IFERROR(
    GETPIVOTDATA(
        "Result",
        'Pivot Table Previous'!$A$3,
        "Player",View_Table[[#This Row],[Player]],
        "Result","Loss"
    ),
    0
)</f>
        <v>13</v>
      </c>
      <c r="M98" s="5">
        <f>IFERROR(
    GETPIVOTDATA(
        "Result",
        'Pivot Table Previous'!$A$3,
        "Player",View_Table[[#This Row],[Player]],
        "Result","Draw"
    ),
    0
)</f>
        <v>5</v>
      </c>
      <c r="N98" s="5">
        <f>View_Table[[#This Row],[Wins Previous]]+View_Table[[#This Row],[Losses Previous]]+View_Table[[#This Row],[Draws Previous]]</f>
        <v>20</v>
      </c>
      <c r="O98" s="9">
        <f>_xlfn.LET(_xlpm.g,View_Table[[#This Row],[Games Previous]], _xlpm.w,(View_Table[[#This Row],[Wins Previous]] + View_Table[[#This Row],[Draws Previous]] * 0.25), _xlpm.fake, MAX(0,25-_xlpm.g), IF(_xlpm.g=0,0,(_xlpm.w + _xlpm.fake*0.25)/(_xlpm.g + _xlpm.fake)))</f>
        <v>0.18</v>
      </c>
      <c r="P98" s="7">
        <f>IF(View_Table[[#This Row],[Games Previous]]=0,
    View_Table[[#This Row],[Rank]],
    _xlfn.RANK.EQ(View_Table[[#This Row],[Weighted Win% Previous]], View_Table[Weighted Win% Previous], 0)
)</f>
        <v>40</v>
      </c>
    </row>
    <row r="99" spans="2:16" x14ac:dyDescent="0.25">
      <c r="B99" s="3" t="s">
        <v>363</v>
      </c>
      <c r="C99" s="6">
        <f>View_Table[[#This Row],[Rank Previous]]-View_Table[[#This Row],[Rank]]</f>
        <v>-1</v>
      </c>
      <c r="D99" s="7">
        <f>_xlfn.RANK.EQ(View_Table[[#This Row],[Weighted Win%]], View_Table[Weighted Win%], 0)</f>
        <v>44</v>
      </c>
      <c r="E99" s="9">
        <f>_xlfn.LET(_xlpm.g,View_Table[[#This Row],[Games]], _xlpm.w,(View_Table[[#This Row],[Wins]] + View_Table[[#This Row],[Draws]] * 0.25), _xlpm.fake, MAX(0,25-_xlpm.g), IF(_xlpm.g=0,0,(_xlpm.w + _xlpm.fake*0.25)/(_xlpm.g + _xlpm.fake)))</f>
        <v>0.17</v>
      </c>
      <c r="F99" s="8">
        <f>IF(View_Table[[#This Row],[Games]]=0,0,(View_Table[[#This Row],[Wins]] + (View_Table[[#This Row],[Draws]] * 0.25))/View_Table[[#This Row],[Games]])</f>
        <v>0.15</v>
      </c>
      <c r="G99" s="5">
        <f>IFERROR(
    GETPIVOTDATA(
        "Result",
        'Pivot Table'!$A$3,
        "Player",View_Table[[#This Row],[Player]],
        "Result","Win"
    ),
    0
)</f>
        <v>1</v>
      </c>
      <c r="H99" s="5">
        <f>IFERROR(
    GETPIVOTDATA(
        "Result",
        'Pivot Table'!$A$3,
        "Player",View_Table[[#This Row],[Player]],
        "Result","Loss"
    ),
    0
)</f>
        <v>11</v>
      </c>
      <c r="I99" s="5">
        <f>IFERROR(
    GETPIVOTDATA(
        "Result",
        'Pivot Table'!$A$3,
        "Player",View_Table[[#This Row],[Player]],
        "Result","Draw"
    ),
    0
)</f>
        <v>8</v>
      </c>
      <c r="J99" s="5">
        <f>View_Table[[#This Row],[Wins]]+View_Table[[#This Row],[Losses]]+View_Table[[#This Row],[Draws]]</f>
        <v>20</v>
      </c>
      <c r="K99" s="7">
        <f>IFERROR(
    GETPIVOTDATA(
        "Result",
        'Pivot Table Previous'!$A$3,
        "Player",View_Table[[#This Row],[Player]],
        "Result","Win"
    ),
    0
)</f>
        <v>0</v>
      </c>
      <c r="L99" s="5">
        <f>IFERROR(
    GETPIVOTDATA(
        "Result",
        'Pivot Table Previous'!$A$3,
        "Player",View_Table[[#This Row],[Player]],
        "Result","Loss"
    ),
    0
)</f>
        <v>11</v>
      </c>
      <c r="M99" s="5">
        <f>IFERROR(
    GETPIVOTDATA(
        "Result",
        'Pivot Table Previous'!$A$3,
        "Player",View_Table[[#This Row],[Player]],
        "Result","Draw"
    ),
    0
)</f>
        <v>7</v>
      </c>
      <c r="N99" s="5">
        <f>View_Table[[#This Row],[Wins Previous]]+View_Table[[#This Row],[Losses Previous]]+View_Table[[#This Row],[Draws Previous]]</f>
        <v>18</v>
      </c>
      <c r="O99" s="9">
        <f>_xlfn.LET(_xlpm.g,View_Table[[#This Row],[Games Previous]], _xlpm.w,(View_Table[[#This Row],[Wins Previous]] + View_Table[[#This Row],[Draws Previous]] * 0.25), _xlpm.fake, MAX(0,25-_xlpm.g), IF(_xlpm.g=0,0,(_xlpm.w + _xlpm.fake*0.25)/(_xlpm.g + _xlpm.fake)))</f>
        <v>0.14000000000000001</v>
      </c>
      <c r="P99" s="7">
        <f>_xlfn.RANK.EQ(View_Table[[#This Row],[Weighted Win% Previous]], View_Table[Weighted Win% Previous], 0)</f>
        <v>43</v>
      </c>
    </row>
  </sheetData>
  <phoneticPr fontId="4" type="noConversion"/>
  <conditionalFormatting sqref="J5:J99">
    <cfRule type="colorScale" priority="1620">
      <colorScale>
        <cfvo type="min"/>
        <cfvo type="percentile" val="50"/>
        <cfvo type="num" val="25"/>
        <color rgb="FFF8696B"/>
        <color rgb="FFFFEB84"/>
        <color rgb="FF63BE7B"/>
      </colorScale>
    </cfRule>
  </conditionalFormatting>
  <conditionalFormatting sqref="D5:D99">
    <cfRule type="top10" dxfId="5" priority="1621" bottom="1" rank="5"/>
    <cfRule type="cellIs" dxfId="4" priority="1622" operator="between">
      <formula>1</formula>
      <formula>16</formula>
    </cfRule>
    <cfRule type="top10" dxfId="3" priority="1623" bottom="1" rank="1"/>
  </conditionalFormatting>
  <conditionalFormatting sqref="G5:G99">
    <cfRule type="colorScale" priority="1624">
      <colorScale>
        <cfvo type="min"/>
        <cfvo type="percentile" val="70"/>
        <cfvo type="max"/>
        <color rgb="FFFF6600"/>
        <color theme="9" tint="0.59999389629810485"/>
        <color theme="9" tint="0.39997558519241921"/>
      </colorScale>
    </cfRule>
  </conditionalFormatting>
  <conditionalFormatting sqref="H5:H99">
    <cfRule type="colorScale" priority="1625">
      <colorScale>
        <cfvo type="min"/>
        <cfvo type="percentile" val="90"/>
        <cfvo type="max"/>
        <color theme="9" tint="0.59999389629810485"/>
        <color theme="9" tint="0.79998168889431442"/>
        <color rgb="FFFF6600"/>
      </colorScale>
    </cfRule>
  </conditionalFormatting>
  <conditionalFormatting sqref="F5:F99">
    <cfRule type="colorScale" priority="1626">
      <colorScale>
        <cfvo type="min"/>
        <cfvo type="num" val="0.25"/>
        <cfvo type="max"/>
        <color rgb="FFF8696B"/>
        <color theme="9" tint="0.59999389629810485"/>
        <color rgb="FF00B050"/>
      </colorScale>
    </cfRule>
  </conditionalFormatting>
  <conditionalFormatting sqref="I5:I99">
    <cfRule type="colorScale" priority="1627">
      <colorScale>
        <cfvo type="min"/>
        <cfvo type="max"/>
        <color theme="9" tint="0.79998168889431442"/>
        <color rgb="FFBF95DF"/>
      </colorScale>
    </cfRule>
  </conditionalFormatting>
  <conditionalFormatting sqref="N5:N99">
    <cfRule type="colorScale" priority="1628">
      <colorScale>
        <cfvo type="min"/>
        <cfvo type="percentile" val="50"/>
        <cfvo type="num" val="25"/>
        <color rgb="FFF8696B"/>
        <color rgb="FFFFEB84"/>
        <color rgb="FF63BE7B"/>
      </colorScale>
    </cfRule>
  </conditionalFormatting>
  <conditionalFormatting sqref="L5:L99">
    <cfRule type="colorScale" priority="1629">
      <colorScale>
        <cfvo type="min"/>
        <cfvo type="percentile" val="90"/>
        <cfvo type="max"/>
        <color theme="9" tint="0.59999389629810485"/>
        <color theme="9" tint="0.79998168889431442"/>
        <color rgb="FFFF6600"/>
      </colorScale>
    </cfRule>
  </conditionalFormatting>
  <conditionalFormatting sqref="M5:M99">
    <cfRule type="colorScale" priority="1630">
      <colorScale>
        <cfvo type="min"/>
        <cfvo type="max"/>
        <color theme="9" tint="0.79998168889431442"/>
        <color rgb="FFBF95DF"/>
      </colorScale>
    </cfRule>
  </conditionalFormatting>
  <conditionalFormatting sqref="K5:K99">
    <cfRule type="colorScale" priority="1631">
      <colorScale>
        <cfvo type="min"/>
        <cfvo type="percentile" val="70"/>
        <cfvo type="max"/>
        <color rgb="FFFF6600"/>
        <color theme="9" tint="0.59999389629810485"/>
        <color theme="9" tint="0.39997558519241921"/>
      </colorScale>
    </cfRule>
  </conditionalFormatting>
  <conditionalFormatting sqref="P5:P99">
    <cfRule type="top10" dxfId="2" priority="1632" bottom="1" rank="5"/>
    <cfRule type="top10" dxfId="1" priority="1633"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634" id="{00000000-000E-0000-0000-00007B020000}">
            <x14:colorScale>
              <x14:cfvo type="min"/>
              <x14:cfvo type="num">
                <xm:f>'View Seat Breakdown'!$C$3</xm:f>
              </x14:cfvo>
              <x14:cfvo type="max"/>
              <x14:color rgb="FFF8696B"/>
              <x14:color theme="9" tint="0.59999389629810485"/>
              <x14:color rgb="FF00B050"/>
            </x14:colorScale>
          </x14:cfRule>
          <xm:sqref>E5:E99</xm:sqref>
        </x14:conditionalFormatting>
        <x14:conditionalFormatting xmlns:xm="http://schemas.microsoft.com/office/excel/2006/main">
          <x14:cfRule type="iconSet" priority="1635" id="{16A40A27-C7F5-4E84-A0E6-22C4B34B531E}">
            <x14:iconSet iconSet="3Triangles">
              <x14:cfvo type="percent">
                <xm:f>0</xm:f>
              </x14:cfvo>
              <x14:cfvo type="num">
                <xm:f>0</xm:f>
              </x14:cfvo>
              <x14:cfvo type="num" gte="0">
                <xm:f>0</xm:f>
              </x14:cfvo>
            </x14:iconSet>
          </x14:cfRule>
          <xm:sqref>C5:C99</xm:sqref>
        </x14:conditionalFormatting>
        <x14:conditionalFormatting xmlns:xm="http://schemas.microsoft.com/office/excel/2006/main">
          <x14:cfRule type="colorScale" priority="1636" id="{46B5CD88-04B4-4451-8ECD-6B50FDADDCF8}">
            <x14:colorScale>
              <x14:cfvo type="min"/>
              <x14:cfvo type="num">
                <xm:f>'View Seat Breakdown'!$C$3</xm:f>
              </x14:cfvo>
              <x14:cfvo type="max"/>
              <x14:color rgb="FFF8696B"/>
              <x14:color theme="9" tint="0.59999389629810485"/>
              <x14:color rgb="FF00B050"/>
            </x14:colorScale>
          </x14:cfRule>
          <xm:sqref>O5:O99</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5" x14ac:dyDescent="0.25"/>
  <cols>
    <col min="1" max="1" width="14.7109375" bestFit="1" customWidth="1"/>
    <col min="2" max="2" width="16.28515625" bestFit="1" customWidth="1"/>
    <col min="3" max="3" width="4" bestFit="1" customWidth="1"/>
    <col min="4" max="4" width="3" bestFit="1" customWidth="1"/>
    <col min="5" max="6" width="11.28515625" bestFit="1" customWidth="1"/>
    <col min="7" max="7" width="13.42578125" bestFit="1" customWidth="1"/>
    <col min="8" max="8" width="19.7109375" bestFit="1" customWidth="1"/>
    <col min="9" max="9" width="18.42578125" bestFit="1" customWidth="1"/>
    <col min="10" max="10" width="14.85546875" bestFit="1" customWidth="1"/>
    <col min="11" max="11" width="19.7109375" bestFit="1" customWidth="1"/>
    <col min="12" max="12" width="18.42578125" bestFit="1" customWidth="1"/>
    <col min="13" max="13" width="19.85546875" bestFit="1" customWidth="1"/>
    <col min="14" max="347" width="17.28515625" bestFit="1" customWidth="1"/>
    <col min="348" max="348" width="19" bestFit="1" customWidth="1"/>
    <col min="349" max="349" width="19.140625" bestFit="1" customWidth="1"/>
    <col min="350" max="689" width="17.28515625" bestFit="1" customWidth="1"/>
    <col min="690" max="690" width="19" bestFit="1" customWidth="1"/>
    <col min="691" max="691" width="19.140625" bestFit="1" customWidth="1"/>
    <col min="692" max="692" width="19.7109375" bestFit="1" customWidth="1"/>
    <col min="693" max="693" width="18.42578125" bestFit="1" customWidth="1"/>
  </cols>
  <sheetData>
    <row r="2" spans="1:5" x14ac:dyDescent="0.25">
      <c r="A2" s="2" t="s">
        <v>1</v>
      </c>
      <c r="B2" t="s">
        <v>8</v>
      </c>
    </row>
    <row r="4" spans="1:5" x14ac:dyDescent="0.25">
      <c r="A4" s="2" t="s">
        <v>25</v>
      </c>
      <c r="B4" s="2" t="s">
        <v>26</v>
      </c>
    </row>
    <row r="5" spans="1:5" x14ac:dyDescent="0.25">
      <c r="A5" s="2" t="s">
        <v>23</v>
      </c>
      <c r="B5">
        <v>3</v>
      </c>
      <c r="C5">
        <v>4</v>
      </c>
      <c r="D5">
        <v>5</v>
      </c>
      <c r="E5" t="s">
        <v>24</v>
      </c>
    </row>
    <row r="6" spans="1:5" x14ac:dyDescent="0.25">
      <c r="A6" s="3">
        <v>1</v>
      </c>
      <c r="B6" s="19">
        <v>49</v>
      </c>
      <c r="C6" s="19">
        <v>78</v>
      </c>
      <c r="D6" s="19">
        <v>5</v>
      </c>
      <c r="E6" s="19">
        <v>132</v>
      </c>
    </row>
    <row r="7" spans="1:5" x14ac:dyDescent="0.25">
      <c r="A7" s="3">
        <v>2</v>
      </c>
      <c r="B7" s="19">
        <v>30</v>
      </c>
      <c r="C7" s="19">
        <v>72</v>
      </c>
      <c r="D7" s="19">
        <v>6</v>
      </c>
      <c r="E7" s="19">
        <v>108</v>
      </c>
    </row>
    <row r="8" spans="1:5" x14ac:dyDescent="0.25">
      <c r="A8" s="3">
        <v>3</v>
      </c>
      <c r="B8" s="19">
        <v>29</v>
      </c>
      <c r="C8" s="19">
        <v>53</v>
      </c>
      <c r="D8" s="19">
        <v>6</v>
      </c>
      <c r="E8" s="19">
        <v>88</v>
      </c>
    </row>
    <row r="9" spans="1:5" x14ac:dyDescent="0.25">
      <c r="A9" s="3">
        <v>4</v>
      </c>
      <c r="B9" s="19"/>
      <c r="C9" s="19">
        <v>47</v>
      </c>
      <c r="D9" s="19">
        <v>6</v>
      </c>
      <c r="E9" s="19">
        <v>53</v>
      </c>
    </row>
    <row r="10" spans="1:5" x14ac:dyDescent="0.25">
      <c r="A10" s="3">
        <v>5</v>
      </c>
      <c r="B10" s="19"/>
      <c r="C10" s="19"/>
      <c r="D10" s="19">
        <v>6</v>
      </c>
      <c r="E10" s="19">
        <v>6</v>
      </c>
    </row>
    <row r="11" spans="1:5" x14ac:dyDescent="0.25">
      <c r="A11" s="3" t="s">
        <v>66</v>
      </c>
      <c r="B11" s="19"/>
      <c r="C11" s="19">
        <v>6</v>
      </c>
      <c r="D11" s="19"/>
      <c r="E11" s="19">
        <v>6</v>
      </c>
    </row>
    <row r="12" spans="1:5" x14ac:dyDescent="0.25">
      <c r="A12" s="3" t="s">
        <v>24</v>
      </c>
      <c r="B12" s="19">
        <v>108</v>
      </c>
      <c r="C12" s="19">
        <v>256</v>
      </c>
      <c r="D12" s="19">
        <v>29</v>
      </c>
      <c r="E12" s="19">
        <v>393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I16" sqref="I16"/>
    </sheetView>
  </sheetViews>
  <sheetFormatPr defaultColWidth="17.7109375" defaultRowHeight="15" x14ac:dyDescent="0.25"/>
  <cols>
    <col min="2" max="2" width="12.85546875" customWidth="1"/>
    <col min="3" max="3" width="16" customWidth="1"/>
    <col min="4" max="4" width="13.5703125" customWidth="1"/>
    <col min="5" max="5" width="8.42578125" customWidth="1"/>
    <col min="6" max="6" width="10.28515625" customWidth="1"/>
    <col min="7" max="7" width="9.140625" customWidth="1"/>
  </cols>
  <sheetData>
    <row r="3" spans="2:7" x14ac:dyDescent="0.25">
      <c r="B3" s="12" t="s">
        <v>67</v>
      </c>
      <c r="C3" s="13">
        <f>((C14 * 0.33) + (C16 * 0.2) + (C15 * 0.25))/C13</f>
        <v>0.26704954954954957</v>
      </c>
    </row>
    <row r="4" spans="2:7" x14ac:dyDescent="0.25">
      <c r="B4" t="s">
        <v>2</v>
      </c>
      <c r="C4" t="s">
        <v>75</v>
      </c>
      <c r="D4" t="s">
        <v>70</v>
      </c>
      <c r="F4" t="s">
        <v>77</v>
      </c>
      <c r="G4" t="s">
        <v>34</v>
      </c>
    </row>
    <row r="5" spans="2:7" x14ac:dyDescent="0.25">
      <c r="B5">
        <v>1</v>
      </c>
      <c r="C5">
        <f>GETPIVOTDATA("Result",Seat_Order_Pivot!$A$3,"Seat",Table3[[#This Row],[Seat]],"Result","Win")</f>
        <v>132</v>
      </c>
      <c r="D5" s="4">
        <f>Table3[[#This Row],[Count Result]]/C13</f>
        <v>0.29729729729729731</v>
      </c>
      <c r="F5">
        <v>1</v>
      </c>
      <c r="G5" s="4">
        <f>GETPIVOTDATA("Result",pivot_seat_New!$A$5,"Seat",Table411[[#This Row],[3 pods]],"Pod Size",3)/C14</f>
        <v>0.42982456140350878</v>
      </c>
    </row>
    <row r="6" spans="2:7" x14ac:dyDescent="0.25">
      <c r="B6">
        <v>2</v>
      </c>
      <c r="C6">
        <f>GETPIVOTDATA("Result",Seat_Order_Pivot!$A$3,"Seat",Table3[[#This Row],[Seat]],"Result","Win")</f>
        <v>108</v>
      </c>
      <c r="D6" s="4">
        <f>Table3[[#This Row],[Count Result]]/C13</f>
        <v>0.24324324324324326</v>
      </c>
      <c r="F6">
        <v>2</v>
      </c>
      <c r="G6" s="4">
        <f>GETPIVOTDATA("Result",pivot_seat_New!$A$5,"Seat",Table411[[#This Row],[3 pods]],"Pod Size",3)/C14</f>
        <v>0.26315789473684209</v>
      </c>
    </row>
    <row r="7" spans="2:7" x14ac:dyDescent="0.25">
      <c r="B7">
        <v>3</v>
      </c>
      <c r="C7">
        <f>GETPIVOTDATA("Result",Seat_Order_Pivot!$A$3,"Seat",Table3[[#This Row],[Seat]],"Result","Win")</f>
        <v>88</v>
      </c>
      <c r="D7" s="4">
        <f>Table3[[#This Row],[Count Result]]/C13</f>
        <v>0.1981981981981982</v>
      </c>
      <c r="F7">
        <v>3</v>
      </c>
      <c r="G7" s="4">
        <f>GETPIVOTDATA("Result",pivot_seat_New!$A$5,"Seat",Table411[[#This Row],[3 pods]],"Pod Size",3)/C14</f>
        <v>0.25438596491228072</v>
      </c>
    </row>
    <row r="8" spans="2:7" x14ac:dyDescent="0.25">
      <c r="B8">
        <v>4</v>
      </c>
      <c r="C8">
        <f>GETPIVOTDATA("Result",Seat_Order_Pivot!$A$3,"Seat",Table3[[#This Row],[Seat]],"Result","Win")</f>
        <v>53</v>
      </c>
      <c r="D8" s="4">
        <f>Table3[[#This Row],[Count Result]]/(C15+C16)</f>
        <v>0.16060606060606061</v>
      </c>
      <c r="F8" t="s">
        <v>63</v>
      </c>
      <c r="G8" s="4">
        <f>1-G5-G6-G7</f>
        <v>5.2631578947368418E-2</v>
      </c>
    </row>
    <row r="9" spans="2:7" x14ac:dyDescent="0.25">
      <c r="B9">
        <v>5</v>
      </c>
      <c r="C9">
        <f>GETPIVOTDATA("Result",Seat_Order_Pivot!$A$3,"Seat",Table3[[#This Row],[Seat]],"Result","Win")</f>
        <v>6</v>
      </c>
      <c r="D9" s="4">
        <f>Table3[[#This Row],[Count Result]]/C16</f>
        <v>0.19354838709677419</v>
      </c>
      <c r="F9" t="s">
        <v>78</v>
      </c>
      <c r="G9" t="s">
        <v>34</v>
      </c>
    </row>
    <row r="10" spans="2:7" x14ac:dyDescent="0.25">
      <c r="B10" s="10" t="s">
        <v>82</v>
      </c>
      <c r="C10">
        <f>GETPIVOTDATA("Result",Seat_Order_Pivot!$A$3,"Seat",1,"Result","Draw")</f>
        <v>57</v>
      </c>
      <c r="D10" s="4">
        <f>Table3[[#This Row],[Count Result]]/C13</f>
        <v>0.12837837837837837</v>
      </c>
      <c r="F10">
        <v>1</v>
      </c>
      <c r="G10" s="4">
        <f>GETPIVOTDATA("Result",pivot_seat_New!$A$5,"Seat",Table41112[[#This Row],[4 pods]],"Pod Size",4)/C15</f>
        <v>0.2608695652173913</v>
      </c>
    </row>
    <row r="11" spans="2:7" x14ac:dyDescent="0.25">
      <c r="F11">
        <v>2</v>
      </c>
      <c r="G11" s="4">
        <f>GETPIVOTDATA("Result",pivot_seat_New!$A$5,"Seat",Table41112[[#This Row],[4 pods]],"Pod Size",4)/C15</f>
        <v>0.24080267558528429</v>
      </c>
    </row>
    <row r="12" spans="2:7" x14ac:dyDescent="0.25">
      <c r="B12" t="s">
        <v>71</v>
      </c>
      <c r="C12" t="s">
        <v>69</v>
      </c>
      <c r="F12">
        <v>3</v>
      </c>
      <c r="G12" s="4">
        <f>GETPIVOTDATA("Result",pivot_seat_New!$A$5,"Seat",Table41112[[#This Row],[4 pods]],"Pod Size",4)/C15</f>
        <v>0.17725752508361203</v>
      </c>
    </row>
    <row r="13" spans="2:7" x14ac:dyDescent="0.25">
      <c r="B13" t="s">
        <v>68</v>
      </c>
      <c r="C13">
        <f>SUM(Table3[Count Result])</f>
        <v>444</v>
      </c>
      <c r="F13">
        <v>4</v>
      </c>
      <c r="G13" s="4">
        <f>GETPIVOTDATA("Result",pivot_seat_New!$A$5,"Seat",Table41112[[#This Row],[4 pods]],"Pod Size",4)/C15</f>
        <v>0.15719063545150502</v>
      </c>
    </row>
    <row r="14" spans="2:7" x14ac:dyDescent="0.25">
      <c r="B14" t="s">
        <v>72</v>
      </c>
      <c r="C14">
        <f>(C13)-((GETPIVOTDATA("Result",Seat_Order_Pivot!$A$3,"Seat",4,"Result","Win")) + (GETPIVOTDATA("Result",Seat_Order_Pivot!$A$3,"Seat",4,"Result","Loss")) + (GETPIVOTDATA("Result",Seat_Order_Pivot!$A$3,"Seat",4,"Result","Draw")))</f>
        <v>114</v>
      </c>
      <c r="F14" t="s">
        <v>63</v>
      </c>
      <c r="G14" s="4">
        <f>1-G11-G12-G13-G10</f>
        <v>0.1638795986622073</v>
      </c>
    </row>
    <row r="15" spans="2:7" x14ac:dyDescent="0.25">
      <c r="B15" t="s">
        <v>73</v>
      </c>
      <c r="C15">
        <f>C13-C14-C16</f>
        <v>299</v>
      </c>
      <c r="F15" t="s">
        <v>79</v>
      </c>
      <c r="G15" t="s">
        <v>34</v>
      </c>
    </row>
    <row r="16" spans="2:7" x14ac:dyDescent="0.2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25">
      <c r="F17">
        <v>2</v>
      </c>
      <c r="G17" s="4">
        <f>GETPIVOTDATA("Result",pivot_seat_New!$A$5,"Seat",Table41115[[#This Row],[5 pods]],"Pod Size",5)/C16</f>
        <v>0.19354838709677419</v>
      </c>
    </row>
    <row r="18" spans="6:7" x14ac:dyDescent="0.25">
      <c r="F18">
        <v>3</v>
      </c>
      <c r="G18" s="4">
        <f>GETPIVOTDATA("Result",pivot_seat_New!$A$5,"Seat",Table41115[[#This Row],[5 pods]],"Pod Size",5)/C16</f>
        <v>0.19354838709677419</v>
      </c>
    </row>
    <row r="19" spans="6:7" x14ac:dyDescent="0.25">
      <c r="F19">
        <v>4</v>
      </c>
      <c r="G19" s="4">
        <f>GETPIVOTDATA("Result",pivot_seat_New!$A$5,"Seat",Table41115[[#This Row],[5 pods]],"Pod Size",5)/C16</f>
        <v>0.19354838709677419</v>
      </c>
    </row>
    <row r="20" spans="6:7" x14ac:dyDescent="0.25">
      <c r="F20">
        <v>5</v>
      </c>
      <c r="G20" s="4">
        <f>GETPIVOTDATA("Result",pivot_seat_New!$A$5,"Seat",Table41115[[#This Row],[5 pods]],"Pod Size",5)/C16</f>
        <v>0.19354838709677419</v>
      </c>
    </row>
    <row r="21" spans="6:7" x14ac:dyDescent="0.2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5" x14ac:dyDescent="0.25"/>
  <cols>
    <col min="1" max="1" width="14.7109375" bestFit="1" customWidth="1"/>
    <col min="2" max="2" width="16.28515625" bestFit="1" customWidth="1"/>
    <col min="3" max="3" width="5" bestFit="1" customWidth="1"/>
    <col min="4" max="4" width="4.7109375" bestFit="1" customWidth="1"/>
    <col min="5" max="6" width="11.28515625" bestFit="1" customWidth="1"/>
  </cols>
  <sheetData>
    <row r="1" spans="1:5" x14ac:dyDescent="0.25">
      <c r="A1" s="2" t="s">
        <v>25</v>
      </c>
      <c r="B1" s="2" t="s">
        <v>26</v>
      </c>
    </row>
    <row r="2" spans="1:5" x14ac:dyDescent="0.25">
      <c r="A2" s="2" t="s">
        <v>23</v>
      </c>
      <c r="B2" t="s">
        <v>63</v>
      </c>
      <c r="C2" t="s">
        <v>6</v>
      </c>
      <c r="D2" t="s">
        <v>8</v>
      </c>
      <c r="E2" t="s">
        <v>24</v>
      </c>
    </row>
    <row r="3" spans="1:5" x14ac:dyDescent="0.25">
      <c r="A3" s="3">
        <v>1</v>
      </c>
      <c r="B3" s="19">
        <v>57</v>
      </c>
      <c r="C3" s="19">
        <v>255</v>
      </c>
      <c r="D3" s="19">
        <v>132</v>
      </c>
      <c r="E3" s="19">
        <v>444</v>
      </c>
    </row>
    <row r="4" spans="1:5" x14ac:dyDescent="0.25">
      <c r="A4" s="3">
        <v>2</v>
      </c>
      <c r="B4" s="19">
        <v>56</v>
      </c>
      <c r="C4" s="19">
        <v>279</v>
      </c>
      <c r="D4" s="19">
        <v>108</v>
      </c>
      <c r="E4" s="19">
        <v>443</v>
      </c>
    </row>
    <row r="5" spans="1:5" x14ac:dyDescent="0.25">
      <c r="A5" s="3">
        <v>3</v>
      </c>
      <c r="B5" s="19">
        <v>57</v>
      </c>
      <c r="C5" s="19">
        <v>299</v>
      </c>
      <c r="D5" s="19">
        <v>88</v>
      </c>
      <c r="E5" s="19">
        <v>444</v>
      </c>
    </row>
    <row r="6" spans="1:5" x14ac:dyDescent="0.25">
      <c r="A6" s="3">
        <v>4</v>
      </c>
      <c r="B6" s="19">
        <v>51</v>
      </c>
      <c r="C6" s="19">
        <v>226</v>
      </c>
      <c r="D6" s="19">
        <v>53</v>
      </c>
      <c r="E6" s="19">
        <v>330</v>
      </c>
    </row>
    <row r="7" spans="1:5" x14ac:dyDescent="0.25">
      <c r="A7" s="3">
        <v>5</v>
      </c>
      <c r="B7" s="19">
        <v>2</v>
      </c>
      <c r="C7" s="19">
        <v>23</v>
      </c>
      <c r="D7" s="19">
        <v>6</v>
      </c>
      <c r="E7" s="19">
        <v>31</v>
      </c>
    </row>
    <row r="8" spans="1:5" x14ac:dyDescent="0.25">
      <c r="A8" s="3" t="s">
        <v>66</v>
      </c>
      <c r="B8" s="19"/>
      <c r="C8" s="19">
        <v>18</v>
      </c>
      <c r="D8" s="19">
        <v>6</v>
      </c>
      <c r="E8" s="19">
        <v>24</v>
      </c>
    </row>
    <row r="9" spans="1:5" x14ac:dyDescent="0.25">
      <c r="A9" s="3" t="s">
        <v>24</v>
      </c>
      <c r="B9" s="19">
        <v>223</v>
      </c>
      <c r="C9" s="19">
        <v>1100</v>
      </c>
      <c r="D9" s="19">
        <v>393</v>
      </c>
      <c r="E9" s="19">
        <v>1716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50"/>
  <sheetViews>
    <sheetView workbookViewId="0">
      <selection activeCell="Q29" sqref="Q29"/>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3" spans="1:4" x14ac:dyDescent="0.25">
      <c r="A3" s="2" t="s">
        <v>86</v>
      </c>
      <c r="B3" t="s">
        <v>87</v>
      </c>
    </row>
    <row r="5" spans="1:4" x14ac:dyDescent="0.25">
      <c r="A5" s="2" t="s">
        <v>25</v>
      </c>
      <c r="B5" s="2" t="s">
        <v>26</v>
      </c>
    </row>
    <row r="6" spans="1:4" x14ac:dyDescent="0.25">
      <c r="A6" s="2" t="s">
        <v>23</v>
      </c>
      <c r="B6" t="s">
        <v>6</v>
      </c>
      <c r="C6" t="s">
        <v>8</v>
      </c>
      <c r="D6" t="s">
        <v>63</v>
      </c>
    </row>
    <row r="7" spans="1:4" x14ac:dyDescent="0.25">
      <c r="A7" s="3" t="s">
        <v>14</v>
      </c>
      <c r="B7" s="19">
        <v>12</v>
      </c>
      <c r="C7" s="19">
        <v>4</v>
      </c>
      <c r="D7" s="19">
        <v>6</v>
      </c>
    </row>
    <row r="8" spans="1:4" x14ac:dyDescent="0.25">
      <c r="A8" s="3" t="s">
        <v>19</v>
      </c>
      <c r="B8" s="19">
        <v>8</v>
      </c>
      <c r="C8" s="19">
        <v>7</v>
      </c>
      <c r="D8" s="19">
        <v>3</v>
      </c>
    </row>
    <row r="9" spans="1:4" x14ac:dyDescent="0.25">
      <c r="A9" s="3" t="s">
        <v>13</v>
      </c>
      <c r="B9" s="19">
        <v>8</v>
      </c>
      <c r="C9" s="19">
        <v>6</v>
      </c>
      <c r="D9" s="19">
        <v>4</v>
      </c>
    </row>
    <row r="10" spans="1:4" x14ac:dyDescent="0.25">
      <c r="A10" s="3" t="s">
        <v>10</v>
      </c>
      <c r="B10" s="19">
        <v>13</v>
      </c>
      <c r="C10" s="19">
        <v>2</v>
      </c>
      <c r="D10" s="19">
        <v>5</v>
      </c>
    </row>
    <row r="11" spans="1:4" x14ac:dyDescent="0.25">
      <c r="A11" s="3" t="s">
        <v>7</v>
      </c>
      <c r="B11" s="19">
        <v>8</v>
      </c>
      <c r="C11" s="19">
        <v>7</v>
      </c>
      <c r="D11" s="19">
        <v>7</v>
      </c>
    </row>
    <row r="12" spans="1:4" x14ac:dyDescent="0.25">
      <c r="A12" s="3" t="s">
        <v>20</v>
      </c>
      <c r="B12" s="19">
        <v>5</v>
      </c>
      <c r="C12" s="19">
        <v>1</v>
      </c>
      <c r="D12" s="19">
        <v>6</v>
      </c>
    </row>
    <row r="13" spans="1:4" x14ac:dyDescent="0.25">
      <c r="A13" s="3" t="s">
        <v>15</v>
      </c>
      <c r="B13" s="19">
        <v>1</v>
      </c>
      <c r="C13" s="19"/>
      <c r="D13" s="19">
        <v>1</v>
      </c>
    </row>
    <row r="14" spans="1:4" x14ac:dyDescent="0.25">
      <c r="A14" s="3" t="s">
        <v>11</v>
      </c>
      <c r="B14" s="19">
        <v>4</v>
      </c>
      <c r="C14" s="19">
        <v>7</v>
      </c>
      <c r="D14" s="19">
        <v>3</v>
      </c>
    </row>
    <row r="15" spans="1:4" x14ac:dyDescent="0.25">
      <c r="A15" s="3" t="s">
        <v>9</v>
      </c>
      <c r="B15" s="19">
        <v>7</v>
      </c>
      <c r="C15" s="19">
        <v>3</v>
      </c>
      <c r="D15" s="19">
        <v>4</v>
      </c>
    </row>
    <row r="16" spans="1:4" x14ac:dyDescent="0.25">
      <c r="A16" s="3" t="s">
        <v>17</v>
      </c>
      <c r="B16" s="19">
        <v>9</v>
      </c>
      <c r="C16" s="19">
        <v>3</v>
      </c>
      <c r="D16" s="19">
        <v>6</v>
      </c>
    </row>
    <row r="17" spans="1:4" x14ac:dyDescent="0.25">
      <c r="A17" s="3" t="s">
        <v>30</v>
      </c>
      <c r="B17" s="19">
        <v>3</v>
      </c>
      <c r="C17" s="19"/>
      <c r="D17" s="19">
        <v>1</v>
      </c>
    </row>
    <row r="18" spans="1:4" x14ac:dyDescent="0.25">
      <c r="A18" s="3" t="s">
        <v>28</v>
      </c>
      <c r="B18" s="19">
        <v>7</v>
      </c>
      <c r="C18" s="19">
        <v>1</v>
      </c>
      <c r="D18" s="19">
        <v>3</v>
      </c>
    </row>
    <row r="19" spans="1:4" x14ac:dyDescent="0.25">
      <c r="A19" s="3" t="s">
        <v>27</v>
      </c>
      <c r="B19" s="19">
        <v>2</v>
      </c>
      <c r="C19" s="19"/>
      <c r="D19" s="19">
        <v>2</v>
      </c>
    </row>
    <row r="20" spans="1:4" x14ac:dyDescent="0.25">
      <c r="A20" s="3" t="s">
        <v>41</v>
      </c>
      <c r="B20" s="19">
        <v>12</v>
      </c>
      <c r="C20" s="19">
        <v>4</v>
      </c>
      <c r="D20" s="19">
        <v>2</v>
      </c>
    </row>
    <row r="21" spans="1:4" x14ac:dyDescent="0.25">
      <c r="A21" s="3" t="s">
        <v>51</v>
      </c>
      <c r="B21" s="19">
        <v>9</v>
      </c>
      <c r="C21" s="19">
        <v>2</v>
      </c>
      <c r="D21" s="19">
        <v>5</v>
      </c>
    </row>
    <row r="22" spans="1:4" x14ac:dyDescent="0.25">
      <c r="A22" s="3" t="s">
        <v>52</v>
      </c>
      <c r="B22" s="19">
        <v>13</v>
      </c>
      <c r="C22" s="19">
        <v>2</v>
      </c>
      <c r="D22" s="19">
        <v>1</v>
      </c>
    </row>
    <row r="23" spans="1:4" x14ac:dyDescent="0.25">
      <c r="A23" s="3" t="s">
        <v>352</v>
      </c>
      <c r="B23" s="19">
        <v>11</v>
      </c>
      <c r="C23" s="19">
        <v>6</v>
      </c>
      <c r="D23" s="19">
        <v>5</v>
      </c>
    </row>
    <row r="24" spans="1:4" x14ac:dyDescent="0.25">
      <c r="A24" s="3" t="s">
        <v>59</v>
      </c>
      <c r="B24" s="19">
        <v>2</v>
      </c>
      <c r="C24" s="19"/>
      <c r="D24" s="19"/>
    </row>
    <row r="25" spans="1:4" x14ac:dyDescent="0.25">
      <c r="A25" s="3" t="s">
        <v>436</v>
      </c>
      <c r="B25" s="19">
        <v>4</v>
      </c>
      <c r="C25" s="19">
        <v>4</v>
      </c>
      <c r="D25" s="19">
        <v>2</v>
      </c>
    </row>
    <row r="26" spans="1:4" x14ac:dyDescent="0.25">
      <c r="A26" s="3" t="s">
        <v>322</v>
      </c>
      <c r="B26" s="19">
        <v>1</v>
      </c>
      <c r="C26" s="19">
        <v>1</v>
      </c>
      <c r="D26" s="19"/>
    </row>
    <row r="27" spans="1:4" x14ac:dyDescent="0.25">
      <c r="A27" s="3" t="s">
        <v>325</v>
      </c>
      <c r="B27" s="19">
        <v>4</v>
      </c>
      <c r="C27" s="19">
        <v>3</v>
      </c>
      <c r="D27" s="19">
        <v>1</v>
      </c>
    </row>
    <row r="28" spans="1:4" x14ac:dyDescent="0.25">
      <c r="A28" s="3" t="s">
        <v>326</v>
      </c>
      <c r="B28" s="19">
        <v>2</v>
      </c>
      <c r="C28" s="19">
        <v>3</v>
      </c>
      <c r="D28" s="19">
        <v>1</v>
      </c>
    </row>
    <row r="29" spans="1:4" x14ac:dyDescent="0.25">
      <c r="A29" s="3" t="s">
        <v>351</v>
      </c>
      <c r="B29" s="19">
        <v>9</v>
      </c>
      <c r="C29" s="19">
        <v>3</v>
      </c>
      <c r="D29" s="19">
        <v>4</v>
      </c>
    </row>
    <row r="30" spans="1:4" x14ac:dyDescent="0.25">
      <c r="A30" s="3" t="s">
        <v>364</v>
      </c>
      <c r="B30" s="19">
        <v>3</v>
      </c>
      <c r="C30" s="19">
        <v>1</v>
      </c>
      <c r="D30" s="19">
        <v>2</v>
      </c>
    </row>
    <row r="31" spans="1:4" x14ac:dyDescent="0.25">
      <c r="A31" s="3" t="s">
        <v>363</v>
      </c>
      <c r="B31" s="19">
        <v>11</v>
      </c>
      <c r="C31" s="19"/>
      <c r="D31" s="19">
        <v>7</v>
      </c>
    </row>
    <row r="32" spans="1:4" x14ac:dyDescent="0.25">
      <c r="A32" s="3" t="s">
        <v>365</v>
      </c>
      <c r="B32" s="19">
        <v>2</v>
      </c>
      <c r="C32" s="19"/>
      <c r="D32" s="19"/>
    </row>
    <row r="33" spans="1:4" x14ac:dyDescent="0.25">
      <c r="A33" s="3" t="s">
        <v>402</v>
      </c>
      <c r="B33" s="19">
        <v>2</v>
      </c>
      <c r="C33" s="19">
        <v>1</v>
      </c>
      <c r="D33" s="19">
        <v>3</v>
      </c>
    </row>
    <row r="34" spans="1:4" x14ac:dyDescent="0.25">
      <c r="A34" s="3" t="s">
        <v>405</v>
      </c>
      <c r="B34" s="19">
        <v>9</v>
      </c>
      <c r="C34" s="19">
        <v>5</v>
      </c>
      <c r="D34" s="19">
        <v>4</v>
      </c>
    </row>
    <row r="35" spans="1:4" x14ac:dyDescent="0.25">
      <c r="A35" s="3" t="s">
        <v>435</v>
      </c>
      <c r="B35" s="19">
        <v>3</v>
      </c>
      <c r="C35" s="19"/>
      <c r="D35" s="19">
        <v>1</v>
      </c>
    </row>
    <row r="36" spans="1:4" x14ac:dyDescent="0.25">
      <c r="A36" s="3" t="s">
        <v>434</v>
      </c>
      <c r="B36" s="19"/>
      <c r="C36" s="19">
        <v>2</v>
      </c>
      <c r="D36" s="19"/>
    </row>
    <row r="37" spans="1:4" x14ac:dyDescent="0.25">
      <c r="A37" s="3" t="s">
        <v>433</v>
      </c>
      <c r="B37" s="19">
        <v>7</v>
      </c>
      <c r="C37" s="19"/>
      <c r="D37" s="19">
        <v>1</v>
      </c>
    </row>
    <row r="38" spans="1:4" x14ac:dyDescent="0.25">
      <c r="A38" s="3" t="s">
        <v>438</v>
      </c>
      <c r="B38" s="19">
        <v>2</v>
      </c>
      <c r="C38" s="19"/>
      <c r="D38" s="19"/>
    </row>
    <row r="39" spans="1:4" x14ac:dyDescent="0.25">
      <c r="A39" s="3" t="s">
        <v>464</v>
      </c>
      <c r="B39" s="19">
        <v>2</v>
      </c>
      <c r="C39" s="19"/>
      <c r="D39" s="19"/>
    </row>
    <row r="40" spans="1:4" x14ac:dyDescent="0.25">
      <c r="A40" s="3" t="s">
        <v>465</v>
      </c>
      <c r="B40" s="19">
        <v>5</v>
      </c>
      <c r="C40" s="19">
        <v>3</v>
      </c>
      <c r="D40" s="19">
        <v>2</v>
      </c>
    </row>
    <row r="41" spans="1:4" x14ac:dyDescent="0.25">
      <c r="A41" s="3" t="s">
        <v>478</v>
      </c>
      <c r="B41" s="19">
        <v>1</v>
      </c>
      <c r="C41" s="19"/>
      <c r="D41" s="19">
        <v>1</v>
      </c>
    </row>
    <row r="42" spans="1:4" x14ac:dyDescent="0.25">
      <c r="A42" s="3" t="s">
        <v>519</v>
      </c>
      <c r="B42" s="19">
        <v>4</v>
      </c>
      <c r="C42" s="19">
        <v>3</v>
      </c>
      <c r="D42" s="19">
        <v>1</v>
      </c>
    </row>
    <row r="43" spans="1:4" x14ac:dyDescent="0.25">
      <c r="A43" s="3" t="s">
        <v>540</v>
      </c>
      <c r="B43" s="19">
        <v>2</v>
      </c>
      <c r="C43" s="19">
        <v>1</v>
      </c>
      <c r="D43" s="19">
        <v>1</v>
      </c>
    </row>
    <row r="44" spans="1:4" x14ac:dyDescent="0.25">
      <c r="A44" s="3" t="s">
        <v>553</v>
      </c>
      <c r="B44" s="19">
        <v>2</v>
      </c>
      <c r="C44" s="19"/>
      <c r="D44" s="19"/>
    </row>
    <row r="45" spans="1:4" x14ac:dyDescent="0.25">
      <c r="A45" s="3" t="s">
        <v>554</v>
      </c>
      <c r="B45" s="19">
        <v>2</v>
      </c>
      <c r="C45" s="19"/>
      <c r="D45" s="19"/>
    </row>
    <row r="46" spans="1:4" x14ac:dyDescent="0.25">
      <c r="A46" s="3" t="s">
        <v>555</v>
      </c>
      <c r="B46" s="19">
        <v>1</v>
      </c>
      <c r="C46" s="19">
        <v>1</v>
      </c>
      <c r="D46" s="19"/>
    </row>
    <row r="47" spans="1:4" x14ac:dyDescent="0.25">
      <c r="A47" s="3" t="s">
        <v>568</v>
      </c>
      <c r="B47" s="19">
        <v>2</v>
      </c>
      <c r="C47" s="19"/>
      <c r="D47" s="19"/>
    </row>
    <row r="48" spans="1:4" x14ac:dyDescent="0.25">
      <c r="A48" s="3" t="s">
        <v>579</v>
      </c>
      <c r="B48" s="19">
        <v>2</v>
      </c>
      <c r="C48" s="19"/>
      <c r="D48" s="19"/>
    </row>
    <row r="49" spans="1:4" x14ac:dyDescent="0.25">
      <c r="A49" s="3" t="s">
        <v>580</v>
      </c>
      <c r="B49" s="19">
        <v>4</v>
      </c>
      <c r="C49" s="19"/>
      <c r="D49" s="19"/>
    </row>
    <row r="50" spans="1:4" x14ac:dyDescent="0.25">
      <c r="A50" s="3" t="s">
        <v>24</v>
      </c>
      <c r="B50" s="19">
        <v>220</v>
      </c>
      <c r="C50" s="19">
        <v>86</v>
      </c>
      <c r="D50" s="19">
        <v>95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59"/>
  <sheetViews>
    <sheetView workbookViewId="0">
      <selection activeCell="J54" sqref="J54"/>
    </sheetView>
  </sheetViews>
  <sheetFormatPr defaultRowHeight="15" x14ac:dyDescent="0.25"/>
  <cols>
    <col min="1" max="1" width="13.140625" bestFit="1" customWidth="1"/>
    <col min="2" max="2" width="8.140625" bestFit="1" customWidth="1"/>
    <col min="3" max="3" width="5.5703125" bestFit="1" customWidth="1"/>
    <col min="4" max="4" width="15.140625" style="4" bestFit="1" customWidth="1"/>
    <col min="5" max="5" width="18.85546875" customWidth="1"/>
    <col min="6" max="6" width="17.85546875" customWidth="1"/>
    <col min="7" max="7" width="18.140625" customWidth="1"/>
    <col min="8" max="8" width="17.140625" customWidth="1"/>
    <col min="9" max="9" width="15.5703125" customWidth="1"/>
    <col min="10" max="10" width="20.28515625" customWidth="1"/>
    <col min="11" max="11" width="7.140625" bestFit="1" customWidth="1"/>
    <col min="12" max="12" width="5.42578125" bestFit="1" customWidth="1"/>
    <col min="13" max="13" width="6.140625" bestFit="1" customWidth="1"/>
    <col min="14" max="14" width="6.42578125" bestFit="1" customWidth="1"/>
    <col min="15" max="15" width="3.140625" bestFit="1" customWidth="1"/>
    <col min="16" max="16" width="8.28515625" bestFit="1" customWidth="1"/>
    <col min="17" max="17" width="6.5703125" bestFit="1" customWidth="1"/>
    <col min="18" max="18" width="7.5703125" bestFit="1" customWidth="1"/>
    <col min="19" max="19" width="4.42578125" bestFit="1" customWidth="1"/>
    <col min="20" max="20" width="4.5703125" bestFit="1" customWidth="1"/>
    <col min="21" max="21" width="4.85546875" bestFit="1" customWidth="1"/>
    <col min="22" max="22" width="6.28515625" bestFit="1" customWidth="1"/>
    <col min="23" max="23" width="6.42578125" bestFit="1" customWidth="1"/>
    <col min="25" max="26" width="8" bestFit="1" customWidth="1"/>
    <col min="27" max="27" width="4" bestFit="1" customWidth="1"/>
    <col min="28" max="28" width="6.42578125" bestFit="1" customWidth="1"/>
    <col min="30" max="30" width="4.85546875" bestFit="1" customWidth="1"/>
    <col min="31" max="31" width="6.140625" bestFit="1" customWidth="1"/>
    <col min="32" max="32" width="11.7109375" bestFit="1" customWidth="1"/>
    <col min="33" max="33" width="6.140625" bestFit="1" customWidth="1"/>
    <col min="34" max="34" width="7.140625" bestFit="1" customWidth="1"/>
    <col min="35" max="35" width="5.5703125" bestFit="1" customWidth="1"/>
    <col min="36" max="36" width="7" bestFit="1" customWidth="1"/>
    <col min="37" max="37" width="6.140625" bestFit="1" customWidth="1"/>
    <col min="38" max="38" width="8.5703125" bestFit="1" customWidth="1"/>
    <col min="39" max="39" width="4.85546875" bestFit="1" customWidth="1"/>
    <col min="40" max="40" width="6.5703125" bestFit="1" customWidth="1"/>
    <col min="41" max="41" width="6.28515625" bestFit="1" customWidth="1"/>
    <col min="42" max="42" width="5.85546875" bestFit="1" customWidth="1"/>
    <col min="43" max="43" width="7.7109375" bestFit="1" customWidth="1"/>
    <col min="44" max="44" width="5.28515625" bestFit="1" customWidth="1"/>
    <col min="45" max="45" width="4.7109375" bestFit="1" customWidth="1"/>
    <col min="46" max="46" width="6" bestFit="1" customWidth="1"/>
    <col min="47" max="47" width="7.5703125" bestFit="1" customWidth="1"/>
    <col min="48" max="48" width="7.140625" bestFit="1" customWidth="1"/>
    <col min="49" max="49" width="6.7109375" bestFit="1" customWidth="1"/>
    <col min="50" max="50" width="5.42578125" bestFit="1" customWidth="1"/>
    <col min="51" max="51" width="9.5703125" bestFit="1" customWidth="1"/>
    <col min="52" max="52" width="6.42578125" bestFit="1" customWidth="1"/>
    <col min="53" max="53" width="6.5703125" bestFit="1" customWidth="1"/>
    <col min="54" max="54" width="6.7109375" bestFit="1" customWidth="1"/>
    <col min="55" max="55" width="11.28515625" bestFit="1" customWidth="1"/>
  </cols>
  <sheetData>
    <row r="1" spans="1:8" x14ac:dyDescent="0.25">
      <c r="A1" s="2" t="s">
        <v>0</v>
      </c>
      <c r="B1" t="s">
        <v>7</v>
      </c>
    </row>
    <row r="3" spans="1:8" x14ac:dyDescent="0.25">
      <c r="A3" s="2" t="s">
        <v>23</v>
      </c>
      <c r="B3" t="s">
        <v>33</v>
      </c>
      <c r="C3" t="s">
        <v>31</v>
      </c>
      <c r="D3" t="s">
        <v>290</v>
      </c>
      <c r="E3" s="4" t="s">
        <v>291</v>
      </c>
      <c r="F3" s="4" t="s">
        <v>292</v>
      </c>
      <c r="G3" s="4" t="s">
        <v>294</v>
      </c>
      <c r="H3" s="4" t="s">
        <v>293</v>
      </c>
    </row>
    <row r="4" spans="1:8" x14ac:dyDescent="0.25">
      <c r="A4" s="3" t="s">
        <v>9</v>
      </c>
      <c r="B4" s="19">
        <v>19</v>
      </c>
      <c r="C4" s="19">
        <v>9</v>
      </c>
      <c r="D4" s="19">
        <v>1</v>
      </c>
      <c r="E4" s="4">
        <f t="shared" ref="E4:E41" si="0">IFERROR(C4/B4, "")</f>
        <v>0.47368421052631576</v>
      </c>
      <c r="F4" s="4">
        <f t="shared" ref="F4:F41" si="1">IFERROR(D4/B4, "")</f>
        <v>5.2631578947368418E-2</v>
      </c>
      <c r="G4" s="4">
        <f>IFERROR(1-Table5[[#This Row],[Loss % Against]]-Table5[[#This Row],[Win% Against]],"")</f>
        <v>0.47368421052631587</v>
      </c>
      <c r="H4" s="16">
        <f>IFERROR(IF(B4=0,"",
 IF(Table5[[#This Row],[Win% Against]] &gt; Table5[[#This Row],[Loss % Against]], 1,
 IF(Table5[[#This Row],[Win% Against]] &lt; Table5[[#This Row],[Loss % Against]], -1, 0))), "")</f>
        <v>1</v>
      </c>
    </row>
    <row r="5" spans="1:8" x14ac:dyDescent="0.25">
      <c r="A5" s="3" t="s">
        <v>14</v>
      </c>
      <c r="B5" s="19">
        <v>14</v>
      </c>
      <c r="C5" s="19">
        <v>6</v>
      </c>
      <c r="D5" s="19">
        <v>3</v>
      </c>
      <c r="E5" s="4">
        <f t="shared" si="0"/>
        <v>0.42857142857142855</v>
      </c>
      <c r="F5" s="4">
        <f t="shared" si="1"/>
        <v>0.21428571428571427</v>
      </c>
      <c r="G5" s="4">
        <f>IFERROR(1-Table5[[#This Row],[Loss % Against]]-Table5[[#This Row],[Win% Against]],"")</f>
        <v>0.35714285714285715</v>
      </c>
      <c r="H5" s="16">
        <f>IFERROR(IF(B5=0,"",
 IF(Table5[[#This Row],[Win% Against]] &gt; Table5[[#This Row],[Loss % Against]], 1,
 IF(Table5[[#This Row],[Win% Against]] &lt; Table5[[#This Row],[Loss % Against]], -1, 0))), "")</f>
        <v>1</v>
      </c>
    </row>
    <row r="6" spans="1:8" x14ac:dyDescent="0.25">
      <c r="A6" s="3" t="s">
        <v>28</v>
      </c>
      <c r="B6" s="19">
        <v>14</v>
      </c>
      <c r="C6" s="19">
        <v>6</v>
      </c>
      <c r="D6" s="19">
        <v>2</v>
      </c>
      <c r="E6" s="4">
        <f t="shared" si="0"/>
        <v>0.42857142857142855</v>
      </c>
      <c r="F6" s="4">
        <f t="shared" si="1"/>
        <v>0.14285714285714285</v>
      </c>
      <c r="G6" s="4">
        <f>IFERROR(1-Table5[[#This Row],[Loss % Against]]-Table5[[#This Row],[Win% Against]],"")</f>
        <v>0.42857142857142866</v>
      </c>
      <c r="H6" s="16">
        <f>IFERROR(IF(B6=0,"",
 IF(Table5[[#This Row],[Win% Against]] &gt; Table5[[#This Row],[Loss % Against]], 1,
 IF(Table5[[#This Row],[Win% Against]] &lt; Table5[[#This Row],[Loss % Against]], -1, 0))), "")</f>
        <v>1</v>
      </c>
    </row>
    <row r="7" spans="1:8" x14ac:dyDescent="0.25">
      <c r="A7" s="3" t="s">
        <v>352</v>
      </c>
      <c r="B7" s="19">
        <v>13</v>
      </c>
      <c r="C7" s="19">
        <v>5</v>
      </c>
      <c r="D7" s="19">
        <v>5</v>
      </c>
      <c r="E7" s="4">
        <f t="shared" si="0"/>
        <v>0.38461538461538464</v>
      </c>
      <c r="F7" s="4">
        <f t="shared" si="1"/>
        <v>0.38461538461538464</v>
      </c>
      <c r="G7" s="4">
        <f>IFERROR(1-Table5[[#This Row],[Loss % Against]]-Table5[[#This Row],[Win% Against]],"")</f>
        <v>0.23076923076923078</v>
      </c>
      <c r="H7" s="16">
        <f>IFERROR(IF(B7=0,"",
 IF(Table5[[#This Row],[Win% Against]] &gt; Table5[[#This Row],[Loss % Against]], 1,
 IF(Table5[[#This Row],[Win% Against]] &lt; Table5[[#This Row],[Loss % Against]], -1, 0))), "")</f>
        <v>0</v>
      </c>
    </row>
    <row r="8" spans="1:8" x14ac:dyDescent="0.25">
      <c r="A8" s="3" t="s">
        <v>10</v>
      </c>
      <c r="B8" s="19">
        <v>13</v>
      </c>
      <c r="C8" s="19">
        <v>5</v>
      </c>
      <c r="D8" s="19">
        <v>3</v>
      </c>
      <c r="E8" s="4">
        <f t="shared" si="0"/>
        <v>0.38461538461538464</v>
      </c>
      <c r="F8" s="4">
        <f t="shared" si="1"/>
        <v>0.23076923076923078</v>
      </c>
      <c r="G8" s="4">
        <f>IFERROR(1-Table5[[#This Row],[Loss % Against]]-Table5[[#This Row],[Win% Against]],"")</f>
        <v>0.38461538461538453</v>
      </c>
      <c r="H8" s="16">
        <f>IFERROR(IF(B8=0,"",
 IF(Table5[[#This Row],[Win% Against]] &gt; Table5[[#This Row],[Loss % Against]], 1,
 IF(Table5[[#This Row],[Win% Against]] &lt; Table5[[#This Row],[Loss % Against]], -1, 0))), "")</f>
        <v>1</v>
      </c>
    </row>
    <row r="9" spans="1:8" x14ac:dyDescent="0.25">
      <c r="A9" s="3" t="s">
        <v>15</v>
      </c>
      <c r="B9" s="19">
        <v>12</v>
      </c>
      <c r="C9" s="19">
        <v>5</v>
      </c>
      <c r="D9" s="19">
        <v>2</v>
      </c>
      <c r="E9" s="4">
        <f t="shared" si="0"/>
        <v>0.41666666666666669</v>
      </c>
      <c r="F9" s="4">
        <f t="shared" si="1"/>
        <v>0.16666666666666666</v>
      </c>
      <c r="G9" s="4">
        <f>IFERROR(1-Table5[[#This Row],[Loss % Against]]-Table5[[#This Row],[Win% Against]],"")</f>
        <v>0.41666666666666669</v>
      </c>
      <c r="H9" s="16">
        <f>IFERROR(IF(B9=0,"",
 IF(Table5[[#This Row],[Win% Against]] &gt; Table5[[#This Row],[Loss % Against]], 1,
 IF(Table5[[#This Row],[Win% Against]] &lt; Table5[[#This Row],[Loss % Against]], -1, 0))), "")</f>
        <v>1</v>
      </c>
    </row>
    <row r="10" spans="1:8" x14ac:dyDescent="0.25">
      <c r="A10" s="3" t="s">
        <v>20</v>
      </c>
      <c r="B10" s="19">
        <v>12</v>
      </c>
      <c r="C10" s="19">
        <v>5</v>
      </c>
      <c r="D10" s="19">
        <v>0</v>
      </c>
      <c r="E10" s="4">
        <f t="shared" si="0"/>
        <v>0.41666666666666669</v>
      </c>
      <c r="F10" s="4">
        <f t="shared" si="1"/>
        <v>0</v>
      </c>
      <c r="G10" s="4">
        <f>IFERROR(1-Table5[[#This Row],[Loss % Against]]-Table5[[#This Row],[Win% Against]],"")</f>
        <v>0.58333333333333326</v>
      </c>
      <c r="H10" s="16">
        <f>IFERROR(IF(B10=0,"",
 IF(Table5[[#This Row],[Win% Against]] &gt; Table5[[#This Row],[Loss % Against]], 1,
 IF(Table5[[#This Row],[Win% Against]] &lt; Table5[[#This Row],[Loss % Against]], -1, 0))), "")</f>
        <v>1</v>
      </c>
    </row>
    <row r="11" spans="1:8" x14ac:dyDescent="0.25">
      <c r="A11" s="3" t="s">
        <v>41</v>
      </c>
      <c r="B11" s="19">
        <v>12</v>
      </c>
      <c r="C11" s="19">
        <v>8</v>
      </c>
      <c r="D11" s="19">
        <v>3</v>
      </c>
      <c r="E11" s="4">
        <f t="shared" si="0"/>
        <v>0.66666666666666663</v>
      </c>
      <c r="F11" s="4">
        <f t="shared" si="1"/>
        <v>0.25</v>
      </c>
      <c r="G11" s="4">
        <f>IFERROR(1-Table5[[#This Row],[Loss % Against]]-Table5[[#This Row],[Win% Against]],"")</f>
        <v>8.333333333333337E-2</v>
      </c>
      <c r="H11" s="16">
        <f>IFERROR(IF(B11=0,"",
 IF(Table5[[#This Row],[Win% Against]] &gt; Table5[[#This Row],[Loss % Against]], 1,
 IF(Table5[[#This Row],[Win% Against]] &lt; Table5[[#This Row],[Loss % Against]], -1, 0))), "")</f>
        <v>1</v>
      </c>
    </row>
    <row r="12" spans="1:8" x14ac:dyDescent="0.25">
      <c r="A12" s="3" t="s">
        <v>17</v>
      </c>
      <c r="B12" s="19">
        <v>11</v>
      </c>
      <c r="C12" s="19">
        <v>5</v>
      </c>
      <c r="D12" s="19">
        <v>2</v>
      </c>
      <c r="E12" s="4">
        <f t="shared" si="0"/>
        <v>0.45454545454545453</v>
      </c>
      <c r="F12" s="4">
        <f t="shared" si="1"/>
        <v>0.18181818181818182</v>
      </c>
      <c r="G12" s="4">
        <f>IFERROR(1-Table5[[#This Row],[Loss % Against]]-Table5[[#This Row],[Win% Against]],"")</f>
        <v>0.36363636363636359</v>
      </c>
      <c r="H12" s="16">
        <f>IFERROR(IF(B12=0,"",
 IF(Table5[[#This Row],[Win% Against]] &gt; Table5[[#This Row],[Loss % Against]], 1,
 IF(Table5[[#This Row],[Win% Against]] &lt; Table5[[#This Row],[Loss % Against]], -1, 0))), "")</f>
        <v>1</v>
      </c>
    </row>
    <row r="13" spans="1:8" x14ac:dyDescent="0.25">
      <c r="A13" s="3" t="s">
        <v>19</v>
      </c>
      <c r="B13" s="19">
        <v>11</v>
      </c>
      <c r="C13" s="19">
        <v>4</v>
      </c>
      <c r="D13" s="19">
        <v>3</v>
      </c>
      <c r="E13" s="4">
        <f t="shared" si="0"/>
        <v>0.36363636363636365</v>
      </c>
      <c r="F13" s="4">
        <f t="shared" si="1"/>
        <v>0.27272727272727271</v>
      </c>
      <c r="G13" s="4">
        <f>IFERROR(1-Table5[[#This Row],[Loss % Against]]-Table5[[#This Row],[Win% Against]],"")</f>
        <v>0.36363636363636365</v>
      </c>
      <c r="H13" s="16">
        <f>IFERROR(IF(B13=0,"",
 IF(Table5[[#This Row],[Win% Against]] &gt; Table5[[#This Row],[Loss % Against]], 1,
 IF(Table5[[#This Row],[Win% Against]] &lt; Table5[[#This Row],[Loss % Against]], -1, 0))), "")</f>
        <v>1</v>
      </c>
    </row>
    <row r="14" spans="1:8" x14ac:dyDescent="0.25">
      <c r="A14" s="3" t="s">
        <v>13</v>
      </c>
      <c r="B14" s="19">
        <v>11</v>
      </c>
      <c r="C14" s="19">
        <v>3</v>
      </c>
      <c r="D14" s="19">
        <v>1</v>
      </c>
      <c r="E14" s="4">
        <f t="shared" si="0"/>
        <v>0.27272727272727271</v>
      </c>
      <c r="F14" s="4">
        <f t="shared" si="1"/>
        <v>9.0909090909090912E-2</v>
      </c>
      <c r="G14" s="4">
        <f>IFERROR(1-Table5[[#This Row],[Loss % Against]]-Table5[[#This Row],[Win% Against]],"")</f>
        <v>0.63636363636363635</v>
      </c>
      <c r="H14" s="16">
        <f>IFERROR(IF(B14=0,"",
 IF(Table5[[#This Row],[Win% Against]] &gt; Table5[[#This Row],[Loss % Against]], 1,
 IF(Table5[[#This Row],[Win% Against]] &lt; Table5[[#This Row],[Loss % Against]], -1, 0))), "")</f>
        <v>1</v>
      </c>
    </row>
    <row r="15" spans="1:8" x14ac:dyDescent="0.25">
      <c r="A15" s="3" t="s">
        <v>52</v>
      </c>
      <c r="B15" s="19">
        <v>10</v>
      </c>
      <c r="C15" s="19">
        <v>5</v>
      </c>
      <c r="D15" s="19">
        <v>1</v>
      </c>
      <c r="E15" s="4">
        <f t="shared" si="0"/>
        <v>0.5</v>
      </c>
      <c r="F15" s="4">
        <f t="shared" si="1"/>
        <v>0.1</v>
      </c>
      <c r="G15" s="4">
        <f>IFERROR(1-Table5[[#This Row],[Loss % Against]]-Table5[[#This Row],[Win% Against]],"")</f>
        <v>0.4</v>
      </c>
      <c r="H15" s="16">
        <f>IFERROR(IF(B15=0,"",
 IF(Table5[[#This Row],[Win% Against]] &gt; Table5[[#This Row],[Loss % Against]], 1,
 IF(Table5[[#This Row],[Win% Against]] &lt; Table5[[#This Row],[Loss % Against]], -1, 0))), "")</f>
        <v>1</v>
      </c>
    </row>
    <row r="16" spans="1:8" x14ac:dyDescent="0.25">
      <c r="A16" s="3" t="s">
        <v>436</v>
      </c>
      <c r="B16" s="19">
        <v>9</v>
      </c>
      <c r="C16" s="19">
        <v>2</v>
      </c>
      <c r="D16" s="19">
        <v>0</v>
      </c>
      <c r="E16" s="4">
        <f t="shared" si="0"/>
        <v>0.22222222222222221</v>
      </c>
      <c r="F16" s="4">
        <f t="shared" si="1"/>
        <v>0</v>
      </c>
      <c r="G16" s="4">
        <f>IFERROR(1-Table5[[#This Row],[Loss % Against]]-Table5[[#This Row],[Win% Against]],"")</f>
        <v>0.77777777777777779</v>
      </c>
      <c r="H16" s="16">
        <f>IFERROR(IF(B16=0,"",
 IF(Table5[[#This Row],[Win% Against]] &gt; Table5[[#This Row],[Loss % Against]], 1,
 IF(Table5[[#This Row],[Win% Against]] &lt; Table5[[#This Row],[Loss % Against]], -1, 0))), "")</f>
        <v>1</v>
      </c>
    </row>
    <row r="17" spans="1:8" x14ac:dyDescent="0.25">
      <c r="A17" s="3" t="s">
        <v>321</v>
      </c>
      <c r="B17" s="19">
        <v>7</v>
      </c>
      <c r="C17" s="19">
        <v>2</v>
      </c>
      <c r="D17" s="19">
        <v>0</v>
      </c>
      <c r="E17" s="4">
        <f t="shared" si="0"/>
        <v>0.2857142857142857</v>
      </c>
      <c r="F17" s="4">
        <f t="shared" si="1"/>
        <v>0</v>
      </c>
      <c r="G17" s="4">
        <f>IFERROR(1-Table5[[#This Row],[Loss % Against]]-Table5[[#This Row],[Win% Against]],"")</f>
        <v>0.7142857142857143</v>
      </c>
      <c r="H17" s="16">
        <f>IFERROR(IF(B17=0,"",
 IF(Table5[[#This Row],[Win% Against]] &gt; Table5[[#This Row],[Loss % Against]], 1,
 IF(Table5[[#This Row],[Win% Against]] &lt; Table5[[#This Row],[Loss % Against]], -1, 0))), "")</f>
        <v>1</v>
      </c>
    </row>
    <row r="18" spans="1:8" x14ac:dyDescent="0.25">
      <c r="A18" s="3" t="s">
        <v>27</v>
      </c>
      <c r="B18" s="19">
        <v>6</v>
      </c>
      <c r="C18" s="19">
        <v>2</v>
      </c>
      <c r="D18" s="19">
        <v>0</v>
      </c>
      <c r="E18" s="4">
        <f t="shared" si="0"/>
        <v>0.33333333333333331</v>
      </c>
      <c r="F18" s="4">
        <f t="shared" si="1"/>
        <v>0</v>
      </c>
      <c r="G18" s="4">
        <f>IFERROR(1-Table5[[#This Row],[Loss % Against]]-Table5[[#This Row],[Win% Against]],"")</f>
        <v>0.66666666666666674</v>
      </c>
      <c r="H18" s="16">
        <f>IFERROR(IF(B18=0,"",
 IF(Table5[[#This Row],[Win% Against]] &gt; Table5[[#This Row],[Loss % Against]], 1,
 IF(Table5[[#This Row],[Win% Against]] &lt; Table5[[#This Row],[Loss % Against]], -1, 0))), "")</f>
        <v>1</v>
      </c>
    </row>
    <row r="19" spans="1:8" x14ac:dyDescent="0.25">
      <c r="A19" s="3" t="s">
        <v>351</v>
      </c>
      <c r="B19" s="19">
        <v>6</v>
      </c>
      <c r="C19" s="19">
        <v>3</v>
      </c>
      <c r="D19" s="19">
        <v>1</v>
      </c>
      <c r="E19" s="4">
        <f t="shared" si="0"/>
        <v>0.5</v>
      </c>
      <c r="F19" s="4">
        <f t="shared" si="1"/>
        <v>0.16666666666666666</v>
      </c>
      <c r="G19" s="4">
        <f>IFERROR(1-Table5[[#This Row],[Loss % Against]]-Table5[[#This Row],[Win% Against]],"")</f>
        <v>0.33333333333333337</v>
      </c>
      <c r="H19" s="16">
        <f>IFERROR(IF(B19=0,"",
 IF(Table5[[#This Row],[Win% Against]] &gt; Table5[[#This Row],[Loss % Against]], 1,
 IF(Table5[[#This Row],[Win% Against]] &lt; Table5[[#This Row],[Loss % Against]], -1, 0))), "")</f>
        <v>1</v>
      </c>
    </row>
    <row r="20" spans="1:8" x14ac:dyDescent="0.25">
      <c r="A20" s="3" t="s">
        <v>51</v>
      </c>
      <c r="B20" s="19">
        <v>6</v>
      </c>
      <c r="C20" s="19">
        <v>3</v>
      </c>
      <c r="D20" s="19">
        <v>0</v>
      </c>
      <c r="E20" s="4">
        <f t="shared" si="0"/>
        <v>0.5</v>
      </c>
      <c r="F20" s="4">
        <f t="shared" si="1"/>
        <v>0</v>
      </c>
      <c r="G20" s="4">
        <f>IFERROR(1-Table5[[#This Row],[Loss % Against]]-Table5[[#This Row],[Win% Against]],"")</f>
        <v>0.5</v>
      </c>
      <c r="H20" s="16">
        <f>IFERROR(IF(B20=0,"",
 IF(Table5[[#This Row],[Win% Against]] &gt; Table5[[#This Row],[Loss % Against]], 1,
 IF(Table5[[#This Row],[Win% Against]] &lt; Table5[[#This Row],[Loss % Against]], -1, 0))), "")</f>
        <v>1</v>
      </c>
    </row>
    <row r="21" spans="1:8" x14ac:dyDescent="0.25">
      <c r="A21" s="3" t="s">
        <v>11</v>
      </c>
      <c r="B21" s="19">
        <v>6</v>
      </c>
      <c r="C21" s="19">
        <v>3</v>
      </c>
      <c r="D21" s="19">
        <v>2</v>
      </c>
      <c r="E21" s="4">
        <f t="shared" si="0"/>
        <v>0.5</v>
      </c>
      <c r="F21" s="4">
        <f t="shared" si="1"/>
        <v>0.33333333333333331</v>
      </c>
      <c r="G21" s="4">
        <f>IFERROR(1-Table5[[#This Row],[Loss % Against]]-Table5[[#This Row],[Win% Against]],"")</f>
        <v>0.16666666666666674</v>
      </c>
      <c r="H21" s="16">
        <f>IFERROR(IF(B21=0,"",
 IF(Table5[[#This Row],[Win% Against]] &gt; Table5[[#This Row],[Loss % Against]], 1,
 IF(Table5[[#This Row],[Win% Against]] &lt; Table5[[#This Row],[Loss % Against]], -1, 0))), "")</f>
        <v>1</v>
      </c>
    </row>
    <row r="22" spans="1:8" x14ac:dyDescent="0.25">
      <c r="A22" s="3" t="s">
        <v>12</v>
      </c>
      <c r="B22" s="19">
        <v>5</v>
      </c>
      <c r="C22" s="19">
        <v>2</v>
      </c>
      <c r="D22" s="19">
        <v>1</v>
      </c>
      <c r="E22" s="4">
        <f t="shared" si="0"/>
        <v>0.4</v>
      </c>
      <c r="F22" s="4">
        <f t="shared" si="1"/>
        <v>0.2</v>
      </c>
      <c r="G22" s="4">
        <f>IFERROR(1-Table5[[#This Row],[Loss % Against]]-Table5[[#This Row],[Win% Against]],"")</f>
        <v>0.4</v>
      </c>
      <c r="H22" s="16">
        <f>IFERROR(IF(B22=0,"",
 IF(Table5[[#This Row],[Win% Against]] &gt; Table5[[#This Row],[Loss % Against]], 1,
 IF(Table5[[#This Row],[Win% Against]] &lt; Table5[[#This Row],[Loss % Against]], -1, 0))), "")</f>
        <v>1</v>
      </c>
    </row>
    <row r="23" spans="1:8" x14ac:dyDescent="0.25">
      <c r="A23" s="3" t="s">
        <v>363</v>
      </c>
      <c r="B23" s="19">
        <v>4</v>
      </c>
      <c r="C23" s="19">
        <v>1</v>
      </c>
      <c r="D23" s="19">
        <v>0</v>
      </c>
      <c r="E23" s="4">
        <f t="shared" si="0"/>
        <v>0.25</v>
      </c>
      <c r="F23" s="4">
        <f t="shared" si="1"/>
        <v>0</v>
      </c>
      <c r="G23" s="4">
        <f>IFERROR(1-Table5[[#This Row],[Loss % Against]]-Table5[[#This Row],[Win% Against]],"")</f>
        <v>0.75</v>
      </c>
      <c r="H23" s="16">
        <f>IFERROR(IF(B23=0,"",
 IF(Table5[[#This Row],[Win% Against]] &gt; Table5[[#This Row],[Loss % Against]], 1,
 IF(Table5[[#This Row],[Win% Against]] &lt; Table5[[#This Row],[Loss % Against]], -1, 0))), "")</f>
        <v>1</v>
      </c>
    </row>
    <row r="24" spans="1:8" x14ac:dyDescent="0.25">
      <c r="A24" s="3" t="s">
        <v>405</v>
      </c>
      <c r="B24" s="19">
        <v>4</v>
      </c>
      <c r="C24" s="19">
        <v>1</v>
      </c>
      <c r="D24" s="19">
        <v>0</v>
      </c>
      <c r="E24" s="4">
        <f t="shared" si="0"/>
        <v>0.25</v>
      </c>
      <c r="F24" s="4">
        <f t="shared" si="1"/>
        <v>0</v>
      </c>
      <c r="G24" s="4">
        <f>IFERROR(1-Table5[[#This Row],[Loss % Against]]-Table5[[#This Row],[Win% Against]],"")</f>
        <v>0.75</v>
      </c>
      <c r="H24" s="16">
        <f>IFERROR(IF(B24=0,"",
 IF(Table5[[#This Row],[Win% Against]] &gt; Table5[[#This Row],[Loss % Against]], 1,
 IF(Table5[[#This Row],[Win% Against]] &lt; Table5[[#This Row],[Loss % Against]], -1, 0))), "")</f>
        <v>1</v>
      </c>
    </row>
    <row r="25" spans="1:8" x14ac:dyDescent="0.25">
      <c r="A25" s="3" t="s">
        <v>44</v>
      </c>
      <c r="B25" s="19">
        <v>4</v>
      </c>
      <c r="C25" s="19">
        <v>3</v>
      </c>
      <c r="D25" s="19">
        <v>0</v>
      </c>
      <c r="E25" s="4">
        <f t="shared" si="0"/>
        <v>0.75</v>
      </c>
      <c r="F25" s="4">
        <f t="shared" si="1"/>
        <v>0</v>
      </c>
      <c r="G25" s="4">
        <f>IFERROR(1-Table5[[#This Row],[Loss % Against]]-Table5[[#This Row],[Win% Against]],"")</f>
        <v>0.25</v>
      </c>
      <c r="H25" s="16">
        <f>IFERROR(IF(B25=0,"",
 IF(Table5[[#This Row],[Win% Against]] &gt; Table5[[#This Row],[Loss % Against]], 1,
 IF(Table5[[#This Row],[Win% Against]] &lt; Table5[[#This Row],[Loss % Against]], -1, 0))), "")</f>
        <v>1</v>
      </c>
    </row>
    <row r="26" spans="1:8" x14ac:dyDescent="0.25">
      <c r="A26" s="3" t="s">
        <v>22</v>
      </c>
      <c r="B26" s="19">
        <v>4</v>
      </c>
      <c r="C26" s="19">
        <v>1</v>
      </c>
      <c r="D26" s="19">
        <v>1</v>
      </c>
      <c r="E26" s="4">
        <f t="shared" si="0"/>
        <v>0.25</v>
      </c>
      <c r="F26" s="4">
        <f t="shared" si="1"/>
        <v>0.25</v>
      </c>
      <c r="G26" s="4">
        <f>IFERROR(1-Table5[[#This Row],[Loss % Against]]-Table5[[#This Row],[Win% Against]],"")</f>
        <v>0.5</v>
      </c>
      <c r="H26" s="16">
        <f>IFERROR(IF(B26=0,"",
 IF(Table5[[#This Row],[Win% Against]] &gt; Table5[[#This Row],[Loss % Against]], 1,
 IF(Table5[[#This Row],[Win% Against]] &lt; Table5[[#This Row],[Loss % Against]], -1, 0))), "")</f>
        <v>0</v>
      </c>
    </row>
    <row r="27" spans="1:8" x14ac:dyDescent="0.25">
      <c r="A27" s="3" t="s">
        <v>76</v>
      </c>
      <c r="B27" s="19">
        <v>4</v>
      </c>
      <c r="C27" s="19">
        <v>2</v>
      </c>
      <c r="D27" s="19">
        <v>0</v>
      </c>
      <c r="E27" s="4">
        <f t="shared" si="0"/>
        <v>0.5</v>
      </c>
      <c r="F27" s="4">
        <f t="shared" si="1"/>
        <v>0</v>
      </c>
      <c r="G27" s="4">
        <f>IFERROR(1-Table5[[#This Row],[Loss % Against]]-Table5[[#This Row],[Win% Against]],"")</f>
        <v>0.5</v>
      </c>
      <c r="H27" s="16">
        <f>IFERROR(IF(B27=0,"",
 IF(Table5[[#This Row],[Win% Against]] &gt; Table5[[#This Row],[Loss % Against]], 1,
 IF(Table5[[#This Row],[Win% Against]] &lt; Table5[[#This Row],[Loss % Against]], -1, 0))), "")</f>
        <v>1</v>
      </c>
    </row>
    <row r="28" spans="1:8" x14ac:dyDescent="0.25">
      <c r="A28" s="3" t="s">
        <v>364</v>
      </c>
      <c r="B28" s="19">
        <v>3</v>
      </c>
      <c r="C28" s="19">
        <v>0</v>
      </c>
      <c r="D28" s="19">
        <v>0</v>
      </c>
      <c r="E28" s="4">
        <f t="shared" si="0"/>
        <v>0</v>
      </c>
      <c r="F28" s="4">
        <f t="shared" si="1"/>
        <v>0</v>
      </c>
      <c r="G28" s="4">
        <f>IFERROR(1-Table5[[#This Row],[Loss % Against]]-Table5[[#This Row],[Win% Against]],"")</f>
        <v>1</v>
      </c>
      <c r="H28" s="16">
        <f>IFERROR(IF(B28=0,"",
 IF(Table5[[#This Row],[Win% Against]] &gt; Table5[[#This Row],[Loss % Against]], 1,
 IF(Table5[[#This Row],[Win% Against]] &lt; Table5[[#This Row],[Loss % Against]], -1, 0))), "")</f>
        <v>0</v>
      </c>
    </row>
    <row r="29" spans="1:8" x14ac:dyDescent="0.25">
      <c r="A29" s="3" t="s">
        <v>519</v>
      </c>
      <c r="B29" s="19">
        <v>3</v>
      </c>
      <c r="C29" s="19">
        <v>2</v>
      </c>
      <c r="D29" s="19">
        <v>0</v>
      </c>
      <c r="E29" s="4">
        <f t="shared" si="0"/>
        <v>0.66666666666666663</v>
      </c>
      <c r="F29" s="4">
        <f t="shared" si="1"/>
        <v>0</v>
      </c>
      <c r="G29" s="4">
        <f>IFERROR(1-Table5[[#This Row],[Loss % Against]]-Table5[[#This Row],[Win% Against]],"")</f>
        <v>0.33333333333333337</v>
      </c>
      <c r="H29" s="16">
        <f>IFERROR(IF(B29=0,"",
 IF(Table5[[#This Row],[Win% Against]] &gt; Table5[[#This Row],[Loss % Against]], 1,
 IF(Table5[[#This Row],[Win% Against]] &lt; Table5[[#This Row],[Loss % Against]], -1, 0))), "")</f>
        <v>1</v>
      </c>
    </row>
    <row r="30" spans="1:8" x14ac:dyDescent="0.25">
      <c r="A30" s="3" t="s">
        <v>30</v>
      </c>
      <c r="B30" s="19">
        <v>3</v>
      </c>
      <c r="C30" s="19">
        <v>1</v>
      </c>
      <c r="D30" s="19">
        <v>1</v>
      </c>
      <c r="E30" s="4">
        <f t="shared" si="0"/>
        <v>0.33333333333333331</v>
      </c>
      <c r="F30" s="4">
        <f t="shared" si="1"/>
        <v>0.33333333333333331</v>
      </c>
      <c r="G30" s="4">
        <f>IFERROR(1-Table5[[#This Row],[Loss % Against]]-Table5[[#This Row],[Win% Against]],"")</f>
        <v>0.33333333333333343</v>
      </c>
      <c r="H30" s="16">
        <f>IFERROR(IF(B30=0,"",
 IF(Table5[[#This Row],[Win% Against]] &gt; Table5[[#This Row],[Loss % Against]], 1,
 IF(Table5[[#This Row],[Win% Against]] &lt; Table5[[#This Row],[Loss % Against]], -1, 0))), "")</f>
        <v>0</v>
      </c>
    </row>
    <row r="31" spans="1:8" x14ac:dyDescent="0.25">
      <c r="A31" s="3" t="s">
        <v>57</v>
      </c>
      <c r="B31" s="19">
        <v>2</v>
      </c>
      <c r="C31" s="19">
        <v>0</v>
      </c>
      <c r="D31" s="19">
        <v>1</v>
      </c>
      <c r="E31" s="4">
        <f t="shared" si="0"/>
        <v>0</v>
      </c>
      <c r="F31" s="4">
        <f t="shared" si="1"/>
        <v>0.5</v>
      </c>
      <c r="G31" s="4">
        <f>IFERROR(1-Table5[[#This Row],[Loss % Against]]-Table5[[#This Row],[Win% Against]],"")</f>
        <v>0.5</v>
      </c>
      <c r="H31" s="16">
        <f>IFERROR(IF(B31=0,"",
 IF(Table5[[#This Row],[Win% Against]] &gt; Table5[[#This Row],[Loss % Against]], 1,
 IF(Table5[[#This Row],[Win% Against]] &lt; Table5[[#This Row],[Loss % Against]], -1, 0))), "")</f>
        <v>-1</v>
      </c>
    </row>
    <row r="32" spans="1:8" x14ac:dyDescent="0.25">
      <c r="A32" s="3" t="s">
        <v>326</v>
      </c>
      <c r="B32" s="19">
        <v>2</v>
      </c>
      <c r="C32" s="19">
        <v>2</v>
      </c>
      <c r="D32" s="19">
        <v>0</v>
      </c>
      <c r="E32" s="4">
        <f t="shared" si="0"/>
        <v>1</v>
      </c>
      <c r="F32" s="4">
        <f t="shared" si="1"/>
        <v>0</v>
      </c>
      <c r="G32" s="4">
        <f>IFERROR(1-Table5[[#This Row],[Loss % Against]]-Table5[[#This Row],[Win% Against]],"")</f>
        <v>0</v>
      </c>
      <c r="H32" s="16">
        <f>IFERROR(IF(B32=0,"",
 IF(Table5[[#This Row],[Win% Against]] &gt; Table5[[#This Row],[Loss % Against]], 1,
 IF(Table5[[#This Row],[Win% Against]] &lt; Table5[[#This Row],[Loss % Against]], -1, 0))), "")</f>
        <v>1</v>
      </c>
    </row>
    <row r="33" spans="1:8" x14ac:dyDescent="0.25">
      <c r="A33" s="3" t="s">
        <v>568</v>
      </c>
      <c r="B33" s="19">
        <v>2</v>
      </c>
      <c r="C33" s="19">
        <v>1</v>
      </c>
      <c r="D33" s="19">
        <v>1</v>
      </c>
      <c r="E33" s="4">
        <f t="shared" si="0"/>
        <v>0.5</v>
      </c>
      <c r="F33" s="4">
        <f t="shared" si="1"/>
        <v>0.5</v>
      </c>
      <c r="G33" s="4">
        <f>IFERROR(1-Table5[[#This Row],[Loss % Against]]-Table5[[#This Row],[Win% Against]],"")</f>
        <v>0</v>
      </c>
      <c r="H33" s="16">
        <f>IFERROR(IF(B33=0,"",
 IF(Table5[[#This Row],[Win% Against]] &gt; Table5[[#This Row],[Loss % Against]], 1,
 IF(Table5[[#This Row],[Win% Against]] &lt; Table5[[#This Row],[Loss % Against]], -1, 0))), "")</f>
        <v>0</v>
      </c>
    </row>
    <row r="34" spans="1:8" x14ac:dyDescent="0.25">
      <c r="A34" s="3" t="s">
        <v>56</v>
      </c>
      <c r="B34" s="19">
        <v>2</v>
      </c>
      <c r="C34" s="19">
        <v>2</v>
      </c>
      <c r="D34" s="19">
        <v>0</v>
      </c>
      <c r="E34" s="4">
        <f t="shared" si="0"/>
        <v>1</v>
      </c>
      <c r="F34" s="4">
        <f t="shared" si="1"/>
        <v>0</v>
      </c>
      <c r="G34" s="4">
        <f>IFERROR(1-Table5[[#This Row],[Loss % Against]]-Table5[[#This Row],[Win% Against]],"")</f>
        <v>0</v>
      </c>
      <c r="H34" s="16">
        <f>IFERROR(IF(B34=0,"",
 IF(Table5[[#This Row],[Win% Against]] &gt; Table5[[#This Row],[Loss % Against]], 1,
 IF(Table5[[#This Row],[Win% Against]] &lt; Table5[[#This Row],[Loss % Against]], -1, 0))), "")</f>
        <v>1</v>
      </c>
    </row>
    <row r="35" spans="1:8" x14ac:dyDescent="0.25">
      <c r="A35" s="3" t="s">
        <v>16</v>
      </c>
      <c r="B35" s="19">
        <v>2</v>
      </c>
      <c r="C35" s="19">
        <v>1</v>
      </c>
      <c r="D35" s="19">
        <v>0</v>
      </c>
      <c r="E35" s="4">
        <f t="shared" si="0"/>
        <v>0.5</v>
      </c>
      <c r="F35" s="4">
        <f t="shared" si="1"/>
        <v>0</v>
      </c>
      <c r="G35" s="4">
        <f>IFERROR(1-Table5[[#This Row],[Loss % Against]]-Table5[[#This Row],[Win% Against]],"")</f>
        <v>0.5</v>
      </c>
      <c r="H35" s="16">
        <f>IFERROR(IF(B35=0,"",
 IF(Table5[[#This Row],[Win% Against]] &gt; Table5[[#This Row],[Loss % Against]], 1,
 IF(Table5[[#This Row],[Win% Against]] &lt; Table5[[#This Row],[Loss % Against]], -1, 0))), "")</f>
        <v>1</v>
      </c>
    </row>
    <row r="36" spans="1:8" x14ac:dyDescent="0.25">
      <c r="A36" s="3" t="s">
        <v>18</v>
      </c>
      <c r="B36" s="19">
        <v>2</v>
      </c>
      <c r="C36" s="19">
        <v>0</v>
      </c>
      <c r="D36" s="19">
        <v>0</v>
      </c>
      <c r="E36" s="4">
        <f t="shared" si="0"/>
        <v>0</v>
      </c>
      <c r="F36" s="4">
        <f t="shared" si="1"/>
        <v>0</v>
      </c>
      <c r="G36" s="4">
        <f>IFERROR(1-Table5[[#This Row],[Loss % Against]]-Table5[[#This Row],[Win% Against]],"")</f>
        <v>1</v>
      </c>
      <c r="H36" s="16">
        <f>IFERROR(IF(B36=0,"",
 IF(Table5[[#This Row],[Win% Against]] &gt; Table5[[#This Row],[Loss % Against]], 1,
 IF(Table5[[#This Row],[Win% Against]] &lt; Table5[[#This Row],[Loss % Against]], -1, 0))), "")</f>
        <v>0</v>
      </c>
    </row>
    <row r="37" spans="1:8" x14ac:dyDescent="0.25">
      <c r="A37" s="3" t="s">
        <v>433</v>
      </c>
      <c r="B37" s="19">
        <v>2</v>
      </c>
      <c r="C37" s="19">
        <v>2</v>
      </c>
      <c r="D37" s="19">
        <v>0</v>
      </c>
      <c r="E37" s="4">
        <f t="shared" si="0"/>
        <v>1</v>
      </c>
      <c r="F37" s="4">
        <f t="shared" si="1"/>
        <v>0</v>
      </c>
      <c r="G37" s="4">
        <f>IFERROR(1-Table5[[#This Row],[Loss % Against]]-Table5[[#This Row],[Win% Against]],"")</f>
        <v>0</v>
      </c>
      <c r="H37" s="16">
        <f>IFERROR(IF(B37=0,"",
 IF(Table5[[#This Row],[Win% Against]] &gt; Table5[[#This Row],[Loss % Against]], 1,
 IF(Table5[[#This Row],[Win% Against]] &lt; Table5[[#This Row],[Loss % Against]], -1, 0))), "")</f>
        <v>1</v>
      </c>
    </row>
    <row r="38" spans="1:8" x14ac:dyDescent="0.25">
      <c r="A38" s="3" t="s">
        <v>42</v>
      </c>
      <c r="B38" s="19">
        <v>2</v>
      </c>
      <c r="C38" s="19">
        <v>2</v>
      </c>
      <c r="D38" s="19">
        <v>0</v>
      </c>
      <c r="E38" s="4">
        <f t="shared" si="0"/>
        <v>1</v>
      </c>
      <c r="F38" s="4">
        <f t="shared" si="1"/>
        <v>0</v>
      </c>
      <c r="G38" s="4">
        <f>IFERROR(1-Table5[[#This Row],[Loss % Against]]-Table5[[#This Row],[Win% Against]],"")</f>
        <v>0</v>
      </c>
      <c r="H38" s="16">
        <f>IFERROR(IF(B38=0,"",
 IF(Table5[[#This Row],[Win% Against]] &gt; Table5[[#This Row],[Loss % Against]], 1,
 IF(Table5[[#This Row],[Win% Against]] &lt; Table5[[#This Row],[Loss % Against]], -1, 0))), "")</f>
        <v>1</v>
      </c>
    </row>
    <row r="39" spans="1:8" x14ac:dyDescent="0.25">
      <c r="A39" s="3" t="s">
        <v>325</v>
      </c>
      <c r="B39" s="19">
        <v>2</v>
      </c>
      <c r="C39" s="19">
        <v>0</v>
      </c>
      <c r="D39" s="19">
        <v>1</v>
      </c>
      <c r="E39" s="4">
        <f t="shared" si="0"/>
        <v>0</v>
      </c>
      <c r="F39" s="4">
        <f t="shared" si="1"/>
        <v>0.5</v>
      </c>
      <c r="G39" s="4">
        <f>IFERROR(1-Table5[[#This Row],[Loss % Against]]-Table5[[#This Row],[Win% Against]],"")</f>
        <v>0.5</v>
      </c>
      <c r="H39" s="16">
        <f>IFERROR(IF(B39=0,"",
 IF(Table5[[#This Row],[Win% Against]] &gt; Table5[[#This Row],[Loss % Against]], 1,
 IF(Table5[[#This Row],[Win% Against]] &lt; Table5[[#This Row],[Loss % Against]], -1, 0))), "")</f>
        <v>-1</v>
      </c>
    </row>
    <row r="40" spans="1:8" x14ac:dyDescent="0.25">
      <c r="A40" s="3" t="s">
        <v>21</v>
      </c>
      <c r="B40" s="19">
        <v>2</v>
      </c>
      <c r="C40" s="19">
        <v>0</v>
      </c>
      <c r="D40" s="19">
        <v>1</v>
      </c>
      <c r="E40" s="4">
        <f t="shared" si="0"/>
        <v>0</v>
      </c>
      <c r="F40" s="4">
        <f t="shared" si="1"/>
        <v>0.5</v>
      </c>
      <c r="G40" s="4">
        <f>IFERROR(1-Table5[[#This Row],[Loss % Against]]-Table5[[#This Row],[Win% Against]],"")</f>
        <v>0.5</v>
      </c>
      <c r="H40" s="16">
        <f>IFERROR(IF(B40=0,"",
 IF(Table5[[#This Row],[Win% Against]] &gt; Table5[[#This Row],[Loss % Against]], 1,
 IF(Table5[[#This Row],[Win% Against]] &lt; Table5[[#This Row],[Loss % Against]], -1, 0))), "")</f>
        <v>-1</v>
      </c>
    </row>
    <row r="41" spans="1:8" x14ac:dyDescent="0.25">
      <c r="A41" s="3" t="s">
        <v>59</v>
      </c>
      <c r="B41" s="19">
        <v>1</v>
      </c>
      <c r="C41" s="19">
        <v>0</v>
      </c>
      <c r="D41" s="19">
        <v>0</v>
      </c>
      <c r="E41" s="4">
        <f t="shared" si="0"/>
        <v>0</v>
      </c>
      <c r="F41" s="4">
        <f t="shared" si="1"/>
        <v>0</v>
      </c>
      <c r="G41" s="4">
        <f>IFERROR(1-Table5[[#This Row],[Loss % Against]]-Table5[[#This Row],[Win% Against]],"")</f>
        <v>1</v>
      </c>
      <c r="H41" s="16">
        <f>IFERROR(IF(B41=0,"",
 IF(Table5[[#This Row],[Win% Against]] &gt; Table5[[#This Row],[Loss % Against]], 1,
 IF(Table5[[#This Row],[Win% Against]] &lt; Table5[[#This Row],[Loss % Against]], -1, 0))), "")</f>
        <v>0</v>
      </c>
    </row>
    <row r="42" spans="1:8" x14ac:dyDescent="0.25">
      <c r="A42" s="3" t="s">
        <v>437</v>
      </c>
      <c r="B42" s="19">
        <v>1</v>
      </c>
      <c r="C42" s="19">
        <v>0</v>
      </c>
      <c r="D42" s="19">
        <v>0</v>
      </c>
      <c r="E42" s="4">
        <f t="shared" ref="E42:E53" si="2">IFERROR(C42/B42, "")</f>
        <v>0</v>
      </c>
      <c r="F42" s="4">
        <f t="shared" ref="F42:F53" si="3">IFERROR(D42/B42, "")</f>
        <v>0</v>
      </c>
      <c r="G42" s="4">
        <f>IFERROR(1-Table5[[#This Row],[Loss % Against]]-Table5[[#This Row],[Win% Against]],"")</f>
        <v>1</v>
      </c>
      <c r="H42" s="16">
        <f>IFERROR(IF(B42=0,"",
 IF(Table5[[#This Row],[Win% Against]] &gt; Table5[[#This Row],[Loss % Against]], 1,
 IF(Table5[[#This Row],[Win% Against]] &lt; Table5[[#This Row],[Loss % Against]], -1, 0))), "")</f>
        <v>0</v>
      </c>
    </row>
    <row r="43" spans="1:8" x14ac:dyDescent="0.25">
      <c r="A43" s="3" t="s">
        <v>322</v>
      </c>
      <c r="B43" s="19">
        <v>1</v>
      </c>
      <c r="C43" s="19">
        <v>0</v>
      </c>
      <c r="D43" s="19">
        <v>1</v>
      </c>
      <c r="E43" s="4">
        <f t="shared" si="2"/>
        <v>0</v>
      </c>
      <c r="F43" s="4">
        <f t="shared" si="3"/>
        <v>1</v>
      </c>
      <c r="G43" s="4">
        <f>IFERROR(1-Table5[[#This Row],[Loss % Against]]-Table5[[#This Row],[Win% Against]],"")</f>
        <v>0</v>
      </c>
      <c r="H43" s="16">
        <f>IFERROR(IF(B43=0,"",
 IF(Table5[[#This Row],[Win% Against]] &gt; Table5[[#This Row],[Loss % Against]], 1,
 IF(Table5[[#This Row],[Win% Against]] &lt; Table5[[#This Row],[Loss % Against]], -1, 0))), "")</f>
        <v>-1</v>
      </c>
    </row>
    <row r="44" spans="1:8" x14ac:dyDescent="0.25">
      <c r="A44" s="3" t="s">
        <v>55</v>
      </c>
      <c r="B44" s="19">
        <v>1</v>
      </c>
      <c r="C44" s="19">
        <v>1</v>
      </c>
      <c r="D44" s="19">
        <v>0</v>
      </c>
      <c r="E44" s="4">
        <f t="shared" si="2"/>
        <v>1</v>
      </c>
      <c r="F44" s="4">
        <f t="shared" si="3"/>
        <v>0</v>
      </c>
      <c r="G44" s="4">
        <f>IFERROR(1-Table5[[#This Row],[Loss % Against]]-Table5[[#This Row],[Win% Against]],"")</f>
        <v>0</v>
      </c>
      <c r="H44" s="16">
        <f>IFERROR(IF(B44=0,"",
 IF(Table5[[#This Row],[Win% Against]] &gt; Table5[[#This Row],[Loss % Against]], 1,
 IF(Table5[[#This Row],[Win% Against]] &lt; Table5[[#This Row],[Loss % Against]], -1, 0))), "")</f>
        <v>1</v>
      </c>
    </row>
    <row r="45" spans="1:8" x14ac:dyDescent="0.25">
      <c r="A45" s="3" t="s">
        <v>46</v>
      </c>
      <c r="B45" s="19">
        <v>1</v>
      </c>
      <c r="C45" s="19">
        <v>1</v>
      </c>
      <c r="D45" s="19">
        <v>0</v>
      </c>
      <c r="E45" s="4">
        <f t="shared" si="2"/>
        <v>1</v>
      </c>
      <c r="F45" s="4">
        <f t="shared" si="3"/>
        <v>0</v>
      </c>
      <c r="G45" s="4">
        <f>IFERROR(1-Table5[[#This Row],[Loss % Against]]-Table5[[#This Row],[Win% Against]],"")</f>
        <v>0</v>
      </c>
      <c r="H45" s="16">
        <f>IFERROR(IF(B45=0,"",
 IF(Table5[[#This Row],[Win% Against]] &gt; Table5[[#This Row],[Loss % Against]], 1,
 IF(Table5[[#This Row],[Win% Against]] &lt; Table5[[#This Row],[Loss % Against]], -1, 0))), "")</f>
        <v>1</v>
      </c>
    </row>
    <row r="46" spans="1:8" x14ac:dyDescent="0.25">
      <c r="A46" s="3" t="s">
        <v>47</v>
      </c>
      <c r="B46" s="19">
        <v>1</v>
      </c>
      <c r="C46" s="19">
        <v>1</v>
      </c>
      <c r="D46" s="19">
        <v>0</v>
      </c>
      <c r="E46" s="4">
        <f t="shared" si="2"/>
        <v>1</v>
      </c>
      <c r="F46" s="4">
        <f t="shared" si="3"/>
        <v>0</v>
      </c>
      <c r="G46" s="4">
        <f>IFERROR(1-Table5[[#This Row],[Loss % Against]]-Table5[[#This Row],[Win% Against]],"")</f>
        <v>0</v>
      </c>
      <c r="H46" s="16">
        <f>IFERROR(IF(B46=0,"",
 IF(Table5[[#This Row],[Win% Against]] &gt; Table5[[#This Row],[Loss % Against]], 1,
 IF(Table5[[#This Row],[Win% Against]] &lt; Table5[[#This Row],[Loss % Against]], -1, 0))), "")</f>
        <v>1</v>
      </c>
    </row>
    <row r="47" spans="1:8" x14ac:dyDescent="0.25">
      <c r="A47" s="3" t="s">
        <v>580</v>
      </c>
      <c r="B47" s="19">
        <v>1</v>
      </c>
      <c r="C47" s="19">
        <v>0</v>
      </c>
      <c r="D47" s="19">
        <v>0</v>
      </c>
      <c r="E47" s="4">
        <f t="shared" si="2"/>
        <v>0</v>
      </c>
      <c r="F47" s="4">
        <f t="shared" si="3"/>
        <v>0</v>
      </c>
      <c r="G47" s="4">
        <f>IFERROR(1-Table5[[#This Row],[Loss % Against]]-Table5[[#This Row],[Win% Against]],"")</f>
        <v>1</v>
      </c>
      <c r="H47" s="16">
        <f>IFERROR(IF(B47=0,"",
 IF(Table5[[#This Row],[Win% Against]] &gt; Table5[[#This Row],[Loss % Against]], 1,
 IF(Table5[[#This Row],[Win% Against]] &lt; Table5[[#This Row],[Loss % Against]], -1, 0))), "")</f>
        <v>0</v>
      </c>
    </row>
    <row r="48" spans="1:8" x14ac:dyDescent="0.25">
      <c r="A48" s="3" t="s">
        <v>591</v>
      </c>
      <c r="B48" s="19">
        <v>1</v>
      </c>
      <c r="C48" s="19">
        <v>0</v>
      </c>
      <c r="D48" s="19">
        <v>0</v>
      </c>
      <c r="E48" s="4">
        <f t="shared" si="2"/>
        <v>0</v>
      </c>
      <c r="F48" s="4">
        <f t="shared" si="3"/>
        <v>0</v>
      </c>
      <c r="G48" s="4">
        <f>IFERROR(1-Table5[[#This Row],[Loss % Against]]-Table5[[#This Row],[Win% Against]],"")</f>
        <v>1</v>
      </c>
      <c r="H48" s="16">
        <f>IFERROR(IF(B48=0,"",
 IF(Table5[[#This Row],[Win% Against]] &gt; Table5[[#This Row],[Loss % Against]], 1,
 IF(Table5[[#This Row],[Win% Against]] &lt; Table5[[#This Row],[Loss % Against]], -1, 0))), "")</f>
        <v>0</v>
      </c>
    </row>
    <row r="49" spans="1:8" x14ac:dyDescent="0.25">
      <c r="A49" s="3" t="s">
        <v>434</v>
      </c>
      <c r="B49" s="19">
        <v>1</v>
      </c>
      <c r="C49" s="19">
        <v>0</v>
      </c>
      <c r="D49" s="19">
        <v>1</v>
      </c>
      <c r="E49" s="4">
        <f t="shared" si="2"/>
        <v>0</v>
      </c>
      <c r="F49" s="4">
        <f t="shared" si="3"/>
        <v>1</v>
      </c>
      <c r="G49" s="4">
        <f>IFERROR(1-Table5[[#This Row],[Loss % Against]]-Table5[[#This Row],[Win% Against]],"")</f>
        <v>0</v>
      </c>
      <c r="H49" s="16">
        <f>IFERROR(IF(B49=0,"",
 IF(Table5[[#This Row],[Win% Against]] &gt; Table5[[#This Row],[Loss % Against]], 1,
 IF(Table5[[#This Row],[Win% Against]] &lt; Table5[[#This Row],[Loss % Against]], -1, 0))), "")</f>
        <v>-1</v>
      </c>
    </row>
    <row r="50" spans="1:8" x14ac:dyDescent="0.25">
      <c r="A50" s="3" t="s">
        <v>61</v>
      </c>
      <c r="B50" s="19">
        <v>1</v>
      </c>
      <c r="C50" s="19">
        <v>1</v>
      </c>
      <c r="D50" s="19">
        <v>0</v>
      </c>
      <c r="E50" s="4">
        <f t="shared" si="2"/>
        <v>1</v>
      </c>
      <c r="F50" s="4">
        <f t="shared" si="3"/>
        <v>0</v>
      </c>
      <c r="G50" s="4">
        <f>IFERROR(1-Table5[[#This Row],[Loss % Against]]-Table5[[#This Row],[Win% Against]],"")</f>
        <v>0</v>
      </c>
      <c r="H50" s="16">
        <f>IFERROR(IF(B50=0,"",
 IF(Table5[[#This Row],[Win% Against]] &gt; Table5[[#This Row],[Loss % Against]], 1,
 IF(Table5[[#This Row],[Win% Against]] &lt; Table5[[#This Row],[Loss % Against]], -1, 0))), "")</f>
        <v>1</v>
      </c>
    </row>
    <row r="51" spans="1:8" x14ac:dyDescent="0.25">
      <c r="A51" s="3" t="s">
        <v>478</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25">
      <c r="A52" s="3" t="s">
        <v>365</v>
      </c>
      <c r="B52" s="19">
        <v>1</v>
      </c>
      <c r="C52" s="19">
        <v>0</v>
      </c>
      <c r="D52" s="19">
        <v>0</v>
      </c>
      <c r="E52" s="4">
        <f t="shared" si="2"/>
        <v>0</v>
      </c>
      <c r="F52" s="4">
        <f t="shared" si="3"/>
        <v>0</v>
      </c>
      <c r="G52" s="4">
        <f>IFERROR(1-Table5[[#This Row],[Loss % Against]]-Table5[[#This Row],[Win% Against]],"")</f>
        <v>1</v>
      </c>
      <c r="H52" s="16">
        <f>IFERROR(IF(B52=0,"",
 IF(Table5[[#This Row],[Win% Against]] &gt; Table5[[#This Row],[Loss % Against]], 1,
 IF(Table5[[#This Row],[Win% Against]] &lt; Table5[[#This Row],[Loss % Against]], -1, 0))), "")</f>
        <v>0</v>
      </c>
    </row>
    <row r="53" spans="1:8" x14ac:dyDescent="0.25">
      <c r="A53" s="3" t="s">
        <v>540</v>
      </c>
      <c r="B53" s="19">
        <v>1</v>
      </c>
      <c r="C53" s="19">
        <v>0</v>
      </c>
      <c r="D53" s="19">
        <v>0</v>
      </c>
      <c r="E53" s="4">
        <f t="shared" si="2"/>
        <v>0</v>
      </c>
      <c r="F53" s="4">
        <f t="shared" si="3"/>
        <v>0</v>
      </c>
      <c r="G53" s="4">
        <f>IFERROR(1-Table5[[#This Row],[Loss % Against]]-Table5[[#This Row],[Win% Against]],"")</f>
        <v>1</v>
      </c>
      <c r="H53" s="16">
        <f>IFERROR(IF(B53=0,"",
 IF(Table5[[#This Row],[Win% Against]] &gt; Table5[[#This Row],[Loss % Against]], 1,
 IF(Table5[[#This Row],[Win% Against]] &lt; Table5[[#This Row],[Loss % Against]], -1, 0))), "")</f>
        <v>0</v>
      </c>
    </row>
    <row r="54" spans="1:8" x14ac:dyDescent="0.25">
      <c r="A54" s="3" t="s">
        <v>404</v>
      </c>
      <c r="B54" s="19">
        <v>1</v>
      </c>
      <c r="C54" s="19">
        <v>0</v>
      </c>
      <c r="D54" s="19">
        <v>0</v>
      </c>
      <c r="E54" s="4">
        <f t="shared" ref="E54:E56" si="4">IFERROR(C54/B54, "")</f>
        <v>0</v>
      </c>
      <c r="F54" s="4">
        <f t="shared" ref="F54:F56" si="5">IFERROR(D54/B54, "")</f>
        <v>0</v>
      </c>
      <c r="G54" s="4">
        <f>IFERROR(1-Table5[[#This Row],[Loss % Against]]-Table5[[#This Row],[Win% Against]],"")</f>
        <v>1</v>
      </c>
      <c r="H54" s="16">
        <f>IFERROR(IF(B54=0,"",
 IF(Table5[[#This Row],[Win% Against]] &gt; Table5[[#This Row],[Loss % Against]], 1,
 IF(Table5[[#This Row],[Win% Against]] &lt; Table5[[#This Row],[Loss % Against]], -1, 0))), "")</f>
        <v>0</v>
      </c>
    </row>
    <row r="55" spans="1:8" x14ac:dyDescent="0.25">
      <c r="A55" s="3" t="s">
        <v>579</v>
      </c>
      <c r="B55" s="19">
        <v>1</v>
      </c>
      <c r="C55" s="19">
        <v>0</v>
      </c>
      <c r="D55" s="19">
        <v>1</v>
      </c>
      <c r="E55" s="4">
        <f t="shared" si="4"/>
        <v>0</v>
      </c>
      <c r="F55" s="4">
        <f t="shared" si="5"/>
        <v>1</v>
      </c>
      <c r="G55" s="4">
        <f>IFERROR(1-Table5[[#This Row],[Loss % Against]]-Table5[[#This Row],[Win% Against]],"")</f>
        <v>0</v>
      </c>
      <c r="H55" s="16">
        <f>IFERROR(IF(B55=0,"",
 IF(Table5[[#This Row],[Win% Against]] &gt; Table5[[#This Row],[Loss % Against]], 1,
 IF(Table5[[#This Row],[Win% Against]] &lt; Table5[[#This Row],[Loss % Against]], -1, 0))), "")</f>
        <v>-1</v>
      </c>
    </row>
    <row r="56" spans="1:8" x14ac:dyDescent="0.25">
      <c r="A56" s="3" t="s">
        <v>40</v>
      </c>
      <c r="B56" s="19">
        <v>1</v>
      </c>
      <c r="C56" s="19">
        <v>1</v>
      </c>
      <c r="D56" s="19">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25">
      <c r="A57" s="3" t="s">
        <v>53</v>
      </c>
      <c r="B57" s="19">
        <v>1</v>
      </c>
      <c r="C57" s="19">
        <v>1</v>
      </c>
      <c r="D57" s="19">
        <v>0</v>
      </c>
    </row>
    <row r="58" spans="1:8" x14ac:dyDescent="0.25">
      <c r="A58" s="3" t="s">
        <v>421</v>
      </c>
      <c r="B58" s="19">
        <v>1</v>
      </c>
      <c r="C58" s="19">
        <v>1</v>
      </c>
      <c r="D58" s="19">
        <v>0</v>
      </c>
    </row>
    <row r="59" spans="1:8" x14ac:dyDescent="0.25">
      <c r="A59" s="3" t="s">
        <v>29</v>
      </c>
      <c r="B59" s="19">
        <v>1</v>
      </c>
      <c r="C59" s="19">
        <v>1</v>
      </c>
      <c r="D59" s="19">
        <v>0</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52"/>
  <sheetViews>
    <sheetView workbookViewId="0">
      <selection activeCell="T25" sqref="T25"/>
    </sheetView>
  </sheetViews>
  <sheetFormatPr defaultColWidth="11.28515625" defaultRowHeight="15" x14ac:dyDescent="0.25"/>
  <cols>
    <col min="1" max="1" width="14.7109375" bestFit="1" customWidth="1"/>
    <col min="2" max="2" width="16.28515625" bestFit="1" customWidth="1"/>
    <col min="3" max="3" width="4.7109375" bestFit="1" customWidth="1"/>
    <col min="4" max="4" width="5.5703125" bestFit="1" customWidth="1"/>
    <col min="5" max="5" width="4.7109375" bestFit="1" customWidth="1"/>
    <col min="6" max="6" width="9.7109375" bestFit="1" customWidth="1"/>
    <col min="7" max="7" width="9.5703125" bestFit="1" customWidth="1"/>
  </cols>
  <sheetData>
    <row r="2" spans="1:4" x14ac:dyDescent="0.25">
      <c r="A2" s="2" t="s">
        <v>83</v>
      </c>
      <c r="B2" s="3">
        <v>2026</v>
      </c>
    </row>
    <row r="4" spans="1:4" x14ac:dyDescent="0.25">
      <c r="A4" s="2" t="s">
        <v>25</v>
      </c>
      <c r="B4" s="2" t="s">
        <v>26</v>
      </c>
    </row>
    <row r="5" spans="1:4" x14ac:dyDescent="0.25">
      <c r="A5" s="2" t="s">
        <v>23</v>
      </c>
      <c r="B5" t="s">
        <v>6</v>
      </c>
      <c r="C5" t="s">
        <v>8</v>
      </c>
      <c r="D5" t="s">
        <v>63</v>
      </c>
    </row>
    <row r="6" spans="1:4" x14ac:dyDescent="0.25">
      <c r="A6" s="3" t="s">
        <v>14</v>
      </c>
      <c r="B6" s="19">
        <v>13</v>
      </c>
      <c r="C6" s="19">
        <v>5</v>
      </c>
      <c r="D6" s="19">
        <v>6</v>
      </c>
    </row>
    <row r="7" spans="1:4" x14ac:dyDescent="0.25">
      <c r="A7" s="3" t="s">
        <v>19</v>
      </c>
      <c r="B7" s="19">
        <v>9</v>
      </c>
      <c r="C7" s="19">
        <v>8</v>
      </c>
      <c r="D7" s="19">
        <v>3</v>
      </c>
    </row>
    <row r="8" spans="1:4" x14ac:dyDescent="0.25">
      <c r="A8" s="3" t="s">
        <v>13</v>
      </c>
      <c r="B8" s="19">
        <v>8</v>
      </c>
      <c r="C8" s="19">
        <v>7</v>
      </c>
      <c r="D8" s="19">
        <v>4</v>
      </c>
    </row>
    <row r="9" spans="1:4" x14ac:dyDescent="0.25">
      <c r="A9" s="3" t="s">
        <v>10</v>
      </c>
      <c r="B9" s="19">
        <v>14</v>
      </c>
      <c r="C9" s="19">
        <v>2</v>
      </c>
      <c r="D9" s="19">
        <v>6</v>
      </c>
    </row>
    <row r="10" spans="1:4" x14ac:dyDescent="0.25">
      <c r="A10" s="3" t="s">
        <v>7</v>
      </c>
      <c r="B10" s="19">
        <v>10</v>
      </c>
      <c r="C10" s="19">
        <v>7</v>
      </c>
      <c r="D10" s="19">
        <v>7</v>
      </c>
    </row>
    <row r="11" spans="1:4" x14ac:dyDescent="0.25">
      <c r="A11" s="3" t="s">
        <v>20</v>
      </c>
      <c r="B11" s="19">
        <v>7</v>
      </c>
      <c r="C11" s="19">
        <v>1</v>
      </c>
      <c r="D11" s="19">
        <v>6</v>
      </c>
    </row>
    <row r="12" spans="1:4" x14ac:dyDescent="0.25">
      <c r="A12" s="3" t="s">
        <v>15</v>
      </c>
      <c r="B12" s="19">
        <v>2</v>
      </c>
      <c r="C12" s="19">
        <v>1</v>
      </c>
      <c r="D12" s="19">
        <v>1</v>
      </c>
    </row>
    <row r="13" spans="1:4" x14ac:dyDescent="0.25">
      <c r="A13" s="3" t="s">
        <v>11</v>
      </c>
      <c r="B13" s="19">
        <v>4</v>
      </c>
      <c r="C13" s="19">
        <v>7</v>
      </c>
      <c r="D13" s="19">
        <v>3</v>
      </c>
    </row>
    <row r="14" spans="1:4" x14ac:dyDescent="0.25">
      <c r="A14" s="3" t="s">
        <v>9</v>
      </c>
      <c r="B14" s="19">
        <v>9</v>
      </c>
      <c r="C14" s="19">
        <v>3</v>
      </c>
      <c r="D14" s="19">
        <v>4</v>
      </c>
    </row>
    <row r="15" spans="1:4" x14ac:dyDescent="0.25">
      <c r="A15" s="3" t="s">
        <v>17</v>
      </c>
      <c r="B15" s="19">
        <v>10</v>
      </c>
      <c r="C15" s="19">
        <v>3</v>
      </c>
      <c r="D15" s="19">
        <v>7</v>
      </c>
    </row>
    <row r="16" spans="1:4" x14ac:dyDescent="0.25">
      <c r="A16" s="3" t="s">
        <v>30</v>
      </c>
      <c r="B16" s="19">
        <v>3</v>
      </c>
      <c r="C16" s="19"/>
      <c r="D16" s="19">
        <v>1</v>
      </c>
    </row>
    <row r="17" spans="1:4" x14ac:dyDescent="0.25">
      <c r="A17" s="3" t="s">
        <v>28</v>
      </c>
      <c r="B17" s="19">
        <v>9</v>
      </c>
      <c r="C17" s="19">
        <v>1</v>
      </c>
      <c r="D17" s="19">
        <v>3</v>
      </c>
    </row>
    <row r="18" spans="1:4" x14ac:dyDescent="0.25">
      <c r="A18" s="3" t="s">
        <v>27</v>
      </c>
      <c r="B18" s="19">
        <v>2</v>
      </c>
      <c r="C18" s="19"/>
      <c r="D18" s="19">
        <v>2</v>
      </c>
    </row>
    <row r="19" spans="1:4" x14ac:dyDescent="0.25">
      <c r="A19" s="3" t="s">
        <v>41</v>
      </c>
      <c r="B19" s="19">
        <v>13</v>
      </c>
      <c r="C19" s="19">
        <v>4</v>
      </c>
      <c r="D19" s="19">
        <v>3</v>
      </c>
    </row>
    <row r="20" spans="1:4" x14ac:dyDescent="0.25">
      <c r="A20" s="3" t="s">
        <v>51</v>
      </c>
      <c r="B20" s="19">
        <v>9</v>
      </c>
      <c r="C20" s="19">
        <v>2</v>
      </c>
      <c r="D20" s="19">
        <v>5</v>
      </c>
    </row>
    <row r="21" spans="1:4" x14ac:dyDescent="0.25">
      <c r="A21" s="3" t="s">
        <v>52</v>
      </c>
      <c r="B21" s="19">
        <v>13</v>
      </c>
      <c r="C21" s="19">
        <v>2</v>
      </c>
      <c r="D21" s="19">
        <v>1</v>
      </c>
    </row>
    <row r="22" spans="1:4" x14ac:dyDescent="0.25">
      <c r="A22" s="3" t="s">
        <v>352</v>
      </c>
      <c r="B22" s="19">
        <v>11</v>
      </c>
      <c r="C22" s="19">
        <v>7</v>
      </c>
      <c r="D22" s="19">
        <v>6</v>
      </c>
    </row>
    <row r="23" spans="1:4" x14ac:dyDescent="0.25">
      <c r="A23" s="3" t="s">
        <v>59</v>
      </c>
      <c r="B23" s="19">
        <v>2</v>
      </c>
      <c r="C23" s="19"/>
      <c r="D23" s="19"/>
    </row>
    <row r="24" spans="1:4" x14ac:dyDescent="0.25">
      <c r="A24" s="3" t="s">
        <v>436</v>
      </c>
      <c r="B24" s="19">
        <v>4</v>
      </c>
      <c r="C24" s="19">
        <v>4</v>
      </c>
      <c r="D24" s="19">
        <v>2</v>
      </c>
    </row>
    <row r="25" spans="1:4" x14ac:dyDescent="0.25">
      <c r="A25" s="3" t="s">
        <v>322</v>
      </c>
      <c r="B25" s="19">
        <v>1</v>
      </c>
      <c r="C25" s="19">
        <v>1</v>
      </c>
      <c r="D25" s="19"/>
    </row>
    <row r="26" spans="1:4" x14ac:dyDescent="0.25">
      <c r="A26" s="3" t="s">
        <v>325</v>
      </c>
      <c r="B26" s="19">
        <v>4</v>
      </c>
      <c r="C26" s="19">
        <v>3</v>
      </c>
      <c r="D26" s="19">
        <v>1</v>
      </c>
    </row>
    <row r="27" spans="1:4" x14ac:dyDescent="0.25">
      <c r="A27" s="3" t="s">
        <v>326</v>
      </c>
      <c r="B27" s="19">
        <v>3</v>
      </c>
      <c r="C27" s="19">
        <v>3</v>
      </c>
      <c r="D27" s="19">
        <v>2</v>
      </c>
    </row>
    <row r="28" spans="1:4" x14ac:dyDescent="0.25">
      <c r="A28" s="3" t="s">
        <v>351</v>
      </c>
      <c r="B28" s="19">
        <v>9</v>
      </c>
      <c r="C28" s="19">
        <v>4</v>
      </c>
      <c r="D28" s="19">
        <v>5</v>
      </c>
    </row>
    <row r="29" spans="1:4" x14ac:dyDescent="0.25">
      <c r="A29" s="3" t="s">
        <v>364</v>
      </c>
      <c r="B29" s="19">
        <v>3</v>
      </c>
      <c r="C29" s="19">
        <v>1</v>
      </c>
      <c r="D29" s="19">
        <v>2</v>
      </c>
    </row>
    <row r="30" spans="1:4" x14ac:dyDescent="0.25">
      <c r="A30" s="3" t="s">
        <v>363</v>
      </c>
      <c r="B30" s="19">
        <v>11</v>
      </c>
      <c r="C30" s="19">
        <v>1</v>
      </c>
      <c r="D30" s="19">
        <v>8</v>
      </c>
    </row>
    <row r="31" spans="1:4" x14ac:dyDescent="0.25">
      <c r="A31" s="3" t="s">
        <v>365</v>
      </c>
      <c r="B31" s="19">
        <v>2</v>
      </c>
      <c r="C31" s="19"/>
      <c r="D31" s="19"/>
    </row>
    <row r="32" spans="1:4" x14ac:dyDescent="0.25">
      <c r="A32" s="3" t="s">
        <v>402</v>
      </c>
      <c r="B32" s="19">
        <v>2</v>
      </c>
      <c r="C32" s="19">
        <v>1</v>
      </c>
      <c r="D32" s="19">
        <v>3</v>
      </c>
    </row>
    <row r="33" spans="1:4" x14ac:dyDescent="0.25">
      <c r="A33" s="3" t="s">
        <v>405</v>
      </c>
      <c r="B33" s="19">
        <v>10</v>
      </c>
      <c r="C33" s="19">
        <v>5</v>
      </c>
      <c r="D33" s="19">
        <v>5</v>
      </c>
    </row>
    <row r="34" spans="1:4" x14ac:dyDescent="0.25">
      <c r="A34" s="3" t="s">
        <v>435</v>
      </c>
      <c r="B34" s="19">
        <v>3</v>
      </c>
      <c r="C34" s="19"/>
      <c r="D34" s="19">
        <v>1</v>
      </c>
    </row>
    <row r="35" spans="1:4" x14ac:dyDescent="0.25">
      <c r="A35" s="3" t="s">
        <v>434</v>
      </c>
      <c r="B35" s="19"/>
      <c r="C35" s="19">
        <v>2</v>
      </c>
      <c r="D35" s="19"/>
    </row>
    <row r="36" spans="1:4" x14ac:dyDescent="0.25">
      <c r="A36" s="3" t="s">
        <v>433</v>
      </c>
      <c r="B36" s="19">
        <v>8</v>
      </c>
      <c r="C36" s="19"/>
      <c r="D36" s="19">
        <v>2</v>
      </c>
    </row>
    <row r="37" spans="1:4" x14ac:dyDescent="0.25">
      <c r="A37" s="3" t="s">
        <v>438</v>
      </c>
      <c r="B37" s="19">
        <v>2</v>
      </c>
      <c r="C37" s="19"/>
      <c r="D37" s="19"/>
    </row>
    <row r="38" spans="1:4" x14ac:dyDescent="0.25">
      <c r="A38" s="3" t="s">
        <v>464</v>
      </c>
      <c r="B38" s="19">
        <v>2</v>
      </c>
      <c r="C38" s="19"/>
      <c r="D38" s="19"/>
    </row>
    <row r="39" spans="1:4" x14ac:dyDescent="0.25">
      <c r="A39" s="3" t="s">
        <v>465</v>
      </c>
      <c r="B39" s="19">
        <v>5</v>
      </c>
      <c r="C39" s="19">
        <v>3</v>
      </c>
      <c r="D39" s="19">
        <v>2</v>
      </c>
    </row>
    <row r="40" spans="1:4" x14ac:dyDescent="0.25">
      <c r="A40" s="3" t="s">
        <v>478</v>
      </c>
      <c r="B40" s="19">
        <v>1</v>
      </c>
      <c r="C40" s="19"/>
      <c r="D40" s="19">
        <v>1</v>
      </c>
    </row>
    <row r="41" spans="1:4" x14ac:dyDescent="0.25">
      <c r="A41" s="3" t="s">
        <v>519</v>
      </c>
      <c r="B41" s="19">
        <v>6</v>
      </c>
      <c r="C41" s="19">
        <v>3</v>
      </c>
      <c r="D41" s="19">
        <v>1</v>
      </c>
    </row>
    <row r="42" spans="1:4" x14ac:dyDescent="0.25">
      <c r="A42" s="3" t="s">
        <v>540</v>
      </c>
      <c r="B42" s="19">
        <v>3</v>
      </c>
      <c r="C42" s="19">
        <v>1</v>
      </c>
      <c r="D42" s="19">
        <v>2</v>
      </c>
    </row>
    <row r="43" spans="1:4" x14ac:dyDescent="0.25">
      <c r="A43" s="3" t="s">
        <v>553</v>
      </c>
      <c r="B43" s="19">
        <v>2</v>
      </c>
      <c r="C43" s="19"/>
      <c r="D43" s="19"/>
    </row>
    <row r="44" spans="1:4" x14ac:dyDescent="0.25">
      <c r="A44" s="3" t="s">
        <v>554</v>
      </c>
      <c r="B44" s="19">
        <v>2</v>
      </c>
      <c r="C44" s="19"/>
      <c r="D44" s="19"/>
    </row>
    <row r="45" spans="1:4" x14ac:dyDescent="0.25">
      <c r="A45" s="3" t="s">
        <v>555</v>
      </c>
      <c r="B45" s="19">
        <v>1</v>
      </c>
      <c r="C45" s="19">
        <v>1</v>
      </c>
      <c r="D45" s="19"/>
    </row>
    <row r="46" spans="1:4" x14ac:dyDescent="0.25">
      <c r="A46" s="3" t="s">
        <v>568</v>
      </c>
      <c r="B46" s="19">
        <v>3</v>
      </c>
      <c r="C46" s="19">
        <v>1</v>
      </c>
      <c r="D46" s="19"/>
    </row>
    <row r="47" spans="1:4" x14ac:dyDescent="0.25">
      <c r="A47" s="3" t="s">
        <v>579</v>
      </c>
      <c r="B47" s="19">
        <v>3</v>
      </c>
      <c r="C47" s="19">
        <v>1</v>
      </c>
      <c r="D47" s="19"/>
    </row>
    <row r="48" spans="1:4" x14ac:dyDescent="0.25">
      <c r="A48" s="3" t="s">
        <v>580</v>
      </c>
      <c r="B48" s="19">
        <v>4</v>
      </c>
      <c r="C48" s="19"/>
      <c r="D48" s="19"/>
    </row>
    <row r="49" spans="1:4" x14ac:dyDescent="0.25">
      <c r="A49" s="3" t="s">
        <v>591</v>
      </c>
      <c r="B49" s="19">
        <v>2</v>
      </c>
      <c r="C49" s="19"/>
      <c r="D49" s="19"/>
    </row>
    <row r="50" spans="1:4" x14ac:dyDescent="0.25">
      <c r="A50" s="3" t="s">
        <v>592</v>
      </c>
      <c r="B50" s="19">
        <v>1</v>
      </c>
      <c r="C50" s="19"/>
      <c r="D50" s="19">
        <v>1</v>
      </c>
    </row>
    <row r="51" spans="1:4" x14ac:dyDescent="0.25">
      <c r="A51" s="3" t="s">
        <v>593</v>
      </c>
      <c r="B51" s="19">
        <v>1</v>
      </c>
      <c r="C51" s="19"/>
      <c r="D51" s="19">
        <v>1</v>
      </c>
    </row>
    <row r="52" spans="1:4" x14ac:dyDescent="0.25">
      <c r="A52" s="3" t="s">
        <v>24</v>
      </c>
      <c r="B52" s="19">
        <v>246</v>
      </c>
      <c r="C52" s="19">
        <v>95</v>
      </c>
      <c r="D52" s="19">
        <v>107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1717"/>
  <sheetViews>
    <sheetView workbookViewId="0">
      <selection activeCell="D12" sqref="D12"/>
    </sheetView>
  </sheetViews>
  <sheetFormatPr defaultColWidth="20.140625" defaultRowHeight="15" x14ac:dyDescent="0.25"/>
  <cols>
    <col min="7" max="7" width="20.140625" style="11"/>
  </cols>
  <sheetData>
    <row r="1" spans="1:11" x14ac:dyDescent="0.25">
      <c r="A1" t="s">
        <v>0</v>
      </c>
      <c r="B1" t="s">
        <v>1</v>
      </c>
      <c r="C1" t="s">
        <v>2</v>
      </c>
      <c r="D1" t="s">
        <v>3</v>
      </c>
      <c r="E1" t="s">
        <v>4</v>
      </c>
      <c r="F1" t="s">
        <v>5</v>
      </c>
      <c r="G1" s="11" t="s">
        <v>80</v>
      </c>
      <c r="H1" t="s">
        <v>81</v>
      </c>
      <c r="I1" t="s">
        <v>83</v>
      </c>
      <c r="J1" t="s">
        <v>84</v>
      </c>
      <c r="K1" t="s">
        <v>86</v>
      </c>
    </row>
    <row r="2" spans="1:11" x14ac:dyDescent="0.2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x14ac:dyDescent="0.2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x14ac:dyDescent="0.2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x14ac:dyDescent="0.2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x14ac:dyDescent="0.2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x14ac:dyDescent="0.2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x14ac:dyDescent="0.2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x14ac:dyDescent="0.2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x14ac:dyDescent="0.2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x14ac:dyDescent="0.2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x14ac:dyDescent="0.2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x14ac:dyDescent="0.2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x14ac:dyDescent="0.2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x14ac:dyDescent="0.2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x14ac:dyDescent="0.2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x14ac:dyDescent="0.2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x14ac:dyDescent="0.2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x14ac:dyDescent="0.2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x14ac:dyDescent="0.2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x14ac:dyDescent="0.2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x14ac:dyDescent="0.2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x14ac:dyDescent="0.2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x14ac:dyDescent="0.2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x14ac:dyDescent="0.2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x14ac:dyDescent="0.2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x14ac:dyDescent="0.2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x14ac:dyDescent="0.2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x14ac:dyDescent="0.2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x14ac:dyDescent="0.2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x14ac:dyDescent="0.2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x14ac:dyDescent="0.2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x14ac:dyDescent="0.2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x14ac:dyDescent="0.2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x14ac:dyDescent="0.2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x14ac:dyDescent="0.2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x14ac:dyDescent="0.2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x14ac:dyDescent="0.2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x14ac:dyDescent="0.2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x14ac:dyDescent="0.2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x14ac:dyDescent="0.2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x14ac:dyDescent="0.2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x14ac:dyDescent="0.2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x14ac:dyDescent="0.2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x14ac:dyDescent="0.2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x14ac:dyDescent="0.2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x14ac:dyDescent="0.2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x14ac:dyDescent="0.2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x14ac:dyDescent="0.2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x14ac:dyDescent="0.2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x14ac:dyDescent="0.2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x14ac:dyDescent="0.2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x14ac:dyDescent="0.2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x14ac:dyDescent="0.2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x14ac:dyDescent="0.2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x14ac:dyDescent="0.2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x14ac:dyDescent="0.2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x14ac:dyDescent="0.2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x14ac:dyDescent="0.2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x14ac:dyDescent="0.2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x14ac:dyDescent="0.2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x14ac:dyDescent="0.2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x14ac:dyDescent="0.2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x14ac:dyDescent="0.2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x14ac:dyDescent="0.2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x14ac:dyDescent="0.25">
      <c r="A66" t="s">
        <v>553</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x14ac:dyDescent="0.25">
      <c r="A67" t="s">
        <v>553</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x14ac:dyDescent="0.2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x14ac:dyDescent="0.2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x14ac:dyDescent="0.2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x14ac:dyDescent="0.2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x14ac:dyDescent="0.2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x14ac:dyDescent="0.2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x14ac:dyDescent="0.2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x14ac:dyDescent="0.2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x14ac:dyDescent="0.2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x14ac:dyDescent="0.2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x14ac:dyDescent="0.2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x14ac:dyDescent="0.2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x14ac:dyDescent="0.2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x14ac:dyDescent="0.2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x14ac:dyDescent="0.2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x14ac:dyDescent="0.2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x14ac:dyDescent="0.2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x14ac:dyDescent="0.2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x14ac:dyDescent="0.2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x14ac:dyDescent="0.2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x14ac:dyDescent="0.2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x14ac:dyDescent="0.2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x14ac:dyDescent="0.2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x14ac:dyDescent="0.2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x14ac:dyDescent="0.2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x14ac:dyDescent="0.2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x14ac:dyDescent="0.2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x14ac:dyDescent="0.2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x14ac:dyDescent="0.2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x14ac:dyDescent="0.2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x14ac:dyDescent="0.2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x14ac:dyDescent="0.2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x14ac:dyDescent="0.2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x14ac:dyDescent="0.2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x14ac:dyDescent="0.2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x14ac:dyDescent="0.2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x14ac:dyDescent="0.2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x14ac:dyDescent="0.2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x14ac:dyDescent="0.2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x14ac:dyDescent="0.2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x14ac:dyDescent="0.2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x14ac:dyDescent="0.2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x14ac:dyDescent="0.2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x14ac:dyDescent="0.2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x14ac:dyDescent="0.2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x14ac:dyDescent="0.2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x14ac:dyDescent="0.2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x14ac:dyDescent="0.2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x14ac:dyDescent="0.2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x14ac:dyDescent="0.2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x14ac:dyDescent="0.2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x14ac:dyDescent="0.2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x14ac:dyDescent="0.2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x14ac:dyDescent="0.2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x14ac:dyDescent="0.2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x14ac:dyDescent="0.2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x14ac:dyDescent="0.2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x14ac:dyDescent="0.2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x14ac:dyDescent="0.2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x14ac:dyDescent="0.2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x14ac:dyDescent="0.2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x14ac:dyDescent="0.2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x14ac:dyDescent="0.2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x14ac:dyDescent="0.2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x14ac:dyDescent="0.2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x14ac:dyDescent="0.2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x14ac:dyDescent="0.2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x14ac:dyDescent="0.2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x14ac:dyDescent="0.2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x14ac:dyDescent="0.2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x14ac:dyDescent="0.2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x14ac:dyDescent="0.2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x14ac:dyDescent="0.2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x14ac:dyDescent="0.2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x14ac:dyDescent="0.2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x14ac:dyDescent="0.2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x14ac:dyDescent="0.2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x14ac:dyDescent="0.2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x14ac:dyDescent="0.2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x14ac:dyDescent="0.2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x14ac:dyDescent="0.2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x14ac:dyDescent="0.2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x14ac:dyDescent="0.2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x14ac:dyDescent="0.2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x14ac:dyDescent="0.2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x14ac:dyDescent="0.2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x14ac:dyDescent="0.2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x14ac:dyDescent="0.2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x14ac:dyDescent="0.2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x14ac:dyDescent="0.2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x14ac:dyDescent="0.2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x14ac:dyDescent="0.2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x14ac:dyDescent="0.2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x14ac:dyDescent="0.2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x14ac:dyDescent="0.2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x14ac:dyDescent="0.2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x14ac:dyDescent="0.2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x14ac:dyDescent="0.2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x14ac:dyDescent="0.2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x14ac:dyDescent="0.2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x14ac:dyDescent="0.2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x14ac:dyDescent="0.2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x14ac:dyDescent="0.2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x14ac:dyDescent="0.2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x14ac:dyDescent="0.2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x14ac:dyDescent="0.2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x14ac:dyDescent="0.2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x14ac:dyDescent="0.2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x14ac:dyDescent="0.2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x14ac:dyDescent="0.2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x14ac:dyDescent="0.2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x14ac:dyDescent="0.2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x14ac:dyDescent="0.2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x14ac:dyDescent="0.2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x14ac:dyDescent="0.2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x14ac:dyDescent="0.2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x14ac:dyDescent="0.2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x14ac:dyDescent="0.2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x14ac:dyDescent="0.2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x14ac:dyDescent="0.2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x14ac:dyDescent="0.2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x14ac:dyDescent="0.2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x14ac:dyDescent="0.2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x14ac:dyDescent="0.2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x14ac:dyDescent="0.2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x14ac:dyDescent="0.2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x14ac:dyDescent="0.2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x14ac:dyDescent="0.2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x14ac:dyDescent="0.2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x14ac:dyDescent="0.2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x14ac:dyDescent="0.2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x14ac:dyDescent="0.2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x14ac:dyDescent="0.2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x14ac:dyDescent="0.2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x14ac:dyDescent="0.2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x14ac:dyDescent="0.2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x14ac:dyDescent="0.2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x14ac:dyDescent="0.2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x14ac:dyDescent="0.2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x14ac:dyDescent="0.2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x14ac:dyDescent="0.2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x14ac:dyDescent="0.2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x14ac:dyDescent="0.2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x14ac:dyDescent="0.2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x14ac:dyDescent="0.2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x14ac:dyDescent="0.2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x14ac:dyDescent="0.2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x14ac:dyDescent="0.2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x14ac:dyDescent="0.2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x14ac:dyDescent="0.2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x14ac:dyDescent="0.2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x14ac:dyDescent="0.2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x14ac:dyDescent="0.2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x14ac:dyDescent="0.2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x14ac:dyDescent="0.2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x14ac:dyDescent="0.2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x14ac:dyDescent="0.2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x14ac:dyDescent="0.2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x14ac:dyDescent="0.2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x14ac:dyDescent="0.2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x14ac:dyDescent="0.2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x14ac:dyDescent="0.2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x14ac:dyDescent="0.2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x14ac:dyDescent="0.2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x14ac:dyDescent="0.2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x14ac:dyDescent="0.2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x14ac:dyDescent="0.2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x14ac:dyDescent="0.2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x14ac:dyDescent="0.2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x14ac:dyDescent="0.2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x14ac:dyDescent="0.2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x14ac:dyDescent="0.2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x14ac:dyDescent="0.2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x14ac:dyDescent="0.2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x14ac:dyDescent="0.2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x14ac:dyDescent="0.2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x14ac:dyDescent="0.2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x14ac:dyDescent="0.2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x14ac:dyDescent="0.2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x14ac:dyDescent="0.2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x14ac:dyDescent="0.2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x14ac:dyDescent="0.2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x14ac:dyDescent="0.2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x14ac:dyDescent="0.2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x14ac:dyDescent="0.2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x14ac:dyDescent="0.2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x14ac:dyDescent="0.2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x14ac:dyDescent="0.2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x14ac:dyDescent="0.2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x14ac:dyDescent="0.2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x14ac:dyDescent="0.2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x14ac:dyDescent="0.2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x14ac:dyDescent="0.2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x14ac:dyDescent="0.2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x14ac:dyDescent="0.2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x14ac:dyDescent="0.2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x14ac:dyDescent="0.2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x14ac:dyDescent="0.2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x14ac:dyDescent="0.2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x14ac:dyDescent="0.2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x14ac:dyDescent="0.2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x14ac:dyDescent="0.2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x14ac:dyDescent="0.2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x14ac:dyDescent="0.2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x14ac:dyDescent="0.2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x14ac:dyDescent="0.2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x14ac:dyDescent="0.2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x14ac:dyDescent="0.2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x14ac:dyDescent="0.2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x14ac:dyDescent="0.2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x14ac:dyDescent="0.2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x14ac:dyDescent="0.2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x14ac:dyDescent="0.2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x14ac:dyDescent="0.2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x14ac:dyDescent="0.2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x14ac:dyDescent="0.2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x14ac:dyDescent="0.2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x14ac:dyDescent="0.2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x14ac:dyDescent="0.2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x14ac:dyDescent="0.2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x14ac:dyDescent="0.2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x14ac:dyDescent="0.2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x14ac:dyDescent="0.2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x14ac:dyDescent="0.2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x14ac:dyDescent="0.2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x14ac:dyDescent="0.2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x14ac:dyDescent="0.2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x14ac:dyDescent="0.2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x14ac:dyDescent="0.2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x14ac:dyDescent="0.2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x14ac:dyDescent="0.2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x14ac:dyDescent="0.2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x14ac:dyDescent="0.2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x14ac:dyDescent="0.2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x14ac:dyDescent="0.2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x14ac:dyDescent="0.2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x14ac:dyDescent="0.2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x14ac:dyDescent="0.2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x14ac:dyDescent="0.2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x14ac:dyDescent="0.2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x14ac:dyDescent="0.2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x14ac:dyDescent="0.2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x14ac:dyDescent="0.2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x14ac:dyDescent="0.2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x14ac:dyDescent="0.2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x14ac:dyDescent="0.2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x14ac:dyDescent="0.2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x14ac:dyDescent="0.2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x14ac:dyDescent="0.2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x14ac:dyDescent="0.2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x14ac:dyDescent="0.2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x14ac:dyDescent="0.2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x14ac:dyDescent="0.2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x14ac:dyDescent="0.2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x14ac:dyDescent="0.2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x14ac:dyDescent="0.2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x14ac:dyDescent="0.2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x14ac:dyDescent="0.2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x14ac:dyDescent="0.2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x14ac:dyDescent="0.2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x14ac:dyDescent="0.2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x14ac:dyDescent="0.2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x14ac:dyDescent="0.2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x14ac:dyDescent="0.2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x14ac:dyDescent="0.2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x14ac:dyDescent="0.2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x14ac:dyDescent="0.2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x14ac:dyDescent="0.2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x14ac:dyDescent="0.2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x14ac:dyDescent="0.2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x14ac:dyDescent="0.2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x14ac:dyDescent="0.2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x14ac:dyDescent="0.2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x14ac:dyDescent="0.2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x14ac:dyDescent="0.2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x14ac:dyDescent="0.2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x14ac:dyDescent="0.2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x14ac:dyDescent="0.2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x14ac:dyDescent="0.2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x14ac:dyDescent="0.2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x14ac:dyDescent="0.2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x14ac:dyDescent="0.2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x14ac:dyDescent="0.2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x14ac:dyDescent="0.2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x14ac:dyDescent="0.2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x14ac:dyDescent="0.2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x14ac:dyDescent="0.2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x14ac:dyDescent="0.2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x14ac:dyDescent="0.2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x14ac:dyDescent="0.2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x14ac:dyDescent="0.2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x14ac:dyDescent="0.2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x14ac:dyDescent="0.2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x14ac:dyDescent="0.2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x14ac:dyDescent="0.2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x14ac:dyDescent="0.2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x14ac:dyDescent="0.2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x14ac:dyDescent="0.2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x14ac:dyDescent="0.2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x14ac:dyDescent="0.2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x14ac:dyDescent="0.2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x14ac:dyDescent="0.2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x14ac:dyDescent="0.2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x14ac:dyDescent="0.2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x14ac:dyDescent="0.2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x14ac:dyDescent="0.2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x14ac:dyDescent="0.2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x14ac:dyDescent="0.2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x14ac:dyDescent="0.2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x14ac:dyDescent="0.2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x14ac:dyDescent="0.2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x14ac:dyDescent="0.2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x14ac:dyDescent="0.2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x14ac:dyDescent="0.2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x14ac:dyDescent="0.2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x14ac:dyDescent="0.2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x14ac:dyDescent="0.2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x14ac:dyDescent="0.2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x14ac:dyDescent="0.2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x14ac:dyDescent="0.2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x14ac:dyDescent="0.2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x14ac:dyDescent="0.2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x14ac:dyDescent="0.2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x14ac:dyDescent="0.2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x14ac:dyDescent="0.2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x14ac:dyDescent="0.2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x14ac:dyDescent="0.2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x14ac:dyDescent="0.2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x14ac:dyDescent="0.2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x14ac:dyDescent="0.2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x14ac:dyDescent="0.2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x14ac:dyDescent="0.2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x14ac:dyDescent="0.2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x14ac:dyDescent="0.2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x14ac:dyDescent="0.2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x14ac:dyDescent="0.2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x14ac:dyDescent="0.2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x14ac:dyDescent="0.2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x14ac:dyDescent="0.2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x14ac:dyDescent="0.2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x14ac:dyDescent="0.2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x14ac:dyDescent="0.2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x14ac:dyDescent="0.2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x14ac:dyDescent="0.2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x14ac:dyDescent="0.2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x14ac:dyDescent="0.2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x14ac:dyDescent="0.2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x14ac:dyDescent="0.2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x14ac:dyDescent="0.2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x14ac:dyDescent="0.2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x14ac:dyDescent="0.2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x14ac:dyDescent="0.2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x14ac:dyDescent="0.2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x14ac:dyDescent="0.2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x14ac:dyDescent="0.2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x14ac:dyDescent="0.2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x14ac:dyDescent="0.2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x14ac:dyDescent="0.2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x14ac:dyDescent="0.2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x14ac:dyDescent="0.2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x14ac:dyDescent="0.2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x14ac:dyDescent="0.2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x14ac:dyDescent="0.2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x14ac:dyDescent="0.2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x14ac:dyDescent="0.2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x14ac:dyDescent="0.2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x14ac:dyDescent="0.2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x14ac:dyDescent="0.2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x14ac:dyDescent="0.2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x14ac:dyDescent="0.2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x14ac:dyDescent="0.2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x14ac:dyDescent="0.2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x14ac:dyDescent="0.2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x14ac:dyDescent="0.2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x14ac:dyDescent="0.2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x14ac:dyDescent="0.2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x14ac:dyDescent="0.2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x14ac:dyDescent="0.2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x14ac:dyDescent="0.2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x14ac:dyDescent="0.2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x14ac:dyDescent="0.2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x14ac:dyDescent="0.2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x14ac:dyDescent="0.2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x14ac:dyDescent="0.2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x14ac:dyDescent="0.2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x14ac:dyDescent="0.2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x14ac:dyDescent="0.2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x14ac:dyDescent="0.2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x14ac:dyDescent="0.2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x14ac:dyDescent="0.2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x14ac:dyDescent="0.2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x14ac:dyDescent="0.2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x14ac:dyDescent="0.2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x14ac:dyDescent="0.2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x14ac:dyDescent="0.2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x14ac:dyDescent="0.2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x14ac:dyDescent="0.2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x14ac:dyDescent="0.2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x14ac:dyDescent="0.2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x14ac:dyDescent="0.2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x14ac:dyDescent="0.2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x14ac:dyDescent="0.2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x14ac:dyDescent="0.2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x14ac:dyDescent="0.2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x14ac:dyDescent="0.2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x14ac:dyDescent="0.2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x14ac:dyDescent="0.2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x14ac:dyDescent="0.2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x14ac:dyDescent="0.2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x14ac:dyDescent="0.2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x14ac:dyDescent="0.2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x14ac:dyDescent="0.2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x14ac:dyDescent="0.2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x14ac:dyDescent="0.2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x14ac:dyDescent="0.2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x14ac:dyDescent="0.2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x14ac:dyDescent="0.2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x14ac:dyDescent="0.2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x14ac:dyDescent="0.2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x14ac:dyDescent="0.2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x14ac:dyDescent="0.2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x14ac:dyDescent="0.2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x14ac:dyDescent="0.2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x14ac:dyDescent="0.2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x14ac:dyDescent="0.2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x14ac:dyDescent="0.2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x14ac:dyDescent="0.2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x14ac:dyDescent="0.2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x14ac:dyDescent="0.2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x14ac:dyDescent="0.2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x14ac:dyDescent="0.2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x14ac:dyDescent="0.2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x14ac:dyDescent="0.2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x14ac:dyDescent="0.2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x14ac:dyDescent="0.2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x14ac:dyDescent="0.2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x14ac:dyDescent="0.2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x14ac:dyDescent="0.2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x14ac:dyDescent="0.2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x14ac:dyDescent="0.2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x14ac:dyDescent="0.2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x14ac:dyDescent="0.2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x14ac:dyDescent="0.2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x14ac:dyDescent="0.2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x14ac:dyDescent="0.2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x14ac:dyDescent="0.2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x14ac:dyDescent="0.2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x14ac:dyDescent="0.2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x14ac:dyDescent="0.2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x14ac:dyDescent="0.2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x14ac:dyDescent="0.2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x14ac:dyDescent="0.2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x14ac:dyDescent="0.2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x14ac:dyDescent="0.2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x14ac:dyDescent="0.2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x14ac:dyDescent="0.2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x14ac:dyDescent="0.2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x14ac:dyDescent="0.2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x14ac:dyDescent="0.2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x14ac:dyDescent="0.2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x14ac:dyDescent="0.2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x14ac:dyDescent="0.2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x14ac:dyDescent="0.2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x14ac:dyDescent="0.2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x14ac:dyDescent="0.2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x14ac:dyDescent="0.2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x14ac:dyDescent="0.2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x14ac:dyDescent="0.2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x14ac:dyDescent="0.2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x14ac:dyDescent="0.2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x14ac:dyDescent="0.2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x14ac:dyDescent="0.2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x14ac:dyDescent="0.2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x14ac:dyDescent="0.2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x14ac:dyDescent="0.2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x14ac:dyDescent="0.2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x14ac:dyDescent="0.2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x14ac:dyDescent="0.2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x14ac:dyDescent="0.2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x14ac:dyDescent="0.2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x14ac:dyDescent="0.2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x14ac:dyDescent="0.2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x14ac:dyDescent="0.2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x14ac:dyDescent="0.2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x14ac:dyDescent="0.2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x14ac:dyDescent="0.2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x14ac:dyDescent="0.2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x14ac:dyDescent="0.2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x14ac:dyDescent="0.2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x14ac:dyDescent="0.2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x14ac:dyDescent="0.2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x14ac:dyDescent="0.2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x14ac:dyDescent="0.2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x14ac:dyDescent="0.2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x14ac:dyDescent="0.2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x14ac:dyDescent="0.2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x14ac:dyDescent="0.2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x14ac:dyDescent="0.2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x14ac:dyDescent="0.2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x14ac:dyDescent="0.2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x14ac:dyDescent="0.2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x14ac:dyDescent="0.2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x14ac:dyDescent="0.2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x14ac:dyDescent="0.2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x14ac:dyDescent="0.2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x14ac:dyDescent="0.2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x14ac:dyDescent="0.2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x14ac:dyDescent="0.2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x14ac:dyDescent="0.2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x14ac:dyDescent="0.2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x14ac:dyDescent="0.2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x14ac:dyDescent="0.2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x14ac:dyDescent="0.2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x14ac:dyDescent="0.2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x14ac:dyDescent="0.2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x14ac:dyDescent="0.2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x14ac:dyDescent="0.2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x14ac:dyDescent="0.2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x14ac:dyDescent="0.2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x14ac:dyDescent="0.2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x14ac:dyDescent="0.2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x14ac:dyDescent="0.2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x14ac:dyDescent="0.2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x14ac:dyDescent="0.2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x14ac:dyDescent="0.2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x14ac:dyDescent="0.2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x14ac:dyDescent="0.2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x14ac:dyDescent="0.2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x14ac:dyDescent="0.2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x14ac:dyDescent="0.2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x14ac:dyDescent="0.2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x14ac:dyDescent="0.2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x14ac:dyDescent="0.2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x14ac:dyDescent="0.2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x14ac:dyDescent="0.2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x14ac:dyDescent="0.2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x14ac:dyDescent="0.2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x14ac:dyDescent="0.2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x14ac:dyDescent="0.2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x14ac:dyDescent="0.2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x14ac:dyDescent="0.2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x14ac:dyDescent="0.2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x14ac:dyDescent="0.2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x14ac:dyDescent="0.2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x14ac:dyDescent="0.2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x14ac:dyDescent="0.2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x14ac:dyDescent="0.2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x14ac:dyDescent="0.2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x14ac:dyDescent="0.2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x14ac:dyDescent="0.2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x14ac:dyDescent="0.2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x14ac:dyDescent="0.2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x14ac:dyDescent="0.2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x14ac:dyDescent="0.2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x14ac:dyDescent="0.2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x14ac:dyDescent="0.2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x14ac:dyDescent="0.2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x14ac:dyDescent="0.2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x14ac:dyDescent="0.2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x14ac:dyDescent="0.2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x14ac:dyDescent="0.2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x14ac:dyDescent="0.2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x14ac:dyDescent="0.2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x14ac:dyDescent="0.2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x14ac:dyDescent="0.2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x14ac:dyDescent="0.2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x14ac:dyDescent="0.2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x14ac:dyDescent="0.2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x14ac:dyDescent="0.2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x14ac:dyDescent="0.2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x14ac:dyDescent="0.2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x14ac:dyDescent="0.2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x14ac:dyDescent="0.2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x14ac:dyDescent="0.2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x14ac:dyDescent="0.2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x14ac:dyDescent="0.2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x14ac:dyDescent="0.2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x14ac:dyDescent="0.2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x14ac:dyDescent="0.2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x14ac:dyDescent="0.2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x14ac:dyDescent="0.2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x14ac:dyDescent="0.2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x14ac:dyDescent="0.2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x14ac:dyDescent="0.2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x14ac:dyDescent="0.2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x14ac:dyDescent="0.2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x14ac:dyDescent="0.2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x14ac:dyDescent="0.2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x14ac:dyDescent="0.2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x14ac:dyDescent="0.2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x14ac:dyDescent="0.2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x14ac:dyDescent="0.2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x14ac:dyDescent="0.2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x14ac:dyDescent="0.2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x14ac:dyDescent="0.2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x14ac:dyDescent="0.2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x14ac:dyDescent="0.2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x14ac:dyDescent="0.2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x14ac:dyDescent="0.2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x14ac:dyDescent="0.2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x14ac:dyDescent="0.2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x14ac:dyDescent="0.2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x14ac:dyDescent="0.2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x14ac:dyDescent="0.2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x14ac:dyDescent="0.2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x14ac:dyDescent="0.2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x14ac:dyDescent="0.2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x14ac:dyDescent="0.2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x14ac:dyDescent="0.2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x14ac:dyDescent="0.2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x14ac:dyDescent="0.2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x14ac:dyDescent="0.2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x14ac:dyDescent="0.2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x14ac:dyDescent="0.2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x14ac:dyDescent="0.2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x14ac:dyDescent="0.2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x14ac:dyDescent="0.2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x14ac:dyDescent="0.2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x14ac:dyDescent="0.2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x14ac:dyDescent="0.2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x14ac:dyDescent="0.2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x14ac:dyDescent="0.2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x14ac:dyDescent="0.2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x14ac:dyDescent="0.2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x14ac:dyDescent="0.2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x14ac:dyDescent="0.2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x14ac:dyDescent="0.2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x14ac:dyDescent="0.2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x14ac:dyDescent="0.2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x14ac:dyDescent="0.2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x14ac:dyDescent="0.2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x14ac:dyDescent="0.2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x14ac:dyDescent="0.2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x14ac:dyDescent="0.2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x14ac:dyDescent="0.2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x14ac:dyDescent="0.2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x14ac:dyDescent="0.2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x14ac:dyDescent="0.2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x14ac:dyDescent="0.2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x14ac:dyDescent="0.2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x14ac:dyDescent="0.2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x14ac:dyDescent="0.2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x14ac:dyDescent="0.2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x14ac:dyDescent="0.2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x14ac:dyDescent="0.2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x14ac:dyDescent="0.2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x14ac:dyDescent="0.2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x14ac:dyDescent="0.2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x14ac:dyDescent="0.2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x14ac:dyDescent="0.2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x14ac:dyDescent="0.2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x14ac:dyDescent="0.2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x14ac:dyDescent="0.2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x14ac:dyDescent="0.2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x14ac:dyDescent="0.2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x14ac:dyDescent="0.2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x14ac:dyDescent="0.2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x14ac:dyDescent="0.2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x14ac:dyDescent="0.2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x14ac:dyDescent="0.2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x14ac:dyDescent="0.2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x14ac:dyDescent="0.2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x14ac:dyDescent="0.2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x14ac:dyDescent="0.2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x14ac:dyDescent="0.2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x14ac:dyDescent="0.2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x14ac:dyDescent="0.2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x14ac:dyDescent="0.2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x14ac:dyDescent="0.2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x14ac:dyDescent="0.2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x14ac:dyDescent="0.2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x14ac:dyDescent="0.2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x14ac:dyDescent="0.2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x14ac:dyDescent="0.2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x14ac:dyDescent="0.2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x14ac:dyDescent="0.2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x14ac:dyDescent="0.2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x14ac:dyDescent="0.2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x14ac:dyDescent="0.2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x14ac:dyDescent="0.2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x14ac:dyDescent="0.2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x14ac:dyDescent="0.2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x14ac:dyDescent="0.2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x14ac:dyDescent="0.2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x14ac:dyDescent="0.2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x14ac:dyDescent="0.2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x14ac:dyDescent="0.2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x14ac:dyDescent="0.2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x14ac:dyDescent="0.2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x14ac:dyDescent="0.2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x14ac:dyDescent="0.2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x14ac:dyDescent="0.2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x14ac:dyDescent="0.2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x14ac:dyDescent="0.2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x14ac:dyDescent="0.2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x14ac:dyDescent="0.2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x14ac:dyDescent="0.2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x14ac:dyDescent="0.2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x14ac:dyDescent="0.2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x14ac:dyDescent="0.2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x14ac:dyDescent="0.2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x14ac:dyDescent="0.2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x14ac:dyDescent="0.2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x14ac:dyDescent="0.2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x14ac:dyDescent="0.2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x14ac:dyDescent="0.2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x14ac:dyDescent="0.2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x14ac:dyDescent="0.2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x14ac:dyDescent="0.2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x14ac:dyDescent="0.2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x14ac:dyDescent="0.2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x14ac:dyDescent="0.2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x14ac:dyDescent="0.2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x14ac:dyDescent="0.2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x14ac:dyDescent="0.2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x14ac:dyDescent="0.2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x14ac:dyDescent="0.2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x14ac:dyDescent="0.2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x14ac:dyDescent="0.2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x14ac:dyDescent="0.2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x14ac:dyDescent="0.2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x14ac:dyDescent="0.2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x14ac:dyDescent="0.2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x14ac:dyDescent="0.2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x14ac:dyDescent="0.2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x14ac:dyDescent="0.2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x14ac:dyDescent="0.2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x14ac:dyDescent="0.2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x14ac:dyDescent="0.2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x14ac:dyDescent="0.2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x14ac:dyDescent="0.2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x14ac:dyDescent="0.2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x14ac:dyDescent="0.2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x14ac:dyDescent="0.2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x14ac:dyDescent="0.2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x14ac:dyDescent="0.2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x14ac:dyDescent="0.2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x14ac:dyDescent="0.2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x14ac:dyDescent="0.2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x14ac:dyDescent="0.2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x14ac:dyDescent="0.2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x14ac:dyDescent="0.2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x14ac:dyDescent="0.2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x14ac:dyDescent="0.2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x14ac:dyDescent="0.2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x14ac:dyDescent="0.2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x14ac:dyDescent="0.2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x14ac:dyDescent="0.2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x14ac:dyDescent="0.2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x14ac:dyDescent="0.2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x14ac:dyDescent="0.2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x14ac:dyDescent="0.2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x14ac:dyDescent="0.2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x14ac:dyDescent="0.2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x14ac:dyDescent="0.2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x14ac:dyDescent="0.2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x14ac:dyDescent="0.2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x14ac:dyDescent="0.2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x14ac:dyDescent="0.2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x14ac:dyDescent="0.2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x14ac:dyDescent="0.2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x14ac:dyDescent="0.2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x14ac:dyDescent="0.2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x14ac:dyDescent="0.2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x14ac:dyDescent="0.2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x14ac:dyDescent="0.2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x14ac:dyDescent="0.2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x14ac:dyDescent="0.2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x14ac:dyDescent="0.2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x14ac:dyDescent="0.2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x14ac:dyDescent="0.2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x14ac:dyDescent="0.2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x14ac:dyDescent="0.2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x14ac:dyDescent="0.2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x14ac:dyDescent="0.2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x14ac:dyDescent="0.2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x14ac:dyDescent="0.2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x14ac:dyDescent="0.2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x14ac:dyDescent="0.2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x14ac:dyDescent="0.2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x14ac:dyDescent="0.2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x14ac:dyDescent="0.2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x14ac:dyDescent="0.2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x14ac:dyDescent="0.2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x14ac:dyDescent="0.2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x14ac:dyDescent="0.2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x14ac:dyDescent="0.2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x14ac:dyDescent="0.2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x14ac:dyDescent="0.2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x14ac:dyDescent="0.2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x14ac:dyDescent="0.2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x14ac:dyDescent="0.2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x14ac:dyDescent="0.2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x14ac:dyDescent="0.2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x14ac:dyDescent="0.2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x14ac:dyDescent="0.2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x14ac:dyDescent="0.2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x14ac:dyDescent="0.2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x14ac:dyDescent="0.2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x14ac:dyDescent="0.2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x14ac:dyDescent="0.2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x14ac:dyDescent="0.2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x14ac:dyDescent="0.2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x14ac:dyDescent="0.2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x14ac:dyDescent="0.2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x14ac:dyDescent="0.2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x14ac:dyDescent="0.2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x14ac:dyDescent="0.2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x14ac:dyDescent="0.2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x14ac:dyDescent="0.2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x14ac:dyDescent="0.2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x14ac:dyDescent="0.2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x14ac:dyDescent="0.2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x14ac:dyDescent="0.2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x14ac:dyDescent="0.2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x14ac:dyDescent="0.2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x14ac:dyDescent="0.2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x14ac:dyDescent="0.2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x14ac:dyDescent="0.2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x14ac:dyDescent="0.2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x14ac:dyDescent="0.2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x14ac:dyDescent="0.2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x14ac:dyDescent="0.2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x14ac:dyDescent="0.2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x14ac:dyDescent="0.2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x14ac:dyDescent="0.2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x14ac:dyDescent="0.2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x14ac:dyDescent="0.2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x14ac:dyDescent="0.2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x14ac:dyDescent="0.2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x14ac:dyDescent="0.2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x14ac:dyDescent="0.2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x14ac:dyDescent="0.2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x14ac:dyDescent="0.2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x14ac:dyDescent="0.2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x14ac:dyDescent="0.2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x14ac:dyDescent="0.2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x14ac:dyDescent="0.2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x14ac:dyDescent="0.2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x14ac:dyDescent="0.2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x14ac:dyDescent="0.2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x14ac:dyDescent="0.2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x14ac:dyDescent="0.2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x14ac:dyDescent="0.2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x14ac:dyDescent="0.2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x14ac:dyDescent="0.2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x14ac:dyDescent="0.2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x14ac:dyDescent="0.2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x14ac:dyDescent="0.2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x14ac:dyDescent="0.2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x14ac:dyDescent="0.2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x14ac:dyDescent="0.2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x14ac:dyDescent="0.2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x14ac:dyDescent="0.2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x14ac:dyDescent="0.2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x14ac:dyDescent="0.2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x14ac:dyDescent="0.2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x14ac:dyDescent="0.2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x14ac:dyDescent="0.2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x14ac:dyDescent="0.2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x14ac:dyDescent="0.2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x14ac:dyDescent="0.2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x14ac:dyDescent="0.2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x14ac:dyDescent="0.2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x14ac:dyDescent="0.2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x14ac:dyDescent="0.2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x14ac:dyDescent="0.2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x14ac:dyDescent="0.2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x14ac:dyDescent="0.2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x14ac:dyDescent="0.2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x14ac:dyDescent="0.2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x14ac:dyDescent="0.2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x14ac:dyDescent="0.2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x14ac:dyDescent="0.2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x14ac:dyDescent="0.2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x14ac:dyDescent="0.2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x14ac:dyDescent="0.2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x14ac:dyDescent="0.2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x14ac:dyDescent="0.2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x14ac:dyDescent="0.2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x14ac:dyDescent="0.2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x14ac:dyDescent="0.2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x14ac:dyDescent="0.2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x14ac:dyDescent="0.2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x14ac:dyDescent="0.2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x14ac:dyDescent="0.2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x14ac:dyDescent="0.2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x14ac:dyDescent="0.2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x14ac:dyDescent="0.2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x14ac:dyDescent="0.2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x14ac:dyDescent="0.2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x14ac:dyDescent="0.2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x14ac:dyDescent="0.2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x14ac:dyDescent="0.2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x14ac:dyDescent="0.2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x14ac:dyDescent="0.2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x14ac:dyDescent="0.2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x14ac:dyDescent="0.2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x14ac:dyDescent="0.2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x14ac:dyDescent="0.2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x14ac:dyDescent="0.2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x14ac:dyDescent="0.2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x14ac:dyDescent="0.2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x14ac:dyDescent="0.2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x14ac:dyDescent="0.2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x14ac:dyDescent="0.2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x14ac:dyDescent="0.2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x14ac:dyDescent="0.2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x14ac:dyDescent="0.2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x14ac:dyDescent="0.2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x14ac:dyDescent="0.2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x14ac:dyDescent="0.2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x14ac:dyDescent="0.2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x14ac:dyDescent="0.2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x14ac:dyDescent="0.2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x14ac:dyDescent="0.2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x14ac:dyDescent="0.2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x14ac:dyDescent="0.2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x14ac:dyDescent="0.2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x14ac:dyDescent="0.2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x14ac:dyDescent="0.2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x14ac:dyDescent="0.2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x14ac:dyDescent="0.2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x14ac:dyDescent="0.2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x14ac:dyDescent="0.2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x14ac:dyDescent="0.2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x14ac:dyDescent="0.2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x14ac:dyDescent="0.2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x14ac:dyDescent="0.2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x14ac:dyDescent="0.2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x14ac:dyDescent="0.2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x14ac:dyDescent="0.2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x14ac:dyDescent="0.2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x14ac:dyDescent="0.2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x14ac:dyDescent="0.2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x14ac:dyDescent="0.2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x14ac:dyDescent="0.2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x14ac:dyDescent="0.2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x14ac:dyDescent="0.2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x14ac:dyDescent="0.2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x14ac:dyDescent="0.2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x14ac:dyDescent="0.2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x14ac:dyDescent="0.2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x14ac:dyDescent="0.2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x14ac:dyDescent="0.2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x14ac:dyDescent="0.2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x14ac:dyDescent="0.2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x14ac:dyDescent="0.2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x14ac:dyDescent="0.2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x14ac:dyDescent="0.2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x14ac:dyDescent="0.2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x14ac:dyDescent="0.2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x14ac:dyDescent="0.2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x14ac:dyDescent="0.2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x14ac:dyDescent="0.2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x14ac:dyDescent="0.2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x14ac:dyDescent="0.2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x14ac:dyDescent="0.2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x14ac:dyDescent="0.2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x14ac:dyDescent="0.2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x14ac:dyDescent="0.2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x14ac:dyDescent="0.2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x14ac:dyDescent="0.2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x14ac:dyDescent="0.2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x14ac:dyDescent="0.2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x14ac:dyDescent="0.2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x14ac:dyDescent="0.2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x14ac:dyDescent="0.2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x14ac:dyDescent="0.2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x14ac:dyDescent="0.2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x14ac:dyDescent="0.2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x14ac:dyDescent="0.2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x14ac:dyDescent="0.2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x14ac:dyDescent="0.2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x14ac:dyDescent="0.2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x14ac:dyDescent="0.2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x14ac:dyDescent="0.2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x14ac:dyDescent="0.2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x14ac:dyDescent="0.2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x14ac:dyDescent="0.2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x14ac:dyDescent="0.2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x14ac:dyDescent="0.2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x14ac:dyDescent="0.2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x14ac:dyDescent="0.2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x14ac:dyDescent="0.2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x14ac:dyDescent="0.2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x14ac:dyDescent="0.2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x14ac:dyDescent="0.2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x14ac:dyDescent="0.2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x14ac:dyDescent="0.2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x14ac:dyDescent="0.2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x14ac:dyDescent="0.2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x14ac:dyDescent="0.2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x14ac:dyDescent="0.2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x14ac:dyDescent="0.2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x14ac:dyDescent="0.2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x14ac:dyDescent="0.2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x14ac:dyDescent="0.2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x14ac:dyDescent="0.2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x14ac:dyDescent="0.2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x14ac:dyDescent="0.2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x14ac:dyDescent="0.2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x14ac:dyDescent="0.2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x14ac:dyDescent="0.2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x14ac:dyDescent="0.2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x14ac:dyDescent="0.2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x14ac:dyDescent="0.2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x14ac:dyDescent="0.2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x14ac:dyDescent="0.2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x14ac:dyDescent="0.2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x14ac:dyDescent="0.2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x14ac:dyDescent="0.2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x14ac:dyDescent="0.2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x14ac:dyDescent="0.2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x14ac:dyDescent="0.2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x14ac:dyDescent="0.2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x14ac:dyDescent="0.2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x14ac:dyDescent="0.2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x14ac:dyDescent="0.2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x14ac:dyDescent="0.2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x14ac:dyDescent="0.2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x14ac:dyDescent="0.2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x14ac:dyDescent="0.2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x14ac:dyDescent="0.2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x14ac:dyDescent="0.2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x14ac:dyDescent="0.2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x14ac:dyDescent="0.2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x14ac:dyDescent="0.2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x14ac:dyDescent="0.2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x14ac:dyDescent="0.2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x14ac:dyDescent="0.2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x14ac:dyDescent="0.2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x14ac:dyDescent="0.2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x14ac:dyDescent="0.2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x14ac:dyDescent="0.2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x14ac:dyDescent="0.2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x14ac:dyDescent="0.2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x14ac:dyDescent="0.2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x14ac:dyDescent="0.2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x14ac:dyDescent="0.2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x14ac:dyDescent="0.2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x14ac:dyDescent="0.2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x14ac:dyDescent="0.2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x14ac:dyDescent="0.2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x14ac:dyDescent="0.2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x14ac:dyDescent="0.2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x14ac:dyDescent="0.2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x14ac:dyDescent="0.2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x14ac:dyDescent="0.2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x14ac:dyDescent="0.2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x14ac:dyDescent="0.2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x14ac:dyDescent="0.2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x14ac:dyDescent="0.2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x14ac:dyDescent="0.2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x14ac:dyDescent="0.2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x14ac:dyDescent="0.2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x14ac:dyDescent="0.2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x14ac:dyDescent="0.2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x14ac:dyDescent="0.2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x14ac:dyDescent="0.2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x14ac:dyDescent="0.2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x14ac:dyDescent="0.2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x14ac:dyDescent="0.2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x14ac:dyDescent="0.2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x14ac:dyDescent="0.2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x14ac:dyDescent="0.2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x14ac:dyDescent="0.2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x14ac:dyDescent="0.2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x14ac:dyDescent="0.2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x14ac:dyDescent="0.2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x14ac:dyDescent="0.2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x14ac:dyDescent="0.2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x14ac:dyDescent="0.2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x14ac:dyDescent="0.2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x14ac:dyDescent="0.2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x14ac:dyDescent="0.2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x14ac:dyDescent="0.2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x14ac:dyDescent="0.2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x14ac:dyDescent="0.2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x14ac:dyDescent="0.2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x14ac:dyDescent="0.2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x14ac:dyDescent="0.2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x14ac:dyDescent="0.2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x14ac:dyDescent="0.2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x14ac:dyDescent="0.2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x14ac:dyDescent="0.2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x14ac:dyDescent="0.2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x14ac:dyDescent="0.2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x14ac:dyDescent="0.2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x14ac:dyDescent="0.2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x14ac:dyDescent="0.2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x14ac:dyDescent="0.2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x14ac:dyDescent="0.2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x14ac:dyDescent="0.2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x14ac:dyDescent="0.2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x14ac:dyDescent="0.2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x14ac:dyDescent="0.2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x14ac:dyDescent="0.2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x14ac:dyDescent="0.2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x14ac:dyDescent="0.2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x14ac:dyDescent="0.2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x14ac:dyDescent="0.2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x14ac:dyDescent="0.2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x14ac:dyDescent="0.2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x14ac:dyDescent="0.2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x14ac:dyDescent="0.2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x14ac:dyDescent="0.2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x14ac:dyDescent="0.2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x14ac:dyDescent="0.2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x14ac:dyDescent="0.2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x14ac:dyDescent="0.2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x14ac:dyDescent="0.2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x14ac:dyDescent="0.2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x14ac:dyDescent="0.2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x14ac:dyDescent="0.2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x14ac:dyDescent="0.2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x14ac:dyDescent="0.2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x14ac:dyDescent="0.2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x14ac:dyDescent="0.2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x14ac:dyDescent="0.2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x14ac:dyDescent="0.2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x14ac:dyDescent="0.2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x14ac:dyDescent="0.2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x14ac:dyDescent="0.2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x14ac:dyDescent="0.2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x14ac:dyDescent="0.2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x14ac:dyDescent="0.2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x14ac:dyDescent="0.2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x14ac:dyDescent="0.2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x14ac:dyDescent="0.2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x14ac:dyDescent="0.2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x14ac:dyDescent="0.2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x14ac:dyDescent="0.2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x14ac:dyDescent="0.2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x14ac:dyDescent="0.2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x14ac:dyDescent="0.2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x14ac:dyDescent="0.2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x14ac:dyDescent="0.2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x14ac:dyDescent="0.2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x14ac:dyDescent="0.2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x14ac:dyDescent="0.2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x14ac:dyDescent="0.2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x14ac:dyDescent="0.2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x14ac:dyDescent="0.2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x14ac:dyDescent="0.2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x14ac:dyDescent="0.2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x14ac:dyDescent="0.2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x14ac:dyDescent="0.2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x14ac:dyDescent="0.2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x14ac:dyDescent="0.2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x14ac:dyDescent="0.2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x14ac:dyDescent="0.2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x14ac:dyDescent="0.2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x14ac:dyDescent="0.2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x14ac:dyDescent="0.2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x14ac:dyDescent="0.2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x14ac:dyDescent="0.2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x14ac:dyDescent="0.2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x14ac:dyDescent="0.2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x14ac:dyDescent="0.2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x14ac:dyDescent="0.2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x14ac:dyDescent="0.2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x14ac:dyDescent="0.2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x14ac:dyDescent="0.2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x14ac:dyDescent="0.2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x14ac:dyDescent="0.2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x14ac:dyDescent="0.2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x14ac:dyDescent="0.2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x14ac:dyDescent="0.2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x14ac:dyDescent="0.2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x14ac:dyDescent="0.2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x14ac:dyDescent="0.2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x14ac:dyDescent="0.2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x14ac:dyDescent="0.2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x14ac:dyDescent="0.2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x14ac:dyDescent="0.2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x14ac:dyDescent="0.2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x14ac:dyDescent="0.2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x14ac:dyDescent="0.2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x14ac:dyDescent="0.2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x14ac:dyDescent="0.2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x14ac:dyDescent="0.2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x14ac:dyDescent="0.2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x14ac:dyDescent="0.2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x14ac:dyDescent="0.2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x14ac:dyDescent="0.2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x14ac:dyDescent="0.2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x14ac:dyDescent="0.2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x14ac:dyDescent="0.2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x14ac:dyDescent="0.2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x14ac:dyDescent="0.2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x14ac:dyDescent="0.2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x14ac:dyDescent="0.2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x14ac:dyDescent="0.2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x14ac:dyDescent="0.2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x14ac:dyDescent="0.2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x14ac:dyDescent="0.2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x14ac:dyDescent="0.2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x14ac:dyDescent="0.2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x14ac:dyDescent="0.2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x14ac:dyDescent="0.2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x14ac:dyDescent="0.2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x14ac:dyDescent="0.2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x14ac:dyDescent="0.2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x14ac:dyDescent="0.2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x14ac:dyDescent="0.2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x14ac:dyDescent="0.2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x14ac:dyDescent="0.2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x14ac:dyDescent="0.25">
      <c r="A1276" t="s">
        <v>580</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x14ac:dyDescent="0.2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x14ac:dyDescent="0.2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x14ac:dyDescent="0.2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x14ac:dyDescent="0.2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x14ac:dyDescent="0.2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x14ac:dyDescent="0.2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x14ac:dyDescent="0.2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x14ac:dyDescent="0.2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x14ac:dyDescent="0.2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x14ac:dyDescent="0.2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x14ac:dyDescent="0.2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x14ac:dyDescent="0.2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x14ac:dyDescent="0.2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x14ac:dyDescent="0.2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x14ac:dyDescent="0.2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x14ac:dyDescent="0.2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x14ac:dyDescent="0.25">
      <c r="A1293" t="s">
        <v>580</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x14ac:dyDescent="0.2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x14ac:dyDescent="0.2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x14ac:dyDescent="0.2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x14ac:dyDescent="0.2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x14ac:dyDescent="0.2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x14ac:dyDescent="0.2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x14ac:dyDescent="0.2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x14ac:dyDescent="0.2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x14ac:dyDescent="0.2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x14ac:dyDescent="0.2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x14ac:dyDescent="0.2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x14ac:dyDescent="0.2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x14ac:dyDescent="0.2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x14ac:dyDescent="0.2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x14ac:dyDescent="0.2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x14ac:dyDescent="0.2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x14ac:dyDescent="0.2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x14ac:dyDescent="0.2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x14ac:dyDescent="0.2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x14ac:dyDescent="0.2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x14ac:dyDescent="0.2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x14ac:dyDescent="0.2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x14ac:dyDescent="0.2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x14ac:dyDescent="0.2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x14ac:dyDescent="0.2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x14ac:dyDescent="0.2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x14ac:dyDescent="0.2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x14ac:dyDescent="0.2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x14ac:dyDescent="0.2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x14ac:dyDescent="0.2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x14ac:dyDescent="0.2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x14ac:dyDescent="0.2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x14ac:dyDescent="0.2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x14ac:dyDescent="0.2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x14ac:dyDescent="0.2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x14ac:dyDescent="0.2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x14ac:dyDescent="0.2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x14ac:dyDescent="0.2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x14ac:dyDescent="0.2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x14ac:dyDescent="0.2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x14ac:dyDescent="0.2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x14ac:dyDescent="0.2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x14ac:dyDescent="0.2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x14ac:dyDescent="0.2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x14ac:dyDescent="0.2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x14ac:dyDescent="0.2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x14ac:dyDescent="0.2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x14ac:dyDescent="0.2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x14ac:dyDescent="0.2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x14ac:dyDescent="0.2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x14ac:dyDescent="0.2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x14ac:dyDescent="0.2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x14ac:dyDescent="0.2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x14ac:dyDescent="0.2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x14ac:dyDescent="0.2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x14ac:dyDescent="0.2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x14ac:dyDescent="0.2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x14ac:dyDescent="0.2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x14ac:dyDescent="0.2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x14ac:dyDescent="0.2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x14ac:dyDescent="0.2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x14ac:dyDescent="0.2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x14ac:dyDescent="0.2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x14ac:dyDescent="0.2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x14ac:dyDescent="0.2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x14ac:dyDescent="0.2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x14ac:dyDescent="0.2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x14ac:dyDescent="0.2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x14ac:dyDescent="0.2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x14ac:dyDescent="0.2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x14ac:dyDescent="0.2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x14ac:dyDescent="0.2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x14ac:dyDescent="0.2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x14ac:dyDescent="0.2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x14ac:dyDescent="0.2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x14ac:dyDescent="0.2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x14ac:dyDescent="0.2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x14ac:dyDescent="0.2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x14ac:dyDescent="0.2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x14ac:dyDescent="0.2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x14ac:dyDescent="0.2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x14ac:dyDescent="0.2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x14ac:dyDescent="0.2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x14ac:dyDescent="0.2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x14ac:dyDescent="0.2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x14ac:dyDescent="0.2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x14ac:dyDescent="0.2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x14ac:dyDescent="0.2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x14ac:dyDescent="0.2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x14ac:dyDescent="0.2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x14ac:dyDescent="0.2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x14ac:dyDescent="0.2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x14ac:dyDescent="0.2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x14ac:dyDescent="0.2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x14ac:dyDescent="0.2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x14ac:dyDescent="0.2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x14ac:dyDescent="0.2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x14ac:dyDescent="0.2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x14ac:dyDescent="0.2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x14ac:dyDescent="0.2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x14ac:dyDescent="0.2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x14ac:dyDescent="0.2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x14ac:dyDescent="0.2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x14ac:dyDescent="0.2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x14ac:dyDescent="0.2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x14ac:dyDescent="0.2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x14ac:dyDescent="0.2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x14ac:dyDescent="0.2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x14ac:dyDescent="0.2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x14ac:dyDescent="0.2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x14ac:dyDescent="0.2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x14ac:dyDescent="0.2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x14ac:dyDescent="0.2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x14ac:dyDescent="0.2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x14ac:dyDescent="0.2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x14ac:dyDescent="0.2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x14ac:dyDescent="0.2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x14ac:dyDescent="0.2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x14ac:dyDescent="0.2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x14ac:dyDescent="0.2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x14ac:dyDescent="0.2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x14ac:dyDescent="0.2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x14ac:dyDescent="0.2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x14ac:dyDescent="0.2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x14ac:dyDescent="0.2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x14ac:dyDescent="0.2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x14ac:dyDescent="0.2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x14ac:dyDescent="0.2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x14ac:dyDescent="0.2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x14ac:dyDescent="0.2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x14ac:dyDescent="0.2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x14ac:dyDescent="0.2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x14ac:dyDescent="0.2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x14ac:dyDescent="0.2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x14ac:dyDescent="0.2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x14ac:dyDescent="0.2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x14ac:dyDescent="0.2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x14ac:dyDescent="0.2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x14ac:dyDescent="0.2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x14ac:dyDescent="0.2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x14ac:dyDescent="0.2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x14ac:dyDescent="0.2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x14ac:dyDescent="0.2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x14ac:dyDescent="0.2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x14ac:dyDescent="0.2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x14ac:dyDescent="0.2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x14ac:dyDescent="0.2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x14ac:dyDescent="0.2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x14ac:dyDescent="0.2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x14ac:dyDescent="0.2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x14ac:dyDescent="0.2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x14ac:dyDescent="0.2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x14ac:dyDescent="0.2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x14ac:dyDescent="0.2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x14ac:dyDescent="0.2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x14ac:dyDescent="0.2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x14ac:dyDescent="0.2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x14ac:dyDescent="0.2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x14ac:dyDescent="0.2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x14ac:dyDescent="0.2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x14ac:dyDescent="0.2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x14ac:dyDescent="0.2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x14ac:dyDescent="0.2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x14ac:dyDescent="0.2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x14ac:dyDescent="0.2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x14ac:dyDescent="0.2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x14ac:dyDescent="0.2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x14ac:dyDescent="0.2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x14ac:dyDescent="0.2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x14ac:dyDescent="0.2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x14ac:dyDescent="0.2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x14ac:dyDescent="0.2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x14ac:dyDescent="0.2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x14ac:dyDescent="0.2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x14ac:dyDescent="0.2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x14ac:dyDescent="0.2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x14ac:dyDescent="0.2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x14ac:dyDescent="0.2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x14ac:dyDescent="0.2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x14ac:dyDescent="0.2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x14ac:dyDescent="0.2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x14ac:dyDescent="0.2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x14ac:dyDescent="0.2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x14ac:dyDescent="0.2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x14ac:dyDescent="0.2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x14ac:dyDescent="0.2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x14ac:dyDescent="0.2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x14ac:dyDescent="0.2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x14ac:dyDescent="0.2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x14ac:dyDescent="0.2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x14ac:dyDescent="0.2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x14ac:dyDescent="0.2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x14ac:dyDescent="0.2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x14ac:dyDescent="0.2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x14ac:dyDescent="0.2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x14ac:dyDescent="0.2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x14ac:dyDescent="0.2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x14ac:dyDescent="0.2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x14ac:dyDescent="0.2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x14ac:dyDescent="0.2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x14ac:dyDescent="0.2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x14ac:dyDescent="0.2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x14ac:dyDescent="0.2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x14ac:dyDescent="0.2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x14ac:dyDescent="0.2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x14ac:dyDescent="0.2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x14ac:dyDescent="0.2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x14ac:dyDescent="0.2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x14ac:dyDescent="0.2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x14ac:dyDescent="0.2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x14ac:dyDescent="0.2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x14ac:dyDescent="0.2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x14ac:dyDescent="0.2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x14ac:dyDescent="0.2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x14ac:dyDescent="0.2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x14ac:dyDescent="0.2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x14ac:dyDescent="0.2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x14ac:dyDescent="0.2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x14ac:dyDescent="0.2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x14ac:dyDescent="0.2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x14ac:dyDescent="0.2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x14ac:dyDescent="0.2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x14ac:dyDescent="0.2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x14ac:dyDescent="0.2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x14ac:dyDescent="0.2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x14ac:dyDescent="0.2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x14ac:dyDescent="0.2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x14ac:dyDescent="0.2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x14ac:dyDescent="0.2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x14ac:dyDescent="0.2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x14ac:dyDescent="0.2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x14ac:dyDescent="0.2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x14ac:dyDescent="0.2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x14ac:dyDescent="0.2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x14ac:dyDescent="0.2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x14ac:dyDescent="0.2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x14ac:dyDescent="0.2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x14ac:dyDescent="0.2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x14ac:dyDescent="0.2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x14ac:dyDescent="0.2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x14ac:dyDescent="0.2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x14ac:dyDescent="0.2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x14ac:dyDescent="0.2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x14ac:dyDescent="0.2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x14ac:dyDescent="0.2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x14ac:dyDescent="0.2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x14ac:dyDescent="0.2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x14ac:dyDescent="0.2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x14ac:dyDescent="0.2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x14ac:dyDescent="0.2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x14ac:dyDescent="0.2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x14ac:dyDescent="0.2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x14ac:dyDescent="0.2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x14ac:dyDescent="0.2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x14ac:dyDescent="0.2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x14ac:dyDescent="0.2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x14ac:dyDescent="0.2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x14ac:dyDescent="0.2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x14ac:dyDescent="0.2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x14ac:dyDescent="0.2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x14ac:dyDescent="0.2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x14ac:dyDescent="0.2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x14ac:dyDescent="0.2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x14ac:dyDescent="0.2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x14ac:dyDescent="0.2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x14ac:dyDescent="0.2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x14ac:dyDescent="0.2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x14ac:dyDescent="0.2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x14ac:dyDescent="0.2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x14ac:dyDescent="0.25">
      <c r="A1563" t="s">
        <v>553</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x14ac:dyDescent="0.2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x14ac:dyDescent="0.25">
      <c r="A1565" t="s">
        <v>554</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x14ac:dyDescent="0.2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x14ac:dyDescent="0.2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x14ac:dyDescent="0.25">
      <c r="A1568" t="s">
        <v>555</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x14ac:dyDescent="0.2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x14ac:dyDescent="0.2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x14ac:dyDescent="0.2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x14ac:dyDescent="0.2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x14ac:dyDescent="0.2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x14ac:dyDescent="0.2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x14ac:dyDescent="0.2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x14ac:dyDescent="0.2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x14ac:dyDescent="0.2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x14ac:dyDescent="0.2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x14ac:dyDescent="0.2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x14ac:dyDescent="0.2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x14ac:dyDescent="0.2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x14ac:dyDescent="0.2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x14ac:dyDescent="0.25">
      <c r="A1583" t="s">
        <v>553</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x14ac:dyDescent="0.2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x14ac:dyDescent="0.25">
      <c r="A1585" t="s">
        <v>554</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x14ac:dyDescent="0.25">
      <c r="A1586" t="s">
        <v>555</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x14ac:dyDescent="0.2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x14ac:dyDescent="0.2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x14ac:dyDescent="0.2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x14ac:dyDescent="0.2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x14ac:dyDescent="0.2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x14ac:dyDescent="0.2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x14ac:dyDescent="0.2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x14ac:dyDescent="0.2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x14ac:dyDescent="0.2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x14ac:dyDescent="0.2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x14ac:dyDescent="0.2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x14ac:dyDescent="0.2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x14ac:dyDescent="0.2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x14ac:dyDescent="0.2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x14ac:dyDescent="0.2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x14ac:dyDescent="0.2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x14ac:dyDescent="0.2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x14ac:dyDescent="0.2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x14ac:dyDescent="0.2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x14ac:dyDescent="0.2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x14ac:dyDescent="0.2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x14ac:dyDescent="0.2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x14ac:dyDescent="0.2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x14ac:dyDescent="0.2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x14ac:dyDescent="0.25">
      <c r="A1611" t="s">
        <v>568</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x14ac:dyDescent="0.2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x14ac:dyDescent="0.2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x14ac:dyDescent="0.2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x14ac:dyDescent="0.2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x14ac:dyDescent="0.2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x14ac:dyDescent="0.2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x14ac:dyDescent="0.2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x14ac:dyDescent="0.2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x14ac:dyDescent="0.2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x14ac:dyDescent="0.2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x14ac:dyDescent="0.2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x14ac:dyDescent="0.2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x14ac:dyDescent="0.2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x14ac:dyDescent="0.2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x14ac:dyDescent="0.2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x14ac:dyDescent="0.2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x14ac:dyDescent="0.2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x14ac:dyDescent="0.2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x14ac:dyDescent="0.2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x14ac:dyDescent="0.2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x14ac:dyDescent="0.25">
      <c r="A1632" t="s">
        <v>568</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x14ac:dyDescent="0.2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x14ac:dyDescent="0.2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x14ac:dyDescent="0.2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x14ac:dyDescent="0.25">
      <c r="A1636" t="s">
        <v>579</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x14ac:dyDescent="0.2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x14ac:dyDescent="0.2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x14ac:dyDescent="0.2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x14ac:dyDescent="0.2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x14ac:dyDescent="0.2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x14ac:dyDescent="0.2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x14ac:dyDescent="0.25">
      <c r="A1643" t="s">
        <v>580</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x14ac:dyDescent="0.2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x14ac:dyDescent="0.2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x14ac:dyDescent="0.2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x14ac:dyDescent="0.2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x14ac:dyDescent="0.2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x14ac:dyDescent="0.2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x14ac:dyDescent="0.2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x14ac:dyDescent="0.2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x14ac:dyDescent="0.2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x14ac:dyDescent="0.2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x14ac:dyDescent="0.2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x14ac:dyDescent="0.2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x14ac:dyDescent="0.2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x14ac:dyDescent="0.2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x14ac:dyDescent="0.2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x14ac:dyDescent="0.2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x14ac:dyDescent="0.2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x14ac:dyDescent="0.25">
      <c r="A1661" t="s">
        <v>580</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x14ac:dyDescent="0.2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x14ac:dyDescent="0.2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x14ac:dyDescent="0.2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x14ac:dyDescent="0.2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x14ac:dyDescent="0.25">
      <c r="A1666" t="s">
        <v>579</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x14ac:dyDescent="0.2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x14ac:dyDescent="0.2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x14ac:dyDescent="0.2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x14ac:dyDescent="0.2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x14ac:dyDescent="0.25">
      <c r="A1671" t="s">
        <v>579</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Current</v>
      </c>
    </row>
    <row r="1672" spans="1:11" x14ac:dyDescent="0.2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Current</v>
      </c>
    </row>
    <row r="1673" spans="1:11" x14ac:dyDescent="0.2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Current</v>
      </c>
    </row>
    <row r="1674" spans="1:11" x14ac:dyDescent="0.2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Current</v>
      </c>
    </row>
    <row r="1675" spans="1:11" x14ac:dyDescent="0.2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Current</v>
      </c>
    </row>
    <row r="1676" spans="1:11" x14ac:dyDescent="0.2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Current</v>
      </c>
    </row>
    <row r="1677" spans="1:11" x14ac:dyDescent="0.2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Current</v>
      </c>
    </row>
    <row r="1678" spans="1:11" x14ac:dyDescent="0.2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Current</v>
      </c>
    </row>
    <row r="1679" spans="1:11" x14ac:dyDescent="0.2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Current</v>
      </c>
    </row>
    <row r="1680" spans="1:11" x14ac:dyDescent="0.2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Current</v>
      </c>
    </row>
    <row r="1681" spans="1:11" x14ac:dyDescent="0.25">
      <c r="A1681" t="s">
        <v>568</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Current</v>
      </c>
    </row>
    <row r="1682" spans="1:11" x14ac:dyDescent="0.25">
      <c r="A1682" t="s">
        <v>591</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Current</v>
      </c>
    </row>
    <row r="1683" spans="1:11" x14ac:dyDescent="0.2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Current</v>
      </c>
    </row>
    <row r="1684" spans="1:11" x14ac:dyDescent="0.2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Current</v>
      </c>
    </row>
    <row r="1685" spans="1:11" x14ac:dyDescent="0.25">
      <c r="A1685" t="s">
        <v>592</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Current</v>
      </c>
    </row>
    <row r="1686" spans="1:11" x14ac:dyDescent="0.2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Current</v>
      </c>
    </row>
    <row r="1687" spans="1:11" x14ac:dyDescent="0.2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Current</v>
      </c>
    </row>
    <row r="1688" spans="1:11" x14ac:dyDescent="0.2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Current</v>
      </c>
    </row>
    <row r="1689" spans="1:11" x14ac:dyDescent="0.25">
      <c r="A1689" t="s">
        <v>593</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Current</v>
      </c>
    </row>
    <row r="1690" spans="1:11" x14ac:dyDescent="0.2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Current</v>
      </c>
    </row>
    <row r="1691" spans="1:11" x14ac:dyDescent="0.2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Current</v>
      </c>
    </row>
    <row r="1692" spans="1:11" x14ac:dyDescent="0.2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Current</v>
      </c>
    </row>
    <row r="1693" spans="1:11" x14ac:dyDescent="0.2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Current</v>
      </c>
    </row>
    <row r="1694" spans="1:11" x14ac:dyDescent="0.2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Current</v>
      </c>
    </row>
    <row r="1695" spans="1:11" x14ac:dyDescent="0.2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Current</v>
      </c>
    </row>
    <row r="1696" spans="1:11" x14ac:dyDescent="0.2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Current</v>
      </c>
    </row>
    <row r="1697" spans="1:11" x14ac:dyDescent="0.2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Current</v>
      </c>
    </row>
    <row r="1698" spans="1:11" x14ac:dyDescent="0.2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Current</v>
      </c>
    </row>
    <row r="1699" spans="1:11" x14ac:dyDescent="0.2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Current</v>
      </c>
    </row>
    <row r="1700" spans="1:11" x14ac:dyDescent="0.2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Current</v>
      </c>
    </row>
    <row r="1701" spans="1:11" x14ac:dyDescent="0.25">
      <c r="A1701" t="s">
        <v>592</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Current</v>
      </c>
    </row>
    <row r="1702" spans="1:11" x14ac:dyDescent="0.25">
      <c r="A1702" t="s">
        <v>593</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Current</v>
      </c>
    </row>
    <row r="1703" spans="1:11" x14ac:dyDescent="0.2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Current</v>
      </c>
    </row>
    <row r="1704" spans="1:11" x14ac:dyDescent="0.25">
      <c r="A1704" t="s">
        <v>591</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Current</v>
      </c>
    </row>
    <row r="1705" spans="1:11" x14ac:dyDescent="0.25">
      <c r="A1705" t="s">
        <v>568</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Current</v>
      </c>
    </row>
    <row r="1706" spans="1:11" x14ac:dyDescent="0.2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Current</v>
      </c>
    </row>
    <row r="1707" spans="1:11" x14ac:dyDescent="0.2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Current</v>
      </c>
    </row>
    <row r="1708" spans="1:11" x14ac:dyDescent="0.2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Current</v>
      </c>
    </row>
    <row r="1709" spans="1:11" x14ac:dyDescent="0.2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Current</v>
      </c>
    </row>
    <row r="1710" spans="1:11" x14ac:dyDescent="0.2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Current</v>
      </c>
    </row>
    <row r="1711" spans="1:11" x14ac:dyDescent="0.2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Current</v>
      </c>
    </row>
    <row r="1712" spans="1:11" x14ac:dyDescent="0.25">
      <c r="A1712" t="s">
        <v>579</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Current</v>
      </c>
    </row>
    <row r="1713" spans="1:11" x14ac:dyDescent="0.2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Current</v>
      </c>
    </row>
    <row r="1714" spans="1:11" x14ac:dyDescent="0.2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Current</v>
      </c>
    </row>
    <row r="1715" spans="1:11" x14ac:dyDescent="0.2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Current</v>
      </c>
    </row>
    <row r="1716" spans="1:11" x14ac:dyDescent="0.2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Current</v>
      </c>
    </row>
    <row r="1717" spans="1:11" x14ac:dyDescent="0.2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4939"/>
  <sheetViews>
    <sheetView workbookViewId="0">
      <selection activeCell="N2258" sqref="N2258"/>
    </sheetView>
  </sheetViews>
  <sheetFormatPr defaultRowHeight="15" x14ac:dyDescent="0.25"/>
  <cols>
    <col min="1" max="1" width="14.42578125" bestFit="1" customWidth="1"/>
    <col min="2" max="2" width="8.85546875" bestFit="1" customWidth="1"/>
    <col min="3" max="3" width="7.140625" bestFit="1" customWidth="1"/>
    <col min="4" max="4" width="6.7109375" bestFit="1" customWidth="1"/>
    <col min="5" max="5" width="9" bestFit="1" customWidth="1"/>
    <col min="6" max="6" width="14.85546875" bestFit="1" customWidth="1"/>
    <col min="7" max="7" width="17.28515625" bestFit="1" customWidth="1"/>
    <col min="8" max="8" width="10.7109375" bestFit="1" customWidth="1"/>
    <col min="9" max="9" width="7.28515625" bestFit="1" customWidth="1"/>
    <col min="10" max="10" width="9.28515625" bestFit="1" customWidth="1"/>
    <col min="11" max="11" width="13" bestFit="1" customWidth="1"/>
    <col min="12" max="12" width="14.42578125" bestFit="1" customWidth="1"/>
    <col min="13" max="13" width="18.42578125" bestFit="1" customWidth="1"/>
    <col min="14" max="14" width="8.140625" bestFit="1" customWidth="1"/>
    <col min="15" max="16" width="8.42578125" bestFit="1" customWidth="1"/>
    <col min="17" max="17" width="9.28515625" bestFit="1" customWidth="1"/>
    <col min="18" max="18" width="25.140625" bestFit="1" customWidth="1"/>
  </cols>
  <sheetData>
    <row r="1" spans="1:18" x14ac:dyDescent="0.2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25">
      <c r="A2" t="s">
        <v>30</v>
      </c>
      <c r="B2" t="s">
        <v>8</v>
      </c>
      <c r="C2">
        <v>2</v>
      </c>
      <c r="D2">
        <v>1</v>
      </c>
      <c r="E2">
        <v>2</v>
      </c>
      <c r="F2" s="15">
        <v>45999</v>
      </c>
      <c r="G2" t="s">
        <v>137</v>
      </c>
      <c r="H2">
        <v>4</v>
      </c>
      <c r="I2">
        <v>2025</v>
      </c>
      <c r="J2">
        <v>12</v>
      </c>
      <c r="K2" t="s">
        <v>87</v>
      </c>
      <c r="L2" t="s">
        <v>7</v>
      </c>
      <c r="M2" t="s">
        <v>6</v>
      </c>
      <c r="N2" t="b">
        <v>0</v>
      </c>
      <c r="O2">
        <v>1</v>
      </c>
      <c r="P2">
        <v>0</v>
      </c>
      <c r="Q2">
        <v>0</v>
      </c>
      <c r="R2">
        <v>0</v>
      </c>
    </row>
    <row r="3" spans="1:18" x14ac:dyDescent="0.25">
      <c r="A3" t="s">
        <v>30</v>
      </c>
      <c r="B3" t="s">
        <v>8</v>
      </c>
      <c r="C3">
        <v>2</v>
      </c>
      <c r="D3">
        <v>1</v>
      </c>
      <c r="E3">
        <v>2</v>
      </c>
      <c r="F3" s="15">
        <v>45999</v>
      </c>
      <c r="G3" t="s">
        <v>137</v>
      </c>
      <c r="H3">
        <v>4</v>
      </c>
      <c r="I3">
        <v>2025</v>
      </c>
      <c r="J3">
        <v>12</v>
      </c>
      <c r="K3" t="s">
        <v>87</v>
      </c>
      <c r="L3" t="s">
        <v>28</v>
      </c>
      <c r="M3" t="s">
        <v>6</v>
      </c>
      <c r="N3" t="b">
        <v>0</v>
      </c>
      <c r="O3">
        <v>1</v>
      </c>
      <c r="P3">
        <v>0</v>
      </c>
      <c r="Q3">
        <v>0</v>
      </c>
      <c r="R3">
        <v>0</v>
      </c>
    </row>
    <row r="4" spans="1:18" x14ac:dyDescent="0.25">
      <c r="A4" t="s">
        <v>30</v>
      </c>
      <c r="B4" t="s">
        <v>8</v>
      </c>
      <c r="C4">
        <v>2</v>
      </c>
      <c r="D4">
        <v>1</v>
      </c>
      <c r="E4">
        <v>2</v>
      </c>
      <c r="F4" s="15">
        <v>45999</v>
      </c>
      <c r="G4" t="s">
        <v>137</v>
      </c>
      <c r="H4">
        <v>4</v>
      </c>
      <c r="I4">
        <v>2025</v>
      </c>
      <c r="J4">
        <v>12</v>
      </c>
      <c r="K4" t="s">
        <v>87</v>
      </c>
      <c r="L4" t="s">
        <v>15</v>
      </c>
      <c r="M4" t="s">
        <v>6</v>
      </c>
      <c r="N4" t="b">
        <v>0</v>
      </c>
      <c r="O4">
        <v>1</v>
      </c>
      <c r="P4">
        <v>0</v>
      </c>
      <c r="Q4">
        <v>0</v>
      </c>
      <c r="R4">
        <v>0</v>
      </c>
    </row>
    <row r="5" spans="1:18" x14ac:dyDescent="0.25">
      <c r="A5" t="s">
        <v>7</v>
      </c>
      <c r="B5" t="s">
        <v>6</v>
      </c>
      <c r="C5">
        <v>3</v>
      </c>
      <c r="D5">
        <v>1</v>
      </c>
      <c r="E5">
        <v>2</v>
      </c>
      <c r="F5" s="15">
        <v>45999</v>
      </c>
      <c r="G5" t="s">
        <v>137</v>
      </c>
      <c r="H5">
        <v>4</v>
      </c>
      <c r="I5">
        <v>2025</v>
      </c>
      <c r="J5">
        <v>12</v>
      </c>
      <c r="K5" t="s">
        <v>87</v>
      </c>
      <c r="L5" t="s">
        <v>30</v>
      </c>
      <c r="M5" t="s">
        <v>8</v>
      </c>
      <c r="N5" t="b">
        <v>0</v>
      </c>
      <c r="O5">
        <v>0</v>
      </c>
      <c r="P5">
        <v>1</v>
      </c>
      <c r="Q5">
        <v>0</v>
      </c>
      <c r="R5">
        <v>1</v>
      </c>
    </row>
    <row r="6" spans="1:18" x14ac:dyDescent="0.25">
      <c r="A6" t="s">
        <v>7</v>
      </c>
      <c r="B6" t="s">
        <v>6</v>
      </c>
      <c r="C6">
        <v>3</v>
      </c>
      <c r="D6">
        <v>1</v>
      </c>
      <c r="E6">
        <v>2</v>
      </c>
      <c r="F6" s="15">
        <v>45999</v>
      </c>
      <c r="G6" t="s">
        <v>137</v>
      </c>
      <c r="H6">
        <v>4</v>
      </c>
      <c r="I6">
        <v>2025</v>
      </c>
      <c r="J6">
        <v>12</v>
      </c>
      <c r="K6" t="s">
        <v>87</v>
      </c>
      <c r="L6" t="s">
        <v>28</v>
      </c>
      <c r="M6" t="s">
        <v>6</v>
      </c>
      <c r="N6" t="b">
        <v>0</v>
      </c>
      <c r="O6">
        <v>0</v>
      </c>
      <c r="P6">
        <v>1</v>
      </c>
      <c r="Q6">
        <v>0</v>
      </c>
      <c r="R6">
        <v>0</v>
      </c>
    </row>
    <row r="7" spans="1:18" x14ac:dyDescent="0.25">
      <c r="A7" t="s">
        <v>7</v>
      </c>
      <c r="B7" t="s">
        <v>6</v>
      </c>
      <c r="C7">
        <v>3</v>
      </c>
      <c r="D7">
        <v>1</v>
      </c>
      <c r="E7">
        <v>2</v>
      </c>
      <c r="F7" s="15">
        <v>45999</v>
      </c>
      <c r="G7" t="s">
        <v>137</v>
      </c>
      <c r="H7">
        <v>4</v>
      </c>
      <c r="I7">
        <v>2025</v>
      </c>
      <c r="J7">
        <v>12</v>
      </c>
      <c r="K7" t="s">
        <v>87</v>
      </c>
      <c r="L7" t="s">
        <v>15</v>
      </c>
      <c r="M7" t="s">
        <v>6</v>
      </c>
      <c r="N7" t="b">
        <v>0</v>
      </c>
      <c r="O7">
        <v>0</v>
      </c>
      <c r="P7">
        <v>1</v>
      </c>
      <c r="Q7">
        <v>0</v>
      </c>
      <c r="R7">
        <v>0</v>
      </c>
    </row>
    <row r="8" spans="1:18" x14ac:dyDescent="0.25">
      <c r="A8" t="s">
        <v>28</v>
      </c>
      <c r="B8" t="s">
        <v>6</v>
      </c>
      <c r="C8">
        <v>1</v>
      </c>
      <c r="D8">
        <v>1</v>
      </c>
      <c r="E8">
        <v>2</v>
      </c>
      <c r="F8" s="15">
        <v>45999</v>
      </c>
      <c r="G8" t="s">
        <v>137</v>
      </c>
      <c r="H8">
        <v>4</v>
      </c>
      <c r="I8">
        <v>2025</v>
      </c>
      <c r="J8">
        <v>12</v>
      </c>
      <c r="K8" t="s">
        <v>87</v>
      </c>
      <c r="L8" t="s">
        <v>30</v>
      </c>
      <c r="M8" t="s">
        <v>8</v>
      </c>
      <c r="N8" t="b">
        <v>0</v>
      </c>
      <c r="O8">
        <v>0</v>
      </c>
      <c r="P8">
        <v>1</v>
      </c>
      <c r="Q8">
        <v>0</v>
      </c>
      <c r="R8">
        <v>1</v>
      </c>
    </row>
    <row r="9" spans="1:18" x14ac:dyDescent="0.25">
      <c r="A9" t="s">
        <v>28</v>
      </c>
      <c r="B9" t="s">
        <v>6</v>
      </c>
      <c r="C9">
        <v>1</v>
      </c>
      <c r="D9">
        <v>1</v>
      </c>
      <c r="E9">
        <v>2</v>
      </c>
      <c r="F9" s="15">
        <v>45999</v>
      </c>
      <c r="G9" t="s">
        <v>137</v>
      </c>
      <c r="H9">
        <v>4</v>
      </c>
      <c r="I9">
        <v>2025</v>
      </c>
      <c r="J9">
        <v>12</v>
      </c>
      <c r="K9" t="s">
        <v>87</v>
      </c>
      <c r="L9" t="s">
        <v>7</v>
      </c>
      <c r="M9" t="s">
        <v>6</v>
      </c>
      <c r="N9" t="b">
        <v>0</v>
      </c>
      <c r="O9">
        <v>0</v>
      </c>
      <c r="P9">
        <v>1</v>
      </c>
      <c r="Q9">
        <v>0</v>
      </c>
      <c r="R9">
        <v>0</v>
      </c>
    </row>
    <row r="10" spans="1:18" x14ac:dyDescent="0.25">
      <c r="A10" t="s">
        <v>28</v>
      </c>
      <c r="B10" t="s">
        <v>6</v>
      </c>
      <c r="C10">
        <v>1</v>
      </c>
      <c r="D10">
        <v>1</v>
      </c>
      <c r="E10">
        <v>2</v>
      </c>
      <c r="F10" s="15">
        <v>45999</v>
      </c>
      <c r="G10" t="s">
        <v>137</v>
      </c>
      <c r="H10">
        <v>4</v>
      </c>
      <c r="I10">
        <v>2025</v>
      </c>
      <c r="J10">
        <v>12</v>
      </c>
      <c r="K10" t="s">
        <v>87</v>
      </c>
      <c r="L10" t="s">
        <v>15</v>
      </c>
      <c r="M10" t="s">
        <v>6</v>
      </c>
      <c r="N10" t="b">
        <v>0</v>
      </c>
      <c r="O10">
        <v>0</v>
      </c>
      <c r="P10">
        <v>1</v>
      </c>
      <c r="Q10">
        <v>0</v>
      </c>
      <c r="R10">
        <v>0</v>
      </c>
    </row>
    <row r="11" spans="1:18" x14ac:dyDescent="0.25">
      <c r="A11" t="s">
        <v>15</v>
      </c>
      <c r="B11" t="s">
        <v>6</v>
      </c>
      <c r="C11">
        <v>4</v>
      </c>
      <c r="D11">
        <v>1</v>
      </c>
      <c r="E11">
        <v>2</v>
      </c>
      <c r="F11" s="15">
        <v>45999</v>
      </c>
      <c r="G11" t="s">
        <v>137</v>
      </c>
      <c r="H11">
        <v>4</v>
      </c>
      <c r="I11">
        <v>2025</v>
      </c>
      <c r="J11">
        <v>12</v>
      </c>
      <c r="K11" t="s">
        <v>87</v>
      </c>
      <c r="L11" t="s">
        <v>30</v>
      </c>
      <c r="M11" t="s">
        <v>8</v>
      </c>
      <c r="N11" t="b">
        <v>0</v>
      </c>
      <c r="O11">
        <v>0</v>
      </c>
      <c r="P11">
        <v>1</v>
      </c>
      <c r="Q11">
        <v>0</v>
      </c>
      <c r="R11">
        <v>1</v>
      </c>
    </row>
    <row r="12" spans="1:18" x14ac:dyDescent="0.25">
      <c r="A12" t="s">
        <v>15</v>
      </c>
      <c r="B12" t="s">
        <v>6</v>
      </c>
      <c r="C12">
        <v>4</v>
      </c>
      <c r="D12">
        <v>1</v>
      </c>
      <c r="E12">
        <v>2</v>
      </c>
      <c r="F12" s="15">
        <v>45999</v>
      </c>
      <c r="G12" t="s">
        <v>137</v>
      </c>
      <c r="H12">
        <v>4</v>
      </c>
      <c r="I12">
        <v>2025</v>
      </c>
      <c r="J12">
        <v>12</v>
      </c>
      <c r="K12" t="s">
        <v>87</v>
      </c>
      <c r="L12" t="s">
        <v>7</v>
      </c>
      <c r="M12" t="s">
        <v>6</v>
      </c>
      <c r="N12" t="b">
        <v>0</v>
      </c>
      <c r="O12">
        <v>0</v>
      </c>
      <c r="P12">
        <v>1</v>
      </c>
      <c r="Q12">
        <v>0</v>
      </c>
      <c r="R12">
        <v>0</v>
      </c>
    </row>
    <row r="13" spans="1:18" x14ac:dyDescent="0.25">
      <c r="A13" t="s">
        <v>15</v>
      </c>
      <c r="B13" t="s">
        <v>6</v>
      </c>
      <c r="C13">
        <v>4</v>
      </c>
      <c r="D13">
        <v>1</v>
      </c>
      <c r="E13">
        <v>2</v>
      </c>
      <c r="F13" s="15">
        <v>45999</v>
      </c>
      <c r="G13" t="s">
        <v>137</v>
      </c>
      <c r="H13">
        <v>4</v>
      </c>
      <c r="I13">
        <v>2025</v>
      </c>
      <c r="J13">
        <v>12</v>
      </c>
      <c r="K13" t="s">
        <v>87</v>
      </c>
      <c r="L13" t="s">
        <v>28</v>
      </c>
      <c r="M13" t="s">
        <v>6</v>
      </c>
      <c r="N13" t="b">
        <v>0</v>
      </c>
      <c r="O13">
        <v>0</v>
      </c>
      <c r="P13">
        <v>1</v>
      </c>
      <c r="Q13">
        <v>0</v>
      </c>
      <c r="R13">
        <v>0</v>
      </c>
    </row>
    <row r="14" spans="1:18" x14ac:dyDescent="0.25">
      <c r="A14" t="s">
        <v>30</v>
      </c>
      <c r="B14" t="s">
        <v>8</v>
      </c>
      <c r="C14">
        <v>3</v>
      </c>
      <c r="D14">
        <v>2</v>
      </c>
      <c r="E14">
        <v>2</v>
      </c>
      <c r="F14" s="15">
        <v>45964</v>
      </c>
      <c r="G14" t="s">
        <v>180</v>
      </c>
      <c r="H14">
        <v>5</v>
      </c>
      <c r="I14">
        <v>2025</v>
      </c>
      <c r="J14">
        <v>11</v>
      </c>
      <c r="K14" t="s">
        <v>87</v>
      </c>
      <c r="L14" t="s">
        <v>14</v>
      </c>
      <c r="M14" t="s">
        <v>6</v>
      </c>
      <c r="N14" t="b">
        <v>0</v>
      </c>
      <c r="O14">
        <v>1</v>
      </c>
      <c r="P14">
        <v>0</v>
      </c>
      <c r="Q14">
        <v>0</v>
      </c>
      <c r="R14">
        <v>0</v>
      </c>
    </row>
    <row r="15" spans="1:18" x14ac:dyDescent="0.25">
      <c r="A15" t="s">
        <v>30</v>
      </c>
      <c r="B15" t="s">
        <v>8</v>
      </c>
      <c r="C15">
        <v>3</v>
      </c>
      <c r="D15">
        <v>2</v>
      </c>
      <c r="E15">
        <v>2</v>
      </c>
      <c r="F15" s="15">
        <v>45964</v>
      </c>
      <c r="G15" t="s">
        <v>180</v>
      </c>
      <c r="H15">
        <v>5</v>
      </c>
      <c r="I15">
        <v>2025</v>
      </c>
      <c r="J15">
        <v>11</v>
      </c>
      <c r="K15" t="s">
        <v>87</v>
      </c>
      <c r="L15" t="s">
        <v>13</v>
      </c>
      <c r="M15" t="s">
        <v>6</v>
      </c>
      <c r="N15" t="b">
        <v>0</v>
      </c>
      <c r="O15">
        <v>1</v>
      </c>
      <c r="P15">
        <v>0</v>
      </c>
      <c r="Q15">
        <v>0</v>
      </c>
      <c r="R15">
        <v>0</v>
      </c>
    </row>
    <row r="16" spans="1:18" x14ac:dyDescent="0.25">
      <c r="A16" t="s">
        <v>30</v>
      </c>
      <c r="B16" t="s">
        <v>8</v>
      </c>
      <c r="C16">
        <v>3</v>
      </c>
      <c r="D16">
        <v>2</v>
      </c>
      <c r="E16">
        <v>2</v>
      </c>
      <c r="F16" s="15">
        <v>45964</v>
      </c>
      <c r="G16" t="s">
        <v>180</v>
      </c>
      <c r="H16">
        <v>5</v>
      </c>
      <c r="I16">
        <v>2025</v>
      </c>
      <c r="J16">
        <v>11</v>
      </c>
      <c r="K16" t="s">
        <v>87</v>
      </c>
      <c r="L16" t="s">
        <v>16</v>
      </c>
      <c r="M16" t="s">
        <v>6</v>
      </c>
      <c r="N16" t="b">
        <v>0</v>
      </c>
      <c r="O16">
        <v>1</v>
      </c>
      <c r="P16">
        <v>0</v>
      </c>
      <c r="Q16">
        <v>0</v>
      </c>
      <c r="R16">
        <v>0</v>
      </c>
    </row>
    <row r="17" spans="1:18" x14ac:dyDescent="0.25">
      <c r="A17" t="s">
        <v>30</v>
      </c>
      <c r="B17" t="s">
        <v>8</v>
      </c>
      <c r="C17">
        <v>3</v>
      </c>
      <c r="D17">
        <v>2</v>
      </c>
      <c r="E17">
        <v>2</v>
      </c>
      <c r="F17" s="15">
        <v>45964</v>
      </c>
      <c r="G17" t="s">
        <v>180</v>
      </c>
      <c r="H17">
        <v>5</v>
      </c>
      <c r="I17">
        <v>2025</v>
      </c>
      <c r="J17">
        <v>11</v>
      </c>
      <c r="K17" t="s">
        <v>87</v>
      </c>
      <c r="L17" t="s">
        <v>17</v>
      </c>
      <c r="M17" t="s">
        <v>6</v>
      </c>
      <c r="N17" t="b">
        <v>0</v>
      </c>
      <c r="O17">
        <v>1</v>
      </c>
      <c r="P17">
        <v>0</v>
      </c>
      <c r="Q17">
        <v>0</v>
      </c>
      <c r="R17">
        <v>0</v>
      </c>
    </row>
    <row r="18" spans="1:18" x14ac:dyDescent="0.25">
      <c r="A18" t="s">
        <v>14</v>
      </c>
      <c r="B18" t="s">
        <v>6</v>
      </c>
      <c r="C18">
        <v>2</v>
      </c>
      <c r="D18">
        <v>2</v>
      </c>
      <c r="E18">
        <v>2</v>
      </c>
      <c r="F18" s="15">
        <v>45964</v>
      </c>
      <c r="G18" t="s">
        <v>180</v>
      </c>
      <c r="H18">
        <v>5</v>
      </c>
      <c r="I18">
        <v>2025</v>
      </c>
      <c r="J18">
        <v>11</v>
      </c>
      <c r="K18" t="s">
        <v>87</v>
      </c>
      <c r="L18" t="s">
        <v>30</v>
      </c>
      <c r="M18" t="s">
        <v>8</v>
      </c>
      <c r="N18" t="b">
        <v>0</v>
      </c>
      <c r="O18">
        <v>0</v>
      </c>
      <c r="P18">
        <v>1</v>
      </c>
      <c r="Q18">
        <v>0</v>
      </c>
      <c r="R18">
        <v>1</v>
      </c>
    </row>
    <row r="19" spans="1:18" x14ac:dyDescent="0.25">
      <c r="A19" t="s">
        <v>14</v>
      </c>
      <c r="B19" t="s">
        <v>6</v>
      </c>
      <c r="C19">
        <v>2</v>
      </c>
      <c r="D19">
        <v>2</v>
      </c>
      <c r="E19">
        <v>2</v>
      </c>
      <c r="F19" s="15">
        <v>45964</v>
      </c>
      <c r="G19" t="s">
        <v>180</v>
      </c>
      <c r="H19">
        <v>5</v>
      </c>
      <c r="I19">
        <v>2025</v>
      </c>
      <c r="J19">
        <v>11</v>
      </c>
      <c r="K19" t="s">
        <v>87</v>
      </c>
      <c r="L19" t="s">
        <v>13</v>
      </c>
      <c r="M19" t="s">
        <v>6</v>
      </c>
      <c r="N19" t="b">
        <v>0</v>
      </c>
      <c r="O19">
        <v>0</v>
      </c>
      <c r="P19">
        <v>1</v>
      </c>
      <c r="Q19">
        <v>0</v>
      </c>
      <c r="R19">
        <v>0</v>
      </c>
    </row>
    <row r="20" spans="1:18" x14ac:dyDescent="0.25">
      <c r="A20" t="s">
        <v>14</v>
      </c>
      <c r="B20" t="s">
        <v>6</v>
      </c>
      <c r="C20">
        <v>2</v>
      </c>
      <c r="D20">
        <v>2</v>
      </c>
      <c r="E20">
        <v>2</v>
      </c>
      <c r="F20" s="15">
        <v>45964</v>
      </c>
      <c r="G20" t="s">
        <v>180</v>
      </c>
      <c r="H20">
        <v>5</v>
      </c>
      <c r="I20">
        <v>2025</v>
      </c>
      <c r="J20">
        <v>11</v>
      </c>
      <c r="K20" t="s">
        <v>87</v>
      </c>
      <c r="L20" t="s">
        <v>16</v>
      </c>
      <c r="M20" t="s">
        <v>6</v>
      </c>
      <c r="N20" t="b">
        <v>0</v>
      </c>
      <c r="O20">
        <v>0</v>
      </c>
      <c r="P20">
        <v>1</v>
      </c>
      <c r="Q20">
        <v>0</v>
      </c>
      <c r="R20">
        <v>0</v>
      </c>
    </row>
    <row r="21" spans="1:18" x14ac:dyDescent="0.25">
      <c r="A21" t="s">
        <v>14</v>
      </c>
      <c r="B21" t="s">
        <v>6</v>
      </c>
      <c r="C21">
        <v>2</v>
      </c>
      <c r="D21">
        <v>2</v>
      </c>
      <c r="E21">
        <v>2</v>
      </c>
      <c r="F21" s="15">
        <v>45964</v>
      </c>
      <c r="G21" t="s">
        <v>180</v>
      </c>
      <c r="H21">
        <v>5</v>
      </c>
      <c r="I21">
        <v>2025</v>
      </c>
      <c r="J21">
        <v>11</v>
      </c>
      <c r="K21" t="s">
        <v>87</v>
      </c>
      <c r="L21" t="s">
        <v>17</v>
      </c>
      <c r="M21" t="s">
        <v>6</v>
      </c>
      <c r="N21" t="b">
        <v>0</v>
      </c>
      <c r="O21">
        <v>0</v>
      </c>
      <c r="P21">
        <v>1</v>
      </c>
      <c r="Q21">
        <v>0</v>
      </c>
      <c r="R21">
        <v>0</v>
      </c>
    </row>
    <row r="22" spans="1:18" x14ac:dyDescent="0.25">
      <c r="A22" t="s">
        <v>13</v>
      </c>
      <c r="B22" t="s">
        <v>6</v>
      </c>
      <c r="C22">
        <v>4</v>
      </c>
      <c r="D22">
        <v>2</v>
      </c>
      <c r="E22">
        <v>2</v>
      </c>
      <c r="F22" s="15">
        <v>45964</v>
      </c>
      <c r="G22" t="s">
        <v>180</v>
      </c>
      <c r="H22">
        <v>5</v>
      </c>
      <c r="I22">
        <v>2025</v>
      </c>
      <c r="J22">
        <v>11</v>
      </c>
      <c r="K22" t="s">
        <v>87</v>
      </c>
      <c r="L22" t="s">
        <v>30</v>
      </c>
      <c r="M22" t="s">
        <v>8</v>
      </c>
      <c r="N22" t="b">
        <v>0</v>
      </c>
      <c r="O22">
        <v>0</v>
      </c>
      <c r="P22">
        <v>1</v>
      </c>
      <c r="Q22">
        <v>0</v>
      </c>
      <c r="R22">
        <v>1</v>
      </c>
    </row>
    <row r="23" spans="1:18" x14ac:dyDescent="0.25">
      <c r="A23" t="s">
        <v>13</v>
      </c>
      <c r="B23" t="s">
        <v>6</v>
      </c>
      <c r="C23">
        <v>4</v>
      </c>
      <c r="D23">
        <v>2</v>
      </c>
      <c r="E23">
        <v>2</v>
      </c>
      <c r="F23" s="15">
        <v>45964</v>
      </c>
      <c r="G23" t="s">
        <v>180</v>
      </c>
      <c r="H23">
        <v>5</v>
      </c>
      <c r="I23">
        <v>2025</v>
      </c>
      <c r="J23">
        <v>11</v>
      </c>
      <c r="K23" t="s">
        <v>87</v>
      </c>
      <c r="L23" t="s">
        <v>14</v>
      </c>
      <c r="M23" t="s">
        <v>6</v>
      </c>
      <c r="N23" t="b">
        <v>0</v>
      </c>
      <c r="O23">
        <v>0</v>
      </c>
      <c r="P23">
        <v>1</v>
      </c>
      <c r="Q23">
        <v>0</v>
      </c>
      <c r="R23">
        <v>0</v>
      </c>
    </row>
    <row r="24" spans="1:18" x14ac:dyDescent="0.25">
      <c r="A24" t="s">
        <v>13</v>
      </c>
      <c r="B24" t="s">
        <v>6</v>
      </c>
      <c r="C24">
        <v>4</v>
      </c>
      <c r="D24">
        <v>2</v>
      </c>
      <c r="E24">
        <v>2</v>
      </c>
      <c r="F24" s="15">
        <v>45964</v>
      </c>
      <c r="G24" t="s">
        <v>180</v>
      </c>
      <c r="H24">
        <v>5</v>
      </c>
      <c r="I24">
        <v>2025</v>
      </c>
      <c r="J24">
        <v>11</v>
      </c>
      <c r="K24" t="s">
        <v>87</v>
      </c>
      <c r="L24" t="s">
        <v>16</v>
      </c>
      <c r="M24" t="s">
        <v>6</v>
      </c>
      <c r="N24" t="b">
        <v>0</v>
      </c>
      <c r="O24">
        <v>0</v>
      </c>
      <c r="P24">
        <v>1</v>
      </c>
      <c r="Q24">
        <v>0</v>
      </c>
      <c r="R24">
        <v>0</v>
      </c>
    </row>
    <row r="25" spans="1:18" x14ac:dyDescent="0.25">
      <c r="A25" t="s">
        <v>13</v>
      </c>
      <c r="B25" t="s">
        <v>6</v>
      </c>
      <c r="C25">
        <v>4</v>
      </c>
      <c r="D25">
        <v>2</v>
      </c>
      <c r="E25">
        <v>2</v>
      </c>
      <c r="F25" s="15">
        <v>45964</v>
      </c>
      <c r="G25" t="s">
        <v>180</v>
      </c>
      <c r="H25">
        <v>5</v>
      </c>
      <c r="I25">
        <v>2025</v>
      </c>
      <c r="J25">
        <v>11</v>
      </c>
      <c r="K25" t="s">
        <v>87</v>
      </c>
      <c r="L25" t="s">
        <v>17</v>
      </c>
      <c r="M25" t="s">
        <v>6</v>
      </c>
      <c r="N25" t="b">
        <v>0</v>
      </c>
      <c r="O25">
        <v>0</v>
      </c>
      <c r="P25">
        <v>1</v>
      </c>
      <c r="Q25">
        <v>0</v>
      </c>
      <c r="R25">
        <v>0</v>
      </c>
    </row>
    <row r="26" spans="1:18" x14ac:dyDescent="0.25">
      <c r="A26" t="s">
        <v>16</v>
      </c>
      <c r="B26" t="s">
        <v>6</v>
      </c>
      <c r="C26">
        <v>1</v>
      </c>
      <c r="D26">
        <v>2</v>
      </c>
      <c r="E26">
        <v>2</v>
      </c>
      <c r="F26" s="15">
        <v>45964</v>
      </c>
      <c r="G26" t="s">
        <v>180</v>
      </c>
      <c r="H26">
        <v>5</v>
      </c>
      <c r="I26">
        <v>2025</v>
      </c>
      <c r="J26">
        <v>11</v>
      </c>
      <c r="K26" t="s">
        <v>87</v>
      </c>
      <c r="L26" t="s">
        <v>30</v>
      </c>
      <c r="M26" t="s">
        <v>8</v>
      </c>
      <c r="N26" t="b">
        <v>0</v>
      </c>
      <c r="O26">
        <v>0</v>
      </c>
      <c r="P26">
        <v>1</v>
      </c>
      <c r="Q26">
        <v>0</v>
      </c>
      <c r="R26">
        <v>1</v>
      </c>
    </row>
    <row r="27" spans="1:18" x14ac:dyDescent="0.25">
      <c r="A27" t="s">
        <v>16</v>
      </c>
      <c r="B27" t="s">
        <v>6</v>
      </c>
      <c r="C27">
        <v>1</v>
      </c>
      <c r="D27">
        <v>2</v>
      </c>
      <c r="E27">
        <v>2</v>
      </c>
      <c r="F27" s="15">
        <v>45964</v>
      </c>
      <c r="G27" t="s">
        <v>180</v>
      </c>
      <c r="H27">
        <v>5</v>
      </c>
      <c r="I27">
        <v>2025</v>
      </c>
      <c r="J27">
        <v>11</v>
      </c>
      <c r="K27" t="s">
        <v>87</v>
      </c>
      <c r="L27" t="s">
        <v>14</v>
      </c>
      <c r="M27" t="s">
        <v>6</v>
      </c>
      <c r="N27" t="b">
        <v>0</v>
      </c>
      <c r="O27">
        <v>0</v>
      </c>
      <c r="P27">
        <v>1</v>
      </c>
      <c r="Q27">
        <v>0</v>
      </c>
      <c r="R27">
        <v>0</v>
      </c>
    </row>
    <row r="28" spans="1:18" x14ac:dyDescent="0.25">
      <c r="A28" t="s">
        <v>16</v>
      </c>
      <c r="B28" t="s">
        <v>6</v>
      </c>
      <c r="C28">
        <v>1</v>
      </c>
      <c r="D28">
        <v>2</v>
      </c>
      <c r="E28">
        <v>2</v>
      </c>
      <c r="F28" s="15">
        <v>45964</v>
      </c>
      <c r="G28" t="s">
        <v>180</v>
      </c>
      <c r="H28">
        <v>5</v>
      </c>
      <c r="I28">
        <v>2025</v>
      </c>
      <c r="J28">
        <v>11</v>
      </c>
      <c r="K28" t="s">
        <v>87</v>
      </c>
      <c r="L28" t="s">
        <v>13</v>
      </c>
      <c r="M28" t="s">
        <v>6</v>
      </c>
      <c r="N28" t="b">
        <v>0</v>
      </c>
      <c r="O28">
        <v>0</v>
      </c>
      <c r="P28">
        <v>1</v>
      </c>
      <c r="Q28">
        <v>0</v>
      </c>
      <c r="R28">
        <v>0</v>
      </c>
    </row>
    <row r="29" spans="1:18" x14ac:dyDescent="0.25">
      <c r="A29" t="s">
        <v>16</v>
      </c>
      <c r="B29" t="s">
        <v>6</v>
      </c>
      <c r="C29">
        <v>1</v>
      </c>
      <c r="D29">
        <v>2</v>
      </c>
      <c r="E29">
        <v>2</v>
      </c>
      <c r="F29" s="15">
        <v>45964</v>
      </c>
      <c r="G29" t="s">
        <v>180</v>
      </c>
      <c r="H29">
        <v>5</v>
      </c>
      <c r="I29">
        <v>2025</v>
      </c>
      <c r="J29">
        <v>11</v>
      </c>
      <c r="K29" t="s">
        <v>87</v>
      </c>
      <c r="L29" t="s">
        <v>17</v>
      </c>
      <c r="M29" t="s">
        <v>6</v>
      </c>
      <c r="N29" t="b">
        <v>0</v>
      </c>
      <c r="O29">
        <v>0</v>
      </c>
      <c r="P29">
        <v>1</v>
      </c>
      <c r="Q29">
        <v>0</v>
      </c>
      <c r="R29">
        <v>0</v>
      </c>
    </row>
    <row r="30" spans="1:18" x14ac:dyDescent="0.25">
      <c r="A30" t="s">
        <v>17</v>
      </c>
      <c r="B30" t="s">
        <v>6</v>
      </c>
      <c r="C30">
        <v>5</v>
      </c>
      <c r="D30">
        <v>2</v>
      </c>
      <c r="E30">
        <v>2</v>
      </c>
      <c r="F30" s="15">
        <v>45964</v>
      </c>
      <c r="G30" t="s">
        <v>180</v>
      </c>
      <c r="H30">
        <v>5</v>
      </c>
      <c r="I30">
        <v>2025</v>
      </c>
      <c r="J30">
        <v>11</v>
      </c>
      <c r="K30" t="s">
        <v>87</v>
      </c>
      <c r="L30" t="s">
        <v>30</v>
      </c>
      <c r="M30" t="s">
        <v>8</v>
      </c>
      <c r="N30" t="b">
        <v>0</v>
      </c>
      <c r="O30">
        <v>0</v>
      </c>
      <c r="P30">
        <v>1</v>
      </c>
      <c r="Q30">
        <v>0</v>
      </c>
      <c r="R30">
        <v>1</v>
      </c>
    </row>
    <row r="31" spans="1:18" x14ac:dyDescent="0.25">
      <c r="A31" t="s">
        <v>17</v>
      </c>
      <c r="B31" t="s">
        <v>6</v>
      </c>
      <c r="C31">
        <v>5</v>
      </c>
      <c r="D31">
        <v>2</v>
      </c>
      <c r="E31">
        <v>2</v>
      </c>
      <c r="F31" s="15">
        <v>45964</v>
      </c>
      <c r="G31" t="s">
        <v>180</v>
      </c>
      <c r="H31">
        <v>5</v>
      </c>
      <c r="I31">
        <v>2025</v>
      </c>
      <c r="J31">
        <v>11</v>
      </c>
      <c r="K31" t="s">
        <v>87</v>
      </c>
      <c r="L31" t="s">
        <v>14</v>
      </c>
      <c r="M31" t="s">
        <v>6</v>
      </c>
      <c r="N31" t="b">
        <v>0</v>
      </c>
      <c r="O31">
        <v>0</v>
      </c>
      <c r="P31">
        <v>1</v>
      </c>
      <c r="Q31">
        <v>0</v>
      </c>
      <c r="R31">
        <v>0</v>
      </c>
    </row>
    <row r="32" spans="1:18" x14ac:dyDescent="0.25">
      <c r="A32" t="s">
        <v>17</v>
      </c>
      <c r="B32" t="s">
        <v>6</v>
      </c>
      <c r="C32">
        <v>5</v>
      </c>
      <c r="D32">
        <v>2</v>
      </c>
      <c r="E32">
        <v>2</v>
      </c>
      <c r="F32" s="15">
        <v>45964</v>
      </c>
      <c r="G32" t="s">
        <v>180</v>
      </c>
      <c r="H32">
        <v>5</v>
      </c>
      <c r="I32">
        <v>2025</v>
      </c>
      <c r="J32">
        <v>11</v>
      </c>
      <c r="K32" t="s">
        <v>87</v>
      </c>
      <c r="L32" t="s">
        <v>13</v>
      </c>
      <c r="M32" t="s">
        <v>6</v>
      </c>
      <c r="N32" t="b">
        <v>0</v>
      </c>
      <c r="O32">
        <v>0</v>
      </c>
      <c r="P32">
        <v>1</v>
      </c>
      <c r="Q32">
        <v>0</v>
      </c>
      <c r="R32">
        <v>0</v>
      </c>
    </row>
    <row r="33" spans="1:18" x14ac:dyDescent="0.25">
      <c r="A33" t="s">
        <v>17</v>
      </c>
      <c r="B33" t="s">
        <v>6</v>
      </c>
      <c r="C33">
        <v>5</v>
      </c>
      <c r="D33">
        <v>2</v>
      </c>
      <c r="E33">
        <v>2</v>
      </c>
      <c r="F33" s="15">
        <v>45964</v>
      </c>
      <c r="G33" t="s">
        <v>180</v>
      </c>
      <c r="H33">
        <v>5</v>
      </c>
      <c r="I33">
        <v>2025</v>
      </c>
      <c r="J33">
        <v>11</v>
      </c>
      <c r="K33" t="s">
        <v>87</v>
      </c>
      <c r="L33" t="s">
        <v>16</v>
      </c>
      <c r="M33" t="s">
        <v>6</v>
      </c>
      <c r="N33" t="b">
        <v>0</v>
      </c>
      <c r="O33">
        <v>0</v>
      </c>
      <c r="P33">
        <v>1</v>
      </c>
      <c r="Q33">
        <v>0</v>
      </c>
      <c r="R33">
        <v>0</v>
      </c>
    </row>
    <row r="34" spans="1:18" x14ac:dyDescent="0.25">
      <c r="A34" t="s">
        <v>30</v>
      </c>
      <c r="B34" t="s">
        <v>6</v>
      </c>
      <c r="C34">
        <v>3</v>
      </c>
      <c r="D34">
        <v>3</v>
      </c>
      <c r="E34">
        <v>1</v>
      </c>
      <c r="F34" s="15">
        <v>45964</v>
      </c>
      <c r="G34" t="s">
        <v>204</v>
      </c>
      <c r="H34">
        <v>5</v>
      </c>
      <c r="I34">
        <v>2025</v>
      </c>
      <c r="J34">
        <v>11</v>
      </c>
      <c r="K34" t="s">
        <v>87</v>
      </c>
      <c r="L34" t="s">
        <v>57</v>
      </c>
      <c r="M34" t="s">
        <v>6</v>
      </c>
      <c r="N34" t="b">
        <v>0</v>
      </c>
      <c r="O34">
        <v>0</v>
      </c>
      <c r="P34">
        <v>1</v>
      </c>
      <c r="Q34">
        <v>0</v>
      </c>
      <c r="R34">
        <v>0</v>
      </c>
    </row>
    <row r="35" spans="1:18" x14ac:dyDescent="0.25">
      <c r="A35" t="s">
        <v>30</v>
      </c>
      <c r="B35" t="s">
        <v>6</v>
      </c>
      <c r="C35">
        <v>3</v>
      </c>
      <c r="D35">
        <v>3</v>
      </c>
      <c r="E35">
        <v>1</v>
      </c>
      <c r="F35" s="15">
        <v>45964</v>
      </c>
      <c r="G35" t="s">
        <v>204</v>
      </c>
      <c r="H35">
        <v>5</v>
      </c>
      <c r="I35">
        <v>2025</v>
      </c>
      <c r="J35">
        <v>11</v>
      </c>
      <c r="K35" t="s">
        <v>87</v>
      </c>
      <c r="L35" t="s">
        <v>28</v>
      </c>
      <c r="M35" t="s">
        <v>8</v>
      </c>
      <c r="N35" t="b">
        <v>0</v>
      </c>
      <c r="O35">
        <v>0</v>
      </c>
      <c r="P35">
        <v>1</v>
      </c>
      <c r="Q35">
        <v>0</v>
      </c>
      <c r="R35">
        <v>1</v>
      </c>
    </row>
    <row r="36" spans="1:18" x14ac:dyDescent="0.25">
      <c r="A36" t="s">
        <v>30</v>
      </c>
      <c r="B36" t="s">
        <v>6</v>
      </c>
      <c r="C36">
        <v>3</v>
      </c>
      <c r="D36">
        <v>3</v>
      </c>
      <c r="E36">
        <v>1</v>
      </c>
      <c r="F36" s="15">
        <v>45964</v>
      </c>
      <c r="G36" t="s">
        <v>204</v>
      </c>
      <c r="H36">
        <v>5</v>
      </c>
      <c r="I36">
        <v>2025</v>
      </c>
      <c r="J36">
        <v>11</v>
      </c>
      <c r="K36" t="s">
        <v>87</v>
      </c>
      <c r="L36" t="s">
        <v>38</v>
      </c>
      <c r="M36" t="s">
        <v>6</v>
      </c>
      <c r="N36" t="b">
        <v>0</v>
      </c>
      <c r="O36">
        <v>0</v>
      </c>
      <c r="P36">
        <v>1</v>
      </c>
      <c r="Q36">
        <v>0</v>
      </c>
      <c r="R36">
        <v>0</v>
      </c>
    </row>
    <row r="37" spans="1:18" x14ac:dyDescent="0.25">
      <c r="A37" t="s">
        <v>30</v>
      </c>
      <c r="B37" t="s">
        <v>6</v>
      </c>
      <c r="C37">
        <v>3</v>
      </c>
      <c r="D37">
        <v>3</v>
      </c>
      <c r="E37">
        <v>1</v>
      </c>
      <c r="F37" s="15">
        <v>45964</v>
      </c>
      <c r="G37" t="s">
        <v>204</v>
      </c>
      <c r="H37">
        <v>5</v>
      </c>
      <c r="I37">
        <v>2025</v>
      </c>
      <c r="J37">
        <v>11</v>
      </c>
      <c r="K37" t="s">
        <v>87</v>
      </c>
      <c r="L37" t="s">
        <v>17</v>
      </c>
      <c r="M37" t="s">
        <v>6</v>
      </c>
      <c r="N37" t="b">
        <v>0</v>
      </c>
      <c r="O37">
        <v>0</v>
      </c>
      <c r="P37">
        <v>1</v>
      </c>
      <c r="Q37">
        <v>0</v>
      </c>
      <c r="R37">
        <v>0</v>
      </c>
    </row>
    <row r="38" spans="1:18" x14ac:dyDescent="0.25">
      <c r="A38" t="s">
        <v>57</v>
      </c>
      <c r="B38" t="s">
        <v>6</v>
      </c>
      <c r="C38">
        <v>1</v>
      </c>
      <c r="D38">
        <v>3</v>
      </c>
      <c r="E38">
        <v>1</v>
      </c>
      <c r="F38" s="15">
        <v>45964</v>
      </c>
      <c r="G38" t="s">
        <v>204</v>
      </c>
      <c r="H38">
        <v>5</v>
      </c>
      <c r="I38">
        <v>2025</v>
      </c>
      <c r="J38">
        <v>11</v>
      </c>
      <c r="K38" t="s">
        <v>87</v>
      </c>
      <c r="L38" t="s">
        <v>30</v>
      </c>
      <c r="M38" t="s">
        <v>6</v>
      </c>
      <c r="N38" t="b">
        <v>0</v>
      </c>
      <c r="O38">
        <v>0</v>
      </c>
      <c r="P38">
        <v>1</v>
      </c>
      <c r="Q38">
        <v>0</v>
      </c>
      <c r="R38">
        <v>0</v>
      </c>
    </row>
    <row r="39" spans="1:18" x14ac:dyDescent="0.25">
      <c r="A39" t="s">
        <v>57</v>
      </c>
      <c r="B39" t="s">
        <v>6</v>
      </c>
      <c r="C39">
        <v>1</v>
      </c>
      <c r="D39">
        <v>3</v>
      </c>
      <c r="E39">
        <v>1</v>
      </c>
      <c r="F39" s="15">
        <v>45964</v>
      </c>
      <c r="G39" t="s">
        <v>204</v>
      </c>
      <c r="H39">
        <v>5</v>
      </c>
      <c r="I39">
        <v>2025</v>
      </c>
      <c r="J39">
        <v>11</v>
      </c>
      <c r="K39" t="s">
        <v>87</v>
      </c>
      <c r="L39" t="s">
        <v>28</v>
      </c>
      <c r="M39" t="s">
        <v>8</v>
      </c>
      <c r="N39" t="b">
        <v>0</v>
      </c>
      <c r="O39">
        <v>0</v>
      </c>
      <c r="P39">
        <v>1</v>
      </c>
      <c r="Q39">
        <v>0</v>
      </c>
      <c r="R39">
        <v>1</v>
      </c>
    </row>
    <row r="40" spans="1:18" x14ac:dyDescent="0.25">
      <c r="A40" t="s">
        <v>57</v>
      </c>
      <c r="B40" t="s">
        <v>6</v>
      </c>
      <c r="C40">
        <v>1</v>
      </c>
      <c r="D40">
        <v>3</v>
      </c>
      <c r="E40">
        <v>1</v>
      </c>
      <c r="F40" s="15">
        <v>45964</v>
      </c>
      <c r="G40" t="s">
        <v>204</v>
      </c>
      <c r="H40">
        <v>5</v>
      </c>
      <c r="I40">
        <v>2025</v>
      </c>
      <c r="J40">
        <v>11</v>
      </c>
      <c r="K40" t="s">
        <v>87</v>
      </c>
      <c r="L40" t="s">
        <v>38</v>
      </c>
      <c r="M40" t="s">
        <v>6</v>
      </c>
      <c r="N40" t="b">
        <v>0</v>
      </c>
      <c r="O40">
        <v>0</v>
      </c>
      <c r="P40">
        <v>1</v>
      </c>
      <c r="Q40">
        <v>0</v>
      </c>
      <c r="R40">
        <v>0</v>
      </c>
    </row>
    <row r="41" spans="1:18" x14ac:dyDescent="0.25">
      <c r="A41" t="s">
        <v>57</v>
      </c>
      <c r="B41" t="s">
        <v>6</v>
      </c>
      <c r="C41">
        <v>1</v>
      </c>
      <c r="D41">
        <v>3</v>
      </c>
      <c r="E41">
        <v>1</v>
      </c>
      <c r="F41" s="15">
        <v>45964</v>
      </c>
      <c r="G41" t="s">
        <v>204</v>
      </c>
      <c r="H41">
        <v>5</v>
      </c>
      <c r="I41">
        <v>2025</v>
      </c>
      <c r="J41">
        <v>11</v>
      </c>
      <c r="K41" t="s">
        <v>87</v>
      </c>
      <c r="L41" t="s">
        <v>17</v>
      </c>
      <c r="M41" t="s">
        <v>6</v>
      </c>
      <c r="N41" t="b">
        <v>0</v>
      </c>
      <c r="O41">
        <v>0</v>
      </c>
      <c r="P41">
        <v>1</v>
      </c>
      <c r="Q41">
        <v>0</v>
      </c>
      <c r="R41">
        <v>0</v>
      </c>
    </row>
    <row r="42" spans="1:18" x14ac:dyDescent="0.25">
      <c r="A42" t="s">
        <v>28</v>
      </c>
      <c r="B42" t="s">
        <v>8</v>
      </c>
      <c r="C42">
        <v>2</v>
      </c>
      <c r="D42">
        <v>3</v>
      </c>
      <c r="E42">
        <v>1</v>
      </c>
      <c r="F42" s="15">
        <v>45964</v>
      </c>
      <c r="G42" t="s">
        <v>204</v>
      </c>
      <c r="H42">
        <v>5</v>
      </c>
      <c r="I42">
        <v>2025</v>
      </c>
      <c r="J42">
        <v>11</v>
      </c>
      <c r="K42" t="s">
        <v>87</v>
      </c>
      <c r="L42" t="s">
        <v>30</v>
      </c>
      <c r="M42" t="s">
        <v>6</v>
      </c>
      <c r="N42" t="b">
        <v>0</v>
      </c>
      <c r="O42">
        <v>1</v>
      </c>
      <c r="P42">
        <v>0</v>
      </c>
      <c r="Q42">
        <v>0</v>
      </c>
      <c r="R42">
        <v>0</v>
      </c>
    </row>
    <row r="43" spans="1:18" x14ac:dyDescent="0.25">
      <c r="A43" t="s">
        <v>28</v>
      </c>
      <c r="B43" t="s">
        <v>8</v>
      </c>
      <c r="C43">
        <v>2</v>
      </c>
      <c r="D43">
        <v>3</v>
      </c>
      <c r="E43">
        <v>1</v>
      </c>
      <c r="F43" s="15">
        <v>45964</v>
      </c>
      <c r="G43" t="s">
        <v>204</v>
      </c>
      <c r="H43">
        <v>5</v>
      </c>
      <c r="I43">
        <v>2025</v>
      </c>
      <c r="J43">
        <v>11</v>
      </c>
      <c r="K43" t="s">
        <v>87</v>
      </c>
      <c r="L43" t="s">
        <v>57</v>
      </c>
      <c r="M43" t="s">
        <v>6</v>
      </c>
      <c r="N43" t="b">
        <v>0</v>
      </c>
      <c r="O43">
        <v>1</v>
      </c>
      <c r="P43">
        <v>0</v>
      </c>
      <c r="Q43">
        <v>0</v>
      </c>
      <c r="R43">
        <v>0</v>
      </c>
    </row>
    <row r="44" spans="1:18" x14ac:dyDescent="0.25">
      <c r="A44" t="s">
        <v>28</v>
      </c>
      <c r="B44" t="s">
        <v>8</v>
      </c>
      <c r="C44">
        <v>2</v>
      </c>
      <c r="D44">
        <v>3</v>
      </c>
      <c r="E44">
        <v>1</v>
      </c>
      <c r="F44" s="15">
        <v>45964</v>
      </c>
      <c r="G44" t="s">
        <v>204</v>
      </c>
      <c r="H44">
        <v>5</v>
      </c>
      <c r="I44">
        <v>2025</v>
      </c>
      <c r="J44">
        <v>11</v>
      </c>
      <c r="K44" t="s">
        <v>87</v>
      </c>
      <c r="L44" t="s">
        <v>38</v>
      </c>
      <c r="M44" t="s">
        <v>6</v>
      </c>
      <c r="N44" t="b">
        <v>0</v>
      </c>
      <c r="O44">
        <v>1</v>
      </c>
      <c r="P44">
        <v>0</v>
      </c>
      <c r="Q44">
        <v>0</v>
      </c>
      <c r="R44">
        <v>0</v>
      </c>
    </row>
    <row r="45" spans="1:18" x14ac:dyDescent="0.25">
      <c r="A45" t="s">
        <v>28</v>
      </c>
      <c r="B45" t="s">
        <v>8</v>
      </c>
      <c r="C45">
        <v>2</v>
      </c>
      <c r="D45">
        <v>3</v>
      </c>
      <c r="E45">
        <v>1</v>
      </c>
      <c r="F45" s="15">
        <v>45964</v>
      </c>
      <c r="G45" t="s">
        <v>204</v>
      </c>
      <c r="H45">
        <v>5</v>
      </c>
      <c r="I45">
        <v>2025</v>
      </c>
      <c r="J45">
        <v>11</v>
      </c>
      <c r="K45" t="s">
        <v>87</v>
      </c>
      <c r="L45" t="s">
        <v>17</v>
      </c>
      <c r="M45" t="s">
        <v>6</v>
      </c>
      <c r="N45" t="b">
        <v>0</v>
      </c>
      <c r="O45">
        <v>1</v>
      </c>
      <c r="P45">
        <v>0</v>
      </c>
      <c r="Q45">
        <v>0</v>
      </c>
      <c r="R45">
        <v>0</v>
      </c>
    </row>
    <row r="46" spans="1:18" x14ac:dyDescent="0.25">
      <c r="A46" t="s">
        <v>38</v>
      </c>
      <c r="B46" t="s">
        <v>6</v>
      </c>
      <c r="C46">
        <v>4</v>
      </c>
      <c r="D46">
        <v>3</v>
      </c>
      <c r="E46">
        <v>1</v>
      </c>
      <c r="F46" s="15">
        <v>45964</v>
      </c>
      <c r="G46" t="s">
        <v>204</v>
      </c>
      <c r="H46">
        <v>5</v>
      </c>
      <c r="I46">
        <v>2025</v>
      </c>
      <c r="J46">
        <v>11</v>
      </c>
      <c r="K46" t="s">
        <v>87</v>
      </c>
      <c r="L46" t="s">
        <v>30</v>
      </c>
      <c r="M46" t="s">
        <v>6</v>
      </c>
      <c r="N46" t="b">
        <v>0</v>
      </c>
      <c r="O46">
        <v>0</v>
      </c>
      <c r="P46">
        <v>1</v>
      </c>
      <c r="Q46">
        <v>0</v>
      </c>
      <c r="R46">
        <v>0</v>
      </c>
    </row>
    <row r="47" spans="1:18" x14ac:dyDescent="0.25">
      <c r="A47" t="s">
        <v>38</v>
      </c>
      <c r="B47" t="s">
        <v>6</v>
      </c>
      <c r="C47">
        <v>4</v>
      </c>
      <c r="D47">
        <v>3</v>
      </c>
      <c r="E47">
        <v>1</v>
      </c>
      <c r="F47" s="15">
        <v>45964</v>
      </c>
      <c r="G47" t="s">
        <v>204</v>
      </c>
      <c r="H47">
        <v>5</v>
      </c>
      <c r="I47">
        <v>2025</v>
      </c>
      <c r="J47">
        <v>11</v>
      </c>
      <c r="K47" t="s">
        <v>87</v>
      </c>
      <c r="L47" t="s">
        <v>57</v>
      </c>
      <c r="M47" t="s">
        <v>6</v>
      </c>
      <c r="N47" t="b">
        <v>0</v>
      </c>
      <c r="O47">
        <v>0</v>
      </c>
      <c r="P47">
        <v>1</v>
      </c>
      <c r="Q47">
        <v>0</v>
      </c>
      <c r="R47">
        <v>0</v>
      </c>
    </row>
    <row r="48" spans="1:18" x14ac:dyDescent="0.25">
      <c r="A48" t="s">
        <v>38</v>
      </c>
      <c r="B48" t="s">
        <v>6</v>
      </c>
      <c r="C48">
        <v>4</v>
      </c>
      <c r="D48">
        <v>3</v>
      </c>
      <c r="E48">
        <v>1</v>
      </c>
      <c r="F48" s="15">
        <v>45964</v>
      </c>
      <c r="G48" t="s">
        <v>204</v>
      </c>
      <c r="H48">
        <v>5</v>
      </c>
      <c r="I48">
        <v>2025</v>
      </c>
      <c r="J48">
        <v>11</v>
      </c>
      <c r="K48" t="s">
        <v>87</v>
      </c>
      <c r="L48" t="s">
        <v>28</v>
      </c>
      <c r="M48" t="s">
        <v>8</v>
      </c>
      <c r="N48" t="b">
        <v>0</v>
      </c>
      <c r="O48">
        <v>0</v>
      </c>
      <c r="P48">
        <v>1</v>
      </c>
      <c r="Q48">
        <v>0</v>
      </c>
      <c r="R48">
        <v>1</v>
      </c>
    </row>
    <row r="49" spans="1:18" x14ac:dyDescent="0.25">
      <c r="A49" t="s">
        <v>38</v>
      </c>
      <c r="B49" t="s">
        <v>6</v>
      </c>
      <c r="C49">
        <v>4</v>
      </c>
      <c r="D49">
        <v>3</v>
      </c>
      <c r="E49">
        <v>1</v>
      </c>
      <c r="F49" s="15">
        <v>45964</v>
      </c>
      <c r="G49" t="s">
        <v>204</v>
      </c>
      <c r="H49">
        <v>5</v>
      </c>
      <c r="I49">
        <v>2025</v>
      </c>
      <c r="J49">
        <v>11</v>
      </c>
      <c r="K49" t="s">
        <v>87</v>
      </c>
      <c r="L49" t="s">
        <v>17</v>
      </c>
      <c r="M49" t="s">
        <v>6</v>
      </c>
      <c r="N49" t="b">
        <v>0</v>
      </c>
      <c r="O49">
        <v>0</v>
      </c>
      <c r="P49">
        <v>1</v>
      </c>
      <c r="Q49">
        <v>0</v>
      </c>
      <c r="R49">
        <v>0</v>
      </c>
    </row>
    <row r="50" spans="1:18" x14ac:dyDescent="0.25">
      <c r="A50" t="s">
        <v>17</v>
      </c>
      <c r="B50" t="s">
        <v>6</v>
      </c>
      <c r="C50">
        <v>5</v>
      </c>
      <c r="D50">
        <v>3</v>
      </c>
      <c r="E50">
        <v>1</v>
      </c>
      <c r="F50" s="15">
        <v>45964</v>
      </c>
      <c r="G50" t="s">
        <v>204</v>
      </c>
      <c r="H50">
        <v>5</v>
      </c>
      <c r="I50">
        <v>2025</v>
      </c>
      <c r="J50">
        <v>11</v>
      </c>
      <c r="K50" t="s">
        <v>87</v>
      </c>
      <c r="L50" t="s">
        <v>30</v>
      </c>
      <c r="M50" t="s">
        <v>6</v>
      </c>
      <c r="N50" t="b">
        <v>0</v>
      </c>
      <c r="O50">
        <v>0</v>
      </c>
      <c r="P50">
        <v>1</v>
      </c>
      <c r="Q50">
        <v>0</v>
      </c>
      <c r="R50">
        <v>0</v>
      </c>
    </row>
    <row r="51" spans="1:18" x14ac:dyDescent="0.25">
      <c r="A51" t="s">
        <v>17</v>
      </c>
      <c r="B51" t="s">
        <v>6</v>
      </c>
      <c r="C51">
        <v>5</v>
      </c>
      <c r="D51">
        <v>3</v>
      </c>
      <c r="E51">
        <v>1</v>
      </c>
      <c r="F51" s="15">
        <v>45964</v>
      </c>
      <c r="G51" t="s">
        <v>204</v>
      </c>
      <c r="H51">
        <v>5</v>
      </c>
      <c r="I51">
        <v>2025</v>
      </c>
      <c r="J51">
        <v>11</v>
      </c>
      <c r="K51" t="s">
        <v>87</v>
      </c>
      <c r="L51" t="s">
        <v>57</v>
      </c>
      <c r="M51" t="s">
        <v>6</v>
      </c>
      <c r="N51" t="b">
        <v>0</v>
      </c>
      <c r="O51">
        <v>0</v>
      </c>
      <c r="P51">
        <v>1</v>
      </c>
      <c r="Q51">
        <v>0</v>
      </c>
      <c r="R51">
        <v>0</v>
      </c>
    </row>
    <row r="52" spans="1:18" x14ac:dyDescent="0.25">
      <c r="A52" t="s">
        <v>17</v>
      </c>
      <c r="B52" t="s">
        <v>6</v>
      </c>
      <c r="C52">
        <v>5</v>
      </c>
      <c r="D52">
        <v>3</v>
      </c>
      <c r="E52">
        <v>1</v>
      </c>
      <c r="F52" s="15">
        <v>45964</v>
      </c>
      <c r="G52" t="s">
        <v>204</v>
      </c>
      <c r="H52">
        <v>5</v>
      </c>
      <c r="I52">
        <v>2025</v>
      </c>
      <c r="J52">
        <v>11</v>
      </c>
      <c r="K52" t="s">
        <v>87</v>
      </c>
      <c r="L52" t="s">
        <v>28</v>
      </c>
      <c r="M52" t="s">
        <v>8</v>
      </c>
      <c r="N52" t="b">
        <v>0</v>
      </c>
      <c r="O52">
        <v>0</v>
      </c>
      <c r="P52">
        <v>1</v>
      </c>
      <c r="Q52">
        <v>0</v>
      </c>
      <c r="R52">
        <v>1</v>
      </c>
    </row>
    <row r="53" spans="1:18" x14ac:dyDescent="0.25">
      <c r="A53" t="s">
        <v>17</v>
      </c>
      <c r="B53" t="s">
        <v>6</v>
      </c>
      <c r="C53">
        <v>5</v>
      </c>
      <c r="D53">
        <v>3</v>
      </c>
      <c r="E53">
        <v>1</v>
      </c>
      <c r="F53" s="15">
        <v>45964</v>
      </c>
      <c r="G53" t="s">
        <v>204</v>
      </c>
      <c r="H53">
        <v>5</v>
      </c>
      <c r="I53">
        <v>2025</v>
      </c>
      <c r="J53">
        <v>11</v>
      </c>
      <c r="K53" t="s">
        <v>87</v>
      </c>
      <c r="L53" t="s">
        <v>38</v>
      </c>
      <c r="M53" t="s">
        <v>6</v>
      </c>
      <c r="N53" t="b">
        <v>0</v>
      </c>
      <c r="O53">
        <v>0</v>
      </c>
      <c r="P53">
        <v>1</v>
      </c>
      <c r="Q53">
        <v>0</v>
      </c>
      <c r="R53">
        <v>0</v>
      </c>
    </row>
    <row r="54" spans="1:18" x14ac:dyDescent="0.25">
      <c r="A54" t="s">
        <v>30</v>
      </c>
      <c r="B54" t="s">
        <v>8</v>
      </c>
      <c r="C54">
        <v>3</v>
      </c>
      <c r="D54">
        <v>4</v>
      </c>
      <c r="E54">
        <v>1</v>
      </c>
      <c r="F54" s="15">
        <v>45999</v>
      </c>
      <c r="G54" t="s">
        <v>255</v>
      </c>
      <c r="H54">
        <v>3</v>
      </c>
      <c r="I54">
        <v>2025</v>
      </c>
      <c r="J54">
        <v>12</v>
      </c>
      <c r="K54" t="s">
        <v>87</v>
      </c>
      <c r="L54" t="s">
        <v>13</v>
      </c>
      <c r="M54" t="s">
        <v>6</v>
      </c>
      <c r="N54" t="b">
        <v>0</v>
      </c>
      <c r="O54">
        <v>1</v>
      </c>
      <c r="P54">
        <v>0</v>
      </c>
      <c r="Q54">
        <v>0</v>
      </c>
      <c r="R54">
        <v>0</v>
      </c>
    </row>
    <row r="55" spans="1:18" x14ac:dyDescent="0.25">
      <c r="A55" t="s">
        <v>30</v>
      </c>
      <c r="B55" t="s">
        <v>8</v>
      </c>
      <c r="C55">
        <v>3</v>
      </c>
      <c r="D55">
        <v>4</v>
      </c>
      <c r="E55">
        <v>1</v>
      </c>
      <c r="F55" s="15">
        <v>45999</v>
      </c>
      <c r="G55" t="s">
        <v>255</v>
      </c>
      <c r="H55">
        <v>3</v>
      </c>
      <c r="I55">
        <v>2025</v>
      </c>
      <c r="J55">
        <v>12</v>
      </c>
      <c r="K55" t="s">
        <v>87</v>
      </c>
      <c r="L55" t="s">
        <v>20</v>
      </c>
      <c r="M55" t="s">
        <v>6</v>
      </c>
      <c r="N55" t="b">
        <v>0</v>
      </c>
      <c r="O55">
        <v>1</v>
      </c>
      <c r="P55">
        <v>0</v>
      </c>
      <c r="Q55">
        <v>0</v>
      </c>
      <c r="R55">
        <v>0</v>
      </c>
    </row>
    <row r="56" spans="1:18" x14ac:dyDescent="0.25">
      <c r="A56" t="s">
        <v>13</v>
      </c>
      <c r="B56" t="s">
        <v>6</v>
      </c>
      <c r="C56">
        <v>2</v>
      </c>
      <c r="D56">
        <v>4</v>
      </c>
      <c r="E56">
        <v>1</v>
      </c>
      <c r="F56" s="15">
        <v>45999</v>
      </c>
      <c r="G56" t="s">
        <v>255</v>
      </c>
      <c r="H56">
        <v>3</v>
      </c>
      <c r="I56">
        <v>2025</v>
      </c>
      <c r="J56">
        <v>12</v>
      </c>
      <c r="K56" t="s">
        <v>87</v>
      </c>
      <c r="L56" t="s">
        <v>30</v>
      </c>
      <c r="M56" t="s">
        <v>8</v>
      </c>
      <c r="N56" t="b">
        <v>0</v>
      </c>
      <c r="O56">
        <v>0</v>
      </c>
      <c r="P56">
        <v>1</v>
      </c>
      <c r="Q56">
        <v>0</v>
      </c>
      <c r="R56">
        <v>1</v>
      </c>
    </row>
    <row r="57" spans="1:18" x14ac:dyDescent="0.25">
      <c r="A57" t="s">
        <v>13</v>
      </c>
      <c r="B57" t="s">
        <v>6</v>
      </c>
      <c r="C57">
        <v>2</v>
      </c>
      <c r="D57">
        <v>4</v>
      </c>
      <c r="E57">
        <v>1</v>
      </c>
      <c r="F57" s="15">
        <v>45999</v>
      </c>
      <c r="G57" t="s">
        <v>255</v>
      </c>
      <c r="H57">
        <v>3</v>
      </c>
      <c r="I57">
        <v>2025</v>
      </c>
      <c r="J57">
        <v>12</v>
      </c>
      <c r="K57" t="s">
        <v>87</v>
      </c>
      <c r="L57" t="s">
        <v>20</v>
      </c>
      <c r="M57" t="s">
        <v>6</v>
      </c>
      <c r="N57" t="b">
        <v>0</v>
      </c>
      <c r="O57">
        <v>0</v>
      </c>
      <c r="P57">
        <v>1</v>
      </c>
      <c r="Q57">
        <v>0</v>
      </c>
      <c r="R57">
        <v>0</v>
      </c>
    </row>
    <row r="58" spans="1:18" x14ac:dyDescent="0.25">
      <c r="A58" t="s">
        <v>20</v>
      </c>
      <c r="B58" t="s">
        <v>6</v>
      </c>
      <c r="C58">
        <v>1</v>
      </c>
      <c r="D58">
        <v>4</v>
      </c>
      <c r="E58">
        <v>1</v>
      </c>
      <c r="F58" s="15">
        <v>45999</v>
      </c>
      <c r="G58" t="s">
        <v>255</v>
      </c>
      <c r="H58">
        <v>3</v>
      </c>
      <c r="I58">
        <v>2025</v>
      </c>
      <c r="J58">
        <v>12</v>
      </c>
      <c r="K58" t="s">
        <v>87</v>
      </c>
      <c r="L58" t="s">
        <v>30</v>
      </c>
      <c r="M58" t="s">
        <v>8</v>
      </c>
      <c r="N58" t="b">
        <v>0</v>
      </c>
      <c r="O58">
        <v>0</v>
      </c>
      <c r="P58">
        <v>1</v>
      </c>
      <c r="Q58">
        <v>0</v>
      </c>
      <c r="R58">
        <v>1</v>
      </c>
    </row>
    <row r="59" spans="1:18" x14ac:dyDescent="0.25">
      <c r="A59" t="s">
        <v>20</v>
      </c>
      <c r="B59" t="s">
        <v>6</v>
      </c>
      <c r="C59">
        <v>1</v>
      </c>
      <c r="D59">
        <v>4</v>
      </c>
      <c r="E59">
        <v>1</v>
      </c>
      <c r="F59" s="15">
        <v>45999</v>
      </c>
      <c r="G59" t="s">
        <v>255</v>
      </c>
      <c r="H59">
        <v>3</v>
      </c>
      <c r="I59">
        <v>2025</v>
      </c>
      <c r="J59">
        <v>12</v>
      </c>
      <c r="K59" t="s">
        <v>87</v>
      </c>
      <c r="L59" t="s">
        <v>13</v>
      </c>
      <c r="M59" t="s">
        <v>6</v>
      </c>
      <c r="N59" t="b">
        <v>0</v>
      </c>
      <c r="O59">
        <v>0</v>
      </c>
      <c r="P59">
        <v>1</v>
      </c>
      <c r="Q59">
        <v>0</v>
      </c>
      <c r="R59">
        <v>0</v>
      </c>
    </row>
    <row r="60" spans="1:18" x14ac:dyDescent="0.25">
      <c r="A60" t="s">
        <v>30</v>
      </c>
      <c r="B60" t="s">
        <v>63</v>
      </c>
      <c r="C60">
        <v>3</v>
      </c>
      <c r="D60">
        <v>3</v>
      </c>
      <c r="E60">
        <v>1</v>
      </c>
      <c r="F60" s="15">
        <v>46062</v>
      </c>
      <c r="G60" t="s">
        <v>355</v>
      </c>
      <c r="H60">
        <v>4</v>
      </c>
      <c r="I60">
        <v>2026</v>
      </c>
      <c r="J60">
        <v>2</v>
      </c>
      <c r="K60" t="s">
        <v>87</v>
      </c>
      <c r="L60" t="s">
        <v>7</v>
      </c>
      <c r="M60" t="s">
        <v>63</v>
      </c>
      <c r="N60" t="b">
        <v>0</v>
      </c>
      <c r="O60">
        <v>0</v>
      </c>
      <c r="P60">
        <v>0</v>
      </c>
      <c r="Q60">
        <v>1</v>
      </c>
      <c r="R60">
        <v>0</v>
      </c>
    </row>
    <row r="61" spans="1:18" x14ac:dyDescent="0.25">
      <c r="A61" t="s">
        <v>30</v>
      </c>
      <c r="B61" t="s">
        <v>63</v>
      </c>
      <c r="C61">
        <v>3</v>
      </c>
      <c r="D61">
        <v>3</v>
      </c>
      <c r="E61">
        <v>1</v>
      </c>
      <c r="F61" s="15">
        <v>46062</v>
      </c>
      <c r="G61" t="s">
        <v>355</v>
      </c>
      <c r="H61">
        <v>4</v>
      </c>
      <c r="I61">
        <v>2026</v>
      </c>
      <c r="J61">
        <v>2</v>
      </c>
      <c r="K61" t="s">
        <v>87</v>
      </c>
      <c r="L61" t="s">
        <v>364</v>
      </c>
      <c r="M61" t="s">
        <v>63</v>
      </c>
      <c r="N61" t="b">
        <v>0</v>
      </c>
      <c r="O61">
        <v>0</v>
      </c>
      <c r="P61">
        <v>0</v>
      </c>
      <c r="Q61">
        <v>1</v>
      </c>
      <c r="R61">
        <v>0</v>
      </c>
    </row>
    <row r="62" spans="1:18" x14ac:dyDescent="0.25">
      <c r="A62" t="s">
        <v>30</v>
      </c>
      <c r="B62" t="s">
        <v>63</v>
      </c>
      <c r="C62">
        <v>3</v>
      </c>
      <c r="D62">
        <v>3</v>
      </c>
      <c r="E62">
        <v>1</v>
      </c>
      <c r="F62" s="15">
        <v>46062</v>
      </c>
      <c r="G62" t="s">
        <v>355</v>
      </c>
      <c r="H62">
        <v>4</v>
      </c>
      <c r="I62">
        <v>2026</v>
      </c>
      <c r="J62">
        <v>2</v>
      </c>
      <c r="K62" t="s">
        <v>87</v>
      </c>
      <c r="L62" t="s">
        <v>17</v>
      </c>
      <c r="M62" t="s">
        <v>63</v>
      </c>
      <c r="N62" t="b">
        <v>0</v>
      </c>
      <c r="O62">
        <v>0</v>
      </c>
      <c r="P62">
        <v>0</v>
      </c>
      <c r="Q62">
        <v>1</v>
      </c>
      <c r="R62">
        <v>0</v>
      </c>
    </row>
    <row r="63" spans="1:18" x14ac:dyDescent="0.25">
      <c r="A63" t="s">
        <v>7</v>
      </c>
      <c r="B63" t="s">
        <v>63</v>
      </c>
      <c r="C63">
        <v>4</v>
      </c>
      <c r="D63">
        <v>3</v>
      </c>
      <c r="E63">
        <v>1</v>
      </c>
      <c r="F63" s="15">
        <v>46062</v>
      </c>
      <c r="G63" t="s">
        <v>355</v>
      </c>
      <c r="H63">
        <v>4</v>
      </c>
      <c r="I63">
        <v>2026</v>
      </c>
      <c r="J63">
        <v>2</v>
      </c>
      <c r="K63" t="s">
        <v>87</v>
      </c>
      <c r="L63" t="s">
        <v>30</v>
      </c>
      <c r="M63" t="s">
        <v>63</v>
      </c>
      <c r="N63" t="b">
        <v>0</v>
      </c>
      <c r="O63">
        <v>0</v>
      </c>
      <c r="P63">
        <v>0</v>
      </c>
      <c r="Q63">
        <v>1</v>
      </c>
      <c r="R63">
        <v>0</v>
      </c>
    </row>
    <row r="64" spans="1:18" x14ac:dyDescent="0.25">
      <c r="A64" t="s">
        <v>7</v>
      </c>
      <c r="B64" t="s">
        <v>63</v>
      </c>
      <c r="C64">
        <v>4</v>
      </c>
      <c r="D64">
        <v>3</v>
      </c>
      <c r="E64">
        <v>1</v>
      </c>
      <c r="F64" s="15">
        <v>46062</v>
      </c>
      <c r="G64" t="s">
        <v>355</v>
      </c>
      <c r="H64">
        <v>4</v>
      </c>
      <c r="I64">
        <v>2026</v>
      </c>
      <c r="J64">
        <v>2</v>
      </c>
      <c r="K64" t="s">
        <v>87</v>
      </c>
      <c r="L64" t="s">
        <v>364</v>
      </c>
      <c r="M64" t="s">
        <v>63</v>
      </c>
      <c r="N64" t="b">
        <v>0</v>
      </c>
      <c r="O64">
        <v>0</v>
      </c>
      <c r="P64">
        <v>0</v>
      </c>
      <c r="Q64">
        <v>1</v>
      </c>
      <c r="R64">
        <v>0</v>
      </c>
    </row>
    <row r="65" spans="1:18" x14ac:dyDescent="0.25">
      <c r="A65" t="s">
        <v>7</v>
      </c>
      <c r="B65" t="s">
        <v>63</v>
      </c>
      <c r="C65">
        <v>4</v>
      </c>
      <c r="D65">
        <v>3</v>
      </c>
      <c r="E65">
        <v>1</v>
      </c>
      <c r="F65" s="15">
        <v>46062</v>
      </c>
      <c r="G65" t="s">
        <v>355</v>
      </c>
      <c r="H65">
        <v>4</v>
      </c>
      <c r="I65">
        <v>2026</v>
      </c>
      <c r="J65">
        <v>2</v>
      </c>
      <c r="K65" t="s">
        <v>87</v>
      </c>
      <c r="L65" t="s">
        <v>17</v>
      </c>
      <c r="M65" t="s">
        <v>63</v>
      </c>
      <c r="N65" t="b">
        <v>0</v>
      </c>
      <c r="O65">
        <v>0</v>
      </c>
      <c r="P65">
        <v>0</v>
      </c>
      <c r="Q65">
        <v>1</v>
      </c>
      <c r="R65">
        <v>0</v>
      </c>
    </row>
    <row r="66" spans="1:18" x14ac:dyDescent="0.25">
      <c r="A66" t="s">
        <v>364</v>
      </c>
      <c r="B66" t="s">
        <v>63</v>
      </c>
      <c r="C66">
        <v>1</v>
      </c>
      <c r="D66">
        <v>3</v>
      </c>
      <c r="E66">
        <v>1</v>
      </c>
      <c r="F66" s="15">
        <v>46062</v>
      </c>
      <c r="G66" t="s">
        <v>355</v>
      </c>
      <c r="H66">
        <v>4</v>
      </c>
      <c r="I66">
        <v>2026</v>
      </c>
      <c r="J66">
        <v>2</v>
      </c>
      <c r="K66" t="s">
        <v>87</v>
      </c>
      <c r="L66" t="s">
        <v>30</v>
      </c>
      <c r="M66" t="s">
        <v>63</v>
      </c>
      <c r="N66" t="b">
        <v>0</v>
      </c>
      <c r="O66">
        <v>0</v>
      </c>
      <c r="P66">
        <v>0</v>
      </c>
      <c r="Q66">
        <v>1</v>
      </c>
      <c r="R66">
        <v>0</v>
      </c>
    </row>
    <row r="67" spans="1:18" x14ac:dyDescent="0.25">
      <c r="A67" t="s">
        <v>364</v>
      </c>
      <c r="B67" t="s">
        <v>63</v>
      </c>
      <c r="C67">
        <v>1</v>
      </c>
      <c r="D67">
        <v>3</v>
      </c>
      <c r="E67">
        <v>1</v>
      </c>
      <c r="F67" s="15">
        <v>46062</v>
      </c>
      <c r="G67" t="s">
        <v>355</v>
      </c>
      <c r="H67">
        <v>4</v>
      </c>
      <c r="I67">
        <v>2026</v>
      </c>
      <c r="J67">
        <v>2</v>
      </c>
      <c r="K67" t="s">
        <v>87</v>
      </c>
      <c r="L67" t="s">
        <v>7</v>
      </c>
      <c r="M67" t="s">
        <v>63</v>
      </c>
      <c r="N67" t="b">
        <v>0</v>
      </c>
      <c r="O67">
        <v>0</v>
      </c>
      <c r="P67">
        <v>0</v>
      </c>
      <c r="Q67">
        <v>1</v>
      </c>
      <c r="R67">
        <v>0</v>
      </c>
    </row>
    <row r="68" spans="1:18" x14ac:dyDescent="0.25">
      <c r="A68" t="s">
        <v>364</v>
      </c>
      <c r="B68" t="s">
        <v>63</v>
      </c>
      <c r="C68">
        <v>1</v>
      </c>
      <c r="D68">
        <v>3</v>
      </c>
      <c r="E68">
        <v>1</v>
      </c>
      <c r="F68" s="15">
        <v>46062</v>
      </c>
      <c r="G68" t="s">
        <v>355</v>
      </c>
      <c r="H68">
        <v>4</v>
      </c>
      <c r="I68">
        <v>2026</v>
      </c>
      <c r="J68">
        <v>2</v>
      </c>
      <c r="K68" t="s">
        <v>87</v>
      </c>
      <c r="L68" t="s">
        <v>17</v>
      </c>
      <c r="M68" t="s">
        <v>63</v>
      </c>
      <c r="N68" t="b">
        <v>0</v>
      </c>
      <c r="O68">
        <v>0</v>
      </c>
      <c r="P68">
        <v>0</v>
      </c>
      <c r="Q68">
        <v>1</v>
      </c>
      <c r="R68">
        <v>0</v>
      </c>
    </row>
    <row r="69" spans="1:18" x14ac:dyDescent="0.25">
      <c r="A69" t="s">
        <v>17</v>
      </c>
      <c r="B69" t="s">
        <v>63</v>
      </c>
      <c r="C69">
        <v>2</v>
      </c>
      <c r="D69">
        <v>3</v>
      </c>
      <c r="E69">
        <v>1</v>
      </c>
      <c r="F69" s="15">
        <v>46062</v>
      </c>
      <c r="G69" t="s">
        <v>355</v>
      </c>
      <c r="H69">
        <v>4</v>
      </c>
      <c r="I69">
        <v>2026</v>
      </c>
      <c r="J69">
        <v>2</v>
      </c>
      <c r="K69" t="s">
        <v>87</v>
      </c>
      <c r="L69" t="s">
        <v>30</v>
      </c>
      <c r="M69" t="s">
        <v>63</v>
      </c>
      <c r="N69" t="b">
        <v>0</v>
      </c>
      <c r="O69">
        <v>0</v>
      </c>
      <c r="P69">
        <v>0</v>
      </c>
      <c r="Q69">
        <v>1</v>
      </c>
      <c r="R69">
        <v>0</v>
      </c>
    </row>
    <row r="70" spans="1:18" x14ac:dyDescent="0.25">
      <c r="A70" t="s">
        <v>17</v>
      </c>
      <c r="B70" t="s">
        <v>63</v>
      </c>
      <c r="C70">
        <v>2</v>
      </c>
      <c r="D70">
        <v>3</v>
      </c>
      <c r="E70">
        <v>1</v>
      </c>
      <c r="F70" s="15">
        <v>46062</v>
      </c>
      <c r="G70" t="s">
        <v>355</v>
      </c>
      <c r="H70">
        <v>4</v>
      </c>
      <c r="I70">
        <v>2026</v>
      </c>
      <c r="J70">
        <v>2</v>
      </c>
      <c r="K70" t="s">
        <v>87</v>
      </c>
      <c r="L70" t="s">
        <v>7</v>
      </c>
      <c r="M70" t="s">
        <v>63</v>
      </c>
      <c r="N70" t="b">
        <v>0</v>
      </c>
      <c r="O70">
        <v>0</v>
      </c>
      <c r="P70">
        <v>0</v>
      </c>
      <c r="Q70">
        <v>1</v>
      </c>
      <c r="R70">
        <v>0</v>
      </c>
    </row>
    <row r="71" spans="1:18" x14ac:dyDescent="0.25">
      <c r="A71" t="s">
        <v>17</v>
      </c>
      <c r="B71" t="s">
        <v>63</v>
      </c>
      <c r="C71">
        <v>2</v>
      </c>
      <c r="D71">
        <v>3</v>
      </c>
      <c r="E71">
        <v>1</v>
      </c>
      <c r="F71" s="15">
        <v>46062</v>
      </c>
      <c r="G71" t="s">
        <v>355</v>
      </c>
      <c r="H71">
        <v>4</v>
      </c>
      <c r="I71">
        <v>2026</v>
      </c>
      <c r="J71">
        <v>2</v>
      </c>
      <c r="K71" t="s">
        <v>87</v>
      </c>
      <c r="L71" t="s">
        <v>364</v>
      </c>
      <c r="M71" t="s">
        <v>63</v>
      </c>
      <c r="N71" t="b">
        <v>0</v>
      </c>
      <c r="O71">
        <v>0</v>
      </c>
      <c r="P71">
        <v>0</v>
      </c>
      <c r="Q71">
        <v>1</v>
      </c>
      <c r="R71">
        <v>0</v>
      </c>
    </row>
    <row r="72" spans="1:18" x14ac:dyDescent="0.25">
      <c r="A72" t="s">
        <v>30</v>
      </c>
      <c r="B72" t="s">
        <v>6</v>
      </c>
      <c r="C72">
        <v>4</v>
      </c>
      <c r="D72">
        <v>4</v>
      </c>
      <c r="E72">
        <v>2</v>
      </c>
      <c r="F72" s="15">
        <v>46062</v>
      </c>
      <c r="G72" t="s">
        <v>361</v>
      </c>
      <c r="H72">
        <v>4</v>
      </c>
      <c r="I72">
        <v>2026</v>
      </c>
      <c r="J72">
        <v>2</v>
      </c>
      <c r="K72" t="s">
        <v>87</v>
      </c>
      <c r="L72" t="s">
        <v>13</v>
      </c>
      <c r="M72" t="s">
        <v>6</v>
      </c>
      <c r="N72" t="b">
        <v>0</v>
      </c>
      <c r="O72">
        <v>0</v>
      </c>
      <c r="P72">
        <v>1</v>
      </c>
      <c r="Q72">
        <v>0</v>
      </c>
      <c r="R72">
        <v>0</v>
      </c>
    </row>
    <row r="73" spans="1:18" x14ac:dyDescent="0.25">
      <c r="A73" t="s">
        <v>30</v>
      </c>
      <c r="B73" t="s">
        <v>6</v>
      </c>
      <c r="C73">
        <v>4</v>
      </c>
      <c r="D73">
        <v>4</v>
      </c>
      <c r="E73">
        <v>2</v>
      </c>
      <c r="F73" s="15">
        <v>46062</v>
      </c>
      <c r="G73" t="s">
        <v>361</v>
      </c>
      <c r="H73">
        <v>4</v>
      </c>
      <c r="I73">
        <v>2026</v>
      </c>
      <c r="J73">
        <v>2</v>
      </c>
      <c r="K73" t="s">
        <v>87</v>
      </c>
      <c r="L73" t="s">
        <v>436</v>
      </c>
      <c r="M73" t="s">
        <v>8</v>
      </c>
      <c r="N73" t="b">
        <v>0</v>
      </c>
      <c r="O73">
        <v>0</v>
      </c>
      <c r="P73">
        <v>1</v>
      </c>
      <c r="Q73">
        <v>0</v>
      </c>
      <c r="R73">
        <v>1</v>
      </c>
    </row>
    <row r="74" spans="1:18" x14ac:dyDescent="0.25">
      <c r="A74" t="s">
        <v>30</v>
      </c>
      <c r="B74" t="s">
        <v>6</v>
      </c>
      <c r="C74">
        <v>4</v>
      </c>
      <c r="D74">
        <v>4</v>
      </c>
      <c r="E74">
        <v>2</v>
      </c>
      <c r="F74" s="15">
        <v>46062</v>
      </c>
      <c r="G74" t="s">
        <v>361</v>
      </c>
      <c r="H74">
        <v>4</v>
      </c>
      <c r="I74">
        <v>2026</v>
      </c>
      <c r="J74">
        <v>2</v>
      </c>
      <c r="K74" t="s">
        <v>87</v>
      </c>
      <c r="L74" t="s">
        <v>27</v>
      </c>
      <c r="M74" t="s">
        <v>6</v>
      </c>
      <c r="N74" t="b">
        <v>0</v>
      </c>
      <c r="O74">
        <v>0</v>
      </c>
      <c r="P74">
        <v>1</v>
      </c>
      <c r="Q74">
        <v>0</v>
      </c>
      <c r="R74">
        <v>0</v>
      </c>
    </row>
    <row r="75" spans="1:18" x14ac:dyDescent="0.25">
      <c r="A75" t="s">
        <v>13</v>
      </c>
      <c r="B75" t="s">
        <v>6</v>
      </c>
      <c r="C75">
        <v>2</v>
      </c>
      <c r="D75">
        <v>4</v>
      </c>
      <c r="E75">
        <v>2</v>
      </c>
      <c r="F75" s="15">
        <v>46062</v>
      </c>
      <c r="G75" t="s">
        <v>361</v>
      </c>
      <c r="H75">
        <v>4</v>
      </c>
      <c r="I75">
        <v>2026</v>
      </c>
      <c r="J75">
        <v>2</v>
      </c>
      <c r="K75" t="s">
        <v>87</v>
      </c>
      <c r="L75" t="s">
        <v>30</v>
      </c>
      <c r="M75" t="s">
        <v>6</v>
      </c>
      <c r="N75" t="b">
        <v>0</v>
      </c>
      <c r="O75">
        <v>0</v>
      </c>
      <c r="P75">
        <v>1</v>
      </c>
      <c r="Q75">
        <v>0</v>
      </c>
      <c r="R75">
        <v>0</v>
      </c>
    </row>
    <row r="76" spans="1:18" x14ac:dyDescent="0.25">
      <c r="A76" t="s">
        <v>13</v>
      </c>
      <c r="B76" t="s">
        <v>6</v>
      </c>
      <c r="C76">
        <v>2</v>
      </c>
      <c r="D76">
        <v>4</v>
      </c>
      <c r="E76">
        <v>2</v>
      </c>
      <c r="F76" s="15">
        <v>46062</v>
      </c>
      <c r="G76" t="s">
        <v>361</v>
      </c>
      <c r="H76">
        <v>4</v>
      </c>
      <c r="I76">
        <v>2026</v>
      </c>
      <c r="J76">
        <v>2</v>
      </c>
      <c r="K76" t="s">
        <v>87</v>
      </c>
      <c r="L76" t="s">
        <v>436</v>
      </c>
      <c r="M76" t="s">
        <v>8</v>
      </c>
      <c r="N76" t="b">
        <v>0</v>
      </c>
      <c r="O76">
        <v>0</v>
      </c>
      <c r="P76">
        <v>1</v>
      </c>
      <c r="Q76">
        <v>0</v>
      </c>
      <c r="R76">
        <v>1</v>
      </c>
    </row>
    <row r="77" spans="1:18" x14ac:dyDescent="0.25">
      <c r="A77" t="s">
        <v>13</v>
      </c>
      <c r="B77" t="s">
        <v>6</v>
      </c>
      <c r="C77">
        <v>2</v>
      </c>
      <c r="D77">
        <v>4</v>
      </c>
      <c r="E77">
        <v>2</v>
      </c>
      <c r="F77" s="15">
        <v>46062</v>
      </c>
      <c r="G77" t="s">
        <v>361</v>
      </c>
      <c r="H77">
        <v>4</v>
      </c>
      <c r="I77">
        <v>2026</v>
      </c>
      <c r="J77">
        <v>2</v>
      </c>
      <c r="K77" t="s">
        <v>87</v>
      </c>
      <c r="L77" t="s">
        <v>27</v>
      </c>
      <c r="M77" t="s">
        <v>6</v>
      </c>
      <c r="N77" t="b">
        <v>0</v>
      </c>
      <c r="O77">
        <v>0</v>
      </c>
      <c r="P77">
        <v>1</v>
      </c>
      <c r="Q77">
        <v>0</v>
      </c>
      <c r="R77">
        <v>0</v>
      </c>
    </row>
    <row r="78" spans="1:18" x14ac:dyDescent="0.25">
      <c r="A78" t="s">
        <v>436</v>
      </c>
      <c r="B78" t="s">
        <v>8</v>
      </c>
      <c r="C78">
        <v>3</v>
      </c>
      <c r="D78">
        <v>4</v>
      </c>
      <c r="E78">
        <v>2</v>
      </c>
      <c r="F78" s="15">
        <v>46062</v>
      </c>
      <c r="G78" t="s">
        <v>361</v>
      </c>
      <c r="H78">
        <v>4</v>
      </c>
      <c r="I78">
        <v>2026</v>
      </c>
      <c r="J78">
        <v>2</v>
      </c>
      <c r="K78" t="s">
        <v>87</v>
      </c>
      <c r="L78" t="s">
        <v>30</v>
      </c>
      <c r="M78" t="s">
        <v>6</v>
      </c>
      <c r="N78" t="b">
        <v>0</v>
      </c>
      <c r="O78">
        <v>1</v>
      </c>
      <c r="P78">
        <v>0</v>
      </c>
      <c r="Q78">
        <v>0</v>
      </c>
      <c r="R78">
        <v>0</v>
      </c>
    </row>
    <row r="79" spans="1:18" x14ac:dyDescent="0.25">
      <c r="A79" t="s">
        <v>436</v>
      </c>
      <c r="B79" t="s">
        <v>8</v>
      </c>
      <c r="C79">
        <v>3</v>
      </c>
      <c r="D79">
        <v>4</v>
      </c>
      <c r="E79">
        <v>2</v>
      </c>
      <c r="F79" s="15">
        <v>46062</v>
      </c>
      <c r="G79" t="s">
        <v>361</v>
      </c>
      <c r="H79">
        <v>4</v>
      </c>
      <c r="I79">
        <v>2026</v>
      </c>
      <c r="J79">
        <v>2</v>
      </c>
      <c r="K79" t="s">
        <v>87</v>
      </c>
      <c r="L79" t="s">
        <v>13</v>
      </c>
      <c r="M79" t="s">
        <v>6</v>
      </c>
      <c r="N79" t="b">
        <v>0</v>
      </c>
      <c r="O79">
        <v>1</v>
      </c>
      <c r="P79">
        <v>0</v>
      </c>
      <c r="Q79">
        <v>0</v>
      </c>
      <c r="R79">
        <v>0</v>
      </c>
    </row>
    <row r="80" spans="1:18" x14ac:dyDescent="0.25">
      <c r="A80" t="s">
        <v>436</v>
      </c>
      <c r="B80" t="s">
        <v>8</v>
      </c>
      <c r="C80">
        <v>3</v>
      </c>
      <c r="D80">
        <v>4</v>
      </c>
      <c r="E80">
        <v>2</v>
      </c>
      <c r="F80" s="15">
        <v>46062</v>
      </c>
      <c r="G80" t="s">
        <v>361</v>
      </c>
      <c r="H80">
        <v>4</v>
      </c>
      <c r="I80">
        <v>2026</v>
      </c>
      <c r="J80">
        <v>2</v>
      </c>
      <c r="K80" t="s">
        <v>87</v>
      </c>
      <c r="L80" t="s">
        <v>27</v>
      </c>
      <c r="M80" t="s">
        <v>6</v>
      </c>
      <c r="N80" t="b">
        <v>0</v>
      </c>
      <c r="O80">
        <v>1</v>
      </c>
      <c r="P80">
        <v>0</v>
      </c>
      <c r="Q80">
        <v>0</v>
      </c>
      <c r="R80">
        <v>0</v>
      </c>
    </row>
    <row r="81" spans="1:18" x14ac:dyDescent="0.25">
      <c r="A81" t="s">
        <v>27</v>
      </c>
      <c r="B81" t="s">
        <v>6</v>
      </c>
      <c r="C81">
        <v>1</v>
      </c>
      <c r="D81">
        <v>4</v>
      </c>
      <c r="E81">
        <v>2</v>
      </c>
      <c r="F81" s="15">
        <v>46062</v>
      </c>
      <c r="G81" t="s">
        <v>361</v>
      </c>
      <c r="H81">
        <v>4</v>
      </c>
      <c r="I81">
        <v>2026</v>
      </c>
      <c r="J81">
        <v>2</v>
      </c>
      <c r="K81" t="s">
        <v>87</v>
      </c>
      <c r="L81" t="s">
        <v>30</v>
      </c>
      <c r="M81" t="s">
        <v>6</v>
      </c>
      <c r="N81" t="b">
        <v>0</v>
      </c>
      <c r="O81">
        <v>0</v>
      </c>
      <c r="P81">
        <v>1</v>
      </c>
      <c r="Q81">
        <v>0</v>
      </c>
      <c r="R81">
        <v>0</v>
      </c>
    </row>
    <row r="82" spans="1:18" x14ac:dyDescent="0.25">
      <c r="A82" t="s">
        <v>27</v>
      </c>
      <c r="B82" t="s">
        <v>6</v>
      </c>
      <c r="C82">
        <v>1</v>
      </c>
      <c r="D82">
        <v>4</v>
      </c>
      <c r="E82">
        <v>2</v>
      </c>
      <c r="F82" s="15">
        <v>46062</v>
      </c>
      <c r="G82" t="s">
        <v>361</v>
      </c>
      <c r="H82">
        <v>4</v>
      </c>
      <c r="I82">
        <v>2026</v>
      </c>
      <c r="J82">
        <v>2</v>
      </c>
      <c r="K82" t="s">
        <v>87</v>
      </c>
      <c r="L82" t="s">
        <v>13</v>
      </c>
      <c r="M82" t="s">
        <v>6</v>
      </c>
      <c r="N82" t="b">
        <v>0</v>
      </c>
      <c r="O82">
        <v>0</v>
      </c>
      <c r="P82">
        <v>1</v>
      </c>
      <c r="Q82">
        <v>0</v>
      </c>
      <c r="R82">
        <v>0</v>
      </c>
    </row>
    <row r="83" spans="1:18" x14ac:dyDescent="0.25">
      <c r="A83" t="s">
        <v>27</v>
      </c>
      <c r="B83" t="s">
        <v>6</v>
      </c>
      <c r="C83">
        <v>1</v>
      </c>
      <c r="D83">
        <v>4</v>
      </c>
      <c r="E83">
        <v>2</v>
      </c>
      <c r="F83" s="15">
        <v>46062</v>
      </c>
      <c r="G83" t="s">
        <v>361</v>
      </c>
      <c r="H83">
        <v>4</v>
      </c>
      <c r="I83">
        <v>2026</v>
      </c>
      <c r="J83">
        <v>2</v>
      </c>
      <c r="K83" t="s">
        <v>87</v>
      </c>
      <c r="L83" t="s">
        <v>436</v>
      </c>
      <c r="M83" t="s">
        <v>8</v>
      </c>
      <c r="N83" t="b">
        <v>0</v>
      </c>
      <c r="O83">
        <v>0</v>
      </c>
      <c r="P83">
        <v>1</v>
      </c>
      <c r="Q83">
        <v>0</v>
      </c>
      <c r="R83">
        <v>1</v>
      </c>
    </row>
    <row r="84" spans="1:18" x14ac:dyDescent="0.25">
      <c r="A84" t="s">
        <v>30</v>
      </c>
      <c r="B84" t="s">
        <v>6</v>
      </c>
      <c r="C84">
        <v>3</v>
      </c>
      <c r="D84">
        <v>1</v>
      </c>
      <c r="E84">
        <v>1</v>
      </c>
      <c r="F84" s="15">
        <v>46069</v>
      </c>
      <c r="G84" t="s">
        <v>366</v>
      </c>
      <c r="H84">
        <v>4</v>
      </c>
      <c r="I84">
        <v>2026</v>
      </c>
      <c r="J84">
        <v>2</v>
      </c>
      <c r="K84" t="s">
        <v>87</v>
      </c>
      <c r="L84" t="s">
        <v>19</v>
      </c>
      <c r="M84" t="s">
        <v>6</v>
      </c>
      <c r="N84" t="b">
        <v>0</v>
      </c>
      <c r="O84">
        <v>0</v>
      </c>
      <c r="P84">
        <v>1</v>
      </c>
      <c r="Q84">
        <v>0</v>
      </c>
      <c r="R84">
        <v>0</v>
      </c>
    </row>
    <row r="85" spans="1:18" x14ac:dyDescent="0.25">
      <c r="A85" t="s">
        <v>30</v>
      </c>
      <c r="B85" t="s">
        <v>6</v>
      </c>
      <c r="C85">
        <v>3</v>
      </c>
      <c r="D85">
        <v>1</v>
      </c>
      <c r="E85">
        <v>1</v>
      </c>
      <c r="F85" s="15">
        <v>46069</v>
      </c>
      <c r="G85" t="s">
        <v>366</v>
      </c>
      <c r="H85">
        <v>4</v>
      </c>
      <c r="I85">
        <v>2026</v>
      </c>
      <c r="J85">
        <v>2</v>
      </c>
      <c r="K85" t="s">
        <v>87</v>
      </c>
      <c r="L85" t="s">
        <v>13</v>
      </c>
      <c r="M85" t="s">
        <v>6</v>
      </c>
      <c r="N85" t="b">
        <v>0</v>
      </c>
      <c r="O85">
        <v>0</v>
      </c>
      <c r="P85">
        <v>1</v>
      </c>
      <c r="Q85">
        <v>0</v>
      </c>
      <c r="R85">
        <v>0</v>
      </c>
    </row>
    <row r="86" spans="1:18" x14ac:dyDescent="0.25">
      <c r="A86" t="s">
        <v>30</v>
      </c>
      <c r="B86" t="s">
        <v>6</v>
      </c>
      <c r="C86">
        <v>3</v>
      </c>
      <c r="D86">
        <v>1</v>
      </c>
      <c r="E86">
        <v>1</v>
      </c>
      <c r="F86" s="15">
        <v>46069</v>
      </c>
      <c r="G86" t="s">
        <v>366</v>
      </c>
      <c r="H86">
        <v>4</v>
      </c>
      <c r="I86">
        <v>2026</v>
      </c>
      <c r="J86">
        <v>2</v>
      </c>
      <c r="K86" t="s">
        <v>87</v>
      </c>
      <c r="L86" t="s">
        <v>52</v>
      </c>
      <c r="M86" t="s">
        <v>8</v>
      </c>
      <c r="N86" t="b">
        <v>0</v>
      </c>
      <c r="O86">
        <v>0</v>
      </c>
      <c r="P86">
        <v>1</v>
      </c>
      <c r="Q86">
        <v>0</v>
      </c>
      <c r="R86">
        <v>1</v>
      </c>
    </row>
    <row r="87" spans="1:18" x14ac:dyDescent="0.25">
      <c r="A87" t="s">
        <v>19</v>
      </c>
      <c r="B87" t="s">
        <v>6</v>
      </c>
      <c r="C87">
        <v>4</v>
      </c>
      <c r="D87">
        <v>1</v>
      </c>
      <c r="E87">
        <v>1</v>
      </c>
      <c r="F87" s="15">
        <v>46069</v>
      </c>
      <c r="G87" t="s">
        <v>366</v>
      </c>
      <c r="H87">
        <v>4</v>
      </c>
      <c r="I87">
        <v>2026</v>
      </c>
      <c r="J87">
        <v>2</v>
      </c>
      <c r="K87" t="s">
        <v>87</v>
      </c>
      <c r="L87" t="s">
        <v>30</v>
      </c>
      <c r="M87" t="s">
        <v>6</v>
      </c>
      <c r="N87" t="b">
        <v>0</v>
      </c>
      <c r="O87">
        <v>0</v>
      </c>
      <c r="P87">
        <v>1</v>
      </c>
      <c r="Q87">
        <v>0</v>
      </c>
      <c r="R87">
        <v>0</v>
      </c>
    </row>
    <row r="88" spans="1:18" x14ac:dyDescent="0.25">
      <c r="A88" t="s">
        <v>19</v>
      </c>
      <c r="B88" t="s">
        <v>6</v>
      </c>
      <c r="C88">
        <v>4</v>
      </c>
      <c r="D88">
        <v>1</v>
      </c>
      <c r="E88">
        <v>1</v>
      </c>
      <c r="F88" s="15">
        <v>46069</v>
      </c>
      <c r="G88" t="s">
        <v>366</v>
      </c>
      <c r="H88">
        <v>4</v>
      </c>
      <c r="I88">
        <v>2026</v>
      </c>
      <c r="J88">
        <v>2</v>
      </c>
      <c r="K88" t="s">
        <v>87</v>
      </c>
      <c r="L88" t="s">
        <v>13</v>
      </c>
      <c r="M88" t="s">
        <v>6</v>
      </c>
      <c r="N88" t="b">
        <v>0</v>
      </c>
      <c r="O88">
        <v>0</v>
      </c>
      <c r="P88">
        <v>1</v>
      </c>
      <c r="Q88">
        <v>0</v>
      </c>
      <c r="R88">
        <v>0</v>
      </c>
    </row>
    <row r="89" spans="1:18" x14ac:dyDescent="0.25">
      <c r="A89" t="s">
        <v>19</v>
      </c>
      <c r="B89" t="s">
        <v>6</v>
      </c>
      <c r="C89">
        <v>4</v>
      </c>
      <c r="D89">
        <v>1</v>
      </c>
      <c r="E89">
        <v>1</v>
      </c>
      <c r="F89" s="15">
        <v>46069</v>
      </c>
      <c r="G89" t="s">
        <v>366</v>
      </c>
      <c r="H89">
        <v>4</v>
      </c>
      <c r="I89">
        <v>2026</v>
      </c>
      <c r="J89">
        <v>2</v>
      </c>
      <c r="K89" t="s">
        <v>87</v>
      </c>
      <c r="L89" t="s">
        <v>52</v>
      </c>
      <c r="M89" t="s">
        <v>8</v>
      </c>
      <c r="N89" t="b">
        <v>0</v>
      </c>
      <c r="O89">
        <v>0</v>
      </c>
      <c r="P89">
        <v>1</v>
      </c>
      <c r="Q89">
        <v>0</v>
      </c>
      <c r="R89">
        <v>1</v>
      </c>
    </row>
    <row r="90" spans="1:18" x14ac:dyDescent="0.25">
      <c r="A90" t="s">
        <v>13</v>
      </c>
      <c r="B90" t="s">
        <v>6</v>
      </c>
      <c r="C90">
        <v>1</v>
      </c>
      <c r="D90">
        <v>1</v>
      </c>
      <c r="E90">
        <v>1</v>
      </c>
      <c r="F90" s="15">
        <v>46069</v>
      </c>
      <c r="G90" t="s">
        <v>366</v>
      </c>
      <c r="H90">
        <v>4</v>
      </c>
      <c r="I90">
        <v>2026</v>
      </c>
      <c r="J90">
        <v>2</v>
      </c>
      <c r="K90" t="s">
        <v>87</v>
      </c>
      <c r="L90" t="s">
        <v>30</v>
      </c>
      <c r="M90" t="s">
        <v>6</v>
      </c>
      <c r="N90" t="b">
        <v>0</v>
      </c>
      <c r="O90">
        <v>0</v>
      </c>
      <c r="P90">
        <v>1</v>
      </c>
      <c r="Q90">
        <v>0</v>
      </c>
      <c r="R90">
        <v>0</v>
      </c>
    </row>
    <row r="91" spans="1:18" x14ac:dyDescent="0.25">
      <c r="A91" t="s">
        <v>13</v>
      </c>
      <c r="B91" t="s">
        <v>6</v>
      </c>
      <c r="C91">
        <v>1</v>
      </c>
      <c r="D91">
        <v>1</v>
      </c>
      <c r="E91">
        <v>1</v>
      </c>
      <c r="F91" s="15">
        <v>46069</v>
      </c>
      <c r="G91" t="s">
        <v>366</v>
      </c>
      <c r="H91">
        <v>4</v>
      </c>
      <c r="I91">
        <v>2026</v>
      </c>
      <c r="J91">
        <v>2</v>
      </c>
      <c r="K91" t="s">
        <v>87</v>
      </c>
      <c r="L91" t="s">
        <v>19</v>
      </c>
      <c r="M91" t="s">
        <v>6</v>
      </c>
      <c r="N91" t="b">
        <v>0</v>
      </c>
      <c r="O91">
        <v>0</v>
      </c>
      <c r="P91">
        <v>1</v>
      </c>
      <c r="Q91">
        <v>0</v>
      </c>
      <c r="R91">
        <v>0</v>
      </c>
    </row>
    <row r="92" spans="1:18" x14ac:dyDescent="0.25">
      <c r="A92" t="s">
        <v>13</v>
      </c>
      <c r="B92" t="s">
        <v>6</v>
      </c>
      <c r="C92">
        <v>1</v>
      </c>
      <c r="D92">
        <v>1</v>
      </c>
      <c r="E92">
        <v>1</v>
      </c>
      <c r="F92" s="15">
        <v>46069</v>
      </c>
      <c r="G92" t="s">
        <v>366</v>
      </c>
      <c r="H92">
        <v>4</v>
      </c>
      <c r="I92">
        <v>2026</v>
      </c>
      <c r="J92">
        <v>2</v>
      </c>
      <c r="K92" t="s">
        <v>87</v>
      </c>
      <c r="L92" t="s">
        <v>52</v>
      </c>
      <c r="M92" t="s">
        <v>8</v>
      </c>
      <c r="N92" t="b">
        <v>0</v>
      </c>
      <c r="O92">
        <v>0</v>
      </c>
      <c r="P92">
        <v>1</v>
      </c>
      <c r="Q92">
        <v>0</v>
      </c>
      <c r="R92">
        <v>1</v>
      </c>
    </row>
    <row r="93" spans="1:18" x14ac:dyDescent="0.25">
      <c r="A93" t="s">
        <v>52</v>
      </c>
      <c r="B93" t="s">
        <v>8</v>
      </c>
      <c r="C93">
        <v>2</v>
      </c>
      <c r="D93">
        <v>1</v>
      </c>
      <c r="E93">
        <v>1</v>
      </c>
      <c r="F93" s="15">
        <v>46069</v>
      </c>
      <c r="G93" t="s">
        <v>366</v>
      </c>
      <c r="H93">
        <v>4</v>
      </c>
      <c r="I93">
        <v>2026</v>
      </c>
      <c r="J93">
        <v>2</v>
      </c>
      <c r="K93" t="s">
        <v>87</v>
      </c>
      <c r="L93" t="s">
        <v>30</v>
      </c>
      <c r="M93" t="s">
        <v>6</v>
      </c>
      <c r="N93" t="b">
        <v>0</v>
      </c>
      <c r="O93">
        <v>1</v>
      </c>
      <c r="P93">
        <v>0</v>
      </c>
      <c r="Q93">
        <v>0</v>
      </c>
      <c r="R93">
        <v>0</v>
      </c>
    </row>
    <row r="94" spans="1:18" x14ac:dyDescent="0.25">
      <c r="A94" t="s">
        <v>52</v>
      </c>
      <c r="B94" t="s">
        <v>8</v>
      </c>
      <c r="C94">
        <v>2</v>
      </c>
      <c r="D94">
        <v>1</v>
      </c>
      <c r="E94">
        <v>1</v>
      </c>
      <c r="F94" s="15">
        <v>46069</v>
      </c>
      <c r="G94" t="s">
        <v>366</v>
      </c>
      <c r="H94">
        <v>4</v>
      </c>
      <c r="I94">
        <v>2026</v>
      </c>
      <c r="J94">
        <v>2</v>
      </c>
      <c r="K94" t="s">
        <v>87</v>
      </c>
      <c r="L94" t="s">
        <v>19</v>
      </c>
      <c r="M94" t="s">
        <v>6</v>
      </c>
      <c r="N94" t="b">
        <v>0</v>
      </c>
      <c r="O94">
        <v>1</v>
      </c>
      <c r="P94">
        <v>0</v>
      </c>
      <c r="Q94">
        <v>0</v>
      </c>
      <c r="R94">
        <v>0</v>
      </c>
    </row>
    <row r="95" spans="1:18" x14ac:dyDescent="0.25">
      <c r="A95" t="s">
        <v>52</v>
      </c>
      <c r="B95" t="s">
        <v>8</v>
      </c>
      <c r="C95">
        <v>2</v>
      </c>
      <c r="D95">
        <v>1</v>
      </c>
      <c r="E95">
        <v>1</v>
      </c>
      <c r="F95" s="15">
        <v>46069</v>
      </c>
      <c r="G95" t="s">
        <v>366</v>
      </c>
      <c r="H95">
        <v>4</v>
      </c>
      <c r="I95">
        <v>2026</v>
      </c>
      <c r="J95">
        <v>2</v>
      </c>
      <c r="K95" t="s">
        <v>87</v>
      </c>
      <c r="L95" t="s">
        <v>13</v>
      </c>
      <c r="M95" t="s">
        <v>6</v>
      </c>
      <c r="N95" t="b">
        <v>0</v>
      </c>
      <c r="O95">
        <v>1</v>
      </c>
      <c r="P95">
        <v>0</v>
      </c>
      <c r="Q95">
        <v>0</v>
      </c>
      <c r="R95">
        <v>0</v>
      </c>
    </row>
    <row r="96" spans="1:18" x14ac:dyDescent="0.25">
      <c r="A96" t="s">
        <v>30</v>
      </c>
      <c r="B96" t="s">
        <v>63</v>
      </c>
      <c r="C96">
        <v>4</v>
      </c>
      <c r="D96">
        <v>3</v>
      </c>
      <c r="E96">
        <v>2</v>
      </c>
      <c r="F96" s="15">
        <v>46069</v>
      </c>
      <c r="G96" t="s">
        <v>373</v>
      </c>
      <c r="H96">
        <v>4</v>
      </c>
      <c r="I96">
        <v>2026</v>
      </c>
      <c r="J96">
        <v>2</v>
      </c>
      <c r="K96" t="s">
        <v>87</v>
      </c>
      <c r="L96" t="s">
        <v>436</v>
      </c>
      <c r="M96" t="s">
        <v>63</v>
      </c>
      <c r="N96" t="b">
        <v>0</v>
      </c>
      <c r="O96">
        <v>0</v>
      </c>
      <c r="P96">
        <v>0</v>
      </c>
      <c r="Q96">
        <v>1</v>
      </c>
      <c r="R96">
        <v>0</v>
      </c>
    </row>
    <row r="97" spans="1:18" x14ac:dyDescent="0.25">
      <c r="A97" t="s">
        <v>30</v>
      </c>
      <c r="B97" t="s">
        <v>63</v>
      </c>
      <c r="C97">
        <v>4</v>
      </c>
      <c r="D97">
        <v>3</v>
      </c>
      <c r="E97">
        <v>2</v>
      </c>
      <c r="F97" s="15">
        <v>46069</v>
      </c>
      <c r="G97" t="s">
        <v>373</v>
      </c>
      <c r="H97">
        <v>4</v>
      </c>
      <c r="I97">
        <v>2026</v>
      </c>
      <c r="J97">
        <v>2</v>
      </c>
      <c r="K97" t="s">
        <v>87</v>
      </c>
      <c r="L97" t="s">
        <v>363</v>
      </c>
      <c r="M97" t="s">
        <v>63</v>
      </c>
      <c r="N97" t="b">
        <v>0</v>
      </c>
      <c r="O97">
        <v>0</v>
      </c>
      <c r="P97">
        <v>0</v>
      </c>
      <c r="Q97">
        <v>1</v>
      </c>
      <c r="R97">
        <v>0</v>
      </c>
    </row>
    <row r="98" spans="1:18" x14ac:dyDescent="0.25">
      <c r="A98" t="s">
        <v>30</v>
      </c>
      <c r="B98" t="s">
        <v>63</v>
      </c>
      <c r="C98">
        <v>4</v>
      </c>
      <c r="D98">
        <v>3</v>
      </c>
      <c r="E98">
        <v>2</v>
      </c>
      <c r="F98" s="15">
        <v>46069</v>
      </c>
      <c r="G98" t="s">
        <v>373</v>
      </c>
      <c r="H98">
        <v>4</v>
      </c>
      <c r="I98">
        <v>2026</v>
      </c>
      <c r="J98">
        <v>2</v>
      </c>
      <c r="K98" t="s">
        <v>87</v>
      </c>
      <c r="L98" t="s">
        <v>9</v>
      </c>
      <c r="M98" t="s">
        <v>63</v>
      </c>
      <c r="N98" t="b">
        <v>0</v>
      </c>
      <c r="O98">
        <v>0</v>
      </c>
      <c r="P98">
        <v>0</v>
      </c>
      <c r="Q98">
        <v>1</v>
      </c>
      <c r="R98">
        <v>0</v>
      </c>
    </row>
    <row r="99" spans="1:18" x14ac:dyDescent="0.25">
      <c r="A99" t="s">
        <v>436</v>
      </c>
      <c r="B99" t="s">
        <v>63</v>
      </c>
      <c r="C99">
        <v>2</v>
      </c>
      <c r="D99">
        <v>3</v>
      </c>
      <c r="E99">
        <v>2</v>
      </c>
      <c r="F99" s="15">
        <v>46069</v>
      </c>
      <c r="G99" t="s">
        <v>373</v>
      </c>
      <c r="H99">
        <v>4</v>
      </c>
      <c r="I99">
        <v>2026</v>
      </c>
      <c r="J99">
        <v>2</v>
      </c>
      <c r="K99" t="s">
        <v>87</v>
      </c>
      <c r="L99" t="s">
        <v>30</v>
      </c>
      <c r="M99" t="s">
        <v>63</v>
      </c>
      <c r="N99" t="b">
        <v>0</v>
      </c>
      <c r="O99">
        <v>0</v>
      </c>
      <c r="P99">
        <v>0</v>
      </c>
      <c r="Q99">
        <v>1</v>
      </c>
      <c r="R99">
        <v>0</v>
      </c>
    </row>
    <row r="100" spans="1:18" x14ac:dyDescent="0.25">
      <c r="A100" t="s">
        <v>436</v>
      </c>
      <c r="B100" t="s">
        <v>63</v>
      </c>
      <c r="C100">
        <v>2</v>
      </c>
      <c r="D100">
        <v>3</v>
      </c>
      <c r="E100">
        <v>2</v>
      </c>
      <c r="F100" s="15">
        <v>46069</v>
      </c>
      <c r="G100" t="s">
        <v>373</v>
      </c>
      <c r="H100">
        <v>4</v>
      </c>
      <c r="I100">
        <v>2026</v>
      </c>
      <c r="J100">
        <v>2</v>
      </c>
      <c r="K100" t="s">
        <v>87</v>
      </c>
      <c r="L100" t="s">
        <v>363</v>
      </c>
      <c r="M100" t="s">
        <v>63</v>
      </c>
      <c r="N100" t="b">
        <v>0</v>
      </c>
      <c r="O100">
        <v>0</v>
      </c>
      <c r="P100">
        <v>0</v>
      </c>
      <c r="Q100">
        <v>1</v>
      </c>
      <c r="R100">
        <v>0</v>
      </c>
    </row>
    <row r="101" spans="1:18" x14ac:dyDescent="0.25">
      <c r="A101" t="s">
        <v>436</v>
      </c>
      <c r="B101" t="s">
        <v>63</v>
      </c>
      <c r="C101">
        <v>2</v>
      </c>
      <c r="D101">
        <v>3</v>
      </c>
      <c r="E101">
        <v>2</v>
      </c>
      <c r="F101" s="15">
        <v>46069</v>
      </c>
      <c r="G101" t="s">
        <v>373</v>
      </c>
      <c r="H101">
        <v>4</v>
      </c>
      <c r="I101">
        <v>2026</v>
      </c>
      <c r="J101">
        <v>2</v>
      </c>
      <c r="K101" t="s">
        <v>87</v>
      </c>
      <c r="L101" t="s">
        <v>9</v>
      </c>
      <c r="M101" t="s">
        <v>63</v>
      </c>
      <c r="N101" t="b">
        <v>0</v>
      </c>
      <c r="O101">
        <v>0</v>
      </c>
      <c r="P101">
        <v>0</v>
      </c>
      <c r="Q101">
        <v>1</v>
      </c>
      <c r="R101">
        <v>0</v>
      </c>
    </row>
    <row r="102" spans="1:18" x14ac:dyDescent="0.25">
      <c r="A102" t="s">
        <v>363</v>
      </c>
      <c r="B102" t="s">
        <v>63</v>
      </c>
      <c r="C102">
        <v>1</v>
      </c>
      <c r="D102">
        <v>3</v>
      </c>
      <c r="E102">
        <v>2</v>
      </c>
      <c r="F102" s="15">
        <v>46069</v>
      </c>
      <c r="G102" t="s">
        <v>373</v>
      </c>
      <c r="H102">
        <v>4</v>
      </c>
      <c r="I102">
        <v>2026</v>
      </c>
      <c r="J102">
        <v>2</v>
      </c>
      <c r="K102" t="s">
        <v>87</v>
      </c>
      <c r="L102" t="s">
        <v>30</v>
      </c>
      <c r="M102" t="s">
        <v>63</v>
      </c>
      <c r="N102" t="b">
        <v>0</v>
      </c>
      <c r="O102">
        <v>0</v>
      </c>
      <c r="P102">
        <v>0</v>
      </c>
      <c r="Q102">
        <v>1</v>
      </c>
      <c r="R102">
        <v>0</v>
      </c>
    </row>
    <row r="103" spans="1:18" x14ac:dyDescent="0.25">
      <c r="A103" t="s">
        <v>363</v>
      </c>
      <c r="B103" t="s">
        <v>63</v>
      </c>
      <c r="C103">
        <v>1</v>
      </c>
      <c r="D103">
        <v>3</v>
      </c>
      <c r="E103">
        <v>2</v>
      </c>
      <c r="F103" s="15">
        <v>46069</v>
      </c>
      <c r="G103" t="s">
        <v>373</v>
      </c>
      <c r="H103">
        <v>4</v>
      </c>
      <c r="I103">
        <v>2026</v>
      </c>
      <c r="J103">
        <v>2</v>
      </c>
      <c r="K103" t="s">
        <v>87</v>
      </c>
      <c r="L103" t="s">
        <v>436</v>
      </c>
      <c r="M103" t="s">
        <v>63</v>
      </c>
      <c r="N103" t="b">
        <v>0</v>
      </c>
      <c r="O103">
        <v>0</v>
      </c>
      <c r="P103">
        <v>0</v>
      </c>
      <c r="Q103">
        <v>1</v>
      </c>
      <c r="R103">
        <v>0</v>
      </c>
    </row>
    <row r="104" spans="1:18" x14ac:dyDescent="0.25">
      <c r="A104" t="s">
        <v>363</v>
      </c>
      <c r="B104" t="s">
        <v>63</v>
      </c>
      <c r="C104">
        <v>1</v>
      </c>
      <c r="D104">
        <v>3</v>
      </c>
      <c r="E104">
        <v>2</v>
      </c>
      <c r="F104" s="15">
        <v>46069</v>
      </c>
      <c r="G104" t="s">
        <v>373</v>
      </c>
      <c r="H104">
        <v>4</v>
      </c>
      <c r="I104">
        <v>2026</v>
      </c>
      <c r="J104">
        <v>2</v>
      </c>
      <c r="K104" t="s">
        <v>87</v>
      </c>
      <c r="L104" t="s">
        <v>9</v>
      </c>
      <c r="M104" t="s">
        <v>63</v>
      </c>
      <c r="N104" t="b">
        <v>0</v>
      </c>
      <c r="O104">
        <v>0</v>
      </c>
      <c r="P104">
        <v>0</v>
      </c>
      <c r="Q104">
        <v>1</v>
      </c>
      <c r="R104">
        <v>0</v>
      </c>
    </row>
    <row r="105" spans="1:18" x14ac:dyDescent="0.25">
      <c r="A105" t="s">
        <v>9</v>
      </c>
      <c r="B105" t="s">
        <v>63</v>
      </c>
      <c r="C105">
        <v>3</v>
      </c>
      <c r="D105">
        <v>3</v>
      </c>
      <c r="E105">
        <v>2</v>
      </c>
      <c r="F105" s="15">
        <v>46069</v>
      </c>
      <c r="G105" t="s">
        <v>373</v>
      </c>
      <c r="H105">
        <v>4</v>
      </c>
      <c r="I105">
        <v>2026</v>
      </c>
      <c r="J105">
        <v>2</v>
      </c>
      <c r="K105" t="s">
        <v>87</v>
      </c>
      <c r="L105" t="s">
        <v>30</v>
      </c>
      <c r="M105" t="s">
        <v>63</v>
      </c>
      <c r="N105" t="b">
        <v>0</v>
      </c>
      <c r="O105">
        <v>0</v>
      </c>
      <c r="P105">
        <v>0</v>
      </c>
      <c r="Q105">
        <v>1</v>
      </c>
      <c r="R105">
        <v>0</v>
      </c>
    </row>
    <row r="106" spans="1:18" x14ac:dyDescent="0.25">
      <c r="A106" t="s">
        <v>9</v>
      </c>
      <c r="B106" t="s">
        <v>63</v>
      </c>
      <c r="C106">
        <v>3</v>
      </c>
      <c r="D106">
        <v>3</v>
      </c>
      <c r="E106">
        <v>2</v>
      </c>
      <c r="F106" s="15">
        <v>46069</v>
      </c>
      <c r="G106" t="s">
        <v>373</v>
      </c>
      <c r="H106">
        <v>4</v>
      </c>
      <c r="I106">
        <v>2026</v>
      </c>
      <c r="J106">
        <v>2</v>
      </c>
      <c r="K106" t="s">
        <v>87</v>
      </c>
      <c r="L106" t="s">
        <v>436</v>
      </c>
      <c r="M106" t="s">
        <v>63</v>
      </c>
      <c r="N106" t="b">
        <v>0</v>
      </c>
      <c r="O106">
        <v>0</v>
      </c>
      <c r="P106">
        <v>0</v>
      </c>
      <c r="Q106">
        <v>1</v>
      </c>
      <c r="R106">
        <v>0</v>
      </c>
    </row>
    <row r="107" spans="1:18" x14ac:dyDescent="0.25">
      <c r="A107" t="s">
        <v>9</v>
      </c>
      <c r="B107" t="s">
        <v>63</v>
      </c>
      <c r="C107">
        <v>3</v>
      </c>
      <c r="D107">
        <v>3</v>
      </c>
      <c r="E107">
        <v>2</v>
      </c>
      <c r="F107" s="15">
        <v>46069</v>
      </c>
      <c r="G107" t="s">
        <v>373</v>
      </c>
      <c r="H107">
        <v>4</v>
      </c>
      <c r="I107">
        <v>2026</v>
      </c>
      <c r="J107">
        <v>2</v>
      </c>
      <c r="K107" t="s">
        <v>87</v>
      </c>
      <c r="L107" t="s">
        <v>363</v>
      </c>
      <c r="M107" t="s">
        <v>63</v>
      </c>
      <c r="N107" t="b">
        <v>0</v>
      </c>
      <c r="O107">
        <v>0</v>
      </c>
      <c r="P107">
        <v>0</v>
      </c>
      <c r="Q107">
        <v>1</v>
      </c>
      <c r="R107">
        <v>0</v>
      </c>
    </row>
    <row r="108" spans="1:18" x14ac:dyDescent="0.25">
      <c r="A108" t="s">
        <v>14</v>
      </c>
      <c r="B108" t="s">
        <v>6</v>
      </c>
      <c r="C108">
        <v>5</v>
      </c>
      <c r="D108">
        <v>1</v>
      </c>
      <c r="E108">
        <v>1</v>
      </c>
      <c r="F108" s="15">
        <v>45951</v>
      </c>
      <c r="G108" t="s">
        <v>106</v>
      </c>
      <c r="H108">
        <v>5</v>
      </c>
      <c r="I108">
        <v>2025</v>
      </c>
      <c r="J108">
        <v>10</v>
      </c>
      <c r="K108" t="s">
        <v>87</v>
      </c>
      <c r="L108" t="s">
        <v>19</v>
      </c>
      <c r="M108" t="s">
        <v>8</v>
      </c>
      <c r="N108" t="b">
        <v>0</v>
      </c>
      <c r="O108">
        <v>0</v>
      </c>
      <c r="P108">
        <v>1</v>
      </c>
      <c r="Q108">
        <v>0</v>
      </c>
      <c r="R108">
        <v>1</v>
      </c>
    </row>
    <row r="109" spans="1:18" x14ac:dyDescent="0.25">
      <c r="A109" t="s">
        <v>14</v>
      </c>
      <c r="B109" t="s">
        <v>6</v>
      </c>
      <c r="C109">
        <v>5</v>
      </c>
      <c r="D109">
        <v>1</v>
      </c>
      <c r="E109">
        <v>1</v>
      </c>
      <c r="F109" s="15">
        <v>45951</v>
      </c>
      <c r="G109" t="s">
        <v>106</v>
      </c>
      <c r="H109">
        <v>5</v>
      </c>
      <c r="I109">
        <v>2025</v>
      </c>
      <c r="J109">
        <v>10</v>
      </c>
      <c r="K109" t="s">
        <v>87</v>
      </c>
      <c r="L109" t="s">
        <v>10</v>
      </c>
      <c r="M109" t="s">
        <v>6</v>
      </c>
      <c r="N109" t="b">
        <v>0</v>
      </c>
      <c r="O109">
        <v>0</v>
      </c>
      <c r="P109">
        <v>1</v>
      </c>
      <c r="Q109">
        <v>0</v>
      </c>
      <c r="R109">
        <v>0</v>
      </c>
    </row>
    <row r="110" spans="1:18" x14ac:dyDescent="0.25">
      <c r="A110" t="s">
        <v>14</v>
      </c>
      <c r="B110" t="s">
        <v>6</v>
      </c>
      <c r="C110">
        <v>5</v>
      </c>
      <c r="D110">
        <v>1</v>
      </c>
      <c r="E110">
        <v>1</v>
      </c>
      <c r="F110" s="15">
        <v>45951</v>
      </c>
      <c r="G110" t="s">
        <v>106</v>
      </c>
      <c r="H110">
        <v>5</v>
      </c>
      <c r="I110">
        <v>2025</v>
      </c>
      <c r="J110">
        <v>10</v>
      </c>
      <c r="K110" t="s">
        <v>87</v>
      </c>
      <c r="L110" t="s">
        <v>7</v>
      </c>
      <c r="M110" t="s">
        <v>6</v>
      </c>
      <c r="N110" t="b">
        <v>0</v>
      </c>
      <c r="O110">
        <v>0</v>
      </c>
      <c r="P110">
        <v>1</v>
      </c>
      <c r="Q110">
        <v>0</v>
      </c>
      <c r="R110">
        <v>0</v>
      </c>
    </row>
    <row r="111" spans="1:18" x14ac:dyDescent="0.25">
      <c r="A111" t="s">
        <v>14</v>
      </c>
      <c r="B111" t="s">
        <v>6</v>
      </c>
      <c r="C111">
        <v>5</v>
      </c>
      <c r="D111">
        <v>1</v>
      </c>
      <c r="E111">
        <v>1</v>
      </c>
      <c r="F111" s="15">
        <v>45951</v>
      </c>
      <c r="G111" t="s">
        <v>106</v>
      </c>
      <c r="H111">
        <v>5</v>
      </c>
      <c r="I111">
        <v>2025</v>
      </c>
      <c r="J111">
        <v>10</v>
      </c>
      <c r="K111" t="s">
        <v>87</v>
      </c>
      <c r="L111" t="s">
        <v>21</v>
      </c>
      <c r="M111" t="s">
        <v>6</v>
      </c>
      <c r="N111" t="b">
        <v>0</v>
      </c>
      <c r="O111">
        <v>0</v>
      </c>
      <c r="P111">
        <v>1</v>
      </c>
      <c r="Q111">
        <v>0</v>
      </c>
      <c r="R111">
        <v>0</v>
      </c>
    </row>
    <row r="112" spans="1:18" x14ac:dyDescent="0.25">
      <c r="A112" t="s">
        <v>19</v>
      </c>
      <c r="B112" t="s">
        <v>8</v>
      </c>
      <c r="C112">
        <v>3</v>
      </c>
      <c r="D112">
        <v>1</v>
      </c>
      <c r="E112">
        <v>1</v>
      </c>
      <c r="F112" s="15">
        <v>45951</v>
      </c>
      <c r="G112" t="s">
        <v>106</v>
      </c>
      <c r="H112">
        <v>5</v>
      </c>
      <c r="I112">
        <v>2025</v>
      </c>
      <c r="J112">
        <v>10</v>
      </c>
      <c r="K112" t="s">
        <v>87</v>
      </c>
      <c r="L112" t="s">
        <v>14</v>
      </c>
      <c r="M112" t="s">
        <v>6</v>
      </c>
      <c r="N112" t="b">
        <v>0</v>
      </c>
      <c r="O112">
        <v>1</v>
      </c>
      <c r="P112">
        <v>0</v>
      </c>
      <c r="Q112">
        <v>0</v>
      </c>
      <c r="R112">
        <v>0</v>
      </c>
    </row>
    <row r="113" spans="1:18" x14ac:dyDescent="0.25">
      <c r="A113" t="s">
        <v>19</v>
      </c>
      <c r="B113" t="s">
        <v>8</v>
      </c>
      <c r="C113">
        <v>3</v>
      </c>
      <c r="D113">
        <v>1</v>
      </c>
      <c r="E113">
        <v>1</v>
      </c>
      <c r="F113" s="15">
        <v>45951</v>
      </c>
      <c r="G113" t="s">
        <v>106</v>
      </c>
      <c r="H113">
        <v>5</v>
      </c>
      <c r="I113">
        <v>2025</v>
      </c>
      <c r="J113">
        <v>10</v>
      </c>
      <c r="K113" t="s">
        <v>87</v>
      </c>
      <c r="L113" t="s">
        <v>10</v>
      </c>
      <c r="M113" t="s">
        <v>6</v>
      </c>
      <c r="N113" t="b">
        <v>0</v>
      </c>
      <c r="O113">
        <v>1</v>
      </c>
      <c r="P113">
        <v>0</v>
      </c>
      <c r="Q113">
        <v>0</v>
      </c>
      <c r="R113">
        <v>0</v>
      </c>
    </row>
    <row r="114" spans="1:18" x14ac:dyDescent="0.25">
      <c r="A114" t="s">
        <v>19</v>
      </c>
      <c r="B114" t="s">
        <v>8</v>
      </c>
      <c r="C114">
        <v>3</v>
      </c>
      <c r="D114">
        <v>1</v>
      </c>
      <c r="E114">
        <v>1</v>
      </c>
      <c r="F114" s="15">
        <v>45951</v>
      </c>
      <c r="G114" t="s">
        <v>106</v>
      </c>
      <c r="H114">
        <v>5</v>
      </c>
      <c r="I114">
        <v>2025</v>
      </c>
      <c r="J114">
        <v>10</v>
      </c>
      <c r="K114" t="s">
        <v>87</v>
      </c>
      <c r="L114" t="s">
        <v>7</v>
      </c>
      <c r="M114" t="s">
        <v>6</v>
      </c>
      <c r="N114" t="b">
        <v>0</v>
      </c>
      <c r="O114">
        <v>1</v>
      </c>
      <c r="P114">
        <v>0</v>
      </c>
      <c r="Q114">
        <v>0</v>
      </c>
      <c r="R114">
        <v>0</v>
      </c>
    </row>
    <row r="115" spans="1:18" x14ac:dyDescent="0.25">
      <c r="A115" t="s">
        <v>19</v>
      </c>
      <c r="B115" t="s">
        <v>8</v>
      </c>
      <c r="C115">
        <v>3</v>
      </c>
      <c r="D115">
        <v>1</v>
      </c>
      <c r="E115">
        <v>1</v>
      </c>
      <c r="F115" s="15">
        <v>45951</v>
      </c>
      <c r="G115" t="s">
        <v>106</v>
      </c>
      <c r="H115">
        <v>5</v>
      </c>
      <c r="I115">
        <v>2025</v>
      </c>
      <c r="J115">
        <v>10</v>
      </c>
      <c r="K115" t="s">
        <v>87</v>
      </c>
      <c r="L115" t="s">
        <v>21</v>
      </c>
      <c r="M115" t="s">
        <v>6</v>
      </c>
      <c r="N115" t="b">
        <v>0</v>
      </c>
      <c r="O115">
        <v>1</v>
      </c>
      <c r="P115">
        <v>0</v>
      </c>
      <c r="Q115">
        <v>0</v>
      </c>
      <c r="R115">
        <v>0</v>
      </c>
    </row>
    <row r="116" spans="1:18" x14ac:dyDescent="0.25">
      <c r="A116" t="s">
        <v>10</v>
      </c>
      <c r="B116" t="s">
        <v>6</v>
      </c>
      <c r="C116">
        <v>2</v>
      </c>
      <c r="D116">
        <v>1</v>
      </c>
      <c r="E116">
        <v>1</v>
      </c>
      <c r="F116" s="15">
        <v>45951</v>
      </c>
      <c r="G116" t="s">
        <v>106</v>
      </c>
      <c r="H116">
        <v>5</v>
      </c>
      <c r="I116">
        <v>2025</v>
      </c>
      <c r="J116">
        <v>10</v>
      </c>
      <c r="K116" t="s">
        <v>87</v>
      </c>
      <c r="L116" t="s">
        <v>14</v>
      </c>
      <c r="M116" t="s">
        <v>6</v>
      </c>
      <c r="N116" t="b">
        <v>0</v>
      </c>
      <c r="O116">
        <v>0</v>
      </c>
      <c r="P116">
        <v>1</v>
      </c>
      <c r="Q116">
        <v>0</v>
      </c>
      <c r="R116">
        <v>0</v>
      </c>
    </row>
    <row r="117" spans="1:18" x14ac:dyDescent="0.25">
      <c r="A117" t="s">
        <v>10</v>
      </c>
      <c r="B117" t="s">
        <v>6</v>
      </c>
      <c r="C117">
        <v>2</v>
      </c>
      <c r="D117">
        <v>1</v>
      </c>
      <c r="E117">
        <v>1</v>
      </c>
      <c r="F117" s="15">
        <v>45951</v>
      </c>
      <c r="G117" t="s">
        <v>106</v>
      </c>
      <c r="H117">
        <v>5</v>
      </c>
      <c r="I117">
        <v>2025</v>
      </c>
      <c r="J117">
        <v>10</v>
      </c>
      <c r="K117" t="s">
        <v>87</v>
      </c>
      <c r="L117" t="s">
        <v>19</v>
      </c>
      <c r="M117" t="s">
        <v>8</v>
      </c>
      <c r="N117" t="b">
        <v>0</v>
      </c>
      <c r="O117">
        <v>0</v>
      </c>
      <c r="P117">
        <v>1</v>
      </c>
      <c r="Q117">
        <v>0</v>
      </c>
      <c r="R117">
        <v>1</v>
      </c>
    </row>
    <row r="118" spans="1:18" x14ac:dyDescent="0.25">
      <c r="A118" t="s">
        <v>10</v>
      </c>
      <c r="B118" t="s">
        <v>6</v>
      </c>
      <c r="C118">
        <v>2</v>
      </c>
      <c r="D118">
        <v>1</v>
      </c>
      <c r="E118">
        <v>1</v>
      </c>
      <c r="F118" s="15">
        <v>45951</v>
      </c>
      <c r="G118" t="s">
        <v>106</v>
      </c>
      <c r="H118">
        <v>5</v>
      </c>
      <c r="I118">
        <v>2025</v>
      </c>
      <c r="J118">
        <v>10</v>
      </c>
      <c r="K118" t="s">
        <v>87</v>
      </c>
      <c r="L118" t="s">
        <v>7</v>
      </c>
      <c r="M118" t="s">
        <v>6</v>
      </c>
      <c r="N118" t="b">
        <v>0</v>
      </c>
      <c r="O118">
        <v>0</v>
      </c>
      <c r="P118">
        <v>1</v>
      </c>
      <c r="Q118">
        <v>0</v>
      </c>
      <c r="R118">
        <v>0</v>
      </c>
    </row>
    <row r="119" spans="1:18" x14ac:dyDescent="0.25">
      <c r="A119" t="s">
        <v>10</v>
      </c>
      <c r="B119" t="s">
        <v>6</v>
      </c>
      <c r="C119">
        <v>2</v>
      </c>
      <c r="D119">
        <v>1</v>
      </c>
      <c r="E119">
        <v>1</v>
      </c>
      <c r="F119" s="15">
        <v>45951</v>
      </c>
      <c r="G119" t="s">
        <v>106</v>
      </c>
      <c r="H119">
        <v>5</v>
      </c>
      <c r="I119">
        <v>2025</v>
      </c>
      <c r="J119">
        <v>10</v>
      </c>
      <c r="K119" t="s">
        <v>87</v>
      </c>
      <c r="L119" t="s">
        <v>21</v>
      </c>
      <c r="M119" t="s">
        <v>6</v>
      </c>
      <c r="N119" t="b">
        <v>0</v>
      </c>
      <c r="O119">
        <v>0</v>
      </c>
      <c r="P119">
        <v>1</v>
      </c>
      <c r="Q119">
        <v>0</v>
      </c>
      <c r="R119">
        <v>0</v>
      </c>
    </row>
    <row r="120" spans="1:18" x14ac:dyDescent="0.25">
      <c r="A120" t="s">
        <v>7</v>
      </c>
      <c r="B120" t="s">
        <v>6</v>
      </c>
      <c r="C120">
        <v>4</v>
      </c>
      <c r="D120">
        <v>1</v>
      </c>
      <c r="E120">
        <v>1</v>
      </c>
      <c r="F120" s="15">
        <v>45951</v>
      </c>
      <c r="G120" t="s">
        <v>106</v>
      </c>
      <c r="H120">
        <v>5</v>
      </c>
      <c r="I120">
        <v>2025</v>
      </c>
      <c r="J120">
        <v>10</v>
      </c>
      <c r="K120" t="s">
        <v>87</v>
      </c>
      <c r="L120" t="s">
        <v>14</v>
      </c>
      <c r="M120" t="s">
        <v>6</v>
      </c>
      <c r="N120" t="b">
        <v>0</v>
      </c>
      <c r="O120">
        <v>0</v>
      </c>
      <c r="P120">
        <v>1</v>
      </c>
      <c r="Q120">
        <v>0</v>
      </c>
      <c r="R120">
        <v>0</v>
      </c>
    </row>
    <row r="121" spans="1:18" x14ac:dyDescent="0.25">
      <c r="A121" t="s">
        <v>7</v>
      </c>
      <c r="B121" t="s">
        <v>6</v>
      </c>
      <c r="C121">
        <v>4</v>
      </c>
      <c r="D121">
        <v>1</v>
      </c>
      <c r="E121">
        <v>1</v>
      </c>
      <c r="F121" s="15">
        <v>45951</v>
      </c>
      <c r="G121" t="s">
        <v>106</v>
      </c>
      <c r="H121">
        <v>5</v>
      </c>
      <c r="I121">
        <v>2025</v>
      </c>
      <c r="J121">
        <v>10</v>
      </c>
      <c r="K121" t="s">
        <v>87</v>
      </c>
      <c r="L121" t="s">
        <v>19</v>
      </c>
      <c r="M121" t="s">
        <v>8</v>
      </c>
      <c r="N121" t="b">
        <v>0</v>
      </c>
      <c r="O121">
        <v>0</v>
      </c>
      <c r="P121">
        <v>1</v>
      </c>
      <c r="Q121">
        <v>0</v>
      </c>
      <c r="R121">
        <v>1</v>
      </c>
    </row>
    <row r="122" spans="1:18" x14ac:dyDescent="0.25">
      <c r="A122" t="s">
        <v>7</v>
      </c>
      <c r="B122" t="s">
        <v>6</v>
      </c>
      <c r="C122">
        <v>4</v>
      </c>
      <c r="D122">
        <v>1</v>
      </c>
      <c r="E122">
        <v>1</v>
      </c>
      <c r="F122" s="15">
        <v>45951</v>
      </c>
      <c r="G122" t="s">
        <v>106</v>
      </c>
      <c r="H122">
        <v>5</v>
      </c>
      <c r="I122">
        <v>2025</v>
      </c>
      <c r="J122">
        <v>10</v>
      </c>
      <c r="K122" t="s">
        <v>87</v>
      </c>
      <c r="L122" t="s">
        <v>10</v>
      </c>
      <c r="M122" t="s">
        <v>6</v>
      </c>
      <c r="N122" t="b">
        <v>0</v>
      </c>
      <c r="O122">
        <v>0</v>
      </c>
      <c r="P122">
        <v>1</v>
      </c>
      <c r="Q122">
        <v>0</v>
      </c>
      <c r="R122">
        <v>0</v>
      </c>
    </row>
    <row r="123" spans="1:18" x14ac:dyDescent="0.25">
      <c r="A123" t="s">
        <v>7</v>
      </c>
      <c r="B123" t="s">
        <v>6</v>
      </c>
      <c r="C123">
        <v>4</v>
      </c>
      <c r="D123">
        <v>1</v>
      </c>
      <c r="E123">
        <v>1</v>
      </c>
      <c r="F123" s="15">
        <v>45951</v>
      </c>
      <c r="G123" t="s">
        <v>106</v>
      </c>
      <c r="H123">
        <v>5</v>
      </c>
      <c r="I123">
        <v>2025</v>
      </c>
      <c r="J123">
        <v>10</v>
      </c>
      <c r="K123" t="s">
        <v>87</v>
      </c>
      <c r="L123" t="s">
        <v>21</v>
      </c>
      <c r="M123" t="s">
        <v>6</v>
      </c>
      <c r="N123" t="b">
        <v>0</v>
      </c>
      <c r="O123">
        <v>0</v>
      </c>
      <c r="P123">
        <v>1</v>
      </c>
      <c r="Q123">
        <v>0</v>
      </c>
      <c r="R123">
        <v>0</v>
      </c>
    </row>
    <row r="124" spans="1:18" x14ac:dyDescent="0.25">
      <c r="A124" t="s">
        <v>21</v>
      </c>
      <c r="B124" t="s">
        <v>6</v>
      </c>
      <c r="C124">
        <v>1</v>
      </c>
      <c r="D124">
        <v>1</v>
      </c>
      <c r="E124">
        <v>1</v>
      </c>
      <c r="F124" s="15">
        <v>45951</v>
      </c>
      <c r="G124" t="s">
        <v>106</v>
      </c>
      <c r="H124">
        <v>5</v>
      </c>
      <c r="I124">
        <v>2025</v>
      </c>
      <c r="J124">
        <v>10</v>
      </c>
      <c r="K124" t="s">
        <v>87</v>
      </c>
      <c r="L124" t="s">
        <v>14</v>
      </c>
      <c r="M124" t="s">
        <v>6</v>
      </c>
      <c r="N124" t="b">
        <v>0</v>
      </c>
      <c r="O124">
        <v>0</v>
      </c>
      <c r="P124">
        <v>1</v>
      </c>
      <c r="Q124">
        <v>0</v>
      </c>
      <c r="R124">
        <v>0</v>
      </c>
    </row>
    <row r="125" spans="1:18" x14ac:dyDescent="0.25">
      <c r="A125" t="s">
        <v>21</v>
      </c>
      <c r="B125" t="s">
        <v>6</v>
      </c>
      <c r="C125">
        <v>1</v>
      </c>
      <c r="D125">
        <v>1</v>
      </c>
      <c r="E125">
        <v>1</v>
      </c>
      <c r="F125" s="15">
        <v>45951</v>
      </c>
      <c r="G125" t="s">
        <v>106</v>
      </c>
      <c r="H125">
        <v>5</v>
      </c>
      <c r="I125">
        <v>2025</v>
      </c>
      <c r="J125">
        <v>10</v>
      </c>
      <c r="K125" t="s">
        <v>87</v>
      </c>
      <c r="L125" t="s">
        <v>19</v>
      </c>
      <c r="M125" t="s">
        <v>8</v>
      </c>
      <c r="N125" t="b">
        <v>0</v>
      </c>
      <c r="O125">
        <v>0</v>
      </c>
      <c r="P125">
        <v>1</v>
      </c>
      <c r="Q125">
        <v>0</v>
      </c>
      <c r="R125">
        <v>1</v>
      </c>
    </row>
    <row r="126" spans="1:18" x14ac:dyDescent="0.25">
      <c r="A126" t="s">
        <v>21</v>
      </c>
      <c r="B126" t="s">
        <v>6</v>
      </c>
      <c r="C126">
        <v>1</v>
      </c>
      <c r="D126">
        <v>1</v>
      </c>
      <c r="E126">
        <v>1</v>
      </c>
      <c r="F126" s="15">
        <v>45951</v>
      </c>
      <c r="G126" t="s">
        <v>106</v>
      </c>
      <c r="H126">
        <v>5</v>
      </c>
      <c r="I126">
        <v>2025</v>
      </c>
      <c r="J126">
        <v>10</v>
      </c>
      <c r="K126" t="s">
        <v>87</v>
      </c>
      <c r="L126" t="s">
        <v>10</v>
      </c>
      <c r="M126" t="s">
        <v>6</v>
      </c>
      <c r="N126" t="b">
        <v>0</v>
      </c>
      <c r="O126">
        <v>0</v>
      </c>
      <c r="P126">
        <v>1</v>
      </c>
      <c r="Q126">
        <v>0</v>
      </c>
      <c r="R126">
        <v>0</v>
      </c>
    </row>
    <row r="127" spans="1:18" x14ac:dyDescent="0.25">
      <c r="A127" t="s">
        <v>21</v>
      </c>
      <c r="B127" t="s">
        <v>6</v>
      </c>
      <c r="C127">
        <v>1</v>
      </c>
      <c r="D127">
        <v>1</v>
      </c>
      <c r="E127">
        <v>1</v>
      </c>
      <c r="F127" s="15">
        <v>45951</v>
      </c>
      <c r="G127" t="s">
        <v>106</v>
      </c>
      <c r="H127">
        <v>5</v>
      </c>
      <c r="I127">
        <v>2025</v>
      </c>
      <c r="J127">
        <v>10</v>
      </c>
      <c r="K127" t="s">
        <v>87</v>
      </c>
      <c r="L127" t="s">
        <v>7</v>
      </c>
      <c r="M127" t="s">
        <v>6</v>
      </c>
      <c r="N127" t="b">
        <v>0</v>
      </c>
      <c r="O127">
        <v>0</v>
      </c>
      <c r="P127">
        <v>1</v>
      </c>
      <c r="Q127">
        <v>0</v>
      </c>
      <c r="R127">
        <v>0</v>
      </c>
    </row>
    <row r="128" spans="1:18" x14ac:dyDescent="0.25">
      <c r="A128" t="s">
        <v>14</v>
      </c>
      <c r="B128" t="s">
        <v>6</v>
      </c>
      <c r="C128">
        <v>5</v>
      </c>
      <c r="D128">
        <v>1</v>
      </c>
      <c r="E128">
        <v>1</v>
      </c>
      <c r="F128" s="15">
        <v>45971</v>
      </c>
      <c r="G128" t="s">
        <v>109</v>
      </c>
      <c r="H128">
        <v>5</v>
      </c>
      <c r="I128">
        <v>2025</v>
      </c>
      <c r="J128">
        <v>11</v>
      </c>
      <c r="K128" t="s">
        <v>87</v>
      </c>
      <c r="L128" t="s">
        <v>13</v>
      </c>
      <c r="M128" t="s">
        <v>8</v>
      </c>
      <c r="N128" t="b">
        <v>0</v>
      </c>
      <c r="O128">
        <v>0</v>
      </c>
      <c r="P128">
        <v>1</v>
      </c>
      <c r="Q128">
        <v>0</v>
      </c>
      <c r="R128">
        <v>1</v>
      </c>
    </row>
    <row r="129" spans="1:18" x14ac:dyDescent="0.25">
      <c r="A129" t="s">
        <v>14</v>
      </c>
      <c r="B129" t="s">
        <v>6</v>
      </c>
      <c r="C129">
        <v>5</v>
      </c>
      <c r="D129">
        <v>1</v>
      </c>
      <c r="E129">
        <v>1</v>
      </c>
      <c r="F129" s="15">
        <v>45971</v>
      </c>
      <c r="G129" t="s">
        <v>109</v>
      </c>
      <c r="H129">
        <v>5</v>
      </c>
      <c r="I129">
        <v>2025</v>
      </c>
      <c r="J129">
        <v>11</v>
      </c>
      <c r="K129" t="s">
        <v>87</v>
      </c>
      <c r="L129" t="s">
        <v>57</v>
      </c>
      <c r="M129" t="s">
        <v>6</v>
      </c>
      <c r="N129" t="b">
        <v>0</v>
      </c>
      <c r="O129">
        <v>0</v>
      </c>
      <c r="P129">
        <v>1</v>
      </c>
      <c r="Q129">
        <v>0</v>
      </c>
      <c r="R129">
        <v>0</v>
      </c>
    </row>
    <row r="130" spans="1:18" x14ac:dyDescent="0.25">
      <c r="A130" t="s">
        <v>14</v>
      </c>
      <c r="B130" t="s">
        <v>6</v>
      </c>
      <c r="C130">
        <v>5</v>
      </c>
      <c r="D130">
        <v>1</v>
      </c>
      <c r="E130">
        <v>1</v>
      </c>
      <c r="F130" s="15">
        <v>45971</v>
      </c>
      <c r="G130" t="s">
        <v>109</v>
      </c>
      <c r="H130">
        <v>5</v>
      </c>
      <c r="I130">
        <v>2025</v>
      </c>
      <c r="J130">
        <v>11</v>
      </c>
      <c r="K130" t="s">
        <v>87</v>
      </c>
      <c r="L130" t="s">
        <v>11</v>
      </c>
      <c r="M130" t="s">
        <v>6</v>
      </c>
      <c r="N130" t="b">
        <v>0</v>
      </c>
      <c r="O130">
        <v>0</v>
      </c>
      <c r="P130">
        <v>1</v>
      </c>
      <c r="Q130">
        <v>0</v>
      </c>
      <c r="R130">
        <v>0</v>
      </c>
    </row>
    <row r="131" spans="1:18" x14ac:dyDescent="0.25">
      <c r="A131" t="s">
        <v>14</v>
      </c>
      <c r="B131" t="s">
        <v>6</v>
      </c>
      <c r="C131">
        <v>5</v>
      </c>
      <c r="D131">
        <v>1</v>
      </c>
      <c r="E131">
        <v>1</v>
      </c>
      <c r="F131" s="15">
        <v>45971</v>
      </c>
      <c r="G131" t="s">
        <v>109</v>
      </c>
      <c r="H131">
        <v>5</v>
      </c>
      <c r="I131">
        <v>2025</v>
      </c>
      <c r="J131">
        <v>11</v>
      </c>
      <c r="K131" t="s">
        <v>87</v>
      </c>
      <c r="L131" t="s">
        <v>352</v>
      </c>
      <c r="M131" t="s">
        <v>6</v>
      </c>
      <c r="N131" t="b">
        <v>0</v>
      </c>
      <c r="O131">
        <v>0</v>
      </c>
      <c r="P131">
        <v>1</v>
      </c>
      <c r="Q131">
        <v>0</v>
      </c>
      <c r="R131">
        <v>0</v>
      </c>
    </row>
    <row r="132" spans="1:18" x14ac:dyDescent="0.25">
      <c r="A132" t="s">
        <v>13</v>
      </c>
      <c r="B132" t="s">
        <v>8</v>
      </c>
      <c r="C132">
        <v>1</v>
      </c>
      <c r="D132">
        <v>1</v>
      </c>
      <c r="E132">
        <v>1</v>
      </c>
      <c r="F132" s="15">
        <v>45971</v>
      </c>
      <c r="G132" t="s">
        <v>109</v>
      </c>
      <c r="H132">
        <v>5</v>
      </c>
      <c r="I132">
        <v>2025</v>
      </c>
      <c r="J132">
        <v>11</v>
      </c>
      <c r="K132" t="s">
        <v>87</v>
      </c>
      <c r="L132" t="s">
        <v>14</v>
      </c>
      <c r="M132" t="s">
        <v>6</v>
      </c>
      <c r="N132" t="b">
        <v>0</v>
      </c>
      <c r="O132">
        <v>1</v>
      </c>
      <c r="P132">
        <v>0</v>
      </c>
      <c r="Q132">
        <v>0</v>
      </c>
      <c r="R132">
        <v>0</v>
      </c>
    </row>
    <row r="133" spans="1:18" x14ac:dyDescent="0.25">
      <c r="A133" t="s">
        <v>13</v>
      </c>
      <c r="B133" t="s">
        <v>8</v>
      </c>
      <c r="C133">
        <v>1</v>
      </c>
      <c r="D133">
        <v>1</v>
      </c>
      <c r="E133">
        <v>1</v>
      </c>
      <c r="F133" s="15">
        <v>45971</v>
      </c>
      <c r="G133" t="s">
        <v>109</v>
      </c>
      <c r="H133">
        <v>5</v>
      </c>
      <c r="I133">
        <v>2025</v>
      </c>
      <c r="J133">
        <v>11</v>
      </c>
      <c r="K133" t="s">
        <v>87</v>
      </c>
      <c r="L133" t="s">
        <v>57</v>
      </c>
      <c r="M133" t="s">
        <v>6</v>
      </c>
      <c r="N133" t="b">
        <v>0</v>
      </c>
      <c r="O133">
        <v>1</v>
      </c>
      <c r="P133">
        <v>0</v>
      </c>
      <c r="Q133">
        <v>0</v>
      </c>
      <c r="R133">
        <v>0</v>
      </c>
    </row>
    <row r="134" spans="1:18" x14ac:dyDescent="0.25">
      <c r="A134" t="s">
        <v>13</v>
      </c>
      <c r="B134" t="s">
        <v>8</v>
      </c>
      <c r="C134">
        <v>1</v>
      </c>
      <c r="D134">
        <v>1</v>
      </c>
      <c r="E134">
        <v>1</v>
      </c>
      <c r="F134" s="15">
        <v>45971</v>
      </c>
      <c r="G134" t="s">
        <v>109</v>
      </c>
      <c r="H134">
        <v>5</v>
      </c>
      <c r="I134">
        <v>2025</v>
      </c>
      <c r="J134">
        <v>11</v>
      </c>
      <c r="K134" t="s">
        <v>87</v>
      </c>
      <c r="L134" t="s">
        <v>11</v>
      </c>
      <c r="M134" t="s">
        <v>6</v>
      </c>
      <c r="N134" t="b">
        <v>0</v>
      </c>
      <c r="O134">
        <v>1</v>
      </c>
      <c r="P134">
        <v>0</v>
      </c>
      <c r="Q134">
        <v>0</v>
      </c>
      <c r="R134">
        <v>0</v>
      </c>
    </row>
    <row r="135" spans="1:18" x14ac:dyDescent="0.25">
      <c r="A135" t="s">
        <v>13</v>
      </c>
      <c r="B135" t="s">
        <v>8</v>
      </c>
      <c r="C135">
        <v>1</v>
      </c>
      <c r="D135">
        <v>1</v>
      </c>
      <c r="E135">
        <v>1</v>
      </c>
      <c r="F135" s="15">
        <v>45971</v>
      </c>
      <c r="G135" t="s">
        <v>109</v>
      </c>
      <c r="H135">
        <v>5</v>
      </c>
      <c r="I135">
        <v>2025</v>
      </c>
      <c r="J135">
        <v>11</v>
      </c>
      <c r="K135" t="s">
        <v>87</v>
      </c>
      <c r="L135" t="s">
        <v>352</v>
      </c>
      <c r="M135" t="s">
        <v>6</v>
      </c>
      <c r="N135" t="b">
        <v>0</v>
      </c>
      <c r="O135">
        <v>1</v>
      </c>
      <c r="P135">
        <v>0</v>
      </c>
      <c r="Q135">
        <v>0</v>
      </c>
      <c r="R135">
        <v>0</v>
      </c>
    </row>
    <row r="136" spans="1:18" x14ac:dyDescent="0.25">
      <c r="A136" t="s">
        <v>57</v>
      </c>
      <c r="B136" t="s">
        <v>6</v>
      </c>
      <c r="C136">
        <v>2</v>
      </c>
      <c r="D136">
        <v>1</v>
      </c>
      <c r="E136">
        <v>1</v>
      </c>
      <c r="F136" s="15">
        <v>45971</v>
      </c>
      <c r="G136" t="s">
        <v>109</v>
      </c>
      <c r="H136">
        <v>5</v>
      </c>
      <c r="I136">
        <v>2025</v>
      </c>
      <c r="J136">
        <v>11</v>
      </c>
      <c r="K136" t="s">
        <v>87</v>
      </c>
      <c r="L136" t="s">
        <v>14</v>
      </c>
      <c r="M136" t="s">
        <v>6</v>
      </c>
      <c r="N136" t="b">
        <v>0</v>
      </c>
      <c r="O136">
        <v>0</v>
      </c>
      <c r="P136">
        <v>1</v>
      </c>
      <c r="Q136">
        <v>0</v>
      </c>
      <c r="R136">
        <v>0</v>
      </c>
    </row>
    <row r="137" spans="1:18" x14ac:dyDescent="0.25">
      <c r="A137" t="s">
        <v>57</v>
      </c>
      <c r="B137" t="s">
        <v>6</v>
      </c>
      <c r="C137">
        <v>2</v>
      </c>
      <c r="D137">
        <v>1</v>
      </c>
      <c r="E137">
        <v>1</v>
      </c>
      <c r="F137" s="15">
        <v>45971</v>
      </c>
      <c r="G137" t="s">
        <v>109</v>
      </c>
      <c r="H137">
        <v>5</v>
      </c>
      <c r="I137">
        <v>2025</v>
      </c>
      <c r="J137">
        <v>11</v>
      </c>
      <c r="K137" t="s">
        <v>87</v>
      </c>
      <c r="L137" t="s">
        <v>13</v>
      </c>
      <c r="M137" t="s">
        <v>8</v>
      </c>
      <c r="N137" t="b">
        <v>0</v>
      </c>
      <c r="O137">
        <v>0</v>
      </c>
      <c r="P137">
        <v>1</v>
      </c>
      <c r="Q137">
        <v>0</v>
      </c>
      <c r="R137">
        <v>1</v>
      </c>
    </row>
    <row r="138" spans="1:18" x14ac:dyDescent="0.25">
      <c r="A138" t="s">
        <v>57</v>
      </c>
      <c r="B138" t="s">
        <v>6</v>
      </c>
      <c r="C138">
        <v>2</v>
      </c>
      <c r="D138">
        <v>1</v>
      </c>
      <c r="E138">
        <v>1</v>
      </c>
      <c r="F138" s="15">
        <v>45971</v>
      </c>
      <c r="G138" t="s">
        <v>109</v>
      </c>
      <c r="H138">
        <v>5</v>
      </c>
      <c r="I138">
        <v>2025</v>
      </c>
      <c r="J138">
        <v>11</v>
      </c>
      <c r="K138" t="s">
        <v>87</v>
      </c>
      <c r="L138" t="s">
        <v>11</v>
      </c>
      <c r="M138" t="s">
        <v>6</v>
      </c>
      <c r="N138" t="b">
        <v>0</v>
      </c>
      <c r="O138">
        <v>0</v>
      </c>
      <c r="P138">
        <v>1</v>
      </c>
      <c r="Q138">
        <v>0</v>
      </c>
      <c r="R138">
        <v>0</v>
      </c>
    </row>
    <row r="139" spans="1:18" x14ac:dyDescent="0.25">
      <c r="A139" t="s">
        <v>57</v>
      </c>
      <c r="B139" t="s">
        <v>6</v>
      </c>
      <c r="C139">
        <v>2</v>
      </c>
      <c r="D139">
        <v>1</v>
      </c>
      <c r="E139">
        <v>1</v>
      </c>
      <c r="F139" s="15">
        <v>45971</v>
      </c>
      <c r="G139" t="s">
        <v>109</v>
      </c>
      <c r="H139">
        <v>5</v>
      </c>
      <c r="I139">
        <v>2025</v>
      </c>
      <c r="J139">
        <v>11</v>
      </c>
      <c r="K139" t="s">
        <v>87</v>
      </c>
      <c r="L139" t="s">
        <v>352</v>
      </c>
      <c r="M139" t="s">
        <v>6</v>
      </c>
      <c r="N139" t="b">
        <v>0</v>
      </c>
      <c r="O139">
        <v>0</v>
      </c>
      <c r="P139">
        <v>1</v>
      </c>
      <c r="Q139">
        <v>0</v>
      </c>
      <c r="R139">
        <v>0</v>
      </c>
    </row>
    <row r="140" spans="1:18" x14ac:dyDescent="0.25">
      <c r="A140" t="s">
        <v>11</v>
      </c>
      <c r="B140" t="s">
        <v>6</v>
      </c>
      <c r="C140">
        <v>4</v>
      </c>
      <c r="D140">
        <v>1</v>
      </c>
      <c r="E140">
        <v>1</v>
      </c>
      <c r="F140" s="15">
        <v>45971</v>
      </c>
      <c r="G140" t="s">
        <v>109</v>
      </c>
      <c r="H140">
        <v>5</v>
      </c>
      <c r="I140">
        <v>2025</v>
      </c>
      <c r="J140">
        <v>11</v>
      </c>
      <c r="K140" t="s">
        <v>87</v>
      </c>
      <c r="L140" t="s">
        <v>14</v>
      </c>
      <c r="M140" t="s">
        <v>6</v>
      </c>
      <c r="N140" t="b">
        <v>0</v>
      </c>
      <c r="O140">
        <v>0</v>
      </c>
      <c r="P140">
        <v>1</v>
      </c>
      <c r="Q140">
        <v>0</v>
      </c>
      <c r="R140">
        <v>0</v>
      </c>
    </row>
    <row r="141" spans="1:18" x14ac:dyDescent="0.25">
      <c r="A141" t="s">
        <v>11</v>
      </c>
      <c r="B141" t="s">
        <v>6</v>
      </c>
      <c r="C141">
        <v>4</v>
      </c>
      <c r="D141">
        <v>1</v>
      </c>
      <c r="E141">
        <v>1</v>
      </c>
      <c r="F141" s="15">
        <v>45971</v>
      </c>
      <c r="G141" t="s">
        <v>109</v>
      </c>
      <c r="H141">
        <v>5</v>
      </c>
      <c r="I141">
        <v>2025</v>
      </c>
      <c r="J141">
        <v>11</v>
      </c>
      <c r="K141" t="s">
        <v>87</v>
      </c>
      <c r="L141" t="s">
        <v>13</v>
      </c>
      <c r="M141" t="s">
        <v>8</v>
      </c>
      <c r="N141" t="b">
        <v>0</v>
      </c>
      <c r="O141">
        <v>0</v>
      </c>
      <c r="P141">
        <v>1</v>
      </c>
      <c r="Q141">
        <v>0</v>
      </c>
      <c r="R141">
        <v>1</v>
      </c>
    </row>
    <row r="142" spans="1:18" x14ac:dyDescent="0.25">
      <c r="A142" t="s">
        <v>11</v>
      </c>
      <c r="B142" t="s">
        <v>6</v>
      </c>
      <c r="C142">
        <v>4</v>
      </c>
      <c r="D142">
        <v>1</v>
      </c>
      <c r="E142">
        <v>1</v>
      </c>
      <c r="F142" s="15">
        <v>45971</v>
      </c>
      <c r="G142" t="s">
        <v>109</v>
      </c>
      <c r="H142">
        <v>5</v>
      </c>
      <c r="I142">
        <v>2025</v>
      </c>
      <c r="J142">
        <v>11</v>
      </c>
      <c r="K142" t="s">
        <v>87</v>
      </c>
      <c r="L142" t="s">
        <v>57</v>
      </c>
      <c r="M142" t="s">
        <v>6</v>
      </c>
      <c r="N142" t="b">
        <v>0</v>
      </c>
      <c r="O142">
        <v>0</v>
      </c>
      <c r="P142">
        <v>1</v>
      </c>
      <c r="Q142">
        <v>0</v>
      </c>
      <c r="R142">
        <v>0</v>
      </c>
    </row>
    <row r="143" spans="1:18" x14ac:dyDescent="0.25">
      <c r="A143" t="s">
        <v>11</v>
      </c>
      <c r="B143" t="s">
        <v>6</v>
      </c>
      <c r="C143">
        <v>4</v>
      </c>
      <c r="D143">
        <v>1</v>
      </c>
      <c r="E143">
        <v>1</v>
      </c>
      <c r="F143" s="15">
        <v>45971</v>
      </c>
      <c r="G143" t="s">
        <v>109</v>
      </c>
      <c r="H143">
        <v>5</v>
      </c>
      <c r="I143">
        <v>2025</v>
      </c>
      <c r="J143">
        <v>11</v>
      </c>
      <c r="K143" t="s">
        <v>87</v>
      </c>
      <c r="L143" t="s">
        <v>352</v>
      </c>
      <c r="M143" t="s">
        <v>6</v>
      </c>
      <c r="N143" t="b">
        <v>0</v>
      </c>
      <c r="O143">
        <v>0</v>
      </c>
      <c r="P143">
        <v>1</v>
      </c>
      <c r="Q143">
        <v>0</v>
      </c>
      <c r="R143">
        <v>0</v>
      </c>
    </row>
    <row r="144" spans="1:18" x14ac:dyDescent="0.25">
      <c r="A144" t="s">
        <v>352</v>
      </c>
      <c r="B144" t="s">
        <v>6</v>
      </c>
      <c r="C144">
        <v>3</v>
      </c>
      <c r="D144">
        <v>1</v>
      </c>
      <c r="E144">
        <v>1</v>
      </c>
      <c r="F144" s="15">
        <v>45971</v>
      </c>
      <c r="G144" t="s">
        <v>109</v>
      </c>
      <c r="H144">
        <v>5</v>
      </c>
      <c r="I144">
        <v>2025</v>
      </c>
      <c r="J144">
        <v>11</v>
      </c>
      <c r="K144" t="s">
        <v>87</v>
      </c>
      <c r="L144" t="s">
        <v>14</v>
      </c>
      <c r="M144" t="s">
        <v>6</v>
      </c>
      <c r="N144" t="b">
        <v>0</v>
      </c>
      <c r="O144">
        <v>0</v>
      </c>
      <c r="P144">
        <v>1</v>
      </c>
      <c r="Q144">
        <v>0</v>
      </c>
      <c r="R144">
        <v>0</v>
      </c>
    </row>
    <row r="145" spans="1:18" x14ac:dyDescent="0.25">
      <c r="A145" t="s">
        <v>352</v>
      </c>
      <c r="B145" t="s">
        <v>6</v>
      </c>
      <c r="C145">
        <v>3</v>
      </c>
      <c r="D145">
        <v>1</v>
      </c>
      <c r="E145">
        <v>1</v>
      </c>
      <c r="F145" s="15">
        <v>45971</v>
      </c>
      <c r="G145" t="s">
        <v>109</v>
      </c>
      <c r="H145">
        <v>5</v>
      </c>
      <c r="I145">
        <v>2025</v>
      </c>
      <c r="J145">
        <v>11</v>
      </c>
      <c r="K145" t="s">
        <v>87</v>
      </c>
      <c r="L145" t="s">
        <v>13</v>
      </c>
      <c r="M145" t="s">
        <v>8</v>
      </c>
      <c r="N145" t="b">
        <v>0</v>
      </c>
      <c r="O145">
        <v>0</v>
      </c>
      <c r="P145">
        <v>1</v>
      </c>
      <c r="Q145">
        <v>0</v>
      </c>
      <c r="R145">
        <v>1</v>
      </c>
    </row>
    <row r="146" spans="1:18" x14ac:dyDescent="0.25">
      <c r="A146" t="s">
        <v>352</v>
      </c>
      <c r="B146" t="s">
        <v>6</v>
      </c>
      <c r="C146">
        <v>3</v>
      </c>
      <c r="D146">
        <v>1</v>
      </c>
      <c r="E146">
        <v>1</v>
      </c>
      <c r="F146" s="15">
        <v>45971</v>
      </c>
      <c r="G146" t="s">
        <v>109</v>
      </c>
      <c r="H146">
        <v>5</v>
      </c>
      <c r="I146">
        <v>2025</v>
      </c>
      <c r="J146">
        <v>11</v>
      </c>
      <c r="K146" t="s">
        <v>87</v>
      </c>
      <c r="L146" t="s">
        <v>57</v>
      </c>
      <c r="M146" t="s">
        <v>6</v>
      </c>
      <c r="N146" t="b">
        <v>0</v>
      </c>
      <c r="O146">
        <v>0</v>
      </c>
      <c r="P146">
        <v>1</v>
      </c>
      <c r="Q146">
        <v>0</v>
      </c>
      <c r="R146">
        <v>0</v>
      </c>
    </row>
    <row r="147" spans="1:18" x14ac:dyDescent="0.25">
      <c r="A147" t="s">
        <v>352</v>
      </c>
      <c r="B147" t="s">
        <v>6</v>
      </c>
      <c r="C147">
        <v>3</v>
      </c>
      <c r="D147">
        <v>1</v>
      </c>
      <c r="E147">
        <v>1</v>
      </c>
      <c r="F147" s="15">
        <v>45971</v>
      </c>
      <c r="G147" t="s">
        <v>109</v>
      </c>
      <c r="H147">
        <v>5</v>
      </c>
      <c r="I147">
        <v>2025</v>
      </c>
      <c r="J147">
        <v>11</v>
      </c>
      <c r="K147" t="s">
        <v>87</v>
      </c>
      <c r="L147" t="s">
        <v>11</v>
      </c>
      <c r="M147" t="s">
        <v>6</v>
      </c>
      <c r="N147" t="b">
        <v>0</v>
      </c>
      <c r="O147">
        <v>0</v>
      </c>
      <c r="P147">
        <v>1</v>
      </c>
      <c r="Q147">
        <v>0</v>
      </c>
      <c r="R147">
        <v>0</v>
      </c>
    </row>
    <row r="148" spans="1:18" x14ac:dyDescent="0.25">
      <c r="A148" t="s">
        <v>14</v>
      </c>
      <c r="B148" t="s">
        <v>6</v>
      </c>
      <c r="C148">
        <v>4</v>
      </c>
      <c r="D148">
        <v>1</v>
      </c>
      <c r="E148">
        <v>2</v>
      </c>
      <c r="F148" s="15">
        <v>45873</v>
      </c>
      <c r="G148" t="s">
        <v>120</v>
      </c>
      <c r="H148">
        <v>4</v>
      </c>
      <c r="I148">
        <v>2025</v>
      </c>
      <c r="J148">
        <v>8</v>
      </c>
      <c r="K148" t="s">
        <v>87</v>
      </c>
      <c r="L148" t="s">
        <v>43</v>
      </c>
      <c r="M148" t="s">
        <v>6</v>
      </c>
      <c r="N148" t="b">
        <v>0</v>
      </c>
      <c r="O148">
        <v>0</v>
      </c>
      <c r="P148">
        <v>1</v>
      </c>
      <c r="Q148">
        <v>0</v>
      </c>
      <c r="R148">
        <v>0</v>
      </c>
    </row>
    <row r="149" spans="1:18" x14ac:dyDescent="0.25">
      <c r="A149" t="s">
        <v>14</v>
      </c>
      <c r="B149" t="s">
        <v>6</v>
      </c>
      <c r="C149">
        <v>4</v>
      </c>
      <c r="D149">
        <v>1</v>
      </c>
      <c r="E149">
        <v>2</v>
      </c>
      <c r="F149" s="15">
        <v>45873</v>
      </c>
      <c r="G149" t="s">
        <v>120</v>
      </c>
      <c r="H149">
        <v>4</v>
      </c>
      <c r="I149">
        <v>2025</v>
      </c>
      <c r="J149">
        <v>8</v>
      </c>
      <c r="K149" t="s">
        <v>87</v>
      </c>
      <c r="L149" t="s">
        <v>15</v>
      </c>
      <c r="M149" t="s">
        <v>8</v>
      </c>
      <c r="N149" t="b">
        <v>0</v>
      </c>
      <c r="O149">
        <v>0</v>
      </c>
      <c r="P149">
        <v>1</v>
      </c>
      <c r="Q149">
        <v>0</v>
      </c>
      <c r="R149">
        <v>1</v>
      </c>
    </row>
    <row r="150" spans="1:18" x14ac:dyDescent="0.25">
      <c r="A150" t="s">
        <v>14</v>
      </c>
      <c r="B150" t="s">
        <v>6</v>
      </c>
      <c r="C150">
        <v>4</v>
      </c>
      <c r="D150">
        <v>1</v>
      </c>
      <c r="E150">
        <v>2</v>
      </c>
      <c r="F150" s="15">
        <v>45873</v>
      </c>
      <c r="G150" t="s">
        <v>120</v>
      </c>
      <c r="H150">
        <v>4</v>
      </c>
      <c r="I150">
        <v>2025</v>
      </c>
      <c r="J150">
        <v>8</v>
      </c>
      <c r="K150" t="s">
        <v>87</v>
      </c>
      <c r="L150" t="s">
        <v>12</v>
      </c>
      <c r="M150" t="s">
        <v>6</v>
      </c>
      <c r="N150" t="b">
        <v>0</v>
      </c>
      <c r="O150">
        <v>0</v>
      </c>
      <c r="P150">
        <v>1</v>
      </c>
      <c r="Q150">
        <v>0</v>
      </c>
      <c r="R150">
        <v>0</v>
      </c>
    </row>
    <row r="151" spans="1:18" x14ac:dyDescent="0.25">
      <c r="A151" t="s">
        <v>43</v>
      </c>
      <c r="B151" t="s">
        <v>6</v>
      </c>
      <c r="C151">
        <v>2</v>
      </c>
      <c r="D151">
        <v>1</v>
      </c>
      <c r="E151">
        <v>2</v>
      </c>
      <c r="F151" s="15">
        <v>45873</v>
      </c>
      <c r="G151" t="s">
        <v>120</v>
      </c>
      <c r="H151">
        <v>4</v>
      </c>
      <c r="I151">
        <v>2025</v>
      </c>
      <c r="J151">
        <v>8</v>
      </c>
      <c r="K151" t="s">
        <v>87</v>
      </c>
      <c r="L151" t="s">
        <v>14</v>
      </c>
      <c r="M151" t="s">
        <v>6</v>
      </c>
      <c r="N151" t="b">
        <v>0</v>
      </c>
      <c r="O151">
        <v>0</v>
      </c>
      <c r="P151">
        <v>1</v>
      </c>
      <c r="Q151">
        <v>0</v>
      </c>
      <c r="R151">
        <v>0</v>
      </c>
    </row>
    <row r="152" spans="1:18" x14ac:dyDescent="0.25">
      <c r="A152" t="s">
        <v>43</v>
      </c>
      <c r="B152" t="s">
        <v>6</v>
      </c>
      <c r="C152">
        <v>2</v>
      </c>
      <c r="D152">
        <v>1</v>
      </c>
      <c r="E152">
        <v>2</v>
      </c>
      <c r="F152" s="15">
        <v>45873</v>
      </c>
      <c r="G152" t="s">
        <v>120</v>
      </c>
      <c r="H152">
        <v>4</v>
      </c>
      <c r="I152">
        <v>2025</v>
      </c>
      <c r="J152">
        <v>8</v>
      </c>
      <c r="K152" t="s">
        <v>87</v>
      </c>
      <c r="L152" t="s">
        <v>15</v>
      </c>
      <c r="M152" t="s">
        <v>8</v>
      </c>
      <c r="N152" t="b">
        <v>0</v>
      </c>
      <c r="O152">
        <v>0</v>
      </c>
      <c r="P152">
        <v>1</v>
      </c>
      <c r="Q152">
        <v>0</v>
      </c>
      <c r="R152">
        <v>1</v>
      </c>
    </row>
    <row r="153" spans="1:18" x14ac:dyDescent="0.25">
      <c r="A153" t="s">
        <v>43</v>
      </c>
      <c r="B153" t="s">
        <v>6</v>
      </c>
      <c r="C153">
        <v>2</v>
      </c>
      <c r="D153">
        <v>1</v>
      </c>
      <c r="E153">
        <v>2</v>
      </c>
      <c r="F153" s="15">
        <v>45873</v>
      </c>
      <c r="G153" t="s">
        <v>120</v>
      </c>
      <c r="H153">
        <v>4</v>
      </c>
      <c r="I153">
        <v>2025</v>
      </c>
      <c r="J153">
        <v>8</v>
      </c>
      <c r="K153" t="s">
        <v>87</v>
      </c>
      <c r="L153" t="s">
        <v>12</v>
      </c>
      <c r="M153" t="s">
        <v>6</v>
      </c>
      <c r="N153" t="b">
        <v>0</v>
      </c>
      <c r="O153">
        <v>0</v>
      </c>
      <c r="P153">
        <v>1</v>
      </c>
      <c r="Q153">
        <v>0</v>
      </c>
      <c r="R153">
        <v>0</v>
      </c>
    </row>
    <row r="154" spans="1:18" x14ac:dyDescent="0.25">
      <c r="A154" t="s">
        <v>15</v>
      </c>
      <c r="B154" t="s">
        <v>8</v>
      </c>
      <c r="C154">
        <v>3</v>
      </c>
      <c r="D154">
        <v>1</v>
      </c>
      <c r="E154">
        <v>2</v>
      </c>
      <c r="F154" s="15">
        <v>45873</v>
      </c>
      <c r="G154" t="s">
        <v>120</v>
      </c>
      <c r="H154">
        <v>4</v>
      </c>
      <c r="I154">
        <v>2025</v>
      </c>
      <c r="J154">
        <v>8</v>
      </c>
      <c r="K154" t="s">
        <v>87</v>
      </c>
      <c r="L154" t="s">
        <v>14</v>
      </c>
      <c r="M154" t="s">
        <v>6</v>
      </c>
      <c r="N154" t="b">
        <v>0</v>
      </c>
      <c r="O154">
        <v>1</v>
      </c>
      <c r="P154">
        <v>0</v>
      </c>
      <c r="Q154">
        <v>0</v>
      </c>
      <c r="R154">
        <v>0</v>
      </c>
    </row>
    <row r="155" spans="1:18" x14ac:dyDescent="0.25">
      <c r="A155" t="s">
        <v>15</v>
      </c>
      <c r="B155" t="s">
        <v>8</v>
      </c>
      <c r="C155">
        <v>3</v>
      </c>
      <c r="D155">
        <v>1</v>
      </c>
      <c r="E155">
        <v>2</v>
      </c>
      <c r="F155" s="15">
        <v>45873</v>
      </c>
      <c r="G155" t="s">
        <v>120</v>
      </c>
      <c r="H155">
        <v>4</v>
      </c>
      <c r="I155">
        <v>2025</v>
      </c>
      <c r="J155">
        <v>8</v>
      </c>
      <c r="K155" t="s">
        <v>87</v>
      </c>
      <c r="L155" t="s">
        <v>43</v>
      </c>
      <c r="M155" t="s">
        <v>6</v>
      </c>
      <c r="N155" t="b">
        <v>0</v>
      </c>
      <c r="O155">
        <v>1</v>
      </c>
      <c r="P155">
        <v>0</v>
      </c>
      <c r="Q155">
        <v>0</v>
      </c>
      <c r="R155">
        <v>0</v>
      </c>
    </row>
    <row r="156" spans="1:18" x14ac:dyDescent="0.25">
      <c r="A156" t="s">
        <v>15</v>
      </c>
      <c r="B156" t="s">
        <v>8</v>
      </c>
      <c r="C156">
        <v>3</v>
      </c>
      <c r="D156">
        <v>1</v>
      </c>
      <c r="E156">
        <v>2</v>
      </c>
      <c r="F156" s="15">
        <v>45873</v>
      </c>
      <c r="G156" t="s">
        <v>120</v>
      </c>
      <c r="H156">
        <v>4</v>
      </c>
      <c r="I156">
        <v>2025</v>
      </c>
      <c r="J156">
        <v>8</v>
      </c>
      <c r="K156" t="s">
        <v>87</v>
      </c>
      <c r="L156" t="s">
        <v>12</v>
      </c>
      <c r="M156" t="s">
        <v>6</v>
      </c>
      <c r="N156" t="b">
        <v>0</v>
      </c>
      <c r="O156">
        <v>1</v>
      </c>
      <c r="P156">
        <v>0</v>
      </c>
      <c r="Q156">
        <v>0</v>
      </c>
      <c r="R156">
        <v>0</v>
      </c>
    </row>
    <row r="157" spans="1:18" x14ac:dyDescent="0.25">
      <c r="A157" t="s">
        <v>12</v>
      </c>
      <c r="B157" t="s">
        <v>6</v>
      </c>
      <c r="C157">
        <v>1</v>
      </c>
      <c r="D157">
        <v>1</v>
      </c>
      <c r="E157">
        <v>2</v>
      </c>
      <c r="F157" s="15">
        <v>45873</v>
      </c>
      <c r="G157" t="s">
        <v>120</v>
      </c>
      <c r="H157">
        <v>4</v>
      </c>
      <c r="I157">
        <v>2025</v>
      </c>
      <c r="J157">
        <v>8</v>
      </c>
      <c r="K157" t="s">
        <v>87</v>
      </c>
      <c r="L157" t="s">
        <v>14</v>
      </c>
      <c r="M157" t="s">
        <v>6</v>
      </c>
      <c r="N157" t="b">
        <v>0</v>
      </c>
      <c r="O157">
        <v>0</v>
      </c>
      <c r="P157">
        <v>1</v>
      </c>
      <c r="Q157">
        <v>0</v>
      </c>
      <c r="R157">
        <v>0</v>
      </c>
    </row>
    <row r="158" spans="1:18" x14ac:dyDescent="0.25">
      <c r="A158" t="s">
        <v>12</v>
      </c>
      <c r="B158" t="s">
        <v>6</v>
      </c>
      <c r="C158">
        <v>1</v>
      </c>
      <c r="D158">
        <v>1</v>
      </c>
      <c r="E158">
        <v>2</v>
      </c>
      <c r="F158" s="15">
        <v>45873</v>
      </c>
      <c r="G158" t="s">
        <v>120</v>
      </c>
      <c r="H158">
        <v>4</v>
      </c>
      <c r="I158">
        <v>2025</v>
      </c>
      <c r="J158">
        <v>8</v>
      </c>
      <c r="K158" t="s">
        <v>87</v>
      </c>
      <c r="L158" t="s">
        <v>43</v>
      </c>
      <c r="M158" t="s">
        <v>6</v>
      </c>
      <c r="N158" t="b">
        <v>0</v>
      </c>
      <c r="O158">
        <v>0</v>
      </c>
      <c r="P158">
        <v>1</v>
      </c>
      <c r="Q158">
        <v>0</v>
      </c>
      <c r="R158">
        <v>0</v>
      </c>
    </row>
    <row r="159" spans="1:18" x14ac:dyDescent="0.25">
      <c r="A159" t="s">
        <v>12</v>
      </c>
      <c r="B159" t="s">
        <v>6</v>
      </c>
      <c r="C159">
        <v>1</v>
      </c>
      <c r="D159">
        <v>1</v>
      </c>
      <c r="E159">
        <v>2</v>
      </c>
      <c r="F159" s="15">
        <v>45873</v>
      </c>
      <c r="G159" t="s">
        <v>120</v>
      </c>
      <c r="H159">
        <v>4</v>
      </c>
      <c r="I159">
        <v>2025</v>
      </c>
      <c r="J159">
        <v>8</v>
      </c>
      <c r="K159" t="s">
        <v>87</v>
      </c>
      <c r="L159" t="s">
        <v>15</v>
      </c>
      <c r="M159" t="s">
        <v>8</v>
      </c>
      <c r="N159" t="b">
        <v>0</v>
      </c>
      <c r="O159">
        <v>0</v>
      </c>
      <c r="P159">
        <v>1</v>
      </c>
      <c r="Q159">
        <v>0</v>
      </c>
      <c r="R159">
        <v>1</v>
      </c>
    </row>
    <row r="160" spans="1:18" x14ac:dyDescent="0.25">
      <c r="A160" t="s">
        <v>14</v>
      </c>
      <c r="B160" t="s">
        <v>8</v>
      </c>
      <c r="C160">
        <v>1</v>
      </c>
      <c r="D160">
        <v>1</v>
      </c>
      <c r="E160">
        <v>2</v>
      </c>
      <c r="F160" s="15">
        <v>45908</v>
      </c>
      <c r="G160" t="s">
        <v>124</v>
      </c>
      <c r="H160">
        <v>4</v>
      </c>
      <c r="I160">
        <v>2025</v>
      </c>
      <c r="J160">
        <v>9</v>
      </c>
      <c r="K160" t="s">
        <v>87</v>
      </c>
      <c r="L160" t="s">
        <v>19</v>
      </c>
      <c r="M160" t="s">
        <v>6</v>
      </c>
      <c r="N160" t="b">
        <v>0</v>
      </c>
      <c r="O160">
        <v>1</v>
      </c>
      <c r="P160">
        <v>0</v>
      </c>
      <c r="Q160">
        <v>0</v>
      </c>
      <c r="R160">
        <v>0</v>
      </c>
    </row>
    <row r="161" spans="1:18" x14ac:dyDescent="0.25">
      <c r="A161" t="s">
        <v>14</v>
      </c>
      <c r="B161" t="s">
        <v>8</v>
      </c>
      <c r="C161">
        <v>1</v>
      </c>
      <c r="D161">
        <v>1</v>
      </c>
      <c r="E161">
        <v>2</v>
      </c>
      <c r="F161" s="15">
        <v>45908</v>
      </c>
      <c r="G161" t="s">
        <v>124</v>
      </c>
      <c r="H161">
        <v>4</v>
      </c>
      <c r="I161">
        <v>2025</v>
      </c>
      <c r="J161">
        <v>9</v>
      </c>
      <c r="K161" t="s">
        <v>87</v>
      </c>
      <c r="L161" t="s">
        <v>41</v>
      </c>
      <c r="M161" t="s">
        <v>6</v>
      </c>
      <c r="N161" t="b">
        <v>0</v>
      </c>
      <c r="O161">
        <v>1</v>
      </c>
      <c r="P161">
        <v>0</v>
      </c>
      <c r="Q161">
        <v>0</v>
      </c>
      <c r="R161">
        <v>0</v>
      </c>
    </row>
    <row r="162" spans="1:18" x14ac:dyDescent="0.25">
      <c r="A162" t="s">
        <v>14</v>
      </c>
      <c r="B162" t="s">
        <v>8</v>
      </c>
      <c r="C162">
        <v>1</v>
      </c>
      <c r="D162">
        <v>1</v>
      </c>
      <c r="E162">
        <v>2</v>
      </c>
      <c r="F162" s="15">
        <v>45908</v>
      </c>
      <c r="G162" t="s">
        <v>124</v>
      </c>
      <c r="H162">
        <v>4</v>
      </c>
      <c r="I162">
        <v>2025</v>
      </c>
      <c r="J162">
        <v>9</v>
      </c>
      <c r="K162" t="s">
        <v>87</v>
      </c>
      <c r="L162" t="s">
        <v>42</v>
      </c>
      <c r="M162" t="s">
        <v>6</v>
      </c>
      <c r="N162" t="b">
        <v>0</v>
      </c>
      <c r="O162">
        <v>1</v>
      </c>
      <c r="P162">
        <v>0</v>
      </c>
      <c r="Q162">
        <v>0</v>
      </c>
      <c r="R162">
        <v>0</v>
      </c>
    </row>
    <row r="163" spans="1:18" x14ac:dyDescent="0.25">
      <c r="A163" t="s">
        <v>19</v>
      </c>
      <c r="B163" t="s">
        <v>6</v>
      </c>
      <c r="C163">
        <v>4</v>
      </c>
      <c r="D163">
        <v>1</v>
      </c>
      <c r="E163">
        <v>2</v>
      </c>
      <c r="F163" s="15">
        <v>45908</v>
      </c>
      <c r="G163" t="s">
        <v>124</v>
      </c>
      <c r="H163">
        <v>4</v>
      </c>
      <c r="I163">
        <v>2025</v>
      </c>
      <c r="J163">
        <v>9</v>
      </c>
      <c r="K163" t="s">
        <v>87</v>
      </c>
      <c r="L163" t="s">
        <v>14</v>
      </c>
      <c r="M163" t="s">
        <v>8</v>
      </c>
      <c r="N163" t="b">
        <v>0</v>
      </c>
      <c r="O163">
        <v>0</v>
      </c>
      <c r="P163">
        <v>1</v>
      </c>
      <c r="Q163">
        <v>0</v>
      </c>
      <c r="R163">
        <v>1</v>
      </c>
    </row>
    <row r="164" spans="1:18" x14ac:dyDescent="0.25">
      <c r="A164" t="s">
        <v>19</v>
      </c>
      <c r="B164" t="s">
        <v>6</v>
      </c>
      <c r="C164">
        <v>4</v>
      </c>
      <c r="D164">
        <v>1</v>
      </c>
      <c r="E164">
        <v>2</v>
      </c>
      <c r="F164" s="15">
        <v>45908</v>
      </c>
      <c r="G164" t="s">
        <v>124</v>
      </c>
      <c r="H164">
        <v>4</v>
      </c>
      <c r="I164">
        <v>2025</v>
      </c>
      <c r="J164">
        <v>9</v>
      </c>
      <c r="K164" t="s">
        <v>87</v>
      </c>
      <c r="L164" t="s">
        <v>41</v>
      </c>
      <c r="M164" t="s">
        <v>6</v>
      </c>
      <c r="N164" t="b">
        <v>0</v>
      </c>
      <c r="O164">
        <v>0</v>
      </c>
      <c r="P164">
        <v>1</v>
      </c>
      <c r="Q164">
        <v>0</v>
      </c>
      <c r="R164">
        <v>0</v>
      </c>
    </row>
    <row r="165" spans="1:18" x14ac:dyDescent="0.25">
      <c r="A165" t="s">
        <v>19</v>
      </c>
      <c r="B165" t="s">
        <v>6</v>
      </c>
      <c r="C165">
        <v>4</v>
      </c>
      <c r="D165">
        <v>1</v>
      </c>
      <c r="E165">
        <v>2</v>
      </c>
      <c r="F165" s="15">
        <v>45908</v>
      </c>
      <c r="G165" t="s">
        <v>124</v>
      </c>
      <c r="H165">
        <v>4</v>
      </c>
      <c r="I165">
        <v>2025</v>
      </c>
      <c r="J165">
        <v>9</v>
      </c>
      <c r="K165" t="s">
        <v>87</v>
      </c>
      <c r="L165" t="s">
        <v>42</v>
      </c>
      <c r="M165" t="s">
        <v>6</v>
      </c>
      <c r="N165" t="b">
        <v>0</v>
      </c>
      <c r="O165">
        <v>0</v>
      </c>
      <c r="P165">
        <v>1</v>
      </c>
      <c r="Q165">
        <v>0</v>
      </c>
      <c r="R165">
        <v>0</v>
      </c>
    </row>
    <row r="166" spans="1:18" x14ac:dyDescent="0.25">
      <c r="A166" t="s">
        <v>41</v>
      </c>
      <c r="B166" t="s">
        <v>6</v>
      </c>
      <c r="C166">
        <v>3</v>
      </c>
      <c r="D166">
        <v>1</v>
      </c>
      <c r="E166">
        <v>2</v>
      </c>
      <c r="F166" s="15">
        <v>45908</v>
      </c>
      <c r="G166" t="s">
        <v>124</v>
      </c>
      <c r="H166">
        <v>4</v>
      </c>
      <c r="I166">
        <v>2025</v>
      </c>
      <c r="J166">
        <v>9</v>
      </c>
      <c r="K166" t="s">
        <v>87</v>
      </c>
      <c r="L166" t="s">
        <v>14</v>
      </c>
      <c r="M166" t="s">
        <v>8</v>
      </c>
      <c r="N166" t="b">
        <v>0</v>
      </c>
      <c r="O166">
        <v>0</v>
      </c>
      <c r="P166">
        <v>1</v>
      </c>
      <c r="Q166">
        <v>0</v>
      </c>
      <c r="R166">
        <v>1</v>
      </c>
    </row>
    <row r="167" spans="1:18" x14ac:dyDescent="0.25">
      <c r="A167" t="s">
        <v>41</v>
      </c>
      <c r="B167" t="s">
        <v>6</v>
      </c>
      <c r="C167">
        <v>3</v>
      </c>
      <c r="D167">
        <v>1</v>
      </c>
      <c r="E167">
        <v>2</v>
      </c>
      <c r="F167" s="15">
        <v>45908</v>
      </c>
      <c r="G167" t="s">
        <v>124</v>
      </c>
      <c r="H167">
        <v>4</v>
      </c>
      <c r="I167">
        <v>2025</v>
      </c>
      <c r="J167">
        <v>9</v>
      </c>
      <c r="K167" t="s">
        <v>87</v>
      </c>
      <c r="L167" t="s">
        <v>19</v>
      </c>
      <c r="M167" t="s">
        <v>6</v>
      </c>
      <c r="N167" t="b">
        <v>0</v>
      </c>
      <c r="O167">
        <v>0</v>
      </c>
      <c r="P167">
        <v>1</v>
      </c>
      <c r="Q167">
        <v>0</v>
      </c>
      <c r="R167">
        <v>0</v>
      </c>
    </row>
    <row r="168" spans="1:18" x14ac:dyDescent="0.25">
      <c r="A168" t="s">
        <v>41</v>
      </c>
      <c r="B168" t="s">
        <v>6</v>
      </c>
      <c r="C168">
        <v>3</v>
      </c>
      <c r="D168">
        <v>1</v>
      </c>
      <c r="E168">
        <v>2</v>
      </c>
      <c r="F168" s="15">
        <v>45908</v>
      </c>
      <c r="G168" t="s">
        <v>124</v>
      </c>
      <c r="H168">
        <v>4</v>
      </c>
      <c r="I168">
        <v>2025</v>
      </c>
      <c r="J168">
        <v>9</v>
      </c>
      <c r="K168" t="s">
        <v>87</v>
      </c>
      <c r="L168" t="s">
        <v>42</v>
      </c>
      <c r="M168" t="s">
        <v>6</v>
      </c>
      <c r="N168" t="b">
        <v>0</v>
      </c>
      <c r="O168">
        <v>0</v>
      </c>
      <c r="P168">
        <v>1</v>
      </c>
      <c r="Q168">
        <v>0</v>
      </c>
      <c r="R168">
        <v>0</v>
      </c>
    </row>
    <row r="169" spans="1:18" x14ac:dyDescent="0.25">
      <c r="A169" t="s">
        <v>42</v>
      </c>
      <c r="B169" t="s">
        <v>6</v>
      </c>
      <c r="C169">
        <v>2</v>
      </c>
      <c r="D169">
        <v>1</v>
      </c>
      <c r="E169">
        <v>2</v>
      </c>
      <c r="F169" s="15">
        <v>45908</v>
      </c>
      <c r="G169" t="s">
        <v>124</v>
      </c>
      <c r="H169">
        <v>4</v>
      </c>
      <c r="I169">
        <v>2025</v>
      </c>
      <c r="J169">
        <v>9</v>
      </c>
      <c r="K169" t="s">
        <v>87</v>
      </c>
      <c r="L169" t="s">
        <v>14</v>
      </c>
      <c r="M169" t="s">
        <v>8</v>
      </c>
      <c r="N169" t="b">
        <v>0</v>
      </c>
      <c r="O169">
        <v>0</v>
      </c>
      <c r="P169">
        <v>1</v>
      </c>
      <c r="Q169">
        <v>0</v>
      </c>
      <c r="R169">
        <v>1</v>
      </c>
    </row>
    <row r="170" spans="1:18" x14ac:dyDescent="0.25">
      <c r="A170" t="s">
        <v>42</v>
      </c>
      <c r="B170" t="s">
        <v>6</v>
      </c>
      <c r="C170">
        <v>2</v>
      </c>
      <c r="D170">
        <v>1</v>
      </c>
      <c r="E170">
        <v>2</v>
      </c>
      <c r="F170" s="15">
        <v>45908</v>
      </c>
      <c r="G170" t="s">
        <v>124</v>
      </c>
      <c r="H170">
        <v>4</v>
      </c>
      <c r="I170">
        <v>2025</v>
      </c>
      <c r="J170">
        <v>9</v>
      </c>
      <c r="K170" t="s">
        <v>87</v>
      </c>
      <c r="L170" t="s">
        <v>19</v>
      </c>
      <c r="M170" t="s">
        <v>6</v>
      </c>
      <c r="N170" t="b">
        <v>0</v>
      </c>
      <c r="O170">
        <v>0</v>
      </c>
      <c r="P170">
        <v>1</v>
      </c>
      <c r="Q170">
        <v>0</v>
      </c>
      <c r="R170">
        <v>0</v>
      </c>
    </row>
    <row r="171" spans="1:18" x14ac:dyDescent="0.25">
      <c r="A171" t="s">
        <v>42</v>
      </c>
      <c r="B171" t="s">
        <v>6</v>
      </c>
      <c r="C171">
        <v>2</v>
      </c>
      <c r="D171">
        <v>1</v>
      </c>
      <c r="E171">
        <v>2</v>
      </c>
      <c r="F171" s="15">
        <v>45908</v>
      </c>
      <c r="G171" t="s">
        <v>124</v>
      </c>
      <c r="H171">
        <v>4</v>
      </c>
      <c r="I171">
        <v>2025</v>
      </c>
      <c r="J171">
        <v>9</v>
      </c>
      <c r="K171" t="s">
        <v>87</v>
      </c>
      <c r="L171" t="s">
        <v>41</v>
      </c>
      <c r="M171" t="s">
        <v>6</v>
      </c>
      <c r="N171" t="b">
        <v>0</v>
      </c>
      <c r="O171">
        <v>0</v>
      </c>
      <c r="P171">
        <v>1</v>
      </c>
      <c r="Q171">
        <v>0</v>
      </c>
      <c r="R171">
        <v>0</v>
      </c>
    </row>
    <row r="172" spans="1:18" x14ac:dyDescent="0.25">
      <c r="A172" t="s">
        <v>14</v>
      </c>
      <c r="B172" t="s">
        <v>6</v>
      </c>
      <c r="C172">
        <v>3</v>
      </c>
      <c r="D172">
        <v>1</v>
      </c>
      <c r="E172">
        <v>2</v>
      </c>
      <c r="F172" s="15">
        <v>45915</v>
      </c>
      <c r="G172" t="s">
        <v>125</v>
      </c>
      <c r="H172">
        <v>4</v>
      </c>
      <c r="I172">
        <v>2025</v>
      </c>
      <c r="J172">
        <v>9</v>
      </c>
      <c r="K172" t="s">
        <v>87</v>
      </c>
      <c r="L172" t="s">
        <v>20</v>
      </c>
      <c r="M172" t="s">
        <v>6</v>
      </c>
      <c r="N172" t="b">
        <v>0</v>
      </c>
      <c r="O172">
        <v>0</v>
      </c>
      <c r="P172">
        <v>1</v>
      </c>
      <c r="Q172">
        <v>0</v>
      </c>
      <c r="R172">
        <v>0</v>
      </c>
    </row>
    <row r="173" spans="1:18" x14ac:dyDescent="0.25">
      <c r="A173" t="s">
        <v>14</v>
      </c>
      <c r="B173" t="s">
        <v>6</v>
      </c>
      <c r="C173">
        <v>3</v>
      </c>
      <c r="D173">
        <v>1</v>
      </c>
      <c r="E173">
        <v>2</v>
      </c>
      <c r="F173" s="15">
        <v>45915</v>
      </c>
      <c r="G173" t="s">
        <v>125</v>
      </c>
      <c r="H173">
        <v>4</v>
      </c>
      <c r="I173">
        <v>2025</v>
      </c>
      <c r="J173">
        <v>9</v>
      </c>
      <c r="K173" t="s">
        <v>87</v>
      </c>
      <c r="L173" t="s">
        <v>28</v>
      </c>
      <c r="M173" t="s">
        <v>8</v>
      </c>
      <c r="N173" t="b">
        <v>0</v>
      </c>
      <c r="O173">
        <v>0</v>
      </c>
      <c r="P173">
        <v>1</v>
      </c>
      <c r="Q173">
        <v>0</v>
      </c>
      <c r="R173">
        <v>1</v>
      </c>
    </row>
    <row r="174" spans="1:18" x14ac:dyDescent="0.25">
      <c r="A174" t="s">
        <v>14</v>
      </c>
      <c r="B174" t="s">
        <v>6</v>
      </c>
      <c r="C174">
        <v>3</v>
      </c>
      <c r="D174">
        <v>1</v>
      </c>
      <c r="E174">
        <v>2</v>
      </c>
      <c r="F174" s="15">
        <v>45915</v>
      </c>
      <c r="G174" t="s">
        <v>125</v>
      </c>
      <c r="H174">
        <v>4</v>
      </c>
      <c r="I174">
        <v>2025</v>
      </c>
      <c r="J174">
        <v>9</v>
      </c>
      <c r="K174" t="s">
        <v>87</v>
      </c>
      <c r="L174" t="s">
        <v>12</v>
      </c>
      <c r="M174" t="s">
        <v>6</v>
      </c>
      <c r="N174" t="b">
        <v>0</v>
      </c>
      <c r="O174">
        <v>0</v>
      </c>
      <c r="P174">
        <v>1</v>
      </c>
      <c r="Q174">
        <v>0</v>
      </c>
      <c r="R174">
        <v>0</v>
      </c>
    </row>
    <row r="175" spans="1:18" x14ac:dyDescent="0.25">
      <c r="A175" t="s">
        <v>20</v>
      </c>
      <c r="B175" t="s">
        <v>6</v>
      </c>
      <c r="C175">
        <v>1</v>
      </c>
      <c r="D175">
        <v>1</v>
      </c>
      <c r="E175">
        <v>2</v>
      </c>
      <c r="F175" s="15">
        <v>45915</v>
      </c>
      <c r="G175" t="s">
        <v>125</v>
      </c>
      <c r="H175">
        <v>4</v>
      </c>
      <c r="I175">
        <v>2025</v>
      </c>
      <c r="J175">
        <v>9</v>
      </c>
      <c r="K175" t="s">
        <v>87</v>
      </c>
      <c r="L175" t="s">
        <v>14</v>
      </c>
      <c r="M175" t="s">
        <v>6</v>
      </c>
      <c r="N175" t="b">
        <v>0</v>
      </c>
      <c r="O175">
        <v>0</v>
      </c>
      <c r="P175">
        <v>1</v>
      </c>
      <c r="Q175">
        <v>0</v>
      </c>
      <c r="R175">
        <v>0</v>
      </c>
    </row>
    <row r="176" spans="1:18" x14ac:dyDescent="0.25">
      <c r="A176" t="s">
        <v>20</v>
      </c>
      <c r="B176" t="s">
        <v>6</v>
      </c>
      <c r="C176">
        <v>1</v>
      </c>
      <c r="D176">
        <v>1</v>
      </c>
      <c r="E176">
        <v>2</v>
      </c>
      <c r="F176" s="15">
        <v>45915</v>
      </c>
      <c r="G176" t="s">
        <v>125</v>
      </c>
      <c r="H176">
        <v>4</v>
      </c>
      <c r="I176">
        <v>2025</v>
      </c>
      <c r="J176">
        <v>9</v>
      </c>
      <c r="K176" t="s">
        <v>87</v>
      </c>
      <c r="L176" t="s">
        <v>28</v>
      </c>
      <c r="M176" t="s">
        <v>8</v>
      </c>
      <c r="N176" t="b">
        <v>0</v>
      </c>
      <c r="O176">
        <v>0</v>
      </c>
      <c r="P176">
        <v>1</v>
      </c>
      <c r="Q176">
        <v>0</v>
      </c>
      <c r="R176">
        <v>1</v>
      </c>
    </row>
    <row r="177" spans="1:18" x14ac:dyDescent="0.25">
      <c r="A177" t="s">
        <v>20</v>
      </c>
      <c r="B177" t="s">
        <v>6</v>
      </c>
      <c r="C177">
        <v>1</v>
      </c>
      <c r="D177">
        <v>1</v>
      </c>
      <c r="E177">
        <v>2</v>
      </c>
      <c r="F177" s="15">
        <v>45915</v>
      </c>
      <c r="G177" t="s">
        <v>125</v>
      </c>
      <c r="H177">
        <v>4</v>
      </c>
      <c r="I177">
        <v>2025</v>
      </c>
      <c r="J177">
        <v>9</v>
      </c>
      <c r="K177" t="s">
        <v>87</v>
      </c>
      <c r="L177" t="s">
        <v>12</v>
      </c>
      <c r="M177" t="s">
        <v>6</v>
      </c>
      <c r="N177" t="b">
        <v>0</v>
      </c>
      <c r="O177">
        <v>0</v>
      </c>
      <c r="P177">
        <v>1</v>
      </c>
      <c r="Q177">
        <v>0</v>
      </c>
      <c r="R177">
        <v>0</v>
      </c>
    </row>
    <row r="178" spans="1:18" x14ac:dyDescent="0.25">
      <c r="A178" t="s">
        <v>28</v>
      </c>
      <c r="B178" t="s">
        <v>8</v>
      </c>
      <c r="C178">
        <v>4</v>
      </c>
      <c r="D178">
        <v>1</v>
      </c>
      <c r="E178">
        <v>2</v>
      </c>
      <c r="F178" s="15">
        <v>45915</v>
      </c>
      <c r="G178" t="s">
        <v>125</v>
      </c>
      <c r="H178">
        <v>4</v>
      </c>
      <c r="I178">
        <v>2025</v>
      </c>
      <c r="J178">
        <v>9</v>
      </c>
      <c r="K178" t="s">
        <v>87</v>
      </c>
      <c r="L178" t="s">
        <v>14</v>
      </c>
      <c r="M178" t="s">
        <v>6</v>
      </c>
      <c r="N178" t="b">
        <v>0</v>
      </c>
      <c r="O178">
        <v>1</v>
      </c>
      <c r="P178">
        <v>0</v>
      </c>
      <c r="Q178">
        <v>0</v>
      </c>
      <c r="R178">
        <v>0</v>
      </c>
    </row>
    <row r="179" spans="1:18" x14ac:dyDescent="0.25">
      <c r="A179" t="s">
        <v>28</v>
      </c>
      <c r="B179" t="s">
        <v>8</v>
      </c>
      <c r="C179">
        <v>4</v>
      </c>
      <c r="D179">
        <v>1</v>
      </c>
      <c r="E179">
        <v>2</v>
      </c>
      <c r="F179" s="15">
        <v>45915</v>
      </c>
      <c r="G179" t="s">
        <v>125</v>
      </c>
      <c r="H179">
        <v>4</v>
      </c>
      <c r="I179">
        <v>2025</v>
      </c>
      <c r="J179">
        <v>9</v>
      </c>
      <c r="K179" t="s">
        <v>87</v>
      </c>
      <c r="L179" t="s">
        <v>20</v>
      </c>
      <c r="M179" t="s">
        <v>6</v>
      </c>
      <c r="N179" t="b">
        <v>0</v>
      </c>
      <c r="O179">
        <v>1</v>
      </c>
      <c r="P179">
        <v>0</v>
      </c>
      <c r="Q179">
        <v>0</v>
      </c>
      <c r="R179">
        <v>0</v>
      </c>
    </row>
    <row r="180" spans="1:18" x14ac:dyDescent="0.25">
      <c r="A180" t="s">
        <v>28</v>
      </c>
      <c r="B180" t="s">
        <v>8</v>
      </c>
      <c r="C180">
        <v>4</v>
      </c>
      <c r="D180">
        <v>1</v>
      </c>
      <c r="E180">
        <v>2</v>
      </c>
      <c r="F180" s="15">
        <v>45915</v>
      </c>
      <c r="G180" t="s">
        <v>125</v>
      </c>
      <c r="H180">
        <v>4</v>
      </c>
      <c r="I180">
        <v>2025</v>
      </c>
      <c r="J180">
        <v>9</v>
      </c>
      <c r="K180" t="s">
        <v>87</v>
      </c>
      <c r="L180" t="s">
        <v>12</v>
      </c>
      <c r="M180" t="s">
        <v>6</v>
      </c>
      <c r="N180" t="b">
        <v>0</v>
      </c>
      <c r="O180">
        <v>1</v>
      </c>
      <c r="P180">
        <v>0</v>
      </c>
      <c r="Q180">
        <v>0</v>
      </c>
      <c r="R180">
        <v>0</v>
      </c>
    </row>
    <row r="181" spans="1:18" x14ac:dyDescent="0.25">
      <c r="A181" t="s">
        <v>12</v>
      </c>
      <c r="B181" t="s">
        <v>6</v>
      </c>
      <c r="C181">
        <v>2</v>
      </c>
      <c r="D181">
        <v>1</v>
      </c>
      <c r="E181">
        <v>2</v>
      </c>
      <c r="F181" s="15">
        <v>45915</v>
      </c>
      <c r="G181" t="s">
        <v>125</v>
      </c>
      <c r="H181">
        <v>4</v>
      </c>
      <c r="I181">
        <v>2025</v>
      </c>
      <c r="J181">
        <v>9</v>
      </c>
      <c r="K181" t="s">
        <v>87</v>
      </c>
      <c r="L181" t="s">
        <v>14</v>
      </c>
      <c r="M181" t="s">
        <v>6</v>
      </c>
      <c r="N181" t="b">
        <v>0</v>
      </c>
      <c r="O181">
        <v>0</v>
      </c>
      <c r="P181">
        <v>1</v>
      </c>
      <c r="Q181">
        <v>0</v>
      </c>
      <c r="R181">
        <v>0</v>
      </c>
    </row>
    <row r="182" spans="1:18" x14ac:dyDescent="0.25">
      <c r="A182" t="s">
        <v>12</v>
      </c>
      <c r="B182" t="s">
        <v>6</v>
      </c>
      <c r="C182">
        <v>2</v>
      </c>
      <c r="D182">
        <v>1</v>
      </c>
      <c r="E182">
        <v>2</v>
      </c>
      <c r="F182" s="15">
        <v>45915</v>
      </c>
      <c r="G182" t="s">
        <v>125</v>
      </c>
      <c r="H182">
        <v>4</v>
      </c>
      <c r="I182">
        <v>2025</v>
      </c>
      <c r="J182">
        <v>9</v>
      </c>
      <c r="K182" t="s">
        <v>87</v>
      </c>
      <c r="L182" t="s">
        <v>20</v>
      </c>
      <c r="M182" t="s">
        <v>6</v>
      </c>
      <c r="N182" t="b">
        <v>0</v>
      </c>
      <c r="O182">
        <v>0</v>
      </c>
      <c r="P182">
        <v>1</v>
      </c>
      <c r="Q182">
        <v>0</v>
      </c>
      <c r="R182">
        <v>0</v>
      </c>
    </row>
    <row r="183" spans="1:18" x14ac:dyDescent="0.25">
      <c r="A183" t="s">
        <v>12</v>
      </c>
      <c r="B183" t="s">
        <v>6</v>
      </c>
      <c r="C183">
        <v>2</v>
      </c>
      <c r="D183">
        <v>1</v>
      </c>
      <c r="E183">
        <v>2</v>
      </c>
      <c r="F183" s="15">
        <v>45915</v>
      </c>
      <c r="G183" t="s">
        <v>125</v>
      </c>
      <c r="H183">
        <v>4</v>
      </c>
      <c r="I183">
        <v>2025</v>
      </c>
      <c r="J183">
        <v>9</v>
      </c>
      <c r="K183" t="s">
        <v>87</v>
      </c>
      <c r="L183" t="s">
        <v>28</v>
      </c>
      <c r="M183" t="s">
        <v>8</v>
      </c>
      <c r="N183" t="b">
        <v>0</v>
      </c>
      <c r="O183">
        <v>0</v>
      </c>
      <c r="P183">
        <v>1</v>
      </c>
      <c r="Q183">
        <v>0</v>
      </c>
      <c r="R183">
        <v>1</v>
      </c>
    </row>
    <row r="184" spans="1:18" x14ac:dyDescent="0.25">
      <c r="A184" t="s">
        <v>14</v>
      </c>
      <c r="B184" t="s">
        <v>6</v>
      </c>
      <c r="C184">
        <v>3</v>
      </c>
      <c r="D184">
        <v>1</v>
      </c>
      <c r="E184">
        <v>2</v>
      </c>
      <c r="F184" s="15">
        <v>45922</v>
      </c>
      <c r="G184" t="s">
        <v>126</v>
      </c>
      <c r="H184">
        <v>4</v>
      </c>
      <c r="I184">
        <v>2025</v>
      </c>
      <c r="J184">
        <v>9</v>
      </c>
      <c r="K184" t="s">
        <v>87</v>
      </c>
      <c r="L184" t="s">
        <v>7</v>
      </c>
      <c r="M184" t="s">
        <v>6</v>
      </c>
      <c r="N184" t="b">
        <v>0</v>
      </c>
      <c r="O184">
        <v>0</v>
      </c>
      <c r="P184">
        <v>1</v>
      </c>
      <c r="Q184">
        <v>0</v>
      </c>
      <c r="R184">
        <v>0</v>
      </c>
    </row>
    <row r="185" spans="1:18" x14ac:dyDescent="0.25">
      <c r="A185" t="s">
        <v>14</v>
      </c>
      <c r="B185" t="s">
        <v>6</v>
      </c>
      <c r="C185">
        <v>3</v>
      </c>
      <c r="D185">
        <v>1</v>
      </c>
      <c r="E185">
        <v>2</v>
      </c>
      <c r="F185" s="15">
        <v>45922</v>
      </c>
      <c r="G185" t="s">
        <v>126</v>
      </c>
      <c r="H185">
        <v>4</v>
      </c>
      <c r="I185">
        <v>2025</v>
      </c>
      <c r="J185">
        <v>9</v>
      </c>
      <c r="K185" t="s">
        <v>87</v>
      </c>
      <c r="L185" t="s">
        <v>20</v>
      </c>
      <c r="M185" t="s">
        <v>6</v>
      </c>
      <c r="N185" t="b">
        <v>0</v>
      </c>
      <c r="O185">
        <v>0</v>
      </c>
      <c r="P185">
        <v>1</v>
      </c>
      <c r="Q185">
        <v>0</v>
      </c>
      <c r="R185">
        <v>0</v>
      </c>
    </row>
    <row r="186" spans="1:18" x14ac:dyDescent="0.25">
      <c r="A186" t="s">
        <v>14</v>
      </c>
      <c r="B186" t="s">
        <v>6</v>
      </c>
      <c r="C186">
        <v>3</v>
      </c>
      <c r="D186">
        <v>1</v>
      </c>
      <c r="E186">
        <v>2</v>
      </c>
      <c r="F186" s="15">
        <v>45922</v>
      </c>
      <c r="G186" t="s">
        <v>126</v>
      </c>
      <c r="H186">
        <v>4</v>
      </c>
      <c r="I186">
        <v>2025</v>
      </c>
      <c r="J186">
        <v>9</v>
      </c>
      <c r="K186" t="s">
        <v>87</v>
      </c>
      <c r="L186" t="s">
        <v>41</v>
      </c>
      <c r="M186" t="s">
        <v>8</v>
      </c>
      <c r="N186" t="b">
        <v>0</v>
      </c>
      <c r="O186">
        <v>0</v>
      </c>
      <c r="P186">
        <v>1</v>
      </c>
      <c r="Q186">
        <v>0</v>
      </c>
      <c r="R186">
        <v>1</v>
      </c>
    </row>
    <row r="187" spans="1:18" x14ac:dyDescent="0.25">
      <c r="A187" t="s">
        <v>7</v>
      </c>
      <c r="B187" t="s">
        <v>6</v>
      </c>
      <c r="C187">
        <v>4</v>
      </c>
      <c r="D187">
        <v>1</v>
      </c>
      <c r="E187">
        <v>2</v>
      </c>
      <c r="F187" s="15">
        <v>45922</v>
      </c>
      <c r="G187" t="s">
        <v>126</v>
      </c>
      <c r="H187">
        <v>4</v>
      </c>
      <c r="I187">
        <v>2025</v>
      </c>
      <c r="J187">
        <v>9</v>
      </c>
      <c r="K187" t="s">
        <v>87</v>
      </c>
      <c r="L187" t="s">
        <v>14</v>
      </c>
      <c r="M187" t="s">
        <v>6</v>
      </c>
      <c r="N187" t="b">
        <v>0</v>
      </c>
      <c r="O187">
        <v>0</v>
      </c>
      <c r="P187">
        <v>1</v>
      </c>
      <c r="Q187">
        <v>0</v>
      </c>
      <c r="R187">
        <v>0</v>
      </c>
    </row>
    <row r="188" spans="1:18" x14ac:dyDescent="0.25">
      <c r="A188" t="s">
        <v>7</v>
      </c>
      <c r="B188" t="s">
        <v>6</v>
      </c>
      <c r="C188">
        <v>4</v>
      </c>
      <c r="D188">
        <v>1</v>
      </c>
      <c r="E188">
        <v>2</v>
      </c>
      <c r="F188" s="15">
        <v>45922</v>
      </c>
      <c r="G188" t="s">
        <v>126</v>
      </c>
      <c r="H188">
        <v>4</v>
      </c>
      <c r="I188">
        <v>2025</v>
      </c>
      <c r="J188">
        <v>9</v>
      </c>
      <c r="K188" t="s">
        <v>87</v>
      </c>
      <c r="L188" t="s">
        <v>20</v>
      </c>
      <c r="M188" t="s">
        <v>6</v>
      </c>
      <c r="N188" t="b">
        <v>0</v>
      </c>
      <c r="O188">
        <v>0</v>
      </c>
      <c r="P188">
        <v>1</v>
      </c>
      <c r="Q188">
        <v>0</v>
      </c>
      <c r="R188">
        <v>0</v>
      </c>
    </row>
    <row r="189" spans="1:18" x14ac:dyDescent="0.25">
      <c r="A189" t="s">
        <v>7</v>
      </c>
      <c r="B189" t="s">
        <v>6</v>
      </c>
      <c r="C189">
        <v>4</v>
      </c>
      <c r="D189">
        <v>1</v>
      </c>
      <c r="E189">
        <v>2</v>
      </c>
      <c r="F189" s="15">
        <v>45922</v>
      </c>
      <c r="G189" t="s">
        <v>126</v>
      </c>
      <c r="H189">
        <v>4</v>
      </c>
      <c r="I189">
        <v>2025</v>
      </c>
      <c r="J189">
        <v>9</v>
      </c>
      <c r="K189" t="s">
        <v>87</v>
      </c>
      <c r="L189" t="s">
        <v>41</v>
      </c>
      <c r="M189" t="s">
        <v>8</v>
      </c>
      <c r="N189" t="b">
        <v>0</v>
      </c>
      <c r="O189">
        <v>0</v>
      </c>
      <c r="P189">
        <v>1</v>
      </c>
      <c r="Q189">
        <v>0</v>
      </c>
      <c r="R189">
        <v>1</v>
      </c>
    </row>
    <row r="190" spans="1:18" x14ac:dyDescent="0.25">
      <c r="A190" t="s">
        <v>20</v>
      </c>
      <c r="B190" t="s">
        <v>6</v>
      </c>
      <c r="C190">
        <v>1</v>
      </c>
      <c r="D190">
        <v>1</v>
      </c>
      <c r="E190">
        <v>2</v>
      </c>
      <c r="F190" s="15">
        <v>45922</v>
      </c>
      <c r="G190" t="s">
        <v>126</v>
      </c>
      <c r="H190">
        <v>4</v>
      </c>
      <c r="I190">
        <v>2025</v>
      </c>
      <c r="J190">
        <v>9</v>
      </c>
      <c r="K190" t="s">
        <v>87</v>
      </c>
      <c r="L190" t="s">
        <v>14</v>
      </c>
      <c r="M190" t="s">
        <v>6</v>
      </c>
      <c r="N190" t="b">
        <v>0</v>
      </c>
      <c r="O190">
        <v>0</v>
      </c>
      <c r="P190">
        <v>1</v>
      </c>
      <c r="Q190">
        <v>0</v>
      </c>
      <c r="R190">
        <v>0</v>
      </c>
    </row>
    <row r="191" spans="1:18" x14ac:dyDescent="0.25">
      <c r="A191" t="s">
        <v>20</v>
      </c>
      <c r="B191" t="s">
        <v>6</v>
      </c>
      <c r="C191">
        <v>1</v>
      </c>
      <c r="D191">
        <v>1</v>
      </c>
      <c r="E191">
        <v>2</v>
      </c>
      <c r="F191" s="15">
        <v>45922</v>
      </c>
      <c r="G191" t="s">
        <v>126</v>
      </c>
      <c r="H191">
        <v>4</v>
      </c>
      <c r="I191">
        <v>2025</v>
      </c>
      <c r="J191">
        <v>9</v>
      </c>
      <c r="K191" t="s">
        <v>87</v>
      </c>
      <c r="L191" t="s">
        <v>7</v>
      </c>
      <c r="M191" t="s">
        <v>6</v>
      </c>
      <c r="N191" t="b">
        <v>0</v>
      </c>
      <c r="O191">
        <v>0</v>
      </c>
      <c r="P191">
        <v>1</v>
      </c>
      <c r="Q191">
        <v>0</v>
      </c>
      <c r="R191">
        <v>0</v>
      </c>
    </row>
    <row r="192" spans="1:18" x14ac:dyDescent="0.25">
      <c r="A192" t="s">
        <v>20</v>
      </c>
      <c r="B192" t="s">
        <v>6</v>
      </c>
      <c r="C192">
        <v>1</v>
      </c>
      <c r="D192">
        <v>1</v>
      </c>
      <c r="E192">
        <v>2</v>
      </c>
      <c r="F192" s="15">
        <v>45922</v>
      </c>
      <c r="G192" t="s">
        <v>126</v>
      </c>
      <c r="H192">
        <v>4</v>
      </c>
      <c r="I192">
        <v>2025</v>
      </c>
      <c r="J192">
        <v>9</v>
      </c>
      <c r="K192" t="s">
        <v>87</v>
      </c>
      <c r="L192" t="s">
        <v>41</v>
      </c>
      <c r="M192" t="s">
        <v>8</v>
      </c>
      <c r="N192" t="b">
        <v>0</v>
      </c>
      <c r="O192">
        <v>0</v>
      </c>
      <c r="P192">
        <v>1</v>
      </c>
      <c r="Q192">
        <v>0</v>
      </c>
      <c r="R192">
        <v>1</v>
      </c>
    </row>
    <row r="193" spans="1:18" x14ac:dyDescent="0.25">
      <c r="A193" t="s">
        <v>41</v>
      </c>
      <c r="B193" t="s">
        <v>8</v>
      </c>
      <c r="C193">
        <v>2</v>
      </c>
      <c r="D193">
        <v>1</v>
      </c>
      <c r="E193">
        <v>2</v>
      </c>
      <c r="F193" s="15">
        <v>45922</v>
      </c>
      <c r="G193" t="s">
        <v>126</v>
      </c>
      <c r="H193">
        <v>4</v>
      </c>
      <c r="I193">
        <v>2025</v>
      </c>
      <c r="J193">
        <v>9</v>
      </c>
      <c r="K193" t="s">
        <v>87</v>
      </c>
      <c r="L193" t="s">
        <v>14</v>
      </c>
      <c r="M193" t="s">
        <v>6</v>
      </c>
      <c r="N193" t="b">
        <v>0</v>
      </c>
      <c r="O193">
        <v>1</v>
      </c>
      <c r="P193">
        <v>0</v>
      </c>
      <c r="Q193">
        <v>0</v>
      </c>
      <c r="R193">
        <v>0</v>
      </c>
    </row>
    <row r="194" spans="1:18" x14ac:dyDescent="0.25">
      <c r="A194" t="s">
        <v>41</v>
      </c>
      <c r="B194" t="s">
        <v>8</v>
      </c>
      <c r="C194">
        <v>2</v>
      </c>
      <c r="D194">
        <v>1</v>
      </c>
      <c r="E194">
        <v>2</v>
      </c>
      <c r="F194" s="15">
        <v>45922</v>
      </c>
      <c r="G194" t="s">
        <v>126</v>
      </c>
      <c r="H194">
        <v>4</v>
      </c>
      <c r="I194">
        <v>2025</v>
      </c>
      <c r="J194">
        <v>9</v>
      </c>
      <c r="K194" t="s">
        <v>87</v>
      </c>
      <c r="L194" t="s">
        <v>7</v>
      </c>
      <c r="M194" t="s">
        <v>6</v>
      </c>
      <c r="N194" t="b">
        <v>0</v>
      </c>
      <c r="O194">
        <v>1</v>
      </c>
      <c r="P194">
        <v>0</v>
      </c>
      <c r="Q194">
        <v>0</v>
      </c>
      <c r="R194">
        <v>0</v>
      </c>
    </row>
    <row r="195" spans="1:18" x14ac:dyDescent="0.25">
      <c r="A195" t="s">
        <v>41</v>
      </c>
      <c r="B195" t="s">
        <v>8</v>
      </c>
      <c r="C195">
        <v>2</v>
      </c>
      <c r="D195">
        <v>1</v>
      </c>
      <c r="E195">
        <v>2</v>
      </c>
      <c r="F195" s="15">
        <v>45922</v>
      </c>
      <c r="G195" t="s">
        <v>126</v>
      </c>
      <c r="H195">
        <v>4</v>
      </c>
      <c r="I195">
        <v>2025</v>
      </c>
      <c r="J195">
        <v>9</v>
      </c>
      <c r="K195" t="s">
        <v>87</v>
      </c>
      <c r="L195" t="s">
        <v>20</v>
      </c>
      <c r="M195" t="s">
        <v>6</v>
      </c>
      <c r="N195" t="b">
        <v>0</v>
      </c>
      <c r="O195">
        <v>1</v>
      </c>
      <c r="P195">
        <v>0</v>
      </c>
      <c r="Q195">
        <v>0</v>
      </c>
      <c r="R195">
        <v>0</v>
      </c>
    </row>
    <row r="196" spans="1:18" x14ac:dyDescent="0.25">
      <c r="A196" t="s">
        <v>14</v>
      </c>
      <c r="B196" t="s">
        <v>8</v>
      </c>
      <c r="C196">
        <v>4</v>
      </c>
      <c r="D196">
        <v>1</v>
      </c>
      <c r="E196">
        <v>2</v>
      </c>
      <c r="F196" s="15">
        <v>45957</v>
      </c>
      <c r="G196" t="s">
        <v>131</v>
      </c>
      <c r="H196">
        <v>4</v>
      </c>
      <c r="I196">
        <v>2025</v>
      </c>
      <c r="J196">
        <v>10</v>
      </c>
      <c r="K196" t="s">
        <v>87</v>
      </c>
      <c r="L196" t="s">
        <v>57</v>
      </c>
      <c r="M196" t="s">
        <v>6</v>
      </c>
      <c r="N196" t="b">
        <v>0</v>
      </c>
      <c r="O196">
        <v>1</v>
      </c>
      <c r="P196">
        <v>0</v>
      </c>
      <c r="Q196">
        <v>0</v>
      </c>
      <c r="R196">
        <v>0</v>
      </c>
    </row>
    <row r="197" spans="1:18" x14ac:dyDescent="0.25">
      <c r="A197" t="s">
        <v>14</v>
      </c>
      <c r="B197" t="s">
        <v>8</v>
      </c>
      <c r="C197">
        <v>4</v>
      </c>
      <c r="D197">
        <v>1</v>
      </c>
      <c r="E197">
        <v>2</v>
      </c>
      <c r="F197" s="15">
        <v>45957</v>
      </c>
      <c r="G197" t="s">
        <v>131</v>
      </c>
      <c r="H197">
        <v>4</v>
      </c>
      <c r="I197">
        <v>2025</v>
      </c>
      <c r="J197">
        <v>10</v>
      </c>
      <c r="K197" t="s">
        <v>87</v>
      </c>
      <c r="L197" t="s">
        <v>11</v>
      </c>
      <c r="M197" t="s">
        <v>6</v>
      </c>
      <c r="N197" t="b">
        <v>0</v>
      </c>
      <c r="O197">
        <v>1</v>
      </c>
      <c r="P197">
        <v>0</v>
      </c>
      <c r="Q197">
        <v>0</v>
      </c>
      <c r="R197">
        <v>0</v>
      </c>
    </row>
    <row r="198" spans="1:18" x14ac:dyDescent="0.25">
      <c r="A198" t="s">
        <v>14</v>
      </c>
      <c r="B198" t="s">
        <v>8</v>
      </c>
      <c r="C198">
        <v>4</v>
      </c>
      <c r="D198">
        <v>1</v>
      </c>
      <c r="E198">
        <v>2</v>
      </c>
      <c r="F198" s="15">
        <v>45957</v>
      </c>
      <c r="G198" t="s">
        <v>131</v>
      </c>
      <c r="H198">
        <v>4</v>
      </c>
      <c r="I198">
        <v>2025</v>
      </c>
      <c r="J198">
        <v>10</v>
      </c>
      <c r="K198" t="s">
        <v>87</v>
      </c>
      <c r="L198" t="s">
        <v>9</v>
      </c>
      <c r="M198" t="s">
        <v>6</v>
      </c>
      <c r="N198" t="b">
        <v>0</v>
      </c>
      <c r="O198">
        <v>1</v>
      </c>
      <c r="P198">
        <v>0</v>
      </c>
      <c r="Q198">
        <v>0</v>
      </c>
      <c r="R198">
        <v>0</v>
      </c>
    </row>
    <row r="199" spans="1:18" x14ac:dyDescent="0.25">
      <c r="A199" t="s">
        <v>57</v>
      </c>
      <c r="B199" t="s">
        <v>6</v>
      </c>
      <c r="C199">
        <v>2</v>
      </c>
      <c r="D199">
        <v>1</v>
      </c>
      <c r="E199">
        <v>2</v>
      </c>
      <c r="F199" s="15">
        <v>45957</v>
      </c>
      <c r="G199" t="s">
        <v>131</v>
      </c>
      <c r="H199">
        <v>4</v>
      </c>
      <c r="I199">
        <v>2025</v>
      </c>
      <c r="J199">
        <v>10</v>
      </c>
      <c r="K199" t="s">
        <v>87</v>
      </c>
      <c r="L199" t="s">
        <v>14</v>
      </c>
      <c r="M199" t="s">
        <v>8</v>
      </c>
      <c r="N199" t="b">
        <v>0</v>
      </c>
      <c r="O199">
        <v>0</v>
      </c>
      <c r="P199">
        <v>1</v>
      </c>
      <c r="Q199">
        <v>0</v>
      </c>
      <c r="R199">
        <v>1</v>
      </c>
    </row>
    <row r="200" spans="1:18" x14ac:dyDescent="0.25">
      <c r="A200" t="s">
        <v>57</v>
      </c>
      <c r="B200" t="s">
        <v>6</v>
      </c>
      <c r="C200">
        <v>2</v>
      </c>
      <c r="D200">
        <v>1</v>
      </c>
      <c r="E200">
        <v>2</v>
      </c>
      <c r="F200" s="15">
        <v>45957</v>
      </c>
      <c r="G200" t="s">
        <v>131</v>
      </c>
      <c r="H200">
        <v>4</v>
      </c>
      <c r="I200">
        <v>2025</v>
      </c>
      <c r="J200">
        <v>10</v>
      </c>
      <c r="K200" t="s">
        <v>87</v>
      </c>
      <c r="L200" t="s">
        <v>11</v>
      </c>
      <c r="M200" t="s">
        <v>6</v>
      </c>
      <c r="N200" t="b">
        <v>0</v>
      </c>
      <c r="O200">
        <v>0</v>
      </c>
      <c r="P200">
        <v>1</v>
      </c>
      <c r="Q200">
        <v>0</v>
      </c>
      <c r="R200">
        <v>0</v>
      </c>
    </row>
    <row r="201" spans="1:18" x14ac:dyDescent="0.25">
      <c r="A201" t="s">
        <v>57</v>
      </c>
      <c r="B201" t="s">
        <v>6</v>
      </c>
      <c r="C201">
        <v>2</v>
      </c>
      <c r="D201">
        <v>1</v>
      </c>
      <c r="E201">
        <v>2</v>
      </c>
      <c r="F201" s="15">
        <v>45957</v>
      </c>
      <c r="G201" t="s">
        <v>131</v>
      </c>
      <c r="H201">
        <v>4</v>
      </c>
      <c r="I201">
        <v>2025</v>
      </c>
      <c r="J201">
        <v>10</v>
      </c>
      <c r="K201" t="s">
        <v>87</v>
      </c>
      <c r="L201" t="s">
        <v>9</v>
      </c>
      <c r="M201" t="s">
        <v>6</v>
      </c>
      <c r="N201" t="b">
        <v>0</v>
      </c>
      <c r="O201">
        <v>0</v>
      </c>
      <c r="P201">
        <v>1</v>
      </c>
      <c r="Q201">
        <v>0</v>
      </c>
      <c r="R201">
        <v>0</v>
      </c>
    </row>
    <row r="202" spans="1:18" x14ac:dyDescent="0.25">
      <c r="A202" t="s">
        <v>11</v>
      </c>
      <c r="B202" t="s">
        <v>6</v>
      </c>
      <c r="C202">
        <v>3</v>
      </c>
      <c r="D202">
        <v>1</v>
      </c>
      <c r="E202">
        <v>2</v>
      </c>
      <c r="F202" s="15">
        <v>45957</v>
      </c>
      <c r="G202" t="s">
        <v>131</v>
      </c>
      <c r="H202">
        <v>4</v>
      </c>
      <c r="I202">
        <v>2025</v>
      </c>
      <c r="J202">
        <v>10</v>
      </c>
      <c r="K202" t="s">
        <v>87</v>
      </c>
      <c r="L202" t="s">
        <v>14</v>
      </c>
      <c r="M202" t="s">
        <v>8</v>
      </c>
      <c r="N202" t="b">
        <v>0</v>
      </c>
      <c r="O202">
        <v>0</v>
      </c>
      <c r="P202">
        <v>1</v>
      </c>
      <c r="Q202">
        <v>0</v>
      </c>
      <c r="R202">
        <v>1</v>
      </c>
    </row>
    <row r="203" spans="1:18" x14ac:dyDescent="0.25">
      <c r="A203" t="s">
        <v>11</v>
      </c>
      <c r="B203" t="s">
        <v>6</v>
      </c>
      <c r="C203">
        <v>3</v>
      </c>
      <c r="D203">
        <v>1</v>
      </c>
      <c r="E203">
        <v>2</v>
      </c>
      <c r="F203" s="15">
        <v>45957</v>
      </c>
      <c r="G203" t="s">
        <v>131</v>
      </c>
      <c r="H203">
        <v>4</v>
      </c>
      <c r="I203">
        <v>2025</v>
      </c>
      <c r="J203">
        <v>10</v>
      </c>
      <c r="K203" t="s">
        <v>87</v>
      </c>
      <c r="L203" t="s">
        <v>57</v>
      </c>
      <c r="M203" t="s">
        <v>6</v>
      </c>
      <c r="N203" t="b">
        <v>0</v>
      </c>
      <c r="O203">
        <v>0</v>
      </c>
      <c r="P203">
        <v>1</v>
      </c>
      <c r="Q203">
        <v>0</v>
      </c>
      <c r="R203">
        <v>0</v>
      </c>
    </row>
    <row r="204" spans="1:18" x14ac:dyDescent="0.25">
      <c r="A204" t="s">
        <v>11</v>
      </c>
      <c r="B204" t="s">
        <v>6</v>
      </c>
      <c r="C204">
        <v>3</v>
      </c>
      <c r="D204">
        <v>1</v>
      </c>
      <c r="E204">
        <v>2</v>
      </c>
      <c r="F204" s="15">
        <v>45957</v>
      </c>
      <c r="G204" t="s">
        <v>131</v>
      </c>
      <c r="H204">
        <v>4</v>
      </c>
      <c r="I204">
        <v>2025</v>
      </c>
      <c r="J204">
        <v>10</v>
      </c>
      <c r="K204" t="s">
        <v>87</v>
      </c>
      <c r="L204" t="s">
        <v>9</v>
      </c>
      <c r="M204" t="s">
        <v>6</v>
      </c>
      <c r="N204" t="b">
        <v>0</v>
      </c>
      <c r="O204">
        <v>0</v>
      </c>
      <c r="P204">
        <v>1</v>
      </c>
      <c r="Q204">
        <v>0</v>
      </c>
      <c r="R204">
        <v>0</v>
      </c>
    </row>
    <row r="205" spans="1:18" x14ac:dyDescent="0.25">
      <c r="A205" t="s">
        <v>9</v>
      </c>
      <c r="B205" t="s">
        <v>6</v>
      </c>
      <c r="C205">
        <v>1</v>
      </c>
      <c r="D205">
        <v>1</v>
      </c>
      <c r="E205">
        <v>2</v>
      </c>
      <c r="F205" s="15">
        <v>45957</v>
      </c>
      <c r="G205" t="s">
        <v>131</v>
      </c>
      <c r="H205">
        <v>4</v>
      </c>
      <c r="I205">
        <v>2025</v>
      </c>
      <c r="J205">
        <v>10</v>
      </c>
      <c r="K205" t="s">
        <v>87</v>
      </c>
      <c r="L205" t="s">
        <v>14</v>
      </c>
      <c r="M205" t="s">
        <v>8</v>
      </c>
      <c r="N205" t="b">
        <v>0</v>
      </c>
      <c r="O205">
        <v>0</v>
      </c>
      <c r="P205">
        <v>1</v>
      </c>
      <c r="Q205">
        <v>0</v>
      </c>
      <c r="R205">
        <v>1</v>
      </c>
    </row>
    <row r="206" spans="1:18" x14ac:dyDescent="0.25">
      <c r="A206" t="s">
        <v>9</v>
      </c>
      <c r="B206" t="s">
        <v>6</v>
      </c>
      <c r="C206">
        <v>1</v>
      </c>
      <c r="D206">
        <v>1</v>
      </c>
      <c r="E206">
        <v>2</v>
      </c>
      <c r="F206" s="15">
        <v>45957</v>
      </c>
      <c r="G206" t="s">
        <v>131</v>
      </c>
      <c r="H206">
        <v>4</v>
      </c>
      <c r="I206">
        <v>2025</v>
      </c>
      <c r="J206">
        <v>10</v>
      </c>
      <c r="K206" t="s">
        <v>87</v>
      </c>
      <c r="L206" t="s">
        <v>57</v>
      </c>
      <c r="M206" t="s">
        <v>6</v>
      </c>
      <c r="N206" t="b">
        <v>0</v>
      </c>
      <c r="O206">
        <v>0</v>
      </c>
      <c r="P206">
        <v>1</v>
      </c>
      <c r="Q206">
        <v>0</v>
      </c>
      <c r="R206">
        <v>0</v>
      </c>
    </row>
    <row r="207" spans="1:18" x14ac:dyDescent="0.25">
      <c r="A207" t="s">
        <v>9</v>
      </c>
      <c r="B207" t="s">
        <v>6</v>
      </c>
      <c r="C207">
        <v>1</v>
      </c>
      <c r="D207">
        <v>1</v>
      </c>
      <c r="E207">
        <v>2</v>
      </c>
      <c r="F207" s="15">
        <v>45957</v>
      </c>
      <c r="G207" t="s">
        <v>131</v>
      </c>
      <c r="H207">
        <v>4</v>
      </c>
      <c r="I207">
        <v>2025</v>
      </c>
      <c r="J207">
        <v>10</v>
      </c>
      <c r="K207" t="s">
        <v>87</v>
      </c>
      <c r="L207" t="s">
        <v>11</v>
      </c>
      <c r="M207" t="s">
        <v>6</v>
      </c>
      <c r="N207" t="b">
        <v>0</v>
      </c>
      <c r="O207">
        <v>0</v>
      </c>
      <c r="P207">
        <v>1</v>
      </c>
      <c r="Q207">
        <v>0</v>
      </c>
      <c r="R207">
        <v>0</v>
      </c>
    </row>
    <row r="208" spans="1:18" x14ac:dyDescent="0.25">
      <c r="A208" t="s">
        <v>14</v>
      </c>
      <c r="B208" t="s">
        <v>6</v>
      </c>
      <c r="C208">
        <v>3</v>
      </c>
      <c r="D208">
        <v>1</v>
      </c>
      <c r="E208">
        <v>2</v>
      </c>
      <c r="F208" s="15">
        <v>45978</v>
      </c>
      <c r="G208" t="s">
        <v>134</v>
      </c>
      <c r="H208">
        <v>4</v>
      </c>
      <c r="I208">
        <v>2025</v>
      </c>
      <c r="J208">
        <v>11</v>
      </c>
      <c r="K208" t="s">
        <v>87</v>
      </c>
      <c r="L208" t="s">
        <v>28</v>
      </c>
      <c r="M208" t="s">
        <v>8</v>
      </c>
      <c r="N208" t="b">
        <v>0</v>
      </c>
      <c r="O208">
        <v>0</v>
      </c>
      <c r="P208">
        <v>1</v>
      </c>
      <c r="Q208">
        <v>0</v>
      </c>
      <c r="R208">
        <v>1</v>
      </c>
    </row>
    <row r="209" spans="1:18" x14ac:dyDescent="0.25">
      <c r="A209" t="s">
        <v>14</v>
      </c>
      <c r="B209" t="s">
        <v>6</v>
      </c>
      <c r="C209">
        <v>3</v>
      </c>
      <c r="D209">
        <v>1</v>
      </c>
      <c r="E209">
        <v>2</v>
      </c>
      <c r="F209" s="15">
        <v>45978</v>
      </c>
      <c r="G209" t="s">
        <v>134</v>
      </c>
      <c r="H209">
        <v>4</v>
      </c>
      <c r="I209">
        <v>2025</v>
      </c>
      <c r="J209">
        <v>11</v>
      </c>
      <c r="K209" t="s">
        <v>87</v>
      </c>
      <c r="L209" t="s">
        <v>15</v>
      </c>
      <c r="M209" t="s">
        <v>6</v>
      </c>
      <c r="N209" t="b">
        <v>0</v>
      </c>
      <c r="O209">
        <v>0</v>
      </c>
      <c r="P209">
        <v>1</v>
      </c>
      <c r="Q209">
        <v>0</v>
      </c>
      <c r="R209">
        <v>0</v>
      </c>
    </row>
    <row r="210" spans="1:18" x14ac:dyDescent="0.25">
      <c r="A210" t="s">
        <v>14</v>
      </c>
      <c r="B210" t="s">
        <v>6</v>
      </c>
      <c r="C210">
        <v>3</v>
      </c>
      <c r="D210">
        <v>1</v>
      </c>
      <c r="E210">
        <v>2</v>
      </c>
      <c r="F210" s="15">
        <v>45978</v>
      </c>
      <c r="G210" t="s">
        <v>134</v>
      </c>
      <c r="H210">
        <v>4</v>
      </c>
      <c r="I210">
        <v>2025</v>
      </c>
      <c r="J210">
        <v>11</v>
      </c>
      <c r="K210" t="s">
        <v>87</v>
      </c>
      <c r="L210" t="s">
        <v>11</v>
      </c>
      <c r="M210" t="s">
        <v>6</v>
      </c>
      <c r="N210" t="b">
        <v>0</v>
      </c>
      <c r="O210">
        <v>0</v>
      </c>
      <c r="P210">
        <v>1</v>
      </c>
      <c r="Q210">
        <v>0</v>
      </c>
      <c r="R210">
        <v>0</v>
      </c>
    </row>
    <row r="211" spans="1:18" x14ac:dyDescent="0.25">
      <c r="A211" t="s">
        <v>28</v>
      </c>
      <c r="B211" t="s">
        <v>8</v>
      </c>
      <c r="C211">
        <v>4</v>
      </c>
      <c r="D211">
        <v>1</v>
      </c>
      <c r="E211">
        <v>2</v>
      </c>
      <c r="F211" s="15">
        <v>45978</v>
      </c>
      <c r="G211" t="s">
        <v>134</v>
      </c>
      <c r="H211">
        <v>4</v>
      </c>
      <c r="I211">
        <v>2025</v>
      </c>
      <c r="J211">
        <v>11</v>
      </c>
      <c r="K211" t="s">
        <v>87</v>
      </c>
      <c r="L211" t="s">
        <v>14</v>
      </c>
      <c r="M211" t="s">
        <v>6</v>
      </c>
      <c r="N211" t="b">
        <v>0</v>
      </c>
      <c r="O211">
        <v>1</v>
      </c>
      <c r="P211">
        <v>0</v>
      </c>
      <c r="Q211">
        <v>0</v>
      </c>
      <c r="R211">
        <v>0</v>
      </c>
    </row>
    <row r="212" spans="1:18" x14ac:dyDescent="0.25">
      <c r="A212" t="s">
        <v>28</v>
      </c>
      <c r="B212" t="s">
        <v>8</v>
      </c>
      <c r="C212">
        <v>4</v>
      </c>
      <c r="D212">
        <v>1</v>
      </c>
      <c r="E212">
        <v>2</v>
      </c>
      <c r="F212" s="15">
        <v>45978</v>
      </c>
      <c r="G212" t="s">
        <v>134</v>
      </c>
      <c r="H212">
        <v>4</v>
      </c>
      <c r="I212">
        <v>2025</v>
      </c>
      <c r="J212">
        <v>11</v>
      </c>
      <c r="K212" t="s">
        <v>87</v>
      </c>
      <c r="L212" t="s">
        <v>15</v>
      </c>
      <c r="M212" t="s">
        <v>6</v>
      </c>
      <c r="N212" t="b">
        <v>0</v>
      </c>
      <c r="O212">
        <v>1</v>
      </c>
      <c r="P212">
        <v>0</v>
      </c>
      <c r="Q212">
        <v>0</v>
      </c>
      <c r="R212">
        <v>0</v>
      </c>
    </row>
    <row r="213" spans="1:18" x14ac:dyDescent="0.25">
      <c r="A213" t="s">
        <v>28</v>
      </c>
      <c r="B213" t="s">
        <v>8</v>
      </c>
      <c r="C213">
        <v>4</v>
      </c>
      <c r="D213">
        <v>1</v>
      </c>
      <c r="E213">
        <v>2</v>
      </c>
      <c r="F213" s="15">
        <v>45978</v>
      </c>
      <c r="G213" t="s">
        <v>134</v>
      </c>
      <c r="H213">
        <v>4</v>
      </c>
      <c r="I213">
        <v>2025</v>
      </c>
      <c r="J213">
        <v>11</v>
      </c>
      <c r="K213" t="s">
        <v>87</v>
      </c>
      <c r="L213" t="s">
        <v>11</v>
      </c>
      <c r="M213" t="s">
        <v>6</v>
      </c>
      <c r="N213" t="b">
        <v>0</v>
      </c>
      <c r="O213">
        <v>1</v>
      </c>
      <c r="P213">
        <v>0</v>
      </c>
      <c r="Q213">
        <v>0</v>
      </c>
      <c r="R213">
        <v>0</v>
      </c>
    </row>
    <row r="214" spans="1:18" x14ac:dyDescent="0.25">
      <c r="A214" t="s">
        <v>15</v>
      </c>
      <c r="B214" t="s">
        <v>6</v>
      </c>
      <c r="C214">
        <v>2</v>
      </c>
      <c r="D214">
        <v>1</v>
      </c>
      <c r="E214">
        <v>2</v>
      </c>
      <c r="F214" s="15">
        <v>45978</v>
      </c>
      <c r="G214" t="s">
        <v>134</v>
      </c>
      <c r="H214">
        <v>4</v>
      </c>
      <c r="I214">
        <v>2025</v>
      </c>
      <c r="J214">
        <v>11</v>
      </c>
      <c r="K214" t="s">
        <v>87</v>
      </c>
      <c r="L214" t="s">
        <v>14</v>
      </c>
      <c r="M214" t="s">
        <v>6</v>
      </c>
      <c r="N214" t="b">
        <v>0</v>
      </c>
      <c r="O214">
        <v>0</v>
      </c>
      <c r="P214">
        <v>1</v>
      </c>
      <c r="Q214">
        <v>0</v>
      </c>
      <c r="R214">
        <v>0</v>
      </c>
    </row>
    <row r="215" spans="1:18" x14ac:dyDescent="0.25">
      <c r="A215" t="s">
        <v>15</v>
      </c>
      <c r="B215" t="s">
        <v>6</v>
      </c>
      <c r="C215">
        <v>2</v>
      </c>
      <c r="D215">
        <v>1</v>
      </c>
      <c r="E215">
        <v>2</v>
      </c>
      <c r="F215" s="15">
        <v>45978</v>
      </c>
      <c r="G215" t="s">
        <v>134</v>
      </c>
      <c r="H215">
        <v>4</v>
      </c>
      <c r="I215">
        <v>2025</v>
      </c>
      <c r="J215">
        <v>11</v>
      </c>
      <c r="K215" t="s">
        <v>87</v>
      </c>
      <c r="L215" t="s">
        <v>28</v>
      </c>
      <c r="M215" t="s">
        <v>8</v>
      </c>
      <c r="N215" t="b">
        <v>0</v>
      </c>
      <c r="O215">
        <v>0</v>
      </c>
      <c r="P215">
        <v>1</v>
      </c>
      <c r="Q215">
        <v>0</v>
      </c>
      <c r="R215">
        <v>1</v>
      </c>
    </row>
    <row r="216" spans="1:18" x14ac:dyDescent="0.25">
      <c r="A216" t="s">
        <v>15</v>
      </c>
      <c r="B216" t="s">
        <v>6</v>
      </c>
      <c r="C216">
        <v>2</v>
      </c>
      <c r="D216">
        <v>1</v>
      </c>
      <c r="E216">
        <v>2</v>
      </c>
      <c r="F216" s="15">
        <v>45978</v>
      </c>
      <c r="G216" t="s">
        <v>134</v>
      </c>
      <c r="H216">
        <v>4</v>
      </c>
      <c r="I216">
        <v>2025</v>
      </c>
      <c r="J216">
        <v>11</v>
      </c>
      <c r="K216" t="s">
        <v>87</v>
      </c>
      <c r="L216" t="s">
        <v>11</v>
      </c>
      <c r="M216" t="s">
        <v>6</v>
      </c>
      <c r="N216" t="b">
        <v>0</v>
      </c>
      <c r="O216">
        <v>0</v>
      </c>
      <c r="P216">
        <v>1</v>
      </c>
      <c r="Q216">
        <v>0</v>
      </c>
      <c r="R216">
        <v>0</v>
      </c>
    </row>
    <row r="217" spans="1:18" x14ac:dyDescent="0.25">
      <c r="A217" t="s">
        <v>11</v>
      </c>
      <c r="B217" t="s">
        <v>6</v>
      </c>
      <c r="C217">
        <v>1</v>
      </c>
      <c r="D217">
        <v>1</v>
      </c>
      <c r="E217">
        <v>2</v>
      </c>
      <c r="F217" s="15">
        <v>45978</v>
      </c>
      <c r="G217" t="s">
        <v>134</v>
      </c>
      <c r="H217">
        <v>4</v>
      </c>
      <c r="I217">
        <v>2025</v>
      </c>
      <c r="J217">
        <v>11</v>
      </c>
      <c r="K217" t="s">
        <v>87</v>
      </c>
      <c r="L217" t="s">
        <v>14</v>
      </c>
      <c r="M217" t="s">
        <v>6</v>
      </c>
      <c r="N217" t="b">
        <v>0</v>
      </c>
      <c r="O217">
        <v>0</v>
      </c>
      <c r="P217">
        <v>1</v>
      </c>
      <c r="Q217">
        <v>0</v>
      </c>
      <c r="R217">
        <v>0</v>
      </c>
    </row>
    <row r="218" spans="1:18" x14ac:dyDescent="0.25">
      <c r="A218" t="s">
        <v>11</v>
      </c>
      <c r="B218" t="s">
        <v>6</v>
      </c>
      <c r="C218">
        <v>1</v>
      </c>
      <c r="D218">
        <v>1</v>
      </c>
      <c r="E218">
        <v>2</v>
      </c>
      <c r="F218" s="15">
        <v>45978</v>
      </c>
      <c r="G218" t="s">
        <v>134</v>
      </c>
      <c r="H218">
        <v>4</v>
      </c>
      <c r="I218">
        <v>2025</v>
      </c>
      <c r="J218">
        <v>11</v>
      </c>
      <c r="K218" t="s">
        <v>87</v>
      </c>
      <c r="L218" t="s">
        <v>28</v>
      </c>
      <c r="M218" t="s">
        <v>8</v>
      </c>
      <c r="N218" t="b">
        <v>0</v>
      </c>
      <c r="O218">
        <v>0</v>
      </c>
      <c r="P218">
        <v>1</v>
      </c>
      <c r="Q218">
        <v>0</v>
      </c>
      <c r="R218">
        <v>1</v>
      </c>
    </row>
    <row r="219" spans="1:18" x14ac:dyDescent="0.25">
      <c r="A219" t="s">
        <v>11</v>
      </c>
      <c r="B219" t="s">
        <v>6</v>
      </c>
      <c r="C219">
        <v>1</v>
      </c>
      <c r="D219">
        <v>1</v>
      </c>
      <c r="E219">
        <v>2</v>
      </c>
      <c r="F219" s="15">
        <v>45978</v>
      </c>
      <c r="G219" t="s">
        <v>134</v>
      </c>
      <c r="H219">
        <v>4</v>
      </c>
      <c r="I219">
        <v>2025</v>
      </c>
      <c r="J219">
        <v>11</v>
      </c>
      <c r="K219" t="s">
        <v>87</v>
      </c>
      <c r="L219" t="s">
        <v>15</v>
      </c>
      <c r="M219" t="s">
        <v>6</v>
      </c>
      <c r="N219" t="b">
        <v>0</v>
      </c>
      <c r="O219">
        <v>0</v>
      </c>
      <c r="P219">
        <v>1</v>
      </c>
      <c r="Q219">
        <v>0</v>
      </c>
      <c r="R219">
        <v>0</v>
      </c>
    </row>
    <row r="220" spans="1:18" x14ac:dyDescent="0.25">
      <c r="A220" t="s">
        <v>14</v>
      </c>
      <c r="B220" t="s">
        <v>6</v>
      </c>
      <c r="C220">
        <v>3</v>
      </c>
      <c r="D220">
        <v>1</v>
      </c>
      <c r="E220">
        <v>2</v>
      </c>
      <c r="F220" s="15">
        <v>45992</v>
      </c>
      <c r="G220" t="s">
        <v>136</v>
      </c>
      <c r="H220">
        <v>4</v>
      </c>
      <c r="I220">
        <v>2025</v>
      </c>
      <c r="J220">
        <v>12</v>
      </c>
      <c r="K220" t="s">
        <v>87</v>
      </c>
      <c r="L220" t="s">
        <v>28</v>
      </c>
      <c r="M220" t="s">
        <v>6</v>
      </c>
      <c r="N220" t="b">
        <v>0</v>
      </c>
      <c r="O220">
        <v>0</v>
      </c>
      <c r="P220">
        <v>1</v>
      </c>
      <c r="Q220">
        <v>0</v>
      </c>
      <c r="R220">
        <v>0</v>
      </c>
    </row>
    <row r="221" spans="1:18" x14ac:dyDescent="0.25">
      <c r="A221" t="s">
        <v>14</v>
      </c>
      <c r="B221" t="s">
        <v>6</v>
      </c>
      <c r="C221">
        <v>3</v>
      </c>
      <c r="D221">
        <v>1</v>
      </c>
      <c r="E221">
        <v>2</v>
      </c>
      <c r="F221" s="15">
        <v>45992</v>
      </c>
      <c r="G221" t="s">
        <v>136</v>
      </c>
      <c r="H221">
        <v>4</v>
      </c>
      <c r="I221">
        <v>2025</v>
      </c>
      <c r="J221">
        <v>12</v>
      </c>
      <c r="K221" t="s">
        <v>87</v>
      </c>
      <c r="L221" t="s">
        <v>22</v>
      </c>
      <c r="M221" t="s">
        <v>6</v>
      </c>
      <c r="N221" t="b">
        <v>0</v>
      </c>
      <c r="O221">
        <v>0</v>
      </c>
      <c r="P221">
        <v>1</v>
      </c>
      <c r="Q221">
        <v>0</v>
      </c>
      <c r="R221">
        <v>0</v>
      </c>
    </row>
    <row r="222" spans="1:18" x14ac:dyDescent="0.25">
      <c r="A222" t="s">
        <v>14</v>
      </c>
      <c r="B222" t="s">
        <v>6</v>
      </c>
      <c r="C222">
        <v>3</v>
      </c>
      <c r="D222">
        <v>1</v>
      </c>
      <c r="E222">
        <v>2</v>
      </c>
      <c r="F222" s="15">
        <v>45992</v>
      </c>
      <c r="G222" t="s">
        <v>136</v>
      </c>
      <c r="H222">
        <v>4</v>
      </c>
      <c r="I222">
        <v>2025</v>
      </c>
      <c r="J222">
        <v>12</v>
      </c>
      <c r="K222" t="s">
        <v>87</v>
      </c>
      <c r="L222" t="s">
        <v>9</v>
      </c>
      <c r="M222" t="s">
        <v>8</v>
      </c>
      <c r="N222" t="b">
        <v>0</v>
      </c>
      <c r="O222">
        <v>0</v>
      </c>
      <c r="P222">
        <v>1</v>
      </c>
      <c r="Q222">
        <v>0</v>
      </c>
      <c r="R222">
        <v>1</v>
      </c>
    </row>
    <row r="223" spans="1:18" x14ac:dyDescent="0.25">
      <c r="A223" t="s">
        <v>28</v>
      </c>
      <c r="B223" t="s">
        <v>6</v>
      </c>
      <c r="C223">
        <v>2</v>
      </c>
      <c r="D223">
        <v>1</v>
      </c>
      <c r="E223">
        <v>2</v>
      </c>
      <c r="F223" s="15">
        <v>45992</v>
      </c>
      <c r="G223" t="s">
        <v>136</v>
      </c>
      <c r="H223">
        <v>4</v>
      </c>
      <c r="I223">
        <v>2025</v>
      </c>
      <c r="J223">
        <v>12</v>
      </c>
      <c r="K223" t="s">
        <v>87</v>
      </c>
      <c r="L223" t="s">
        <v>14</v>
      </c>
      <c r="M223" t="s">
        <v>6</v>
      </c>
      <c r="N223" t="b">
        <v>0</v>
      </c>
      <c r="O223">
        <v>0</v>
      </c>
      <c r="P223">
        <v>1</v>
      </c>
      <c r="Q223">
        <v>0</v>
      </c>
      <c r="R223">
        <v>0</v>
      </c>
    </row>
    <row r="224" spans="1:18" x14ac:dyDescent="0.25">
      <c r="A224" t="s">
        <v>28</v>
      </c>
      <c r="B224" t="s">
        <v>6</v>
      </c>
      <c r="C224">
        <v>2</v>
      </c>
      <c r="D224">
        <v>1</v>
      </c>
      <c r="E224">
        <v>2</v>
      </c>
      <c r="F224" s="15">
        <v>45992</v>
      </c>
      <c r="G224" t="s">
        <v>136</v>
      </c>
      <c r="H224">
        <v>4</v>
      </c>
      <c r="I224">
        <v>2025</v>
      </c>
      <c r="J224">
        <v>12</v>
      </c>
      <c r="K224" t="s">
        <v>87</v>
      </c>
      <c r="L224" t="s">
        <v>22</v>
      </c>
      <c r="M224" t="s">
        <v>6</v>
      </c>
      <c r="N224" t="b">
        <v>0</v>
      </c>
      <c r="O224">
        <v>0</v>
      </c>
      <c r="P224">
        <v>1</v>
      </c>
      <c r="Q224">
        <v>0</v>
      </c>
      <c r="R224">
        <v>0</v>
      </c>
    </row>
    <row r="225" spans="1:18" x14ac:dyDescent="0.25">
      <c r="A225" t="s">
        <v>28</v>
      </c>
      <c r="B225" t="s">
        <v>6</v>
      </c>
      <c r="C225">
        <v>2</v>
      </c>
      <c r="D225">
        <v>1</v>
      </c>
      <c r="E225">
        <v>2</v>
      </c>
      <c r="F225" s="15">
        <v>45992</v>
      </c>
      <c r="G225" t="s">
        <v>136</v>
      </c>
      <c r="H225">
        <v>4</v>
      </c>
      <c r="I225">
        <v>2025</v>
      </c>
      <c r="J225">
        <v>12</v>
      </c>
      <c r="K225" t="s">
        <v>87</v>
      </c>
      <c r="L225" t="s">
        <v>9</v>
      </c>
      <c r="M225" t="s">
        <v>8</v>
      </c>
      <c r="N225" t="b">
        <v>0</v>
      </c>
      <c r="O225">
        <v>0</v>
      </c>
      <c r="P225">
        <v>1</v>
      </c>
      <c r="Q225">
        <v>0</v>
      </c>
      <c r="R225">
        <v>1</v>
      </c>
    </row>
    <row r="226" spans="1:18" x14ac:dyDescent="0.25">
      <c r="A226" t="s">
        <v>22</v>
      </c>
      <c r="B226" t="s">
        <v>6</v>
      </c>
      <c r="C226">
        <v>1</v>
      </c>
      <c r="D226">
        <v>1</v>
      </c>
      <c r="E226">
        <v>2</v>
      </c>
      <c r="F226" s="15">
        <v>45992</v>
      </c>
      <c r="G226" t="s">
        <v>136</v>
      </c>
      <c r="H226">
        <v>4</v>
      </c>
      <c r="I226">
        <v>2025</v>
      </c>
      <c r="J226">
        <v>12</v>
      </c>
      <c r="K226" t="s">
        <v>87</v>
      </c>
      <c r="L226" t="s">
        <v>14</v>
      </c>
      <c r="M226" t="s">
        <v>6</v>
      </c>
      <c r="N226" t="b">
        <v>0</v>
      </c>
      <c r="O226">
        <v>0</v>
      </c>
      <c r="P226">
        <v>1</v>
      </c>
      <c r="Q226">
        <v>0</v>
      </c>
      <c r="R226">
        <v>0</v>
      </c>
    </row>
    <row r="227" spans="1:18" x14ac:dyDescent="0.25">
      <c r="A227" t="s">
        <v>22</v>
      </c>
      <c r="B227" t="s">
        <v>6</v>
      </c>
      <c r="C227">
        <v>1</v>
      </c>
      <c r="D227">
        <v>1</v>
      </c>
      <c r="E227">
        <v>2</v>
      </c>
      <c r="F227" s="15">
        <v>45992</v>
      </c>
      <c r="G227" t="s">
        <v>136</v>
      </c>
      <c r="H227">
        <v>4</v>
      </c>
      <c r="I227">
        <v>2025</v>
      </c>
      <c r="J227">
        <v>12</v>
      </c>
      <c r="K227" t="s">
        <v>87</v>
      </c>
      <c r="L227" t="s">
        <v>28</v>
      </c>
      <c r="M227" t="s">
        <v>6</v>
      </c>
      <c r="N227" t="b">
        <v>0</v>
      </c>
      <c r="O227">
        <v>0</v>
      </c>
      <c r="P227">
        <v>1</v>
      </c>
      <c r="Q227">
        <v>0</v>
      </c>
      <c r="R227">
        <v>0</v>
      </c>
    </row>
    <row r="228" spans="1:18" x14ac:dyDescent="0.25">
      <c r="A228" t="s">
        <v>22</v>
      </c>
      <c r="B228" t="s">
        <v>6</v>
      </c>
      <c r="C228">
        <v>1</v>
      </c>
      <c r="D228">
        <v>1</v>
      </c>
      <c r="E228">
        <v>2</v>
      </c>
      <c r="F228" s="15">
        <v>45992</v>
      </c>
      <c r="G228" t="s">
        <v>136</v>
      </c>
      <c r="H228">
        <v>4</v>
      </c>
      <c r="I228">
        <v>2025</v>
      </c>
      <c r="J228">
        <v>12</v>
      </c>
      <c r="K228" t="s">
        <v>87</v>
      </c>
      <c r="L228" t="s">
        <v>9</v>
      </c>
      <c r="M228" t="s">
        <v>8</v>
      </c>
      <c r="N228" t="b">
        <v>0</v>
      </c>
      <c r="O228">
        <v>0</v>
      </c>
      <c r="P228">
        <v>1</v>
      </c>
      <c r="Q228">
        <v>0</v>
      </c>
      <c r="R228">
        <v>1</v>
      </c>
    </row>
    <row r="229" spans="1:18" x14ac:dyDescent="0.25">
      <c r="A229" t="s">
        <v>9</v>
      </c>
      <c r="B229" t="s">
        <v>8</v>
      </c>
      <c r="C229">
        <v>4</v>
      </c>
      <c r="D229">
        <v>1</v>
      </c>
      <c r="E229">
        <v>2</v>
      </c>
      <c r="F229" s="15">
        <v>45992</v>
      </c>
      <c r="G229" t="s">
        <v>136</v>
      </c>
      <c r="H229">
        <v>4</v>
      </c>
      <c r="I229">
        <v>2025</v>
      </c>
      <c r="J229">
        <v>12</v>
      </c>
      <c r="K229" t="s">
        <v>87</v>
      </c>
      <c r="L229" t="s">
        <v>14</v>
      </c>
      <c r="M229" t="s">
        <v>6</v>
      </c>
      <c r="N229" t="b">
        <v>0</v>
      </c>
      <c r="O229">
        <v>1</v>
      </c>
      <c r="P229">
        <v>0</v>
      </c>
      <c r="Q229">
        <v>0</v>
      </c>
      <c r="R229">
        <v>0</v>
      </c>
    </row>
    <row r="230" spans="1:18" x14ac:dyDescent="0.25">
      <c r="A230" t="s">
        <v>9</v>
      </c>
      <c r="B230" t="s">
        <v>8</v>
      </c>
      <c r="C230">
        <v>4</v>
      </c>
      <c r="D230">
        <v>1</v>
      </c>
      <c r="E230">
        <v>2</v>
      </c>
      <c r="F230" s="15">
        <v>45992</v>
      </c>
      <c r="G230" t="s">
        <v>136</v>
      </c>
      <c r="H230">
        <v>4</v>
      </c>
      <c r="I230">
        <v>2025</v>
      </c>
      <c r="J230">
        <v>12</v>
      </c>
      <c r="K230" t="s">
        <v>87</v>
      </c>
      <c r="L230" t="s">
        <v>28</v>
      </c>
      <c r="M230" t="s">
        <v>6</v>
      </c>
      <c r="N230" t="b">
        <v>0</v>
      </c>
      <c r="O230">
        <v>1</v>
      </c>
      <c r="P230">
        <v>0</v>
      </c>
      <c r="Q230">
        <v>0</v>
      </c>
      <c r="R230">
        <v>0</v>
      </c>
    </row>
    <row r="231" spans="1:18" x14ac:dyDescent="0.25">
      <c r="A231" t="s">
        <v>9</v>
      </c>
      <c r="B231" t="s">
        <v>8</v>
      </c>
      <c r="C231">
        <v>4</v>
      </c>
      <c r="D231">
        <v>1</v>
      </c>
      <c r="E231">
        <v>2</v>
      </c>
      <c r="F231" s="15">
        <v>45992</v>
      </c>
      <c r="G231" t="s">
        <v>136</v>
      </c>
      <c r="H231">
        <v>4</v>
      </c>
      <c r="I231">
        <v>2025</v>
      </c>
      <c r="J231">
        <v>12</v>
      </c>
      <c r="K231" t="s">
        <v>87</v>
      </c>
      <c r="L231" t="s">
        <v>22</v>
      </c>
      <c r="M231" t="s">
        <v>6</v>
      </c>
      <c r="N231" t="b">
        <v>0</v>
      </c>
      <c r="O231">
        <v>1</v>
      </c>
      <c r="P231">
        <v>0</v>
      </c>
      <c r="Q231">
        <v>0</v>
      </c>
      <c r="R231">
        <v>0</v>
      </c>
    </row>
    <row r="232" spans="1:18" x14ac:dyDescent="0.25">
      <c r="A232" t="s">
        <v>14</v>
      </c>
      <c r="B232" t="s">
        <v>8</v>
      </c>
      <c r="C232">
        <v>1</v>
      </c>
      <c r="D232">
        <v>2</v>
      </c>
      <c r="E232">
        <v>1</v>
      </c>
      <c r="F232" s="15">
        <v>45873</v>
      </c>
      <c r="G232" t="s">
        <v>144</v>
      </c>
      <c r="H232">
        <v>3</v>
      </c>
      <c r="I232">
        <v>2025</v>
      </c>
      <c r="J232">
        <v>8</v>
      </c>
      <c r="K232" t="s">
        <v>87</v>
      </c>
      <c r="L232" t="s">
        <v>7</v>
      </c>
      <c r="M232" t="s">
        <v>6</v>
      </c>
      <c r="N232" t="b">
        <v>0</v>
      </c>
      <c r="O232">
        <v>1</v>
      </c>
      <c r="P232">
        <v>0</v>
      </c>
      <c r="Q232">
        <v>0</v>
      </c>
      <c r="R232">
        <v>0</v>
      </c>
    </row>
    <row r="233" spans="1:18" x14ac:dyDescent="0.25">
      <c r="A233" t="s">
        <v>14</v>
      </c>
      <c r="B233" t="s">
        <v>8</v>
      </c>
      <c r="C233">
        <v>1</v>
      </c>
      <c r="D233">
        <v>2</v>
      </c>
      <c r="E233">
        <v>1</v>
      </c>
      <c r="F233" s="15">
        <v>45873</v>
      </c>
      <c r="G233" t="s">
        <v>144</v>
      </c>
      <c r="H233">
        <v>3</v>
      </c>
      <c r="I233">
        <v>2025</v>
      </c>
      <c r="J233">
        <v>8</v>
      </c>
      <c r="K233" t="s">
        <v>87</v>
      </c>
      <c r="L233" t="s">
        <v>44</v>
      </c>
      <c r="M233" t="s">
        <v>6</v>
      </c>
      <c r="N233" t="b">
        <v>0</v>
      </c>
      <c r="O233">
        <v>1</v>
      </c>
      <c r="P233">
        <v>0</v>
      </c>
      <c r="Q233">
        <v>0</v>
      </c>
      <c r="R233">
        <v>0</v>
      </c>
    </row>
    <row r="234" spans="1:18" x14ac:dyDescent="0.25">
      <c r="A234" t="s">
        <v>7</v>
      </c>
      <c r="B234" t="s">
        <v>6</v>
      </c>
      <c r="C234">
        <v>2</v>
      </c>
      <c r="D234">
        <v>2</v>
      </c>
      <c r="E234">
        <v>1</v>
      </c>
      <c r="F234" s="15">
        <v>45873</v>
      </c>
      <c r="G234" t="s">
        <v>144</v>
      </c>
      <c r="H234">
        <v>3</v>
      </c>
      <c r="I234">
        <v>2025</v>
      </c>
      <c r="J234">
        <v>8</v>
      </c>
      <c r="K234" t="s">
        <v>87</v>
      </c>
      <c r="L234" t="s">
        <v>14</v>
      </c>
      <c r="M234" t="s">
        <v>8</v>
      </c>
      <c r="N234" t="b">
        <v>0</v>
      </c>
      <c r="O234">
        <v>0</v>
      </c>
      <c r="P234">
        <v>1</v>
      </c>
      <c r="Q234">
        <v>0</v>
      </c>
      <c r="R234">
        <v>1</v>
      </c>
    </row>
    <row r="235" spans="1:18" x14ac:dyDescent="0.25">
      <c r="A235" t="s">
        <v>7</v>
      </c>
      <c r="B235" t="s">
        <v>6</v>
      </c>
      <c r="C235">
        <v>2</v>
      </c>
      <c r="D235">
        <v>2</v>
      </c>
      <c r="E235">
        <v>1</v>
      </c>
      <c r="F235" s="15">
        <v>45873</v>
      </c>
      <c r="G235" t="s">
        <v>144</v>
      </c>
      <c r="H235">
        <v>3</v>
      </c>
      <c r="I235">
        <v>2025</v>
      </c>
      <c r="J235">
        <v>8</v>
      </c>
      <c r="K235" t="s">
        <v>87</v>
      </c>
      <c r="L235" t="s">
        <v>44</v>
      </c>
      <c r="M235" t="s">
        <v>6</v>
      </c>
      <c r="N235" t="b">
        <v>0</v>
      </c>
      <c r="O235">
        <v>0</v>
      </c>
      <c r="P235">
        <v>1</v>
      </c>
      <c r="Q235">
        <v>0</v>
      </c>
      <c r="R235">
        <v>0</v>
      </c>
    </row>
    <row r="236" spans="1:18" x14ac:dyDescent="0.25">
      <c r="A236" t="s">
        <v>44</v>
      </c>
      <c r="B236" t="s">
        <v>6</v>
      </c>
      <c r="C236">
        <v>3</v>
      </c>
      <c r="D236">
        <v>2</v>
      </c>
      <c r="E236">
        <v>1</v>
      </c>
      <c r="F236" s="15">
        <v>45873</v>
      </c>
      <c r="G236" t="s">
        <v>144</v>
      </c>
      <c r="H236">
        <v>3</v>
      </c>
      <c r="I236">
        <v>2025</v>
      </c>
      <c r="J236">
        <v>8</v>
      </c>
      <c r="K236" t="s">
        <v>87</v>
      </c>
      <c r="L236" t="s">
        <v>14</v>
      </c>
      <c r="M236" t="s">
        <v>8</v>
      </c>
      <c r="N236" t="b">
        <v>0</v>
      </c>
      <c r="O236">
        <v>0</v>
      </c>
      <c r="P236">
        <v>1</v>
      </c>
      <c r="Q236">
        <v>0</v>
      </c>
      <c r="R236">
        <v>1</v>
      </c>
    </row>
    <row r="237" spans="1:18" x14ac:dyDescent="0.25">
      <c r="A237" t="s">
        <v>44</v>
      </c>
      <c r="B237" t="s">
        <v>6</v>
      </c>
      <c r="C237">
        <v>3</v>
      </c>
      <c r="D237">
        <v>2</v>
      </c>
      <c r="E237">
        <v>1</v>
      </c>
      <c r="F237" s="15">
        <v>45873</v>
      </c>
      <c r="G237" t="s">
        <v>144</v>
      </c>
      <c r="H237">
        <v>3</v>
      </c>
      <c r="I237">
        <v>2025</v>
      </c>
      <c r="J237">
        <v>8</v>
      </c>
      <c r="K237" t="s">
        <v>87</v>
      </c>
      <c r="L237" t="s">
        <v>7</v>
      </c>
      <c r="M237" t="s">
        <v>6</v>
      </c>
      <c r="N237" t="b">
        <v>0</v>
      </c>
      <c r="O237">
        <v>0</v>
      </c>
      <c r="P237">
        <v>1</v>
      </c>
      <c r="Q237">
        <v>0</v>
      </c>
      <c r="R237">
        <v>0</v>
      </c>
    </row>
    <row r="238" spans="1:18" x14ac:dyDescent="0.25">
      <c r="A238" t="s">
        <v>14</v>
      </c>
      <c r="B238" t="s">
        <v>6</v>
      </c>
      <c r="C238">
        <v>1</v>
      </c>
      <c r="D238">
        <v>2</v>
      </c>
      <c r="E238">
        <v>1</v>
      </c>
      <c r="F238" s="15">
        <v>45943</v>
      </c>
      <c r="G238" t="s">
        <v>153</v>
      </c>
      <c r="H238">
        <v>4</v>
      </c>
      <c r="I238">
        <v>2025</v>
      </c>
      <c r="J238">
        <v>10</v>
      </c>
      <c r="K238" t="s">
        <v>87</v>
      </c>
      <c r="L238" t="s">
        <v>321</v>
      </c>
      <c r="M238" t="s">
        <v>6</v>
      </c>
      <c r="N238" t="b">
        <v>0</v>
      </c>
      <c r="O238">
        <v>0</v>
      </c>
      <c r="P238">
        <v>1</v>
      </c>
      <c r="Q238">
        <v>0</v>
      </c>
      <c r="R238">
        <v>0</v>
      </c>
    </row>
    <row r="239" spans="1:18" x14ac:dyDescent="0.25">
      <c r="A239" t="s">
        <v>14</v>
      </c>
      <c r="B239" t="s">
        <v>6</v>
      </c>
      <c r="C239">
        <v>1</v>
      </c>
      <c r="D239">
        <v>2</v>
      </c>
      <c r="E239">
        <v>1</v>
      </c>
      <c r="F239" s="15">
        <v>45943</v>
      </c>
      <c r="G239" t="s">
        <v>153</v>
      </c>
      <c r="H239">
        <v>4</v>
      </c>
      <c r="I239">
        <v>2025</v>
      </c>
      <c r="J239">
        <v>10</v>
      </c>
      <c r="K239" t="s">
        <v>87</v>
      </c>
      <c r="L239" t="s">
        <v>22</v>
      </c>
      <c r="M239" t="s">
        <v>6</v>
      </c>
      <c r="N239" t="b">
        <v>0</v>
      </c>
      <c r="O239">
        <v>0</v>
      </c>
      <c r="P239">
        <v>1</v>
      </c>
      <c r="Q239">
        <v>0</v>
      </c>
      <c r="R239">
        <v>0</v>
      </c>
    </row>
    <row r="240" spans="1:18" x14ac:dyDescent="0.25">
      <c r="A240" t="s">
        <v>14</v>
      </c>
      <c r="B240" t="s">
        <v>6</v>
      </c>
      <c r="C240">
        <v>1</v>
      </c>
      <c r="D240">
        <v>2</v>
      </c>
      <c r="E240">
        <v>1</v>
      </c>
      <c r="F240" s="15">
        <v>45943</v>
      </c>
      <c r="G240" t="s">
        <v>153</v>
      </c>
      <c r="H240">
        <v>4</v>
      </c>
      <c r="I240">
        <v>2025</v>
      </c>
      <c r="J240">
        <v>10</v>
      </c>
      <c r="K240" t="s">
        <v>87</v>
      </c>
      <c r="L240" t="s">
        <v>352</v>
      </c>
      <c r="M240" t="s">
        <v>8</v>
      </c>
      <c r="N240" t="b">
        <v>0</v>
      </c>
      <c r="O240">
        <v>0</v>
      </c>
      <c r="P240">
        <v>1</v>
      </c>
      <c r="Q240">
        <v>0</v>
      </c>
      <c r="R240">
        <v>1</v>
      </c>
    </row>
    <row r="241" spans="1:18" x14ac:dyDescent="0.25">
      <c r="A241" t="s">
        <v>321</v>
      </c>
      <c r="B241" t="s">
        <v>6</v>
      </c>
      <c r="C241">
        <v>2</v>
      </c>
      <c r="D241">
        <v>2</v>
      </c>
      <c r="E241">
        <v>1</v>
      </c>
      <c r="F241" s="15">
        <v>45943</v>
      </c>
      <c r="G241" t="s">
        <v>153</v>
      </c>
      <c r="H241">
        <v>4</v>
      </c>
      <c r="I241">
        <v>2025</v>
      </c>
      <c r="J241">
        <v>10</v>
      </c>
      <c r="K241" t="s">
        <v>87</v>
      </c>
      <c r="L241" t="s">
        <v>14</v>
      </c>
      <c r="M241" t="s">
        <v>6</v>
      </c>
      <c r="N241" t="b">
        <v>0</v>
      </c>
      <c r="O241">
        <v>0</v>
      </c>
      <c r="P241">
        <v>1</v>
      </c>
      <c r="Q241">
        <v>0</v>
      </c>
      <c r="R241">
        <v>0</v>
      </c>
    </row>
    <row r="242" spans="1:18" x14ac:dyDescent="0.25">
      <c r="A242" t="s">
        <v>321</v>
      </c>
      <c r="B242" t="s">
        <v>6</v>
      </c>
      <c r="C242">
        <v>2</v>
      </c>
      <c r="D242">
        <v>2</v>
      </c>
      <c r="E242">
        <v>1</v>
      </c>
      <c r="F242" s="15">
        <v>45943</v>
      </c>
      <c r="G242" t="s">
        <v>153</v>
      </c>
      <c r="H242">
        <v>4</v>
      </c>
      <c r="I242">
        <v>2025</v>
      </c>
      <c r="J242">
        <v>10</v>
      </c>
      <c r="K242" t="s">
        <v>87</v>
      </c>
      <c r="L242" t="s">
        <v>22</v>
      </c>
      <c r="M242" t="s">
        <v>6</v>
      </c>
      <c r="N242" t="b">
        <v>0</v>
      </c>
      <c r="O242">
        <v>0</v>
      </c>
      <c r="P242">
        <v>1</v>
      </c>
      <c r="Q242">
        <v>0</v>
      </c>
      <c r="R242">
        <v>0</v>
      </c>
    </row>
    <row r="243" spans="1:18" x14ac:dyDescent="0.25">
      <c r="A243" t="s">
        <v>321</v>
      </c>
      <c r="B243" t="s">
        <v>6</v>
      </c>
      <c r="C243">
        <v>2</v>
      </c>
      <c r="D243">
        <v>2</v>
      </c>
      <c r="E243">
        <v>1</v>
      </c>
      <c r="F243" s="15">
        <v>45943</v>
      </c>
      <c r="G243" t="s">
        <v>153</v>
      </c>
      <c r="H243">
        <v>4</v>
      </c>
      <c r="I243">
        <v>2025</v>
      </c>
      <c r="J243">
        <v>10</v>
      </c>
      <c r="K243" t="s">
        <v>87</v>
      </c>
      <c r="L243" t="s">
        <v>352</v>
      </c>
      <c r="M243" t="s">
        <v>8</v>
      </c>
      <c r="N243" t="b">
        <v>0</v>
      </c>
      <c r="O243">
        <v>0</v>
      </c>
      <c r="P243">
        <v>1</v>
      </c>
      <c r="Q243">
        <v>0</v>
      </c>
      <c r="R243">
        <v>1</v>
      </c>
    </row>
    <row r="244" spans="1:18" x14ac:dyDescent="0.25">
      <c r="A244" t="s">
        <v>22</v>
      </c>
      <c r="B244" t="s">
        <v>6</v>
      </c>
      <c r="C244">
        <v>4</v>
      </c>
      <c r="D244">
        <v>2</v>
      </c>
      <c r="E244">
        <v>1</v>
      </c>
      <c r="F244" s="15">
        <v>45943</v>
      </c>
      <c r="G244" t="s">
        <v>153</v>
      </c>
      <c r="H244">
        <v>4</v>
      </c>
      <c r="I244">
        <v>2025</v>
      </c>
      <c r="J244">
        <v>10</v>
      </c>
      <c r="K244" t="s">
        <v>87</v>
      </c>
      <c r="L244" t="s">
        <v>14</v>
      </c>
      <c r="M244" t="s">
        <v>6</v>
      </c>
      <c r="N244" t="b">
        <v>0</v>
      </c>
      <c r="O244">
        <v>0</v>
      </c>
      <c r="P244">
        <v>1</v>
      </c>
      <c r="Q244">
        <v>0</v>
      </c>
      <c r="R244">
        <v>0</v>
      </c>
    </row>
    <row r="245" spans="1:18" x14ac:dyDescent="0.25">
      <c r="A245" t="s">
        <v>22</v>
      </c>
      <c r="B245" t="s">
        <v>6</v>
      </c>
      <c r="C245">
        <v>4</v>
      </c>
      <c r="D245">
        <v>2</v>
      </c>
      <c r="E245">
        <v>1</v>
      </c>
      <c r="F245" s="15">
        <v>45943</v>
      </c>
      <c r="G245" t="s">
        <v>153</v>
      </c>
      <c r="H245">
        <v>4</v>
      </c>
      <c r="I245">
        <v>2025</v>
      </c>
      <c r="J245">
        <v>10</v>
      </c>
      <c r="K245" t="s">
        <v>87</v>
      </c>
      <c r="L245" t="s">
        <v>321</v>
      </c>
      <c r="M245" t="s">
        <v>6</v>
      </c>
      <c r="N245" t="b">
        <v>0</v>
      </c>
      <c r="O245">
        <v>0</v>
      </c>
      <c r="P245">
        <v>1</v>
      </c>
      <c r="Q245">
        <v>0</v>
      </c>
      <c r="R245">
        <v>0</v>
      </c>
    </row>
    <row r="246" spans="1:18" x14ac:dyDescent="0.25">
      <c r="A246" t="s">
        <v>22</v>
      </c>
      <c r="B246" t="s">
        <v>6</v>
      </c>
      <c r="C246">
        <v>4</v>
      </c>
      <c r="D246">
        <v>2</v>
      </c>
      <c r="E246">
        <v>1</v>
      </c>
      <c r="F246" s="15">
        <v>45943</v>
      </c>
      <c r="G246" t="s">
        <v>153</v>
      </c>
      <c r="H246">
        <v>4</v>
      </c>
      <c r="I246">
        <v>2025</v>
      </c>
      <c r="J246">
        <v>10</v>
      </c>
      <c r="K246" t="s">
        <v>87</v>
      </c>
      <c r="L246" t="s">
        <v>352</v>
      </c>
      <c r="M246" t="s">
        <v>8</v>
      </c>
      <c r="N246" t="b">
        <v>0</v>
      </c>
      <c r="O246">
        <v>0</v>
      </c>
      <c r="P246">
        <v>1</v>
      </c>
      <c r="Q246">
        <v>0</v>
      </c>
      <c r="R246">
        <v>1</v>
      </c>
    </row>
    <row r="247" spans="1:18" x14ac:dyDescent="0.25">
      <c r="A247" t="s">
        <v>352</v>
      </c>
      <c r="B247" t="s">
        <v>8</v>
      </c>
      <c r="C247">
        <v>3</v>
      </c>
      <c r="D247">
        <v>2</v>
      </c>
      <c r="E247">
        <v>1</v>
      </c>
      <c r="F247" s="15">
        <v>45943</v>
      </c>
      <c r="G247" t="s">
        <v>153</v>
      </c>
      <c r="H247">
        <v>4</v>
      </c>
      <c r="I247">
        <v>2025</v>
      </c>
      <c r="J247">
        <v>10</v>
      </c>
      <c r="K247" t="s">
        <v>87</v>
      </c>
      <c r="L247" t="s">
        <v>14</v>
      </c>
      <c r="M247" t="s">
        <v>6</v>
      </c>
      <c r="N247" t="b">
        <v>0</v>
      </c>
      <c r="O247">
        <v>1</v>
      </c>
      <c r="P247">
        <v>0</v>
      </c>
      <c r="Q247">
        <v>0</v>
      </c>
      <c r="R247">
        <v>0</v>
      </c>
    </row>
    <row r="248" spans="1:18" x14ac:dyDescent="0.25">
      <c r="A248" t="s">
        <v>352</v>
      </c>
      <c r="B248" t="s">
        <v>8</v>
      </c>
      <c r="C248">
        <v>3</v>
      </c>
      <c r="D248">
        <v>2</v>
      </c>
      <c r="E248">
        <v>1</v>
      </c>
      <c r="F248" s="15">
        <v>45943</v>
      </c>
      <c r="G248" t="s">
        <v>153</v>
      </c>
      <c r="H248">
        <v>4</v>
      </c>
      <c r="I248">
        <v>2025</v>
      </c>
      <c r="J248">
        <v>10</v>
      </c>
      <c r="K248" t="s">
        <v>87</v>
      </c>
      <c r="L248" t="s">
        <v>321</v>
      </c>
      <c r="M248" t="s">
        <v>6</v>
      </c>
      <c r="N248" t="b">
        <v>0</v>
      </c>
      <c r="O248">
        <v>1</v>
      </c>
      <c r="P248">
        <v>0</v>
      </c>
      <c r="Q248">
        <v>0</v>
      </c>
      <c r="R248">
        <v>0</v>
      </c>
    </row>
    <row r="249" spans="1:18" x14ac:dyDescent="0.25">
      <c r="A249" t="s">
        <v>352</v>
      </c>
      <c r="B249" t="s">
        <v>8</v>
      </c>
      <c r="C249">
        <v>3</v>
      </c>
      <c r="D249">
        <v>2</v>
      </c>
      <c r="E249">
        <v>1</v>
      </c>
      <c r="F249" s="15">
        <v>45943</v>
      </c>
      <c r="G249" t="s">
        <v>153</v>
      </c>
      <c r="H249">
        <v>4</v>
      </c>
      <c r="I249">
        <v>2025</v>
      </c>
      <c r="J249">
        <v>10</v>
      </c>
      <c r="K249" t="s">
        <v>87</v>
      </c>
      <c r="L249" t="s">
        <v>22</v>
      </c>
      <c r="M249" t="s">
        <v>6</v>
      </c>
      <c r="N249" t="b">
        <v>0</v>
      </c>
      <c r="O249">
        <v>1</v>
      </c>
      <c r="P249">
        <v>0</v>
      </c>
      <c r="Q249">
        <v>0</v>
      </c>
      <c r="R249">
        <v>0</v>
      </c>
    </row>
    <row r="250" spans="1:18" x14ac:dyDescent="0.25">
      <c r="A250" t="s">
        <v>14</v>
      </c>
      <c r="B250" t="s">
        <v>6</v>
      </c>
      <c r="C250">
        <v>4</v>
      </c>
      <c r="D250">
        <v>2</v>
      </c>
      <c r="E250">
        <v>1</v>
      </c>
      <c r="F250" s="15">
        <v>45985</v>
      </c>
      <c r="G250" t="s">
        <v>159</v>
      </c>
      <c r="H250">
        <v>4</v>
      </c>
      <c r="I250">
        <v>2025</v>
      </c>
      <c r="J250">
        <v>11</v>
      </c>
      <c r="K250" t="s">
        <v>87</v>
      </c>
      <c r="L250" t="s">
        <v>57</v>
      </c>
      <c r="M250" t="s">
        <v>6</v>
      </c>
      <c r="N250" t="b">
        <v>0</v>
      </c>
      <c r="O250">
        <v>0</v>
      </c>
      <c r="P250">
        <v>1</v>
      </c>
      <c r="Q250">
        <v>0</v>
      </c>
      <c r="R250">
        <v>0</v>
      </c>
    </row>
    <row r="251" spans="1:18" x14ac:dyDescent="0.25">
      <c r="A251" t="s">
        <v>14</v>
      </c>
      <c r="B251" t="s">
        <v>6</v>
      </c>
      <c r="C251">
        <v>4</v>
      </c>
      <c r="D251">
        <v>2</v>
      </c>
      <c r="E251">
        <v>1</v>
      </c>
      <c r="F251" s="15">
        <v>45985</v>
      </c>
      <c r="G251" t="s">
        <v>159</v>
      </c>
      <c r="H251">
        <v>4</v>
      </c>
      <c r="I251">
        <v>2025</v>
      </c>
      <c r="J251">
        <v>11</v>
      </c>
      <c r="K251" t="s">
        <v>87</v>
      </c>
      <c r="L251" t="s">
        <v>43</v>
      </c>
      <c r="M251" t="s">
        <v>6</v>
      </c>
      <c r="N251" t="b">
        <v>0</v>
      </c>
      <c r="O251">
        <v>0</v>
      </c>
      <c r="P251">
        <v>1</v>
      </c>
      <c r="Q251">
        <v>0</v>
      </c>
      <c r="R251">
        <v>0</v>
      </c>
    </row>
    <row r="252" spans="1:18" x14ac:dyDescent="0.25">
      <c r="A252" t="s">
        <v>14</v>
      </c>
      <c r="B252" t="s">
        <v>6</v>
      </c>
      <c r="C252">
        <v>4</v>
      </c>
      <c r="D252">
        <v>2</v>
      </c>
      <c r="E252">
        <v>1</v>
      </c>
      <c r="F252" s="15">
        <v>45985</v>
      </c>
      <c r="G252" t="s">
        <v>159</v>
      </c>
      <c r="H252">
        <v>4</v>
      </c>
      <c r="I252">
        <v>2025</v>
      </c>
      <c r="J252">
        <v>11</v>
      </c>
      <c r="K252" t="s">
        <v>87</v>
      </c>
      <c r="L252" t="s">
        <v>15</v>
      </c>
      <c r="M252" t="s">
        <v>8</v>
      </c>
      <c r="N252" t="b">
        <v>0</v>
      </c>
      <c r="O252">
        <v>0</v>
      </c>
      <c r="P252">
        <v>1</v>
      </c>
      <c r="Q252">
        <v>0</v>
      </c>
      <c r="R252">
        <v>1</v>
      </c>
    </row>
    <row r="253" spans="1:18" x14ac:dyDescent="0.25">
      <c r="A253" t="s">
        <v>57</v>
      </c>
      <c r="B253" t="s">
        <v>6</v>
      </c>
      <c r="C253">
        <v>2</v>
      </c>
      <c r="D253">
        <v>2</v>
      </c>
      <c r="E253">
        <v>1</v>
      </c>
      <c r="F253" s="15">
        <v>45985</v>
      </c>
      <c r="G253" t="s">
        <v>159</v>
      </c>
      <c r="H253">
        <v>4</v>
      </c>
      <c r="I253">
        <v>2025</v>
      </c>
      <c r="J253">
        <v>11</v>
      </c>
      <c r="K253" t="s">
        <v>87</v>
      </c>
      <c r="L253" t="s">
        <v>14</v>
      </c>
      <c r="M253" t="s">
        <v>6</v>
      </c>
      <c r="N253" t="b">
        <v>0</v>
      </c>
      <c r="O253">
        <v>0</v>
      </c>
      <c r="P253">
        <v>1</v>
      </c>
      <c r="Q253">
        <v>0</v>
      </c>
      <c r="R253">
        <v>0</v>
      </c>
    </row>
    <row r="254" spans="1:18" x14ac:dyDescent="0.25">
      <c r="A254" t="s">
        <v>57</v>
      </c>
      <c r="B254" t="s">
        <v>6</v>
      </c>
      <c r="C254">
        <v>2</v>
      </c>
      <c r="D254">
        <v>2</v>
      </c>
      <c r="E254">
        <v>1</v>
      </c>
      <c r="F254" s="15">
        <v>45985</v>
      </c>
      <c r="G254" t="s">
        <v>159</v>
      </c>
      <c r="H254">
        <v>4</v>
      </c>
      <c r="I254">
        <v>2025</v>
      </c>
      <c r="J254">
        <v>11</v>
      </c>
      <c r="K254" t="s">
        <v>87</v>
      </c>
      <c r="L254" t="s">
        <v>43</v>
      </c>
      <c r="M254" t="s">
        <v>6</v>
      </c>
      <c r="N254" t="b">
        <v>0</v>
      </c>
      <c r="O254">
        <v>0</v>
      </c>
      <c r="P254">
        <v>1</v>
      </c>
      <c r="Q254">
        <v>0</v>
      </c>
      <c r="R254">
        <v>0</v>
      </c>
    </row>
    <row r="255" spans="1:18" x14ac:dyDescent="0.25">
      <c r="A255" t="s">
        <v>57</v>
      </c>
      <c r="B255" t="s">
        <v>6</v>
      </c>
      <c r="C255">
        <v>2</v>
      </c>
      <c r="D255">
        <v>2</v>
      </c>
      <c r="E255">
        <v>1</v>
      </c>
      <c r="F255" s="15">
        <v>45985</v>
      </c>
      <c r="G255" t="s">
        <v>159</v>
      </c>
      <c r="H255">
        <v>4</v>
      </c>
      <c r="I255">
        <v>2025</v>
      </c>
      <c r="J255">
        <v>11</v>
      </c>
      <c r="K255" t="s">
        <v>87</v>
      </c>
      <c r="L255" t="s">
        <v>15</v>
      </c>
      <c r="M255" t="s">
        <v>8</v>
      </c>
      <c r="N255" t="b">
        <v>0</v>
      </c>
      <c r="O255">
        <v>0</v>
      </c>
      <c r="P255">
        <v>1</v>
      </c>
      <c r="Q255">
        <v>0</v>
      </c>
      <c r="R255">
        <v>1</v>
      </c>
    </row>
    <row r="256" spans="1:18" x14ac:dyDescent="0.25">
      <c r="A256" t="s">
        <v>43</v>
      </c>
      <c r="B256" t="s">
        <v>6</v>
      </c>
      <c r="C256">
        <v>1</v>
      </c>
      <c r="D256">
        <v>2</v>
      </c>
      <c r="E256">
        <v>1</v>
      </c>
      <c r="F256" s="15">
        <v>45985</v>
      </c>
      <c r="G256" t="s">
        <v>159</v>
      </c>
      <c r="H256">
        <v>4</v>
      </c>
      <c r="I256">
        <v>2025</v>
      </c>
      <c r="J256">
        <v>11</v>
      </c>
      <c r="K256" t="s">
        <v>87</v>
      </c>
      <c r="L256" t="s">
        <v>14</v>
      </c>
      <c r="M256" t="s">
        <v>6</v>
      </c>
      <c r="N256" t="b">
        <v>0</v>
      </c>
      <c r="O256">
        <v>0</v>
      </c>
      <c r="P256">
        <v>1</v>
      </c>
      <c r="Q256">
        <v>0</v>
      </c>
      <c r="R256">
        <v>0</v>
      </c>
    </row>
    <row r="257" spans="1:18" x14ac:dyDescent="0.25">
      <c r="A257" t="s">
        <v>43</v>
      </c>
      <c r="B257" t="s">
        <v>6</v>
      </c>
      <c r="C257">
        <v>1</v>
      </c>
      <c r="D257">
        <v>2</v>
      </c>
      <c r="E257">
        <v>1</v>
      </c>
      <c r="F257" s="15">
        <v>45985</v>
      </c>
      <c r="G257" t="s">
        <v>159</v>
      </c>
      <c r="H257">
        <v>4</v>
      </c>
      <c r="I257">
        <v>2025</v>
      </c>
      <c r="J257">
        <v>11</v>
      </c>
      <c r="K257" t="s">
        <v>87</v>
      </c>
      <c r="L257" t="s">
        <v>57</v>
      </c>
      <c r="M257" t="s">
        <v>6</v>
      </c>
      <c r="N257" t="b">
        <v>0</v>
      </c>
      <c r="O257">
        <v>0</v>
      </c>
      <c r="P257">
        <v>1</v>
      </c>
      <c r="Q257">
        <v>0</v>
      </c>
      <c r="R257">
        <v>0</v>
      </c>
    </row>
    <row r="258" spans="1:18" x14ac:dyDescent="0.25">
      <c r="A258" t="s">
        <v>43</v>
      </c>
      <c r="B258" t="s">
        <v>6</v>
      </c>
      <c r="C258">
        <v>1</v>
      </c>
      <c r="D258">
        <v>2</v>
      </c>
      <c r="E258">
        <v>1</v>
      </c>
      <c r="F258" s="15">
        <v>45985</v>
      </c>
      <c r="G258" t="s">
        <v>159</v>
      </c>
      <c r="H258">
        <v>4</v>
      </c>
      <c r="I258">
        <v>2025</v>
      </c>
      <c r="J258">
        <v>11</v>
      </c>
      <c r="K258" t="s">
        <v>87</v>
      </c>
      <c r="L258" t="s">
        <v>15</v>
      </c>
      <c r="M258" t="s">
        <v>8</v>
      </c>
      <c r="N258" t="b">
        <v>0</v>
      </c>
      <c r="O258">
        <v>0</v>
      </c>
      <c r="P258">
        <v>1</v>
      </c>
      <c r="Q258">
        <v>0</v>
      </c>
      <c r="R258">
        <v>1</v>
      </c>
    </row>
    <row r="259" spans="1:18" x14ac:dyDescent="0.25">
      <c r="A259" t="s">
        <v>15</v>
      </c>
      <c r="B259" t="s">
        <v>8</v>
      </c>
      <c r="C259">
        <v>3</v>
      </c>
      <c r="D259">
        <v>2</v>
      </c>
      <c r="E259">
        <v>1</v>
      </c>
      <c r="F259" s="15">
        <v>45985</v>
      </c>
      <c r="G259" t="s">
        <v>159</v>
      </c>
      <c r="H259">
        <v>4</v>
      </c>
      <c r="I259">
        <v>2025</v>
      </c>
      <c r="J259">
        <v>11</v>
      </c>
      <c r="K259" t="s">
        <v>87</v>
      </c>
      <c r="L259" t="s">
        <v>14</v>
      </c>
      <c r="M259" t="s">
        <v>6</v>
      </c>
      <c r="N259" t="b">
        <v>0</v>
      </c>
      <c r="O259">
        <v>1</v>
      </c>
      <c r="P259">
        <v>0</v>
      </c>
      <c r="Q259">
        <v>0</v>
      </c>
      <c r="R259">
        <v>0</v>
      </c>
    </row>
    <row r="260" spans="1:18" x14ac:dyDescent="0.25">
      <c r="A260" t="s">
        <v>15</v>
      </c>
      <c r="B260" t="s">
        <v>8</v>
      </c>
      <c r="C260">
        <v>3</v>
      </c>
      <c r="D260">
        <v>2</v>
      </c>
      <c r="E260">
        <v>1</v>
      </c>
      <c r="F260" s="15">
        <v>45985</v>
      </c>
      <c r="G260" t="s">
        <v>159</v>
      </c>
      <c r="H260">
        <v>4</v>
      </c>
      <c r="I260">
        <v>2025</v>
      </c>
      <c r="J260">
        <v>11</v>
      </c>
      <c r="K260" t="s">
        <v>87</v>
      </c>
      <c r="L260" t="s">
        <v>57</v>
      </c>
      <c r="M260" t="s">
        <v>6</v>
      </c>
      <c r="N260" t="b">
        <v>0</v>
      </c>
      <c r="O260">
        <v>1</v>
      </c>
      <c r="P260">
        <v>0</v>
      </c>
      <c r="Q260">
        <v>0</v>
      </c>
      <c r="R260">
        <v>0</v>
      </c>
    </row>
    <row r="261" spans="1:18" x14ac:dyDescent="0.25">
      <c r="A261" t="s">
        <v>15</v>
      </c>
      <c r="B261" t="s">
        <v>8</v>
      </c>
      <c r="C261">
        <v>3</v>
      </c>
      <c r="D261">
        <v>2</v>
      </c>
      <c r="E261">
        <v>1</v>
      </c>
      <c r="F261" s="15">
        <v>45985</v>
      </c>
      <c r="G261" t="s">
        <v>159</v>
      </c>
      <c r="H261">
        <v>4</v>
      </c>
      <c r="I261">
        <v>2025</v>
      </c>
      <c r="J261">
        <v>11</v>
      </c>
      <c r="K261" t="s">
        <v>87</v>
      </c>
      <c r="L261" t="s">
        <v>43</v>
      </c>
      <c r="M261" t="s">
        <v>6</v>
      </c>
      <c r="N261" t="b">
        <v>0</v>
      </c>
      <c r="O261">
        <v>1</v>
      </c>
      <c r="P261">
        <v>0</v>
      </c>
      <c r="Q261">
        <v>0</v>
      </c>
      <c r="R261">
        <v>0</v>
      </c>
    </row>
    <row r="262" spans="1:18" x14ac:dyDescent="0.25">
      <c r="A262" t="s">
        <v>14</v>
      </c>
      <c r="B262" t="s">
        <v>6</v>
      </c>
      <c r="C262">
        <v>4</v>
      </c>
      <c r="D262">
        <v>2</v>
      </c>
      <c r="E262">
        <v>1</v>
      </c>
      <c r="F262" s="15">
        <v>45999</v>
      </c>
      <c r="G262" t="s">
        <v>161</v>
      </c>
      <c r="H262">
        <v>4</v>
      </c>
      <c r="I262">
        <v>2025</v>
      </c>
      <c r="J262">
        <v>12</v>
      </c>
      <c r="K262" t="s">
        <v>87</v>
      </c>
      <c r="L262" t="s">
        <v>19</v>
      </c>
      <c r="M262" t="s">
        <v>6</v>
      </c>
      <c r="N262" t="b">
        <v>0</v>
      </c>
      <c r="O262">
        <v>0</v>
      </c>
      <c r="P262">
        <v>1</v>
      </c>
      <c r="Q262">
        <v>0</v>
      </c>
      <c r="R262">
        <v>0</v>
      </c>
    </row>
    <row r="263" spans="1:18" x14ac:dyDescent="0.25">
      <c r="A263" t="s">
        <v>14</v>
      </c>
      <c r="B263" t="s">
        <v>6</v>
      </c>
      <c r="C263">
        <v>4</v>
      </c>
      <c r="D263">
        <v>2</v>
      </c>
      <c r="E263">
        <v>1</v>
      </c>
      <c r="F263" s="15">
        <v>45999</v>
      </c>
      <c r="G263" t="s">
        <v>161</v>
      </c>
      <c r="H263">
        <v>4</v>
      </c>
      <c r="I263">
        <v>2025</v>
      </c>
      <c r="J263">
        <v>12</v>
      </c>
      <c r="K263" t="s">
        <v>87</v>
      </c>
      <c r="L263" t="s">
        <v>10</v>
      </c>
      <c r="M263" t="s">
        <v>6</v>
      </c>
      <c r="N263" t="b">
        <v>0</v>
      </c>
      <c r="O263">
        <v>0</v>
      </c>
      <c r="P263">
        <v>1</v>
      </c>
      <c r="Q263">
        <v>0</v>
      </c>
      <c r="R263">
        <v>0</v>
      </c>
    </row>
    <row r="264" spans="1:18" x14ac:dyDescent="0.25">
      <c r="A264" t="s">
        <v>14</v>
      </c>
      <c r="B264" t="s">
        <v>6</v>
      </c>
      <c r="C264">
        <v>4</v>
      </c>
      <c r="D264">
        <v>2</v>
      </c>
      <c r="E264">
        <v>1</v>
      </c>
      <c r="F264" s="15">
        <v>45999</v>
      </c>
      <c r="G264" t="s">
        <v>161</v>
      </c>
      <c r="H264">
        <v>4</v>
      </c>
      <c r="I264">
        <v>2025</v>
      </c>
      <c r="J264">
        <v>12</v>
      </c>
      <c r="K264" t="s">
        <v>87</v>
      </c>
      <c r="L264" t="s">
        <v>7</v>
      </c>
      <c r="M264" t="s">
        <v>8</v>
      </c>
      <c r="N264" t="b">
        <v>0</v>
      </c>
      <c r="O264">
        <v>0</v>
      </c>
      <c r="P264">
        <v>1</v>
      </c>
      <c r="Q264">
        <v>0</v>
      </c>
      <c r="R264">
        <v>1</v>
      </c>
    </row>
    <row r="265" spans="1:18" x14ac:dyDescent="0.25">
      <c r="A265" t="s">
        <v>19</v>
      </c>
      <c r="B265" t="s">
        <v>6</v>
      </c>
      <c r="C265">
        <v>3</v>
      </c>
      <c r="D265">
        <v>2</v>
      </c>
      <c r="E265">
        <v>1</v>
      </c>
      <c r="F265" s="15">
        <v>45999</v>
      </c>
      <c r="G265" t="s">
        <v>161</v>
      </c>
      <c r="H265">
        <v>4</v>
      </c>
      <c r="I265">
        <v>2025</v>
      </c>
      <c r="J265">
        <v>12</v>
      </c>
      <c r="K265" t="s">
        <v>87</v>
      </c>
      <c r="L265" t="s">
        <v>14</v>
      </c>
      <c r="M265" t="s">
        <v>6</v>
      </c>
      <c r="N265" t="b">
        <v>0</v>
      </c>
      <c r="O265">
        <v>0</v>
      </c>
      <c r="P265">
        <v>1</v>
      </c>
      <c r="Q265">
        <v>0</v>
      </c>
      <c r="R265">
        <v>0</v>
      </c>
    </row>
    <row r="266" spans="1:18" x14ac:dyDescent="0.25">
      <c r="A266" t="s">
        <v>19</v>
      </c>
      <c r="B266" t="s">
        <v>6</v>
      </c>
      <c r="C266">
        <v>3</v>
      </c>
      <c r="D266">
        <v>2</v>
      </c>
      <c r="E266">
        <v>1</v>
      </c>
      <c r="F266" s="15">
        <v>45999</v>
      </c>
      <c r="G266" t="s">
        <v>161</v>
      </c>
      <c r="H266">
        <v>4</v>
      </c>
      <c r="I266">
        <v>2025</v>
      </c>
      <c r="J266">
        <v>12</v>
      </c>
      <c r="K266" t="s">
        <v>87</v>
      </c>
      <c r="L266" t="s">
        <v>10</v>
      </c>
      <c r="M266" t="s">
        <v>6</v>
      </c>
      <c r="N266" t="b">
        <v>0</v>
      </c>
      <c r="O266">
        <v>0</v>
      </c>
      <c r="P266">
        <v>1</v>
      </c>
      <c r="Q266">
        <v>0</v>
      </c>
      <c r="R266">
        <v>0</v>
      </c>
    </row>
    <row r="267" spans="1:18" x14ac:dyDescent="0.25">
      <c r="A267" t="s">
        <v>19</v>
      </c>
      <c r="B267" t="s">
        <v>6</v>
      </c>
      <c r="C267">
        <v>3</v>
      </c>
      <c r="D267">
        <v>2</v>
      </c>
      <c r="E267">
        <v>1</v>
      </c>
      <c r="F267" s="15">
        <v>45999</v>
      </c>
      <c r="G267" t="s">
        <v>161</v>
      </c>
      <c r="H267">
        <v>4</v>
      </c>
      <c r="I267">
        <v>2025</v>
      </c>
      <c r="J267">
        <v>12</v>
      </c>
      <c r="K267" t="s">
        <v>87</v>
      </c>
      <c r="L267" t="s">
        <v>7</v>
      </c>
      <c r="M267" t="s">
        <v>8</v>
      </c>
      <c r="N267" t="b">
        <v>0</v>
      </c>
      <c r="O267">
        <v>0</v>
      </c>
      <c r="P267">
        <v>1</v>
      </c>
      <c r="Q267">
        <v>0</v>
      </c>
      <c r="R267">
        <v>1</v>
      </c>
    </row>
    <row r="268" spans="1:18" x14ac:dyDescent="0.25">
      <c r="A268" t="s">
        <v>10</v>
      </c>
      <c r="B268" t="s">
        <v>6</v>
      </c>
      <c r="C268">
        <v>2</v>
      </c>
      <c r="D268">
        <v>2</v>
      </c>
      <c r="E268">
        <v>1</v>
      </c>
      <c r="F268" s="15">
        <v>45999</v>
      </c>
      <c r="G268" t="s">
        <v>161</v>
      </c>
      <c r="H268">
        <v>4</v>
      </c>
      <c r="I268">
        <v>2025</v>
      </c>
      <c r="J268">
        <v>12</v>
      </c>
      <c r="K268" t="s">
        <v>87</v>
      </c>
      <c r="L268" t="s">
        <v>14</v>
      </c>
      <c r="M268" t="s">
        <v>6</v>
      </c>
      <c r="N268" t="b">
        <v>0</v>
      </c>
      <c r="O268">
        <v>0</v>
      </c>
      <c r="P268">
        <v>1</v>
      </c>
      <c r="Q268">
        <v>0</v>
      </c>
      <c r="R268">
        <v>0</v>
      </c>
    </row>
    <row r="269" spans="1:18" x14ac:dyDescent="0.25">
      <c r="A269" t="s">
        <v>10</v>
      </c>
      <c r="B269" t="s">
        <v>6</v>
      </c>
      <c r="C269">
        <v>2</v>
      </c>
      <c r="D269">
        <v>2</v>
      </c>
      <c r="E269">
        <v>1</v>
      </c>
      <c r="F269" s="15">
        <v>45999</v>
      </c>
      <c r="G269" t="s">
        <v>161</v>
      </c>
      <c r="H269">
        <v>4</v>
      </c>
      <c r="I269">
        <v>2025</v>
      </c>
      <c r="J269">
        <v>12</v>
      </c>
      <c r="K269" t="s">
        <v>87</v>
      </c>
      <c r="L269" t="s">
        <v>19</v>
      </c>
      <c r="M269" t="s">
        <v>6</v>
      </c>
      <c r="N269" t="b">
        <v>0</v>
      </c>
      <c r="O269">
        <v>0</v>
      </c>
      <c r="P269">
        <v>1</v>
      </c>
      <c r="Q269">
        <v>0</v>
      </c>
      <c r="R269">
        <v>0</v>
      </c>
    </row>
    <row r="270" spans="1:18" x14ac:dyDescent="0.25">
      <c r="A270" t="s">
        <v>10</v>
      </c>
      <c r="B270" t="s">
        <v>6</v>
      </c>
      <c r="C270">
        <v>2</v>
      </c>
      <c r="D270">
        <v>2</v>
      </c>
      <c r="E270">
        <v>1</v>
      </c>
      <c r="F270" s="15">
        <v>45999</v>
      </c>
      <c r="G270" t="s">
        <v>161</v>
      </c>
      <c r="H270">
        <v>4</v>
      </c>
      <c r="I270">
        <v>2025</v>
      </c>
      <c r="J270">
        <v>12</v>
      </c>
      <c r="K270" t="s">
        <v>87</v>
      </c>
      <c r="L270" t="s">
        <v>7</v>
      </c>
      <c r="M270" t="s">
        <v>8</v>
      </c>
      <c r="N270" t="b">
        <v>0</v>
      </c>
      <c r="O270">
        <v>0</v>
      </c>
      <c r="P270">
        <v>1</v>
      </c>
      <c r="Q270">
        <v>0</v>
      </c>
      <c r="R270">
        <v>1</v>
      </c>
    </row>
    <row r="271" spans="1:18" x14ac:dyDescent="0.25">
      <c r="A271" t="s">
        <v>7</v>
      </c>
      <c r="B271" t="s">
        <v>8</v>
      </c>
      <c r="C271">
        <v>1</v>
      </c>
      <c r="D271">
        <v>2</v>
      </c>
      <c r="E271">
        <v>1</v>
      </c>
      <c r="F271" s="15">
        <v>45999</v>
      </c>
      <c r="G271" t="s">
        <v>161</v>
      </c>
      <c r="H271">
        <v>4</v>
      </c>
      <c r="I271">
        <v>2025</v>
      </c>
      <c r="J271">
        <v>12</v>
      </c>
      <c r="K271" t="s">
        <v>87</v>
      </c>
      <c r="L271" t="s">
        <v>14</v>
      </c>
      <c r="M271" t="s">
        <v>6</v>
      </c>
      <c r="N271" t="b">
        <v>0</v>
      </c>
      <c r="O271">
        <v>1</v>
      </c>
      <c r="P271">
        <v>0</v>
      </c>
      <c r="Q271">
        <v>0</v>
      </c>
      <c r="R271">
        <v>0</v>
      </c>
    </row>
    <row r="272" spans="1:18" x14ac:dyDescent="0.25">
      <c r="A272" t="s">
        <v>7</v>
      </c>
      <c r="B272" t="s">
        <v>8</v>
      </c>
      <c r="C272">
        <v>1</v>
      </c>
      <c r="D272">
        <v>2</v>
      </c>
      <c r="E272">
        <v>1</v>
      </c>
      <c r="F272" s="15">
        <v>45999</v>
      </c>
      <c r="G272" t="s">
        <v>161</v>
      </c>
      <c r="H272">
        <v>4</v>
      </c>
      <c r="I272">
        <v>2025</v>
      </c>
      <c r="J272">
        <v>12</v>
      </c>
      <c r="K272" t="s">
        <v>87</v>
      </c>
      <c r="L272" t="s">
        <v>19</v>
      </c>
      <c r="M272" t="s">
        <v>6</v>
      </c>
      <c r="N272" t="b">
        <v>0</v>
      </c>
      <c r="O272">
        <v>1</v>
      </c>
      <c r="P272">
        <v>0</v>
      </c>
      <c r="Q272">
        <v>0</v>
      </c>
      <c r="R272">
        <v>0</v>
      </c>
    </row>
    <row r="273" spans="1:18" x14ac:dyDescent="0.25">
      <c r="A273" t="s">
        <v>7</v>
      </c>
      <c r="B273" t="s">
        <v>8</v>
      </c>
      <c r="C273">
        <v>1</v>
      </c>
      <c r="D273">
        <v>2</v>
      </c>
      <c r="E273">
        <v>1</v>
      </c>
      <c r="F273" s="15">
        <v>45999</v>
      </c>
      <c r="G273" t="s">
        <v>161</v>
      </c>
      <c r="H273">
        <v>4</v>
      </c>
      <c r="I273">
        <v>2025</v>
      </c>
      <c r="J273">
        <v>12</v>
      </c>
      <c r="K273" t="s">
        <v>87</v>
      </c>
      <c r="L273" t="s">
        <v>10</v>
      </c>
      <c r="M273" t="s">
        <v>6</v>
      </c>
      <c r="N273" t="b">
        <v>0</v>
      </c>
      <c r="O273">
        <v>1</v>
      </c>
      <c r="P273">
        <v>0</v>
      </c>
      <c r="Q273">
        <v>0</v>
      </c>
      <c r="R273">
        <v>0</v>
      </c>
    </row>
    <row r="274" spans="1:18" x14ac:dyDescent="0.25">
      <c r="A274" t="s">
        <v>14</v>
      </c>
      <c r="B274" t="s">
        <v>63</v>
      </c>
      <c r="C274">
        <v>3</v>
      </c>
      <c r="D274">
        <v>2</v>
      </c>
      <c r="E274">
        <v>1</v>
      </c>
      <c r="F274" s="15">
        <v>46013</v>
      </c>
      <c r="G274" t="s">
        <v>163</v>
      </c>
      <c r="H274">
        <v>4</v>
      </c>
      <c r="I274">
        <v>2025</v>
      </c>
      <c r="J274">
        <v>12</v>
      </c>
      <c r="K274" t="s">
        <v>87</v>
      </c>
      <c r="L274" t="s">
        <v>10</v>
      </c>
      <c r="M274" t="s">
        <v>63</v>
      </c>
      <c r="N274" t="b">
        <v>0</v>
      </c>
      <c r="O274">
        <v>0</v>
      </c>
      <c r="P274">
        <v>0</v>
      </c>
      <c r="Q274">
        <v>1</v>
      </c>
      <c r="R274">
        <v>0</v>
      </c>
    </row>
    <row r="275" spans="1:18" x14ac:dyDescent="0.25">
      <c r="A275" t="s">
        <v>14</v>
      </c>
      <c r="B275" t="s">
        <v>63</v>
      </c>
      <c r="C275">
        <v>3</v>
      </c>
      <c r="D275">
        <v>2</v>
      </c>
      <c r="E275">
        <v>1</v>
      </c>
      <c r="F275" s="15">
        <v>46013</v>
      </c>
      <c r="G275" t="s">
        <v>163</v>
      </c>
      <c r="H275">
        <v>4</v>
      </c>
      <c r="I275">
        <v>2025</v>
      </c>
      <c r="J275">
        <v>12</v>
      </c>
      <c r="K275" t="s">
        <v>87</v>
      </c>
      <c r="L275" t="s">
        <v>28</v>
      </c>
      <c r="M275" t="s">
        <v>63</v>
      </c>
      <c r="N275" t="b">
        <v>0</v>
      </c>
      <c r="O275">
        <v>0</v>
      </c>
      <c r="P275">
        <v>0</v>
      </c>
      <c r="Q275">
        <v>1</v>
      </c>
      <c r="R275">
        <v>0</v>
      </c>
    </row>
    <row r="276" spans="1:18" x14ac:dyDescent="0.25">
      <c r="A276" t="s">
        <v>14</v>
      </c>
      <c r="B276" t="s">
        <v>63</v>
      </c>
      <c r="C276">
        <v>3</v>
      </c>
      <c r="D276">
        <v>2</v>
      </c>
      <c r="E276">
        <v>1</v>
      </c>
      <c r="F276" s="15">
        <v>46013</v>
      </c>
      <c r="G276" t="s">
        <v>163</v>
      </c>
      <c r="H276">
        <v>4</v>
      </c>
      <c r="I276">
        <v>2025</v>
      </c>
      <c r="J276">
        <v>12</v>
      </c>
      <c r="K276" t="s">
        <v>87</v>
      </c>
      <c r="L276" t="s">
        <v>11</v>
      </c>
      <c r="M276" t="s">
        <v>63</v>
      </c>
      <c r="N276" t="b">
        <v>0</v>
      </c>
      <c r="O276">
        <v>0</v>
      </c>
      <c r="P276">
        <v>0</v>
      </c>
      <c r="Q276">
        <v>1</v>
      </c>
      <c r="R276">
        <v>0</v>
      </c>
    </row>
    <row r="277" spans="1:18" x14ac:dyDescent="0.25">
      <c r="A277" t="s">
        <v>10</v>
      </c>
      <c r="B277" t="s">
        <v>63</v>
      </c>
      <c r="C277">
        <v>2</v>
      </c>
      <c r="D277">
        <v>2</v>
      </c>
      <c r="E277">
        <v>1</v>
      </c>
      <c r="F277" s="15">
        <v>46013</v>
      </c>
      <c r="G277" t="s">
        <v>163</v>
      </c>
      <c r="H277">
        <v>4</v>
      </c>
      <c r="I277">
        <v>2025</v>
      </c>
      <c r="J277">
        <v>12</v>
      </c>
      <c r="K277" t="s">
        <v>87</v>
      </c>
      <c r="L277" t="s">
        <v>14</v>
      </c>
      <c r="M277" t="s">
        <v>63</v>
      </c>
      <c r="N277" t="b">
        <v>0</v>
      </c>
      <c r="O277">
        <v>0</v>
      </c>
      <c r="P277">
        <v>0</v>
      </c>
      <c r="Q277">
        <v>1</v>
      </c>
      <c r="R277">
        <v>0</v>
      </c>
    </row>
    <row r="278" spans="1:18" x14ac:dyDescent="0.25">
      <c r="A278" t="s">
        <v>10</v>
      </c>
      <c r="B278" t="s">
        <v>63</v>
      </c>
      <c r="C278">
        <v>2</v>
      </c>
      <c r="D278">
        <v>2</v>
      </c>
      <c r="E278">
        <v>1</v>
      </c>
      <c r="F278" s="15">
        <v>46013</v>
      </c>
      <c r="G278" t="s">
        <v>163</v>
      </c>
      <c r="H278">
        <v>4</v>
      </c>
      <c r="I278">
        <v>2025</v>
      </c>
      <c r="J278">
        <v>12</v>
      </c>
      <c r="K278" t="s">
        <v>87</v>
      </c>
      <c r="L278" t="s">
        <v>28</v>
      </c>
      <c r="M278" t="s">
        <v>63</v>
      </c>
      <c r="N278" t="b">
        <v>0</v>
      </c>
      <c r="O278">
        <v>0</v>
      </c>
      <c r="P278">
        <v>0</v>
      </c>
      <c r="Q278">
        <v>1</v>
      </c>
      <c r="R278">
        <v>0</v>
      </c>
    </row>
    <row r="279" spans="1:18" x14ac:dyDescent="0.25">
      <c r="A279" t="s">
        <v>10</v>
      </c>
      <c r="B279" t="s">
        <v>63</v>
      </c>
      <c r="C279">
        <v>2</v>
      </c>
      <c r="D279">
        <v>2</v>
      </c>
      <c r="E279">
        <v>1</v>
      </c>
      <c r="F279" s="15">
        <v>46013</v>
      </c>
      <c r="G279" t="s">
        <v>163</v>
      </c>
      <c r="H279">
        <v>4</v>
      </c>
      <c r="I279">
        <v>2025</v>
      </c>
      <c r="J279">
        <v>12</v>
      </c>
      <c r="K279" t="s">
        <v>87</v>
      </c>
      <c r="L279" t="s">
        <v>11</v>
      </c>
      <c r="M279" t="s">
        <v>63</v>
      </c>
      <c r="N279" t="b">
        <v>0</v>
      </c>
      <c r="O279">
        <v>0</v>
      </c>
      <c r="P279">
        <v>0</v>
      </c>
      <c r="Q279">
        <v>1</v>
      </c>
      <c r="R279">
        <v>0</v>
      </c>
    </row>
    <row r="280" spans="1:18" x14ac:dyDescent="0.25">
      <c r="A280" t="s">
        <v>28</v>
      </c>
      <c r="B280" t="s">
        <v>63</v>
      </c>
      <c r="C280">
        <v>4</v>
      </c>
      <c r="D280">
        <v>2</v>
      </c>
      <c r="E280">
        <v>1</v>
      </c>
      <c r="F280" s="15">
        <v>46013</v>
      </c>
      <c r="G280" t="s">
        <v>163</v>
      </c>
      <c r="H280">
        <v>4</v>
      </c>
      <c r="I280">
        <v>2025</v>
      </c>
      <c r="J280">
        <v>12</v>
      </c>
      <c r="K280" t="s">
        <v>87</v>
      </c>
      <c r="L280" t="s">
        <v>14</v>
      </c>
      <c r="M280" t="s">
        <v>63</v>
      </c>
      <c r="N280" t="b">
        <v>0</v>
      </c>
      <c r="O280">
        <v>0</v>
      </c>
      <c r="P280">
        <v>0</v>
      </c>
      <c r="Q280">
        <v>1</v>
      </c>
      <c r="R280">
        <v>0</v>
      </c>
    </row>
    <row r="281" spans="1:18" x14ac:dyDescent="0.25">
      <c r="A281" t="s">
        <v>28</v>
      </c>
      <c r="B281" t="s">
        <v>63</v>
      </c>
      <c r="C281">
        <v>4</v>
      </c>
      <c r="D281">
        <v>2</v>
      </c>
      <c r="E281">
        <v>1</v>
      </c>
      <c r="F281" s="15">
        <v>46013</v>
      </c>
      <c r="G281" t="s">
        <v>163</v>
      </c>
      <c r="H281">
        <v>4</v>
      </c>
      <c r="I281">
        <v>2025</v>
      </c>
      <c r="J281">
        <v>12</v>
      </c>
      <c r="K281" t="s">
        <v>87</v>
      </c>
      <c r="L281" t="s">
        <v>10</v>
      </c>
      <c r="M281" t="s">
        <v>63</v>
      </c>
      <c r="N281" t="b">
        <v>0</v>
      </c>
      <c r="O281">
        <v>0</v>
      </c>
      <c r="P281">
        <v>0</v>
      </c>
      <c r="Q281">
        <v>1</v>
      </c>
      <c r="R281">
        <v>0</v>
      </c>
    </row>
    <row r="282" spans="1:18" x14ac:dyDescent="0.25">
      <c r="A282" t="s">
        <v>28</v>
      </c>
      <c r="B282" t="s">
        <v>63</v>
      </c>
      <c r="C282">
        <v>4</v>
      </c>
      <c r="D282">
        <v>2</v>
      </c>
      <c r="E282">
        <v>1</v>
      </c>
      <c r="F282" s="15">
        <v>46013</v>
      </c>
      <c r="G282" t="s">
        <v>163</v>
      </c>
      <c r="H282">
        <v>4</v>
      </c>
      <c r="I282">
        <v>2025</v>
      </c>
      <c r="J282">
        <v>12</v>
      </c>
      <c r="K282" t="s">
        <v>87</v>
      </c>
      <c r="L282" t="s">
        <v>11</v>
      </c>
      <c r="M282" t="s">
        <v>63</v>
      </c>
      <c r="N282" t="b">
        <v>0</v>
      </c>
      <c r="O282">
        <v>0</v>
      </c>
      <c r="P282">
        <v>0</v>
      </c>
      <c r="Q282">
        <v>1</v>
      </c>
      <c r="R282">
        <v>0</v>
      </c>
    </row>
    <row r="283" spans="1:18" x14ac:dyDescent="0.25">
      <c r="A283" t="s">
        <v>11</v>
      </c>
      <c r="B283" t="s">
        <v>63</v>
      </c>
      <c r="C283">
        <v>1</v>
      </c>
      <c r="D283">
        <v>2</v>
      </c>
      <c r="E283">
        <v>1</v>
      </c>
      <c r="F283" s="15">
        <v>46013</v>
      </c>
      <c r="G283" t="s">
        <v>163</v>
      </c>
      <c r="H283">
        <v>4</v>
      </c>
      <c r="I283">
        <v>2025</v>
      </c>
      <c r="J283">
        <v>12</v>
      </c>
      <c r="K283" t="s">
        <v>87</v>
      </c>
      <c r="L283" t="s">
        <v>14</v>
      </c>
      <c r="M283" t="s">
        <v>63</v>
      </c>
      <c r="N283" t="b">
        <v>0</v>
      </c>
      <c r="O283">
        <v>0</v>
      </c>
      <c r="P283">
        <v>0</v>
      </c>
      <c r="Q283">
        <v>1</v>
      </c>
      <c r="R283">
        <v>0</v>
      </c>
    </row>
    <row r="284" spans="1:18" x14ac:dyDescent="0.25">
      <c r="A284" t="s">
        <v>11</v>
      </c>
      <c r="B284" t="s">
        <v>63</v>
      </c>
      <c r="C284">
        <v>1</v>
      </c>
      <c r="D284">
        <v>2</v>
      </c>
      <c r="E284">
        <v>1</v>
      </c>
      <c r="F284" s="15">
        <v>46013</v>
      </c>
      <c r="G284" t="s">
        <v>163</v>
      </c>
      <c r="H284">
        <v>4</v>
      </c>
      <c r="I284">
        <v>2025</v>
      </c>
      <c r="J284">
        <v>12</v>
      </c>
      <c r="K284" t="s">
        <v>87</v>
      </c>
      <c r="L284" t="s">
        <v>10</v>
      </c>
      <c r="M284" t="s">
        <v>63</v>
      </c>
      <c r="N284" t="b">
        <v>0</v>
      </c>
      <c r="O284">
        <v>0</v>
      </c>
      <c r="P284">
        <v>0</v>
      </c>
      <c r="Q284">
        <v>1</v>
      </c>
      <c r="R284">
        <v>0</v>
      </c>
    </row>
    <row r="285" spans="1:18" x14ac:dyDescent="0.25">
      <c r="A285" t="s">
        <v>11</v>
      </c>
      <c r="B285" t="s">
        <v>63</v>
      </c>
      <c r="C285">
        <v>1</v>
      </c>
      <c r="D285">
        <v>2</v>
      </c>
      <c r="E285">
        <v>1</v>
      </c>
      <c r="F285" s="15">
        <v>46013</v>
      </c>
      <c r="G285" t="s">
        <v>163</v>
      </c>
      <c r="H285">
        <v>4</v>
      </c>
      <c r="I285">
        <v>2025</v>
      </c>
      <c r="J285">
        <v>12</v>
      </c>
      <c r="K285" t="s">
        <v>87</v>
      </c>
      <c r="L285" t="s">
        <v>28</v>
      </c>
      <c r="M285" t="s">
        <v>63</v>
      </c>
      <c r="N285" t="b">
        <v>0</v>
      </c>
      <c r="O285">
        <v>0</v>
      </c>
      <c r="P285">
        <v>0</v>
      </c>
      <c r="Q285">
        <v>1</v>
      </c>
      <c r="R285">
        <v>0</v>
      </c>
    </row>
    <row r="286" spans="1:18" x14ac:dyDescent="0.25">
      <c r="A286" t="s">
        <v>14</v>
      </c>
      <c r="B286" t="s">
        <v>8</v>
      </c>
      <c r="C286">
        <v>1</v>
      </c>
      <c r="D286">
        <v>2</v>
      </c>
      <c r="E286">
        <v>2</v>
      </c>
      <c r="F286" s="15">
        <v>45867</v>
      </c>
      <c r="G286" t="s">
        <v>167</v>
      </c>
      <c r="H286">
        <v>3</v>
      </c>
      <c r="I286">
        <v>2025</v>
      </c>
      <c r="J286">
        <v>7</v>
      </c>
      <c r="K286" t="s">
        <v>87</v>
      </c>
      <c r="L286" t="s">
        <v>10</v>
      </c>
      <c r="M286" t="s">
        <v>6</v>
      </c>
      <c r="N286" t="b">
        <v>0</v>
      </c>
      <c r="O286">
        <v>1</v>
      </c>
      <c r="P286">
        <v>0</v>
      </c>
      <c r="Q286">
        <v>0</v>
      </c>
      <c r="R286">
        <v>0</v>
      </c>
    </row>
    <row r="287" spans="1:18" x14ac:dyDescent="0.25">
      <c r="A287" t="s">
        <v>14</v>
      </c>
      <c r="B287" t="s">
        <v>8</v>
      </c>
      <c r="C287">
        <v>1</v>
      </c>
      <c r="D287">
        <v>2</v>
      </c>
      <c r="E287">
        <v>2</v>
      </c>
      <c r="F287" s="15">
        <v>45867</v>
      </c>
      <c r="G287" t="s">
        <v>167</v>
      </c>
      <c r="H287">
        <v>3</v>
      </c>
      <c r="I287">
        <v>2025</v>
      </c>
      <c r="J287">
        <v>7</v>
      </c>
      <c r="K287" t="s">
        <v>87</v>
      </c>
      <c r="L287" t="s">
        <v>20</v>
      </c>
      <c r="M287" t="s">
        <v>6</v>
      </c>
      <c r="N287" t="b">
        <v>0</v>
      </c>
      <c r="O287">
        <v>1</v>
      </c>
      <c r="P287">
        <v>0</v>
      </c>
      <c r="Q287">
        <v>0</v>
      </c>
      <c r="R287">
        <v>0</v>
      </c>
    </row>
    <row r="288" spans="1:18" x14ac:dyDescent="0.25">
      <c r="A288" t="s">
        <v>10</v>
      </c>
      <c r="B288" t="s">
        <v>6</v>
      </c>
      <c r="C288">
        <v>2</v>
      </c>
      <c r="D288">
        <v>2</v>
      </c>
      <c r="E288">
        <v>2</v>
      </c>
      <c r="F288" s="15">
        <v>45867</v>
      </c>
      <c r="G288" t="s">
        <v>167</v>
      </c>
      <c r="H288">
        <v>3</v>
      </c>
      <c r="I288">
        <v>2025</v>
      </c>
      <c r="J288">
        <v>7</v>
      </c>
      <c r="K288" t="s">
        <v>87</v>
      </c>
      <c r="L288" t="s">
        <v>14</v>
      </c>
      <c r="M288" t="s">
        <v>8</v>
      </c>
      <c r="N288" t="b">
        <v>0</v>
      </c>
      <c r="O288">
        <v>0</v>
      </c>
      <c r="P288">
        <v>1</v>
      </c>
      <c r="Q288">
        <v>0</v>
      </c>
      <c r="R288">
        <v>1</v>
      </c>
    </row>
    <row r="289" spans="1:18" x14ac:dyDescent="0.25">
      <c r="A289" t="s">
        <v>10</v>
      </c>
      <c r="B289" t="s">
        <v>6</v>
      </c>
      <c r="C289">
        <v>2</v>
      </c>
      <c r="D289">
        <v>2</v>
      </c>
      <c r="E289">
        <v>2</v>
      </c>
      <c r="F289" s="15">
        <v>45867</v>
      </c>
      <c r="G289" t="s">
        <v>167</v>
      </c>
      <c r="H289">
        <v>3</v>
      </c>
      <c r="I289">
        <v>2025</v>
      </c>
      <c r="J289">
        <v>7</v>
      </c>
      <c r="K289" t="s">
        <v>87</v>
      </c>
      <c r="L289" t="s">
        <v>20</v>
      </c>
      <c r="M289" t="s">
        <v>6</v>
      </c>
      <c r="N289" t="b">
        <v>0</v>
      </c>
      <c r="O289">
        <v>0</v>
      </c>
      <c r="P289">
        <v>1</v>
      </c>
      <c r="Q289">
        <v>0</v>
      </c>
      <c r="R289">
        <v>0</v>
      </c>
    </row>
    <row r="290" spans="1:18" x14ac:dyDescent="0.25">
      <c r="A290" t="s">
        <v>20</v>
      </c>
      <c r="B290" t="s">
        <v>6</v>
      </c>
      <c r="C290">
        <v>3</v>
      </c>
      <c r="D290">
        <v>2</v>
      </c>
      <c r="E290">
        <v>2</v>
      </c>
      <c r="F290" s="15">
        <v>45867</v>
      </c>
      <c r="G290" t="s">
        <v>167</v>
      </c>
      <c r="H290">
        <v>3</v>
      </c>
      <c r="I290">
        <v>2025</v>
      </c>
      <c r="J290">
        <v>7</v>
      </c>
      <c r="K290" t="s">
        <v>87</v>
      </c>
      <c r="L290" t="s">
        <v>14</v>
      </c>
      <c r="M290" t="s">
        <v>8</v>
      </c>
      <c r="N290" t="b">
        <v>0</v>
      </c>
      <c r="O290">
        <v>0</v>
      </c>
      <c r="P290">
        <v>1</v>
      </c>
      <c r="Q290">
        <v>0</v>
      </c>
      <c r="R290">
        <v>1</v>
      </c>
    </row>
    <row r="291" spans="1:18" x14ac:dyDescent="0.25">
      <c r="A291" t="s">
        <v>20</v>
      </c>
      <c r="B291" t="s">
        <v>6</v>
      </c>
      <c r="C291">
        <v>3</v>
      </c>
      <c r="D291">
        <v>2</v>
      </c>
      <c r="E291">
        <v>2</v>
      </c>
      <c r="F291" s="15">
        <v>45867</v>
      </c>
      <c r="G291" t="s">
        <v>167</v>
      </c>
      <c r="H291">
        <v>3</v>
      </c>
      <c r="I291">
        <v>2025</v>
      </c>
      <c r="J291">
        <v>7</v>
      </c>
      <c r="K291" t="s">
        <v>87</v>
      </c>
      <c r="L291" t="s">
        <v>10</v>
      </c>
      <c r="M291" t="s">
        <v>6</v>
      </c>
      <c r="N291" t="b">
        <v>0</v>
      </c>
      <c r="O291">
        <v>0</v>
      </c>
      <c r="P291">
        <v>1</v>
      </c>
      <c r="Q291">
        <v>0</v>
      </c>
      <c r="R291">
        <v>0</v>
      </c>
    </row>
    <row r="292" spans="1:18" x14ac:dyDescent="0.25">
      <c r="A292" t="s">
        <v>14</v>
      </c>
      <c r="B292" t="s">
        <v>6</v>
      </c>
      <c r="C292">
        <v>1</v>
      </c>
      <c r="D292">
        <v>2</v>
      </c>
      <c r="E292">
        <v>2</v>
      </c>
      <c r="F292" s="15">
        <v>45929</v>
      </c>
      <c r="G292" t="s">
        <v>175</v>
      </c>
      <c r="H292">
        <v>4</v>
      </c>
      <c r="I292">
        <v>2025</v>
      </c>
      <c r="J292">
        <v>9</v>
      </c>
      <c r="K292" t="s">
        <v>87</v>
      </c>
      <c r="L292" t="s">
        <v>10</v>
      </c>
      <c r="M292" t="s">
        <v>6</v>
      </c>
      <c r="N292" t="b">
        <v>0</v>
      </c>
      <c r="O292">
        <v>0</v>
      </c>
      <c r="P292">
        <v>1</v>
      </c>
      <c r="Q292">
        <v>0</v>
      </c>
      <c r="R292">
        <v>0</v>
      </c>
    </row>
    <row r="293" spans="1:18" x14ac:dyDescent="0.25">
      <c r="A293" t="s">
        <v>14</v>
      </c>
      <c r="B293" t="s">
        <v>6</v>
      </c>
      <c r="C293">
        <v>1</v>
      </c>
      <c r="D293">
        <v>2</v>
      </c>
      <c r="E293">
        <v>2</v>
      </c>
      <c r="F293" s="15">
        <v>45929</v>
      </c>
      <c r="G293" t="s">
        <v>175</v>
      </c>
      <c r="H293">
        <v>4</v>
      </c>
      <c r="I293">
        <v>2025</v>
      </c>
      <c r="J293">
        <v>9</v>
      </c>
      <c r="K293" t="s">
        <v>87</v>
      </c>
      <c r="L293" t="s">
        <v>28</v>
      </c>
      <c r="M293" t="s">
        <v>6</v>
      </c>
      <c r="N293" t="b">
        <v>0</v>
      </c>
      <c r="O293">
        <v>0</v>
      </c>
      <c r="P293">
        <v>1</v>
      </c>
      <c r="Q293">
        <v>0</v>
      </c>
      <c r="R293">
        <v>0</v>
      </c>
    </row>
    <row r="294" spans="1:18" x14ac:dyDescent="0.25">
      <c r="A294" t="s">
        <v>14</v>
      </c>
      <c r="B294" t="s">
        <v>6</v>
      </c>
      <c r="C294">
        <v>1</v>
      </c>
      <c r="D294">
        <v>2</v>
      </c>
      <c r="E294">
        <v>2</v>
      </c>
      <c r="F294" s="15">
        <v>45929</v>
      </c>
      <c r="G294" t="s">
        <v>175</v>
      </c>
      <c r="H294">
        <v>4</v>
      </c>
      <c r="I294">
        <v>2025</v>
      </c>
      <c r="J294">
        <v>9</v>
      </c>
      <c r="K294" t="s">
        <v>87</v>
      </c>
      <c r="L294" t="s">
        <v>53</v>
      </c>
      <c r="M294" t="s">
        <v>8</v>
      </c>
      <c r="N294" t="b">
        <v>0</v>
      </c>
      <c r="O294">
        <v>0</v>
      </c>
      <c r="P294">
        <v>1</v>
      </c>
      <c r="Q294">
        <v>0</v>
      </c>
      <c r="R294">
        <v>1</v>
      </c>
    </row>
    <row r="295" spans="1:18" x14ac:dyDescent="0.25">
      <c r="A295" t="s">
        <v>10</v>
      </c>
      <c r="B295" t="s">
        <v>6</v>
      </c>
      <c r="C295">
        <v>2</v>
      </c>
      <c r="D295">
        <v>2</v>
      </c>
      <c r="E295">
        <v>2</v>
      </c>
      <c r="F295" s="15">
        <v>45929</v>
      </c>
      <c r="G295" t="s">
        <v>175</v>
      </c>
      <c r="H295">
        <v>4</v>
      </c>
      <c r="I295">
        <v>2025</v>
      </c>
      <c r="J295">
        <v>9</v>
      </c>
      <c r="K295" t="s">
        <v>87</v>
      </c>
      <c r="L295" t="s">
        <v>14</v>
      </c>
      <c r="M295" t="s">
        <v>6</v>
      </c>
      <c r="N295" t="b">
        <v>0</v>
      </c>
      <c r="O295">
        <v>0</v>
      </c>
      <c r="P295">
        <v>1</v>
      </c>
      <c r="Q295">
        <v>0</v>
      </c>
      <c r="R295">
        <v>0</v>
      </c>
    </row>
    <row r="296" spans="1:18" x14ac:dyDescent="0.25">
      <c r="A296" t="s">
        <v>10</v>
      </c>
      <c r="B296" t="s">
        <v>6</v>
      </c>
      <c r="C296">
        <v>2</v>
      </c>
      <c r="D296">
        <v>2</v>
      </c>
      <c r="E296">
        <v>2</v>
      </c>
      <c r="F296" s="15">
        <v>45929</v>
      </c>
      <c r="G296" t="s">
        <v>175</v>
      </c>
      <c r="H296">
        <v>4</v>
      </c>
      <c r="I296">
        <v>2025</v>
      </c>
      <c r="J296">
        <v>9</v>
      </c>
      <c r="K296" t="s">
        <v>87</v>
      </c>
      <c r="L296" t="s">
        <v>28</v>
      </c>
      <c r="M296" t="s">
        <v>6</v>
      </c>
      <c r="N296" t="b">
        <v>0</v>
      </c>
      <c r="O296">
        <v>0</v>
      </c>
      <c r="P296">
        <v>1</v>
      </c>
      <c r="Q296">
        <v>0</v>
      </c>
      <c r="R296">
        <v>0</v>
      </c>
    </row>
    <row r="297" spans="1:18" x14ac:dyDescent="0.25">
      <c r="A297" t="s">
        <v>10</v>
      </c>
      <c r="B297" t="s">
        <v>6</v>
      </c>
      <c r="C297">
        <v>2</v>
      </c>
      <c r="D297">
        <v>2</v>
      </c>
      <c r="E297">
        <v>2</v>
      </c>
      <c r="F297" s="15">
        <v>45929</v>
      </c>
      <c r="G297" t="s">
        <v>175</v>
      </c>
      <c r="H297">
        <v>4</v>
      </c>
      <c r="I297">
        <v>2025</v>
      </c>
      <c r="J297">
        <v>9</v>
      </c>
      <c r="K297" t="s">
        <v>87</v>
      </c>
      <c r="L297" t="s">
        <v>53</v>
      </c>
      <c r="M297" t="s">
        <v>8</v>
      </c>
      <c r="N297" t="b">
        <v>0</v>
      </c>
      <c r="O297">
        <v>0</v>
      </c>
      <c r="P297">
        <v>1</v>
      </c>
      <c r="Q297">
        <v>0</v>
      </c>
      <c r="R297">
        <v>1</v>
      </c>
    </row>
    <row r="298" spans="1:18" x14ac:dyDescent="0.25">
      <c r="A298" t="s">
        <v>28</v>
      </c>
      <c r="B298" t="s">
        <v>6</v>
      </c>
      <c r="C298">
        <v>3</v>
      </c>
      <c r="D298">
        <v>2</v>
      </c>
      <c r="E298">
        <v>2</v>
      </c>
      <c r="F298" s="15">
        <v>45929</v>
      </c>
      <c r="G298" t="s">
        <v>175</v>
      </c>
      <c r="H298">
        <v>4</v>
      </c>
      <c r="I298">
        <v>2025</v>
      </c>
      <c r="J298">
        <v>9</v>
      </c>
      <c r="K298" t="s">
        <v>87</v>
      </c>
      <c r="L298" t="s">
        <v>14</v>
      </c>
      <c r="M298" t="s">
        <v>6</v>
      </c>
      <c r="N298" t="b">
        <v>0</v>
      </c>
      <c r="O298">
        <v>0</v>
      </c>
      <c r="P298">
        <v>1</v>
      </c>
      <c r="Q298">
        <v>0</v>
      </c>
      <c r="R298">
        <v>0</v>
      </c>
    </row>
    <row r="299" spans="1:18" x14ac:dyDescent="0.25">
      <c r="A299" t="s">
        <v>28</v>
      </c>
      <c r="B299" t="s">
        <v>6</v>
      </c>
      <c r="C299">
        <v>3</v>
      </c>
      <c r="D299">
        <v>2</v>
      </c>
      <c r="E299">
        <v>2</v>
      </c>
      <c r="F299" s="15">
        <v>45929</v>
      </c>
      <c r="G299" t="s">
        <v>175</v>
      </c>
      <c r="H299">
        <v>4</v>
      </c>
      <c r="I299">
        <v>2025</v>
      </c>
      <c r="J299">
        <v>9</v>
      </c>
      <c r="K299" t="s">
        <v>87</v>
      </c>
      <c r="L299" t="s">
        <v>10</v>
      </c>
      <c r="M299" t="s">
        <v>6</v>
      </c>
      <c r="N299" t="b">
        <v>0</v>
      </c>
      <c r="O299">
        <v>0</v>
      </c>
      <c r="P299">
        <v>1</v>
      </c>
      <c r="Q299">
        <v>0</v>
      </c>
      <c r="R299">
        <v>0</v>
      </c>
    </row>
    <row r="300" spans="1:18" x14ac:dyDescent="0.25">
      <c r="A300" t="s">
        <v>28</v>
      </c>
      <c r="B300" t="s">
        <v>6</v>
      </c>
      <c r="C300">
        <v>3</v>
      </c>
      <c r="D300">
        <v>2</v>
      </c>
      <c r="E300">
        <v>2</v>
      </c>
      <c r="F300" s="15">
        <v>45929</v>
      </c>
      <c r="G300" t="s">
        <v>175</v>
      </c>
      <c r="H300">
        <v>4</v>
      </c>
      <c r="I300">
        <v>2025</v>
      </c>
      <c r="J300">
        <v>9</v>
      </c>
      <c r="K300" t="s">
        <v>87</v>
      </c>
      <c r="L300" t="s">
        <v>53</v>
      </c>
      <c r="M300" t="s">
        <v>8</v>
      </c>
      <c r="N300" t="b">
        <v>0</v>
      </c>
      <c r="O300">
        <v>0</v>
      </c>
      <c r="P300">
        <v>1</v>
      </c>
      <c r="Q300">
        <v>0</v>
      </c>
      <c r="R300">
        <v>1</v>
      </c>
    </row>
    <row r="301" spans="1:18" x14ac:dyDescent="0.25">
      <c r="A301" t="s">
        <v>53</v>
      </c>
      <c r="B301" t="s">
        <v>8</v>
      </c>
      <c r="C301">
        <v>4</v>
      </c>
      <c r="D301">
        <v>2</v>
      </c>
      <c r="E301">
        <v>2</v>
      </c>
      <c r="F301" s="15">
        <v>45929</v>
      </c>
      <c r="G301" t="s">
        <v>175</v>
      </c>
      <c r="H301">
        <v>4</v>
      </c>
      <c r="I301">
        <v>2025</v>
      </c>
      <c r="J301">
        <v>9</v>
      </c>
      <c r="K301" t="s">
        <v>87</v>
      </c>
      <c r="L301" t="s">
        <v>14</v>
      </c>
      <c r="M301" t="s">
        <v>6</v>
      </c>
      <c r="N301" t="b">
        <v>0</v>
      </c>
      <c r="O301">
        <v>1</v>
      </c>
      <c r="P301">
        <v>0</v>
      </c>
      <c r="Q301">
        <v>0</v>
      </c>
      <c r="R301">
        <v>0</v>
      </c>
    </row>
    <row r="302" spans="1:18" x14ac:dyDescent="0.25">
      <c r="A302" t="s">
        <v>53</v>
      </c>
      <c r="B302" t="s">
        <v>8</v>
      </c>
      <c r="C302">
        <v>4</v>
      </c>
      <c r="D302">
        <v>2</v>
      </c>
      <c r="E302">
        <v>2</v>
      </c>
      <c r="F302" s="15">
        <v>45929</v>
      </c>
      <c r="G302" t="s">
        <v>175</v>
      </c>
      <c r="H302">
        <v>4</v>
      </c>
      <c r="I302">
        <v>2025</v>
      </c>
      <c r="J302">
        <v>9</v>
      </c>
      <c r="K302" t="s">
        <v>87</v>
      </c>
      <c r="L302" t="s">
        <v>10</v>
      </c>
      <c r="M302" t="s">
        <v>6</v>
      </c>
      <c r="N302" t="b">
        <v>0</v>
      </c>
      <c r="O302">
        <v>1</v>
      </c>
      <c r="P302">
        <v>0</v>
      </c>
      <c r="Q302">
        <v>0</v>
      </c>
      <c r="R302">
        <v>0</v>
      </c>
    </row>
    <row r="303" spans="1:18" x14ac:dyDescent="0.25">
      <c r="A303" t="s">
        <v>53</v>
      </c>
      <c r="B303" t="s">
        <v>8</v>
      </c>
      <c r="C303">
        <v>4</v>
      </c>
      <c r="D303">
        <v>2</v>
      </c>
      <c r="E303">
        <v>2</v>
      </c>
      <c r="F303" s="15">
        <v>45929</v>
      </c>
      <c r="G303" t="s">
        <v>175</v>
      </c>
      <c r="H303">
        <v>4</v>
      </c>
      <c r="I303">
        <v>2025</v>
      </c>
      <c r="J303">
        <v>9</v>
      </c>
      <c r="K303" t="s">
        <v>87</v>
      </c>
      <c r="L303" t="s">
        <v>28</v>
      </c>
      <c r="M303" t="s">
        <v>6</v>
      </c>
      <c r="N303" t="b">
        <v>0</v>
      </c>
      <c r="O303">
        <v>1</v>
      </c>
      <c r="P303">
        <v>0</v>
      </c>
      <c r="Q303">
        <v>0</v>
      </c>
      <c r="R303">
        <v>0</v>
      </c>
    </row>
    <row r="304" spans="1:18" x14ac:dyDescent="0.25">
      <c r="A304" t="s">
        <v>14</v>
      </c>
      <c r="B304" t="s">
        <v>8</v>
      </c>
      <c r="C304">
        <v>5</v>
      </c>
      <c r="D304">
        <v>2</v>
      </c>
      <c r="E304">
        <v>2</v>
      </c>
      <c r="F304" s="15">
        <v>45936</v>
      </c>
      <c r="G304" t="s">
        <v>176</v>
      </c>
      <c r="H304">
        <v>5</v>
      </c>
      <c r="I304">
        <v>2025</v>
      </c>
      <c r="J304">
        <v>10</v>
      </c>
      <c r="K304" t="s">
        <v>87</v>
      </c>
      <c r="L304" t="s">
        <v>19</v>
      </c>
      <c r="M304" t="s">
        <v>6</v>
      </c>
      <c r="N304" t="b">
        <v>0</v>
      </c>
      <c r="O304">
        <v>1</v>
      </c>
      <c r="P304">
        <v>0</v>
      </c>
      <c r="Q304">
        <v>0</v>
      </c>
      <c r="R304">
        <v>0</v>
      </c>
    </row>
    <row r="305" spans="1:18" x14ac:dyDescent="0.25">
      <c r="A305" t="s">
        <v>14</v>
      </c>
      <c r="B305" t="s">
        <v>8</v>
      </c>
      <c r="C305">
        <v>5</v>
      </c>
      <c r="D305">
        <v>2</v>
      </c>
      <c r="E305">
        <v>2</v>
      </c>
      <c r="F305" s="15">
        <v>45936</v>
      </c>
      <c r="G305" t="s">
        <v>176</v>
      </c>
      <c r="H305">
        <v>5</v>
      </c>
      <c r="I305">
        <v>2025</v>
      </c>
      <c r="J305">
        <v>10</v>
      </c>
      <c r="K305" t="s">
        <v>87</v>
      </c>
      <c r="L305" t="s">
        <v>57</v>
      </c>
      <c r="M305" t="s">
        <v>6</v>
      </c>
      <c r="N305" t="b">
        <v>0</v>
      </c>
      <c r="O305">
        <v>1</v>
      </c>
      <c r="P305">
        <v>0</v>
      </c>
      <c r="Q305">
        <v>0</v>
      </c>
      <c r="R305">
        <v>0</v>
      </c>
    </row>
    <row r="306" spans="1:18" x14ac:dyDescent="0.25">
      <c r="A306" t="s">
        <v>14</v>
      </c>
      <c r="B306" t="s">
        <v>8</v>
      </c>
      <c r="C306">
        <v>5</v>
      </c>
      <c r="D306">
        <v>2</v>
      </c>
      <c r="E306">
        <v>2</v>
      </c>
      <c r="F306" s="15">
        <v>45936</v>
      </c>
      <c r="G306" t="s">
        <v>176</v>
      </c>
      <c r="H306">
        <v>5</v>
      </c>
      <c r="I306">
        <v>2025</v>
      </c>
      <c r="J306">
        <v>10</v>
      </c>
      <c r="K306" t="s">
        <v>87</v>
      </c>
      <c r="L306" t="s">
        <v>11</v>
      </c>
      <c r="M306" t="s">
        <v>6</v>
      </c>
      <c r="N306" t="b">
        <v>0</v>
      </c>
      <c r="O306">
        <v>1</v>
      </c>
      <c r="P306">
        <v>0</v>
      </c>
      <c r="Q306">
        <v>0</v>
      </c>
      <c r="R306">
        <v>0</v>
      </c>
    </row>
    <row r="307" spans="1:18" x14ac:dyDescent="0.25">
      <c r="A307" t="s">
        <v>14</v>
      </c>
      <c r="B307" t="s">
        <v>8</v>
      </c>
      <c r="C307">
        <v>5</v>
      </c>
      <c r="D307">
        <v>2</v>
      </c>
      <c r="E307">
        <v>2</v>
      </c>
      <c r="F307" s="15">
        <v>45936</v>
      </c>
      <c r="G307" t="s">
        <v>176</v>
      </c>
      <c r="H307">
        <v>5</v>
      </c>
      <c r="I307">
        <v>2025</v>
      </c>
      <c r="J307">
        <v>10</v>
      </c>
      <c r="K307" t="s">
        <v>87</v>
      </c>
      <c r="L307" t="s">
        <v>12</v>
      </c>
      <c r="M307" t="s">
        <v>6</v>
      </c>
      <c r="N307" t="b">
        <v>0</v>
      </c>
      <c r="O307">
        <v>1</v>
      </c>
      <c r="P307">
        <v>0</v>
      </c>
      <c r="Q307">
        <v>0</v>
      </c>
      <c r="R307">
        <v>0</v>
      </c>
    </row>
    <row r="308" spans="1:18" x14ac:dyDescent="0.25">
      <c r="A308" t="s">
        <v>19</v>
      </c>
      <c r="B308" t="s">
        <v>6</v>
      </c>
      <c r="C308">
        <v>1</v>
      </c>
      <c r="D308">
        <v>2</v>
      </c>
      <c r="E308">
        <v>2</v>
      </c>
      <c r="F308" s="15">
        <v>45936</v>
      </c>
      <c r="G308" t="s">
        <v>176</v>
      </c>
      <c r="H308">
        <v>5</v>
      </c>
      <c r="I308">
        <v>2025</v>
      </c>
      <c r="J308">
        <v>10</v>
      </c>
      <c r="K308" t="s">
        <v>87</v>
      </c>
      <c r="L308" t="s">
        <v>14</v>
      </c>
      <c r="M308" t="s">
        <v>8</v>
      </c>
      <c r="N308" t="b">
        <v>0</v>
      </c>
      <c r="O308">
        <v>0</v>
      </c>
      <c r="P308">
        <v>1</v>
      </c>
      <c r="Q308">
        <v>0</v>
      </c>
      <c r="R308">
        <v>1</v>
      </c>
    </row>
    <row r="309" spans="1:18" x14ac:dyDescent="0.25">
      <c r="A309" t="s">
        <v>19</v>
      </c>
      <c r="B309" t="s">
        <v>6</v>
      </c>
      <c r="C309">
        <v>1</v>
      </c>
      <c r="D309">
        <v>2</v>
      </c>
      <c r="E309">
        <v>2</v>
      </c>
      <c r="F309" s="15">
        <v>45936</v>
      </c>
      <c r="G309" t="s">
        <v>176</v>
      </c>
      <c r="H309">
        <v>5</v>
      </c>
      <c r="I309">
        <v>2025</v>
      </c>
      <c r="J309">
        <v>10</v>
      </c>
      <c r="K309" t="s">
        <v>87</v>
      </c>
      <c r="L309" t="s">
        <v>57</v>
      </c>
      <c r="M309" t="s">
        <v>6</v>
      </c>
      <c r="N309" t="b">
        <v>0</v>
      </c>
      <c r="O309">
        <v>0</v>
      </c>
      <c r="P309">
        <v>1</v>
      </c>
      <c r="Q309">
        <v>0</v>
      </c>
      <c r="R309">
        <v>0</v>
      </c>
    </row>
    <row r="310" spans="1:18" x14ac:dyDescent="0.25">
      <c r="A310" t="s">
        <v>19</v>
      </c>
      <c r="B310" t="s">
        <v>6</v>
      </c>
      <c r="C310">
        <v>1</v>
      </c>
      <c r="D310">
        <v>2</v>
      </c>
      <c r="E310">
        <v>2</v>
      </c>
      <c r="F310" s="15">
        <v>45936</v>
      </c>
      <c r="G310" t="s">
        <v>176</v>
      </c>
      <c r="H310">
        <v>5</v>
      </c>
      <c r="I310">
        <v>2025</v>
      </c>
      <c r="J310">
        <v>10</v>
      </c>
      <c r="K310" t="s">
        <v>87</v>
      </c>
      <c r="L310" t="s">
        <v>11</v>
      </c>
      <c r="M310" t="s">
        <v>6</v>
      </c>
      <c r="N310" t="b">
        <v>0</v>
      </c>
      <c r="O310">
        <v>0</v>
      </c>
      <c r="P310">
        <v>1</v>
      </c>
      <c r="Q310">
        <v>0</v>
      </c>
      <c r="R310">
        <v>0</v>
      </c>
    </row>
    <row r="311" spans="1:18" x14ac:dyDescent="0.25">
      <c r="A311" t="s">
        <v>19</v>
      </c>
      <c r="B311" t="s">
        <v>6</v>
      </c>
      <c r="C311">
        <v>1</v>
      </c>
      <c r="D311">
        <v>2</v>
      </c>
      <c r="E311">
        <v>2</v>
      </c>
      <c r="F311" s="15">
        <v>45936</v>
      </c>
      <c r="G311" t="s">
        <v>176</v>
      </c>
      <c r="H311">
        <v>5</v>
      </c>
      <c r="I311">
        <v>2025</v>
      </c>
      <c r="J311">
        <v>10</v>
      </c>
      <c r="K311" t="s">
        <v>87</v>
      </c>
      <c r="L311" t="s">
        <v>12</v>
      </c>
      <c r="M311" t="s">
        <v>6</v>
      </c>
      <c r="N311" t="b">
        <v>0</v>
      </c>
      <c r="O311">
        <v>0</v>
      </c>
      <c r="P311">
        <v>1</v>
      </c>
      <c r="Q311">
        <v>0</v>
      </c>
      <c r="R311">
        <v>0</v>
      </c>
    </row>
    <row r="312" spans="1:18" x14ac:dyDescent="0.25">
      <c r="A312" t="s">
        <v>57</v>
      </c>
      <c r="B312" t="s">
        <v>6</v>
      </c>
      <c r="C312">
        <v>4</v>
      </c>
      <c r="D312">
        <v>2</v>
      </c>
      <c r="E312">
        <v>2</v>
      </c>
      <c r="F312" s="15">
        <v>45936</v>
      </c>
      <c r="G312" t="s">
        <v>176</v>
      </c>
      <c r="H312">
        <v>5</v>
      </c>
      <c r="I312">
        <v>2025</v>
      </c>
      <c r="J312">
        <v>10</v>
      </c>
      <c r="K312" t="s">
        <v>87</v>
      </c>
      <c r="L312" t="s">
        <v>14</v>
      </c>
      <c r="M312" t="s">
        <v>8</v>
      </c>
      <c r="N312" t="b">
        <v>0</v>
      </c>
      <c r="O312">
        <v>0</v>
      </c>
      <c r="P312">
        <v>1</v>
      </c>
      <c r="Q312">
        <v>0</v>
      </c>
      <c r="R312">
        <v>1</v>
      </c>
    </row>
    <row r="313" spans="1:18" x14ac:dyDescent="0.25">
      <c r="A313" t="s">
        <v>57</v>
      </c>
      <c r="B313" t="s">
        <v>6</v>
      </c>
      <c r="C313">
        <v>4</v>
      </c>
      <c r="D313">
        <v>2</v>
      </c>
      <c r="E313">
        <v>2</v>
      </c>
      <c r="F313" s="15">
        <v>45936</v>
      </c>
      <c r="G313" t="s">
        <v>176</v>
      </c>
      <c r="H313">
        <v>5</v>
      </c>
      <c r="I313">
        <v>2025</v>
      </c>
      <c r="J313">
        <v>10</v>
      </c>
      <c r="K313" t="s">
        <v>87</v>
      </c>
      <c r="L313" t="s">
        <v>19</v>
      </c>
      <c r="M313" t="s">
        <v>6</v>
      </c>
      <c r="N313" t="b">
        <v>0</v>
      </c>
      <c r="O313">
        <v>0</v>
      </c>
      <c r="P313">
        <v>1</v>
      </c>
      <c r="Q313">
        <v>0</v>
      </c>
      <c r="R313">
        <v>0</v>
      </c>
    </row>
    <row r="314" spans="1:18" x14ac:dyDescent="0.25">
      <c r="A314" t="s">
        <v>57</v>
      </c>
      <c r="B314" t="s">
        <v>6</v>
      </c>
      <c r="C314">
        <v>4</v>
      </c>
      <c r="D314">
        <v>2</v>
      </c>
      <c r="E314">
        <v>2</v>
      </c>
      <c r="F314" s="15">
        <v>45936</v>
      </c>
      <c r="G314" t="s">
        <v>176</v>
      </c>
      <c r="H314">
        <v>5</v>
      </c>
      <c r="I314">
        <v>2025</v>
      </c>
      <c r="J314">
        <v>10</v>
      </c>
      <c r="K314" t="s">
        <v>87</v>
      </c>
      <c r="L314" t="s">
        <v>11</v>
      </c>
      <c r="M314" t="s">
        <v>6</v>
      </c>
      <c r="N314" t="b">
        <v>0</v>
      </c>
      <c r="O314">
        <v>0</v>
      </c>
      <c r="P314">
        <v>1</v>
      </c>
      <c r="Q314">
        <v>0</v>
      </c>
      <c r="R314">
        <v>0</v>
      </c>
    </row>
    <row r="315" spans="1:18" x14ac:dyDescent="0.25">
      <c r="A315" t="s">
        <v>57</v>
      </c>
      <c r="B315" t="s">
        <v>6</v>
      </c>
      <c r="C315">
        <v>4</v>
      </c>
      <c r="D315">
        <v>2</v>
      </c>
      <c r="E315">
        <v>2</v>
      </c>
      <c r="F315" s="15">
        <v>45936</v>
      </c>
      <c r="G315" t="s">
        <v>176</v>
      </c>
      <c r="H315">
        <v>5</v>
      </c>
      <c r="I315">
        <v>2025</v>
      </c>
      <c r="J315">
        <v>10</v>
      </c>
      <c r="K315" t="s">
        <v>87</v>
      </c>
      <c r="L315" t="s">
        <v>12</v>
      </c>
      <c r="M315" t="s">
        <v>6</v>
      </c>
      <c r="N315" t="b">
        <v>0</v>
      </c>
      <c r="O315">
        <v>0</v>
      </c>
      <c r="P315">
        <v>1</v>
      </c>
      <c r="Q315">
        <v>0</v>
      </c>
      <c r="R315">
        <v>0</v>
      </c>
    </row>
    <row r="316" spans="1:18" x14ac:dyDescent="0.25">
      <c r="A316" t="s">
        <v>11</v>
      </c>
      <c r="B316" t="s">
        <v>6</v>
      </c>
      <c r="C316">
        <v>2</v>
      </c>
      <c r="D316">
        <v>2</v>
      </c>
      <c r="E316">
        <v>2</v>
      </c>
      <c r="F316" s="15">
        <v>45936</v>
      </c>
      <c r="G316" t="s">
        <v>176</v>
      </c>
      <c r="H316">
        <v>5</v>
      </c>
      <c r="I316">
        <v>2025</v>
      </c>
      <c r="J316">
        <v>10</v>
      </c>
      <c r="K316" t="s">
        <v>87</v>
      </c>
      <c r="L316" t="s">
        <v>14</v>
      </c>
      <c r="M316" t="s">
        <v>8</v>
      </c>
      <c r="N316" t="b">
        <v>0</v>
      </c>
      <c r="O316">
        <v>0</v>
      </c>
      <c r="P316">
        <v>1</v>
      </c>
      <c r="Q316">
        <v>0</v>
      </c>
      <c r="R316">
        <v>1</v>
      </c>
    </row>
    <row r="317" spans="1:18" x14ac:dyDescent="0.25">
      <c r="A317" t="s">
        <v>11</v>
      </c>
      <c r="B317" t="s">
        <v>6</v>
      </c>
      <c r="C317">
        <v>2</v>
      </c>
      <c r="D317">
        <v>2</v>
      </c>
      <c r="E317">
        <v>2</v>
      </c>
      <c r="F317" s="15">
        <v>45936</v>
      </c>
      <c r="G317" t="s">
        <v>176</v>
      </c>
      <c r="H317">
        <v>5</v>
      </c>
      <c r="I317">
        <v>2025</v>
      </c>
      <c r="J317">
        <v>10</v>
      </c>
      <c r="K317" t="s">
        <v>87</v>
      </c>
      <c r="L317" t="s">
        <v>19</v>
      </c>
      <c r="M317" t="s">
        <v>6</v>
      </c>
      <c r="N317" t="b">
        <v>0</v>
      </c>
      <c r="O317">
        <v>0</v>
      </c>
      <c r="P317">
        <v>1</v>
      </c>
      <c r="Q317">
        <v>0</v>
      </c>
      <c r="R317">
        <v>0</v>
      </c>
    </row>
    <row r="318" spans="1:18" x14ac:dyDescent="0.25">
      <c r="A318" t="s">
        <v>11</v>
      </c>
      <c r="B318" t="s">
        <v>6</v>
      </c>
      <c r="C318">
        <v>2</v>
      </c>
      <c r="D318">
        <v>2</v>
      </c>
      <c r="E318">
        <v>2</v>
      </c>
      <c r="F318" s="15">
        <v>45936</v>
      </c>
      <c r="G318" t="s">
        <v>176</v>
      </c>
      <c r="H318">
        <v>5</v>
      </c>
      <c r="I318">
        <v>2025</v>
      </c>
      <c r="J318">
        <v>10</v>
      </c>
      <c r="K318" t="s">
        <v>87</v>
      </c>
      <c r="L318" t="s">
        <v>57</v>
      </c>
      <c r="M318" t="s">
        <v>6</v>
      </c>
      <c r="N318" t="b">
        <v>0</v>
      </c>
      <c r="O318">
        <v>0</v>
      </c>
      <c r="P318">
        <v>1</v>
      </c>
      <c r="Q318">
        <v>0</v>
      </c>
      <c r="R318">
        <v>0</v>
      </c>
    </row>
    <row r="319" spans="1:18" x14ac:dyDescent="0.25">
      <c r="A319" t="s">
        <v>11</v>
      </c>
      <c r="B319" t="s">
        <v>6</v>
      </c>
      <c r="C319">
        <v>2</v>
      </c>
      <c r="D319">
        <v>2</v>
      </c>
      <c r="E319">
        <v>2</v>
      </c>
      <c r="F319" s="15">
        <v>45936</v>
      </c>
      <c r="G319" t="s">
        <v>176</v>
      </c>
      <c r="H319">
        <v>5</v>
      </c>
      <c r="I319">
        <v>2025</v>
      </c>
      <c r="J319">
        <v>10</v>
      </c>
      <c r="K319" t="s">
        <v>87</v>
      </c>
      <c r="L319" t="s">
        <v>12</v>
      </c>
      <c r="M319" t="s">
        <v>6</v>
      </c>
      <c r="N319" t="b">
        <v>0</v>
      </c>
      <c r="O319">
        <v>0</v>
      </c>
      <c r="P319">
        <v>1</v>
      </c>
      <c r="Q319">
        <v>0</v>
      </c>
      <c r="R319">
        <v>0</v>
      </c>
    </row>
    <row r="320" spans="1:18" x14ac:dyDescent="0.25">
      <c r="A320" t="s">
        <v>12</v>
      </c>
      <c r="B320" t="s">
        <v>6</v>
      </c>
      <c r="C320">
        <v>3</v>
      </c>
      <c r="D320">
        <v>2</v>
      </c>
      <c r="E320">
        <v>2</v>
      </c>
      <c r="F320" s="15">
        <v>45936</v>
      </c>
      <c r="G320" t="s">
        <v>176</v>
      </c>
      <c r="H320">
        <v>5</v>
      </c>
      <c r="I320">
        <v>2025</v>
      </c>
      <c r="J320">
        <v>10</v>
      </c>
      <c r="K320" t="s">
        <v>87</v>
      </c>
      <c r="L320" t="s">
        <v>14</v>
      </c>
      <c r="M320" t="s">
        <v>8</v>
      </c>
      <c r="N320" t="b">
        <v>0</v>
      </c>
      <c r="O320">
        <v>0</v>
      </c>
      <c r="P320">
        <v>1</v>
      </c>
      <c r="Q320">
        <v>0</v>
      </c>
      <c r="R320">
        <v>1</v>
      </c>
    </row>
    <row r="321" spans="1:18" x14ac:dyDescent="0.25">
      <c r="A321" t="s">
        <v>12</v>
      </c>
      <c r="B321" t="s">
        <v>6</v>
      </c>
      <c r="C321">
        <v>3</v>
      </c>
      <c r="D321">
        <v>2</v>
      </c>
      <c r="E321">
        <v>2</v>
      </c>
      <c r="F321" s="15">
        <v>45936</v>
      </c>
      <c r="G321" t="s">
        <v>176</v>
      </c>
      <c r="H321">
        <v>5</v>
      </c>
      <c r="I321">
        <v>2025</v>
      </c>
      <c r="J321">
        <v>10</v>
      </c>
      <c r="K321" t="s">
        <v>87</v>
      </c>
      <c r="L321" t="s">
        <v>19</v>
      </c>
      <c r="M321" t="s">
        <v>6</v>
      </c>
      <c r="N321" t="b">
        <v>0</v>
      </c>
      <c r="O321">
        <v>0</v>
      </c>
      <c r="P321">
        <v>1</v>
      </c>
      <c r="Q321">
        <v>0</v>
      </c>
      <c r="R321">
        <v>0</v>
      </c>
    </row>
    <row r="322" spans="1:18" x14ac:dyDescent="0.25">
      <c r="A322" t="s">
        <v>12</v>
      </c>
      <c r="B322" t="s">
        <v>6</v>
      </c>
      <c r="C322">
        <v>3</v>
      </c>
      <c r="D322">
        <v>2</v>
      </c>
      <c r="E322">
        <v>2</v>
      </c>
      <c r="F322" s="15">
        <v>45936</v>
      </c>
      <c r="G322" t="s">
        <v>176</v>
      </c>
      <c r="H322">
        <v>5</v>
      </c>
      <c r="I322">
        <v>2025</v>
      </c>
      <c r="J322">
        <v>10</v>
      </c>
      <c r="K322" t="s">
        <v>87</v>
      </c>
      <c r="L322" t="s">
        <v>57</v>
      </c>
      <c r="M322" t="s">
        <v>6</v>
      </c>
      <c r="N322" t="b">
        <v>0</v>
      </c>
      <c r="O322">
        <v>0</v>
      </c>
      <c r="P322">
        <v>1</v>
      </c>
      <c r="Q322">
        <v>0</v>
      </c>
      <c r="R322">
        <v>0</v>
      </c>
    </row>
    <row r="323" spans="1:18" x14ac:dyDescent="0.25">
      <c r="A323" t="s">
        <v>12</v>
      </c>
      <c r="B323" t="s">
        <v>6</v>
      </c>
      <c r="C323">
        <v>3</v>
      </c>
      <c r="D323">
        <v>2</v>
      </c>
      <c r="E323">
        <v>2</v>
      </c>
      <c r="F323" s="15">
        <v>45936</v>
      </c>
      <c r="G323" t="s">
        <v>176</v>
      </c>
      <c r="H323">
        <v>5</v>
      </c>
      <c r="I323">
        <v>2025</v>
      </c>
      <c r="J323">
        <v>10</v>
      </c>
      <c r="K323" t="s">
        <v>87</v>
      </c>
      <c r="L323" t="s">
        <v>11</v>
      </c>
      <c r="M323" t="s">
        <v>6</v>
      </c>
      <c r="N323" t="b">
        <v>0</v>
      </c>
      <c r="O323">
        <v>0</v>
      </c>
      <c r="P323">
        <v>1</v>
      </c>
      <c r="Q323">
        <v>0</v>
      </c>
      <c r="R323">
        <v>0</v>
      </c>
    </row>
    <row r="324" spans="1:18" x14ac:dyDescent="0.25">
      <c r="A324" t="s">
        <v>14</v>
      </c>
      <c r="B324" t="s">
        <v>6</v>
      </c>
      <c r="C324">
        <v>2</v>
      </c>
      <c r="D324">
        <v>2</v>
      </c>
      <c r="E324">
        <v>2</v>
      </c>
      <c r="F324" s="15">
        <v>45985</v>
      </c>
      <c r="G324" t="s">
        <v>183</v>
      </c>
      <c r="H324">
        <v>4</v>
      </c>
      <c r="I324">
        <v>2025</v>
      </c>
      <c r="J324">
        <v>11</v>
      </c>
      <c r="K324" t="s">
        <v>87</v>
      </c>
      <c r="L324" t="s">
        <v>13</v>
      </c>
      <c r="M324" t="s">
        <v>6</v>
      </c>
      <c r="N324" t="b">
        <v>0</v>
      </c>
      <c r="O324">
        <v>0</v>
      </c>
      <c r="P324">
        <v>1</v>
      </c>
      <c r="Q324">
        <v>0</v>
      </c>
      <c r="R324">
        <v>0</v>
      </c>
    </row>
    <row r="325" spans="1:18" x14ac:dyDescent="0.25">
      <c r="A325" t="s">
        <v>14</v>
      </c>
      <c r="B325" t="s">
        <v>6</v>
      </c>
      <c r="C325">
        <v>2</v>
      </c>
      <c r="D325">
        <v>2</v>
      </c>
      <c r="E325">
        <v>2</v>
      </c>
      <c r="F325" s="15">
        <v>45985</v>
      </c>
      <c r="G325" t="s">
        <v>183</v>
      </c>
      <c r="H325">
        <v>4</v>
      </c>
      <c r="I325">
        <v>2025</v>
      </c>
      <c r="J325">
        <v>11</v>
      </c>
      <c r="K325" t="s">
        <v>87</v>
      </c>
      <c r="L325" t="s">
        <v>10</v>
      </c>
      <c r="M325" t="s">
        <v>8</v>
      </c>
      <c r="N325" t="b">
        <v>0</v>
      </c>
      <c r="O325">
        <v>0</v>
      </c>
      <c r="P325">
        <v>1</v>
      </c>
      <c r="Q325">
        <v>0</v>
      </c>
      <c r="R325">
        <v>1</v>
      </c>
    </row>
    <row r="326" spans="1:18" x14ac:dyDescent="0.25">
      <c r="A326" t="s">
        <v>14</v>
      </c>
      <c r="B326" t="s">
        <v>6</v>
      </c>
      <c r="C326">
        <v>2</v>
      </c>
      <c r="D326">
        <v>2</v>
      </c>
      <c r="E326">
        <v>2</v>
      </c>
      <c r="F326" s="15">
        <v>45985</v>
      </c>
      <c r="G326" t="s">
        <v>183</v>
      </c>
      <c r="H326">
        <v>4</v>
      </c>
      <c r="I326">
        <v>2025</v>
      </c>
      <c r="J326">
        <v>11</v>
      </c>
      <c r="K326" t="s">
        <v>87</v>
      </c>
      <c r="L326" t="s">
        <v>22</v>
      </c>
      <c r="M326" t="s">
        <v>6</v>
      </c>
      <c r="N326" t="b">
        <v>0</v>
      </c>
      <c r="O326">
        <v>0</v>
      </c>
      <c r="P326">
        <v>1</v>
      </c>
      <c r="Q326">
        <v>0</v>
      </c>
      <c r="R326">
        <v>0</v>
      </c>
    </row>
    <row r="327" spans="1:18" x14ac:dyDescent="0.25">
      <c r="A327" t="s">
        <v>13</v>
      </c>
      <c r="B327" t="s">
        <v>6</v>
      </c>
      <c r="C327">
        <v>4</v>
      </c>
      <c r="D327">
        <v>2</v>
      </c>
      <c r="E327">
        <v>2</v>
      </c>
      <c r="F327" s="15">
        <v>45985</v>
      </c>
      <c r="G327" t="s">
        <v>183</v>
      </c>
      <c r="H327">
        <v>4</v>
      </c>
      <c r="I327">
        <v>2025</v>
      </c>
      <c r="J327">
        <v>11</v>
      </c>
      <c r="K327" t="s">
        <v>87</v>
      </c>
      <c r="L327" t="s">
        <v>14</v>
      </c>
      <c r="M327" t="s">
        <v>6</v>
      </c>
      <c r="N327" t="b">
        <v>0</v>
      </c>
      <c r="O327">
        <v>0</v>
      </c>
      <c r="P327">
        <v>1</v>
      </c>
      <c r="Q327">
        <v>0</v>
      </c>
      <c r="R327">
        <v>0</v>
      </c>
    </row>
    <row r="328" spans="1:18" x14ac:dyDescent="0.25">
      <c r="A328" t="s">
        <v>13</v>
      </c>
      <c r="B328" t="s">
        <v>6</v>
      </c>
      <c r="C328">
        <v>4</v>
      </c>
      <c r="D328">
        <v>2</v>
      </c>
      <c r="E328">
        <v>2</v>
      </c>
      <c r="F328" s="15">
        <v>45985</v>
      </c>
      <c r="G328" t="s">
        <v>183</v>
      </c>
      <c r="H328">
        <v>4</v>
      </c>
      <c r="I328">
        <v>2025</v>
      </c>
      <c r="J328">
        <v>11</v>
      </c>
      <c r="K328" t="s">
        <v>87</v>
      </c>
      <c r="L328" t="s">
        <v>10</v>
      </c>
      <c r="M328" t="s">
        <v>8</v>
      </c>
      <c r="N328" t="b">
        <v>0</v>
      </c>
      <c r="O328">
        <v>0</v>
      </c>
      <c r="P328">
        <v>1</v>
      </c>
      <c r="Q328">
        <v>0</v>
      </c>
      <c r="R328">
        <v>1</v>
      </c>
    </row>
    <row r="329" spans="1:18" x14ac:dyDescent="0.25">
      <c r="A329" t="s">
        <v>13</v>
      </c>
      <c r="B329" t="s">
        <v>6</v>
      </c>
      <c r="C329">
        <v>4</v>
      </c>
      <c r="D329">
        <v>2</v>
      </c>
      <c r="E329">
        <v>2</v>
      </c>
      <c r="F329" s="15">
        <v>45985</v>
      </c>
      <c r="G329" t="s">
        <v>183</v>
      </c>
      <c r="H329">
        <v>4</v>
      </c>
      <c r="I329">
        <v>2025</v>
      </c>
      <c r="J329">
        <v>11</v>
      </c>
      <c r="K329" t="s">
        <v>87</v>
      </c>
      <c r="L329" t="s">
        <v>22</v>
      </c>
      <c r="M329" t="s">
        <v>6</v>
      </c>
      <c r="N329" t="b">
        <v>0</v>
      </c>
      <c r="O329">
        <v>0</v>
      </c>
      <c r="P329">
        <v>1</v>
      </c>
      <c r="Q329">
        <v>0</v>
      </c>
      <c r="R329">
        <v>0</v>
      </c>
    </row>
    <row r="330" spans="1:18" x14ac:dyDescent="0.25">
      <c r="A330" t="s">
        <v>10</v>
      </c>
      <c r="B330" t="s">
        <v>8</v>
      </c>
      <c r="C330">
        <v>3</v>
      </c>
      <c r="D330">
        <v>2</v>
      </c>
      <c r="E330">
        <v>2</v>
      </c>
      <c r="F330" s="15">
        <v>45985</v>
      </c>
      <c r="G330" t="s">
        <v>183</v>
      </c>
      <c r="H330">
        <v>4</v>
      </c>
      <c r="I330">
        <v>2025</v>
      </c>
      <c r="J330">
        <v>11</v>
      </c>
      <c r="K330" t="s">
        <v>87</v>
      </c>
      <c r="L330" t="s">
        <v>14</v>
      </c>
      <c r="M330" t="s">
        <v>6</v>
      </c>
      <c r="N330" t="b">
        <v>0</v>
      </c>
      <c r="O330">
        <v>1</v>
      </c>
      <c r="P330">
        <v>0</v>
      </c>
      <c r="Q330">
        <v>0</v>
      </c>
      <c r="R330">
        <v>0</v>
      </c>
    </row>
    <row r="331" spans="1:18" x14ac:dyDescent="0.25">
      <c r="A331" t="s">
        <v>10</v>
      </c>
      <c r="B331" t="s">
        <v>8</v>
      </c>
      <c r="C331">
        <v>3</v>
      </c>
      <c r="D331">
        <v>2</v>
      </c>
      <c r="E331">
        <v>2</v>
      </c>
      <c r="F331" s="15">
        <v>45985</v>
      </c>
      <c r="G331" t="s">
        <v>183</v>
      </c>
      <c r="H331">
        <v>4</v>
      </c>
      <c r="I331">
        <v>2025</v>
      </c>
      <c r="J331">
        <v>11</v>
      </c>
      <c r="K331" t="s">
        <v>87</v>
      </c>
      <c r="L331" t="s">
        <v>13</v>
      </c>
      <c r="M331" t="s">
        <v>6</v>
      </c>
      <c r="N331" t="b">
        <v>0</v>
      </c>
      <c r="O331">
        <v>1</v>
      </c>
      <c r="P331">
        <v>0</v>
      </c>
      <c r="Q331">
        <v>0</v>
      </c>
      <c r="R331">
        <v>0</v>
      </c>
    </row>
    <row r="332" spans="1:18" x14ac:dyDescent="0.25">
      <c r="A332" t="s">
        <v>10</v>
      </c>
      <c r="B332" t="s">
        <v>8</v>
      </c>
      <c r="C332">
        <v>3</v>
      </c>
      <c r="D332">
        <v>2</v>
      </c>
      <c r="E332">
        <v>2</v>
      </c>
      <c r="F332" s="15">
        <v>45985</v>
      </c>
      <c r="G332" t="s">
        <v>183</v>
      </c>
      <c r="H332">
        <v>4</v>
      </c>
      <c r="I332">
        <v>2025</v>
      </c>
      <c r="J332">
        <v>11</v>
      </c>
      <c r="K332" t="s">
        <v>87</v>
      </c>
      <c r="L332" t="s">
        <v>22</v>
      </c>
      <c r="M332" t="s">
        <v>6</v>
      </c>
      <c r="N332" t="b">
        <v>0</v>
      </c>
      <c r="O332">
        <v>1</v>
      </c>
      <c r="P332">
        <v>0</v>
      </c>
      <c r="Q332">
        <v>0</v>
      </c>
      <c r="R332">
        <v>0</v>
      </c>
    </row>
    <row r="333" spans="1:18" x14ac:dyDescent="0.25">
      <c r="A333" t="s">
        <v>22</v>
      </c>
      <c r="B333" t="s">
        <v>6</v>
      </c>
      <c r="C333">
        <v>1</v>
      </c>
      <c r="D333">
        <v>2</v>
      </c>
      <c r="E333">
        <v>2</v>
      </c>
      <c r="F333" s="15">
        <v>45985</v>
      </c>
      <c r="G333" t="s">
        <v>183</v>
      </c>
      <c r="H333">
        <v>4</v>
      </c>
      <c r="I333">
        <v>2025</v>
      </c>
      <c r="J333">
        <v>11</v>
      </c>
      <c r="K333" t="s">
        <v>87</v>
      </c>
      <c r="L333" t="s">
        <v>14</v>
      </c>
      <c r="M333" t="s">
        <v>6</v>
      </c>
      <c r="N333" t="b">
        <v>0</v>
      </c>
      <c r="O333">
        <v>0</v>
      </c>
      <c r="P333">
        <v>1</v>
      </c>
      <c r="Q333">
        <v>0</v>
      </c>
      <c r="R333">
        <v>0</v>
      </c>
    </row>
    <row r="334" spans="1:18" x14ac:dyDescent="0.25">
      <c r="A334" t="s">
        <v>22</v>
      </c>
      <c r="B334" t="s">
        <v>6</v>
      </c>
      <c r="C334">
        <v>1</v>
      </c>
      <c r="D334">
        <v>2</v>
      </c>
      <c r="E334">
        <v>2</v>
      </c>
      <c r="F334" s="15">
        <v>45985</v>
      </c>
      <c r="G334" t="s">
        <v>183</v>
      </c>
      <c r="H334">
        <v>4</v>
      </c>
      <c r="I334">
        <v>2025</v>
      </c>
      <c r="J334">
        <v>11</v>
      </c>
      <c r="K334" t="s">
        <v>87</v>
      </c>
      <c r="L334" t="s">
        <v>13</v>
      </c>
      <c r="M334" t="s">
        <v>6</v>
      </c>
      <c r="N334" t="b">
        <v>0</v>
      </c>
      <c r="O334">
        <v>0</v>
      </c>
      <c r="P334">
        <v>1</v>
      </c>
      <c r="Q334">
        <v>0</v>
      </c>
      <c r="R334">
        <v>0</v>
      </c>
    </row>
    <row r="335" spans="1:18" x14ac:dyDescent="0.25">
      <c r="A335" t="s">
        <v>22</v>
      </c>
      <c r="B335" t="s">
        <v>6</v>
      </c>
      <c r="C335">
        <v>1</v>
      </c>
      <c r="D335">
        <v>2</v>
      </c>
      <c r="E335">
        <v>2</v>
      </c>
      <c r="F335" s="15">
        <v>45985</v>
      </c>
      <c r="G335" t="s">
        <v>183</v>
      </c>
      <c r="H335">
        <v>4</v>
      </c>
      <c r="I335">
        <v>2025</v>
      </c>
      <c r="J335">
        <v>11</v>
      </c>
      <c r="K335" t="s">
        <v>87</v>
      </c>
      <c r="L335" t="s">
        <v>10</v>
      </c>
      <c r="M335" t="s">
        <v>8</v>
      </c>
      <c r="N335" t="b">
        <v>0</v>
      </c>
      <c r="O335">
        <v>0</v>
      </c>
      <c r="P335">
        <v>1</v>
      </c>
      <c r="Q335">
        <v>0</v>
      </c>
      <c r="R335">
        <v>1</v>
      </c>
    </row>
    <row r="336" spans="1:18" x14ac:dyDescent="0.25">
      <c r="A336" t="s">
        <v>14</v>
      </c>
      <c r="B336" t="s">
        <v>6</v>
      </c>
      <c r="C336">
        <v>3</v>
      </c>
      <c r="D336">
        <v>2</v>
      </c>
      <c r="E336">
        <v>2</v>
      </c>
      <c r="F336" s="15">
        <v>45999</v>
      </c>
      <c r="G336" t="s">
        <v>185</v>
      </c>
      <c r="H336">
        <v>4</v>
      </c>
      <c r="I336">
        <v>2025</v>
      </c>
      <c r="J336">
        <v>12</v>
      </c>
      <c r="K336" t="s">
        <v>87</v>
      </c>
      <c r="L336" t="s">
        <v>436</v>
      </c>
      <c r="M336" t="s">
        <v>6</v>
      </c>
      <c r="N336" t="b">
        <v>0</v>
      </c>
      <c r="O336">
        <v>0</v>
      </c>
      <c r="P336">
        <v>1</v>
      </c>
      <c r="Q336">
        <v>0</v>
      </c>
      <c r="R336">
        <v>0</v>
      </c>
    </row>
    <row r="337" spans="1:18" x14ac:dyDescent="0.25">
      <c r="A337" t="s">
        <v>14</v>
      </c>
      <c r="B337" t="s">
        <v>6</v>
      </c>
      <c r="C337">
        <v>3</v>
      </c>
      <c r="D337">
        <v>2</v>
      </c>
      <c r="E337">
        <v>2</v>
      </c>
      <c r="F337" s="15">
        <v>45999</v>
      </c>
      <c r="G337" t="s">
        <v>185</v>
      </c>
      <c r="H337">
        <v>4</v>
      </c>
      <c r="I337">
        <v>2025</v>
      </c>
      <c r="J337">
        <v>12</v>
      </c>
      <c r="K337" t="s">
        <v>87</v>
      </c>
      <c r="L337" t="s">
        <v>20</v>
      </c>
      <c r="M337" t="s">
        <v>8</v>
      </c>
      <c r="N337" t="b">
        <v>0</v>
      </c>
      <c r="O337">
        <v>0</v>
      </c>
      <c r="P337">
        <v>1</v>
      </c>
      <c r="Q337">
        <v>0</v>
      </c>
      <c r="R337">
        <v>1</v>
      </c>
    </row>
    <row r="338" spans="1:18" x14ac:dyDescent="0.25">
      <c r="A338" t="s">
        <v>14</v>
      </c>
      <c r="B338" t="s">
        <v>6</v>
      </c>
      <c r="C338">
        <v>3</v>
      </c>
      <c r="D338">
        <v>2</v>
      </c>
      <c r="E338">
        <v>2</v>
      </c>
      <c r="F338" s="15">
        <v>45999</v>
      </c>
      <c r="G338" t="s">
        <v>185</v>
      </c>
      <c r="H338">
        <v>4</v>
      </c>
      <c r="I338">
        <v>2025</v>
      </c>
      <c r="J338">
        <v>12</v>
      </c>
      <c r="K338" t="s">
        <v>87</v>
      </c>
      <c r="L338" t="s">
        <v>29</v>
      </c>
      <c r="M338" t="s">
        <v>6</v>
      </c>
      <c r="N338" t="b">
        <v>0</v>
      </c>
      <c r="O338">
        <v>0</v>
      </c>
      <c r="P338">
        <v>1</v>
      </c>
      <c r="Q338">
        <v>0</v>
      </c>
      <c r="R338">
        <v>0</v>
      </c>
    </row>
    <row r="339" spans="1:18" x14ac:dyDescent="0.25">
      <c r="A339" t="s">
        <v>436</v>
      </c>
      <c r="B339" t="s">
        <v>6</v>
      </c>
      <c r="C339">
        <v>2</v>
      </c>
      <c r="D339">
        <v>2</v>
      </c>
      <c r="E339">
        <v>2</v>
      </c>
      <c r="F339" s="15">
        <v>45999</v>
      </c>
      <c r="G339" t="s">
        <v>185</v>
      </c>
      <c r="H339">
        <v>4</v>
      </c>
      <c r="I339">
        <v>2025</v>
      </c>
      <c r="J339">
        <v>12</v>
      </c>
      <c r="K339" t="s">
        <v>87</v>
      </c>
      <c r="L339" t="s">
        <v>14</v>
      </c>
      <c r="M339" t="s">
        <v>6</v>
      </c>
      <c r="N339" t="b">
        <v>0</v>
      </c>
      <c r="O339">
        <v>0</v>
      </c>
      <c r="P339">
        <v>1</v>
      </c>
      <c r="Q339">
        <v>0</v>
      </c>
      <c r="R339">
        <v>0</v>
      </c>
    </row>
    <row r="340" spans="1:18" x14ac:dyDescent="0.25">
      <c r="A340" t="s">
        <v>436</v>
      </c>
      <c r="B340" t="s">
        <v>6</v>
      </c>
      <c r="C340">
        <v>2</v>
      </c>
      <c r="D340">
        <v>2</v>
      </c>
      <c r="E340">
        <v>2</v>
      </c>
      <c r="F340" s="15">
        <v>45999</v>
      </c>
      <c r="G340" t="s">
        <v>185</v>
      </c>
      <c r="H340">
        <v>4</v>
      </c>
      <c r="I340">
        <v>2025</v>
      </c>
      <c r="J340">
        <v>12</v>
      </c>
      <c r="K340" t="s">
        <v>87</v>
      </c>
      <c r="L340" t="s">
        <v>20</v>
      </c>
      <c r="M340" t="s">
        <v>8</v>
      </c>
      <c r="N340" t="b">
        <v>0</v>
      </c>
      <c r="O340">
        <v>0</v>
      </c>
      <c r="P340">
        <v>1</v>
      </c>
      <c r="Q340">
        <v>0</v>
      </c>
      <c r="R340">
        <v>1</v>
      </c>
    </row>
    <row r="341" spans="1:18" x14ac:dyDescent="0.25">
      <c r="A341" t="s">
        <v>436</v>
      </c>
      <c r="B341" t="s">
        <v>6</v>
      </c>
      <c r="C341">
        <v>2</v>
      </c>
      <c r="D341">
        <v>2</v>
      </c>
      <c r="E341">
        <v>2</v>
      </c>
      <c r="F341" s="15">
        <v>45999</v>
      </c>
      <c r="G341" t="s">
        <v>185</v>
      </c>
      <c r="H341">
        <v>4</v>
      </c>
      <c r="I341">
        <v>2025</v>
      </c>
      <c r="J341">
        <v>12</v>
      </c>
      <c r="K341" t="s">
        <v>87</v>
      </c>
      <c r="L341" t="s">
        <v>29</v>
      </c>
      <c r="M341" t="s">
        <v>6</v>
      </c>
      <c r="N341" t="b">
        <v>0</v>
      </c>
      <c r="O341">
        <v>0</v>
      </c>
      <c r="P341">
        <v>1</v>
      </c>
      <c r="Q341">
        <v>0</v>
      </c>
      <c r="R341">
        <v>0</v>
      </c>
    </row>
    <row r="342" spans="1:18" x14ac:dyDescent="0.25">
      <c r="A342" t="s">
        <v>20</v>
      </c>
      <c r="B342" t="s">
        <v>8</v>
      </c>
      <c r="C342">
        <v>1</v>
      </c>
      <c r="D342">
        <v>2</v>
      </c>
      <c r="E342">
        <v>2</v>
      </c>
      <c r="F342" s="15">
        <v>45999</v>
      </c>
      <c r="G342" t="s">
        <v>185</v>
      </c>
      <c r="H342">
        <v>4</v>
      </c>
      <c r="I342">
        <v>2025</v>
      </c>
      <c r="J342">
        <v>12</v>
      </c>
      <c r="K342" t="s">
        <v>87</v>
      </c>
      <c r="L342" t="s">
        <v>14</v>
      </c>
      <c r="M342" t="s">
        <v>6</v>
      </c>
      <c r="N342" t="b">
        <v>0</v>
      </c>
      <c r="O342">
        <v>1</v>
      </c>
      <c r="P342">
        <v>0</v>
      </c>
      <c r="Q342">
        <v>0</v>
      </c>
      <c r="R342">
        <v>0</v>
      </c>
    </row>
    <row r="343" spans="1:18" x14ac:dyDescent="0.25">
      <c r="A343" t="s">
        <v>20</v>
      </c>
      <c r="B343" t="s">
        <v>8</v>
      </c>
      <c r="C343">
        <v>1</v>
      </c>
      <c r="D343">
        <v>2</v>
      </c>
      <c r="E343">
        <v>2</v>
      </c>
      <c r="F343" s="15">
        <v>45999</v>
      </c>
      <c r="G343" t="s">
        <v>185</v>
      </c>
      <c r="H343">
        <v>4</v>
      </c>
      <c r="I343">
        <v>2025</v>
      </c>
      <c r="J343">
        <v>12</v>
      </c>
      <c r="K343" t="s">
        <v>87</v>
      </c>
      <c r="L343" t="s">
        <v>436</v>
      </c>
      <c r="M343" t="s">
        <v>6</v>
      </c>
      <c r="N343" t="b">
        <v>0</v>
      </c>
      <c r="O343">
        <v>1</v>
      </c>
      <c r="P343">
        <v>0</v>
      </c>
      <c r="Q343">
        <v>0</v>
      </c>
      <c r="R343">
        <v>0</v>
      </c>
    </row>
    <row r="344" spans="1:18" x14ac:dyDescent="0.25">
      <c r="A344" t="s">
        <v>20</v>
      </c>
      <c r="B344" t="s">
        <v>8</v>
      </c>
      <c r="C344">
        <v>1</v>
      </c>
      <c r="D344">
        <v>2</v>
      </c>
      <c r="E344">
        <v>2</v>
      </c>
      <c r="F344" s="15">
        <v>45999</v>
      </c>
      <c r="G344" t="s">
        <v>185</v>
      </c>
      <c r="H344">
        <v>4</v>
      </c>
      <c r="I344">
        <v>2025</v>
      </c>
      <c r="J344">
        <v>12</v>
      </c>
      <c r="K344" t="s">
        <v>87</v>
      </c>
      <c r="L344" t="s">
        <v>29</v>
      </c>
      <c r="M344" t="s">
        <v>6</v>
      </c>
      <c r="N344" t="b">
        <v>0</v>
      </c>
      <c r="O344">
        <v>1</v>
      </c>
      <c r="P344">
        <v>0</v>
      </c>
      <c r="Q344">
        <v>0</v>
      </c>
      <c r="R344">
        <v>0</v>
      </c>
    </row>
    <row r="345" spans="1:18" x14ac:dyDescent="0.25">
      <c r="A345" t="s">
        <v>29</v>
      </c>
      <c r="B345" t="s">
        <v>6</v>
      </c>
      <c r="C345">
        <v>4</v>
      </c>
      <c r="D345">
        <v>2</v>
      </c>
      <c r="E345">
        <v>2</v>
      </c>
      <c r="F345" s="15">
        <v>45999</v>
      </c>
      <c r="G345" t="s">
        <v>185</v>
      </c>
      <c r="H345">
        <v>4</v>
      </c>
      <c r="I345">
        <v>2025</v>
      </c>
      <c r="J345">
        <v>12</v>
      </c>
      <c r="K345" t="s">
        <v>87</v>
      </c>
      <c r="L345" t="s">
        <v>14</v>
      </c>
      <c r="M345" t="s">
        <v>6</v>
      </c>
      <c r="N345" t="b">
        <v>0</v>
      </c>
      <c r="O345">
        <v>0</v>
      </c>
      <c r="P345">
        <v>1</v>
      </c>
      <c r="Q345">
        <v>0</v>
      </c>
      <c r="R345">
        <v>0</v>
      </c>
    </row>
    <row r="346" spans="1:18" x14ac:dyDescent="0.25">
      <c r="A346" t="s">
        <v>29</v>
      </c>
      <c r="B346" t="s">
        <v>6</v>
      </c>
      <c r="C346">
        <v>4</v>
      </c>
      <c r="D346">
        <v>2</v>
      </c>
      <c r="E346">
        <v>2</v>
      </c>
      <c r="F346" s="15">
        <v>45999</v>
      </c>
      <c r="G346" t="s">
        <v>185</v>
      </c>
      <c r="H346">
        <v>4</v>
      </c>
      <c r="I346">
        <v>2025</v>
      </c>
      <c r="J346">
        <v>12</v>
      </c>
      <c r="K346" t="s">
        <v>87</v>
      </c>
      <c r="L346" t="s">
        <v>436</v>
      </c>
      <c r="M346" t="s">
        <v>6</v>
      </c>
      <c r="N346" t="b">
        <v>0</v>
      </c>
      <c r="O346">
        <v>0</v>
      </c>
      <c r="P346">
        <v>1</v>
      </c>
      <c r="Q346">
        <v>0</v>
      </c>
      <c r="R346">
        <v>0</v>
      </c>
    </row>
    <row r="347" spans="1:18" x14ac:dyDescent="0.25">
      <c r="A347" t="s">
        <v>29</v>
      </c>
      <c r="B347" t="s">
        <v>6</v>
      </c>
      <c r="C347">
        <v>4</v>
      </c>
      <c r="D347">
        <v>2</v>
      </c>
      <c r="E347">
        <v>2</v>
      </c>
      <c r="F347" s="15">
        <v>45999</v>
      </c>
      <c r="G347" t="s">
        <v>185</v>
      </c>
      <c r="H347">
        <v>4</v>
      </c>
      <c r="I347">
        <v>2025</v>
      </c>
      <c r="J347">
        <v>12</v>
      </c>
      <c r="K347" t="s">
        <v>87</v>
      </c>
      <c r="L347" t="s">
        <v>20</v>
      </c>
      <c r="M347" t="s">
        <v>8</v>
      </c>
      <c r="N347" t="b">
        <v>0</v>
      </c>
      <c r="O347">
        <v>0</v>
      </c>
      <c r="P347">
        <v>1</v>
      </c>
      <c r="Q347">
        <v>0</v>
      </c>
      <c r="R347">
        <v>1</v>
      </c>
    </row>
    <row r="348" spans="1:18" x14ac:dyDescent="0.25">
      <c r="A348" t="s">
        <v>14</v>
      </c>
      <c r="B348" t="s">
        <v>8</v>
      </c>
      <c r="D348">
        <v>3</v>
      </c>
      <c r="E348">
        <v>1</v>
      </c>
      <c r="F348" s="15">
        <v>45859</v>
      </c>
      <c r="G348" t="s">
        <v>190</v>
      </c>
      <c r="H348">
        <v>4</v>
      </c>
      <c r="I348">
        <v>2025</v>
      </c>
      <c r="J348">
        <v>7</v>
      </c>
      <c r="K348" t="s">
        <v>87</v>
      </c>
      <c r="L348" t="s">
        <v>76</v>
      </c>
      <c r="M348" t="s">
        <v>6</v>
      </c>
      <c r="N348" t="b">
        <v>0</v>
      </c>
      <c r="O348">
        <v>1</v>
      </c>
      <c r="P348">
        <v>0</v>
      </c>
      <c r="Q348">
        <v>0</v>
      </c>
      <c r="R348">
        <v>0</v>
      </c>
    </row>
    <row r="349" spans="1:18" x14ac:dyDescent="0.25">
      <c r="A349" t="s">
        <v>14</v>
      </c>
      <c r="B349" t="s">
        <v>8</v>
      </c>
      <c r="D349">
        <v>3</v>
      </c>
      <c r="E349">
        <v>1</v>
      </c>
      <c r="F349" s="15">
        <v>45859</v>
      </c>
      <c r="G349" t="s">
        <v>190</v>
      </c>
      <c r="H349">
        <v>4</v>
      </c>
      <c r="I349">
        <v>2025</v>
      </c>
      <c r="J349">
        <v>7</v>
      </c>
      <c r="K349" t="s">
        <v>87</v>
      </c>
      <c r="L349" t="s">
        <v>76</v>
      </c>
      <c r="M349" t="s">
        <v>6</v>
      </c>
      <c r="N349" t="b">
        <v>0</v>
      </c>
      <c r="O349">
        <v>1</v>
      </c>
      <c r="P349">
        <v>0</v>
      </c>
      <c r="Q349">
        <v>0</v>
      </c>
      <c r="R349">
        <v>0</v>
      </c>
    </row>
    <row r="350" spans="1:18" x14ac:dyDescent="0.25">
      <c r="A350" t="s">
        <v>14</v>
      </c>
      <c r="B350" t="s">
        <v>8</v>
      </c>
      <c r="D350">
        <v>3</v>
      </c>
      <c r="E350">
        <v>1</v>
      </c>
      <c r="F350" s="15">
        <v>45859</v>
      </c>
      <c r="G350" t="s">
        <v>190</v>
      </c>
      <c r="H350">
        <v>4</v>
      </c>
      <c r="I350">
        <v>2025</v>
      </c>
      <c r="J350">
        <v>7</v>
      </c>
      <c r="K350" t="s">
        <v>87</v>
      </c>
      <c r="L350" t="s">
        <v>76</v>
      </c>
      <c r="M350" t="s">
        <v>6</v>
      </c>
      <c r="N350" t="b">
        <v>0</v>
      </c>
      <c r="O350">
        <v>1</v>
      </c>
      <c r="P350">
        <v>0</v>
      </c>
      <c r="Q350">
        <v>0</v>
      </c>
      <c r="R350">
        <v>0</v>
      </c>
    </row>
    <row r="351" spans="1:18" x14ac:dyDescent="0.25">
      <c r="A351" t="s">
        <v>76</v>
      </c>
      <c r="B351" t="s">
        <v>6</v>
      </c>
      <c r="D351">
        <v>3</v>
      </c>
      <c r="E351">
        <v>1</v>
      </c>
      <c r="F351" s="15">
        <v>45859</v>
      </c>
      <c r="G351" t="s">
        <v>190</v>
      </c>
      <c r="H351">
        <v>4</v>
      </c>
      <c r="I351">
        <v>2025</v>
      </c>
      <c r="J351">
        <v>7</v>
      </c>
      <c r="K351" t="s">
        <v>87</v>
      </c>
      <c r="L351" t="s">
        <v>14</v>
      </c>
      <c r="M351" t="s">
        <v>8</v>
      </c>
      <c r="N351" t="b">
        <v>0</v>
      </c>
      <c r="O351">
        <v>0</v>
      </c>
      <c r="P351">
        <v>1</v>
      </c>
      <c r="Q351">
        <v>0</v>
      </c>
      <c r="R351">
        <v>1</v>
      </c>
    </row>
    <row r="352" spans="1:18" x14ac:dyDescent="0.25">
      <c r="A352" t="s">
        <v>76</v>
      </c>
      <c r="B352" t="s">
        <v>6</v>
      </c>
      <c r="D352">
        <v>3</v>
      </c>
      <c r="E352">
        <v>1</v>
      </c>
      <c r="F352" s="15">
        <v>45859</v>
      </c>
      <c r="G352" t="s">
        <v>190</v>
      </c>
      <c r="H352">
        <v>4</v>
      </c>
      <c r="I352">
        <v>2025</v>
      </c>
      <c r="J352">
        <v>7</v>
      </c>
      <c r="K352" t="s">
        <v>87</v>
      </c>
      <c r="L352" t="s">
        <v>14</v>
      </c>
      <c r="M352" t="s">
        <v>8</v>
      </c>
      <c r="N352" t="b">
        <v>0</v>
      </c>
      <c r="O352">
        <v>0</v>
      </c>
      <c r="P352">
        <v>1</v>
      </c>
      <c r="Q352">
        <v>0</v>
      </c>
      <c r="R352">
        <v>1</v>
      </c>
    </row>
    <row r="353" spans="1:18" x14ac:dyDescent="0.25">
      <c r="A353" t="s">
        <v>76</v>
      </c>
      <c r="B353" t="s">
        <v>6</v>
      </c>
      <c r="D353">
        <v>3</v>
      </c>
      <c r="E353">
        <v>1</v>
      </c>
      <c r="F353" s="15">
        <v>45859</v>
      </c>
      <c r="G353" t="s">
        <v>190</v>
      </c>
      <c r="H353">
        <v>4</v>
      </c>
      <c r="I353">
        <v>2025</v>
      </c>
      <c r="J353">
        <v>7</v>
      </c>
      <c r="K353" t="s">
        <v>87</v>
      </c>
      <c r="L353" t="s">
        <v>14</v>
      </c>
      <c r="M353" t="s">
        <v>8</v>
      </c>
      <c r="N353" t="b">
        <v>0</v>
      </c>
      <c r="O353">
        <v>0</v>
      </c>
      <c r="P353">
        <v>1</v>
      </c>
      <c r="Q353">
        <v>0</v>
      </c>
      <c r="R353">
        <v>1</v>
      </c>
    </row>
    <row r="354" spans="1:18" x14ac:dyDescent="0.25">
      <c r="A354" t="s">
        <v>14</v>
      </c>
      <c r="B354" t="s">
        <v>6</v>
      </c>
      <c r="C354">
        <v>3</v>
      </c>
      <c r="D354">
        <v>3</v>
      </c>
      <c r="E354">
        <v>1</v>
      </c>
      <c r="F354" s="15">
        <v>45894</v>
      </c>
      <c r="G354" t="s">
        <v>195</v>
      </c>
      <c r="H354">
        <v>5</v>
      </c>
      <c r="I354">
        <v>2025</v>
      </c>
      <c r="J354">
        <v>8</v>
      </c>
      <c r="K354" t="s">
        <v>87</v>
      </c>
      <c r="L354" t="s">
        <v>13</v>
      </c>
      <c r="M354" t="s">
        <v>8</v>
      </c>
      <c r="N354" t="b">
        <v>0</v>
      </c>
      <c r="O354">
        <v>0</v>
      </c>
      <c r="P354">
        <v>1</v>
      </c>
      <c r="Q354">
        <v>0</v>
      </c>
      <c r="R354">
        <v>1</v>
      </c>
    </row>
    <row r="355" spans="1:18" x14ac:dyDescent="0.25">
      <c r="A355" t="s">
        <v>14</v>
      </c>
      <c r="B355" t="s">
        <v>6</v>
      </c>
      <c r="C355">
        <v>3</v>
      </c>
      <c r="D355">
        <v>3</v>
      </c>
      <c r="E355">
        <v>1</v>
      </c>
      <c r="F355" s="15">
        <v>45894</v>
      </c>
      <c r="G355" t="s">
        <v>195</v>
      </c>
      <c r="H355">
        <v>5</v>
      </c>
      <c r="I355">
        <v>2025</v>
      </c>
      <c r="J355">
        <v>8</v>
      </c>
      <c r="K355" t="s">
        <v>87</v>
      </c>
      <c r="L355" t="s">
        <v>10</v>
      </c>
      <c r="M355" t="s">
        <v>6</v>
      </c>
      <c r="N355" t="b">
        <v>0</v>
      </c>
      <c r="O355">
        <v>0</v>
      </c>
      <c r="P355">
        <v>1</v>
      </c>
      <c r="Q355">
        <v>0</v>
      </c>
      <c r="R355">
        <v>0</v>
      </c>
    </row>
    <row r="356" spans="1:18" x14ac:dyDescent="0.25">
      <c r="A356" t="s">
        <v>14</v>
      </c>
      <c r="B356" t="s">
        <v>6</v>
      </c>
      <c r="C356">
        <v>3</v>
      </c>
      <c r="D356">
        <v>3</v>
      </c>
      <c r="E356">
        <v>1</v>
      </c>
      <c r="F356" s="15">
        <v>45894</v>
      </c>
      <c r="G356" t="s">
        <v>195</v>
      </c>
      <c r="H356">
        <v>5</v>
      </c>
      <c r="I356">
        <v>2025</v>
      </c>
      <c r="J356">
        <v>8</v>
      </c>
      <c r="K356" t="s">
        <v>87</v>
      </c>
      <c r="L356" t="s">
        <v>433</v>
      </c>
      <c r="M356" t="s">
        <v>6</v>
      </c>
      <c r="N356" t="b">
        <v>0</v>
      </c>
      <c r="O356">
        <v>0</v>
      </c>
      <c r="P356">
        <v>1</v>
      </c>
      <c r="Q356">
        <v>0</v>
      </c>
      <c r="R356">
        <v>0</v>
      </c>
    </row>
    <row r="357" spans="1:18" x14ac:dyDescent="0.25">
      <c r="A357" t="s">
        <v>14</v>
      </c>
      <c r="B357" t="s">
        <v>6</v>
      </c>
      <c r="C357">
        <v>3</v>
      </c>
      <c r="D357">
        <v>3</v>
      </c>
      <c r="E357">
        <v>1</v>
      </c>
      <c r="F357" s="15">
        <v>45894</v>
      </c>
      <c r="G357" t="s">
        <v>195</v>
      </c>
      <c r="H357">
        <v>5</v>
      </c>
      <c r="I357">
        <v>2025</v>
      </c>
      <c r="J357">
        <v>8</v>
      </c>
      <c r="K357" t="s">
        <v>87</v>
      </c>
      <c r="L357" t="s">
        <v>42</v>
      </c>
      <c r="M357" t="s">
        <v>6</v>
      </c>
      <c r="N357" t="b">
        <v>0</v>
      </c>
      <c r="O357">
        <v>0</v>
      </c>
      <c r="P357">
        <v>1</v>
      </c>
      <c r="Q357">
        <v>0</v>
      </c>
      <c r="R357">
        <v>0</v>
      </c>
    </row>
    <row r="358" spans="1:18" x14ac:dyDescent="0.25">
      <c r="A358" t="s">
        <v>13</v>
      </c>
      <c r="B358" t="s">
        <v>8</v>
      </c>
      <c r="C358">
        <v>4</v>
      </c>
      <c r="D358">
        <v>3</v>
      </c>
      <c r="E358">
        <v>1</v>
      </c>
      <c r="F358" s="15">
        <v>45894</v>
      </c>
      <c r="G358" t="s">
        <v>195</v>
      </c>
      <c r="H358">
        <v>5</v>
      </c>
      <c r="I358">
        <v>2025</v>
      </c>
      <c r="J358">
        <v>8</v>
      </c>
      <c r="K358" t="s">
        <v>87</v>
      </c>
      <c r="L358" t="s">
        <v>14</v>
      </c>
      <c r="M358" t="s">
        <v>6</v>
      </c>
      <c r="N358" t="b">
        <v>0</v>
      </c>
      <c r="O358">
        <v>1</v>
      </c>
      <c r="P358">
        <v>0</v>
      </c>
      <c r="Q358">
        <v>0</v>
      </c>
      <c r="R358">
        <v>0</v>
      </c>
    </row>
    <row r="359" spans="1:18" x14ac:dyDescent="0.25">
      <c r="A359" t="s">
        <v>13</v>
      </c>
      <c r="B359" t="s">
        <v>8</v>
      </c>
      <c r="C359">
        <v>4</v>
      </c>
      <c r="D359">
        <v>3</v>
      </c>
      <c r="E359">
        <v>1</v>
      </c>
      <c r="F359" s="15">
        <v>45894</v>
      </c>
      <c r="G359" t="s">
        <v>195</v>
      </c>
      <c r="H359">
        <v>5</v>
      </c>
      <c r="I359">
        <v>2025</v>
      </c>
      <c r="J359">
        <v>8</v>
      </c>
      <c r="K359" t="s">
        <v>87</v>
      </c>
      <c r="L359" t="s">
        <v>10</v>
      </c>
      <c r="M359" t="s">
        <v>6</v>
      </c>
      <c r="N359" t="b">
        <v>0</v>
      </c>
      <c r="O359">
        <v>1</v>
      </c>
      <c r="P359">
        <v>0</v>
      </c>
      <c r="Q359">
        <v>0</v>
      </c>
      <c r="R359">
        <v>0</v>
      </c>
    </row>
    <row r="360" spans="1:18" x14ac:dyDescent="0.25">
      <c r="A360" t="s">
        <v>13</v>
      </c>
      <c r="B360" t="s">
        <v>8</v>
      </c>
      <c r="C360">
        <v>4</v>
      </c>
      <c r="D360">
        <v>3</v>
      </c>
      <c r="E360">
        <v>1</v>
      </c>
      <c r="F360" s="15">
        <v>45894</v>
      </c>
      <c r="G360" t="s">
        <v>195</v>
      </c>
      <c r="H360">
        <v>5</v>
      </c>
      <c r="I360">
        <v>2025</v>
      </c>
      <c r="J360">
        <v>8</v>
      </c>
      <c r="K360" t="s">
        <v>87</v>
      </c>
      <c r="L360" t="s">
        <v>433</v>
      </c>
      <c r="M360" t="s">
        <v>6</v>
      </c>
      <c r="N360" t="b">
        <v>0</v>
      </c>
      <c r="O360">
        <v>1</v>
      </c>
      <c r="P360">
        <v>0</v>
      </c>
      <c r="Q360">
        <v>0</v>
      </c>
      <c r="R360">
        <v>0</v>
      </c>
    </row>
    <row r="361" spans="1:18" x14ac:dyDescent="0.25">
      <c r="A361" t="s">
        <v>13</v>
      </c>
      <c r="B361" t="s">
        <v>8</v>
      </c>
      <c r="C361">
        <v>4</v>
      </c>
      <c r="D361">
        <v>3</v>
      </c>
      <c r="E361">
        <v>1</v>
      </c>
      <c r="F361" s="15">
        <v>45894</v>
      </c>
      <c r="G361" t="s">
        <v>195</v>
      </c>
      <c r="H361">
        <v>5</v>
      </c>
      <c r="I361">
        <v>2025</v>
      </c>
      <c r="J361">
        <v>8</v>
      </c>
      <c r="K361" t="s">
        <v>87</v>
      </c>
      <c r="L361" t="s">
        <v>42</v>
      </c>
      <c r="M361" t="s">
        <v>6</v>
      </c>
      <c r="N361" t="b">
        <v>0</v>
      </c>
      <c r="O361">
        <v>1</v>
      </c>
      <c r="P361">
        <v>0</v>
      </c>
      <c r="Q361">
        <v>0</v>
      </c>
      <c r="R361">
        <v>0</v>
      </c>
    </row>
    <row r="362" spans="1:18" x14ac:dyDescent="0.25">
      <c r="A362" t="s">
        <v>10</v>
      </c>
      <c r="B362" t="s">
        <v>6</v>
      </c>
      <c r="C362">
        <v>1</v>
      </c>
      <c r="D362">
        <v>3</v>
      </c>
      <c r="E362">
        <v>1</v>
      </c>
      <c r="F362" s="15">
        <v>45894</v>
      </c>
      <c r="G362" t="s">
        <v>195</v>
      </c>
      <c r="H362">
        <v>5</v>
      </c>
      <c r="I362">
        <v>2025</v>
      </c>
      <c r="J362">
        <v>8</v>
      </c>
      <c r="K362" t="s">
        <v>87</v>
      </c>
      <c r="L362" t="s">
        <v>14</v>
      </c>
      <c r="M362" t="s">
        <v>6</v>
      </c>
      <c r="N362" t="b">
        <v>0</v>
      </c>
      <c r="O362">
        <v>0</v>
      </c>
      <c r="P362">
        <v>1</v>
      </c>
      <c r="Q362">
        <v>0</v>
      </c>
      <c r="R362">
        <v>0</v>
      </c>
    </row>
    <row r="363" spans="1:18" x14ac:dyDescent="0.25">
      <c r="A363" t="s">
        <v>10</v>
      </c>
      <c r="B363" t="s">
        <v>6</v>
      </c>
      <c r="C363">
        <v>1</v>
      </c>
      <c r="D363">
        <v>3</v>
      </c>
      <c r="E363">
        <v>1</v>
      </c>
      <c r="F363" s="15">
        <v>45894</v>
      </c>
      <c r="G363" t="s">
        <v>195</v>
      </c>
      <c r="H363">
        <v>5</v>
      </c>
      <c r="I363">
        <v>2025</v>
      </c>
      <c r="J363">
        <v>8</v>
      </c>
      <c r="K363" t="s">
        <v>87</v>
      </c>
      <c r="L363" t="s">
        <v>13</v>
      </c>
      <c r="M363" t="s">
        <v>8</v>
      </c>
      <c r="N363" t="b">
        <v>0</v>
      </c>
      <c r="O363">
        <v>0</v>
      </c>
      <c r="P363">
        <v>1</v>
      </c>
      <c r="Q363">
        <v>0</v>
      </c>
      <c r="R363">
        <v>1</v>
      </c>
    </row>
    <row r="364" spans="1:18" x14ac:dyDescent="0.25">
      <c r="A364" t="s">
        <v>10</v>
      </c>
      <c r="B364" t="s">
        <v>6</v>
      </c>
      <c r="C364">
        <v>1</v>
      </c>
      <c r="D364">
        <v>3</v>
      </c>
      <c r="E364">
        <v>1</v>
      </c>
      <c r="F364" s="15">
        <v>45894</v>
      </c>
      <c r="G364" t="s">
        <v>195</v>
      </c>
      <c r="H364">
        <v>5</v>
      </c>
      <c r="I364">
        <v>2025</v>
      </c>
      <c r="J364">
        <v>8</v>
      </c>
      <c r="K364" t="s">
        <v>87</v>
      </c>
      <c r="L364" t="s">
        <v>433</v>
      </c>
      <c r="M364" t="s">
        <v>6</v>
      </c>
      <c r="N364" t="b">
        <v>0</v>
      </c>
      <c r="O364">
        <v>0</v>
      </c>
      <c r="P364">
        <v>1</v>
      </c>
      <c r="Q364">
        <v>0</v>
      </c>
      <c r="R364">
        <v>0</v>
      </c>
    </row>
    <row r="365" spans="1:18" x14ac:dyDescent="0.25">
      <c r="A365" t="s">
        <v>10</v>
      </c>
      <c r="B365" t="s">
        <v>6</v>
      </c>
      <c r="C365">
        <v>1</v>
      </c>
      <c r="D365">
        <v>3</v>
      </c>
      <c r="E365">
        <v>1</v>
      </c>
      <c r="F365" s="15">
        <v>45894</v>
      </c>
      <c r="G365" t="s">
        <v>195</v>
      </c>
      <c r="H365">
        <v>5</v>
      </c>
      <c r="I365">
        <v>2025</v>
      </c>
      <c r="J365">
        <v>8</v>
      </c>
      <c r="K365" t="s">
        <v>87</v>
      </c>
      <c r="L365" t="s">
        <v>42</v>
      </c>
      <c r="M365" t="s">
        <v>6</v>
      </c>
      <c r="N365" t="b">
        <v>0</v>
      </c>
      <c r="O365">
        <v>0</v>
      </c>
      <c r="P365">
        <v>1</v>
      </c>
      <c r="Q365">
        <v>0</v>
      </c>
      <c r="R365">
        <v>0</v>
      </c>
    </row>
    <row r="366" spans="1:18" x14ac:dyDescent="0.25">
      <c r="A366" t="s">
        <v>433</v>
      </c>
      <c r="B366" t="s">
        <v>6</v>
      </c>
      <c r="C366">
        <v>5</v>
      </c>
      <c r="D366">
        <v>3</v>
      </c>
      <c r="E366">
        <v>1</v>
      </c>
      <c r="F366" s="15">
        <v>45894</v>
      </c>
      <c r="G366" t="s">
        <v>195</v>
      </c>
      <c r="H366">
        <v>5</v>
      </c>
      <c r="I366">
        <v>2025</v>
      </c>
      <c r="J366">
        <v>8</v>
      </c>
      <c r="K366" t="s">
        <v>87</v>
      </c>
      <c r="L366" t="s">
        <v>14</v>
      </c>
      <c r="M366" t="s">
        <v>6</v>
      </c>
      <c r="N366" t="b">
        <v>0</v>
      </c>
      <c r="O366">
        <v>0</v>
      </c>
      <c r="P366">
        <v>1</v>
      </c>
      <c r="Q366">
        <v>0</v>
      </c>
      <c r="R366">
        <v>0</v>
      </c>
    </row>
    <row r="367" spans="1:18" x14ac:dyDescent="0.25">
      <c r="A367" t="s">
        <v>433</v>
      </c>
      <c r="B367" t="s">
        <v>6</v>
      </c>
      <c r="C367">
        <v>5</v>
      </c>
      <c r="D367">
        <v>3</v>
      </c>
      <c r="E367">
        <v>1</v>
      </c>
      <c r="F367" s="15">
        <v>45894</v>
      </c>
      <c r="G367" t="s">
        <v>195</v>
      </c>
      <c r="H367">
        <v>5</v>
      </c>
      <c r="I367">
        <v>2025</v>
      </c>
      <c r="J367">
        <v>8</v>
      </c>
      <c r="K367" t="s">
        <v>87</v>
      </c>
      <c r="L367" t="s">
        <v>13</v>
      </c>
      <c r="M367" t="s">
        <v>8</v>
      </c>
      <c r="N367" t="b">
        <v>0</v>
      </c>
      <c r="O367">
        <v>0</v>
      </c>
      <c r="P367">
        <v>1</v>
      </c>
      <c r="Q367">
        <v>0</v>
      </c>
      <c r="R367">
        <v>1</v>
      </c>
    </row>
    <row r="368" spans="1:18" x14ac:dyDescent="0.25">
      <c r="A368" t="s">
        <v>433</v>
      </c>
      <c r="B368" t="s">
        <v>6</v>
      </c>
      <c r="C368">
        <v>5</v>
      </c>
      <c r="D368">
        <v>3</v>
      </c>
      <c r="E368">
        <v>1</v>
      </c>
      <c r="F368" s="15">
        <v>45894</v>
      </c>
      <c r="G368" t="s">
        <v>195</v>
      </c>
      <c r="H368">
        <v>5</v>
      </c>
      <c r="I368">
        <v>2025</v>
      </c>
      <c r="J368">
        <v>8</v>
      </c>
      <c r="K368" t="s">
        <v>87</v>
      </c>
      <c r="L368" t="s">
        <v>10</v>
      </c>
      <c r="M368" t="s">
        <v>6</v>
      </c>
      <c r="N368" t="b">
        <v>0</v>
      </c>
      <c r="O368">
        <v>0</v>
      </c>
      <c r="P368">
        <v>1</v>
      </c>
      <c r="Q368">
        <v>0</v>
      </c>
      <c r="R368">
        <v>0</v>
      </c>
    </row>
    <row r="369" spans="1:18" x14ac:dyDescent="0.25">
      <c r="A369" t="s">
        <v>433</v>
      </c>
      <c r="B369" t="s">
        <v>6</v>
      </c>
      <c r="C369">
        <v>5</v>
      </c>
      <c r="D369">
        <v>3</v>
      </c>
      <c r="E369">
        <v>1</v>
      </c>
      <c r="F369" s="15">
        <v>45894</v>
      </c>
      <c r="G369" t="s">
        <v>195</v>
      </c>
      <c r="H369">
        <v>5</v>
      </c>
      <c r="I369">
        <v>2025</v>
      </c>
      <c r="J369">
        <v>8</v>
      </c>
      <c r="K369" t="s">
        <v>87</v>
      </c>
      <c r="L369" t="s">
        <v>42</v>
      </c>
      <c r="M369" t="s">
        <v>6</v>
      </c>
      <c r="N369" t="b">
        <v>0</v>
      </c>
      <c r="O369">
        <v>0</v>
      </c>
      <c r="P369">
        <v>1</v>
      </c>
      <c r="Q369">
        <v>0</v>
      </c>
      <c r="R369">
        <v>0</v>
      </c>
    </row>
    <row r="370" spans="1:18" x14ac:dyDescent="0.25">
      <c r="A370" t="s">
        <v>42</v>
      </c>
      <c r="B370" t="s">
        <v>6</v>
      </c>
      <c r="C370">
        <v>2</v>
      </c>
      <c r="D370">
        <v>3</v>
      </c>
      <c r="E370">
        <v>1</v>
      </c>
      <c r="F370" s="15">
        <v>45894</v>
      </c>
      <c r="G370" t="s">
        <v>195</v>
      </c>
      <c r="H370">
        <v>5</v>
      </c>
      <c r="I370">
        <v>2025</v>
      </c>
      <c r="J370">
        <v>8</v>
      </c>
      <c r="K370" t="s">
        <v>87</v>
      </c>
      <c r="L370" t="s">
        <v>14</v>
      </c>
      <c r="M370" t="s">
        <v>6</v>
      </c>
      <c r="N370" t="b">
        <v>0</v>
      </c>
      <c r="O370">
        <v>0</v>
      </c>
      <c r="P370">
        <v>1</v>
      </c>
      <c r="Q370">
        <v>0</v>
      </c>
      <c r="R370">
        <v>0</v>
      </c>
    </row>
    <row r="371" spans="1:18" x14ac:dyDescent="0.25">
      <c r="A371" t="s">
        <v>42</v>
      </c>
      <c r="B371" t="s">
        <v>6</v>
      </c>
      <c r="C371">
        <v>2</v>
      </c>
      <c r="D371">
        <v>3</v>
      </c>
      <c r="E371">
        <v>1</v>
      </c>
      <c r="F371" s="15">
        <v>45894</v>
      </c>
      <c r="G371" t="s">
        <v>195</v>
      </c>
      <c r="H371">
        <v>5</v>
      </c>
      <c r="I371">
        <v>2025</v>
      </c>
      <c r="J371">
        <v>8</v>
      </c>
      <c r="K371" t="s">
        <v>87</v>
      </c>
      <c r="L371" t="s">
        <v>13</v>
      </c>
      <c r="M371" t="s">
        <v>8</v>
      </c>
      <c r="N371" t="b">
        <v>0</v>
      </c>
      <c r="O371">
        <v>0</v>
      </c>
      <c r="P371">
        <v>1</v>
      </c>
      <c r="Q371">
        <v>0</v>
      </c>
      <c r="R371">
        <v>1</v>
      </c>
    </row>
    <row r="372" spans="1:18" x14ac:dyDescent="0.25">
      <c r="A372" t="s">
        <v>42</v>
      </c>
      <c r="B372" t="s">
        <v>6</v>
      </c>
      <c r="C372">
        <v>2</v>
      </c>
      <c r="D372">
        <v>3</v>
      </c>
      <c r="E372">
        <v>1</v>
      </c>
      <c r="F372" s="15">
        <v>45894</v>
      </c>
      <c r="G372" t="s">
        <v>195</v>
      </c>
      <c r="H372">
        <v>5</v>
      </c>
      <c r="I372">
        <v>2025</v>
      </c>
      <c r="J372">
        <v>8</v>
      </c>
      <c r="K372" t="s">
        <v>87</v>
      </c>
      <c r="L372" t="s">
        <v>10</v>
      </c>
      <c r="M372" t="s">
        <v>6</v>
      </c>
      <c r="N372" t="b">
        <v>0</v>
      </c>
      <c r="O372">
        <v>0</v>
      </c>
      <c r="P372">
        <v>1</v>
      </c>
      <c r="Q372">
        <v>0</v>
      </c>
      <c r="R372">
        <v>0</v>
      </c>
    </row>
    <row r="373" spans="1:18" x14ac:dyDescent="0.25">
      <c r="A373" t="s">
        <v>42</v>
      </c>
      <c r="B373" t="s">
        <v>6</v>
      </c>
      <c r="C373">
        <v>2</v>
      </c>
      <c r="D373">
        <v>3</v>
      </c>
      <c r="E373">
        <v>1</v>
      </c>
      <c r="F373" s="15">
        <v>45894</v>
      </c>
      <c r="G373" t="s">
        <v>195</v>
      </c>
      <c r="H373">
        <v>5</v>
      </c>
      <c r="I373">
        <v>2025</v>
      </c>
      <c r="J373">
        <v>8</v>
      </c>
      <c r="K373" t="s">
        <v>87</v>
      </c>
      <c r="L373" t="s">
        <v>433</v>
      </c>
      <c r="M373" t="s">
        <v>6</v>
      </c>
      <c r="N373" t="b">
        <v>0</v>
      </c>
      <c r="O373">
        <v>0</v>
      </c>
      <c r="P373">
        <v>1</v>
      </c>
      <c r="Q373">
        <v>0</v>
      </c>
      <c r="R373">
        <v>0</v>
      </c>
    </row>
    <row r="374" spans="1:18" x14ac:dyDescent="0.25">
      <c r="A374" t="s">
        <v>14</v>
      </c>
      <c r="B374" t="s">
        <v>8</v>
      </c>
      <c r="C374">
        <v>2</v>
      </c>
      <c r="D374">
        <v>3</v>
      </c>
      <c r="E374">
        <v>1</v>
      </c>
      <c r="F374" s="15">
        <v>45915</v>
      </c>
      <c r="G374" t="s">
        <v>197</v>
      </c>
      <c r="H374">
        <v>3</v>
      </c>
      <c r="I374">
        <v>2025</v>
      </c>
      <c r="J374">
        <v>9</v>
      </c>
      <c r="K374" t="s">
        <v>87</v>
      </c>
      <c r="L374" t="s">
        <v>10</v>
      </c>
      <c r="M374" t="s">
        <v>6</v>
      </c>
      <c r="N374" t="b">
        <v>0</v>
      </c>
      <c r="O374">
        <v>1</v>
      </c>
      <c r="P374">
        <v>0</v>
      </c>
      <c r="Q374">
        <v>0</v>
      </c>
      <c r="R374">
        <v>0</v>
      </c>
    </row>
    <row r="375" spans="1:18" x14ac:dyDescent="0.25">
      <c r="A375" t="s">
        <v>14</v>
      </c>
      <c r="B375" t="s">
        <v>8</v>
      </c>
      <c r="C375">
        <v>2</v>
      </c>
      <c r="D375">
        <v>3</v>
      </c>
      <c r="E375">
        <v>1</v>
      </c>
      <c r="F375" s="15">
        <v>45915</v>
      </c>
      <c r="G375" t="s">
        <v>197</v>
      </c>
      <c r="H375">
        <v>3</v>
      </c>
      <c r="I375">
        <v>2025</v>
      </c>
      <c r="J375">
        <v>9</v>
      </c>
      <c r="K375" t="s">
        <v>87</v>
      </c>
      <c r="L375" t="s">
        <v>352</v>
      </c>
      <c r="M375" t="s">
        <v>6</v>
      </c>
      <c r="N375" t="b">
        <v>0</v>
      </c>
      <c r="O375">
        <v>1</v>
      </c>
      <c r="P375">
        <v>0</v>
      </c>
      <c r="Q375">
        <v>0</v>
      </c>
      <c r="R375">
        <v>0</v>
      </c>
    </row>
    <row r="376" spans="1:18" x14ac:dyDescent="0.25">
      <c r="A376" t="s">
        <v>10</v>
      </c>
      <c r="B376" t="s">
        <v>6</v>
      </c>
      <c r="C376">
        <v>1</v>
      </c>
      <c r="D376">
        <v>3</v>
      </c>
      <c r="E376">
        <v>1</v>
      </c>
      <c r="F376" s="15">
        <v>45915</v>
      </c>
      <c r="G376" t="s">
        <v>197</v>
      </c>
      <c r="H376">
        <v>3</v>
      </c>
      <c r="I376">
        <v>2025</v>
      </c>
      <c r="J376">
        <v>9</v>
      </c>
      <c r="K376" t="s">
        <v>87</v>
      </c>
      <c r="L376" t="s">
        <v>14</v>
      </c>
      <c r="M376" t="s">
        <v>8</v>
      </c>
      <c r="N376" t="b">
        <v>0</v>
      </c>
      <c r="O376">
        <v>0</v>
      </c>
      <c r="P376">
        <v>1</v>
      </c>
      <c r="Q376">
        <v>0</v>
      </c>
      <c r="R376">
        <v>1</v>
      </c>
    </row>
    <row r="377" spans="1:18" x14ac:dyDescent="0.25">
      <c r="A377" t="s">
        <v>10</v>
      </c>
      <c r="B377" t="s">
        <v>6</v>
      </c>
      <c r="C377">
        <v>1</v>
      </c>
      <c r="D377">
        <v>3</v>
      </c>
      <c r="E377">
        <v>1</v>
      </c>
      <c r="F377" s="15">
        <v>45915</v>
      </c>
      <c r="G377" t="s">
        <v>197</v>
      </c>
      <c r="H377">
        <v>3</v>
      </c>
      <c r="I377">
        <v>2025</v>
      </c>
      <c r="J377">
        <v>9</v>
      </c>
      <c r="K377" t="s">
        <v>87</v>
      </c>
      <c r="L377" t="s">
        <v>352</v>
      </c>
      <c r="M377" t="s">
        <v>6</v>
      </c>
      <c r="N377" t="b">
        <v>0</v>
      </c>
      <c r="O377">
        <v>0</v>
      </c>
      <c r="P377">
        <v>1</v>
      </c>
      <c r="Q377">
        <v>0</v>
      </c>
      <c r="R377">
        <v>0</v>
      </c>
    </row>
    <row r="378" spans="1:18" x14ac:dyDescent="0.25">
      <c r="A378" t="s">
        <v>352</v>
      </c>
      <c r="B378" t="s">
        <v>6</v>
      </c>
      <c r="C378">
        <v>3</v>
      </c>
      <c r="D378">
        <v>3</v>
      </c>
      <c r="E378">
        <v>1</v>
      </c>
      <c r="F378" s="15">
        <v>45915</v>
      </c>
      <c r="G378" t="s">
        <v>197</v>
      </c>
      <c r="H378">
        <v>3</v>
      </c>
      <c r="I378">
        <v>2025</v>
      </c>
      <c r="J378">
        <v>9</v>
      </c>
      <c r="K378" t="s">
        <v>87</v>
      </c>
      <c r="L378" t="s">
        <v>14</v>
      </c>
      <c r="M378" t="s">
        <v>8</v>
      </c>
      <c r="N378" t="b">
        <v>0</v>
      </c>
      <c r="O378">
        <v>0</v>
      </c>
      <c r="P378">
        <v>1</v>
      </c>
      <c r="Q378">
        <v>0</v>
      </c>
      <c r="R378">
        <v>1</v>
      </c>
    </row>
    <row r="379" spans="1:18" x14ac:dyDescent="0.25">
      <c r="A379" t="s">
        <v>352</v>
      </c>
      <c r="B379" t="s">
        <v>6</v>
      </c>
      <c r="C379">
        <v>3</v>
      </c>
      <c r="D379">
        <v>3</v>
      </c>
      <c r="E379">
        <v>1</v>
      </c>
      <c r="F379" s="15">
        <v>45915</v>
      </c>
      <c r="G379" t="s">
        <v>197</v>
      </c>
      <c r="H379">
        <v>3</v>
      </c>
      <c r="I379">
        <v>2025</v>
      </c>
      <c r="J379">
        <v>9</v>
      </c>
      <c r="K379" t="s">
        <v>87</v>
      </c>
      <c r="L379" t="s">
        <v>10</v>
      </c>
      <c r="M379" t="s">
        <v>6</v>
      </c>
      <c r="N379" t="b">
        <v>0</v>
      </c>
      <c r="O379">
        <v>0</v>
      </c>
      <c r="P379">
        <v>1</v>
      </c>
      <c r="Q379">
        <v>0</v>
      </c>
      <c r="R379">
        <v>0</v>
      </c>
    </row>
    <row r="380" spans="1:18" x14ac:dyDescent="0.25">
      <c r="A380" t="s">
        <v>14</v>
      </c>
      <c r="B380" t="s">
        <v>8</v>
      </c>
      <c r="C380">
        <v>2</v>
      </c>
      <c r="D380">
        <v>3</v>
      </c>
      <c r="E380">
        <v>1</v>
      </c>
      <c r="F380" s="15">
        <v>45922</v>
      </c>
      <c r="G380" t="s">
        <v>198</v>
      </c>
      <c r="H380">
        <v>4</v>
      </c>
      <c r="I380">
        <v>2025</v>
      </c>
      <c r="J380">
        <v>9</v>
      </c>
      <c r="K380" t="s">
        <v>87</v>
      </c>
      <c r="L380" t="s">
        <v>10</v>
      </c>
      <c r="M380" t="s">
        <v>6</v>
      </c>
      <c r="N380" t="b">
        <v>0</v>
      </c>
      <c r="O380">
        <v>1</v>
      </c>
      <c r="P380">
        <v>0</v>
      </c>
      <c r="Q380">
        <v>0</v>
      </c>
      <c r="R380">
        <v>0</v>
      </c>
    </row>
    <row r="381" spans="1:18" x14ac:dyDescent="0.25">
      <c r="A381" t="s">
        <v>14</v>
      </c>
      <c r="B381" t="s">
        <v>8</v>
      </c>
      <c r="C381">
        <v>2</v>
      </c>
      <c r="D381">
        <v>3</v>
      </c>
      <c r="E381">
        <v>1</v>
      </c>
      <c r="F381" s="15">
        <v>45922</v>
      </c>
      <c r="G381" t="s">
        <v>198</v>
      </c>
      <c r="H381">
        <v>4</v>
      </c>
      <c r="I381">
        <v>2025</v>
      </c>
      <c r="J381">
        <v>9</v>
      </c>
      <c r="K381" t="s">
        <v>87</v>
      </c>
      <c r="L381" t="s">
        <v>9</v>
      </c>
      <c r="M381" t="s">
        <v>6</v>
      </c>
      <c r="N381" t="b">
        <v>0</v>
      </c>
      <c r="O381">
        <v>1</v>
      </c>
      <c r="P381">
        <v>0</v>
      </c>
      <c r="Q381">
        <v>0</v>
      </c>
      <c r="R381">
        <v>0</v>
      </c>
    </row>
    <row r="382" spans="1:18" x14ac:dyDescent="0.25">
      <c r="A382" t="s">
        <v>14</v>
      </c>
      <c r="B382" t="s">
        <v>8</v>
      </c>
      <c r="C382">
        <v>2</v>
      </c>
      <c r="D382">
        <v>3</v>
      </c>
      <c r="E382">
        <v>1</v>
      </c>
      <c r="F382" s="15">
        <v>45922</v>
      </c>
      <c r="G382" t="s">
        <v>198</v>
      </c>
      <c r="H382">
        <v>4</v>
      </c>
      <c r="I382">
        <v>2025</v>
      </c>
      <c r="J382">
        <v>9</v>
      </c>
      <c r="K382" t="s">
        <v>87</v>
      </c>
      <c r="L382" t="s">
        <v>17</v>
      </c>
      <c r="M382" t="s">
        <v>6</v>
      </c>
      <c r="N382" t="b">
        <v>0</v>
      </c>
      <c r="O382">
        <v>1</v>
      </c>
      <c r="P382">
        <v>0</v>
      </c>
      <c r="Q382">
        <v>0</v>
      </c>
      <c r="R382">
        <v>0</v>
      </c>
    </row>
    <row r="383" spans="1:18" x14ac:dyDescent="0.25">
      <c r="A383" t="s">
        <v>10</v>
      </c>
      <c r="B383" t="s">
        <v>6</v>
      </c>
      <c r="C383">
        <v>4</v>
      </c>
      <c r="D383">
        <v>3</v>
      </c>
      <c r="E383">
        <v>1</v>
      </c>
      <c r="F383" s="15">
        <v>45922</v>
      </c>
      <c r="G383" t="s">
        <v>198</v>
      </c>
      <c r="H383">
        <v>4</v>
      </c>
      <c r="I383">
        <v>2025</v>
      </c>
      <c r="J383">
        <v>9</v>
      </c>
      <c r="K383" t="s">
        <v>87</v>
      </c>
      <c r="L383" t="s">
        <v>14</v>
      </c>
      <c r="M383" t="s">
        <v>8</v>
      </c>
      <c r="N383" t="b">
        <v>0</v>
      </c>
      <c r="O383">
        <v>0</v>
      </c>
      <c r="P383">
        <v>1</v>
      </c>
      <c r="Q383">
        <v>0</v>
      </c>
      <c r="R383">
        <v>1</v>
      </c>
    </row>
    <row r="384" spans="1:18" x14ac:dyDescent="0.25">
      <c r="A384" t="s">
        <v>10</v>
      </c>
      <c r="B384" t="s">
        <v>6</v>
      </c>
      <c r="C384">
        <v>4</v>
      </c>
      <c r="D384">
        <v>3</v>
      </c>
      <c r="E384">
        <v>1</v>
      </c>
      <c r="F384" s="15">
        <v>45922</v>
      </c>
      <c r="G384" t="s">
        <v>198</v>
      </c>
      <c r="H384">
        <v>4</v>
      </c>
      <c r="I384">
        <v>2025</v>
      </c>
      <c r="J384">
        <v>9</v>
      </c>
      <c r="K384" t="s">
        <v>87</v>
      </c>
      <c r="L384" t="s">
        <v>9</v>
      </c>
      <c r="M384" t="s">
        <v>6</v>
      </c>
      <c r="N384" t="b">
        <v>0</v>
      </c>
      <c r="O384">
        <v>0</v>
      </c>
      <c r="P384">
        <v>1</v>
      </c>
      <c r="Q384">
        <v>0</v>
      </c>
      <c r="R384">
        <v>0</v>
      </c>
    </row>
    <row r="385" spans="1:18" x14ac:dyDescent="0.25">
      <c r="A385" t="s">
        <v>10</v>
      </c>
      <c r="B385" t="s">
        <v>6</v>
      </c>
      <c r="C385">
        <v>4</v>
      </c>
      <c r="D385">
        <v>3</v>
      </c>
      <c r="E385">
        <v>1</v>
      </c>
      <c r="F385" s="15">
        <v>45922</v>
      </c>
      <c r="G385" t="s">
        <v>198</v>
      </c>
      <c r="H385">
        <v>4</v>
      </c>
      <c r="I385">
        <v>2025</v>
      </c>
      <c r="J385">
        <v>9</v>
      </c>
      <c r="K385" t="s">
        <v>87</v>
      </c>
      <c r="L385" t="s">
        <v>17</v>
      </c>
      <c r="M385" t="s">
        <v>6</v>
      </c>
      <c r="N385" t="b">
        <v>0</v>
      </c>
      <c r="O385">
        <v>0</v>
      </c>
      <c r="P385">
        <v>1</v>
      </c>
      <c r="Q385">
        <v>0</v>
      </c>
      <c r="R385">
        <v>0</v>
      </c>
    </row>
    <row r="386" spans="1:18" x14ac:dyDescent="0.25">
      <c r="A386" t="s">
        <v>9</v>
      </c>
      <c r="B386" t="s">
        <v>6</v>
      </c>
      <c r="C386">
        <v>1</v>
      </c>
      <c r="D386">
        <v>3</v>
      </c>
      <c r="E386">
        <v>1</v>
      </c>
      <c r="F386" s="15">
        <v>45922</v>
      </c>
      <c r="G386" t="s">
        <v>198</v>
      </c>
      <c r="H386">
        <v>4</v>
      </c>
      <c r="I386">
        <v>2025</v>
      </c>
      <c r="J386">
        <v>9</v>
      </c>
      <c r="K386" t="s">
        <v>87</v>
      </c>
      <c r="L386" t="s">
        <v>14</v>
      </c>
      <c r="M386" t="s">
        <v>8</v>
      </c>
      <c r="N386" t="b">
        <v>0</v>
      </c>
      <c r="O386">
        <v>0</v>
      </c>
      <c r="P386">
        <v>1</v>
      </c>
      <c r="Q386">
        <v>0</v>
      </c>
      <c r="R386">
        <v>1</v>
      </c>
    </row>
    <row r="387" spans="1:18" x14ac:dyDescent="0.25">
      <c r="A387" t="s">
        <v>9</v>
      </c>
      <c r="B387" t="s">
        <v>6</v>
      </c>
      <c r="C387">
        <v>1</v>
      </c>
      <c r="D387">
        <v>3</v>
      </c>
      <c r="E387">
        <v>1</v>
      </c>
      <c r="F387" s="15">
        <v>45922</v>
      </c>
      <c r="G387" t="s">
        <v>198</v>
      </c>
      <c r="H387">
        <v>4</v>
      </c>
      <c r="I387">
        <v>2025</v>
      </c>
      <c r="J387">
        <v>9</v>
      </c>
      <c r="K387" t="s">
        <v>87</v>
      </c>
      <c r="L387" t="s">
        <v>10</v>
      </c>
      <c r="M387" t="s">
        <v>6</v>
      </c>
      <c r="N387" t="b">
        <v>0</v>
      </c>
      <c r="O387">
        <v>0</v>
      </c>
      <c r="P387">
        <v>1</v>
      </c>
      <c r="Q387">
        <v>0</v>
      </c>
      <c r="R387">
        <v>0</v>
      </c>
    </row>
    <row r="388" spans="1:18" x14ac:dyDescent="0.25">
      <c r="A388" t="s">
        <v>9</v>
      </c>
      <c r="B388" t="s">
        <v>6</v>
      </c>
      <c r="C388">
        <v>1</v>
      </c>
      <c r="D388">
        <v>3</v>
      </c>
      <c r="E388">
        <v>1</v>
      </c>
      <c r="F388" s="15">
        <v>45922</v>
      </c>
      <c r="G388" t="s">
        <v>198</v>
      </c>
      <c r="H388">
        <v>4</v>
      </c>
      <c r="I388">
        <v>2025</v>
      </c>
      <c r="J388">
        <v>9</v>
      </c>
      <c r="K388" t="s">
        <v>87</v>
      </c>
      <c r="L388" t="s">
        <v>17</v>
      </c>
      <c r="M388" t="s">
        <v>6</v>
      </c>
      <c r="N388" t="b">
        <v>0</v>
      </c>
      <c r="O388">
        <v>0</v>
      </c>
      <c r="P388">
        <v>1</v>
      </c>
      <c r="Q388">
        <v>0</v>
      </c>
      <c r="R388">
        <v>0</v>
      </c>
    </row>
    <row r="389" spans="1:18" x14ac:dyDescent="0.25">
      <c r="A389" t="s">
        <v>17</v>
      </c>
      <c r="B389" t="s">
        <v>6</v>
      </c>
      <c r="C389">
        <v>3</v>
      </c>
      <c r="D389">
        <v>3</v>
      </c>
      <c r="E389">
        <v>1</v>
      </c>
      <c r="F389" s="15">
        <v>45922</v>
      </c>
      <c r="G389" t="s">
        <v>198</v>
      </c>
      <c r="H389">
        <v>4</v>
      </c>
      <c r="I389">
        <v>2025</v>
      </c>
      <c r="J389">
        <v>9</v>
      </c>
      <c r="K389" t="s">
        <v>87</v>
      </c>
      <c r="L389" t="s">
        <v>14</v>
      </c>
      <c r="M389" t="s">
        <v>8</v>
      </c>
      <c r="N389" t="b">
        <v>0</v>
      </c>
      <c r="O389">
        <v>0</v>
      </c>
      <c r="P389">
        <v>1</v>
      </c>
      <c r="Q389">
        <v>0</v>
      </c>
      <c r="R389">
        <v>1</v>
      </c>
    </row>
    <row r="390" spans="1:18" x14ac:dyDescent="0.25">
      <c r="A390" t="s">
        <v>17</v>
      </c>
      <c r="B390" t="s">
        <v>6</v>
      </c>
      <c r="C390">
        <v>3</v>
      </c>
      <c r="D390">
        <v>3</v>
      </c>
      <c r="E390">
        <v>1</v>
      </c>
      <c r="F390" s="15">
        <v>45922</v>
      </c>
      <c r="G390" t="s">
        <v>198</v>
      </c>
      <c r="H390">
        <v>4</v>
      </c>
      <c r="I390">
        <v>2025</v>
      </c>
      <c r="J390">
        <v>9</v>
      </c>
      <c r="K390" t="s">
        <v>87</v>
      </c>
      <c r="L390" t="s">
        <v>10</v>
      </c>
      <c r="M390" t="s">
        <v>6</v>
      </c>
      <c r="N390" t="b">
        <v>0</v>
      </c>
      <c r="O390">
        <v>0</v>
      </c>
      <c r="P390">
        <v>1</v>
      </c>
      <c r="Q390">
        <v>0</v>
      </c>
      <c r="R390">
        <v>0</v>
      </c>
    </row>
    <row r="391" spans="1:18" x14ac:dyDescent="0.25">
      <c r="A391" t="s">
        <v>17</v>
      </c>
      <c r="B391" t="s">
        <v>6</v>
      </c>
      <c r="C391">
        <v>3</v>
      </c>
      <c r="D391">
        <v>3</v>
      </c>
      <c r="E391">
        <v>1</v>
      </c>
      <c r="F391" s="15">
        <v>45922</v>
      </c>
      <c r="G391" t="s">
        <v>198</v>
      </c>
      <c r="H391">
        <v>4</v>
      </c>
      <c r="I391">
        <v>2025</v>
      </c>
      <c r="J391">
        <v>9</v>
      </c>
      <c r="K391" t="s">
        <v>87</v>
      </c>
      <c r="L391" t="s">
        <v>9</v>
      </c>
      <c r="M391" t="s">
        <v>6</v>
      </c>
      <c r="N391" t="b">
        <v>0</v>
      </c>
      <c r="O391">
        <v>0</v>
      </c>
      <c r="P391">
        <v>1</v>
      </c>
      <c r="Q391">
        <v>0</v>
      </c>
      <c r="R391">
        <v>0</v>
      </c>
    </row>
    <row r="392" spans="1:18" x14ac:dyDescent="0.25">
      <c r="A392" t="s">
        <v>14</v>
      </c>
      <c r="B392" t="s">
        <v>6</v>
      </c>
      <c r="C392">
        <v>4</v>
      </c>
      <c r="D392">
        <v>3</v>
      </c>
      <c r="E392">
        <v>1</v>
      </c>
      <c r="F392" s="15">
        <v>45929</v>
      </c>
      <c r="G392" t="s">
        <v>199</v>
      </c>
      <c r="H392">
        <v>4</v>
      </c>
      <c r="I392">
        <v>2025</v>
      </c>
      <c r="J392">
        <v>9</v>
      </c>
      <c r="K392" t="s">
        <v>87</v>
      </c>
      <c r="L392" t="s">
        <v>20</v>
      </c>
      <c r="M392" t="s">
        <v>6</v>
      </c>
      <c r="N392" t="b">
        <v>0</v>
      </c>
      <c r="O392">
        <v>0</v>
      </c>
      <c r="P392">
        <v>1</v>
      </c>
      <c r="Q392">
        <v>0</v>
      </c>
      <c r="R392">
        <v>0</v>
      </c>
    </row>
    <row r="393" spans="1:18" x14ac:dyDescent="0.25">
      <c r="A393" t="s">
        <v>14</v>
      </c>
      <c r="B393" t="s">
        <v>6</v>
      </c>
      <c r="C393">
        <v>4</v>
      </c>
      <c r="D393">
        <v>3</v>
      </c>
      <c r="E393">
        <v>1</v>
      </c>
      <c r="F393" s="15">
        <v>45929</v>
      </c>
      <c r="G393" t="s">
        <v>199</v>
      </c>
      <c r="H393">
        <v>4</v>
      </c>
      <c r="I393">
        <v>2025</v>
      </c>
      <c r="J393">
        <v>9</v>
      </c>
      <c r="K393" t="s">
        <v>87</v>
      </c>
      <c r="L393" t="s">
        <v>27</v>
      </c>
      <c r="M393" t="s">
        <v>6</v>
      </c>
      <c r="N393" t="b">
        <v>0</v>
      </c>
      <c r="O393">
        <v>0</v>
      </c>
      <c r="P393">
        <v>1</v>
      </c>
      <c r="Q393">
        <v>0</v>
      </c>
      <c r="R393">
        <v>0</v>
      </c>
    </row>
    <row r="394" spans="1:18" x14ac:dyDescent="0.25">
      <c r="A394" t="s">
        <v>14</v>
      </c>
      <c r="B394" t="s">
        <v>6</v>
      </c>
      <c r="C394">
        <v>4</v>
      </c>
      <c r="D394">
        <v>3</v>
      </c>
      <c r="E394">
        <v>1</v>
      </c>
      <c r="F394" s="15">
        <v>45929</v>
      </c>
      <c r="G394" t="s">
        <v>199</v>
      </c>
      <c r="H394">
        <v>4</v>
      </c>
      <c r="I394">
        <v>2025</v>
      </c>
      <c r="J394">
        <v>9</v>
      </c>
      <c r="K394" t="s">
        <v>87</v>
      </c>
      <c r="L394" t="s">
        <v>12</v>
      </c>
      <c r="M394" t="s">
        <v>8</v>
      </c>
      <c r="N394" t="b">
        <v>0</v>
      </c>
      <c r="O394">
        <v>0</v>
      </c>
      <c r="P394">
        <v>1</v>
      </c>
      <c r="Q394">
        <v>0</v>
      </c>
      <c r="R394">
        <v>1</v>
      </c>
    </row>
    <row r="395" spans="1:18" x14ac:dyDescent="0.25">
      <c r="A395" t="s">
        <v>20</v>
      </c>
      <c r="B395" t="s">
        <v>6</v>
      </c>
      <c r="C395">
        <v>1</v>
      </c>
      <c r="D395">
        <v>3</v>
      </c>
      <c r="E395">
        <v>1</v>
      </c>
      <c r="F395" s="15">
        <v>45929</v>
      </c>
      <c r="G395" t="s">
        <v>199</v>
      </c>
      <c r="H395">
        <v>4</v>
      </c>
      <c r="I395">
        <v>2025</v>
      </c>
      <c r="J395">
        <v>9</v>
      </c>
      <c r="K395" t="s">
        <v>87</v>
      </c>
      <c r="L395" t="s">
        <v>14</v>
      </c>
      <c r="M395" t="s">
        <v>6</v>
      </c>
      <c r="N395" t="b">
        <v>0</v>
      </c>
      <c r="O395">
        <v>0</v>
      </c>
      <c r="P395">
        <v>1</v>
      </c>
      <c r="Q395">
        <v>0</v>
      </c>
      <c r="R395">
        <v>0</v>
      </c>
    </row>
    <row r="396" spans="1:18" x14ac:dyDescent="0.25">
      <c r="A396" t="s">
        <v>20</v>
      </c>
      <c r="B396" t="s">
        <v>6</v>
      </c>
      <c r="C396">
        <v>1</v>
      </c>
      <c r="D396">
        <v>3</v>
      </c>
      <c r="E396">
        <v>1</v>
      </c>
      <c r="F396" s="15">
        <v>45929</v>
      </c>
      <c r="G396" t="s">
        <v>199</v>
      </c>
      <c r="H396">
        <v>4</v>
      </c>
      <c r="I396">
        <v>2025</v>
      </c>
      <c r="J396">
        <v>9</v>
      </c>
      <c r="K396" t="s">
        <v>87</v>
      </c>
      <c r="L396" t="s">
        <v>27</v>
      </c>
      <c r="M396" t="s">
        <v>6</v>
      </c>
      <c r="N396" t="b">
        <v>0</v>
      </c>
      <c r="O396">
        <v>0</v>
      </c>
      <c r="P396">
        <v>1</v>
      </c>
      <c r="Q396">
        <v>0</v>
      </c>
      <c r="R396">
        <v>0</v>
      </c>
    </row>
    <row r="397" spans="1:18" x14ac:dyDescent="0.25">
      <c r="A397" t="s">
        <v>20</v>
      </c>
      <c r="B397" t="s">
        <v>6</v>
      </c>
      <c r="C397">
        <v>1</v>
      </c>
      <c r="D397">
        <v>3</v>
      </c>
      <c r="E397">
        <v>1</v>
      </c>
      <c r="F397" s="15">
        <v>45929</v>
      </c>
      <c r="G397" t="s">
        <v>199</v>
      </c>
      <c r="H397">
        <v>4</v>
      </c>
      <c r="I397">
        <v>2025</v>
      </c>
      <c r="J397">
        <v>9</v>
      </c>
      <c r="K397" t="s">
        <v>87</v>
      </c>
      <c r="L397" t="s">
        <v>12</v>
      </c>
      <c r="M397" t="s">
        <v>8</v>
      </c>
      <c r="N397" t="b">
        <v>0</v>
      </c>
      <c r="O397">
        <v>0</v>
      </c>
      <c r="P397">
        <v>1</v>
      </c>
      <c r="Q397">
        <v>0</v>
      </c>
      <c r="R397">
        <v>1</v>
      </c>
    </row>
    <row r="398" spans="1:18" x14ac:dyDescent="0.25">
      <c r="A398" t="s">
        <v>27</v>
      </c>
      <c r="B398" t="s">
        <v>6</v>
      </c>
      <c r="C398">
        <v>2</v>
      </c>
      <c r="D398">
        <v>3</v>
      </c>
      <c r="E398">
        <v>1</v>
      </c>
      <c r="F398" s="15">
        <v>45929</v>
      </c>
      <c r="G398" t="s">
        <v>199</v>
      </c>
      <c r="H398">
        <v>4</v>
      </c>
      <c r="I398">
        <v>2025</v>
      </c>
      <c r="J398">
        <v>9</v>
      </c>
      <c r="K398" t="s">
        <v>87</v>
      </c>
      <c r="L398" t="s">
        <v>14</v>
      </c>
      <c r="M398" t="s">
        <v>6</v>
      </c>
      <c r="N398" t="b">
        <v>0</v>
      </c>
      <c r="O398">
        <v>0</v>
      </c>
      <c r="P398">
        <v>1</v>
      </c>
      <c r="Q398">
        <v>0</v>
      </c>
      <c r="R398">
        <v>0</v>
      </c>
    </row>
    <row r="399" spans="1:18" x14ac:dyDescent="0.25">
      <c r="A399" t="s">
        <v>27</v>
      </c>
      <c r="B399" t="s">
        <v>6</v>
      </c>
      <c r="C399">
        <v>2</v>
      </c>
      <c r="D399">
        <v>3</v>
      </c>
      <c r="E399">
        <v>1</v>
      </c>
      <c r="F399" s="15">
        <v>45929</v>
      </c>
      <c r="G399" t="s">
        <v>199</v>
      </c>
      <c r="H399">
        <v>4</v>
      </c>
      <c r="I399">
        <v>2025</v>
      </c>
      <c r="J399">
        <v>9</v>
      </c>
      <c r="K399" t="s">
        <v>87</v>
      </c>
      <c r="L399" t="s">
        <v>20</v>
      </c>
      <c r="M399" t="s">
        <v>6</v>
      </c>
      <c r="N399" t="b">
        <v>0</v>
      </c>
      <c r="O399">
        <v>0</v>
      </c>
      <c r="P399">
        <v>1</v>
      </c>
      <c r="Q399">
        <v>0</v>
      </c>
      <c r="R399">
        <v>0</v>
      </c>
    </row>
    <row r="400" spans="1:18" x14ac:dyDescent="0.25">
      <c r="A400" t="s">
        <v>27</v>
      </c>
      <c r="B400" t="s">
        <v>6</v>
      </c>
      <c r="C400">
        <v>2</v>
      </c>
      <c r="D400">
        <v>3</v>
      </c>
      <c r="E400">
        <v>1</v>
      </c>
      <c r="F400" s="15">
        <v>45929</v>
      </c>
      <c r="G400" t="s">
        <v>199</v>
      </c>
      <c r="H400">
        <v>4</v>
      </c>
      <c r="I400">
        <v>2025</v>
      </c>
      <c r="J400">
        <v>9</v>
      </c>
      <c r="K400" t="s">
        <v>87</v>
      </c>
      <c r="L400" t="s">
        <v>12</v>
      </c>
      <c r="M400" t="s">
        <v>8</v>
      </c>
      <c r="N400" t="b">
        <v>0</v>
      </c>
      <c r="O400">
        <v>0</v>
      </c>
      <c r="P400">
        <v>1</v>
      </c>
      <c r="Q400">
        <v>0</v>
      </c>
      <c r="R400">
        <v>1</v>
      </c>
    </row>
    <row r="401" spans="1:18" x14ac:dyDescent="0.25">
      <c r="A401" t="s">
        <v>12</v>
      </c>
      <c r="B401" t="s">
        <v>8</v>
      </c>
      <c r="C401">
        <v>3</v>
      </c>
      <c r="D401">
        <v>3</v>
      </c>
      <c r="E401">
        <v>1</v>
      </c>
      <c r="F401" s="15">
        <v>45929</v>
      </c>
      <c r="G401" t="s">
        <v>199</v>
      </c>
      <c r="H401">
        <v>4</v>
      </c>
      <c r="I401">
        <v>2025</v>
      </c>
      <c r="J401">
        <v>9</v>
      </c>
      <c r="K401" t="s">
        <v>87</v>
      </c>
      <c r="L401" t="s">
        <v>14</v>
      </c>
      <c r="M401" t="s">
        <v>6</v>
      </c>
      <c r="N401" t="b">
        <v>0</v>
      </c>
      <c r="O401">
        <v>1</v>
      </c>
      <c r="P401">
        <v>0</v>
      </c>
      <c r="Q401">
        <v>0</v>
      </c>
      <c r="R401">
        <v>0</v>
      </c>
    </row>
    <row r="402" spans="1:18" x14ac:dyDescent="0.25">
      <c r="A402" t="s">
        <v>12</v>
      </c>
      <c r="B402" t="s">
        <v>8</v>
      </c>
      <c r="C402">
        <v>3</v>
      </c>
      <c r="D402">
        <v>3</v>
      </c>
      <c r="E402">
        <v>1</v>
      </c>
      <c r="F402" s="15">
        <v>45929</v>
      </c>
      <c r="G402" t="s">
        <v>199</v>
      </c>
      <c r="H402">
        <v>4</v>
      </c>
      <c r="I402">
        <v>2025</v>
      </c>
      <c r="J402">
        <v>9</v>
      </c>
      <c r="K402" t="s">
        <v>87</v>
      </c>
      <c r="L402" t="s">
        <v>20</v>
      </c>
      <c r="M402" t="s">
        <v>6</v>
      </c>
      <c r="N402" t="b">
        <v>0</v>
      </c>
      <c r="O402">
        <v>1</v>
      </c>
      <c r="P402">
        <v>0</v>
      </c>
      <c r="Q402">
        <v>0</v>
      </c>
      <c r="R402">
        <v>0</v>
      </c>
    </row>
    <row r="403" spans="1:18" x14ac:dyDescent="0.25">
      <c r="A403" t="s">
        <v>12</v>
      </c>
      <c r="B403" t="s">
        <v>8</v>
      </c>
      <c r="C403">
        <v>3</v>
      </c>
      <c r="D403">
        <v>3</v>
      </c>
      <c r="E403">
        <v>1</v>
      </c>
      <c r="F403" s="15">
        <v>45929</v>
      </c>
      <c r="G403" t="s">
        <v>199</v>
      </c>
      <c r="H403">
        <v>4</v>
      </c>
      <c r="I403">
        <v>2025</v>
      </c>
      <c r="J403">
        <v>9</v>
      </c>
      <c r="K403" t="s">
        <v>87</v>
      </c>
      <c r="L403" t="s">
        <v>27</v>
      </c>
      <c r="M403" t="s">
        <v>6</v>
      </c>
      <c r="N403" t="b">
        <v>0</v>
      </c>
      <c r="O403">
        <v>1</v>
      </c>
      <c r="P403">
        <v>0</v>
      </c>
      <c r="Q403">
        <v>0</v>
      </c>
      <c r="R403">
        <v>0</v>
      </c>
    </row>
    <row r="404" spans="1:18" x14ac:dyDescent="0.25">
      <c r="A404" t="s">
        <v>14</v>
      </c>
      <c r="B404" t="s">
        <v>8</v>
      </c>
      <c r="C404">
        <v>3</v>
      </c>
      <c r="D404">
        <v>3</v>
      </c>
      <c r="E404">
        <v>1</v>
      </c>
      <c r="F404" s="15">
        <v>45978</v>
      </c>
      <c r="G404" t="s">
        <v>206</v>
      </c>
      <c r="H404">
        <v>3</v>
      </c>
      <c r="I404">
        <v>2025</v>
      </c>
      <c r="J404">
        <v>11</v>
      </c>
      <c r="K404" t="s">
        <v>87</v>
      </c>
      <c r="L404" t="s">
        <v>7</v>
      </c>
      <c r="M404" t="s">
        <v>6</v>
      </c>
      <c r="N404" t="b">
        <v>0</v>
      </c>
      <c r="O404">
        <v>1</v>
      </c>
      <c r="P404">
        <v>0</v>
      </c>
      <c r="Q404">
        <v>0</v>
      </c>
      <c r="R404">
        <v>0</v>
      </c>
    </row>
    <row r="405" spans="1:18" x14ac:dyDescent="0.25">
      <c r="A405" t="s">
        <v>14</v>
      </c>
      <c r="B405" t="s">
        <v>8</v>
      </c>
      <c r="C405">
        <v>3</v>
      </c>
      <c r="D405">
        <v>3</v>
      </c>
      <c r="E405">
        <v>1</v>
      </c>
      <c r="F405" s="15">
        <v>45978</v>
      </c>
      <c r="G405" t="s">
        <v>206</v>
      </c>
      <c r="H405">
        <v>3</v>
      </c>
      <c r="I405">
        <v>2025</v>
      </c>
      <c r="J405">
        <v>11</v>
      </c>
      <c r="K405" t="s">
        <v>87</v>
      </c>
      <c r="L405" t="s">
        <v>57</v>
      </c>
      <c r="M405" t="s">
        <v>6</v>
      </c>
      <c r="N405" t="b">
        <v>0</v>
      </c>
      <c r="O405">
        <v>1</v>
      </c>
      <c r="P405">
        <v>0</v>
      </c>
      <c r="Q405">
        <v>0</v>
      </c>
      <c r="R405">
        <v>0</v>
      </c>
    </row>
    <row r="406" spans="1:18" x14ac:dyDescent="0.25">
      <c r="A406" t="s">
        <v>7</v>
      </c>
      <c r="B406" t="s">
        <v>6</v>
      </c>
      <c r="C406">
        <v>2</v>
      </c>
      <c r="D406">
        <v>3</v>
      </c>
      <c r="E406">
        <v>1</v>
      </c>
      <c r="F406" s="15">
        <v>45978</v>
      </c>
      <c r="G406" t="s">
        <v>206</v>
      </c>
      <c r="H406">
        <v>3</v>
      </c>
      <c r="I406">
        <v>2025</v>
      </c>
      <c r="J406">
        <v>11</v>
      </c>
      <c r="K406" t="s">
        <v>87</v>
      </c>
      <c r="L406" t="s">
        <v>14</v>
      </c>
      <c r="M406" t="s">
        <v>8</v>
      </c>
      <c r="N406" t="b">
        <v>0</v>
      </c>
      <c r="O406">
        <v>0</v>
      </c>
      <c r="P406">
        <v>1</v>
      </c>
      <c r="Q406">
        <v>0</v>
      </c>
      <c r="R406">
        <v>1</v>
      </c>
    </row>
    <row r="407" spans="1:18" x14ac:dyDescent="0.25">
      <c r="A407" t="s">
        <v>7</v>
      </c>
      <c r="B407" t="s">
        <v>6</v>
      </c>
      <c r="C407">
        <v>2</v>
      </c>
      <c r="D407">
        <v>3</v>
      </c>
      <c r="E407">
        <v>1</v>
      </c>
      <c r="F407" s="15">
        <v>45978</v>
      </c>
      <c r="G407" t="s">
        <v>206</v>
      </c>
      <c r="H407">
        <v>3</v>
      </c>
      <c r="I407">
        <v>2025</v>
      </c>
      <c r="J407">
        <v>11</v>
      </c>
      <c r="K407" t="s">
        <v>87</v>
      </c>
      <c r="L407" t="s">
        <v>57</v>
      </c>
      <c r="M407" t="s">
        <v>6</v>
      </c>
      <c r="N407" t="b">
        <v>0</v>
      </c>
      <c r="O407">
        <v>0</v>
      </c>
      <c r="P407">
        <v>1</v>
      </c>
      <c r="Q407">
        <v>0</v>
      </c>
      <c r="R407">
        <v>0</v>
      </c>
    </row>
    <row r="408" spans="1:18" x14ac:dyDescent="0.25">
      <c r="A408" t="s">
        <v>57</v>
      </c>
      <c r="B408" t="s">
        <v>6</v>
      </c>
      <c r="C408">
        <v>1</v>
      </c>
      <c r="D408">
        <v>3</v>
      </c>
      <c r="E408">
        <v>1</v>
      </c>
      <c r="F408" s="15">
        <v>45978</v>
      </c>
      <c r="G408" t="s">
        <v>206</v>
      </c>
      <c r="H408">
        <v>3</v>
      </c>
      <c r="I408">
        <v>2025</v>
      </c>
      <c r="J408">
        <v>11</v>
      </c>
      <c r="K408" t="s">
        <v>87</v>
      </c>
      <c r="L408" t="s">
        <v>14</v>
      </c>
      <c r="M408" t="s">
        <v>8</v>
      </c>
      <c r="N408" t="b">
        <v>0</v>
      </c>
      <c r="O408">
        <v>0</v>
      </c>
      <c r="P408">
        <v>1</v>
      </c>
      <c r="Q408">
        <v>0</v>
      </c>
      <c r="R408">
        <v>1</v>
      </c>
    </row>
    <row r="409" spans="1:18" x14ac:dyDescent="0.25">
      <c r="A409" t="s">
        <v>57</v>
      </c>
      <c r="B409" t="s">
        <v>6</v>
      </c>
      <c r="C409">
        <v>1</v>
      </c>
      <c r="D409">
        <v>3</v>
      </c>
      <c r="E409">
        <v>1</v>
      </c>
      <c r="F409" s="15">
        <v>45978</v>
      </c>
      <c r="G409" t="s">
        <v>206</v>
      </c>
      <c r="H409">
        <v>3</v>
      </c>
      <c r="I409">
        <v>2025</v>
      </c>
      <c r="J409">
        <v>11</v>
      </c>
      <c r="K409" t="s">
        <v>87</v>
      </c>
      <c r="L409" t="s">
        <v>7</v>
      </c>
      <c r="M409" t="s">
        <v>6</v>
      </c>
      <c r="N409" t="b">
        <v>0</v>
      </c>
      <c r="O409">
        <v>0</v>
      </c>
      <c r="P409">
        <v>1</v>
      </c>
      <c r="Q409">
        <v>0</v>
      </c>
      <c r="R409">
        <v>0</v>
      </c>
    </row>
    <row r="410" spans="1:18" x14ac:dyDescent="0.25">
      <c r="A410" t="s">
        <v>14</v>
      </c>
      <c r="B410" t="s">
        <v>8</v>
      </c>
      <c r="C410">
        <v>1</v>
      </c>
      <c r="D410">
        <v>3</v>
      </c>
      <c r="E410">
        <v>1</v>
      </c>
      <c r="F410" s="15">
        <v>45992</v>
      </c>
      <c r="G410" t="s">
        <v>208</v>
      </c>
      <c r="H410">
        <v>3</v>
      </c>
      <c r="I410">
        <v>2025</v>
      </c>
      <c r="J410">
        <v>12</v>
      </c>
      <c r="K410" t="s">
        <v>87</v>
      </c>
      <c r="L410" t="s">
        <v>15</v>
      </c>
      <c r="M410" t="s">
        <v>6</v>
      </c>
      <c r="N410" t="b">
        <v>0</v>
      </c>
      <c r="O410">
        <v>1</v>
      </c>
      <c r="P410">
        <v>0</v>
      </c>
      <c r="Q410">
        <v>0</v>
      </c>
      <c r="R410">
        <v>0</v>
      </c>
    </row>
    <row r="411" spans="1:18" x14ac:dyDescent="0.25">
      <c r="A411" t="s">
        <v>14</v>
      </c>
      <c r="B411" t="s">
        <v>8</v>
      </c>
      <c r="C411">
        <v>1</v>
      </c>
      <c r="D411">
        <v>3</v>
      </c>
      <c r="E411">
        <v>1</v>
      </c>
      <c r="F411" s="15">
        <v>45992</v>
      </c>
      <c r="G411" t="s">
        <v>208</v>
      </c>
      <c r="H411">
        <v>3</v>
      </c>
      <c r="I411">
        <v>2025</v>
      </c>
      <c r="J411">
        <v>12</v>
      </c>
      <c r="K411" t="s">
        <v>87</v>
      </c>
      <c r="L411" t="s">
        <v>17</v>
      </c>
      <c r="M411" t="s">
        <v>6</v>
      </c>
      <c r="N411" t="b">
        <v>0</v>
      </c>
      <c r="O411">
        <v>1</v>
      </c>
      <c r="P411">
        <v>0</v>
      </c>
      <c r="Q411">
        <v>0</v>
      </c>
      <c r="R411">
        <v>0</v>
      </c>
    </row>
    <row r="412" spans="1:18" x14ac:dyDescent="0.25">
      <c r="A412" t="s">
        <v>15</v>
      </c>
      <c r="B412" t="s">
        <v>6</v>
      </c>
      <c r="C412">
        <v>2</v>
      </c>
      <c r="D412">
        <v>3</v>
      </c>
      <c r="E412">
        <v>1</v>
      </c>
      <c r="F412" s="15">
        <v>45992</v>
      </c>
      <c r="G412" t="s">
        <v>208</v>
      </c>
      <c r="H412">
        <v>3</v>
      </c>
      <c r="I412">
        <v>2025</v>
      </c>
      <c r="J412">
        <v>12</v>
      </c>
      <c r="K412" t="s">
        <v>87</v>
      </c>
      <c r="L412" t="s">
        <v>14</v>
      </c>
      <c r="M412" t="s">
        <v>8</v>
      </c>
      <c r="N412" t="b">
        <v>0</v>
      </c>
      <c r="O412">
        <v>0</v>
      </c>
      <c r="P412">
        <v>1</v>
      </c>
      <c r="Q412">
        <v>0</v>
      </c>
      <c r="R412">
        <v>1</v>
      </c>
    </row>
    <row r="413" spans="1:18" x14ac:dyDescent="0.25">
      <c r="A413" t="s">
        <v>15</v>
      </c>
      <c r="B413" t="s">
        <v>6</v>
      </c>
      <c r="C413">
        <v>2</v>
      </c>
      <c r="D413">
        <v>3</v>
      </c>
      <c r="E413">
        <v>1</v>
      </c>
      <c r="F413" s="15">
        <v>45992</v>
      </c>
      <c r="G413" t="s">
        <v>208</v>
      </c>
      <c r="H413">
        <v>3</v>
      </c>
      <c r="I413">
        <v>2025</v>
      </c>
      <c r="J413">
        <v>12</v>
      </c>
      <c r="K413" t="s">
        <v>87</v>
      </c>
      <c r="L413" t="s">
        <v>17</v>
      </c>
      <c r="M413" t="s">
        <v>6</v>
      </c>
      <c r="N413" t="b">
        <v>0</v>
      </c>
      <c r="O413">
        <v>0</v>
      </c>
      <c r="P413">
        <v>1</v>
      </c>
      <c r="Q413">
        <v>0</v>
      </c>
      <c r="R413">
        <v>0</v>
      </c>
    </row>
    <row r="414" spans="1:18" x14ac:dyDescent="0.25">
      <c r="A414" t="s">
        <v>17</v>
      </c>
      <c r="B414" t="s">
        <v>6</v>
      </c>
      <c r="C414">
        <v>3</v>
      </c>
      <c r="D414">
        <v>3</v>
      </c>
      <c r="E414">
        <v>1</v>
      </c>
      <c r="F414" s="15">
        <v>45992</v>
      </c>
      <c r="G414" t="s">
        <v>208</v>
      </c>
      <c r="H414">
        <v>3</v>
      </c>
      <c r="I414">
        <v>2025</v>
      </c>
      <c r="J414">
        <v>12</v>
      </c>
      <c r="K414" t="s">
        <v>87</v>
      </c>
      <c r="L414" t="s">
        <v>14</v>
      </c>
      <c r="M414" t="s">
        <v>8</v>
      </c>
      <c r="N414" t="b">
        <v>0</v>
      </c>
      <c r="O414">
        <v>0</v>
      </c>
      <c r="P414">
        <v>1</v>
      </c>
      <c r="Q414">
        <v>0</v>
      </c>
      <c r="R414">
        <v>1</v>
      </c>
    </row>
    <row r="415" spans="1:18" x14ac:dyDescent="0.25">
      <c r="A415" t="s">
        <v>17</v>
      </c>
      <c r="B415" t="s">
        <v>6</v>
      </c>
      <c r="C415">
        <v>3</v>
      </c>
      <c r="D415">
        <v>3</v>
      </c>
      <c r="E415">
        <v>1</v>
      </c>
      <c r="F415" s="15">
        <v>45992</v>
      </c>
      <c r="G415" t="s">
        <v>208</v>
      </c>
      <c r="H415">
        <v>3</v>
      </c>
      <c r="I415">
        <v>2025</v>
      </c>
      <c r="J415">
        <v>12</v>
      </c>
      <c r="K415" t="s">
        <v>87</v>
      </c>
      <c r="L415" t="s">
        <v>15</v>
      </c>
      <c r="M415" t="s">
        <v>6</v>
      </c>
      <c r="N415" t="b">
        <v>0</v>
      </c>
      <c r="O415">
        <v>0</v>
      </c>
      <c r="P415">
        <v>1</v>
      </c>
      <c r="Q415">
        <v>0</v>
      </c>
      <c r="R415">
        <v>0</v>
      </c>
    </row>
    <row r="416" spans="1:18" x14ac:dyDescent="0.25">
      <c r="A416" t="s">
        <v>14</v>
      </c>
      <c r="B416" t="s">
        <v>6</v>
      </c>
      <c r="C416">
        <v>1</v>
      </c>
      <c r="D416">
        <v>3</v>
      </c>
      <c r="E416">
        <v>1</v>
      </c>
      <c r="F416" s="15">
        <v>46006</v>
      </c>
      <c r="G416" t="s">
        <v>210</v>
      </c>
      <c r="H416">
        <v>4</v>
      </c>
      <c r="I416">
        <v>2025</v>
      </c>
      <c r="J416">
        <v>12</v>
      </c>
      <c r="K416" t="s">
        <v>87</v>
      </c>
      <c r="L416" t="s">
        <v>15</v>
      </c>
      <c r="M416" t="s">
        <v>8</v>
      </c>
      <c r="N416" t="b">
        <v>0</v>
      </c>
      <c r="O416">
        <v>0</v>
      </c>
      <c r="P416">
        <v>1</v>
      </c>
      <c r="Q416">
        <v>0</v>
      </c>
      <c r="R416">
        <v>1</v>
      </c>
    </row>
    <row r="417" spans="1:18" x14ac:dyDescent="0.25">
      <c r="A417" t="s">
        <v>14</v>
      </c>
      <c r="B417" t="s">
        <v>6</v>
      </c>
      <c r="C417">
        <v>1</v>
      </c>
      <c r="D417">
        <v>3</v>
      </c>
      <c r="E417">
        <v>1</v>
      </c>
      <c r="F417" s="15">
        <v>46006</v>
      </c>
      <c r="G417" t="s">
        <v>210</v>
      </c>
      <c r="H417">
        <v>4</v>
      </c>
      <c r="I417">
        <v>2025</v>
      </c>
      <c r="J417">
        <v>12</v>
      </c>
      <c r="K417" t="s">
        <v>87</v>
      </c>
      <c r="L417" t="s">
        <v>16</v>
      </c>
      <c r="M417" t="s">
        <v>6</v>
      </c>
      <c r="N417" t="b">
        <v>0</v>
      </c>
      <c r="O417">
        <v>0</v>
      </c>
      <c r="P417">
        <v>1</v>
      </c>
      <c r="Q417">
        <v>0</v>
      </c>
      <c r="R417">
        <v>0</v>
      </c>
    </row>
    <row r="418" spans="1:18" x14ac:dyDescent="0.25">
      <c r="A418" t="s">
        <v>14</v>
      </c>
      <c r="B418" t="s">
        <v>6</v>
      </c>
      <c r="C418">
        <v>1</v>
      </c>
      <c r="D418">
        <v>3</v>
      </c>
      <c r="E418">
        <v>1</v>
      </c>
      <c r="F418" s="15">
        <v>46006</v>
      </c>
      <c r="G418" t="s">
        <v>210</v>
      </c>
      <c r="H418">
        <v>4</v>
      </c>
      <c r="I418">
        <v>2025</v>
      </c>
      <c r="J418">
        <v>12</v>
      </c>
      <c r="K418" t="s">
        <v>87</v>
      </c>
      <c r="L418" t="s">
        <v>17</v>
      </c>
      <c r="M418" t="s">
        <v>6</v>
      </c>
      <c r="N418" t="b">
        <v>0</v>
      </c>
      <c r="O418">
        <v>0</v>
      </c>
      <c r="P418">
        <v>1</v>
      </c>
      <c r="Q418">
        <v>0</v>
      </c>
      <c r="R418">
        <v>0</v>
      </c>
    </row>
    <row r="419" spans="1:18" x14ac:dyDescent="0.25">
      <c r="A419" t="s">
        <v>15</v>
      </c>
      <c r="B419" t="s">
        <v>8</v>
      </c>
      <c r="C419">
        <v>2</v>
      </c>
      <c r="D419">
        <v>3</v>
      </c>
      <c r="E419">
        <v>1</v>
      </c>
      <c r="F419" s="15">
        <v>46006</v>
      </c>
      <c r="G419" t="s">
        <v>210</v>
      </c>
      <c r="H419">
        <v>4</v>
      </c>
      <c r="I419">
        <v>2025</v>
      </c>
      <c r="J419">
        <v>12</v>
      </c>
      <c r="K419" t="s">
        <v>87</v>
      </c>
      <c r="L419" t="s">
        <v>14</v>
      </c>
      <c r="M419" t="s">
        <v>6</v>
      </c>
      <c r="N419" t="b">
        <v>0</v>
      </c>
      <c r="O419">
        <v>1</v>
      </c>
      <c r="P419">
        <v>0</v>
      </c>
      <c r="Q419">
        <v>0</v>
      </c>
      <c r="R419">
        <v>0</v>
      </c>
    </row>
    <row r="420" spans="1:18" x14ac:dyDescent="0.25">
      <c r="A420" t="s">
        <v>15</v>
      </c>
      <c r="B420" t="s">
        <v>8</v>
      </c>
      <c r="C420">
        <v>2</v>
      </c>
      <c r="D420">
        <v>3</v>
      </c>
      <c r="E420">
        <v>1</v>
      </c>
      <c r="F420" s="15">
        <v>46006</v>
      </c>
      <c r="G420" t="s">
        <v>210</v>
      </c>
      <c r="H420">
        <v>4</v>
      </c>
      <c r="I420">
        <v>2025</v>
      </c>
      <c r="J420">
        <v>12</v>
      </c>
      <c r="K420" t="s">
        <v>87</v>
      </c>
      <c r="L420" t="s">
        <v>16</v>
      </c>
      <c r="M420" t="s">
        <v>6</v>
      </c>
      <c r="N420" t="b">
        <v>0</v>
      </c>
      <c r="O420">
        <v>1</v>
      </c>
      <c r="P420">
        <v>0</v>
      </c>
      <c r="Q420">
        <v>0</v>
      </c>
      <c r="R420">
        <v>0</v>
      </c>
    </row>
    <row r="421" spans="1:18" x14ac:dyDescent="0.25">
      <c r="A421" t="s">
        <v>15</v>
      </c>
      <c r="B421" t="s">
        <v>8</v>
      </c>
      <c r="C421">
        <v>2</v>
      </c>
      <c r="D421">
        <v>3</v>
      </c>
      <c r="E421">
        <v>1</v>
      </c>
      <c r="F421" s="15">
        <v>46006</v>
      </c>
      <c r="G421" t="s">
        <v>210</v>
      </c>
      <c r="H421">
        <v>4</v>
      </c>
      <c r="I421">
        <v>2025</v>
      </c>
      <c r="J421">
        <v>12</v>
      </c>
      <c r="K421" t="s">
        <v>87</v>
      </c>
      <c r="L421" t="s">
        <v>17</v>
      </c>
      <c r="M421" t="s">
        <v>6</v>
      </c>
      <c r="N421" t="b">
        <v>0</v>
      </c>
      <c r="O421">
        <v>1</v>
      </c>
      <c r="P421">
        <v>0</v>
      </c>
      <c r="Q421">
        <v>0</v>
      </c>
      <c r="R421">
        <v>0</v>
      </c>
    </row>
    <row r="422" spans="1:18" x14ac:dyDescent="0.25">
      <c r="A422" t="s">
        <v>16</v>
      </c>
      <c r="B422" t="s">
        <v>6</v>
      </c>
      <c r="C422">
        <v>3</v>
      </c>
      <c r="D422">
        <v>3</v>
      </c>
      <c r="E422">
        <v>1</v>
      </c>
      <c r="F422" s="15">
        <v>46006</v>
      </c>
      <c r="G422" t="s">
        <v>210</v>
      </c>
      <c r="H422">
        <v>4</v>
      </c>
      <c r="I422">
        <v>2025</v>
      </c>
      <c r="J422">
        <v>12</v>
      </c>
      <c r="K422" t="s">
        <v>87</v>
      </c>
      <c r="L422" t="s">
        <v>14</v>
      </c>
      <c r="M422" t="s">
        <v>6</v>
      </c>
      <c r="N422" t="b">
        <v>0</v>
      </c>
      <c r="O422">
        <v>0</v>
      </c>
      <c r="P422">
        <v>1</v>
      </c>
      <c r="Q422">
        <v>0</v>
      </c>
      <c r="R422">
        <v>0</v>
      </c>
    </row>
    <row r="423" spans="1:18" x14ac:dyDescent="0.25">
      <c r="A423" t="s">
        <v>16</v>
      </c>
      <c r="B423" t="s">
        <v>6</v>
      </c>
      <c r="C423">
        <v>3</v>
      </c>
      <c r="D423">
        <v>3</v>
      </c>
      <c r="E423">
        <v>1</v>
      </c>
      <c r="F423" s="15">
        <v>46006</v>
      </c>
      <c r="G423" t="s">
        <v>210</v>
      </c>
      <c r="H423">
        <v>4</v>
      </c>
      <c r="I423">
        <v>2025</v>
      </c>
      <c r="J423">
        <v>12</v>
      </c>
      <c r="K423" t="s">
        <v>87</v>
      </c>
      <c r="L423" t="s">
        <v>15</v>
      </c>
      <c r="M423" t="s">
        <v>8</v>
      </c>
      <c r="N423" t="b">
        <v>0</v>
      </c>
      <c r="O423">
        <v>0</v>
      </c>
      <c r="P423">
        <v>1</v>
      </c>
      <c r="Q423">
        <v>0</v>
      </c>
      <c r="R423">
        <v>1</v>
      </c>
    </row>
    <row r="424" spans="1:18" x14ac:dyDescent="0.25">
      <c r="A424" t="s">
        <v>16</v>
      </c>
      <c r="B424" t="s">
        <v>6</v>
      </c>
      <c r="C424">
        <v>3</v>
      </c>
      <c r="D424">
        <v>3</v>
      </c>
      <c r="E424">
        <v>1</v>
      </c>
      <c r="F424" s="15">
        <v>46006</v>
      </c>
      <c r="G424" t="s">
        <v>210</v>
      </c>
      <c r="H424">
        <v>4</v>
      </c>
      <c r="I424">
        <v>2025</v>
      </c>
      <c r="J424">
        <v>12</v>
      </c>
      <c r="K424" t="s">
        <v>87</v>
      </c>
      <c r="L424" t="s">
        <v>17</v>
      </c>
      <c r="M424" t="s">
        <v>6</v>
      </c>
      <c r="N424" t="b">
        <v>0</v>
      </c>
      <c r="O424">
        <v>0</v>
      </c>
      <c r="P424">
        <v>1</v>
      </c>
      <c r="Q424">
        <v>0</v>
      </c>
      <c r="R424">
        <v>0</v>
      </c>
    </row>
    <row r="425" spans="1:18" x14ac:dyDescent="0.25">
      <c r="A425" t="s">
        <v>17</v>
      </c>
      <c r="B425" t="s">
        <v>6</v>
      </c>
      <c r="C425">
        <v>4</v>
      </c>
      <c r="D425">
        <v>3</v>
      </c>
      <c r="E425">
        <v>1</v>
      </c>
      <c r="F425" s="15">
        <v>46006</v>
      </c>
      <c r="G425" t="s">
        <v>210</v>
      </c>
      <c r="H425">
        <v>4</v>
      </c>
      <c r="I425">
        <v>2025</v>
      </c>
      <c r="J425">
        <v>12</v>
      </c>
      <c r="K425" t="s">
        <v>87</v>
      </c>
      <c r="L425" t="s">
        <v>14</v>
      </c>
      <c r="M425" t="s">
        <v>6</v>
      </c>
      <c r="N425" t="b">
        <v>0</v>
      </c>
      <c r="O425">
        <v>0</v>
      </c>
      <c r="P425">
        <v>1</v>
      </c>
      <c r="Q425">
        <v>0</v>
      </c>
      <c r="R425">
        <v>0</v>
      </c>
    </row>
    <row r="426" spans="1:18" x14ac:dyDescent="0.25">
      <c r="A426" t="s">
        <v>17</v>
      </c>
      <c r="B426" t="s">
        <v>6</v>
      </c>
      <c r="C426">
        <v>4</v>
      </c>
      <c r="D426">
        <v>3</v>
      </c>
      <c r="E426">
        <v>1</v>
      </c>
      <c r="F426" s="15">
        <v>46006</v>
      </c>
      <c r="G426" t="s">
        <v>210</v>
      </c>
      <c r="H426">
        <v>4</v>
      </c>
      <c r="I426">
        <v>2025</v>
      </c>
      <c r="J426">
        <v>12</v>
      </c>
      <c r="K426" t="s">
        <v>87</v>
      </c>
      <c r="L426" t="s">
        <v>15</v>
      </c>
      <c r="M426" t="s">
        <v>8</v>
      </c>
      <c r="N426" t="b">
        <v>0</v>
      </c>
      <c r="O426">
        <v>0</v>
      </c>
      <c r="P426">
        <v>1</v>
      </c>
      <c r="Q426">
        <v>0</v>
      </c>
      <c r="R426">
        <v>1</v>
      </c>
    </row>
    <row r="427" spans="1:18" x14ac:dyDescent="0.25">
      <c r="A427" t="s">
        <v>17</v>
      </c>
      <c r="B427" t="s">
        <v>6</v>
      </c>
      <c r="C427">
        <v>4</v>
      </c>
      <c r="D427">
        <v>3</v>
      </c>
      <c r="E427">
        <v>1</v>
      </c>
      <c r="F427" s="15">
        <v>46006</v>
      </c>
      <c r="G427" t="s">
        <v>210</v>
      </c>
      <c r="H427">
        <v>4</v>
      </c>
      <c r="I427">
        <v>2025</v>
      </c>
      <c r="J427">
        <v>12</v>
      </c>
      <c r="K427" t="s">
        <v>87</v>
      </c>
      <c r="L427" t="s">
        <v>16</v>
      </c>
      <c r="M427" t="s">
        <v>6</v>
      </c>
      <c r="N427" t="b">
        <v>0</v>
      </c>
      <c r="O427">
        <v>0</v>
      </c>
      <c r="P427">
        <v>1</v>
      </c>
      <c r="Q427">
        <v>0</v>
      </c>
      <c r="R427">
        <v>0</v>
      </c>
    </row>
    <row r="428" spans="1:18" x14ac:dyDescent="0.25">
      <c r="A428" t="s">
        <v>14</v>
      </c>
      <c r="B428" t="s">
        <v>6</v>
      </c>
      <c r="D428">
        <v>3</v>
      </c>
      <c r="E428">
        <v>2</v>
      </c>
      <c r="F428" s="15">
        <v>45859</v>
      </c>
      <c r="G428" t="s">
        <v>214</v>
      </c>
      <c r="H428">
        <v>4</v>
      </c>
      <c r="I428">
        <v>2025</v>
      </c>
      <c r="J428">
        <v>7</v>
      </c>
      <c r="K428" t="s">
        <v>87</v>
      </c>
      <c r="L428" t="s">
        <v>10</v>
      </c>
      <c r="M428" t="s">
        <v>8</v>
      </c>
      <c r="N428" t="b">
        <v>0</v>
      </c>
      <c r="O428">
        <v>0</v>
      </c>
      <c r="P428">
        <v>1</v>
      </c>
      <c r="Q428">
        <v>0</v>
      </c>
      <c r="R428">
        <v>1</v>
      </c>
    </row>
    <row r="429" spans="1:18" x14ac:dyDescent="0.25">
      <c r="A429" t="s">
        <v>14</v>
      </c>
      <c r="B429" t="s">
        <v>6</v>
      </c>
      <c r="D429">
        <v>3</v>
      </c>
      <c r="E429">
        <v>2</v>
      </c>
      <c r="F429" s="15">
        <v>45859</v>
      </c>
      <c r="G429" t="s">
        <v>214</v>
      </c>
      <c r="H429">
        <v>4</v>
      </c>
      <c r="I429">
        <v>2025</v>
      </c>
      <c r="J429">
        <v>7</v>
      </c>
      <c r="K429" t="s">
        <v>87</v>
      </c>
      <c r="L429" t="s">
        <v>76</v>
      </c>
      <c r="M429" t="s">
        <v>6</v>
      </c>
      <c r="N429" t="b">
        <v>0</v>
      </c>
      <c r="O429">
        <v>0</v>
      </c>
      <c r="P429">
        <v>1</v>
      </c>
      <c r="Q429">
        <v>0</v>
      </c>
      <c r="R429">
        <v>0</v>
      </c>
    </row>
    <row r="430" spans="1:18" x14ac:dyDescent="0.25">
      <c r="A430" t="s">
        <v>14</v>
      </c>
      <c r="B430" t="s">
        <v>6</v>
      </c>
      <c r="D430">
        <v>3</v>
      </c>
      <c r="E430">
        <v>2</v>
      </c>
      <c r="F430" s="15">
        <v>45859</v>
      </c>
      <c r="G430" t="s">
        <v>214</v>
      </c>
      <c r="H430">
        <v>4</v>
      </c>
      <c r="I430">
        <v>2025</v>
      </c>
      <c r="J430">
        <v>7</v>
      </c>
      <c r="K430" t="s">
        <v>87</v>
      </c>
      <c r="L430" t="s">
        <v>76</v>
      </c>
      <c r="M430" t="s">
        <v>6</v>
      </c>
      <c r="N430" t="b">
        <v>0</v>
      </c>
      <c r="O430">
        <v>0</v>
      </c>
      <c r="P430">
        <v>1</v>
      </c>
      <c r="Q430">
        <v>0</v>
      </c>
      <c r="R430">
        <v>0</v>
      </c>
    </row>
    <row r="431" spans="1:18" x14ac:dyDescent="0.25">
      <c r="A431" t="s">
        <v>10</v>
      </c>
      <c r="B431" t="s">
        <v>8</v>
      </c>
      <c r="D431">
        <v>3</v>
      </c>
      <c r="E431">
        <v>2</v>
      </c>
      <c r="F431" s="15">
        <v>45859</v>
      </c>
      <c r="G431" t="s">
        <v>214</v>
      </c>
      <c r="H431">
        <v>4</v>
      </c>
      <c r="I431">
        <v>2025</v>
      </c>
      <c r="J431">
        <v>7</v>
      </c>
      <c r="K431" t="s">
        <v>87</v>
      </c>
      <c r="L431" t="s">
        <v>14</v>
      </c>
      <c r="M431" t="s">
        <v>6</v>
      </c>
      <c r="N431" t="b">
        <v>0</v>
      </c>
      <c r="O431">
        <v>1</v>
      </c>
      <c r="P431">
        <v>0</v>
      </c>
      <c r="Q431">
        <v>0</v>
      </c>
      <c r="R431">
        <v>0</v>
      </c>
    </row>
    <row r="432" spans="1:18" x14ac:dyDescent="0.25">
      <c r="A432" t="s">
        <v>10</v>
      </c>
      <c r="B432" t="s">
        <v>8</v>
      </c>
      <c r="D432">
        <v>3</v>
      </c>
      <c r="E432">
        <v>2</v>
      </c>
      <c r="F432" s="15">
        <v>45859</v>
      </c>
      <c r="G432" t="s">
        <v>214</v>
      </c>
      <c r="H432">
        <v>4</v>
      </c>
      <c r="I432">
        <v>2025</v>
      </c>
      <c r="J432">
        <v>7</v>
      </c>
      <c r="K432" t="s">
        <v>87</v>
      </c>
      <c r="L432" t="s">
        <v>76</v>
      </c>
      <c r="M432" t="s">
        <v>6</v>
      </c>
      <c r="N432" t="b">
        <v>0</v>
      </c>
      <c r="O432">
        <v>1</v>
      </c>
      <c r="P432">
        <v>0</v>
      </c>
      <c r="Q432">
        <v>0</v>
      </c>
      <c r="R432">
        <v>0</v>
      </c>
    </row>
    <row r="433" spans="1:18" x14ac:dyDescent="0.25">
      <c r="A433" t="s">
        <v>10</v>
      </c>
      <c r="B433" t="s">
        <v>8</v>
      </c>
      <c r="D433">
        <v>3</v>
      </c>
      <c r="E433">
        <v>2</v>
      </c>
      <c r="F433" s="15">
        <v>45859</v>
      </c>
      <c r="G433" t="s">
        <v>214</v>
      </c>
      <c r="H433">
        <v>4</v>
      </c>
      <c r="I433">
        <v>2025</v>
      </c>
      <c r="J433">
        <v>7</v>
      </c>
      <c r="K433" t="s">
        <v>87</v>
      </c>
      <c r="L433" t="s">
        <v>76</v>
      </c>
      <c r="M433" t="s">
        <v>6</v>
      </c>
      <c r="N433" t="b">
        <v>0</v>
      </c>
      <c r="O433">
        <v>1</v>
      </c>
      <c r="P433">
        <v>0</v>
      </c>
      <c r="Q433">
        <v>0</v>
      </c>
      <c r="R433">
        <v>0</v>
      </c>
    </row>
    <row r="434" spans="1:18" x14ac:dyDescent="0.25">
      <c r="A434" t="s">
        <v>76</v>
      </c>
      <c r="B434" t="s">
        <v>6</v>
      </c>
      <c r="D434">
        <v>3</v>
      </c>
      <c r="E434">
        <v>2</v>
      </c>
      <c r="F434" s="15">
        <v>45859</v>
      </c>
      <c r="G434" t="s">
        <v>214</v>
      </c>
      <c r="H434">
        <v>4</v>
      </c>
      <c r="I434">
        <v>2025</v>
      </c>
      <c r="J434">
        <v>7</v>
      </c>
      <c r="K434" t="s">
        <v>87</v>
      </c>
      <c r="L434" t="s">
        <v>14</v>
      </c>
      <c r="M434" t="s">
        <v>6</v>
      </c>
      <c r="N434" t="b">
        <v>0</v>
      </c>
      <c r="O434">
        <v>0</v>
      </c>
      <c r="P434">
        <v>1</v>
      </c>
      <c r="Q434">
        <v>0</v>
      </c>
      <c r="R434">
        <v>0</v>
      </c>
    </row>
    <row r="435" spans="1:18" x14ac:dyDescent="0.25">
      <c r="A435" t="s">
        <v>76</v>
      </c>
      <c r="B435" t="s">
        <v>6</v>
      </c>
      <c r="D435">
        <v>3</v>
      </c>
      <c r="E435">
        <v>2</v>
      </c>
      <c r="F435" s="15">
        <v>45859</v>
      </c>
      <c r="G435" t="s">
        <v>214</v>
      </c>
      <c r="H435">
        <v>4</v>
      </c>
      <c r="I435">
        <v>2025</v>
      </c>
      <c r="J435">
        <v>7</v>
      </c>
      <c r="K435" t="s">
        <v>87</v>
      </c>
      <c r="L435" t="s">
        <v>10</v>
      </c>
      <c r="M435" t="s">
        <v>8</v>
      </c>
      <c r="N435" t="b">
        <v>0</v>
      </c>
      <c r="O435">
        <v>0</v>
      </c>
      <c r="P435">
        <v>1</v>
      </c>
      <c r="Q435">
        <v>0</v>
      </c>
      <c r="R435">
        <v>1</v>
      </c>
    </row>
    <row r="436" spans="1:18" x14ac:dyDescent="0.25">
      <c r="A436" t="s">
        <v>76</v>
      </c>
      <c r="B436" t="s">
        <v>6</v>
      </c>
      <c r="D436">
        <v>3</v>
      </c>
      <c r="E436">
        <v>2</v>
      </c>
      <c r="F436" s="15">
        <v>45859</v>
      </c>
      <c r="G436" t="s">
        <v>214</v>
      </c>
      <c r="H436">
        <v>4</v>
      </c>
      <c r="I436">
        <v>2025</v>
      </c>
      <c r="J436">
        <v>7</v>
      </c>
      <c r="K436" t="s">
        <v>87</v>
      </c>
      <c r="L436" t="s">
        <v>14</v>
      </c>
      <c r="M436" t="s">
        <v>6</v>
      </c>
      <c r="N436" t="b">
        <v>0</v>
      </c>
      <c r="O436">
        <v>0</v>
      </c>
      <c r="P436">
        <v>1</v>
      </c>
      <c r="Q436">
        <v>0</v>
      </c>
      <c r="R436">
        <v>0</v>
      </c>
    </row>
    <row r="437" spans="1:18" x14ac:dyDescent="0.25">
      <c r="A437" t="s">
        <v>76</v>
      </c>
      <c r="B437" t="s">
        <v>6</v>
      </c>
      <c r="D437">
        <v>3</v>
      </c>
      <c r="E437">
        <v>2</v>
      </c>
      <c r="F437" s="15">
        <v>45859</v>
      </c>
      <c r="G437" t="s">
        <v>214</v>
      </c>
      <c r="H437">
        <v>4</v>
      </c>
      <c r="I437">
        <v>2025</v>
      </c>
      <c r="J437">
        <v>7</v>
      </c>
      <c r="K437" t="s">
        <v>87</v>
      </c>
      <c r="L437" t="s">
        <v>10</v>
      </c>
      <c r="M437" t="s">
        <v>8</v>
      </c>
      <c r="N437" t="b">
        <v>0</v>
      </c>
      <c r="O437">
        <v>0</v>
      </c>
      <c r="P437">
        <v>1</v>
      </c>
      <c r="Q437">
        <v>0</v>
      </c>
      <c r="R437">
        <v>1</v>
      </c>
    </row>
    <row r="438" spans="1:18" x14ac:dyDescent="0.25">
      <c r="A438" t="s">
        <v>14</v>
      </c>
      <c r="B438" t="s">
        <v>6</v>
      </c>
      <c r="C438">
        <v>1</v>
      </c>
      <c r="D438">
        <v>3</v>
      </c>
      <c r="E438">
        <v>2</v>
      </c>
      <c r="F438" s="15">
        <v>45943</v>
      </c>
      <c r="G438" t="s">
        <v>225</v>
      </c>
      <c r="H438">
        <v>5</v>
      </c>
      <c r="I438">
        <v>2025</v>
      </c>
      <c r="J438">
        <v>10</v>
      </c>
      <c r="K438" t="s">
        <v>87</v>
      </c>
      <c r="L438" t="s">
        <v>19</v>
      </c>
      <c r="M438" t="s">
        <v>8</v>
      </c>
      <c r="N438" t="b">
        <v>0</v>
      </c>
      <c r="O438">
        <v>0</v>
      </c>
      <c r="P438">
        <v>1</v>
      </c>
      <c r="Q438">
        <v>0</v>
      </c>
      <c r="R438">
        <v>1</v>
      </c>
    </row>
    <row r="439" spans="1:18" x14ac:dyDescent="0.25">
      <c r="A439" t="s">
        <v>14</v>
      </c>
      <c r="B439" t="s">
        <v>6</v>
      </c>
      <c r="C439">
        <v>1</v>
      </c>
      <c r="D439">
        <v>3</v>
      </c>
      <c r="E439">
        <v>2</v>
      </c>
      <c r="F439" s="15">
        <v>45943</v>
      </c>
      <c r="G439" t="s">
        <v>225</v>
      </c>
      <c r="H439">
        <v>5</v>
      </c>
      <c r="I439">
        <v>2025</v>
      </c>
      <c r="J439">
        <v>10</v>
      </c>
      <c r="K439" t="s">
        <v>87</v>
      </c>
      <c r="L439" t="s">
        <v>10</v>
      </c>
      <c r="M439" t="s">
        <v>6</v>
      </c>
      <c r="N439" t="b">
        <v>0</v>
      </c>
      <c r="O439">
        <v>0</v>
      </c>
      <c r="P439">
        <v>1</v>
      </c>
      <c r="Q439">
        <v>0</v>
      </c>
      <c r="R439">
        <v>0</v>
      </c>
    </row>
    <row r="440" spans="1:18" x14ac:dyDescent="0.25">
      <c r="A440" t="s">
        <v>14</v>
      </c>
      <c r="B440" t="s">
        <v>6</v>
      </c>
      <c r="C440">
        <v>1</v>
      </c>
      <c r="D440">
        <v>3</v>
      </c>
      <c r="E440">
        <v>2</v>
      </c>
      <c r="F440" s="15">
        <v>45943</v>
      </c>
      <c r="G440" t="s">
        <v>225</v>
      </c>
      <c r="H440">
        <v>5</v>
      </c>
      <c r="I440">
        <v>2025</v>
      </c>
      <c r="J440">
        <v>10</v>
      </c>
      <c r="K440" t="s">
        <v>87</v>
      </c>
      <c r="L440" t="s">
        <v>52</v>
      </c>
      <c r="M440" t="s">
        <v>6</v>
      </c>
      <c r="N440" t="b">
        <v>0</v>
      </c>
      <c r="O440">
        <v>0</v>
      </c>
      <c r="P440">
        <v>1</v>
      </c>
      <c r="Q440">
        <v>0</v>
      </c>
      <c r="R440">
        <v>0</v>
      </c>
    </row>
    <row r="441" spans="1:18" x14ac:dyDescent="0.25">
      <c r="A441" t="s">
        <v>14</v>
      </c>
      <c r="B441" t="s">
        <v>6</v>
      </c>
      <c r="C441">
        <v>1</v>
      </c>
      <c r="D441">
        <v>3</v>
      </c>
      <c r="E441">
        <v>2</v>
      </c>
      <c r="F441" s="15">
        <v>45943</v>
      </c>
      <c r="G441" t="s">
        <v>225</v>
      </c>
      <c r="H441">
        <v>5</v>
      </c>
      <c r="I441">
        <v>2025</v>
      </c>
      <c r="J441">
        <v>10</v>
      </c>
      <c r="K441" t="s">
        <v>87</v>
      </c>
      <c r="L441" t="s">
        <v>9</v>
      </c>
      <c r="M441" t="s">
        <v>6</v>
      </c>
      <c r="N441" t="b">
        <v>0</v>
      </c>
      <c r="O441">
        <v>0</v>
      </c>
      <c r="P441">
        <v>1</v>
      </c>
      <c r="Q441">
        <v>0</v>
      </c>
      <c r="R441">
        <v>0</v>
      </c>
    </row>
    <row r="442" spans="1:18" x14ac:dyDescent="0.25">
      <c r="A442" t="s">
        <v>19</v>
      </c>
      <c r="B442" t="s">
        <v>8</v>
      </c>
      <c r="C442">
        <v>2</v>
      </c>
      <c r="D442">
        <v>3</v>
      </c>
      <c r="E442">
        <v>2</v>
      </c>
      <c r="F442" s="15">
        <v>45943</v>
      </c>
      <c r="G442" t="s">
        <v>225</v>
      </c>
      <c r="H442">
        <v>5</v>
      </c>
      <c r="I442">
        <v>2025</v>
      </c>
      <c r="J442">
        <v>10</v>
      </c>
      <c r="K442" t="s">
        <v>87</v>
      </c>
      <c r="L442" t="s">
        <v>14</v>
      </c>
      <c r="M442" t="s">
        <v>6</v>
      </c>
      <c r="N442" t="b">
        <v>0</v>
      </c>
      <c r="O442">
        <v>1</v>
      </c>
      <c r="P442">
        <v>0</v>
      </c>
      <c r="Q442">
        <v>0</v>
      </c>
      <c r="R442">
        <v>0</v>
      </c>
    </row>
    <row r="443" spans="1:18" x14ac:dyDescent="0.25">
      <c r="A443" t="s">
        <v>19</v>
      </c>
      <c r="B443" t="s">
        <v>8</v>
      </c>
      <c r="C443">
        <v>2</v>
      </c>
      <c r="D443">
        <v>3</v>
      </c>
      <c r="E443">
        <v>2</v>
      </c>
      <c r="F443" s="15">
        <v>45943</v>
      </c>
      <c r="G443" t="s">
        <v>225</v>
      </c>
      <c r="H443">
        <v>5</v>
      </c>
      <c r="I443">
        <v>2025</v>
      </c>
      <c r="J443">
        <v>10</v>
      </c>
      <c r="K443" t="s">
        <v>87</v>
      </c>
      <c r="L443" t="s">
        <v>10</v>
      </c>
      <c r="M443" t="s">
        <v>6</v>
      </c>
      <c r="N443" t="b">
        <v>0</v>
      </c>
      <c r="O443">
        <v>1</v>
      </c>
      <c r="P443">
        <v>0</v>
      </c>
      <c r="Q443">
        <v>0</v>
      </c>
      <c r="R443">
        <v>0</v>
      </c>
    </row>
    <row r="444" spans="1:18" x14ac:dyDescent="0.25">
      <c r="A444" t="s">
        <v>19</v>
      </c>
      <c r="B444" t="s">
        <v>8</v>
      </c>
      <c r="C444">
        <v>2</v>
      </c>
      <c r="D444">
        <v>3</v>
      </c>
      <c r="E444">
        <v>2</v>
      </c>
      <c r="F444" s="15">
        <v>45943</v>
      </c>
      <c r="G444" t="s">
        <v>225</v>
      </c>
      <c r="H444">
        <v>5</v>
      </c>
      <c r="I444">
        <v>2025</v>
      </c>
      <c r="J444">
        <v>10</v>
      </c>
      <c r="K444" t="s">
        <v>87</v>
      </c>
      <c r="L444" t="s">
        <v>52</v>
      </c>
      <c r="M444" t="s">
        <v>6</v>
      </c>
      <c r="N444" t="b">
        <v>0</v>
      </c>
      <c r="O444">
        <v>1</v>
      </c>
      <c r="P444">
        <v>0</v>
      </c>
      <c r="Q444">
        <v>0</v>
      </c>
      <c r="R444">
        <v>0</v>
      </c>
    </row>
    <row r="445" spans="1:18" x14ac:dyDescent="0.25">
      <c r="A445" t="s">
        <v>19</v>
      </c>
      <c r="B445" t="s">
        <v>8</v>
      </c>
      <c r="C445">
        <v>2</v>
      </c>
      <c r="D445">
        <v>3</v>
      </c>
      <c r="E445">
        <v>2</v>
      </c>
      <c r="F445" s="15">
        <v>45943</v>
      </c>
      <c r="G445" t="s">
        <v>225</v>
      </c>
      <c r="H445">
        <v>5</v>
      </c>
      <c r="I445">
        <v>2025</v>
      </c>
      <c r="J445">
        <v>10</v>
      </c>
      <c r="K445" t="s">
        <v>87</v>
      </c>
      <c r="L445" t="s">
        <v>9</v>
      </c>
      <c r="M445" t="s">
        <v>6</v>
      </c>
      <c r="N445" t="b">
        <v>0</v>
      </c>
      <c r="O445">
        <v>1</v>
      </c>
      <c r="P445">
        <v>0</v>
      </c>
      <c r="Q445">
        <v>0</v>
      </c>
      <c r="R445">
        <v>0</v>
      </c>
    </row>
    <row r="446" spans="1:18" x14ac:dyDescent="0.25">
      <c r="A446" t="s">
        <v>10</v>
      </c>
      <c r="B446" t="s">
        <v>6</v>
      </c>
      <c r="C446">
        <v>4</v>
      </c>
      <c r="D446">
        <v>3</v>
      </c>
      <c r="E446">
        <v>2</v>
      </c>
      <c r="F446" s="15">
        <v>45943</v>
      </c>
      <c r="G446" t="s">
        <v>225</v>
      </c>
      <c r="H446">
        <v>5</v>
      </c>
      <c r="I446">
        <v>2025</v>
      </c>
      <c r="J446">
        <v>10</v>
      </c>
      <c r="K446" t="s">
        <v>87</v>
      </c>
      <c r="L446" t="s">
        <v>14</v>
      </c>
      <c r="M446" t="s">
        <v>6</v>
      </c>
      <c r="N446" t="b">
        <v>0</v>
      </c>
      <c r="O446">
        <v>0</v>
      </c>
      <c r="P446">
        <v>1</v>
      </c>
      <c r="Q446">
        <v>0</v>
      </c>
      <c r="R446">
        <v>0</v>
      </c>
    </row>
    <row r="447" spans="1:18" x14ac:dyDescent="0.25">
      <c r="A447" t="s">
        <v>10</v>
      </c>
      <c r="B447" t="s">
        <v>6</v>
      </c>
      <c r="C447">
        <v>4</v>
      </c>
      <c r="D447">
        <v>3</v>
      </c>
      <c r="E447">
        <v>2</v>
      </c>
      <c r="F447" s="15">
        <v>45943</v>
      </c>
      <c r="G447" t="s">
        <v>225</v>
      </c>
      <c r="H447">
        <v>5</v>
      </c>
      <c r="I447">
        <v>2025</v>
      </c>
      <c r="J447">
        <v>10</v>
      </c>
      <c r="K447" t="s">
        <v>87</v>
      </c>
      <c r="L447" t="s">
        <v>19</v>
      </c>
      <c r="M447" t="s">
        <v>8</v>
      </c>
      <c r="N447" t="b">
        <v>0</v>
      </c>
      <c r="O447">
        <v>0</v>
      </c>
      <c r="P447">
        <v>1</v>
      </c>
      <c r="Q447">
        <v>0</v>
      </c>
      <c r="R447">
        <v>1</v>
      </c>
    </row>
    <row r="448" spans="1:18" x14ac:dyDescent="0.25">
      <c r="A448" t="s">
        <v>10</v>
      </c>
      <c r="B448" t="s">
        <v>6</v>
      </c>
      <c r="C448">
        <v>4</v>
      </c>
      <c r="D448">
        <v>3</v>
      </c>
      <c r="E448">
        <v>2</v>
      </c>
      <c r="F448" s="15">
        <v>45943</v>
      </c>
      <c r="G448" t="s">
        <v>225</v>
      </c>
      <c r="H448">
        <v>5</v>
      </c>
      <c r="I448">
        <v>2025</v>
      </c>
      <c r="J448">
        <v>10</v>
      </c>
      <c r="K448" t="s">
        <v>87</v>
      </c>
      <c r="L448" t="s">
        <v>52</v>
      </c>
      <c r="M448" t="s">
        <v>6</v>
      </c>
      <c r="N448" t="b">
        <v>0</v>
      </c>
      <c r="O448">
        <v>0</v>
      </c>
      <c r="P448">
        <v>1</v>
      </c>
      <c r="Q448">
        <v>0</v>
      </c>
      <c r="R448">
        <v>0</v>
      </c>
    </row>
    <row r="449" spans="1:18" x14ac:dyDescent="0.25">
      <c r="A449" t="s">
        <v>10</v>
      </c>
      <c r="B449" t="s">
        <v>6</v>
      </c>
      <c r="C449">
        <v>4</v>
      </c>
      <c r="D449">
        <v>3</v>
      </c>
      <c r="E449">
        <v>2</v>
      </c>
      <c r="F449" s="15">
        <v>45943</v>
      </c>
      <c r="G449" t="s">
        <v>225</v>
      </c>
      <c r="H449">
        <v>5</v>
      </c>
      <c r="I449">
        <v>2025</v>
      </c>
      <c r="J449">
        <v>10</v>
      </c>
      <c r="K449" t="s">
        <v>87</v>
      </c>
      <c r="L449" t="s">
        <v>9</v>
      </c>
      <c r="M449" t="s">
        <v>6</v>
      </c>
      <c r="N449" t="b">
        <v>0</v>
      </c>
      <c r="O449">
        <v>0</v>
      </c>
      <c r="P449">
        <v>1</v>
      </c>
      <c r="Q449">
        <v>0</v>
      </c>
      <c r="R449">
        <v>0</v>
      </c>
    </row>
    <row r="450" spans="1:18" x14ac:dyDescent="0.25">
      <c r="A450" t="s">
        <v>52</v>
      </c>
      <c r="B450" t="s">
        <v>6</v>
      </c>
      <c r="C450">
        <v>3</v>
      </c>
      <c r="D450">
        <v>3</v>
      </c>
      <c r="E450">
        <v>2</v>
      </c>
      <c r="F450" s="15">
        <v>45943</v>
      </c>
      <c r="G450" t="s">
        <v>225</v>
      </c>
      <c r="H450">
        <v>5</v>
      </c>
      <c r="I450">
        <v>2025</v>
      </c>
      <c r="J450">
        <v>10</v>
      </c>
      <c r="K450" t="s">
        <v>87</v>
      </c>
      <c r="L450" t="s">
        <v>14</v>
      </c>
      <c r="M450" t="s">
        <v>6</v>
      </c>
      <c r="N450" t="b">
        <v>0</v>
      </c>
      <c r="O450">
        <v>0</v>
      </c>
      <c r="P450">
        <v>1</v>
      </c>
      <c r="Q450">
        <v>0</v>
      </c>
      <c r="R450">
        <v>0</v>
      </c>
    </row>
    <row r="451" spans="1:18" x14ac:dyDescent="0.25">
      <c r="A451" t="s">
        <v>52</v>
      </c>
      <c r="B451" t="s">
        <v>6</v>
      </c>
      <c r="C451">
        <v>3</v>
      </c>
      <c r="D451">
        <v>3</v>
      </c>
      <c r="E451">
        <v>2</v>
      </c>
      <c r="F451" s="15">
        <v>45943</v>
      </c>
      <c r="G451" t="s">
        <v>225</v>
      </c>
      <c r="H451">
        <v>5</v>
      </c>
      <c r="I451">
        <v>2025</v>
      </c>
      <c r="J451">
        <v>10</v>
      </c>
      <c r="K451" t="s">
        <v>87</v>
      </c>
      <c r="L451" t="s">
        <v>19</v>
      </c>
      <c r="M451" t="s">
        <v>8</v>
      </c>
      <c r="N451" t="b">
        <v>0</v>
      </c>
      <c r="O451">
        <v>0</v>
      </c>
      <c r="P451">
        <v>1</v>
      </c>
      <c r="Q451">
        <v>0</v>
      </c>
      <c r="R451">
        <v>1</v>
      </c>
    </row>
    <row r="452" spans="1:18" x14ac:dyDescent="0.25">
      <c r="A452" t="s">
        <v>52</v>
      </c>
      <c r="B452" t="s">
        <v>6</v>
      </c>
      <c r="C452">
        <v>3</v>
      </c>
      <c r="D452">
        <v>3</v>
      </c>
      <c r="E452">
        <v>2</v>
      </c>
      <c r="F452" s="15">
        <v>45943</v>
      </c>
      <c r="G452" t="s">
        <v>225</v>
      </c>
      <c r="H452">
        <v>5</v>
      </c>
      <c r="I452">
        <v>2025</v>
      </c>
      <c r="J452">
        <v>10</v>
      </c>
      <c r="K452" t="s">
        <v>87</v>
      </c>
      <c r="L452" t="s">
        <v>10</v>
      </c>
      <c r="M452" t="s">
        <v>6</v>
      </c>
      <c r="N452" t="b">
        <v>0</v>
      </c>
      <c r="O452">
        <v>0</v>
      </c>
      <c r="P452">
        <v>1</v>
      </c>
      <c r="Q452">
        <v>0</v>
      </c>
      <c r="R452">
        <v>0</v>
      </c>
    </row>
    <row r="453" spans="1:18" x14ac:dyDescent="0.25">
      <c r="A453" t="s">
        <v>52</v>
      </c>
      <c r="B453" t="s">
        <v>6</v>
      </c>
      <c r="C453">
        <v>3</v>
      </c>
      <c r="D453">
        <v>3</v>
      </c>
      <c r="E453">
        <v>2</v>
      </c>
      <c r="F453" s="15">
        <v>45943</v>
      </c>
      <c r="G453" t="s">
        <v>225</v>
      </c>
      <c r="H453">
        <v>5</v>
      </c>
      <c r="I453">
        <v>2025</v>
      </c>
      <c r="J453">
        <v>10</v>
      </c>
      <c r="K453" t="s">
        <v>87</v>
      </c>
      <c r="L453" t="s">
        <v>9</v>
      </c>
      <c r="M453" t="s">
        <v>6</v>
      </c>
      <c r="N453" t="b">
        <v>0</v>
      </c>
      <c r="O453">
        <v>0</v>
      </c>
      <c r="P453">
        <v>1</v>
      </c>
      <c r="Q453">
        <v>0</v>
      </c>
      <c r="R453">
        <v>0</v>
      </c>
    </row>
    <row r="454" spans="1:18" x14ac:dyDescent="0.25">
      <c r="A454" t="s">
        <v>9</v>
      </c>
      <c r="B454" t="s">
        <v>6</v>
      </c>
      <c r="C454">
        <v>5</v>
      </c>
      <c r="D454">
        <v>3</v>
      </c>
      <c r="E454">
        <v>2</v>
      </c>
      <c r="F454" s="15">
        <v>45943</v>
      </c>
      <c r="G454" t="s">
        <v>225</v>
      </c>
      <c r="H454">
        <v>5</v>
      </c>
      <c r="I454">
        <v>2025</v>
      </c>
      <c r="J454">
        <v>10</v>
      </c>
      <c r="K454" t="s">
        <v>87</v>
      </c>
      <c r="L454" t="s">
        <v>14</v>
      </c>
      <c r="M454" t="s">
        <v>6</v>
      </c>
      <c r="N454" t="b">
        <v>0</v>
      </c>
      <c r="O454">
        <v>0</v>
      </c>
      <c r="P454">
        <v>1</v>
      </c>
      <c r="Q454">
        <v>0</v>
      </c>
      <c r="R454">
        <v>0</v>
      </c>
    </row>
    <row r="455" spans="1:18" x14ac:dyDescent="0.25">
      <c r="A455" t="s">
        <v>9</v>
      </c>
      <c r="B455" t="s">
        <v>6</v>
      </c>
      <c r="C455">
        <v>5</v>
      </c>
      <c r="D455">
        <v>3</v>
      </c>
      <c r="E455">
        <v>2</v>
      </c>
      <c r="F455" s="15">
        <v>45943</v>
      </c>
      <c r="G455" t="s">
        <v>225</v>
      </c>
      <c r="H455">
        <v>5</v>
      </c>
      <c r="I455">
        <v>2025</v>
      </c>
      <c r="J455">
        <v>10</v>
      </c>
      <c r="K455" t="s">
        <v>87</v>
      </c>
      <c r="L455" t="s">
        <v>19</v>
      </c>
      <c r="M455" t="s">
        <v>8</v>
      </c>
      <c r="N455" t="b">
        <v>0</v>
      </c>
      <c r="O455">
        <v>0</v>
      </c>
      <c r="P455">
        <v>1</v>
      </c>
      <c r="Q455">
        <v>0</v>
      </c>
      <c r="R455">
        <v>1</v>
      </c>
    </row>
    <row r="456" spans="1:18" x14ac:dyDescent="0.25">
      <c r="A456" t="s">
        <v>9</v>
      </c>
      <c r="B456" t="s">
        <v>6</v>
      </c>
      <c r="C456">
        <v>5</v>
      </c>
      <c r="D456">
        <v>3</v>
      </c>
      <c r="E456">
        <v>2</v>
      </c>
      <c r="F456" s="15">
        <v>45943</v>
      </c>
      <c r="G456" t="s">
        <v>225</v>
      </c>
      <c r="H456">
        <v>5</v>
      </c>
      <c r="I456">
        <v>2025</v>
      </c>
      <c r="J456">
        <v>10</v>
      </c>
      <c r="K456" t="s">
        <v>87</v>
      </c>
      <c r="L456" t="s">
        <v>10</v>
      </c>
      <c r="M456" t="s">
        <v>6</v>
      </c>
      <c r="N456" t="b">
        <v>0</v>
      </c>
      <c r="O456">
        <v>0</v>
      </c>
      <c r="P456">
        <v>1</v>
      </c>
      <c r="Q456">
        <v>0</v>
      </c>
      <c r="R456">
        <v>0</v>
      </c>
    </row>
    <row r="457" spans="1:18" x14ac:dyDescent="0.25">
      <c r="A457" t="s">
        <v>9</v>
      </c>
      <c r="B457" t="s">
        <v>6</v>
      </c>
      <c r="C457">
        <v>5</v>
      </c>
      <c r="D457">
        <v>3</v>
      </c>
      <c r="E457">
        <v>2</v>
      </c>
      <c r="F457" s="15">
        <v>45943</v>
      </c>
      <c r="G457" t="s">
        <v>225</v>
      </c>
      <c r="H457">
        <v>5</v>
      </c>
      <c r="I457">
        <v>2025</v>
      </c>
      <c r="J457">
        <v>10</v>
      </c>
      <c r="K457" t="s">
        <v>87</v>
      </c>
      <c r="L457" t="s">
        <v>52</v>
      </c>
      <c r="M457" t="s">
        <v>6</v>
      </c>
      <c r="N457" t="b">
        <v>0</v>
      </c>
      <c r="O457">
        <v>0</v>
      </c>
      <c r="P457">
        <v>1</v>
      </c>
      <c r="Q457">
        <v>0</v>
      </c>
      <c r="R457">
        <v>0</v>
      </c>
    </row>
    <row r="458" spans="1:18" x14ac:dyDescent="0.25">
      <c r="A458" t="s">
        <v>14</v>
      </c>
      <c r="B458" t="s">
        <v>8</v>
      </c>
      <c r="C458">
        <v>3</v>
      </c>
      <c r="D458">
        <v>3</v>
      </c>
      <c r="E458">
        <v>2</v>
      </c>
      <c r="F458" s="15">
        <v>45951</v>
      </c>
      <c r="G458" t="s">
        <v>226</v>
      </c>
      <c r="H458">
        <v>4</v>
      </c>
      <c r="I458">
        <v>2025</v>
      </c>
      <c r="J458">
        <v>10</v>
      </c>
      <c r="K458" t="s">
        <v>87</v>
      </c>
      <c r="L458" t="s">
        <v>10</v>
      </c>
      <c r="M458" t="s">
        <v>6</v>
      </c>
      <c r="N458" t="b">
        <v>0</v>
      </c>
      <c r="O458">
        <v>1</v>
      </c>
      <c r="P458">
        <v>0</v>
      </c>
      <c r="Q458">
        <v>0</v>
      </c>
      <c r="R458">
        <v>0</v>
      </c>
    </row>
    <row r="459" spans="1:18" x14ac:dyDescent="0.25">
      <c r="A459" t="s">
        <v>14</v>
      </c>
      <c r="B459" t="s">
        <v>8</v>
      </c>
      <c r="C459">
        <v>3</v>
      </c>
      <c r="D459">
        <v>3</v>
      </c>
      <c r="E459">
        <v>2</v>
      </c>
      <c r="F459" s="15">
        <v>45951</v>
      </c>
      <c r="G459" t="s">
        <v>226</v>
      </c>
      <c r="H459">
        <v>4</v>
      </c>
      <c r="I459">
        <v>2025</v>
      </c>
      <c r="J459">
        <v>10</v>
      </c>
      <c r="K459" t="s">
        <v>87</v>
      </c>
      <c r="L459" t="s">
        <v>27</v>
      </c>
      <c r="M459" t="s">
        <v>6</v>
      </c>
      <c r="N459" t="b">
        <v>0</v>
      </c>
      <c r="O459">
        <v>1</v>
      </c>
      <c r="P459">
        <v>0</v>
      </c>
      <c r="Q459">
        <v>0</v>
      </c>
      <c r="R459">
        <v>0</v>
      </c>
    </row>
    <row r="460" spans="1:18" x14ac:dyDescent="0.25">
      <c r="A460" t="s">
        <v>14</v>
      </c>
      <c r="B460" t="s">
        <v>8</v>
      </c>
      <c r="C460">
        <v>3</v>
      </c>
      <c r="D460">
        <v>3</v>
      </c>
      <c r="E460">
        <v>2</v>
      </c>
      <c r="F460" s="15">
        <v>45951</v>
      </c>
      <c r="G460" t="s">
        <v>226</v>
      </c>
      <c r="H460">
        <v>4</v>
      </c>
      <c r="I460">
        <v>2025</v>
      </c>
      <c r="J460">
        <v>10</v>
      </c>
      <c r="K460" t="s">
        <v>87</v>
      </c>
      <c r="L460" t="s">
        <v>42</v>
      </c>
      <c r="M460" t="s">
        <v>6</v>
      </c>
      <c r="N460" t="b">
        <v>0</v>
      </c>
      <c r="O460">
        <v>1</v>
      </c>
      <c r="P460">
        <v>0</v>
      </c>
      <c r="Q460">
        <v>0</v>
      </c>
      <c r="R460">
        <v>0</v>
      </c>
    </row>
    <row r="461" spans="1:18" x14ac:dyDescent="0.25">
      <c r="A461" t="s">
        <v>10</v>
      </c>
      <c r="B461" t="s">
        <v>6</v>
      </c>
      <c r="C461">
        <v>1</v>
      </c>
      <c r="D461">
        <v>3</v>
      </c>
      <c r="E461">
        <v>2</v>
      </c>
      <c r="F461" s="15">
        <v>45951</v>
      </c>
      <c r="G461" t="s">
        <v>226</v>
      </c>
      <c r="H461">
        <v>4</v>
      </c>
      <c r="I461">
        <v>2025</v>
      </c>
      <c r="J461">
        <v>10</v>
      </c>
      <c r="K461" t="s">
        <v>87</v>
      </c>
      <c r="L461" t="s">
        <v>14</v>
      </c>
      <c r="M461" t="s">
        <v>8</v>
      </c>
      <c r="N461" t="b">
        <v>0</v>
      </c>
      <c r="O461">
        <v>0</v>
      </c>
      <c r="P461">
        <v>1</v>
      </c>
      <c r="Q461">
        <v>0</v>
      </c>
      <c r="R461">
        <v>1</v>
      </c>
    </row>
    <row r="462" spans="1:18" x14ac:dyDescent="0.25">
      <c r="A462" t="s">
        <v>10</v>
      </c>
      <c r="B462" t="s">
        <v>6</v>
      </c>
      <c r="C462">
        <v>1</v>
      </c>
      <c r="D462">
        <v>3</v>
      </c>
      <c r="E462">
        <v>2</v>
      </c>
      <c r="F462" s="15">
        <v>45951</v>
      </c>
      <c r="G462" t="s">
        <v>226</v>
      </c>
      <c r="H462">
        <v>4</v>
      </c>
      <c r="I462">
        <v>2025</v>
      </c>
      <c r="J462">
        <v>10</v>
      </c>
      <c r="K462" t="s">
        <v>87</v>
      </c>
      <c r="L462" t="s">
        <v>27</v>
      </c>
      <c r="M462" t="s">
        <v>6</v>
      </c>
      <c r="N462" t="b">
        <v>0</v>
      </c>
      <c r="O462">
        <v>0</v>
      </c>
      <c r="P462">
        <v>1</v>
      </c>
      <c r="Q462">
        <v>0</v>
      </c>
      <c r="R462">
        <v>0</v>
      </c>
    </row>
    <row r="463" spans="1:18" x14ac:dyDescent="0.25">
      <c r="A463" t="s">
        <v>10</v>
      </c>
      <c r="B463" t="s">
        <v>6</v>
      </c>
      <c r="C463">
        <v>1</v>
      </c>
      <c r="D463">
        <v>3</v>
      </c>
      <c r="E463">
        <v>2</v>
      </c>
      <c r="F463" s="15">
        <v>45951</v>
      </c>
      <c r="G463" t="s">
        <v>226</v>
      </c>
      <c r="H463">
        <v>4</v>
      </c>
      <c r="I463">
        <v>2025</v>
      </c>
      <c r="J463">
        <v>10</v>
      </c>
      <c r="K463" t="s">
        <v>87</v>
      </c>
      <c r="L463" t="s">
        <v>42</v>
      </c>
      <c r="M463" t="s">
        <v>6</v>
      </c>
      <c r="N463" t="b">
        <v>0</v>
      </c>
      <c r="O463">
        <v>0</v>
      </c>
      <c r="P463">
        <v>1</v>
      </c>
      <c r="Q463">
        <v>0</v>
      </c>
      <c r="R463">
        <v>0</v>
      </c>
    </row>
    <row r="464" spans="1:18" x14ac:dyDescent="0.25">
      <c r="A464" t="s">
        <v>27</v>
      </c>
      <c r="B464" t="s">
        <v>6</v>
      </c>
      <c r="C464">
        <v>2</v>
      </c>
      <c r="D464">
        <v>3</v>
      </c>
      <c r="E464">
        <v>2</v>
      </c>
      <c r="F464" s="15">
        <v>45951</v>
      </c>
      <c r="G464" t="s">
        <v>226</v>
      </c>
      <c r="H464">
        <v>4</v>
      </c>
      <c r="I464">
        <v>2025</v>
      </c>
      <c r="J464">
        <v>10</v>
      </c>
      <c r="K464" t="s">
        <v>87</v>
      </c>
      <c r="L464" t="s">
        <v>14</v>
      </c>
      <c r="M464" t="s">
        <v>8</v>
      </c>
      <c r="N464" t="b">
        <v>0</v>
      </c>
      <c r="O464">
        <v>0</v>
      </c>
      <c r="P464">
        <v>1</v>
      </c>
      <c r="Q464">
        <v>0</v>
      </c>
      <c r="R464">
        <v>1</v>
      </c>
    </row>
    <row r="465" spans="1:18" x14ac:dyDescent="0.25">
      <c r="A465" t="s">
        <v>27</v>
      </c>
      <c r="B465" t="s">
        <v>6</v>
      </c>
      <c r="C465">
        <v>2</v>
      </c>
      <c r="D465">
        <v>3</v>
      </c>
      <c r="E465">
        <v>2</v>
      </c>
      <c r="F465" s="15">
        <v>45951</v>
      </c>
      <c r="G465" t="s">
        <v>226</v>
      </c>
      <c r="H465">
        <v>4</v>
      </c>
      <c r="I465">
        <v>2025</v>
      </c>
      <c r="J465">
        <v>10</v>
      </c>
      <c r="K465" t="s">
        <v>87</v>
      </c>
      <c r="L465" t="s">
        <v>10</v>
      </c>
      <c r="M465" t="s">
        <v>6</v>
      </c>
      <c r="N465" t="b">
        <v>0</v>
      </c>
      <c r="O465">
        <v>0</v>
      </c>
      <c r="P465">
        <v>1</v>
      </c>
      <c r="Q465">
        <v>0</v>
      </c>
      <c r="R465">
        <v>0</v>
      </c>
    </row>
    <row r="466" spans="1:18" x14ac:dyDescent="0.25">
      <c r="A466" t="s">
        <v>27</v>
      </c>
      <c r="B466" t="s">
        <v>6</v>
      </c>
      <c r="C466">
        <v>2</v>
      </c>
      <c r="D466">
        <v>3</v>
      </c>
      <c r="E466">
        <v>2</v>
      </c>
      <c r="F466" s="15">
        <v>45951</v>
      </c>
      <c r="G466" t="s">
        <v>226</v>
      </c>
      <c r="H466">
        <v>4</v>
      </c>
      <c r="I466">
        <v>2025</v>
      </c>
      <c r="J466">
        <v>10</v>
      </c>
      <c r="K466" t="s">
        <v>87</v>
      </c>
      <c r="L466" t="s">
        <v>42</v>
      </c>
      <c r="M466" t="s">
        <v>6</v>
      </c>
      <c r="N466" t="b">
        <v>0</v>
      </c>
      <c r="O466">
        <v>0</v>
      </c>
      <c r="P466">
        <v>1</v>
      </c>
      <c r="Q466">
        <v>0</v>
      </c>
      <c r="R466">
        <v>0</v>
      </c>
    </row>
    <row r="467" spans="1:18" x14ac:dyDescent="0.25">
      <c r="A467" t="s">
        <v>42</v>
      </c>
      <c r="B467" t="s">
        <v>6</v>
      </c>
      <c r="C467">
        <v>4</v>
      </c>
      <c r="D467">
        <v>3</v>
      </c>
      <c r="E467">
        <v>2</v>
      </c>
      <c r="F467" s="15">
        <v>45951</v>
      </c>
      <c r="G467" t="s">
        <v>226</v>
      </c>
      <c r="H467">
        <v>4</v>
      </c>
      <c r="I467">
        <v>2025</v>
      </c>
      <c r="J467">
        <v>10</v>
      </c>
      <c r="K467" t="s">
        <v>87</v>
      </c>
      <c r="L467" t="s">
        <v>14</v>
      </c>
      <c r="M467" t="s">
        <v>8</v>
      </c>
      <c r="N467" t="b">
        <v>0</v>
      </c>
      <c r="O467">
        <v>0</v>
      </c>
      <c r="P467">
        <v>1</v>
      </c>
      <c r="Q467">
        <v>0</v>
      </c>
      <c r="R467">
        <v>1</v>
      </c>
    </row>
    <row r="468" spans="1:18" x14ac:dyDescent="0.25">
      <c r="A468" t="s">
        <v>42</v>
      </c>
      <c r="B468" t="s">
        <v>6</v>
      </c>
      <c r="C468">
        <v>4</v>
      </c>
      <c r="D468">
        <v>3</v>
      </c>
      <c r="E468">
        <v>2</v>
      </c>
      <c r="F468" s="15">
        <v>45951</v>
      </c>
      <c r="G468" t="s">
        <v>226</v>
      </c>
      <c r="H468">
        <v>4</v>
      </c>
      <c r="I468">
        <v>2025</v>
      </c>
      <c r="J468">
        <v>10</v>
      </c>
      <c r="K468" t="s">
        <v>87</v>
      </c>
      <c r="L468" t="s">
        <v>10</v>
      </c>
      <c r="M468" t="s">
        <v>6</v>
      </c>
      <c r="N468" t="b">
        <v>0</v>
      </c>
      <c r="O468">
        <v>0</v>
      </c>
      <c r="P468">
        <v>1</v>
      </c>
      <c r="Q468">
        <v>0</v>
      </c>
      <c r="R468">
        <v>0</v>
      </c>
    </row>
    <row r="469" spans="1:18" x14ac:dyDescent="0.25">
      <c r="A469" t="s">
        <v>42</v>
      </c>
      <c r="B469" t="s">
        <v>6</v>
      </c>
      <c r="C469">
        <v>4</v>
      </c>
      <c r="D469">
        <v>3</v>
      </c>
      <c r="E469">
        <v>2</v>
      </c>
      <c r="F469" s="15">
        <v>45951</v>
      </c>
      <c r="G469" t="s">
        <v>226</v>
      </c>
      <c r="H469">
        <v>4</v>
      </c>
      <c r="I469">
        <v>2025</v>
      </c>
      <c r="J469">
        <v>10</v>
      </c>
      <c r="K469" t="s">
        <v>87</v>
      </c>
      <c r="L469" t="s">
        <v>27</v>
      </c>
      <c r="M469" t="s">
        <v>6</v>
      </c>
      <c r="N469" t="b">
        <v>0</v>
      </c>
      <c r="O469">
        <v>0</v>
      </c>
      <c r="P469">
        <v>1</v>
      </c>
      <c r="Q469">
        <v>0</v>
      </c>
      <c r="R469">
        <v>0</v>
      </c>
    </row>
    <row r="470" spans="1:18" x14ac:dyDescent="0.25">
      <c r="A470" t="s">
        <v>14</v>
      </c>
      <c r="B470" t="s">
        <v>6</v>
      </c>
      <c r="C470">
        <v>4</v>
      </c>
      <c r="D470">
        <v>3</v>
      </c>
      <c r="E470">
        <v>2</v>
      </c>
      <c r="F470" s="15">
        <v>46006</v>
      </c>
      <c r="G470" t="s">
        <v>234</v>
      </c>
      <c r="H470">
        <v>4</v>
      </c>
      <c r="I470">
        <v>2025</v>
      </c>
      <c r="J470">
        <v>12</v>
      </c>
      <c r="K470" t="s">
        <v>87</v>
      </c>
      <c r="L470" t="s">
        <v>321</v>
      </c>
      <c r="M470" t="s">
        <v>6</v>
      </c>
      <c r="N470" t="b">
        <v>0</v>
      </c>
      <c r="O470">
        <v>0</v>
      </c>
      <c r="P470">
        <v>1</v>
      </c>
      <c r="Q470">
        <v>0</v>
      </c>
      <c r="R470">
        <v>0</v>
      </c>
    </row>
    <row r="471" spans="1:18" x14ac:dyDescent="0.25">
      <c r="A471" t="s">
        <v>14</v>
      </c>
      <c r="B471" t="s">
        <v>6</v>
      </c>
      <c r="C471">
        <v>4</v>
      </c>
      <c r="D471">
        <v>3</v>
      </c>
      <c r="E471">
        <v>2</v>
      </c>
      <c r="F471" s="15">
        <v>46006</v>
      </c>
      <c r="G471" t="s">
        <v>234</v>
      </c>
      <c r="H471">
        <v>4</v>
      </c>
      <c r="I471">
        <v>2025</v>
      </c>
      <c r="J471">
        <v>12</v>
      </c>
      <c r="K471" t="s">
        <v>87</v>
      </c>
      <c r="L471" t="s">
        <v>12</v>
      </c>
      <c r="M471" t="s">
        <v>8</v>
      </c>
      <c r="N471" t="b">
        <v>0</v>
      </c>
      <c r="O471">
        <v>0</v>
      </c>
      <c r="P471">
        <v>1</v>
      </c>
      <c r="Q471">
        <v>0</v>
      </c>
      <c r="R471">
        <v>1</v>
      </c>
    </row>
    <row r="472" spans="1:18" x14ac:dyDescent="0.25">
      <c r="A472" t="s">
        <v>14</v>
      </c>
      <c r="B472" t="s">
        <v>6</v>
      </c>
      <c r="C472">
        <v>4</v>
      </c>
      <c r="D472">
        <v>3</v>
      </c>
      <c r="E472">
        <v>2</v>
      </c>
      <c r="F472" s="15">
        <v>46006</v>
      </c>
      <c r="G472" t="s">
        <v>234</v>
      </c>
      <c r="H472">
        <v>4</v>
      </c>
      <c r="I472">
        <v>2025</v>
      </c>
      <c r="J472">
        <v>12</v>
      </c>
      <c r="K472" t="s">
        <v>87</v>
      </c>
      <c r="L472" t="s">
        <v>18</v>
      </c>
      <c r="M472" t="s">
        <v>6</v>
      </c>
      <c r="N472" t="b">
        <v>0</v>
      </c>
      <c r="O472">
        <v>0</v>
      </c>
      <c r="P472">
        <v>1</v>
      </c>
      <c r="Q472">
        <v>0</v>
      </c>
      <c r="R472">
        <v>0</v>
      </c>
    </row>
    <row r="473" spans="1:18" x14ac:dyDescent="0.25">
      <c r="A473" t="s">
        <v>321</v>
      </c>
      <c r="B473" t="s">
        <v>6</v>
      </c>
      <c r="C473">
        <v>1</v>
      </c>
      <c r="D473">
        <v>3</v>
      </c>
      <c r="E473">
        <v>2</v>
      </c>
      <c r="F473" s="15">
        <v>46006</v>
      </c>
      <c r="G473" t="s">
        <v>234</v>
      </c>
      <c r="H473">
        <v>4</v>
      </c>
      <c r="I473">
        <v>2025</v>
      </c>
      <c r="J473">
        <v>12</v>
      </c>
      <c r="K473" t="s">
        <v>87</v>
      </c>
      <c r="L473" t="s">
        <v>14</v>
      </c>
      <c r="M473" t="s">
        <v>6</v>
      </c>
      <c r="N473" t="b">
        <v>0</v>
      </c>
      <c r="O473">
        <v>0</v>
      </c>
      <c r="P473">
        <v>1</v>
      </c>
      <c r="Q473">
        <v>0</v>
      </c>
      <c r="R473">
        <v>0</v>
      </c>
    </row>
    <row r="474" spans="1:18" x14ac:dyDescent="0.25">
      <c r="A474" t="s">
        <v>321</v>
      </c>
      <c r="B474" t="s">
        <v>6</v>
      </c>
      <c r="C474">
        <v>1</v>
      </c>
      <c r="D474">
        <v>3</v>
      </c>
      <c r="E474">
        <v>2</v>
      </c>
      <c r="F474" s="15">
        <v>46006</v>
      </c>
      <c r="G474" t="s">
        <v>234</v>
      </c>
      <c r="H474">
        <v>4</v>
      </c>
      <c r="I474">
        <v>2025</v>
      </c>
      <c r="J474">
        <v>12</v>
      </c>
      <c r="K474" t="s">
        <v>87</v>
      </c>
      <c r="L474" t="s">
        <v>12</v>
      </c>
      <c r="M474" t="s">
        <v>8</v>
      </c>
      <c r="N474" t="b">
        <v>0</v>
      </c>
      <c r="O474">
        <v>0</v>
      </c>
      <c r="P474">
        <v>1</v>
      </c>
      <c r="Q474">
        <v>0</v>
      </c>
      <c r="R474">
        <v>1</v>
      </c>
    </row>
    <row r="475" spans="1:18" x14ac:dyDescent="0.25">
      <c r="A475" t="s">
        <v>321</v>
      </c>
      <c r="B475" t="s">
        <v>6</v>
      </c>
      <c r="C475">
        <v>1</v>
      </c>
      <c r="D475">
        <v>3</v>
      </c>
      <c r="E475">
        <v>2</v>
      </c>
      <c r="F475" s="15">
        <v>46006</v>
      </c>
      <c r="G475" t="s">
        <v>234</v>
      </c>
      <c r="H475">
        <v>4</v>
      </c>
      <c r="I475">
        <v>2025</v>
      </c>
      <c r="J475">
        <v>12</v>
      </c>
      <c r="K475" t="s">
        <v>87</v>
      </c>
      <c r="L475" t="s">
        <v>18</v>
      </c>
      <c r="M475" t="s">
        <v>6</v>
      </c>
      <c r="N475" t="b">
        <v>0</v>
      </c>
      <c r="O475">
        <v>0</v>
      </c>
      <c r="P475">
        <v>1</v>
      </c>
      <c r="Q475">
        <v>0</v>
      </c>
      <c r="R475">
        <v>0</v>
      </c>
    </row>
    <row r="476" spans="1:18" x14ac:dyDescent="0.25">
      <c r="A476" t="s">
        <v>12</v>
      </c>
      <c r="B476" t="s">
        <v>8</v>
      </c>
      <c r="C476">
        <v>3</v>
      </c>
      <c r="D476">
        <v>3</v>
      </c>
      <c r="E476">
        <v>2</v>
      </c>
      <c r="F476" s="15">
        <v>46006</v>
      </c>
      <c r="G476" t="s">
        <v>234</v>
      </c>
      <c r="H476">
        <v>4</v>
      </c>
      <c r="I476">
        <v>2025</v>
      </c>
      <c r="J476">
        <v>12</v>
      </c>
      <c r="K476" t="s">
        <v>87</v>
      </c>
      <c r="L476" t="s">
        <v>14</v>
      </c>
      <c r="M476" t="s">
        <v>6</v>
      </c>
      <c r="N476" t="b">
        <v>0</v>
      </c>
      <c r="O476">
        <v>1</v>
      </c>
      <c r="P476">
        <v>0</v>
      </c>
      <c r="Q476">
        <v>0</v>
      </c>
      <c r="R476">
        <v>0</v>
      </c>
    </row>
    <row r="477" spans="1:18" x14ac:dyDescent="0.25">
      <c r="A477" t="s">
        <v>12</v>
      </c>
      <c r="B477" t="s">
        <v>8</v>
      </c>
      <c r="C477">
        <v>3</v>
      </c>
      <c r="D477">
        <v>3</v>
      </c>
      <c r="E477">
        <v>2</v>
      </c>
      <c r="F477" s="15">
        <v>46006</v>
      </c>
      <c r="G477" t="s">
        <v>234</v>
      </c>
      <c r="H477">
        <v>4</v>
      </c>
      <c r="I477">
        <v>2025</v>
      </c>
      <c r="J477">
        <v>12</v>
      </c>
      <c r="K477" t="s">
        <v>87</v>
      </c>
      <c r="L477" t="s">
        <v>321</v>
      </c>
      <c r="M477" t="s">
        <v>6</v>
      </c>
      <c r="N477" t="b">
        <v>0</v>
      </c>
      <c r="O477">
        <v>1</v>
      </c>
      <c r="P477">
        <v>0</v>
      </c>
      <c r="Q477">
        <v>0</v>
      </c>
      <c r="R477">
        <v>0</v>
      </c>
    </row>
    <row r="478" spans="1:18" x14ac:dyDescent="0.25">
      <c r="A478" t="s">
        <v>12</v>
      </c>
      <c r="B478" t="s">
        <v>8</v>
      </c>
      <c r="C478">
        <v>3</v>
      </c>
      <c r="D478">
        <v>3</v>
      </c>
      <c r="E478">
        <v>2</v>
      </c>
      <c r="F478" s="15">
        <v>46006</v>
      </c>
      <c r="G478" t="s">
        <v>234</v>
      </c>
      <c r="H478">
        <v>4</v>
      </c>
      <c r="I478">
        <v>2025</v>
      </c>
      <c r="J478">
        <v>12</v>
      </c>
      <c r="K478" t="s">
        <v>87</v>
      </c>
      <c r="L478" t="s">
        <v>18</v>
      </c>
      <c r="M478" t="s">
        <v>6</v>
      </c>
      <c r="N478" t="b">
        <v>0</v>
      </c>
      <c r="O478">
        <v>1</v>
      </c>
      <c r="P478">
        <v>0</v>
      </c>
      <c r="Q478">
        <v>0</v>
      </c>
      <c r="R478">
        <v>0</v>
      </c>
    </row>
    <row r="479" spans="1:18" x14ac:dyDescent="0.25">
      <c r="A479" t="s">
        <v>18</v>
      </c>
      <c r="B479" t="s">
        <v>6</v>
      </c>
      <c r="C479">
        <v>2</v>
      </c>
      <c r="D479">
        <v>3</v>
      </c>
      <c r="E479">
        <v>2</v>
      </c>
      <c r="F479" s="15">
        <v>46006</v>
      </c>
      <c r="G479" t="s">
        <v>234</v>
      </c>
      <c r="H479">
        <v>4</v>
      </c>
      <c r="I479">
        <v>2025</v>
      </c>
      <c r="J479">
        <v>12</v>
      </c>
      <c r="K479" t="s">
        <v>87</v>
      </c>
      <c r="L479" t="s">
        <v>14</v>
      </c>
      <c r="M479" t="s">
        <v>6</v>
      </c>
      <c r="N479" t="b">
        <v>0</v>
      </c>
      <c r="O479">
        <v>0</v>
      </c>
      <c r="P479">
        <v>1</v>
      </c>
      <c r="Q479">
        <v>0</v>
      </c>
      <c r="R479">
        <v>0</v>
      </c>
    </row>
    <row r="480" spans="1:18" x14ac:dyDescent="0.25">
      <c r="A480" t="s">
        <v>18</v>
      </c>
      <c r="B480" t="s">
        <v>6</v>
      </c>
      <c r="C480">
        <v>2</v>
      </c>
      <c r="D480">
        <v>3</v>
      </c>
      <c r="E480">
        <v>2</v>
      </c>
      <c r="F480" s="15">
        <v>46006</v>
      </c>
      <c r="G480" t="s">
        <v>234</v>
      </c>
      <c r="H480">
        <v>4</v>
      </c>
      <c r="I480">
        <v>2025</v>
      </c>
      <c r="J480">
        <v>12</v>
      </c>
      <c r="K480" t="s">
        <v>87</v>
      </c>
      <c r="L480" t="s">
        <v>321</v>
      </c>
      <c r="M480" t="s">
        <v>6</v>
      </c>
      <c r="N480" t="b">
        <v>0</v>
      </c>
      <c r="O480">
        <v>0</v>
      </c>
      <c r="P480">
        <v>1</v>
      </c>
      <c r="Q480">
        <v>0</v>
      </c>
      <c r="R480">
        <v>0</v>
      </c>
    </row>
    <row r="481" spans="1:18" x14ac:dyDescent="0.25">
      <c r="A481" t="s">
        <v>18</v>
      </c>
      <c r="B481" t="s">
        <v>6</v>
      </c>
      <c r="C481">
        <v>2</v>
      </c>
      <c r="D481">
        <v>3</v>
      </c>
      <c r="E481">
        <v>2</v>
      </c>
      <c r="F481" s="15">
        <v>46006</v>
      </c>
      <c r="G481" t="s">
        <v>234</v>
      </c>
      <c r="H481">
        <v>4</v>
      </c>
      <c r="I481">
        <v>2025</v>
      </c>
      <c r="J481">
        <v>12</v>
      </c>
      <c r="K481" t="s">
        <v>87</v>
      </c>
      <c r="L481" t="s">
        <v>12</v>
      </c>
      <c r="M481" t="s">
        <v>8</v>
      </c>
      <c r="N481" t="b">
        <v>0</v>
      </c>
      <c r="O481">
        <v>0</v>
      </c>
      <c r="P481">
        <v>1</v>
      </c>
      <c r="Q481">
        <v>0</v>
      </c>
      <c r="R481">
        <v>1</v>
      </c>
    </row>
    <row r="482" spans="1:18" x14ac:dyDescent="0.25">
      <c r="A482" t="s">
        <v>14</v>
      </c>
      <c r="B482" t="s">
        <v>6</v>
      </c>
      <c r="C482">
        <v>2</v>
      </c>
      <c r="D482">
        <v>3</v>
      </c>
      <c r="E482">
        <v>2</v>
      </c>
      <c r="F482" s="15">
        <v>46013</v>
      </c>
      <c r="G482" t="s">
        <v>235</v>
      </c>
      <c r="H482">
        <v>3</v>
      </c>
      <c r="I482">
        <v>2025</v>
      </c>
      <c r="J482">
        <v>12</v>
      </c>
      <c r="K482" t="s">
        <v>87</v>
      </c>
      <c r="L482" t="s">
        <v>7</v>
      </c>
      <c r="M482" t="s">
        <v>8</v>
      </c>
      <c r="N482" t="b">
        <v>0</v>
      </c>
      <c r="O482">
        <v>0</v>
      </c>
      <c r="P482">
        <v>1</v>
      </c>
      <c r="Q482">
        <v>0</v>
      </c>
      <c r="R482">
        <v>1</v>
      </c>
    </row>
    <row r="483" spans="1:18" x14ac:dyDescent="0.25">
      <c r="A483" t="s">
        <v>14</v>
      </c>
      <c r="B483" t="s">
        <v>6</v>
      </c>
      <c r="C483">
        <v>2</v>
      </c>
      <c r="D483">
        <v>3</v>
      </c>
      <c r="E483">
        <v>2</v>
      </c>
      <c r="F483" s="15">
        <v>46013</v>
      </c>
      <c r="G483" t="s">
        <v>235</v>
      </c>
      <c r="H483">
        <v>3</v>
      </c>
      <c r="I483">
        <v>2025</v>
      </c>
      <c r="J483">
        <v>12</v>
      </c>
      <c r="K483" t="s">
        <v>87</v>
      </c>
      <c r="L483" t="s">
        <v>15</v>
      </c>
      <c r="M483" t="s">
        <v>6</v>
      </c>
      <c r="N483" t="b">
        <v>0</v>
      </c>
      <c r="O483">
        <v>0</v>
      </c>
      <c r="P483">
        <v>1</v>
      </c>
      <c r="Q483">
        <v>0</v>
      </c>
      <c r="R483">
        <v>0</v>
      </c>
    </row>
    <row r="484" spans="1:18" x14ac:dyDescent="0.25">
      <c r="A484" t="s">
        <v>7</v>
      </c>
      <c r="B484" t="s">
        <v>8</v>
      </c>
      <c r="C484">
        <v>1</v>
      </c>
      <c r="D484">
        <v>3</v>
      </c>
      <c r="E484">
        <v>2</v>
      </c>
      <c r="F484" s="15">
        <v>46013</v>
      </c>
      <c r="G484" t="s">
        <v>235</v>
      </c>
      <c r="H484">
        <v>3</v>
      </c>
      <c r="I484">
        <v>2025</v>
      </c>
      <c r="J484">
        <v>12</v>
      </c>
      <c r="K484" t="s">
        <v>87</v>
      </c>
      <c r="L484" t="s">
        <v>14</v>
      </c>
      <c r="M484" t="s">
        <v>6</v>
      </c>
      <c r="N484" t="b">
        <v>0</v>
      </c>
      <c r="O484">
        <v>1</v>
      </c>
      <c r="P484">
        <v>0</v>
      </c>
      <c r="Q484">
        <v>0</v>
      </c>
      <c r="R484">
        <v>0</v>
      </c>
    </row>
    <row r="485" spans="1:18" x14ac:dyDescent="0.25">
      <c r="A485" t="s">
        <v>7</v>
      </c>
      <c r="B485" t="s">
        <v>8</v>
      </c>
      <c r="C485">
        <v>1</v>
      </c>
      <c r="D485">
        <v>3</v>
      </c>
      <c r="E485">
        <v>2</v>
      </c>
      <c r="F485" s="15">
        <v>46013</v>
      </c>
      <c r="G485" t="s">
        <v>235</v>
      </c>
      <c r="H485">
        <v>3</v>
      </c>
      <c r="I485">
        <v>2025</v>
      </c>
      <c r="J485">
        <v>12</v>
      </c>
      <c r="K485" t="s">
        <v>87</v>
      </c>
      <c r="L485" t="s">
        <v>15</v>
      </c>
      <c r="M485" t="s">
        <v>6</v>
      </c>
      <c r="N485" t="b">
        <v>0</v>
      </c>
      <c r="O485">
        <v>1</v>
      </c>
      <c r="P485">
        <v>0</v>
      </c>
      <c r="Q485">
        <v>0</v>
      </c>
      <c r="R485">
        <v>0</v>
      </c>
    </row>
    <row r="486" spans="1:18" x14ac:dyDescent="0.25">
      <c r="A486" t="s">
        <v>15</v>
      </c>
      <c r="B486" t="s">
        <v>6</v>
      </c>
      <c r="C486">
        <v>3</v>
      </c>
      <c r="D486">
        <v>3</v>
      </c>
      <c r="E486">
        <v>2</v>
      </c>
      <c r="F486" s="15">
        <v>46013</v>
      </c>
      <c r="G486" t="s">
        <v>235</v>
      </c>
      <c r="H486">
        <v>3</v>
      </c>
      <c r="I486">
        <v>2025</v>
      </c>
      <c r="J486">
        <v>12</v>
      </c>
      <c r="K486" t="s">
        <v>87</v>
      </c>
      <c r="L486" t="s">
        <v>14</v>
      </c>
      <c r="M486" t="s">
        <v>6</v>
      </c>
      <c r="N486" t="b">
        <v>0</v>
      </c>
      <c r="O486">
        <v>0</v>
      </c>
      <c r="P486">
        <v>1</v>
      </c>
      <c r="Q486">
        <v>0</v>
      </c>
      <c r="R486">
        <v>0</v>
      </c>
    </row>
    <row r="487" spans="1:18" x14ac:dyDescent="0.25">
      <c r="A487" t="s">
        <v>15</v>
      </c>
      <c r="B487" t="s">
        <v>6</v>
      </c>
      <c r="C487">
        <v>3</v>
      </c>
      <c r="D487">
        <v>3</v>
      </c>
      <c r="E487">
        <v>2</v>
      </c>
      <c r="F487" s="15">
        <v>46013</v>
      </c>
      <c r="G487" t="s">
        <v>235</v>
      </c>
      <c r="H487">
        <v>3</v>
      </c>
      <c r="I487">
        <v>2025</v>
      </c>
      <c r="J487">
        <v>12</v>
      </c>
      <c r="K487" t="s">
        <v>87</v>
      </c>
      <c r="L487" t="s">
        <v>7</v>
      </c>
      <c r="M487" t="s">
        <v>8</v>
      </c>
      <c r="N487" t="b">
        <v>0</v>
      </c>
      <c r="O487">
        <v>0</v>
      </c>
      <c r="P487">
        <v>1</v>
      </c>
      <c r="Q487">
        <v>0</v>
      </c>
      <c r="R487">
        <v>1</v>
      </c>
    </row>
    <row r="488" spans="1:18" x14ac:dyDescent="0.25">
      <c r="A488" t="s">
        <v>14</v>
      </c>
      <c r="B488" t="s">
        <v>6</v>
      </c>
      <c r="C488">
        <v>2</v>
      </c>
      <c r="D488">
        <v>4</v>
      </c>
      <c r="E488">
        <v>1</v>
      </c>
      <c r="F488" s="15">
        <v>45867</v>
      </c>
      <c r="G488" t="s">
        <v>238</v>
      </c>
      <c r="H488">
        <v>3</v>
      </c>
      <c r="I488">
        <v>2025</v>
      </c>
      <c r="J488">
        <v>7</v>
      </c>
      <c r="K488" t="s">
        <v>87</v>
      </c>
      <c r="L488" t="s">
        <v>42</v>
      </c>
      <c r="M488" t="s">
        <v>6</v>
      </c>
      <c r="N488" t="b">
        <v>0</v>
      </c>
      <c r="O488">
        <v>0</v>
      </c>
      <c r="P488">
        <v>1</v>
      </c>
      <c r="Q488">
        <v>0</v>
      </c>
      <c r="R488">
        <v>0</v>
      </c>
    </row>
    <row r="489" spans="1:18" x14ac:dyDescent="0.25">
      <c r="A489" t="s">
        <v>14</v>
      </c>
      <c r="B489" t="s">
        <v>6</v>
      </c>
      <c r="C489">
        <v>2</v>
      </c>
      <c r="D489">
        <v>4</v>
      </c>
      <c r="E489">
        <v>1</v>
      </c>
      <c r="F489" s="15">
        <v>45867</v>
      </c>
      <c r="G489" t="s">
        <v>238</v>
      </c>
      <c r="H489">
        <v>3</v>
      </c>
      <c r="I489">
        <v>2025</v>
      </c>
      <c r="J489">
        <v>7</v>
      </c>
      <c r="K489" t="s">
        <v>87</v>
      </c>
      <c r="L489" t="s">
        <v>17</v>
      </c>
      <c r="M489" t="s">
        <v>8</v>
      </c>
      <c r="N489" t="b">
        <v>0</v>
      </c>
      <c r="O489">
        <v>0</v>
      </c>
      <c r="P489">
        <v>1</v>
      </c>
      <c r="Q489">
        <v>0</v>
      </c>
      <c r="R489">
        <v>1</v>
      </c>
    </row>
    <row r="490" spans="1:18" x14ac:dyDescent="0.25">
      <c r="A490" t="s">
        <v>42</v>
      </c>
      <c r="B490" t="s">
        <v>6</v>
      </c>
      <c r="C490">
        <v>3</v>
      </c>
      <c r="D490">
        <v>4</v>
      </c>
      <c r="E490">
        <v>1</v>
      </c>
      <c r="F490" s="15">
        <v>45867</v>
      </c>
      <c r="G490" t="s">
        <v>238</v>
      </c>
      <c r="H490">
        <v>3</v>
      </c>
      <c r="I490">
        <v>2025</v>
      </c>
      <c r="J490">
        <v>7</v>
      </c>
      <c r="K490" t="s">
        <v>87</v>
      </c>
      <c r="L490" t="s">
        <v>14</v>
      </c>
      <c r="M490" t="s">
        <v>6</v>
      </c>
      <c r="N490" t="b">
        <v>0</v>
      </c>
      <c r="O490">
        <v>0</v>
      </c>
      <c r="P490">
        <v>1</v>
      </c>
      <c r="Q490">
        <v>0</v>
      </c>
      <c r="R490">
        <v>0</v>
      </c>
    </row>
    <row r="491" spans="1:18" x14ac:dyDescent="0.25">
      <c r="A491" t="s">
        <v>42</v>
      </c>
      <c r="B491" t="s">
        <v>6</v>
      </c>
      <c r="C491">
        <v>3</v>
      </c>
      <c r="D491">
        <v>4</v>
      </c>
      <c r="E491">
        <v>1</v>
      </c>
      <c r="F491" s="15">
        <v>45867</v>
      </c>
      <c r="G491" t="s">
        <v>238</v>
      </c>
      <c r="H491">
        <v>3</v>
      </c>
      <c r="I491">
        <v>2025</v>
      </c>
      <c r="J491">
        <v>7</v>
      </c>
      <c r="K491" t="s">
        <v>87</v>
      </c>
      <c r="L491" t="s">
        <v>17</v>
      </c>
      <c r="M491" t="s">
        <v>8</v>
      </c>
      <c r="N491" t="b">
        <v>0</v>
      </c>
      <c r="O491">
        <v>0</v>
      </c>
      <c r="P491">
        <v>1</v>
      </c>
      <c r="Q491">
        <v>0</v>
      </c>
      <c r="R491">
        <v>1</v>
      </c>
    </row>
    <row r="492" spans="1:18" x14ac:dyDescent="0.25">
      <c r="A492" t="s">
        <v>17</v>
      </c>
      <c r="B492" t="s">
        <v>8</v>
      </c>
      <c r="C492">
        <v>1</v>
      </c>
      <c r="D492">
        <v>4</v>
      </c>
      <c r="E492">
        <v>1</v>
      </c>
      <c r="F492" s="15">
        <v>45867</v>
      </c>
      <c r="G492" t="s">
        <v>238</v>
      </c>
      <c r="H492">
        <v>3</v>
      </c>
      <c r="I492">
        <v>2025</v>
      </c>
      <c r="J492">
        <v>7</v>
      </c>
      <c r="K492" t="s">
        <v>87</v>
      </c>
      <c r="L492" t="s">
        <v>14</v>
      </c>
      <c r="M492" t="s">
        <v>6</v>
      </c>
      <c r="N492" t="b">
        <v>0</v>
      </c>
      <c r="O492">
        <v>1</v>
      </c>
      <c r="P492">
        <v>0</v>
      </c>
      <c r="Q492">
        <v>0</v>
      </c>
      <c r="R492">
        <v>0</v>
      </c>
    </row>
    <row r="493" spans="1:18" x14ac:dyDescent="0.25">
      <c r="A493" t="s">
        <v>17</v>
      </c>
      <c r="B493" t="s">
        <v>8</v>
      </c>
      <c r="C493">
        <v>1</v>
      </c>
      <c r="D493">
        <v>4</v>
      </c>
      <c r="E493">
        <v>1</v>
      </c>
      <c r="F493" s="15">
        <v>45867</v>
      </c>
      <c r="G493" t="s">
        <v>238</v>
      </c>
      <c r="H493">
        <v>3</v>
      </c>
      <c r="I493">
        <v>2025</v>
      </c>
      <c r="J493">
        <v>7</v>
      </c>
      <c r="K493" t="s">
        <v>87</v>
      </c>
      <c r="L493" t="s">
        <v>42</v>
      </c>
      <c r="M493" t="s">
        <v>6</v>
      </c>
      <c r="N493" t="b">
        <v>0</v>
      </c>
      <c r="O493">
        <v>1</v>
      </c>
      <c r="P493">
        <v>0</v>
      </c>
      <c r="Q493">
        <v>0</v>
      </c>
      <c r="R493">
        <v>0</v>
      </c>
    </row>
    <row r="494" spans="1:18" x14ac:dyDescent="0.25">
      <c r="A494" t="s">
        <v>14</v>
      </c>
      <c r="B494" t="s">
        <v>8</v>
      </c>
      <c r="C494">
        <v>3</v>
      </c>
      <c r="D494">
        <v>4</v>
      </c>
      <c r="E494">
        <v>1</v>
      </c>
      <c r="F494" s="15">
        <v>45908</v>
      </c>
      <c r="G494" t="s">
        <v>242</v>
      </c>
      <c r="H494">
        <v>3</v>
      </c>
      <c r="I494">
        <v>2025</v>
      </c>
      <c r="J494">
        <v>9</v>
      </c>
      <c r="K494" t="s">
        <v>87</v>
      </c>
      <c r="L494" t="s">
        <v>51</v>
      </c>
      <c r="M494" t="s">
        <v>6</v>
      </c>
      <c r="N494" t="b">
        <v>0</v>
      </c>
      <c r="O494">
        <v>1</v>
      </c>
      <c r="P494">
        <v>0</v>
      </c>
      <c r="Q494">
        <v>0</v>
      </c>
      <c r="R494">
        <v>0</v>
      </c>
    </row>
    <row r="495" spans="1:18" x14ac:dyDescent="0.25">
      <c r="A495" t="s">
        <v>14</v>
      </c>
      <c r="B495" t="s">
        <v>8</v>
      </c>
      <c r="C495">
        <v>3</v>
      </c>
      <c r="D495">
        <v>4</v>
      </c>
      <c r="E495">
        <v>1</v>
      </c>
      <c r="F495" s="15">
        <v>45908</v>
      </c>
      <c r="G495" t="s">
        <v>242</v>
      </c>
      <c r="H495">
        <v>3</v>
      </c>
      <c r="I495">
        <v>2025</v>
      </c>
      <c r="J495">
        <v>9</v>
      </c>
      <c r="K495" t="s">
        <v>87</v>
      </c>
      <c r="L495" t="s">
        <v>17</v>
      </c>
      <c r="M495" t="s">
        <v>6</v>
      </c>
      <c r="N495" t="b">
        <v>0</v>
      </c>
      <c r="O495">
        <v>1</v>
      </c>
      <c r="P495">
        <v>0</v>
      </c>
      <c r="Q495">
        <v>0</v>
      </c>
      <c r="R495">
        <v>0</v>
      </c>
    </row>
    <row r="496" spans="1:18" x14ac:dyDescent="0.25">
      <c r="A496" t="s">
        <v>51</v>
      </c>
      <c r="B496" t="s">
        <v>6</v>
      </c>
      <c r="C496">
        <v>1</v>
      </c>
      <c r="D496">
        <v>4</v>
      </c>
      <c r="E496">
        <v>1</v>
      </c>
      <c r="F496" s="15">
        <v>45908</v>
      </c>
      <c r="G496" t="s">
        <v>242</v>
      </c>
      <c r="H496">
        <v>3</v>
      </c>
      <c r="I496">
        <v>2025</v>
      </c>
      <c r="J496">
        <v>9</v>
      </c>
      <c r="K496" t="s">
        <v>87</v>
      </c>
      <c r="L496" t="s">
        <v>14</v>
      </c>
      <c r="M496" t="s">
        <v>8</v>
      </c>
      <c r="N496" t="b">
        <v>0</v>
      </c>
      <c r="O496">
        <v>0</v>
      </c>
      <c r="P496">
        <v>1</v>
      </c>
      <c r="Q496">
        <v>0</v>
      </c>
      <c r="R496">
        <v>1</v>
      </c>
    </row>
    <row r="497" spans="1:18" x14ac:dyDescent="0.25">
      <c r="A497" t="s">
        <v>51</v>
      </c>
      <c r="B497" t="s">
        <v>6</v>
      </c>
      <c r="C497">
        <v>1</v>
      </c>
      <c r="D497">
        <v>4</v>
      </c>
      <c r="E497">
        <v>1</v>
      </c>
      <c r="F497" s="15">
        <v>45908</v>
      </c>
      <c r="G497" t="s">
        <v>242</v>
      </c>
      <c r="H497">
        <v>3</v>
      </c>
      <c r="I497">
        <v>2025</v>
      </c>
      <c r="J497">
        <v>9</v>
      </c>
      <c r="K497" t="s">
        <v>87</v>
      </c>
      <c r="L497" t="s">
        <v>17</v>
      </c>
      <c r="M497" t="s">
        <v>6</v>
      </c>
      <c r="N497" t="b">
        <v>0</v>
      </c>
      <c r="O497">
        <v>0</v>
      </c>
      <c r="P497">
        <v>1</v>
      </c>
      <c r="Q497">
        <v>0</v>
      </c>
      <c r="R497">
        <v>0</v>
      </c>
    </row>
    <row r="498" spans="1:18" x14ac:dyDescent="0.25">
      <c r="A498" t="s">
        <v>17</v>
      </c>
      <c r="B498" t="s">
        <v>6</v>
      </c>
      <c r="C498">
        <v>2</v>
      </c>
      <c r="D498">
        <v>4</v>
      </c>
      <c r="E498">
        <v>1</v>
      </c>
      <c r="F498" s="15">
        <v>45908</v>
      </c>
      <c r="G498" t="s">
        <v>242</v>
      </c>
      <c r="H498">
        <v>3</v>
      </c>
      <c r="I498">
        <v>2025</v>
      </c>
      <c r="J498">
        <v>9</v>
      </c>
      <c r="K498" t="s">
        <v>87</v>
      </c>
      <c r="L498" t="s">
        <v>14</v>
      </c>
      <c r="M498" t="s">
        <v>8</v>
      </c>
      <c r="N498" t="b">
        <v>0</v>
      </c>
      <c r="O498">
        <v>0</v>
      </c>
      <c r="P498">
        <v>1</v>
      </c>
      <c r="Q498">
        <v>0</v>
      </c>
      <c r="R498">
        <v>1</v>
      </c>
    </row>
    <row r="499" spans="1:18" x14ac:dyDescent="0.25">
      <c r="A499" t="s">
        <v>17</v>
      </c>
      <c r="B499" t="s">
        <v>6</v>
      </c>
      <c r="C499">
        <v>2</v>
      </c>
      <c r="D499">
        <v>4</v>
      </c>
      <c r="E499">
        <v>1</v>
      </c>
      <c r="F499" s="15">
        <v>45908</v>
      </c>
      <c r="G499" t="s">
        <v>242</v>
      </c>
      <c r="H499">
        <v>3</v>
      </c>
      <c r="I499">
        <v>2025</v>
      </c>
      <c r="J499">
        <v>9</v>
      </c>
      <c r="K499" t="s">
        <v>87</v>
      </c>
      <c r="L499" t="s">
        <v>51</v>
      </c>
      <c r="M499" t="s">
        <v>6</v>
      </c>
      <c r="N499" t="b">
        <v>0</v>
      </c>
      <c r="O499">
        <v>0</v>
      </c>
      <c r="P499">
        <v>1</v>
      </c>
      <c r="Q499">
        <v>0</v>
      </c>
      <c r="R499">
        <v>0</v>
      </c>
    </row>
    <row r="500" spans="1:18" x14ac:dyDescent="0.25">
      <c r="A500" t="s">
        <v>14</v>
      </c>
      <c r="B500" t="s">
        <v>6</v>
      </c>
      <c r="C500">
        <v>2</v>
      </c>
      <c r="D500">
        <v>4</v>
      </c>
      <c r="E500">
        <v>1</v>
      </c>
      <c r="F500" s="15">
        <v>45936</v>
      </c>
      <c r="G500" t="s">
        <v>246</v>
      </c>
      <c r="H500">
        <v>4</v>
      </c>
      <c r="I500">
        <v>2025</v>
      </c>
      <c r="J500">
        <v>10</v>
      </c>
      <c r="K500" t="s">
        <v>87</v>
      </c>
      <c r="L500" t="s">
        <v>28</v>
      </c>
      <c r="M500" t="s">
        <v>6</v>
      </c>
      <c r="N500" t="b">
        <v>0</v>
      </c>
      <c r="O500">
        <v>0</v>
      </c>
      <c r="P500">
        <v>1</v>
      </c>
      <c r="Q500">
        <v>0</v>
      </c>
      <c r="R500">
        <v>0</v>
      </c>
    </row>
    <row r="501" spans="1:18" x14ac:dyDescent="0.25">
      <c r="A501" t="s">
        <v>14</v>
      </c>
      <c r="B501" t="s">
        <v>6</v>
      </c>
      <c r="C501">
        <v>2</v>
      </c>
      <c r="D501">
        <v>4</v>
      </c>
      <c r="E501">
        <v>1</v>
      </c>
      <c r="F501" s="15">
        <v>45936</v>
      </c>
      <c r="G501" t="s">
        <v>246</v>
      </c>
      <c r="H501">
        <v>4</v>
      </c>
      <c r="I501">
        <v>2025</v>
      </c>
      <c r="J501">
        <v>10</v>
      </c>
      <c r="K501" t="s">
        <v>87</v>
      </c>
      <c r="L501" t="s">
        <v>18</v>
      </c>
      <c r="M501" t="s">
        <v>6</v>
      </c>
      <c r="N501" t="b">
        <v>0</v>
      </c>
      <c r="O501">
        <v>0</v>
      </c>
      <c r="P501">
        <v>1</v>
      </c>
      <c r="Q501">
        <v>0</v>
      </c>
      <c r="R501">
        <v>0</v>
      </c>
    </row>
    <row r="502" spans="1:18" x14ac:dyDescent="0.25">
      <c r="A502" t="s">
        <v>14</v>
      </c>
      <c r="B502" t="s">
        <v>6</v>
      </c>
      <c r="C502">
        <v>2</v>
      </c>
      <c r="D502">
        <v>4</v>
      </c>
      <c r="E502">
        <v>1</v>
      </c>
      <c r="F502" s="15">
        <v>45936</v>
      </c>
      <c r="G502" t="s">
        <v>246</v>
      </c>
      <c r="H502">
        <v>4</v>
      </c>
      <c r="I502">
        <v>2025</v>
      </c>
      <c r="J502">
        <v>10</v>
      </c>
      <c r="K502" t="s">
        <v>87</v>
      </c>
      <c r="L502" t="s">
        <v>352</v>
      </c>
      <c r="M502" t="s">
        <v>8</v>
      </c>
      <c r="N502" t="b">
        <v>0</v>
      </c>
      <c r="O502">
        <v>0</v>
      </c>
      <c r="P502">
        <v>1</v>
      </c>
      <c r="Q502">
        <v>0</v>
      </c>
      <c r="R502">
        <v>1</v>
      </c>
    </row>
    <row r="503" spans="1:18" x14ac:dyDescent="0.25">
      <c r="A503" t="s">
        <v>28</v>
      </c>
      <c r="B503" t="s">
        <v>6</v>
      </c>
      <c r="C503">
        <v>3</v>
      </c>
      <c r="D503">
        <v>4</v>
      </c>
      <c r="E503">
        <v>1</v>
      </c>
      <c r="F503" s="15">
        <v>45936</v>
      </c>
      <c r="G503" t="s">
        <v>246</v>
      </c>
      <c r="H503">
        <v>4</v>
      </c>
      <c r="I503">
        <v>2025</v>
      </c>
      <c r="J503">
        <v>10</v>
      </c>
      <c r="K503" t="s">
        <v>87</v>
      </c>
      <c r="L503" t="s">
        <v>14</v>
      </c>
      <c r="M503" t="s">
        <v>6</v>
      </c>
      <c r="N503" t="b">
        <v>0</v>
      </c>
      <c r="O503">
        <v>0</v>
      </c>
      <c r="P503">
        <v>1</v>
      </c>
      <c r="Q503">
        <v>0</v>
      </c>
      <c r="R503">
        <v>0</v>
      </c>
    </row>
    <row r="504" spans="1:18" x14ac:dyDescent="0.25">
      <c r="A504" t="s">
        <v>28</v>
      </c>
      <c r="B504" t="s">
        <v>6</v>
      </c>
      <c r="C504">
        <v>3</v>
      </c>
      <c r="D504">
        <v>4</v>
      </c>
      <c r="E504">
        <v>1</v>
      </c>
      <c r="F504" s="15">
        <v>45936</v>
      </c>
      <c r="G504" t="s">
        <v>246</v>
      </c>
      <c r="H504">
        <v>4</v>
      </c>
      <c r="I504">
        <v>2025</v>
      </c>
      <c r="J504">
        <v>10</v>
      </c>
      <c r="K504" t="s">
        <v>87</v>
      </c>
      <c r="L504" t="s">
        <v>18</v>
      </c>
      <c r="M504" t="s">
        <v>6</v>
      </c>
      <c r="N504" t="b">
        <v>0</v>
      </c>
      <c r="O504">
        <v>0</v>
      </c>
      <c r="P504">
        <v>1</v>
      </c>
      <c r="Q504">
        <v>0</v>
      </c>
      <c r="R504">
        <v>0</v>
      </c>
    </row>
    <row r="505" spans="1:18" x14ac:dyDescent="0.25">
      <c r="A505" t="s">
        <v>28</v>
      </c>
      <c r="B505" t="s">
        <v>6</v>
      </c>
      <c r="C505">
        <v>3</v>
      </c>
      <c r="D505">
        <v>4</v>
      </c>
      <c r="E505">
        <v>1</v>
      </c>
      <c r="F505" s="15">
        <v>45936</v>
      </c>
      <c r="G505" t="s">
        <v>246</v>
      </c>
      <c r="H505">
        <v>4</v>
      </c>
      <c r="I505">
        <v>2025</v>
      </c>
      <c r="J505">
        <v>10</v>
      </c>
      <c r="K505" t="s">
        <v>87</v>
      </c>
      <c r="L505" t="s">
        <v>352</v>
      </c>
      <c r="M505" t="s">
        <v>8</v>
      </c>
      <c r="N505" t="b">
        <v>0</v>
      </c>
      <c r="O505">
        <v>0</v>
      </c>
      <c r="P505">
        <v>1</v>
      </c>
      <c r="Q505">
        <v>0</v>
      </c>
      <c r="R505">
        <v>1</v>
      </c>
    </row>
    <row r="506" spans="1:18" x14ac:dyDescent="0.25">
      <c r="A506" t="s">
        <v>18</v>
      </c>
      <c r="B506" t="s">
        <v>6</v>
      </c>
      <c r="C506">
        <v>1</v>
      </c>
      <c r="D506">
        <v>4</v>
      </c>
      <c r="E506">
        <v>1</v>
      </c>
      <c r="F506" s="15">
        <v>45936</v>
      </c>
      <c r="G506" t="s">
        <v>246</v>
      </c>
      <c r="H506">
        <v>4</v>
      </c>
      <c r="I506">
        <v>2025</v>
      </c>
      <c r="J506">
        <v>10</v>
      </c>
      <c r="K506" t="s">
        <v>87</v>
      </c>
      <c r="L506" t="s">
        <v>14</v>
      </c>
      <c r="M506" t="s">
        <v>6</v>
      </c>
      <c r="N506" t="b">
        <v>0</v>
      </c>
      <c r="O506">
        <v>0</v>
      </c>
      <c r="P506">
        <v>1</v>
      </c>
      <c r="Q506">
        <v>0</v>
      </c>
      <c r="R506">
        <v>0</v>
      </c>
    </row>
    <row r="507" spans="1:18" x14ac:dyDescent="0.25">
      <c r="A507" t="s">
        <v>18</v>
      </c>
      <c r="B507" t="s">
        <v>6</v>
      </c>
      <c r="C507">
        <v>1</v>
      </c>
      <c r="D507">
        <v>4</v>
      </c>
      <c r="E507">
        <v>1</v>
      </c>
      <c r="F507" s="15">
        <v>45936</v>
      </c>
      <c r="G507" t="s">
        <v>246</v>
      </c>
      <c r="H507">
        <v>4</v>
      </c>
      <c r="I507">
        <v>2025</v>
      </c>
      <c r="J507">
        <v>10</v>
      </c>
      <c r="K507" t="s">
        <v>87</v>
      </c>
      <c r="L507" t="s">
        <v>28</v>
      </c>
      <c r="M507" t="s">
        <v>6</v>
      </c>
      <c r="N507" t="b">
        <v>0</v>
      </c>
      <c r="O507">
        <v>0</v>
      </c>
      <c r="P507">
        <v>1</v>
      </c>
      <c r="Q507">
        <v>0</v>
      </c>
      <c r="R507">
        <v>0</v>
      </c>
    </row>
    <row r="508" spans="1:18" x14ac:dyDescent="0.25">
      <c r="A508" t="s">
        <v>18</v>
      </c>
      <c r="B508" t="s">
        <v>6</v>
      </c>
      <c r="C508">
        <v>1</v>
      </c>
      <c r="D508">
        <v>4</v>
      </c>
      <c r="E508">
        <v>1</v>
      </c>
      <c r="F508" s="15">
        <v>45936</v>
      </c>
      <c r="G508" t="s">
        <v>246</v>
      </c>
      <c r="H508">
        <v>4</v>
      </c>
      <c r="I508">
        <v>2025</v>
      </c>
      <c r="J508">
        <v>10</v>
      </c>
      <c r="K508" t="s">
        <v>87</v>
      </c>
      <c r="L508" t="s">
        <v>352</v>
      </c>
      <c r="M508" t="s">
        <v>8</v>
      </c>
      <c r="N508" t="b">
        <v>0</v>
      </c>
      <c r="O508">
        <v>0</v>
      </c>
      <c r="P508">
        <v>1</v>
      </c>
      <c r="Q508">
        <v>0</v>
      </c>
      <c r="R508">
        <v>1</v>
      </c>
    </row>
    <row r="509" spans="1:18" x14ac:dyDescent="0.25">
      <c r="A509" t="s">
        <v>352</v>
      </c>
      <c r="B509" t="s">
        <v>8</v>
      </c>
      <c r="C509">
        <v>4</v>
      </c>
      <c r="D509">
        <v>4</v>
      </c>
      <c r="E509">
        <v>1</v>
      </c>
      <c r="F509" s="15">
        <v>45936</v>
      </c>
      <c r="G509" t="s">
        <v>246</v>
      </c>
      <c r="H509">
        <v>4</v>
      </c>
      <c r="I509">
        <v>2025</v>
      </c>
      <c r="J509">
        <v>10</v>
      </c>
      <c r="K509" t="s">
        <v>87</v>
      </c>
      <c r="L509" t="s">
        <v>14</v>
      </c>
      <c r="M509" t="s">
        <v>6</v>
      </c>
      <c r="N509" t="b">
        <v>0</v>
      </c>
      <c r="O509">
        <v>1</v>
      </c>
      <c r="P509">
        <v>0</v>
      </c>
      <c r="Q509">
        <v>0</v>
      </c>
      <c r="R509">
        <v>0</v>
      </c>
    </row>
    <row r="510" spans="1:18" x14ac:dyDescent="0.25">
      <c r="A510" t="s">
        <v>352</v>
      </c>
      <c r="B510" t="s">
        <v>8</v>
      </c>
      <c r="C510">
        <v>4</v>
      </c>
      <c r="D510">
        <v>4</v>
      </c>
      <c r="E510">
        <v>1</v>
      </c>
      <c r="F510" s="15">
        <v>45936</v>
      </c>
      <c r="G510" t="s">
        <v>246</v>
      </c>
      <c r="H510">
        <v>4</v>
      </c>
      <c r="I510">
        <v>2025</v>
      </c>
      <c r="J510">
        <v>10</v>
      </c>
      <c r="K510" t="s">
        <v>87</v>
      </c>
      <c r="L510" t="s">
        <v>28</v>
      </c>
      <c r="M510" t="s">
        <v>6</v>
      </c>
      <c r="N510" t="b">
        <v>0</v>
      </c>
      <c r="O510">
        <v>1</v>
      </c>
      <c r="P510">
        <v>0</v>
      </c>
      <c r="Q510">
        <v>0</v>
      </c>
      <c r="R510">
        <v>0</v>
      </c>
    </row>
    <row r="511" spans="1:18" x14ac:dyDescent="0.25">
      <c r="A511" t="s">
        <v>352</v>
      </c>
      <c r="B511" t="s">
        <v>8</v>
      </c>
      <c r="C511">
        <v>4</v>
      </c>
      <c r="D511">
        <v>4</v>
      </c>
      <c r="E511">
        <v>1</v>
      </c>
      <c r="F511" s="15">
        <v>45936</v>
      </c>
      <c r="G511" t="s">
        <v>246</v>
      </c>
      <c r="H511">
        <v>4</v>
      </c>
      <c r="I511">
        <v>2025</v>
      </c>
      <c r="J511">
        <v>10</v>
      </c>
      <c r="K511" t="s">
        <v>87</v>
      </c>
      <c r="L511" t="s">
        <v>18</v>
      </c>
      <c r="M511" t="s">
        <v>6</v>
      </c>
      <c r="N511" t="b">
        <v>0</v>
      </c>
      <c r="O511">
        <v>1</v>
      </c>
      <c r="P511">
        <v>0</v>
      </c>
      <c r="Q511">
        <v>0</v>
      </c>
      <c r="R511">
        <v>0</v>
      </c>
    </row>
    <row r="512" spans="1:18" x14ac:dyDescent="0.25">
      <c r="A512" t="s">
        <v>14</v>
      </c>
      <c r="B512" t="s">
        <v>8</v>
      </c>
      <c r="C512">
        <v>3</v>
      </c>
      <c r="D512">
        <v>4</v>
      </c>
      <c r="E512">
        <v>1</v>
      </c>
      <c r="F512" s="15">
        <v>45957</v>
      </c>
      <c r="G512" t="s">
        <v>249</v>
      </c>
      <c r="H512">
        <v>5</v>
      </c>
      <c r="I512">
        <v>2025</v>
      </c>
      <c r="J512">
        <v>10</v>
      </c>
      <c r="K512" t="s">
        <v>87</v>
      </c>
      <c r="L512" t="s">
        <v>20</v>
      </c>
      <c r="M512" t="s">
        <v>6</v>
      </c>
      <c r="N512" t="b">
        <v>0</v>
      </c>
      <c r="O512">
        <v>1</v>
      </c>
      <c r="P512">
        <v>0</v>
      </c>
      <c r="Q512">
        <v>0</v>
      </c>
      <c r="R512">
        <v>0</v>
      </c>
    </row>
    <row r="513" spans="1:18" x14ac:dyDescent="0.25">
      <c r="A513" t="s">
        <v>14</v>
      </c>
      <c r="B513" t="s">
        <v>8</v>
      </c>
      <c r="C513">
        <v>3</v>
      </c>
      <c r="D513">
        <v>4</v>
      </c>
      <c r="E513">
        <v>1</v>
      </c>
      <c r="F513" s="15">
        <v>45957</v>
      </c>
      <c r="G513" t="s">
        <v>249</v>
      </c>
      <c r="H513">
        <v>5</v>
      </c>
      <c r="I513">
        <v>2025</v>
      </c>
      <c r="J513">
        <v>10</v>
      </c>
      <c r="K513" t="s">
        <v>87</v>
      </c>
      <c r="L513" t="s">
        <v>28</v>
      </c>
      <c r="M513" t="s">
        <v>6</v>
      </c>
      <c r="N513" t="b">
        <v>0</v>
      </c>
      <c r="O513">
        <v>1</v>
      </c>
      <c r="P513">
        <v>0</v>
      </c>
      <c r="Q513">
        <v>0</v>
      </c>
      <c r="R513">
        <v>0</v>
      </c>
    </row>
    <row r="514" spans="1:18" x14ac:dyDescent="0.25">
      <c r="A514" t="s">
        <v>14</v>
      </c>
      <c r="B514" t="s">
        <v>8</v>
      </c>
      <c r="C514">
        <v>3</v>
      </c>
      <c r="D514">
        <v>4</v>
      </c>
      <c r="E514">
        <v>1</v>
      </c>
      <c r="F514" s="15">
        <v>45957</v>
      </c>
      <c r="G514" t="s">
        <v>249</v>
      </c>
      <c r="H514">
        <v>5</v>
      </c>
      <c r="I514">
        <v>2025</v>
      </c>
      <c r="J514">
        <v>10</v>
      </c>
      <c r="K514" t="s">
        <v>87</v>
      </c>
      <c r="L514" t="s">
        <v>60</v>
      </c>
      <c r="M514" t="s">
        <v>6</v>
      </c>
      <c r="N514" t="b">
        <v>0</v>
      </c>
      <c r="O514">
        <v>1</v>
      </c>
      <c r="P514">
        <v>0</v>
      </c>
      <c r="Q514">
        <v>0</v>
      </c>
      <c r="R514">
        <v>0</v>
      </c>
    </row>
    <row r="515" spans="1:18" x14ac:dyDescent="0.25">
      <c r="A515" t="s">
        <v>14</v>
      </c>
      <c r="B515" t="s">
        <v>8</v>
      </c>
      <c r="C515">
        <v>3</v>
      </c>
      <c r="D515">
        <v>4</v>
      </c>
      <c r="E515">
        <v>1</v>
      </c>
      <c r="F515" s="15">
        <v>45957</v>
      </c>
      <c r="G515" t="s">
        <v>249</v>
      </c>
      <c r="H515">
        <v>5</v>
      </c>
      <c r="I515">
        <v>2025</v>
      </c>
      <c r="J515">
        <v>10</v>
      </c>
      <c r="K515" t="s">
        <v>87</v>
      </c>
      <c r="L515" t="s">
        <v>56</v>
      </c>
      <c r="M515" t="s">
        <v>6</v>
      </c>
      <c r="N515" t="b">
        <v>0</v>
      </c>
      <c r="O515">
        <v>1</v>
      </c>
      <c r="P515">
        <v>0</v>
      </c>
      <c r="Q515">
        <v>0</v>
      </c>
      <c r="R515">
        <v>0</v>
      </c>
    </row>
    <row r="516" spans="1:18" x14ac:dyDescent="0.25">
      <c r="A516" t="s">
        <v>20</v>
      </c>
      <c r="B516" t="s">
        <v>6</v>
      </c>
      <c r="C516">
        <v>5</v>
      </c>
      <c r="D516">
        <v>4</v>
      </c>
      <c r="E516">
        <v>1</v>
      </c>
      <c r="F516" s="15">
        <v>45957</v>
      </c>
      <c r="G516" t="s">
        <v>249</v>
      </c>
      <c r="H516">
        <v>5</v>
      </c>
      <c r="I516">
        <v>2025</v>
      </c>
      <c r="J516">
        <v>10</v>
      </c>
      <c r="K516" t="s">
        <v>87</v>
      </c>
      <c r="L516" t="s">
        <v>14</v>
      </c>
      <c r="M516" t="s">
        <v>8</v>
      </c>
      <c r="N516" t="b">
        <v>0</v>
      </c>
      <c r="O516">
        <v>0</v>
      </c>
      <c r="P516">
        <v>1</v>
      </c>
      <c r="Q516">
        <v>0</v>
      </c>
      <c r="R516">
        <v>1</v>
      </c>
    </row>
    <row r="517" spans="1:18" x14ac:dyDescent="0.25">
      <c r="A517" t="s">
        <v>20</v>
      </c>
      <c r="B517" t="s">
        <v>6</v>
      </c>
      <c r="C517">
        <v>5</v>
      </c>
      <c r="D517">
        <v>4</v>
      </c>
      <c r="E517">
        <v>1</v>
      </c>
      <c r="F517" s="15">
        <v>45957</v>
      </c>
      <c r="G517" t="s">
        <v>249</v>
      </c>
      <c r="H517">
        <v>5</v>
      </c>
      <c r="I517">
        <v>2025</v>
      </c>
      <c r="J517">
        <v>10</v>
      </c>
      <c r="K517" t="s">
        <v>87</v>
      </c>
      <c r="L517" t="s">
        <v>28</v>
      </c>
      <c r="M517" t="s">
        <v>6</v>
      </c>
      <c r="N517" t="b">
        <v>0</v>
      </c>
      <c r="O517">
        <v>0</v>
      </c>
      <c r="P517">
        <v>1</v>
      </c>
      <c r="Q517">
        <v>0</v>
      </c>
      <c r="R517">
        <v>0</v>
      </c>
    </row>
    <row r="518" spans="1:18" x14ac:dyDescent="0.25">
      <c r="A518" t="s">
        <v>20</v>
      </c>
      <c r="B518" t="s">
        <v>6</v>
      </c>
      <c r="C518">
        <v>5</v>
      </c>
      <c r="D518">
        <v>4</v>
      </c>
      <c r="E518">
        <v>1</v>
      </c>
      <c r="F518" s="15">
        <v>45957</v>
      </c>
      <c r="G518" t="s">
        <v>249</v>
      </c>
      <c r="H518">
        <v>5</v>
      </c>
      <c r="I518">
        <v>2025</v>
      </c>
      <c r="J518">
        <v>10</v>
      </c>
      <c r="K518" t="s">
        <v>87</v>
      </c>
      <c r="L518" t="s">
        <v>60</v>
      </c>
      <c r="M518" t="s">
        <v>6</v>
      </c>
      <c r="N518" t="b">
        <v>0</v>
      </c>
      <c r="O518">
        <v>0</v>
      </c>
      <c r="P518">
        <v>1</v>
      </c>
      <c r="Q518">
        <v>0</v>
      </c>
      <c r="R518">
        <v>0</v>
      </c>
    </row>
    <row r="519" spans="1:18" x14ac:dyDescent="0.25">
      <c r="A519" t="s">
        <v>20</v>
      </c>
      <c r="B519" t="s">
        <v>6</v>
      </c>
      <c r="C519">
        <v>5</v>
      </c>
      <c r="D519">
        <v>4</v>
      </c>
      <c r="E519">
        <v>1</v>
      </c>
      <c r="F519" s="15">
        <v>45957</v>
      </c>
      <c r="G519" t="s">
        <v>249</v>
      </c>
      <c r="H519">
        <v>5</v>
      </c>
      <c r="I519">
        <v>2025</v>
      </c>
      <c r="J519">
        <v>10</v>
      </c>
      <c r="K519" t="s">
        <v>87</v>
      </c>
      <c r="L519" t="s">
        <v>56</v>
      </c>
      <c r="M519" t="s">
        <v>6</v>
      </c>
      <c r="N519" t="b">
        <v>0</v>
      </c>
      <c r="O519">
        <v>0</v>
      </c>
      <c r="P519">
        <v>1</v>
      </c>
      <c r="Q519">
        <v>0</v>
      </c>
      <c r="R519">
        <v>0</v>
      </c>
    </row>
    <row r="520" spans="1:18" x14ac:dyDescent="0.25">
      <c r="A520" t="s">
        <v>28</v>
      </c>
      <c r="B520" t="s">
        <v>6</v>
      </c>
      <c r="C520">
        <v>4</v>
      </c>
      <c r="D520">
        <v>4</v>
      </c>
      <c r="E520">
        <v>1</v>
      </c>
      <c r="F520" s="15">
        <v>45957</v>
      </c>
      <c r="G520" t="s">
        <v>249</v>
      </c>
      <c r="H520">
        <v>5</v>
      </c>
      <c r="I520">
        <v>2025</v>
      </c>
      <c r="J520">
        <v>10</v>
      </c>
      <c r="K520" t="s">
        <v>87</v>
      </c>
      <c r="L520" t="s">
        <v>14</v>
      </c>
      <c r="M520" t="s">
        <v>8</v>
      </c>
      <c r="N520" t="b">
        <v>0</v>
      </c>
      <c r="O520">
        <v>0</v>
      </c>
      <c r="P520">
        <v>1</v>
      </c>
      <c r="Q520">
        <v>0</v>
      </c>
      <c r="R520">
        <v>1</v>
      </c>
    </row>
    <row r="521" spans="1:18" x14ac:dyDescent="0.25">
      <c r="A521" t="s">
        <v>28</v>
      </c>
      <c r="B521" t="s">
        <v>6</v>
      </c>
      <c r="C521">
        <v>4</v>
      </c>
      <c r="D521">
        <v>4</v>
      </c>
      <c r="E521">
        <v>1</v>
      </c>
      <c r="F521" s="15">
        <v>45957</v>
      </c>
      <c r="G521" t="s">
        <v>249</v>
      </c>
      <c r="H521">
        <v>5</v>
      </c>
      <c r="I521">
        <v>2025</v>
      </c>
      <c r="J521">
        <v>10</v>
      </c>
      <c r="K521" t="s">
        <v>87</v>
      </c>
      <c r="L521" t="s">
        <v>20</v>
      </c>
      <c r="M521" t="s">
        <v>6</v>
      </c>
      <c r="N521" t="b">
        <v>0</v>
      </c>
      <c r="O521">
        <v>0</v>
      </c>
      <c r="P521">
        <v>1</v>
      </c>
      <c r="Q521">
        <v>0</v>
      </c>
      <c r="R521">
        <v>0</v>
      </c>
    </row>
    <row r="522" spans="1:18" x14ac:dyDescent="0.25">
      <c r="A522" t="s">
        <v>28</v>
      </c>
      <c r="B522" t="s">
        <v>6</v>
      </c>
      <c r="C522">
        <v>4</v>
      </c>
      <c r="D522">
        <v>4</v>
      </c>
      <c r="E522">
        <v>1</v>
      </c>
      <c r="F522" s="15">
        <v>45957</v>
      </c>
      <c r="G522" t="s">
        <v>249</v>
      </c>
      <c r="H522">
        <v>5</v>
      </c>
      <c r="I522">
        <v>2025</v>
      </c>
      <c r="J522">
        <v>10</v>
      </c>
      <c r="K522" t="s">
        <v>87</v>
      </c>
      <c r="L522" t="s">
        <v>60</v>
      </c>
      <c r="M522" t="s">
        <v>6</v>
      </c>
      <c r="N522" t="b">
        <v>0</v>
      </c>
      <c r="O522">
        <v>0</v>
      </c>
      <c r="P522">
        <v>1</v>
      </c>
      <c r="Q522">
        <v>0</v>
      </c>
      <c r="R522">
        <v>0</v>
      </c>
    </row>
    <row r="523" spans="1:18" x14ac:dyDescent="0.25">
      <c r="A523" t="s">
        <v>28</v>
      </c>
      <c r="B523" t="s">
        <v>6</v>
      </c>
      <c r="C523">
        <v>4</v>
      </c>
      <c r="D523">
        <v>4</v>
      </c>
      <c r="E523">
        <v>1</v>
      </c>
      <c r="F523" s="15">
        <v>45957</v>
      </c>
      <c r="G523" t="s">
        <v>249</v>
      </c>
      <c r="H523">
        <v>5</v>
      </c>
      <c r="I523">
        <v>2025</v>
      </c>
      <c r="J523">
        <v>10</v>
      </c>
      <c r="K523" t="s">
        <v>87</v>
      </c>
      <c r="L523" t="s">
        <v>56</v>
      </c>
      <c r="M523" t="s">
        <v>6</v>
      </c>
      <c r="N523" t="b">
        <v>0</v>
      </c>
      <c r="O523">
        <v>0</v>
      </c>
      <c r="P523">
        <v>1</v>
      </c>
      <c r="Q523">
        <v>0</v>
      </c>
      <c r="R523">
        <v>0</v>
      </c>
    </row>
    <row r="524" spans="1:18" x14ac:dyDescent="0.25">
      <c r="A524" t="s">
        <v>60</v>
      </c>
      <c r="B524" t="s">
        <v>6</v>
      </c>
      <c r="C524">
        <v>2</v>
      </c>
      <c r="D524">
        <v>4</v>
      </c>
      <c r="E524">
        <v>1</v>
      </c>
      <c r="F524" s="15">
        <v>45957</v>
      </c>
      <c r="G524" t="s">
        <v>249</v>
      </c>
      <c r="H524">
        <v>5</v>
      </c>
      <c r="I524">
        <v>2025</v>
      </c>
      <c r="J524">
        <v>10</v>
      </c>
      <c r="K524" t="s">
        <v>87</v>
      </c>
      <c r="L524" t="s">
        <v>14</v>
      </c>
      <c r="M524" t="s">
        <v>8</v>
      </c>
      <c r="N524" t="b">
        <v>0</v>
      </c>
      <c r="O524">
        <v>0</v>
      </c>
      <c r="P524">
        <v>1</v>
      </c>
      <c r="Q524">
        <v>0</v>
      </c>
      <c r="R524">
        <v>1</v>
      </c>
    </row>
    <row r="525" spans="1:18" x14ac:dyDescent="0.25">
      <c r="A525" t="s">
        <v>60</v>
      </c>
      <c r="B525" t="s">
        <v>6</v>
      </c>
      <c r="C525">
        <v>2</v>
      </c>
      <c r="D525">
        <v>4</v>
      </c>
      <c r="E525">
        <v>1</v>
      </c>
      <c r="F525" s="15">
        <v>45957</v>
      </c>
      <c r="G525" t="s">
        <v>249</v>
      </c>
      <c r="H525">
        <v>5</v>
      </c>
      <c r="I525">
        <v>2025</v>
      </c>
      <c r="J525">
        <v>10</v>
      </c>
      <c r="K525" t="s">
        <v>87</v>
      </c>
      <c r="L525" t="s">
        <v>20</v>
      </c>
      <c r="M525" t="s">
        <v>6</v>
      </c>
      <c r="N525" t="b">
        <v>0</v>
      </c>
      <c r="O525">
        <v>0</v>
      </c>
      <c r="P525">
        <v>1</v>
      </c>
      <c r="Q525">
        <v>0</v>
      </c>
      <c r="R525">
        <v>0</v>
      </c>
    </row>
    <row r="526" spans="1:18" x14ac:dyDescent="0.25">
      <c r="A526" t="s">
        <v>60</v>
      </c>
      <c r="B526" t="s">
        <v>6</v>
      </c>
      <c r="C526">
        <v>2</v>
      </c>
      <c r="D526">
        <v>4</v>
      </c>
      <c r="E526">
        <v>1</v>
      </c>
      <c r="F526" s="15">
        <v>45957</v>
      </c>
      <c r="G526" t="s">
        <v>249</v>
      </c>
      <c r="H526">
        <v>5</v>
      </c>
      <c r="I526">
        <v>2025</v>
      </c>
      <c r="J526">
        <v>10</v>
      </c>
      <c r="K526" t="s">
        <v>87</v>
      </c>
      <c r="L526" t="s">
        <v>28</v>
      </c>
      <c r="M526" t="s">
        <v>6</v>
      </c>
      <c r="N526" t="b">
        <v>0</v>
      </c>
      <c r="O526">
        <v>0</v>
      </c>
      <c r="P526">
        <v>1</v>
      </c>
      <c r="Q526">
        <v>0</v>
      </c>
      <c r="R526">
        <v>0</v>
      </c>
    </row>
    <row r="527" spans="1:18" x14ac:dyDescent="0.25">
      <c r="A527" t="s">
        <v>60</v>
      </c>
      <c r="B527" t="s">
        <v>6</v>
      </c>
      <c r="C527">
        <v>2</v>
      </c>
      <c r="D527">
        <v>4</v>
      </c>
      <c r="E527">
        <v>1</v>
      </c>
      <c r="F527" s="15">
        <v>45957</v>
      </c>
      <c r="G527" t="s">
        <v>249</v>
      </c>
      <c r="H527">
        <v>5</v>
      </c>
      <c r="I527">
        <v>2025</v>
      </c>
      <c r="J527">
        <v>10</v>
      </c>
      <c r="K527" t="s">
        <v>87</v>
      </c>
      <c r="L527" t="s">
        <v>56</v>
      </c>
      <c r="M527" t="s">
        <v>6</v>
      </c>
      <c r="N527" t="b">
        <v>0</v>
      </c>
      <c r="O527">
        <v>0</v>
      </c>
      <c r="P527">
        <v>1</v>
      </c>
      <c r="Q527">
        <v>0</v>
      </c>
      <c r="R527">
        <v>0</v>
      </c>
    </row>
    <row r="528" spans="1:18" x14ac:dyDescent="0.25">
      <c r="A528" t="s">
        <v>56</v>
      </c>
      <c r="B528" t="s">
        <v>6</v>
      </c>
      <c r="C528">
        <v>1</v>
      </c>
      <c r="D528">
        <v>4</v>
      </c>
      <c r="E528">
        <v>1</v>
      </c>
      <c r="F528" s="15">
        <v>45957</v>
      </c>
      <c r="G528" t="s">
        <v>249</v>
      </c>
      <c r="H528">
        <v>5</v>
      </c>
      <c r="I528">
        <v>2025</v>
      </c>
      <c r="J528">
        <v>10</v>
      </c>
      <c r="K528" t="s">
        <v>87</v>
      </c>
      <c r="L528" t="s">
        <v>14</v>
      </c>
      <c r="M528" t="s">
        <v>8</v>
      </c>
      <c r="N528" t="b">
        <v>0</v>
      </c>
      <c r="O528">
        <v>0</v>
      </c>
      <c r="P528">
        <v>1</v>
      </c>
      <c r="Q528">
        <v>0</v>
      </c>
      <c r="R528">
        <v>1</v>
      </c>
    </row>
    <row r="529" spans="1:18" x14ac:dyDescent="0.25">
      <c r="A529" t="s">
        <v>56</v>
      </c>
      <c r="B529" t="s">
        <v>6</v>
      </c>
      <c r="C529">
        <v>1</v>
      </c>
      <c r="D529">
        <v>4</v>
      </c>
      <c r="E529">
        <v>1</v>
      </c>
      <c r="F529" s="15">
        <v>45957</v>
      </c>
      <c r="G529" t="s">
        <v>249</v>
      </c>
      <c r="H529">
        <v>5</v>
      </c>
      <c r="I529">
        <v>2025</v>
      </c>
      <c r="J529">
        <v>10</v>
      </c>
      <c r="K529" t="s">
        <v>87</v>
      </c>
      <c r="L529" t="s">
        <v>20</v>
      </c>
      <c r="M529" t="s">
        <v>6</v>
      </c>
      <c r="N529" t="b">
        <v>0</v>
      </c>
      <c r="O529">
        <v>0</v>
      </c>
      <c r="P529">
        <v>1</v>
      </c>
      <c r="Q529">
        <v>0</v>
      </c>
      <c r="R529">
        <v>0</v>
      </c>
    </row>
    <row r="530" spans="1:18" x14ac:dyDescent="0.25">
      <c r="A530" t="s">
        <v>56</v>
      </c>
      <c r="B530" t="s">
        <v>6</v>
      </c>
      <c r="C530">
        <v>1</v>
      </c>
      <c r="D530">
        <v>4</v>
      </c>
      <c r="E530">
        <v>1</v>
      </c>
      <c r="F530" s="15">
        <v>45957</v>
      </c>
      <c r="G530" t="s">
        <v>249</v>
      </c>
      <c r="H530">
        <v>5</v>
      </c>
      <c r="I530">
        <v>2025</v>
      </c>
      <c r="J530">
        <v>10</v>
      </c>
      <c r="K530" t="s">
        <v>87</v>
      </c>
      <c r="L530" t="s">
        <v>28</v>
      </c>
      <c r="M530" t="s">
        <v>6</v>
      </c>
      <c r="N530" t="b">
        <v>0</v>
      </c>
      <c r="O530">
        <v>0</v>
      </c>
      <c r="P530">
        <v>1</v>
      </c>
      <c r="Q530">
        <v>0</v>
      </c>
      <c r="R530">
        <v>0</v>
      </c>
    </row>
    <row r="531" spans="1:18" x14ac:dyDescent="0.25">
      <c r="A531" t="s">
        <v>56</v>
      </c>
      <c r="B531" t="s">
        <v>6</v>
      </c>
      <c r="C531">
        <v>1</v>
      </c>
      <c r="D531">
        <v>4</v>
      </c>
      <c r="E531">
        <v>1</v>
      </c>
      <c r="F531" s="15">
        <v>45957</v>
      </c>
      <c r="G531" t="s">
        <v>249</v>
      </c>
      <c r="H531">
        <v>5</v>
      </c>
      <c r="I531">
        <v>2025</v>
      </c>
      <c r="J531">
        <v>10</v>
      </c>
      <c r="K531" t="s">
        <v>87</v>
      </c>
      <c r="L531" t="s">
        <v>60</v>
      </c>
      <c r="M531" t="s">
        <v>6</v>
      </c>
      <c r="N531" t="b">
        <v>0</v>
      </c>
      <c r="O531">
        <v>0</v>
      </c>
      <c r="P531">
        <v>1</v>
      </c>
      <c r="Q531">
        <v>0</v>
      </c>
      <c r="R531">
        <v>0</v>
      </c>
    </row>
    <row r="532" spans="1:18" x14ac:dyDescent="0.25">
      <c r="A532" t="s">
        <v>14</v>
      </c>
      <c r="B532" t="s">
        <v>6</v>
      </c>
      <c r="C532">
        <v>3</v>
      </c>
      <c r="D532">
        <v>4</v>
      </c>
      <c r="E532">
        <v>1</v>
      </c>
      <c r="F532" s="15">
        <v>45964</v>
      </c>
      <c r="G532" t="s">
        <v>250</v>
      </c>
      <c r="H532">
        <v>4</v>
      </c>
      <c r="I532">
        <v>2025</v>
      </c>
      <c r="J532">
        <v>11</v>
      </c>
      <c r="K532" t="s">
        <v>87</v>
      </c>
      <c r="L532" t="s">
        <v>41</v>
      </c>
      <c r="M532" t="s">
        <v>6</v>
      </c>
      <c r="N532" t="b">
        <v>0</v>
      </c>
      <c r="O532">
        <v>0</v>
      </c>
      <c r="P532">
        <v>1</v>
      </c>
      <c r="Q532">
        <v>0</v>
      </c>
      <c r="R532">
        <v>0</v>
      </c>
    </row>
    <row r="533" spans="1:18" x14ac:dyDescent="0.25">
      <c r="A533" t="s">
        <v>14</v>
      </c>
      <c r="B533" t="s">
        <v>6</v>
      </c>
      <c r="C533">
        <v>3</v>
      </c>
      <c r="D533">
        <v>4</v>
      </c>
      <c r="E533">
        <v>1</v>
      </c>
      <c r="F533" s="15">
        <v>45964</v>
      </c>
      <c r="G533" t="s">
        <v>250</v>
      </c>
      <c r="H533">
        <v>4</v>
      </c>
      <c r="I533">
        <v>2025</v>
      </c>
      <c r="J533">
        <v>11</v>
      </c>
      <c r="K533" t="s">
        <v>87</v>
      </c>
      <c r="L533" t="s">
        <v>53</v>
      </c>
      <c r="M533" t="s">
        <v>8</v>
      </c>
      <c r="N533" t="b">
        <v>0</v>
      </c>
      <c r="O533">
        <v>0</v>
      </c>
      <c r="P533">
        <v>1</v>
      </c>
      <c r="Q533">
        <v>0</v>
      </c>
      <c r="R533">
        <v>1</v>
      </c>
    </row>
    <row r="534" spans="1:18" x14ac:dyDescent="0.25">
      <c r="A534" t="s">
        <v>14</v>
      </c>
      <c r="B534" t="s">
        <v>6</v>
      </c>
      <c r="C534">
        <v>3</v>
      </c>
      <c r="D534">
        <v>4</v>
      </c>
      <c r="E534">
        <v>1</v>
      </c>
      <c r="F534" s="15">
        <v>45964</v>
      </c>
      <c r="G534" t="s">
        <v>250</v>
      </c>
      <c r="H534">
        <v>4</v>
      </c>
      <c r="I534">
        <v>2025</v>
      </c>
      <c r="J534">
        <v>11</v>
      </c>
      <c r="K534" t="s">
        <v>87</v>
      </c>
      <c r="L534" t="s">
        <v>42</v>
      </c>
      <c r="M534" t="s">
        <v>6</v>
      </c>
      <c r="N534" t="b">
        <v>0</v>
      </c>
      <c r="O534">
        <v>0</v>
      </c>
      <c r="P534">
        <v>1</v>
      </c>
      <c r="Q534">
        <v>0</v>
      </c>
      <c r="R534">
        <v>0</v>
      </c>
    </row>
    <row r="535" spans="1:18" x14ac:dyDescent="0.25">
      <c r="A535" t="s">
        <v>41</v>
      </c>
      <c r="B535" t="s">
        <v>6</v>
      </c>
      <c r="C535">
        <v>4</v>
      </c>
      <c r="D535">
        <v>4</v>
      </c>
      <c r="E535">
        <v>1</v>
      </c>
      <c r="F535" s="15">
        <v>45964</v>
      </c>
      <c r="G535" t="s">
        <v>250</v>
      </c>
      <c r="H535">
        <v>4</v>
      </c>
      <c r="I535">
        <v>2025</v>
      </c>
      <c r="J535">
        <v>11</v>
      </c>
      <c r="K535" t="s">
        <v>87</v>
      </c>
      <c r="L535" t="s">
        <v>14</v>
      </c>
      <c r="M535" t="s">
        <v>6</v>
      </c>
      <c r="N535" t="b">
        <v>0</v>
      </c>
      <c r="O535">
        <v>0</v>
      </c>
      <c r="P535">
        <v>1</v>
      </c>
      <c r="Q535">
        <v>0</v>
      </c>
      <c r="R535">
        <v>0</v>
      </c>
    </row>
    <row r="536" spans="1:18" x14ac:dyDescent="0.25">
      <c r="A536" t="s">
        <v>41</v>
      </c>
      <c r="B536" t="s">
        <v>6</v>
      </c>
      <c r="C536">
        <v>4</v>
      </c>
      <c r="D536">
        <v>4</v>
      </c>
      <c r="E536">
        <v>1</v>
      </c>
      <c r="F536" s="15">
        <v>45964</v>
      </c>
      <c r="G536" t="s">
        <v>250</v>
      </c>
      <c r="H536">
        <v>4</v>
      </c>
      <c r="I536">
        <v>2025</v>
      </c>
      <c r="J536">
        <v>11</v>
      </c>
      <c r="K536" t="s">
        <v>87</v>
      </c>
      <c r="L536" t="s">
        <v>53</v>
      </c>
      <c r="M536" t="s">
        <v>8</v>
      </c>
      <c r="N536" t="b">
        <v>0</v>
      </c>
      <c r="O536">
        <v>0</v>
      </c>
      <c r="P536">
        <v>1</v>
      </c>
      <c r="Q536">
        <v>0</v>
      </c>
      <c r="R536">
        <v>1</v>
      </c>
    </row>
    <row r="537" spans="1:18" x14ac:dyDescent="0.25">
      <c r="A537" t="s">
        <v>41</v>
      </c>
      <c r="B537" t="s">
        <v>6</v>
      </c>
      <c r="C537">
        <v>4</v>
      </c>
      <c r="D537">
        <v>4</v>
      </c>
      <c r="E537">
        <v>1</v>
      </c>
      <c r="F537" s="15">
        <v>45964</v>
      </c>
      <c r="G537" t="s">
        <v>250</v>
      </c>
      <c r="H537">
        <v>4</v>
      </c>
      <c r="I537">
        <v>2025</v>
      </c>
      <c r="J537">
        <v>11</v>
      </c>
      <c r="K537" t="s">
        <v>87</v>
      </c>
      <c r="L537" t="s">
        <v>42</v>
      </c>
      <c r="M537" t="s">
        <v>6</v>
      </c>
      <c r="N537" t="b">
        <v>0</v>
      </c>
      <c r="O537">
        <v>0</v>
      </c>
      <c r="P537">
        <v>1</v>
      </c>
      <c r="Q537">
        <v>0</v>
      </c>
      <c r="R537">
        <v>0</v>
      </c>
    </row>
    <row r="538" spans="1:18" x14ac:dyDescent="0.25">
      <c r="A538" t="s">
        <v>53</v>
      </c>
      <c r="B538" t="s">
        <v>8</v>
      </c>
      <c r="C538">
        <v>2</v>
      </c>
      <c r="D538">
        <v>4</v>
      </c>
      <c r="E538">
        <v>1</v>
      </c>
      <c r="F538" s="15">
        <v>45964</v>
      </c>
      <c r="G538" t="s">
        <v>250</v>
      </c>
      <c r="H538">
        <v>4</v>
      </c>
      <c r="I538">
        <v>2025</v>
      </c>
      <c r="J538">
        <v>11</v>
      </c>
      <c r="K538" t="s">
        <v>87</v>
      </c>
      <c r="L538" t="s">
        <v>14</v>
      </c>
      <c r="M538" t="s">
        <v>6</v>
      </c>
      <c r="N538" t="b">
        <v>0</v>
      </c>
      <c r="O538">
        <v>1</v>
      </c>
      <c r="P538">
        <v>0</v>
      </c>
      <c r="Q538">
        <v>0</v>
      </c>
      <c r="R538">
        <v>0</v>
      </c>
    </row>
    <row r="539" spans="1:18" x14ac:dyDescent="0.25">
      <c r="A539" t="s">
        <v>53</v>
      </c>
      <c r="B539" t="s">
        <v>8</v>
      </c>
      <c r="C539">
        <v>2</v>
      </c>
      <c r="D539">
        <v>4</v>
      </c>
      <c r="E539">
        <v>1</v>
      </c>
      <c r="F539" s="15">
        <v>45964</v>
      </c>
      <c r="G539" t="s">
        <v>250</v>
      </c>
      <c r="H539">
        <v>4</v>
      </c>
      <c r="I539">
        <v>2025</v>
      </c>
      <c r="J539">
        <v>11</v>
      </c>
      <c r="K539" t="s">
        <v>87</v>
      </c>
      <c r="L539" t="s">
        <v>41</v>
      </c>
      <c r="M539" t="s">
        <v>6</v>
      </c>
      <c r="N539" t="b">
        <v>0</v>
      </c>
      <c r="O539">
        <v>1</v>
      </c>
      <c r="P539">
        <v>0</v>
      </c>
      <c r="Q539">
        <v>0</v>
      </c>
      <c r="R539">
        <v>0</v>
      </c>
    </row>
    <row r="540" spans="1:18" x14ac:dyDescent="0.25">
      <c r="A540" t="s">
        <v>53</v>
      </c>
      <c r="B540" t="s">
        <v>8</v>
      </c>
      <c r="C540">
        <v>2</v>
      </c>
      <c r="D540">
        <v>4</v>
      </c>
      <c r="E540">
        <v>1</v>
      </c>
      <c r="F540" s="15">
        <v>45964</v>
      </c>
      <c r="G540" t="s">
        <v>250</v>
      </c>
      <c r="H540">
        <v>4</v>
      </c>
      <c r="I540">
        <v>2025</v>
      </c>
      <c r="J540">
        <v>11</v>
      </c>
      <c r="K540" t="s">
        <v>87</v>
      </c>
      <c r="L540" t="s">
        <v>42</v>
      </c>
      <c r="M540" t="s">
        <v>6</v>
      </c>
      <c r="N540" t="b">
        <v>0</v>
      </c>
      <c r="O540">
        <v>1</v>
      </c>
      <c r="P540">
        <v>0</v>
      </c>
      <c r="Q540">
        <v>0</v>
      </c>
      <c r="R540">
        <v>0</v>
      </c>
    </row>
    <row r="541" spans="1:18" x14ac:dyDescent="0.25">
      <c r="A541" t="s">
        <v>42</v>
      </c>
      <c r="B541" t="s">
        <v>6</v>
      </c>
      <c r="C541">
        <v>1</v>
      </c>
      <c r="D541">
        <v>4</v>
      </c>
      <c r="E541">
        <v>1</v>
      </c>
      <c r="F541" s="15">
        <v>45964</v>
      </c>
      <c r="G541" t="s">
        <v>250</v>
      </c>
      <c r="H541">
        <v>4</v>
      </c>
      <c r="I541">
        <v>2025</v>
      </c>
      <c r="J541">
        <v>11</v>
      </c>
      <c r="K541" t="s">
        <v>87</v>
      </c>
      <c r="L541" t="s">
        <v>14</v>
      </c>
      <c r="M541" t="s">
        <v>6</v>
      </c>
      <c r="N541" t="b">
        <v>0</v>
      </c>
      <c r="O541">
        <v>0</v>
      </c>
      <c r="P541">
        <v>1</v>
      </c>
      <c r="Q541">
        <v>0</v>
      </c>
      <c r="R541">
        <v>0</v>
      </c>
    </row>
    <row r="542" spans="1:18" x14ac:dyDescent="0.25">
      <c r="A542" t="s">
        <v>42</v>
      </c>
      <c r="B542" t="s">
        <v>6</v>
      </c>
      <c r="C542">
        <v>1</v>
      </c>
      <c r="D542">
        <v>4</v>
      </c>
      <c r="E542">
        <v>1</v>
      </c>
      <c r="F542" s="15">
        <v>45964</v>
      </c>
      <c r="G542" t="s">
        <v>250</v>
      </c>
      <c r="H542">
        <v>4</v>
      </c>
      <c r="I542">
        <v>2025</v>
      </c>
      <c r="J542">
        <v>11</v>
      </c>
      <c r="K542" t="s">
        <v>87</v>
      </c>
      <c r="L542" t="s">
        <v>41</v>
      </c>
      <c r="M542" t="s">
        <v>6</v>
      </c>
      <c r="N542" t="b">
        <v>0</v>
      </c>
      <c r="O542">
        <v>0</v>
      </c>
      <c r="P542">
        <v>1</v>
      </c>
      <c r="Q542">
        <v>0</v>
      </c>
      <c r="R542">
        <v>0</v>
      </c>
    </row>
    <row r="543" spans="1:18" x14ac:dyDescent="0.25">
      <c r="A543" t="s">
        <v>42</v>
      </c>
      <c r="B543" t="s">
        <v>6</v>
      </c>
      <c r="C543">
        <v>1</v>
      </c>
      <c r="D543">
        <v>4</v>
      </c>
      <c r="E543">
        <v>1</v>
      </c>
      <c r="F543" s="15">
        <v>45964</v>
      </c>
      <c r="G543" t="s">
        <v>250</v>
      </c>
      <c r="H543">
        <v>4</v>
      </c>
      <c r="I543">
        <v>2025</v>
      </c>
      <c r="J543">
        <v>11</v>
      </c>
      <c r="K543" t="s">
        <v>87</v>
      </c>
      <c r="L543" t="s">
        <v>53</v>
      </c>
      <c r="M543" t="s">
        <v>8</v>
      </c>
      <c r="N543" t="b">
        <v>0</v>
      </c>
      <c r="O543">
        <v>0</v>
      </c>
      <c r="P543">
        <v>1</v>
      </c>
      <c r="Q543">
        <v>0</v>
      </c>
      <c r="R543">
        <v>1</v>
      </c>
    </row>
    <row r="544" spans="1:18" x14ac:dyDescent="0.25">
      <c r="A544" t="s">
        <v>14</v>
      </c>
      <c r="B544" t="s">
        <v>8</v>
      </c>
      <c r="C544">
        <v>2</v>
      </c>
      <c r="D544">
        <v>5</v>
      </c>
      <c r="E544">
        <v>2</v>
      </c>
      <c r="F544" s="15">
        <v>45894</v>
      </c>
      <c r="G544" t="s">
        <v>279</v>
      </c>
      <c r="H544">
        <v>3</v>
      </c>
      <c r="I544">
        <v>2025</v>
      </c>
      <c r="J544">
        <v>8</v>
      </c>
      <c r="K544" t="s">
        <v>87</v>
      </c>
      <c r="L544" t="s">
        <v>20</v>
      </c>
      <c r="M544" t="s">
        <v>6</v>
      </c>
      <c r="N544" t="b">
        <v>0</v>
      </c>
      <c r="O544">
        <v>1</v>
      </c>
      <c r="P544">
        <v>0</v>
      </c>
      <c r="Q544">
        <v>0</v>
      </c>
      <c r="R544">
        <v>0</v>
      </c>
    </row>
    <row r="545" spans="1:18" x14ac:dyDescent="0.25">
      <c r="A545" t="s">
        <v>14</v>
      </c>
      <c r="B545" t="s">
        <v>8</v>
      </c>
      <c r="C545">
        <v>2</v>
      </c>
      <c r="D545">
        <v>5</v>
      </c>
      <c r="E545">
        <v>2</v>
      </c>
      <c r="F545" s="15">
        <v>45894</v>
      </c>
      <c r="G545" t="s">
        <v>279</v>
      </c>
      <c r="H545">
        <v>3</v>
      </c>
      <c r="I545">
        <v>2025</v>
      </c>
      <c r="J545">
        <v>8</v>
      </c>
      <c r="K545" t="s">
        <v>87</v>
      </c>
      <c r="L545" t="s">
        <v>352</v>
      </c>
      <c r="M545" t="s">
        <v>6</v>
      </c>
      <c r="N545" t="b">
        <v>0</v>
      </c>
      <c r="O545">
        <v>1</v>
      </c>
      <c r="P545">
        <v>0</v>
      </c>
      <c r="Q545">
        <v>0</v>
      </c>
      <c r="R545">
        <v>0</v>
      </c>
    </row>
    <row r="546" spans="1:18" x14ac:dyDescent="0.25">
      <c r="A546" t="s">
        <v>20</v>
      </c>
      <c r="B546" t="s">
        <v>6</v>
      </c>
      <c r="C546">
        <v>3</v>
      </c>
      <c r="D546">
        <v>5</v>
      </c>
      <c r="E546">
        <v>2</v>
      </c>
      <c r="F546" s="15">
        <v>45894</v>
      </c>
      <c r="G546" t="s">
        <v>279</v>
      </c>
      <c r="H546">
        <v>3</v>
      </c>
      <c r="I546">
        <v>2025</v>
      </c>
      <c r="J546">
        <v>8</v>
      </c>
      <c r="K546" t="s">
        <v>87</v>
      </c>
      <c r="L546" t="s">
        <v>14</v>
      </c>
      <c r="M546" t="s">
        <v>8</v>
      </c>
      <c r="N546" t="b">
        <v>0</v>
      </c>
      <c r="O546">
        <v>0</v>
      </c>
      <c r="P546">
        <v>1</v>
      </c>
      <c r="Q546">
        <v>0</v>
      </c>
      <c r="R546">
        <v>1</v>
      </c>
    </row>
    <row r="547" spans="1:18" x14ac:dyDescent="0.25">
      <c r="A547" t="s">
        <v>20</v>
      </c>
      <c r="B547" t="s">
        <v>6</v>
      </c>
      <c r="C547">
        <v>3</v>
      </c>
      <c r="D547">
        <v>5</v>
      </c>
      <c r="E547">
        <v>2</v>
      </c>
      <c r="F547" s="15">
        <v>45894</v>
      </c>
      <c r="G547" t="s">
        <v>279</v>
      </c>
      <c r="H547">
        <v>3</v>
      </c>
      <c r="I547">
        <v>2025</v>
      </c>
      <c r="J547">
        <v>8</v>
      </c>
      <c r="K547" t="s">
        <v>87</v>
      </c>
      <c r="L547" t="s">
        <v>352</v>
      </c>
      <c r="M547" t="s">
        <v>6</v>
      </c>
      <c r="N547" t="b">
        <v>0</v>
      </c>
      <c r="O547">
        <v>0</v>
      </c>
      <c r="P547">
        <v>1</v>
      </c>
      <c r="Q547">
        <v>0</v>
      </c>
      <c r="R547">
        <v>0</v>
      </c>
    </row>
    <row r="548" spans="1:18" x14ac:dyDescent="0.25">
      <c r="A548" t="s">
        <v>352</v>
      </c>
      <c r="B548" t="s">
        <v>6</v>
      </c>
      <c r="C548">
        <v>1</v>
      </c>
      <c r="D548">
        <v>5</v>
      </c>
      <c r="E548">
        <v>2</v>
      </c>
      <c r="F548" s="15">
        <v>45894</v>
      </c>
      <c r="G548" t="s">
        <v>279</v>
      </c>
      <c r="H548">
        <v>3</v>
      </c>
      <c r="I548">
        <v>2025</v>
      </c>
      <c r="J548">
        <v>8</v>
      </c>
      <c r="K548" t="s">
        <v>87</v>
      </c>
      <c r="L548" t="s">
        <v>14</v>
      </c>
      <c r="M548" t="s">
        <v>8</v>
      </c>
      <c r="N548" t="b">
        <v>0</v>
      </c>
      <c r="O548">
        <v>0</v>
      </c>
      <c r="P548">
        <v>1</v>
      </c>
      <c r="Q548">
        <v>0</v>
      </c>
      <c r="R548">
        <v>1</v>
      </c>
    </row>
    <row r="549" spans="1:18" x14ac:dyDescent="0.25">
      <c r="A549" t="s">
        <v>352</v>
      </c>
      <c r="B549" t="s">
        <v>6</v>
      </c>
      <c r="C549">
        <v>1</v>
      </c>
      <c r="D549">
        <v>5</v>
      </c>
      <c r="E549">
        <v>2</v>
      </c>
      <c r="F549" s="15">
        <v>45894</v>
      </c>
      <c r="G549" t="s">
        <v>279</v>
      </c>
      <c r="H549">
        <v>3</v>
      </c>
      <c r="I549">
        <v>2025</v>
      </c>
      <c r="J549">
        <v>8</v>
      </c>
      <c r="K549" t="s">
        <v>87</v>
      </c>
      <c r="L549" t="s">
        <v>20</v>
      </c>
      <c r="M549" t="s">
        <v>6</v>
      </c>
      <c r="N549" t="b">
        <v>0</v>
      </c>
      <c r="O549">
        <v>0</v>
      </c>
      <c r="P549">
        <v>1</v>
      </c>
      <c r="Q549">
        <v>0</v>
      </c>
      <c r="R549">
        <v>0</v>
      </c>
    </row>
    <row r="550" spans="1:18" x14ac:dyDescent="0.25">
      <c r="A550" t="s">
        <v>14</v>
      </c>
      <c r="B550" t="s">
        <v>6</v>
      </c>
      <c r="C550">
        <v>1</v>
      </c>
      <c r="D550">
        <v>5</v>
      </c>
      <c r="E550">
        <v>2</v>
      </c>
      <c r="F550" s="15">
        <v>45971</v>
      </c>
      <c r="G550" t="s">
        <v>281</v>
      </c>
      <c r="H550">
        <v>4</v>
      </c>
      <c r="I550">
        <v>2025</v>
      </c>
      <c r="J550">
        <v>11</v>
      </c>
      <c r="K550" t="s">
        <v>87</v>
      </c>
      <c r="L550" t="s">
        <v>10</v>
      </c>
      <c r="M550" t="s">
        <v>6</v>
      </c>
      <c r="N550" t="b">
        <v>0</v>
      </c>
      <c r="O550">
        <v>0</v>
      </c>
      <c r="P550">
        <v>1</v>
      </c>
      <c r="Q550">
        <v>0</v>
      </c>
      <c r="R550">
        <v>0</v>
      </c>
    </row>
    <row r="551" spans="1:18" x14ac:dyDescent="0.25">
      <c r="A551" t="s">
        <v>14</v>
      </c>
      <c r="B551" t="s">
        <v>6</v>
      </c>
      <c r="C551">
        <v>1</v>
      </c>
      <c r="D551">
        <v>5</v>
      </c>
      <c r="E551">
        <v>2</v>
      </c>
      <c r="F551" s="15">
        <v>45971</v>
      </c>
      <c r="G551" t="s">
        <v>281</v>
      </c>
      <c r="H551">
        <v>4</v>
      </c>
      <c r="I551">
        <v>2025</v>
      </c>
      <c r="J551">
        <v>11</v>
      </c>
      <c r="K551" t="s">
        <v>87</v>
      </c>
      <c r="L551" t="s">
        <v>16</v>
      </c>
      <c r="M551" t="s">
        <v>6</v>
      </c>
      <c r="N551" t="b">
        <v>0</v>
      </c>
      <c r="O551">
        <v>0</v>
      </c>
      <c r="P551">
        <v>1</v>
      </c>
      <c r="Q551">
        <v>0</v>
      </c>
      <c r="R551">
        <v>0</v>
      </c>
    </row>
    <row r="552" spans="1:18" x14ac:dyDescent="0.25">
      <c r="A552" t="s">
        <v>14</v>
      </c>
      <c r="B552" t="s">
        <v>6</v>
      </c>
      <c r="C552">
        <v>1</v>
      </c>
      <c r="D552">
        <v>5</v>
      </c>
      <c r="E552">
        <v>2</v>
      </c>
      <c r="F552" s="15">
        <v>45971</v>
      </c>
      <c r="G552" t="s">
        <v>281</v>
      </c>
      <c r="H552">
        <v>4</v>
      </c>
      <c r="I552">
        <v>2025</v>
      </c>
      <c r="J552">
        <v>11</v>
      </c>
      <c r="K552" t="s">
        <v>87</v>
      </c>
      <c r="L552" t="s">
        <v>352</v>
      </c>
      <c r="M552" t="s">
        <v>8</v>
      </c>
      <c r="N552" t="b">
        <v>0</v>
      </c>
      <c r="O552">
        <v>0</v>
      </c>
      <c r="P552">
        <v>1</v>
      </c>
      <c r="Q552">
        <v>0</v>
      </c>
      <c r="R552">
        <v>1</v>
      </c>
    </row>
    <row r="553" spans="1:18" x14ac:dyDescent="0.25">
      <c r="A553" t="s">
        <v>10</v>
      </c>
      <c r="B553" t="s">
        <v>6</v>
      </c>
      <c r="C553">
        <v>4</v>
      </c>
      <c r="D553">
        <v>5</v>
      </c>
      <c r="E553">
        <v>2</v>
      </c>
      <c r="F553" s="15">
        <v>45971</v>
      </c>
      <c r="G553" t="s">
        <v>281</v>
      </c>
      <c r="H553">
        <v>4</v>
      </c>
      <c r="I553">
        <v>2025</v>
      </c>
      <c r="J553">
        <v>11</v>
      </c>
      <c r="K553" t="s">
        <v>87</v>
      </c>
      <c r="L553" t="s">
        <v>14</v>
      </c>
      <c r="M553" t="s">
        <v>6</v>
      </c>
      <c r="N553" t="b">
        <v>0</v>
      </c>
      <c r="O553">
        <v>0</v>
      </c>
      <c r="P553">
        <v>1</v>
      </c>
      <c r="Q553">
        <v>0</v>
      </c>
      <c r="R553">
        <v>0</v>
      </c>
    </row>
    <row r="554" spans="1:18" x14ac:dyDescent="0.25">
      <c r="A554" t="s">
        <v>10</v>
      </c>
      <c r="B554" t="s">
        <v>6</v>
      </c>
      <c r="C554">
        <v>4</v>
      </c>
      <c r="D554">
        <v>5</v>
      </c>
      <c r="E554">
        <v>2</v>
      </c>
      <c r="F554" s="15">
        <v>45971</v>
      </c>
      <c r="G554" t="s">
        <v>281</v>
      </c>
      <c r="H554">
        <v>4</v>
      </c>
      <c r="I554">
        <v>2025</v>
      </c>
      <c r="J554">
        <v>11</v>
      </c>
      <c r="K554" t="s">
        <v>87</v>
      </c>
      <c r="L554" t="s">
        <v>16</v>
      </c>
      <c r="M554" t="s">
        <v>6</v>
      </c>
      <c r="N554" t="b">
        <v>0</v>
      </c>
      <c r="O554">
        <v>0</v>
      </c>
      <c r="P554">
        <v>1</v>
      </c>
      <c r="Q554">
        <v>0</v>
      </c>
      <c r="R554">
        <v>0</v>
      </c>
    </row>
    <row r="555" spans="1:18" x14ac:dyDescent="0.25">
      <c r="A555" t="s">
        <v>10</v>
      </c>
      <c r="B555" t="s">
        <v>6</v>
      </c>
      <c r="C555">
        <v>4</v>
      </c>
      <c r="D555">
        <v>5</v>
      </c>
      <c r="E555">
        <v>2</v>
      </c>
      <c r="F555" s="15">
        <v>45971</v>
      </c>
      <c r="G555" t="s">
        <v>281</v>
      </c>
      <c r="H555">
        <v>4</v>
      </c>
      <c r="I555">
        <v>2025</v>
      </c>
      <c r="J555">
        <v>11</v>
      </c>
      <c r="K555" t="s">
        <v>87</v>
      </c>
      <c r="L555" t="s">
        <v>352</v>
      </c>
      <c r="M555" t="s">
        <v>8</v>
      </c>
      <c r="N555" t="b">
        <v>0</v>
      </c>
      <c r="O555">
        <v>0</v>
      </c>
      <c r="P555">
        <v>1</v>
      </c>
      <c r="Q555">
        <v>0</v>
      </c>
      <c r="R555">
        <v>1</v>
      </c>
    </row>
    <row r="556" spans="1:18" x14ac:dyDescent="0.25">
      <c r="A556" t="s">
        <v>16</v>
      </c>
      <c r="B556" t="s">
        <v>6</v>
      </c>
      <c r="C556">
        <v>2</v>
      </c>
      <c r="D556">
        <v>5</v>
      </c>
      <c r="E556">
        <v>2</v>
      </c>
      <c r="F556" s="15">
        <v>45971</v>
      </c>
      <c r="G556" t="s">
        <v>281</v>
      </c>
      <c r="H556">
        <v>4</v>
      </c>
      <c r="I556">
        <v>2025</v>
      </c>
      <c r="J556">
        <v>11</v>
      </c>
      <c r="K556" t="s">
        <v>87</v>
      </c>
      <c r="L556" t="s">
        <v>14</v>
      </c>
      <c r="M556" t="s">
        <v>6</v>
      </c>
      <c r="N556" t="b">
        <v>0</v>
      </c>
      <c r="O556">
        <v>0</v>
      </c>
      <c r="P556">
        <v>1</v>
      </c>
      <c r="Q556">
        <v>0</v>
      </c>
      <c r="R556">
        <v>0</v>
      </c>
    </row>
    <row r="557" spans="1:18" x14ac:dyDescent="0.25">
      <c r="A557" t="s">
        <v>16</v>
      </c>
      <c r="B557" t="s">
        <v>6</v>
      </c>
      <c r="C557">
        <v>2</v>
      </c>
      <c r="D557">
        <v>5</v>
      </c>
      <c r="E557">
        <v>2</v>
      </c>
      <c r="F557" s="15">
        <v>45971</v>
      </c>
      <c r="G557" t="s">
        <v>281</v>
      </c>
      <c r="H557">
        <v>4</v>
      </c>
      <c r="I557">
        <v>2025</v>
      </c>
      <c r="J557">
        <v>11</v>
      </c>
      <c r="K557" t="s">
        <v>87</v>
      </c>
      <c r="L557" t="s">
        <v>10</v>
      </c>
      <c r="M557" t="s">
        <v>6</v>
      </c>
      <c r="N557" t="b">
        <v>0</v>
      </c>
      <c r="O557">
        <v>0</v>
      </c>
      <c r="P557">
        <v>1</v>
      </c>
      <c r="Q557">
        <v>0</v>
      </c>
      <c r="R557">
        <v>0</v>
      </c>
    </row>
    <row r="558" spans="1:18" x14ac:dyDescent="0.25">
      <c r="A558" t="s">
        <v>16</v>
      </c>
      <c r="B558" t="s">
        <v>6</v>
      </c>
      <c r="C558">
        <v>2</v>
      </c>
      <c r="D558">
        <v>5</v>
      </c>
      <c r="E558">
        <v>2</v>
      </c>
      <c r="F558" s="15">
        <v>45971</v>
      </c>
      <c r="G558" t="s">
        <v>281</v>
      </c>
      <c r="H558">
        <v>4</v>
      </c>
      <c r="I558">
        <v>2025</v>
      </c>
      <c r="J558">
        <v>11</v>
      </c>
      <c r="K558" t="s">
        <v>87</v>
      </c>
      <c r="L558" t="s">
        <v>352</v>
      </c>
      <c r="M558" t="s">
        <v>8</v>
      </c>
      <c r="N558" t="b">
        <v>0</v>
      </c>
      <c r="O558">
        <v>0</v>
      </c>
      <c r="P558">
        <v>1</v>
      </c>
      <c r="Q558">
        <v>0</v>
      </c>
      <c r="R558">
        <v>1</v>
      </c>
    </row>
    <row r="559" spans="1:18" x14ac:dyDescent="0.25">
      <c r="A559" t="s">
        <v>352</v>
      </c>
      <c r="B559" t="s">
        <v>8</v>
      </c>
      <c r="C559">
        <v>3</v>
      </c>
      <c r="D559">
        <v>5</v>
      </c>
      <c r="E559">
        <v>2</v>
      </c>
      <c r="F559" s="15">
        <v>45971</v>
      </c>
      <c r="G559" t="s">
        <v>281</v>
      </c>
      <c r="H559">
        <v>4</v>
      </c>
      <c r="I559">
        <v>2025</v>
      </c>
      <c r="J559">
        <v>11</v>
      </c>
      <c r="K559" t="s">
        <v>87</v>
      </c>
      <c r="L559" t="s">
        <v>14</v>
      </c>
      <c r="M559" t="s">
        <v>6</v>
      </c>
      <c r="N559" t="b">
        <v>0</v>
      </c>
      <c r="O559">
        <v>1</v>
      </c>
      <c r="P559">
        <v>0</v>
      </c>
      <c r="Q559">
        <v>0</v>
      </c>
      <c r="R559">
        <v>0</v>
      </c>
    </row>
    <row r="560" spans="1:18" x14ac:dyDescent="0.25">
      <c r="A560" t="s">
        <v>352</v>
      </c>
      <c r="B560" t="s">
        <v>8</v>
      </c>
      <c r="C560">
        <v>3</v>
      </c>
      <c r="D560">
        <v>5</v>
      </c>
      <c r="E560">
        <v>2</v>
      </c>
      <c r="F560" s="15">
        <v>45971</v>
      </c>
      <c r="G560" t="s">
        <v>281</v>
      </c>
      <c r="H560">
        <v>4</v>
      </c>
      <c r="I560">
        <v>2025</v>
      </c>
      <c r="J560">
        <v>11</v>
      </c>
      <c r="K560" t="s">
        <v>87</v>
      </c>
      <c r="L560" t="s">
        <v>10</v>
      </c>
      <c r="M560" t="s">
        <v>6</v>
      </c>
      <c r="N560" t="b">
        <v>0</v>
      </c>
      <c r="O560">
        <v>1</v>
      </c>
      <c r="P560">
        <v>0</v>
      </c>
      <c r="Q560">
        <v>0</v>
      </c>
      <c r="R560">
        <v>0</v>
      </c>
    </row>
    <row r="561" spans="1:18" x14ac:dyDescent="0.25">
      <c r="A561" t="s">
        <v>352</v>
      </c>
      <c r="B561" t="s">
        <v>8</v>
      </c>
      <c r="C561">
        <v>3</v>
      </c>
      <c r="D561">
        <v>5</v>
      </c>
      <c r="E561">
        <v>2</v>
      </c>
      <c r="F561" s="15">
        <v>45971</v>
      </c>
      <c r="G561" t="s">
        <v>281</v>
      </c>
      <c r="H561">
        <v>4</v>
      </c>
      <c r="I561">
        <v>2025</v>
      </c>
      <c r="J561">
        <v>11</v>
      </c>
      <c r="K561" t="s">
        <v>87</v>
      </c>
      <c r="L561" t="s">
        <v>16</v>
      </c>
      <c r="M561" t="s">
        <v>6</v>
      </c>
      <c r="N561" t="b">
        <v>0</v>
      </c>
      <c r="O561">
        <v>1</v>
      </c>
      <c r="P561">
        <v>0</v>
      </c>
      <c r="Q561">
        <v>0</v>
      </c>
      <c r="R561">
        <v>0</v>
      </c>
    </row>
    <row r="562" spans="1:18" x14ac:dyDescent="0.25">
      <c r="A562" t="s">
        <v>14</v>
      </c>
      <c r="B562" t="s">
        <v>8</v>
      </c>
      <c r="C562">
        <v>3</v>
      </c>
      <c r="D562">
        <v>3</v>
      </c>
      <c r="E562">
        <v>1</v>
      </c>
      <c r="F562" s="15">
        <v>46020</v>
      </c>
      <c r="G562" t="s">
        <v>212</v>
      </c>
      <c r="H562">
        <v>4</v>
      </c>
      <c r="I562">
        <v>2025</v>
      </c>
      <c r="J562">
        <v>12</v>
      </c>
      <c r="K562" t="s">
        <v>87</v>
      </c>
      <c r="L562" t="s">
        <v>27</v>
      </c>
      <c r="M562" t="s">
        <v>6</v>
      </c>
      <c r="N562" t="b">
        <v>0</v>
      </c>
      <c r="O562">
        <v>1</v>
      </c>
      <c r="P562">
        <v>0</v>
      </c>
      <c r="Q562">
        <v>0</v>
      </c>
      <c r="R562">
        <v>0</v>
      </c>
    </row>
    <row r="563" spans="1:18" x14ac:dyDescent="0.25">
      <c r="A563" t="s">
        <v>14</v>
      </c>
      <c r="B563" t="s">
        <v>8</v>
      </c>
      <c r="C563">
        <v>3</v>
      </c>
      <c r="D563">
        <v>3</v>
      </c>
      <c r="E563">
        <v>1</v>
      </c>
      <c r="F563" s="15">
        <v>46020</v>
      </c>
      <c r="G563" t="s">
        <v>212</v>
      </c>
      <c r="H563">
        <v>4</v>
      </c>
      <c r="I563">
        <v>2025</v>
      </c>
      <c r="J563">
        <v>12</v>
      </c>
      <c r="K563" t="s">
        <v>87</v>
      </c>
      <c r="L563" t="s">
        <v>85</v>
      </c>
      <c r="M563" t="s">
        <v>6</v>
      </c>
      <c r="N563" t="b">
        <v>0</v>
      </c>
      <c r="O563">
        <v>1</v>
      </c>
      <c r="P563">
        <v>0</v>
      </c>
      <c r="Q563">
        <v>0</v>
      </c>
      <c r="R563">
        <v>0</v>
      </c>
    </row>
    <row r="564" spans="1:18" x14ac:dyDescent="0.25">
      <c r="A564" t="s">
        <v>14</v>
      </c>
      <c r="B564" t="s">
        <v>8</v>
      </c>
      <c r="C564">
        <v>3</v>
      </c>
      <c r="D564">
        <v>3</v>
      </c>
      <c r="E564">
        <v>1</v>
      </c>
      <c r="F564" s="15">
        <v>46020</v>
      </c>
      <c r="G564" t="s">
        <v>212</v>
      </c>
      <c r="H564">
        <v>4</v>
      </c>
      <c r="I564">
        <v>2025</v>
      </c>
      <c r="J564">
        <v>12</v>
      </c>
      <c r="K564" t="s">
        <v>87</v>
      </c>
      <c r="L564" t="s">
        <v>9</v>
      </c>
      <c r="M564" t="s">
        <v>6</v>
      </c>
      <c r="N564" t="b">
        <v>0</v>
      </c>
      <c r="O564">
        <v>1</v>
      </c>
      <c r="P564">
        <v>0</v>
      </c>
      <c r="Q564">
        <v>0</v>
      </c>
      <c r="R564">
        <v>0</v>
      </c>
    </row>
    <row r="565" spans="1:18" x14ac:dyDescent="0.25">
      <c r="A565" t="s">
        <v>27</v>
      </c>
      <c r="B565" t="s">
        <v>6</v>
      </c>
      <c r="C565">
        <v>2</v>
      </c>
      <c r="D565">
        <v>3</v>
      </c>
      <c r="E565">
        <v>1</v>
      </c>
      <c r="F565" s="15">
        <v>46020</v>
      </c>
      <c r="G565" t="s">
        <v>212</v>
      </c>
      <c r="H565">
        <v>4</v>
      </c>
      <c r="I565">
        <v>2025</v>
      </c>
      <c r="J565">
        <v>12</v>
      </c>
      <c r="K565" t="s">
        <v>87</v>
      </c>
      <c r="L565" t="s">
        <v>14</v>
      </c>
      <c r="M565" t="s">
        <v>8</v>
      </c>
      <c r="N565" t="b">
        <v>0</v>
      </c>
      <c r="O565">
        <v>0</v>
      </c>
      <c r="P565">
        <v>1</v>
      </c>
      <c r="Q565">
        <v>0</v>
      </c>
      <c r="R565">
        <v>1</v>
      </c>
    </row>
    <row r="566" spans="1:18" x14ac:dyDescent="0.25">
      <c r="A566" t="s">
        <v>27</v>
      </c>
      <c r="B566" t="s">
        <v>6</v>
      </c>
      <c r="C566">
        <v>2</v>
      </c>
      <c r="D566">
        <v>3</v>
      </c>
      <c r="E566">
        <v>1</v>
      </c>
      <c r="F566" s="15">
        <v>46020</v>
      </c>
      <c r="G566" t="s">
        <v>212</v>
      </c>
      <c r="H566">
        <v>4</v>
      </c>
      <c r="I566">
        <v>2025</v>
      </c>
      <c r="J566">
        <v>12</v>
      </c>
      <c r="K566" t="s">
        <v>87</v>
      </c>
      <c r="L566" t="s">
        <v>85</v>
      </c>
      <c r="M566" t="s">
        <v>6</v>
      </c>
      <c r="N566" t="b">
        <v>0</v>
      </c>
      <c r="O566">
        <v>0</v>
      </c>
      <c r="P566">
        <v>1</v>
      </c>
      <c r="Q566">
        <v>0</v>
      </c>
      <c r="R566">
        <v>0</v>
      </c>
    </row>
    <row r="567" spans="1:18" x14ac:dyDescent="0.25">
      <c r="A567" t="s">
        <v>27</v>
      </c>
      <c r="B567" t="s">
        <v>6</v>
      </c>
      <c r="C567">
        <v>2</v>
      </c>
      <c r="D567">
        <v>3</v>
      </c>
      <c r="E567">
        <v>1</v>
      </c>
      <c r="F567" s="15">
        <v>46020</v>
      </c>
      <c r="G567" t="s">
        <v>212</v>
      </c>
      <c r="H567">
        <v>4</v>
      </c>
      <c r="I567">
        <v>2025</v>
      </c>
      <c r="J567">
        <v>12</v>
      </c>
      <c r="K567" t="s">
        <v>87</v>
      </c>
      <c r="L567" t="s">
        <v>9</v>
      </c>
      <c r="M567" t="s">
        <v>6</v>
      </c>
      <c r="N567" t="b">
        <v>0</v>
      </c>
      <c r="O567">
        <v>0</v>
      </c>
      <c r="P567">
        <v>1</v>
      </c>
      <c r="Q567">
        <v>0</v>
      </c>
      <c r="R567">
        <v>0</v>
      </c>
    </row>
    <row r="568" spans="1:18" x14ac:dyDescent="0.25">
      <c r="A568" t="s">
        <v>85</v>
      </c>
      <c r="B568" t="s">
        <v>6</v>
      </c>
      <c r="C568">
        <v>1</v>
      </c>
      <c r="D568">
        <v>3</v>
      </c>
      <c r="E568">
        <v>1</v>
      </c>
      <c r="F568" s="15">
        <v>46020</v>
      </c>
      <c r="G568" t="s">
        <v>212</v>
      </c>
      <c r="H568">
        <v>4</v>
      </c>
      <c r="I568">
        <v>2025</v>
      </c>
      <c r="J568">
        <v>12</v>
      </c>
      <c r="K568" t="s">
        <v>87</v>
      </c>
      <c r="L568" t="s">
        <v>14</v>
      </c>
      <c r="M568" t="s">
        <v>8</v>
      </c>
      <c r="N568" t="b">
        <v>0</v>
      </c>
      <c r="O568">
        <v>0</v>
      </c>
      <c r="P568">
        <v>1</v>
      </c>
      <c r="Q568">
        <v>0</v>
      </c>
      <c r="R568">
        <v>1</v>
      </c>
    </row>
    <row r="569" spans="1:18" x14ac:dyDescent="0.25">
      <c r="A569" t="s">
        <v>85</v>
      </c>
      <c r="B569" t="s">
        <v>6</v>
      </c>
      <c r="C569">
        <v>1</v>
      </c>
      <c r="D569">
        <v>3</v>
      </c>
      <c r="E569">
        <v>1</v>
      </c>
      <c r="F569" s="15">
        <v>46020</v>
      </c>
      <c r="G569" t="s">
        <v>212</v>
      </c>
      <c r="H569">
        <v>4</v>
      </c>
      <c r="I569">
        <v>2025</v>
      </c>
      <c r="J569">
        <v>12</v>
      </c>
      <c r="K569" t="s">
        <v>87</v>
      </c>
      <c r="L569" t="s">
        <v>27</v>
      </c>
      <c r="M569" t="s">
        <v>6</v>
      </c>
      <c r="N569" t="b">
        <v>0</v>
      </c>
      <c r="O569">
        <v>0</v>
      </c>
      <c r="P569">
        <v>1</v>
      </c>
      <c r="Q569">
        <v>0</v>
      </c>
      <c r="R569">
        <v>0</v>
      </c>
    </row>
    <row r="570" spans="1:18" x14ac:dyDescent="0.25">
      <c r="A570" t="s">
        <v>85</v>
      </c>
      <c r="B570" t="s">
        <v>6</v>
      </c>
      <c r="C570">
        <v>1</v>
      </c>
      <c r="D570">
        <v>3</v>
      </c>
      <c r="E570">
        <v>1</v>
      </c>
      <c r="F570" s="15">
        <v>46020</v>
      </c>
      <c r="G570" t="s">
        <v>212</v>
      </c>
      <c r="H570">
        <v>4</v>
      </c>
      <c r="I570">
        <v>2025</v>
      </c>
      <c r="J570">
        <v>12</v>
      </c>
      <c r="K570" t="s">
        <v>87</v>
      </c>
      <c r="L570" t="s">
        <v>9</v>
      </c>
      <c r="M570" t="s">
        <v>6</v>
      </c>
      <c r="N570" t="b">
        <v>0</v>
      </c>
      <c r="O570">
        <v>0</v>
      </c>
      <c r="P570">
        <v>1</v>
      </c>
      <c r="Q570">
        <v>0</v>
      </c>
      <c r="R570">
        <v>0</v>
      </c>
    </row>
    <row r="571" spans="1:18" x14ac:dyDescent="0.25">
      <c r="A571" t="s">
        <v>9</v>
      </c>
      <c r="B571" t="s">
        <v>6</v>
      </c>
      <c r="C571">
        <v>4</v>
      </c>
      <c r="D571">
        <v>3</v>
      </c>
      <c r="E571">
        <v>1</v>
      </c>
      <c r="F571" s="15">
        <v>46020</v>
      </c>
      <c r="G571" t="s">
        <v>212</v>
      </c>
      <c r="H571">
        <v>4</v>
      </c>
      <c r="I571">
        <v>2025</v>
      </c>
      <c r="J571">
        <v>12</v>
      </c>
      <c r="K571" t="s">
        <v>87</v>
      </c>
      <c r="L571" t="s">
        <v>14</v>
      </c>
      <c r="M571" t="s">
        <v>8</v>
      </c>
      <c r="N571" t="b">
        <v>0</v>
      </c>
      <c r="O571">
        <v>0</v>
      </c>
      <c r="P571">
        <v>1</v>
      </c>
      <c r="Q571">
        <v>0</v>
      </c>
      <c r="R571">
        <v>1</v>
      </c>
    </row>
    <row r="572" spans="1:18" x14ac:dyDescent="0.25">
      <c r="A572" t="s">
        <v>9</v>
      </c>
      <c r="B572" t="s">
        <v>6</v>
      </c>
      <c r="C572">
        <v>4</v>
      </c>
      <c r="D572">
        <v>3</v>
      </c>
      <c r="E572">
        <v>1</v>
      </c>
      <c r="F572" s="15">
        <v>46020</v>
      </c>
      <c r="G572" t="s">
        <v>212</v>
      </c>
      <c r="H572">
        <v>4</v>
      </c>
      <c r="I572">
        <v>2025</v>
      </c>
      <c r="J572">
        <v>12</v>
      </c>
      <c r="K572" t="s">
        <v>87</v>
      </c>
      <c r="L572" t="s">
        <v>27</v>
      </c>
      <c r="M572" t="s">
        <v>6</v>
      </c>
      <c r="N572" t="b">
        <v>0</v>
      </c>
      <c r="O572">
        <v>0</v>
      </c>
      <c r="P572">
        <v>1</v>
      </c>
      <c r="Q572">
        <v>0</v>
      </c>
      <c r="R572">
        <v>0</v>
      </c>
    </row>
    <row r="573" spans="1:18" x14ac:dyDescent="0.25">
      <c r="A573" t="s">
        <v>9</v>
      </c>
      <c r="B573" t="s">
        <v>6</v>
      </c>
      <c r="C573">
        <v>4</v>
      </c>
      <c r="D573">
        <v>3</v>
      </c>
      <c r="E573">
        <v>1</v>
      </c>
      <c r="F573" s="15">
        <v>46020</v>
      </c>
      <c r="G573" t="s">
        <v>212</v>
      </c>
      <c r="H573">
        <v>4</v>
      </c>
      <c r="I573">
        <v>2025</v>
      </c>
      <c r="J573">
        <v>12</v>
      </c>
      <c r="K573" t="s">
        <v>87</v>
      </c>
      <c r="L573" t="s">
        <v>85</v>
      </c>
      <c r="M573" t="s">
        <v>6</v>
      </c>
      <c r="N573" t="b">
        <v>0</v>
      </c>
      <c r="O573">
        <v>0</v>
      </c>
      <c r="P573">
        <v>1</v>
      </c>
      <c r="Q573">
        <v>0</v>
      </c>
      <c r="R573">
        <v>0</v>
      </c>
    </row>
    <row r="574" spans="1:18" x14ac:dyDescent="0.25">
      <c r="A574" t="s">
        <v>14</v>
      </c>
      <c r="B574" t="s">
        <v>6</v>
      </c>
      <c r="C574">
        <v>2</v>
      </c>
      <c r="D574">
        <v>1</v>
      </c>
      <c r="E574">
        <v>2</v>
      </c>
      <c r="F574" s="15">
        <v>46020</v>
      </c>
      <c r="G574" t="s">
        <v>140</v>
      </c>
      <c r="H574">
        <v>4</v>
      </c>
      <c r="I574">
        <v>2025</v>
      </c>
      <c r="J574">
        <v>12</v>
      </c>
      <c r="K574" t="s">
        <v>87</v>
      </c>
      <c r="L574" t="s">
        <v>19</v>
      </c>
      <c r="M574" t="s">
        <v>6</v>
      </c>
      <c r="N574" t="b">
        <v>0</v>
      </c>
      <c r="O574">
        <v>0</v>
      </c>
      <c r="P574">
        <v>1</v>
      </c>
      <c r="Q574">
        <v>0</v>
      </c>
      <c r="R574">
        <v>0</v>
      </c>
    </row>
    <row r="575" spans="1:18" x14ac:dyDescent="0.25">
      <c r="A575" t="s">
        <v>14</v>
      </c>
      <c r="B575" t="s">
        <v>6</v>
      </c>
      <c r="C575">
        <v>2</v>
      </c>
      <c r="D575">
        <v>1</v>
      </c>
      <c r="E575">
        <v>2</v>
      </c>
      <c r="F575" s="15">
        <v>46020</v>
      </c>
      <c r="G575" t="s">
        <v>140</v>
      </c>
      <c r="H575">
        <v>4</v>
      </c>
      <c r="I575">
        <v>2025</v>
      </c>
      <c r="J575">
        <v>12</v>
      </c>
      <c r="K575" t="s">
        <v>87</v>
      </c>
      <c r="L575" t="s">
        <v>20</v>
      </c>
      <c r="M575" t="s">
        <v>6</v>
      </c>
      <c r="N575" t="b">
        <v>0</v>
      </c>
      <c r="O575">
        <v>0</v>
      </c>
      <c r="P575">
        <v>1</v>
      </c>
      <c r="Q575">
        <v>0</v>
      </c>
      <c r="R575">
        <v>0</v>
      </c>
    </row>
    <row r="576" spans="1:18" x14ac:dyDescent="0.25">
      <c r="A576" t="s">
        <v>14</v>
      </c>
      <c r="B576" t="s">
        <v>6</v>
      </c>
      <c r="C576">
        <v>2</v>
      </c>
      <c r="D576">
        <v>1</v>
      </c>
      <c r="E576">
        <v>2</v>
      </c>
      <c r="F576" s="15">
        <v>46020</v>
      </c>
      <c r="G576" t="s">
        <v>140</v>
      </c>
      <c r="H576">
        <v>4</v>
      </c>
      <c r="I576">
        <v>2025</v>
      </c>
      <c r="J576">
        <v>12</v>
      </c>
      <c r="K576" t="s">
        <v>87</v>
      </c>
      <c r="L576" t="s">
        <v>352</v>
      </c>
      <c r="M576" t="s">
        <v>8</v>
      </c>
      <c r="N576" t="b">
        <v>0</v>
      </c>
      <c r="O576">
        <v>0</v>
      </c>
      <c r="P576">
        <v>1</v>
      </c>
      <c r="Q576">
        <v>0</v>
      </c>
      <c r="R576">
        <v>1</v>
      </c>
    </row>
    <row r="577" spans="1:18" x14ac:dyDescent="0.25">
      <c r="A577" t="s">
        <v>19</v>
      </c>
      <c r="B577" t="s">
        <v>6</v>
      </c>
      <c r="C577">
        <v>3</v>
      </c>
      <c r="D577">
        <v>1</v>
      </c>
      <c r="E577">
        <v>2</v>
      </c>
      <c r="F577" s="15">
        <v>46020</v>
      </c>
      <c r="G577" t="s">
        <v>140</v>
      </c>
      <c r="H577">
        <v>4</v>
      </c>
      <c r="I577">
        <v>2025</v>
      </c>
      <c r="J577">
        <v>12</v>
      </c>
      <c r="K577" t="s">
        <v>87</v>
      </c>
      <c r="L577" t="s">
        <v>14</v>
      </c>
      <c r="M577" t="s">
        <v>6</v>
      </c>
      <c r="N577" t="b">
        <v>0</v>
      </c>
      <c r="O577">
        <v>0</v>
      </c>
      <c r="P577">
        <v>1</v>
      </c>
      <c r="Q577">
        <v>0</v>
      </c>
      <c r="R577">
        <v>0</v>
      </c>
    </row>
    <row r="578" spans="1:18" x14ac:dyDescent="0.25">
      <c r="A578" t="s">
        <v>19</v>
      </c>
      <c r="B578" t="s">
        <v>6</v>
      </c>
      <c r="C578">
        <v>3</v>
      </c>
      <c r="D578">
        <v>1</v>
      </c>
      <c r="E578">
        <v>2</v>
      </c>
      <c r="F578" s="15">
        <v>46020</v>
      </c>
      <c r="G578" t="s">
        <v>140</v>
      </c>
      <c r="H578">
        <v>4</v>
      </c>
      <c r="I578">
        <v>2025</v>
      </c>
      <c r="J578">
        <v>12</v>
      </c>
      <c r="K578" t="s">
        <v>87</v>
      </c>
      <c r="L578" t="s">
        <v>20</v>
      </c>
      <c r="M578" t="s">
        <v>6</v>
      </c>
      <c r="N578" t="b">
        <v>0</v>
      </c>
      <c r="O578">
        <v>0</v>
      </c>
      <c r="P578">
        <v>1</v>
      </c>
      <c r="Q578">
        <v>0</v>
      </c>
      <c r="R578">
        <v>0</v>
      </c>
    </row>
    <row r="579" spans="1:18" x14ac:dyDescent="0.25">
      <c r="A579" t="s">
        <v>19</v>
      </c>
      <c r="B579" t="s">
        <v>6</v>
      </c>
      <c r="C579">
        <v>3</v>
      </c>
      <c r="D579">
        <v>1</v>
      </c>
      <c r="E579">
        <v>2</v>
      </c>
      <c r="F579" s="15">
        <v>46020</v>
      </c>
      <c r="G579" t="s">
        <v>140</v>
      </c>
      <c r="H579">
        <v>4</v>
      </c>
      <c r="I579">
        <v>2025</v>
      </c>
      <c r="J579">
        <v>12</v>
      </c>
      <c r="K579" t="s">
        <v>87</v>
      </c>
      <c r="L579" t="s">
        <v>352</v>
      </c>
      <c r="M579" t="s">
        <v>8</v>
      </c>
      <c r="N579" t="b">
        <v>0</v>
      </c>
      <c r="O579">
        <v>0</v>
      </c>
      <c r="P579">
        <v>1</v>
      </c>
      <c r="Q579">
        <v>0</v>
      </c>
      <c r="R579">
        <v>1</v>
      </c>
    </row>
    <row r="580" spans="1:18" x14ac:dyDescent="0.25">
      <c r="A580" t="s">
        <v>20</v>
      </c>
      <c r="B580" t="s">
        <v>6</v>
      </c>
      <c r="C580">
        <v>4</v>
      </c>
      <c r="D580">
        <v>1</v>
      </c>
      <c r="E580">
        <v>2</v>
      </c>
      <c r="F580" s="15">
        <v>46020</v>
      </c>
      <c r="G580" t="s">
        <v>140</v>
      </c>
      <c r="H580">
        <v>4</v>
      </c>
      <c r="I580">
        <v>2025</v>
      </c>
      <c r="J580">
        <v>12</v>
      </c>
      <c r="K580" t="s">
        <v>87</v>
      </c>
      <c r="L580" t="s">
        <v>14</v>
      </c>
      <c r="M580" t="s">
        <v>6</v>
      </c>
      <c r="N580" t="b">
        <v>0</v>
      </c>
      <c r="O580">
        <v>0</v>
      </c>
      <c r="P580">
        <v>1</v>
      </c>
      <c r="Q580">
        <v>0</v>
      </c>
      <c r="R580">
        <v>0</v>
      </c>
    </row>
    <row r="581" spans="1:18" x14ac:dyDescent="0.25">
      <c r="A581" t="s">
        <v>20</v>
      </c>
      <c r="B581" t="s">
        <v>6</v>
      </c>
      <c r="C581">
        <v>4</v>
      </c>
      <c r="D581">
        <v>1</v>
      </c>
      <c r="E581">
        <v>2</v>
      </c>
      <c r="F581" s="15">
        <v>46020</v>
      </c>
      <c r="G581" t="s">
        <v>140</v>
      </c>
      <c r="H581">
        <v>4</v>
      </c>
      <c r="I581">
        <v>2025</v>
      </c>
      <c r="J581">
        <v>12</v>
      </c>
      <c r="K581" t="s">
        <v>87</v>
      </c>
      <c r="L581" t="s">
        <v>19</v>
      </c>
      <c r="M581" t="s">
        <v>6</v>
      </c>
      <c r="N581" t="b">
        <v>0</v>
      </c>
      <c r="O581">
        <v>0</v>
      </c>
      <c r="P581">
        <v>1</v>
      </c>
      <c r="Q581">
        <v>0</v>
      </c>
      <c r="R581">
        <v>0</v>
      </c>
    </row>
    <row r="582" spans="1:18" x14ac:dyDescent="0.25">
      <c r="A582" t="s">
        <v>20</v>
      </c>
      <c r="B582" t="s">
        <v>6</v>
      </c>
      <c r="C582">
        <v>4</v>
      </c>
      <c r="D582">
        <v>1</v>
      </c>
      <c r="E582">
        <v>2</v>
      </c>
      <c r="F582" s="15">
        <v>46020</v>
      </c>
      <c r="G582" t="s">
        <v>140</v>
      </c>
      <c r="H582">
        <v>4</v>
      </c>
      <c r="I582">
        <v>2025</v>
      </c>
      <c r="J582">
        <v>12</v>
      </c>
      <c r="K582" t="s">
        <v>87</v>
      </c>
      <c r="L582" t="s">
        <v>352</v>
      </c>
      <c r="M582" t="s">
        <v>8</v>
      </c>
      <c r="N582" t="b">
        <v>0</v>
      </c>
      <c r="O582">
        <v>0</v>
      </c>
      <c r="P582">
        <v>1</v>
      </c>
      <c r="Q582">
        <v>0</v>
      </c>
      <c r="R582">
        <v>1</v>
      </c>
    </row>
    <row r="583" spans="1:18" x14ac:dyDescent="0.25">
      <c r="A583" t="s">
        <v>352</v>
      </c>
      <c r="B583" t="s">
        <v>8</v>
      </c>
      <c r="C583">
        <v>1</v>
      </c>
      <c r="D583">
        <v>1</v>
      </c>
      <c r="E583">
        <v>2</v>
      </c>
      <c r="F583" s="15">
        <v>46020</v>
      </c>
      <c r="G583" t="s">
        <v>140</v>
      </c>
      <c r="H583">
        <v>4</v>
      </c>
      <c r="I583">
        <v>2025</v>
      </c>
      <c r="J583">
        <v>12</v>
      </c>
      <c r="K583" t="s">
        <v>87</v>
      </c>
      <c r="L583" t="s">
        <v>14</v>
      </c>
      <c r="M583" t="s">
        <v>6</v>
      </c>
      <c r="N583" t="b">
        <v>0</v>
      </c>
      <c r="O583">
        <v>1</v>
      </c>
      <c r="P583">
        <v>0</v>
      </c>
      <c r="Q583">
        <v>0</v>
      </c>
      <c r="R583">
        <v>0</v>
      </c>
    </row>
    <row r="584" spans="1:18" x14ac:dyDescent="0.25">
      <c r="A584" t="s">
        <v>352</v>
      </c>
      <c r="B584" t="s">
        <v>8</v>
      </c>
      <c r="C584">
        <v>1</v>
      </c>
      <c r="D584">
        <v>1</v>
      </c>
      <c r="E584">
        <v>2</v>
      </c>
      <c r="F584" s="15">
        <v>46020</v>
      </c>
      <c r="G584" t="s">
        <v>140</v>
      </c>
      <c r="H584">
        <v>4</v>
      </c>
      <c r="I584">
        <v>2025</v>
      </c>
      <c r="J584">
        <v>12</v>
      </c>
      <c r="K584" t="s">
        <v>87</v>
      </c>
      <c r="L584" t="s">
        <v>19</v>
      </c>
      <c r="M584" t="s">
        <v>6</v>
      </c>
      <c r="N584" t="b">
        <v>0</v>
      </c>
      <c r="O584">
        <v>1</v>
      </c>
      <c r="P584">
        <v>0</v>
      </c>
      <c r="Q584">
        <v>0</v>
      </c>
      <c r="R584">
        <v>0</v>
      </c>
    </row>
    <row r="585" spans="1:18" x14ac:dyDescent="0.25">
      <c r="A585" t="s">
        <v>352</v>
      </c>
      <c r="B585" t="s">
        <v>8</v>
      </c>
      <c r="C585">
        <v>1</v>
      </c>
      <c r="D585">
        <v>1</v>
      </c>
      <c r="E585">
        <v>2</v>
      </c>
      <c r="F585" s="15">
        <v>46020</v>
      </c>
      <c r="G585" t="s">
        <v>140</v>
      </c>
      <c r="H585">
        <v>4</v>
      </c>
      <c r="I585">
        <v>2025</v>
      </c>
      <c r="J585">
        <v>12</v>
      </c>
      <c r="K585" t="s">
        <v>87</v>
      </c>
      <c r="L585" t="s">
        <v>20</v>
      </c>
      <c r="M585" t="s">
        <v>6</v>
      </c>
      <c r="N585" t="b">
        <v>0</v>
      </c>
      <c r="O585">
        <v>1</v>
      </c>
      <c r="P585">
        <v>0</v>
      </c>
      <c r="Q585">
        <v>0</v>
      </c>
      <c r="R585">
        <v>0</v>
      </c>
    </row>
    <row r="586" spans="1:18" x14ac:dyDescent="0.25">
      <c r="A586" t="s">
        <v>14</v>
      </c>
      <c r="B586" t="s">
        <v>6</v>
      </c>
      <c r="C586">
        <v>3</v>
      </c>
      <c r="D586">
        <v>4</v>
      </c>
      <c r="E586">
        <v>1</v>
      </c>
      <c r="F586" s="15">
        <v>46027</v>
      </c>
      <c r="G586" t="s">
        <v>258</v>
      </c>
      <c r="H586">
        <v>4</v>
      </c>
      <c r="I586">
        <v>2026</v>
      </c>
      <c r="J586">
        <v>1</v>
      </c>
      <c r="K586" t="s">
        <v>87</v>
      </c>
      <c r="L586" t="s">
        <v>7</v>
      </c>
      <c r="M586" t="s">
        <v>8</v>
      </c>
      <c r="N586" t="b">
        <v>0</v>
      </c>
      <c r="O586">
        <v>0</v>
      </c>
      <c r="P586">
        <v>1</v>
      </c>
      <c r="Q586">
        <v>0</v>
      </c>
      <c r="R586">
        <v>1</v>
      </c>
    </row>
    <row r="587" spans="1:18" x14ac:dyDescent="0.25">
      <c r="A587" t="s">
        <v>14</v>
      </c>
      <c r="B587" t="s">
        <v>6</v>
      </c>
      <c r="C587">
        <v>3</v>
      </c>
      <c r="D587">
        <v>4</v>
      </c>
      <c r="E587">
        <v>1</v>
      </c>
      <c r="F587" s="15">
        <v>46027</v>
      </c>
      <c r="G587" t="s">
        <v>258</v>
      </c>
      <c r="H587">
        <v>4</v>
      </c>
      <c r="I587">
        <v>2026</v>
      </c>
      <c r="J587">
        <v>1</v>
      </c>
      <c r="K587" t="s">
        <v>87</v>
      </c>
      <c r="L587" t="s">
        <v>28</v>
      </c>
      <c r="M587" t="s">
        <v>6</v>
      </c>
      <c r="N587" t="b">
        <v>0</v>
      </c>
      <c r="O587">
        <v>0</v>
      </c>
      <c r="P587">
        <v>1</v>
      </c>
      <c r="Q587">
        <v>0</v>
      </c>
      <c r="R587">
        <v>0</v>
      </c>
    </row>
    <row r="588" spans="1:18" x14ac:dyDescent="0.25">
      <c r="A588" t="s">
        <v>14</v>
      </c>
      <c r="B588" t="s">
        <v>6</v>
      </c>
      <c r="C588">
        <v>3</v>
      </c>
      <c r="D588">
        <v>4</v>
      </c>
      <c r="E588">
        <v>1</v>
      </c>
      <c r="F588" s="15">
        <v>46027</v>
      </c>
      <c r="G588" t="s">
        <v>258</v>
      </c>
      <c r="H588">
        <v>4</v>
      </c>
      <c r="I588">
        <v>2026</v>
      </c>
      <c r="J588">
        <v>1</v>
      </c>
      <c r="K588" t="s">
        <v>87</v>
      </c>
      <c r="L588" t="s">
        <v>44</v>
      </c>
      <c r="M588" t="s">
        <v>6</v>
      </c>
      <c r="N588" t="b">
        <v>0</v>
      </c>
      <c r="O588">
        <v>0</v>
      </c>
      <c r="P588">
        <v>1</v>
      </c>
      <c r="Q588">
        <v>0</v>
      </c>
      <c r="R588">
        <v>0</v>
      </c>
    </row>
    <row r="589" spans="1:18" x14ac:dyDescent="0.25">
      <c r="A589" t="s">
        <v>7</v>
      </c>
      <c r="B589" t="s">
        <v>8</v>
      </c>
      <c r="C589">
        <v>1</v>
      </c>
      <c r="D589">
        <v>4</v>
      </c>
      <c r="E589">
        <v>1</v>
      </c>
      <c r="F589" s="15">
        <v>46027</v>
      </c>
      <c r="G589" t="s">
        <v>258</v>
      </c>
      <c r="H589">
        <v>4</v>
      </c>
      <c r="I589">
        <v>2026</v>
      </c>
      <c r="J589">
        <v>1</v>
      </c>
      <c r="K589" t="s">
        <v>87</v>
      </c>
      <c r="L589" t="s">
        <v>14</v>
      </c>
      <c r="M589" t="s">
        <v>6</v>
      </c>
      <c r="N589" t="b">
        <v>0</v>
      </c>
      <c r="O589">
        <v>1</v>
      </c>
      <c r="P589">
        <v>0</v>
      </c>
      <c r="Q589">
        <v>0</v>
      </c>
      <c r="R589">
        <v>0</v>
      </c>
    </row>
    <row r="590" spans="1:18" x14ac:dyDescent="0.25">
      <c r="A590" t="s">
        <v>7</v>
      </c>
      <c r="B590" t="s">
        <v>8</v>
      </c>
      <c r="C590">
        <v>1</v>
      </c>
      <c r="D590">
        <v>4</v>
      </c>
      <c r="E590">
        <v>1</v>
      </c>
      <c r="F590" s="15">
        <v>46027</v>
      </c>
      <c r="G590" t="s">
        <v>258</v>
      </c>
      <c r="H590">
        <v>4</v>
      </c>
      <c r="I590">
        <v>2026</v>
      </c>
      <c r="J590">
        <v>1</v>
      </c>
      <c r="K590" t="s">
        <v>87</v>
      </c>
      <c r="L590" t="s">
        <v>28</v>
      </c>
      <c r="M590" t="s">
        <v>6</v>
      </c>
      <c r="N590" t="b">
        <v>0</v>
      </c>
      <c r="O590">
        <v>1</v>
      </c>
      <c r="P590">
        <v>0</v>
      </c>
      <c r="Q590">
        <v>0</v>
      </c>
      <c r="R590">
        <v>0</v>
      </c>
    </row>
    <row r="591" spans="1:18" x14ac:dyDescent="0.25">
      <c r="A591" t="s">
        <v>7</v>
      </c>
      <c r="B591" t="s">
        <v>8</v>
      </c>
      <c r="C591">
        <v>1</v>
      </c>
      <c r="D591">
        <v>4</v>
      </c>
      <c r="E591">
        <v>1</v>
      </c>
      <c r="F591" s="15">
        <v>46027</v>
      </c>
      <c r="G591" t="s">
        <v>258</v>
      </c>
      <c r="H591">
        <v>4</v>
      </c>
      <c r="I591">
        <v>2026</v>
      </c>
      <c r="J591">
        <v>1</v>
      </c>
      <c r="K591" t="s">
        <v>87</v>
      </c>
      <c r="L591" t="s">
        <v>44</v>
      </c>
      <c r="M591" t="s">
        <v>6</v>
      </c>
      <c r="N591" t="b">
        <v>0</v>
      </c>
      <c r="O591">
        <v>1</v>
      </c>
      <c r="P591">
        <v>0</v>
      </c>
      <c r="Q591">
        <v>0</v>
      </c>
      <c r="R591">
        <v>0</v>
      </c>
    </row>
    <row r="592" spans="1:18" x14ac:dyDescent="0.25">
      <c r="A592" t="s">
        <v>28</v>
      </c>
      <c r="B592" t="s">
        <v>6</v>
      </c>
      <c r="C592">
        <v>2</v>
      </c>
      <c r="D592">
        <v>4</v>
      </c>
      <c r="E592">
        <v>1</v>
      </c>
      <c r="F592" s="15">
        <v>46027</v>
      </c>
      <c r="G592" t="s">
        <v>258</v>
      </c>
      <c r="H592">
        <v>4</v>
      </c>
      <c r="I592">
        <v>2026</v>
      </c>
      <c r="J592">
        <v>1</v>
      </c>
      <c r="K592" t="s">
        <v>87</v>
      </c>
      <c r="L592" t="s">
        <v>14</v>
      </c>
      <c r="M592" t="s">
        <v>6</v>
      </c>
      <c r="N592" t="b">
        <v>0</v>
      </c>
      <c r="O592">
        <v>0</v>
      </c>
      <c r="P592">
        <v>1</v>
      </c>
      <c r="Q592">
        <v>0</v>
      </c>
      <c r="R592">
        <v>0</v>
      </c>
    </row>
    <row r="593" spans="1:18" x14ac:dyDescent="0.25">
      <c r="A593" t="s">
        <v>28</v>
      </c>
      <c r="B593" t="s">
        <v>6</v>
      </c>
      <c r="C593">
        <v>2</v>
      </c>
      <c r="D593">
        <v>4</v>
      </c>
      <c r="E593">
        <v>1</v>
      </c>
      <c r="F593" s="15">
        <v>46027</v>
      </c>
      <c r="G593" t="s">
        <v>258</v>
      </c>
      <c r="H593">
        <v>4</v>
      </c>
      <c r="I593">
        <v>2026</v>
      </c>
      <c r="J593">
        <v>1</v>
      </c>
      <c r="K593" t="s">
        <v>87</v>
      </c>
      <c r="L593" t="s">
        <v>7</v>
      </c>
      <c r="M593" t="s">
        <v>8</v>
      </c>
      <c r="N593" t="b">
        <v>0</v>
      </c>
      <c r="O593">
        <v>0</v>
      </c>
      <c r="P593">
        <v>1</v>
      </c>
      <c r="Q593">
        <v>0</v>
      </c>
      <c r="R593">
        <v>1</v>
      </c>
    </row>
    <row r="594" spans="1:18" x14ac:dyDescent="0.25">
      <c r="A594" t="s">
        <v>28</v>
      </c>
      <c r="B594" t="s">
        <v>6</v>
      </c>
      <c r="C594">
        <v>2</v>
      </c>
      <c r="D594">
        <v>4</v>
      </c>
      <c r="E594">
        <v>1</v>
      </c>
      <c r="F594" s="15">
        <v>46027</v>
      </c>
      <c r="G594" t="s">
        <v>258</v>
      </c>
      <c r="H594">
        <v>4</v>
      </c>
      <c r="I594">
        <v>2026</v>
      </c>
      <c r="J594">
        <v>1</v>
      </c>
      <c r="K594" t="s">
        <v>87</v>
      </c>
      <c r="L594" t="s">
        <v>44</v>
      </c>
      <c r="M594" t="s">
        <v>6</v>
      </c>
      <c r="N594" t="b">
        <v>0</v>
      </c>
      <c r="O594">
        <v>0</v>
      </c>
      <c r="P594">
        <v>1</v>
      </c>
      <c r="Q594">
        <v>0</v>
      </c>
      <c r="R594">
        <v>0</v>
      </c>
    </row>
    <row r="595" spans="1:18" x14ac:dyDescent="0.25">
      <c r="A595" t="s">
        <v>44</v>
      </c>
      <c r="B595" t="s">
        <v>6</v>
      </c>
      <c r="C595">
        <v>4</v>
      </c>
      <c r="D595">
        <v>4</v>
      </c>
      <c r="E595">
        <v>1</v>
      </c>
      <c r="F595" s="15">
        <v>46027</v>
      </c>
      <c r="G595" t="s">
        <v>258</v>
      </c>
      <c r="H595">
        <v>4</v>
      </c>
      <c r="I595">
        <v>2026</v>
      </c>
      <c r="J595">
        <v>1</v>
      </c>
      <c r="K595" t="s">
        <v>87</v>
      </c>
      <c r="L595" t="s">
        <v>14</v>
      </c>
      <c r="M595" t="s">
        <v>6</v>
      </c>
      <c r="N595" t="b">
        <v>0</v>
      </c>
      <c r="O595">
        <v>0</v>
      </c>
      <c r="P595">
        <v>1</v>
      </c>
      <c r="Q595">
        <v>0</v>
      </c>
      <c r="R595">
        <v>0</v>
      </c>
    </row>
    <row r="596" spans="1:18" x14ac:dyDescent="0.25">
      <c r="A596" t="s">
        <v>44</v>
      </c>
      <c r="B596" t="s">
        <v>6</v>
      </c>
      <c r="C596">
        <v>4</v>
      </c>
      <c r="D596">
        <v>4</v>
      </c>
      <c r="E596">
        <v>1</v>
      </c>
      <c r="F596" s="15">
        <v>46027</v>
      </c>
      <c r="G596" t="s">
        <v>258</v>
      </c>
      <c r="H596">
        <v>4</v>
      </c>
      <c r="I596">
        <v>2026</v>
      </c>
      <c r="J596">
        <v>1</v>
      </c>
      <c r="K596" t="s">
        <v>87</v>
      </c>
      <c r="L596" t="s">
        <v>7</v>
      </c>
      <c r="M596" t="s">
        <v>8</v>
      </c>
      <c r="N596" t="b">
        <v>0</v>
      </c>
      <c r="O596">
        <v>0</v>
      </c>
      <c r="P596">
        <v>1</v>
      </c>
      <c r="Q596">
        <v>0</v>
      </c>
      <c r="R596">
        <v>1</v>
      </c>
    </row>
    <row r="597" spans="1:18" x14ac:dyDescent="0.25">
      <c r="A597" t="s">
        <v>44</v>
      </c>
      <c r="B597" t="s">
        <v>6</v>
      </c>
      <c r="C597">
        <v>4</v>
      </c>
      <c r="D597">
        <v>4</v>
      </c>
      <c r="E597">
        <v>1</v>
      </c>
      <c r="F597" s="15">
        <v>46027</v>
      </c>
      <c r="G597" t="s">
        <v>258</v>
      </c>
      <c r="H597">
        <v>4</v>
      </c>
      <c r="I597">
        <v>2026</v>
      </c>
      <c r="J597">
        <v>1</v>
      </c>
      <c r="K597" t="s">
        <v>87</v>
      </c>
      <c r="L597" t="s">
        <v>28</v>
      </c>
      <c r="M597" t="s">
        <v>6</v>
      </c>
      <c r="N597" t="b">
        <v>0</v>
      </c>
      <c r="O597">
        <v>0</v>
      </c>
      <c r="P597">
        <v>1</v>
      </c>
      <c r="Q597">
        <v>0</v>
      </c>
      <c r="R597">
        <v>0</v>
      </c>
    </row>
    <row r="598" spans="1:18" x14ac:dyDescent="0.25">
      <c r="A598" t="s">
        <v>14</v>
      </c>
      <c r="B598" t="s">
        <v>6</v>
      </c>
      <c r="C598">
        <v>2</v>
      </c>
      <c r="D598">
        <v>4</v>
      </c>
      <c r="E598">
        <v>2</v>
      </c>
      <c r="F598" s="15">
        <v>46027</v>
      </c>
      <c r="G598" t="s">
        <v>276</v>
      </c>
      <c r="H598">
        <v>5</v>
      </c>
      <c r="I598">
        <v>2026</v>
      </c>
      <c r="J598">
        <v>1</v>
      </c>
      <c r="K598" t="s">
        <v>87</v>
      </c>
      <c r="L598" t="s">
        <v>19</v>
      </c>
      <c r="M598" t="s">
        <v>6</v>
      </c>
      <c r="N598" t="b">
        <v>0</v>
      </c>
      <c r="O598">
        <v>0</v>
      </c>
      <c r="P598">
        <v>1</v>
      </c>
      <c r="Q598">
        <v>0</v>
      </c>
      <c r="R598">
        <v>0</v>
      </c>
    </row>
    <row r="599" spans="1:18" x14ac:dyDescent="0.25">
      <c r="A599" t="s">
        <v>14</v>
      </c>
      <c r="B599" t="s">
        <v>6</v>
      </c>
      <c r="C599">
        <v>2</v>
      </c>
      <c r="D599">
        <v>4</v>
      </c>
      <c r="E599">
        <v>2</v>
      </c>
      <c r="F599" s="15">
        <v>46027</v>
      </c>
      <c r="G599" t="s">
        <v>276</v>
      </c>
      <c r="H599">
        <v>5</v>
      </c>
      <c r="I599">
        <v>2026</v>
      </c>
      <c r="J599">
        <v>1</v>
      </c>
      <c r="K599" t="s">
        <v>87</v>
      </c>
      <c r="L599" t="s">
        <v>10</v>
      </c>
      <c r="M599" t="s">
        <v>6</v>
      </c>
      <c r="N599" t="b">
        <v>0</v>
      </c>
      <c r="O599">
        <v>0</v>
      </c>
      <c r="P599">
        <v>1</v>
      </c>
      <c r="Q599">
        <v>0</v>
      </c>
      <c r="R599">
        <v>0</v>
      </c>
    </row>
    <row r="600" spans="1:18" x14ac:dyDescent="0.25">
      <c r="A600" t="s">
        <v>14</v>
      </c>
      <c r="B600" t="s">
        <v>6</v>
      </c>
      <c r="C600">
        <v>2</v>
      </c>
      <c r="D600">
        <v>4</v>
      </c>
      <c r="E600">
        <v>2</v>
      </c>
      <c r="F600" s="15">
        <v>46027</v>
      </c>
      <c r="G600" t="s">
        <v>276</v>
      </c>
      <c r="H600">
        <v>5</v>
      </c>
      <c r="I600">
        <v>2026</v>
      </c>
      <c r="J600">
        <v>1</v>
      </c>
      <c r="K600" t="s">
        <v>87</v>
      </c>
      <c r="L600" t="s">
        <v>20</v>
      </c>
      <c r="M600" t="s">
        <v>6</v>
      </c>
      <c r="N600" t="b">
        <v>0</v>
      </c>
      <c r="O600">
        <v>0</v>
      </c>
      <c r="P600">
        <v>1</v>
      </c>
      <c r="Q600">
        <v>0</v>
      </c>
      <c r="R600">
        <v>0</v>
      </c>
    </row>
    <row r="601" spans="1:18" x14ac:dyDescent="0.25">
      <c r="A601" t="s">
        <v>14</v>
      </c>
      <c r="B601" t="s">
        <v>6</v>
      </c>
      <c r="C601">
        <v>2</v>
      </c>
      <c r="D601">
        <v>4</v>
      </c>
      <c r="E601">
        <v>2</v>
      </c>
      <c r="F601" s="15">
        <v>46027</v>
      </c>
      <c r="G601" t="s">
        <v>276</v>
      </c>
      <c r="H601">
        <v>5</v>
      </c>
      <c r="I601">
        <v>2026</v>
      </c>
      <c r="J601">
        <v>1</v>
      </c>
      <c r="K601" t="s">
        <v>87</v>
      </c>
      <c r="L601" t="s">
        <v>433</v>
      </c>
      <c r="M601" t="s">
        <v>8</v>
      </c>
      <c r="N601" t="b">
        <v>0</v>
      </c>
      <c r="O601">
        <v>0</v>
      </c>
      <c r="P601">
        <v>1</v>
      </c>
      <c r="Q601">
        <v>0</v>
      </c>
      <c r="R601">
        <v>1</v>
      </c>
    </row>
    <row r="602" spans="1:18" x14ac:dyDescent="0.25">
      <c r="A602" t="s">
        <v>19</v>
      </c>
      <c r="B602" t="s">
        <v>6</v>
      </c>
      <c r="C602">
        <v>1</v>
      </c>
      <c r="D602">
        <v>4</v>
      </c>
      <c r="E602">
        <v>2</v>
      </c>
      <c r="F602" s="15">
        <v>46027</v>
      </c>
      <c r="G602" t="s">
        <v>276</v>
      </c>
      <c r="H602">
        <v>5</v>
      </c>
      <c r="I602">
        <v>2026</v>
      </c>
      <c r="J602">
        <v>1</v>
      </c>
      <c r="K602" t="s">
        <v>87</v>
      </c>
      <c r="L602" t="s">
        <v>14</v>
      </c>
      <c r="M602" t="s">
        <v>6</v>
      </c>
      <c r="N602" t="b">
        <v>0</v>
      </c>
      <c r="O602">
        <v>0</v>
      </c>
      <c r="P602">
        <v>1</v>
      </c>
      <c r="Q602">
        <v>0</v>
      </c>
      <c r="R602">
        <v>0</v>
      </c>
    </row>
    <row r="603" spans="1:18" x14ac:dyDescent="0.25">
      <c r="A603" t="s">
        <v>19</v>
      </c>
      <c r="B603" t="s">
        <v>6</v>
      </c>
      <c r="C603">
        <v>1</v>
      </c>
      <c r="D603">
        <v>4</v>
      </c>
      <c r="E603">
        <v>2</v>
      </c>
      <c r="F603" s="15">
        <v>46027</v>
      </c>
      <c r="G603" t="s">
        <v>276</v>
      </c>
      <c r="H603">
        <v>5</v>
      </c>
      <c r="I603">
        <v>2026</v>
      </c>
      <c r="J603">
        <v>1</v>
      </c>
      <c r="K603" t="s">
        <v>87</v>
      </c>
      <c r="L603" t="s">
        <v>10</v>
      </c>
      <c r="M603" t="s">
        <v>6</v>
      </c>
      <c r="N603" t="b">
        <v>0</v>
      </c>
      <c r="O603">
        <v>0</v>
      </c>
      <c r="P603">
        <v>1</v>
      </c>
      <c r="Q603">
        <v>0</v>
      </c>
      <c r="R603">
        <v>0</v>
      </c>
    </row>
    <row r="604" spans="1:18" x14ac:dyDescent="0.25">
      <c r="A604" t="s">
        <v>19</v>
      </c>
      <c r="B604" t="s">
        <v>6</v>
      </c>
      <c r="C604">
        <v>1</v>
      </c>
      <c r="D604">
        <v>4</v>
      </c>
      <c r="E604">
        <v>2</v>
      </c>
      <c r="F604" s="15">
        <v>46027</v>
      </c>
      <c r="G604" t="s">
        <v>276</v>
      </c>
      <c r="H604">
        <v>5</v>
      </c>
      <c r="I604">
        <v>2026</v>
      </c>
      <c r="J604">
        <v>1</v>
      </c>
      <c r="K604" t="s">
        <v>87</v>
      </c>
      <c r="L604" t="s">
        <v>20</v>
      </c>
      <c r="M604" t="s">
        <v>6</v>
      </c>
      <c r="N604" t="b">
        <v>0</v>
      </c>
      <c r="O604">
        <v>0</v>
      </c>
      <c r="P604">
        <v>1</v>
      </c>
      <c r="Q604">
        <v>0</v>
      </c>
      <c r="R604">
        <v>0</v>
      </c>
    </row>
    <row r="605" spans="1:18" x14ac:dyDescent="0.25">
      <c r="A605" t="s">
        <v>19</v>
      </c>
      <c r="B605" t="s">
        <v>6</v>
      </c>
      <c r="C605">
        <v>1</v>
      </c>
      <c r="D605">
        <v>4</v>
      </c>
      <c r="E605">
        <v>2</v>
      </c>
      <c r="F605" s="15">
        <v>46027</v>
      </c>
      <c r="G605" t="s">
        <v>276</v>
      </c>
      <c r="H605">
        <v>5</v>
      </c>
      <c r="I605">
        <v>2026</v>
      </c>
      <c r="J605">
        <v>1</v>
      </c>
      <c r="K605" t="s">
        <v>87</v>
      </c>
      <c r="L605" t="s">
        <v>433</v>
      </c>
      <c r="M605" t="s">
        <v>8</v>
      </c>
      <c r="N605" t="b">
        <v>0</v>
      </c>
      <c r="O605">
        <v>0</v>
      </c>
      <c r="P605">
        <v>1</v>
      </c>
      <c r="Q605">
        <v>0</v>
      </c>
      <c r="R605">
        <v>1</v>
      </c>
    </row>
    <row r="606" spans="1:18" x14ac:dyDescent="0.25">
      <c r="A606" t="s">
        <v>10</v>
      </c>
      <c r="B606" t="s">
        <v>6</v>
      </c>
      <c r="C606">
        <v>4</v>
      </c>
      <c r="D606">
        <v>4</v>
      </c>
      <c r="E606">
        <v>2</v>
      </c>
      <c r="F606" s="15">
        <v>46027</v>
      </c>
      <c r="G606" t="s">
        <v>276</v>
      </c>
      <c r="H606">
        <v>5</v>
      </c>
      <c r="I606">
        <v>2026</v>
      </c>
      <c r="J606">
        <v>1</v>
      </c>
      <c r="K606" t="s">
        <v>87</v>
      </c>
      <c r="L606" t="s">
        <v>14</v>
      </c>
      <c r="M606" t="s">
        <v>6</v>
      </c>
      <c r="N606" t="b">
        <v>0</v>
      </c>
      <c r="O606">
        <v>0</v>
      </c>
      <c r="P606">
        <v>1</v>
      </c>
      <c r="Q606">
        <v>0</v>
      </c>
      <c r="R606">
        <v>0</v>
      </c>
    </row>
    <row r="607" spans="1:18" x14ac:dyDescent="0.25">
      <c r="A607" t="s">
        <v>10</v>
      </c>
      <c r="B607" t="s">
        <v>6</v>
      </c>
      <c r="C607">
        <v>4</v>
      </c>
      <c r="D607">
        <v>4</v>
      </c>
      <c r="E607">
        <v>2</v>
      </c>
      <c r="F607" s="15">
        <v>46027</v>
      </c>
      <c r="G607" t="s">
        <v>276</v>
      </c>
      <c r="H607">
        <v>5</v>
      </c>
      <c r="I607">
        <v>2026</v>
      </c>
      <c r="J607">
        <v>1</v>
      </c>
      <c r="K607" t="s">
        <v>87</v>
      </c>
      <c r="L607" t="s">
        <v>19</v>
      </c>
      <c r="M607" t="s">
        <v>6</v>
      </c>
      <c r="N607" t="b">
        <v>0</v>
      </c>
      <c r="O607">
        <v>0</v>
      </c>
      <c r="P607">
        <v>1</v>
      </c>
      <c r="Q607">
        <v>0</v>
      </c>
      <c r="R607">
        <v>0</v>
      </c>
    </row>
    <row r="608" spans="1:18" x14ac:dyDescent="0.25">
      <c r="A608" t="s">
        <v>10</v>
      </c>
      <c r="B608" t="s">
        <v>6</v>
      </c>
      <c r="C608">
        <v>4</v>
      </c>
      <c r="D608">
        <v>4</v>
      </c>
      <c r="E608">
        <v>2</v>
      </c>
      <c r="F608" s="15">
        <v>46027</v>
      </c>
      <c r="G608" t="s">
        <v>276</v>
      </c>
      <c r="H608">
        <v>5</v>
      </c>
      <c r="I608">
        <v>2026</v>
      </c>
      <c r="J608">
        <v>1</v>
      </c>
      <c r="K608" t="s">
        <v>87</v>
      </c>
      <c r="L608" t="s">
        <v>20</v>
      </c>
      <c r="M608" t="s">
        <v>6</v>
      </c>
      <c r="N608" t="b">
        <v>0</v>
      </c>
      <c r="O608">
        <v>0</v>
      </c>
      <c r="P608">
        <v>1</v>
      </c>
      <c r="Q608">
        <v>0</v>
      </c>
      <c r="R608">
        <v>0</v>
      </c>
    </row>
    <row r="609" spans="1:18" x14ac:dyDescent="0.25">
      <c r="A609" t="s">
        <v>10</v>
      </c>
      <c r="B609" t="s">
        <v>6</v>
      </c>
      <c r="C609">
        <v>4</v>
      </c>
      <c r="D609">
        <v>4</v>
      </c>
      <c r="E609">
        <v>2</v>
      </c>
      <c r="F609" s="15">
        <v>46027</v>
      </c>
      <c r="G609" t="s">
        <v>276</v>
      </c>
      <c r="H609">
        <v>5</v>
      </c>
      <c r="I609">
        <v>2026</v>
      </c>
      <c r="J609">
        <v>1</v>
      </c>
      <c r="K609" t="s">
        <v>87</v>
      </c>
      <c r="L609" t="s">
        <v>433</v>
      </c>
      <c r="M609" t="s">
        <v>8</v>
      </c>
      <c r="N609" t="b">
        <v>0</v>
      </c>
      <c r="O609">
        <v>0</v>
      </c>
      <c r="P609">
        <v>1</v>
      </c>
      <c r="Q609">
        <v>0</v>
      </c>
      <c r="R609">
        <v>1</v>
      </c>
    </row>
    <row r="610" spans="1:18" x14ac:dyDescent="0.25">
      <c r="A610" t="s">
        <v>20</v>
      </c>
      <c r="B610" t="s">
        <v>6</v>
      </c>
      <c r="C610">
        <v>3</v>
      </c>
      <c r="D610">
        <v>4</v>
      </c>
      <c r="E610">
        <v>2</v>
      </c>
      <c r="F610" s="15">
        <v>46027</v>
      </c>
      <c r="G610" t="s">
        <v>276</v>
      </c>
      <c r="H610">
        <v>5</v>
      </c>
      <c r="I610">
        <v>2026</v>
      </c>
      <c r="J610">
        <v>1</v>
      </c>
      <c r="K610" t="s">
        <v>87</v>
      </c>
      <c r="L610" t="s">
        <v>14</v>
      </c>
      <c r="M610" t="s">
        <v>6</v>
      </c>
      <c r="N610" t="b">
        <v>0</v>
      </c>
      <c r="O610">
        <v>0</v>
      </c>
      <c r="P610">
        <v>1</v>
      </c>
      <c r="Q610">
        <v>0</v>
      </c>
      <c r="R610">
        <v>0</v>
      </c>
    </row>
    <row r="611" spans="1:18" x14ac:dyDescent="0.25">
      <c r="A611" t="s">
        <v>20</v>
      </c>
      <c r="B611" t="s">
        <v>6</v>
      </c>
      <c r="C611">
        <v>3</v>
      </c>
      <c r="D611">
        <v>4</v>
      </c>
      <c r="E611">
        <v>2</v>
      </c>
      <c r="F611" s="15">
        <v>46027</v>
      </c>
      <c r="G611" t="s">
        <v>276</v>
      </c>
      <c r="H611">
        <v>5</v>
      </c>
      <c r="I611">
        <v>2026</v>
      </c>
      <c r="J611">
        <v>1</v>
      </c>
      <c r="K611" t="s">
        <v>87</v>
      </c>
      <c r="L611" t="s">
        <v>19</v>
      </c>
      <c r="M611" t="s">
        <v>6</v>
      </c>
      <c r="N611" t="b">
        <v>0</v>
      </c>
      <c r="O611">
        <v>0</v>
      </c>
      <c r="P611">
        <v>1</v>
      </c>
      <c r="Q611">
        <v>0</v>
      </c>
      <c r="R611">
        <v>0</v>
      </c>
    </row>
    <row r="612" spans="1:18" x14ac:dyDescent="0.25">
      <c r="A612" t="s">
        <v>20</v>
      </c>
      <c r="B612" t="s">
        <v>6</v>
      </c>
      <c r="C612">
        <v>3</v>
      </c>
      <c r="D612">
        <v>4</v>
      </c>
      <c r="E612">
        <v>2</v>
      </c>
      <c r="F612" s="15">
        <v>46027</v>
      </c>
      <c r="G612" t="s">
        <v>276</v>
      </c>
      <c r="H612">
        <v>5</v>
      </c>
      <c r="I612">
        <v>2026</v>
      </c>
      <c r="J612">
        <v>1</v>
      </c>
      <c r="K612" t="s">
        <v>87</v>
      </c>
      <c r="L612" t="s">
        <v>10</v>
      </c>
      <c r="M612" t="s">
        <v>6</v>
      </c>
      <c r="N612" t="b">
        <v>0</v>
      </c>
      <c r="O612">
        <v>0</v>
      </c>
      <c r="P612">
        <v>1</v>
      </c>
      <c r="Q612">
        <v>0</v>
      </c>
      <c r="R612">
        <v>0</v>
      </c>
    </row>
    <row r="613" spans="1:18" x14ac:dyDescent="0.25">
      <c r="A613" t="s">
        <v>20</v>
      </c>
      <c r="B613" t="s">
        <v>6</v>
      </c>
      <c r="C613">
        <v>3</v>
      </c>
      <c r="D613">
        <v>4</v>
      </c>
      <c r="E613">
        <v>2</v>
      </c>
      <c r="F613" s="15">
        <v>46027</v>
      </c>
      <c r="G613" t="s">
        <v>276</v>
      </c>
      <c r="H613">
        <v>5</v>
      </c>
      <c r="I613">
        <v>2026</v>
      </c>
      <c r="J613">
        <v>1</v>
      </c>
      <c r="K613" t="s">
        <v>87</v>
      </c>
      <c r="L613" t="s">
        <v>433</v>
      </c>
      <c r="M613" t="s">
        <v>8</v>
      </c>
      <c r="N613" t="b">
        <v>0</v>
      </c>
      <c r="O613">
        <v>0</v>
      </c>
      <c r="P613">
        <v>1</v>
      </c>
      <c r="Q613">
        <v>0</v>
      </c>
      <c r="R613">
        <v>1</v>
      </c>
    </row>
    <row r="614" spans="1:18" x14ac:dyDescent="0.25">
      <c r="A614" t="s">
        <v>433</v>
      </c>
      <c r="B614" t="s">
        <v>8</v>
      </c>
      <c r="C614">
        <v>5</v>
      </c>
      <c r="D614">
        <v>4</v>
      </c>
      <c r="E614">
        <v>2</v>
      </c>
      <c r="F614" s="15">
        <v>46027</v>
      </c>
      <c r="G614" t="s">
        <v>276</v>
      </c>
      <c r="H614">
        <v>5</v>
      </c>
      <c r="I614">
        <v>2026</v>
      </c>
      <c r="J614">
        <v>1</v>
      </c>
      <c r="K614" t="s">
        <v>87</v>
      </c>
      <c r="L614" t="s">
        <v>14</v>
      </c>
      <c r="M614" t="s">
        <v>6</v>
      </c>
      <c r="N614" t="b">
        <v>0</v>
      </c>
      <c r="O614">
        <v>1</v>
      </c>
      <c r="P614">
        <v>0</v>
      </c>
      <c r="Q614">
        <v>0</v>
      </c>
      <c r="R614">
        <v>0</v>
      </c>
    </row>
    <row r="615" spans="1:18" x14ac:dyDescent="0.25">
      <c r="A615" t="s">
        <v>433</v>
      </c>
      <c r="B615" t="s">
        <v>8</v>
      </c>
      <c r="C615">
        <v>5</v>
      </c>
      <c r="D615">
        <v>4</v>
      </c>
      <c r="E615">
        <v>2</v>
      </c>
      <c r="F615" s="15">
        <v>46027</v>
      </c>
      <c r="G615" t="s">
        <v>276</v>
      </c>
      <c r="H615">
        <v>5</v>
      </c>
      <c r="I615">
        <v>2026</v>
      </c>
      <c r="J615">
        <v>1</v>
      </c>
      <c r="K615" t="s">
        <v>87</v>
      </c>
      <c r="L615" t="s">
        <v>19</v>
      </c>
      <c r="M615" t="s">
        <v>6</v>
      </c>
      <c r="N615" t="b">
        <v>0</v>
      </c>
      <c r="O615">
        <v>1</v>
      </c>
      <c r="P615">
        <v>0</v>
      </c>
      <c r="Q615">
        <v>0</v>
      </c>
      <c r="R615">
        <v>0</v>
      </c>
    </row>
    <row r="616" spans="1:18" x14ac:dyDescent="0.25">
      <c r="A616" t="s">
        <v>433</v>
      </c>
      <c r="B616" t="s">
        <v>8</v>
      </c>
      <c r="C616">
        <v>5</v>
      </c>
      <c r="D616">
        <v>4</v>
      </c>
      <c r="E616">
        <v>2</v>
      </c>
      <c r="F616" s="15">
        <v>46027</v>
      </c>
      <c r="G616" t="s">
        <v>276</v>
      </c>
      <c r="H616">
        <v>5</v>
      </c>
      <c r="I616">
        <v>2026</v>
      </c>
      <c r="J616">
        <v>1</v>
      </c>
      <c r="K616" t="s">
        <v>87</v>
      </c>
      <c r="L616" t="s">
        <v>10</v>
      </c>
      <c r="M616" t="s">
        <v>6</v>
      </c>
      <c r="N616" t="b">
        <v>0</v>
      </c>
      <c r="O616">
        <v>1</v>
      </c>
      <c r="P616">
        <v>0</v>
      </c>
      <c r="Q616">
        <v>0</v>
      </c>
      <c r="R616">
        <v>0</v>
      </c>
    </row>
    <row r="617" spans="1:18" x14ac:dyDescent="0.25">
      <c r="A617" t="s">
        <v>433</v>
      </c>
      <c r="B617" t="s">
        <v>8</v>
      </c>
      <c r="C617">
        <v>5</v>
      </c>
      <c r="D617">
        <v>4</v>
      </c>
      <c r="E617">
        <v>2</v>
      </c>
      <c r="F617" s="15">
        <v>46027</v>
      </c>
      <c r="G617" t="s">
        <v>276</v>
      </c>
      <c r="H617">
        <v>5</v>
      </c>
      <c r="I617">
        <v>2026</v>
      </c>
      <c r="J617">
        <v>1</v>
      </c>
      <c r="K617" t="s">
        <v>87</v>
      </c>
      <c r="L617" t="s">
        <v>20</v>
      </c>
      <c r="M617" t="s">
        <v>6</v>
      </c>
      <c r="N617" t="b">
        <v>0</v>
      </c>
      <c r="O617">
        <v>1</v>
      </c>
      <c r="P617">
        <v>0</v>
      </c>
      <c r="Q617">
        <v>0</v>
      </c>
      <c r="R617">
        <v>0</v>
      </c>
    </row>
    <row r="618" spans="1:18" x14ac:dyDescent="0.25">
      <c r="A618" t="s">
        <v>14</v>
      </c>
      <c r="B618" t="s">
        <v>6</v>
      </c>
      <c r="C618">
        <v>1</v>
      </c>
      <c r="D618">
        <v>2</v>
      </c>
      <c r="E618">
        <v>1</v>
      </c>
      <c r="F618" s="15">
        <v>46034</v>
      </c>
      <c r="G618" t="s">
        <v>298</v>
      </c>
      <c r="H618">
        <v>4</v>
      </c>
      <c r="I618">
        <v>2026</v>
      </c>
      <c r="J618">
        <v>1</v>
      </c>
      <c r="K618" t="s">
        <v>87</v>
      </c>
      <c r="L618" t="s">
        <v>435</v>
      </c>
      <c r="M618" t="s">
        <v>6</v>
      </c>
      <c r="N618" t="b">
        <v>0</v>
      </c>
      <c r="O618">
        <v>0</v>
      </c>
      <c r="P618">
        <v>1</v>
      </c>
      <c r="Q618">
        <v>0</v>
      </c>
      <c r="R618">
        <v>0</v>
      </c>
    </row>
    <row r="619" spans="1:18" x14ac:dyDescent="0.25">
      <c r="A619" t="s">
        <v>14</v>
      </c>
      <c r="B619" t="s">
        <v>6</v>
      </c>
      <c r="C619">
        <v>1</v>
      </c>
      <c r="D619">
        <v>2</v>
      </c>
      <c r="E619">
        <v>1</v>
      </c>
      <c r="F619" s="15">
        <v>46034</v>
      </c>
      <c r="G619" t="s">
        <v>298</v>
      </c>
      <c r="H619">
        <v>4</v>
      </c>
      <c r="I619">
        <v>2026</v>
      </c>
      <c r="J619">
        <v>1</v>
      </c>
      <c r="K619" t="s">
        <v>87</v>
      </c>
      <c r="L619" t="s">
        <v>52</v>
      </c>
      <c r="M619" t="s">
        <v>6</v>
      </c>
      <c r="N619" t="b">
        <v>0</v>
      </c>
      <c r="O619">
        <v>0</v>
      </c>
      <c r="P619">
        <v>1</v>
      </c>
      <c r="Q619">
        <v>0</v>
      </c>
      <c r="R619">
        <v>0</v>
      </c>
    </row>
    <row r="620" spans="1:18" x14ac:dyDescent="0.25">
      <c r="A620" t="s">
        <v>14</v>
      </c>
      <c r="B620" t="s">
        <v>6</v>
      </c>
      <c r="C620">
        <v>1</v>
      </c>
      <c r="D620">
        <v>2</v>
      </c>
      <c r="E620">
        <v>1</v>
      </c>
      <c r="F620" s="15">
        <v>46034</v>
      </c>
      <c r="G620" t="s">
        <v>298</v>
      </c>
      <c r="H620">
        <v>4</v>
      </c>
      <c r="I620">
        <v>2026</v>
      </c>
      <c r="J620">
        <v>1</v>
      </c>
      <c r="K620" t="s">
        <v>87</v>
      </c>
      <c r="L620" t="s">
        <v>434</v>
      </c>
      <c r="M620" t="s">
        <v>8</v>
      </c>
      <c r="N620" t="b">
        <v>0</v>
      </c>
      <c r="O620">
        <v>0</v>
      </c>
      <c r="P620">
        <v>1</v>
      </c>
      <c r="Q620">
        <v>0</v>
      </c>
      <c r="R620">
        <v>1</v>
      </c>
    </row>
    <row r="621" spans="1:18" x14ac:dyDescent="0.25">
      <c r="A621" t="s">
        <v>435</v>
      </c>
      <c r="B621" t="s">
        <v>6</v>
      </c>
      <c r="C621">
        <v>4</v>
      </c>
      <c r="D621">
        <v>2</v>
      </c>
      <c r="E621">
        <v>1</v>
      </c>
      <c r="F621" s="15">
        <v>46034</v>
      </c>
      <c r="G621" t="s">
        <v>298</v>
      </c>
      <c r="H621">
        <v>4</v>
      </c>
      <c r="I621">
        <v>2026</v>
      </c>
      <c r="J621">
        <v>1</v>
      </c>
      <c r="K621" t="s">
        <v>87</v>
      </c>
      <c r="L621" t="s">
        <v>14</v>
      </c>
      <c r="M621" t="s">
        <v>6</v>
      </c>
      <c r="N621" t="b">
        <v>0</v>
      </c>
      <c r="O621">
        <v>0</v>
      </c>
      <c r="P621">
        <v>1</v>
      </c>
      <c r="Q621">
        <v>0</v>
      </c>
      <c r="R621">
        <v>0</v>
      </c>
    </row>
    <row r="622" spans="1:18" x14ac:dyDescent="0.25">
      <c r="A622" t="s">
        <v>435</v>
      </c>
      <c r="B622" t="s">
        <v>6</v>
      </c>
      <c r="C622">
        <v>4</v>
      </c>
      <c r="D622">
        <v>2</v>
      </c>
      <c r="E622">
        <v>1</v>
      </c>
      <c r="F622" s="15">
        <v>46034</v>
      </c>
      <c r="G622" t="s">
        <v>298</v>
      </c>
      <c r="H622">
        <v>4</v>
      </c>
      <c r="I622">
        <v>2026</v>
      </c>
      <c r="J622">
        <v>1</v>
      </c>
      <c r="K622" t="s">
        <v>87</v>
      </c>
      <c r="L622" t="s">
        <v>52</v>
      </c>
      <c r="M622" t="s">
        <v>6</v>
      </c>
      <c r="N622" t="b">
        <v>0</v>
      </c>
      <c r="O622">
        <v>0</v>
      </c>
      <c r="P622">
        <v>1</v>
      </c>
      <c r="Q622">
        <v>0</v>
      </c>
      <c r="R622">
        <v>0</v>
      </c>
    </row>
    <row r="623" spans="1:18" x14ac:dyDescent="0.25">
      <c r="A623" t="s">
        <v>435</v>
      </c>
      <c r="B623" t="s">
        <v>6</v>
      </c>
      <c r="C623">
        <v>4</v>
      </c>
      <c r="D623">
        <v>2</v>
      </c>
      <c r="E623">
        <v>1</v>
      </c>
      <c r="F623" s="15">
        <v>46034</v>
      </c>
      <c r="G623" t="s">
        <v>298</v>
      </c>
      <c r="H623">
        <v>4</v>
      </c>
      <c r="I623">
        <v>2026</v>
      </c>
      <c r="J623">
        <v>1</v>
      </c>
      <c r="K623" t="s">
        <v>87</v>
      </c>
      <c r="L623" t="s">
        <v>434</v>
      </c>
      <c r="M623" t="s">
        <v>8</v>
      </c>
      <c r="N623" t="b">
        <v>0</v>
      </c>
      <c r="O623">
        <v>0</v>
      </c>
      <c r="P623">
        <v>1</v>
      </c>
      <c r="Q623">
        <v>0</v>
      </c>
      <c r="R623">
        <v>1</v>
      </c>
    </row>
    <row r="624" spans="1:18" x14ac:dyDescent="0.25">
      <c r="A624" t="s">
        <v>52</v>
      </c>
      <c r="B624" t="s">
        <v>6</v>
      </c>
      <c r="C624">
        <v>2</v>
      </c>
      <c r="D624">
        <v>2</v>
      </c>
      <c r="E624">
        <v>1</v>
      </c>
      <c r="F624" s="15">
        <v>46034</v>
      </c>
      <c r="G624" t="s">
        <v>298</v>
      </c>
      <c r="H624">
        <v>4</v>
      </c>
      <c r="I624">
        <v>2026</v>
      </c>
      <c r="J624">
        <v>1</v>
      </c>
      <c r="K624" t="s">
        <v>87</v>
      </c>
      <c r="L624" t="s">
        <v>14</v>
      </c>
      <c r="M624" t="s">
        <v>6</v>
      </c>
      <c r="N624" t="b">
        <v>0</v>
      </c>
      <c r="O624">
        <v>0</v>
      </c>
      <c r="P624">
        <v>1</v>
      </c>
      <c r="Q624">
        <v>0</v>
      </c>
      <c r="R624">
        <v>0</v>
      </c>
    </row>
    <row r="625" spans="1:18" x14ac:dyDescent="0.25">
      <c r="A625" t="s">
        <v>52</v>
      </c>
      <c r="B625" t="s">
        <v>6</v>
      </c>
      <c r="C625">
        <v>2</v>
      </c>
      <c r="D625">
        <v>2</v>
      </c>
      <c r="E625">
        <v>1</v>
      </c>
      <c r="F625" s="15">
        <v>46034</v>
      </c>
      <c r="G625" t="s">
        <v>298</v>
      </c>
      <c r="H625">
        <v>4</v>
      </c>
      <c r="I625">
        <v>2026</v>
      </c>
      <c r="J625">
        <v>1</v>
      </c>
      <c r="K625" t="s">
        <v>87</v>
      </c>
      <c r="L625" t="s">
        <v>435</v>
      </c>
      <c r="M625" t="s">
        <v>6</v>
      </c>
      <c r="N625" t="b">
        <v>0</v>
      </c>
      <c r="O625">
        <v>0</v>
      </c>
      <c r="P625">
        <v>1</v>
      </c>
      <c r="Q625">
        <v>0</v>
      </c>
      <c r="R625">
        <v>0</v>
      </c>
    </row>
    <row r="626" spans="1:18" x14ac:dyDescent="0.25">
      <c r="A626" t="s">
        <v>52</v>
      </c>
      <c r="B626" t="s">
        <v>6</v>
      </c>
      <c r="C626">
        <v>2</v>
      </c>
      <c r="D626">
        <v>2</v>
      </c>
      <c r="E626">
        <v>1</v>
      </c>
      <c r="F626" s="15">
        <v>46034</v>
      </c>
      <c r="G626" t="s">
        <v>298</v>
      </c>
      <c r="H626">
        <v>4</v>
      </c>
      <c r="I626">
        <v>2026</v>
      </c>
      <c r="J626">
        <v>1</v>
      </c>
      <c r="K626" t="s">
        <v>87</v>
      </c>
      <c r="L626" t="s">
        <v>434</v>
      </c>
      <c r="M626" t="s">
        <v>8</v>
      </c>
      <c r="N626" t="b">
        <v>0</v>
      </c>
      <c r="O626">
        <v>0</v>
      </c>
      <c r="P626">
        <v>1</v>
      </c>
      <c r="Q626">
        <v>0</v>
      </c>
      <c r="R626">
        <v>1</v>
      </c>
    </row>
    <row r="627" spans="1:18" x14ac:dyDescent="0.25">
      <c r="A627" t="s">
        <v>434</v>
      </c>
      <c r="B627" t="s">
        <v>8</v>
      </c>
      <c r="C627">
        <v>3</v>
      </c>
      <c r="D627">
        <v>2</v>
      </c>
      <c r="E627">
        <v>1</v>
      </c>
      <c r="F627" s="15">
        <v>46034</v>
      </c>
      <c r="G627" t="s">
        <v>298</v>
      </c>
      <c r="H627">
        <v>4</v>
      </c>
      <c r="I627">
        <v>2026</v>
      </c>
      <c r="J627">
        <v>1</v>
      </c>
      <c r="K627" t="s">
        <v>87</v>
      </c>
      <c r="L627" t="s">
        <v>14</v>
      </c>
      <c r="M627" t="s">
        <v>6</v>
      </c>
      <c r="N627" t="b">
        <v>0</v>
      </c>
      <c r="O627">
        <v>1</v>
      </c>
      <c r="P627">
        <v>0</v>
      </c>
      <c r="Q627">
        <v>0</v>
      </c>
      <c r="R627">
        <v>0</v>
      </c>
    </row>
    <row r="628" spans="1:18" x14ac:dyDescent="0.25">
      <c r="A628" t="s">
        <v>434</v>
      </c>
      <c r="B628" t="s">
        <v>8</v>
      </c>
      <c r="C628">
        <v>3</v>
      </c>
      <c r="D628">
        <v>2</v>
      </c>
      <c r="E628">
        <v>1</v>
      </c>
      <c r="F628" s="15">
        <v>46034</v>
      </c>
      <c r="G628" t="s">
        <v>298</v>
      </c>
      <c r="H628">
        <v>4</v>
      </c>
      <c r="I628">
        <v>2026</v>
      </c>
      <c r="J628">
        <v>1</v>
      </c>
      <c r="K628" t="s">
        <v>87</v>
      </c>
      <c r="L628" t="s">
        <v>435</v>
      </c>
      <c r="M628" t="s">
        <v>6</v>
      </c>
      <c r="N628" t="b">
        <v>0</v>
      </c>
      <c r="O628">
        <v>1</v>
      </c>
      <c r="P628">
        <v>0</v>
      </c>
      <c r="Q628">
        <v>0</v>
      </c>
      <c r="R628">
        <v>0</v>
      </c>
    </row>
    <row r="629" spans="1:18" x14ac:dyDescent="0.25">
      <c r="A629" t="s">
        <v>434</v>
      </c>
      <c r="B629" t="s">
        <v>8</v>
      </c>
      <c r="C629">
        <v>3</v>
      </c>
      <c r="D629">
        <v>2</v>
      </c>
      <c r="E629">
        <v>1</v>
      </c>
      <c r="F629" s="15">
        <v>46034</v>
      </c>
      <c r="G629" t="s">
        <v>298</v>
      </c>
      <c r="H629">
        <v>4</v>
      </c>
      <c r="I629">
        <v>2026</v>
      </c>
      <c r="J629">
        <v>1</v>
      </c>
      <c r="K629" t="s">
        <v>87</v>
      </c>
      <c r="L629" t="s">
        <v>52</v>
      </c>
      <c r="M629" t="s">
        <v>6</v>
      </c>
      <c r="N629" t="b">
        <v>0</v>
      </c>
      <c r="O629">
        <v>1</v>
      </c>
      <c r="P629">
        <v>0</v>
      </c>
      <c r="Q629">
        <v>0</v>
      </c>
      <c r="R629">
        <v>0</v>
      </c>
    </row>
    <row r="630" spans="1:18" x14ac:dyDescent="0.25">
      <c r="A630" t="s">
        <v>14</v>
      </c>
      <c r="B630" t="s">
        <v>6</v>
      </c>
      <c r="C630">
        <v>4</v>
      </c>
      <c r="D630">
        <v>7</v>
      </c>
      <c r="E630">
        <v>2</v>
      </c>
      <c r="F630" s="15">
        <v>46034</v>
      </c>
      <c r="G630" t="s">
        <v>310</v>
      </c>
      <c r="H630">
        <v>4</v>
      </c>
      <c r="I630">
        <v>2026</v>
      </c>
      <c r="J630">
        <v>1</v>
      </c>
      <c r="K630" t="s">
        <v>87</v>
      </c>
      <c r="L630" t="s">
        <v>59</v>
      </c>
      <c r="M630" t="s">
        <v>6</v>
      </c>
      <c r="N630" t="b">
        <v>0</v>
      </c>
      <c r="O630">
        <v>0</v>
      </c>
      <c r="P630">
        <v>1</v>
      </c>
      <c r="Q630">
        <v>0</v>
      </c>
      <c r="R630">
        <v>0</v>
      </c>
    </row>
    <row r="631" spans="1:18" x14ac:dyDescent="0.25">
      <c r="A631" t="s">
        <v>14</v>
      </c>
      <c r="B631" t="s">
        <v>6</v>
      </c>
      <c r="C631">
        <v>4</v>
      </c>
      <c r="D631">
        <v>7</v>
      </c>
      <c r="E631">
        <v>2</v>
      </c>
      <c r="F631" s="15">
        <v>46034</v>
      </c>
      <c r="G631" t="s">
        <v>310</v>
      </c>
      <c r="H631">
        <v>4</v>
      </c>
      <c r="I631">
        <v>2026</v>
      </c>
      <c r="J631">
        <v>1</v>
      </c>
      <c r="K631" t="s">
        <v>87</v>
      </c>
      <c r="L631" t="s">
        <v>352</v>
      </c>
      <c r="M631" t="s">
        <v>8</v>
      </c>
      <c r="N631" t="b">
        <v>0</v>
      </c>
      <c r="O631">
        <v>0</v>
      </c>
      <c r="P631">
        <v>1</v>
      </c>
      <c r="Q631">
        <v>0</v>
      </c>
      <c r="R631">
        <v>1</v>
      </c>
    </row>
    <row r="632" spans="1:18" x14ac:dyDescent="0.25">
      <c r="A632" t="s">
        <v>14</v>
      </c>
      <c r="B632" t="s">
        <v>6</v>
      </c>
      <c r="C632">
        <v>4</v>
      </c>
      <c r="D632">
        <v>7</v>
      </c>
      <c r="E632">
        <v>2</v>
      </c>
      <c r="F632" s="15">
        <v>46034</v>
      </c>
      <c r="G632" t="s">
        <v>310</v>
      </c>
      <c r="H632">
        <v>4</v>
      </c>
      <c r="I632">
        <v>2026</v>
      </c>
      <c r="J632">
        <v>1</v>
      </c>
      <c r="K632" t="s">
        <v>87</v>
      </c>
      <c r="L632" t="s">
        <v>432</v>
      </c>
      <c r="M632" t="s">
        <v>6</v>
      </c>
      <c r="N632" t="b">
        <v>0</v>
      </c>
      <c r="O632">
        <v>0</v>
      </c>
      <c r="P632">
        <v>1</v>
      </c>
      <c r="Q632">
        <v>0</v>
      </c>
      <c r="R632">
        <v>0</v>
      </c>
    </row>
    <row r="633" spans="1:18" x14ac:dyDescent="0.25">
      <c r="A633" t="s">
        <v>59</v>
      </c>
      <c r="B633" t="s">
        <v>6</v>
      </c>
      <c r="C633">
        <v>2</v>
      </c>
      <c r="D633">
        <v>7</v>
      </c>
      <c r="E633">
        <v>2</v>
      </c>
      <c r="F633" s="15">
        <v>46034</v>
      </c>
      <c r="G633" t="s">
        <v>310</v>
      </c>
      <c r="H633">
        <v>4</v>
      </c>
      <c r="I633">
        <v>2026</v>
      </c>
      <c r="J633">
        <v>1</v>
      </c>
      <c r="K633" t="s">
        <v>87</v>
      </c>
      <c r="L633" t="s">
        <v>14</v>
      </c>
      <c r="M633" t="s">
        <v>6</v>
      </c>
      <c r="N633" t="b">
        <v>0</v>
      </c>
      <c r="O633">
        <v>0</v>
      </c>
      <c r="P633">
        <v>1</v>
      </c>
      <c r="Q633">
        <v>0</v>
      </c>
      <c r="R633">
        <v>0</v>
      </c>
    </row>
    <row r="634" spans="1:18" x14ac:dyDescent="0.25">
      <c r="A634" t="s">
        <v>59</v>
      </c>
      <c r="B634" t="s">
        <v>6</v>
      </c>
      <c r="C634">
        <v>2</v>
      </c>
      <c r="D634">
        <v>7</v>
      </c>
      <c r="E634">
        <v>2</v>
      </c>
      <c r="F634" s="15">
        <v>46034</v>
      </c>
      <c r="G634" t="s">
        <v>310</v>
      </c>
      <c r="H634">
        <v>4</v>
      </c>
      <c r="I634">
        <v>2026</v>
      </c>
      <c r="J634">
        <v>1</v>
      </c>
      <c r="K634" t="s">
        <v>87</v>
      </c>
      <c r="L634" t="s">
        <v>352</v>
      </c>
      <c r="M634" t="s">
        <v>8</v>
      </c>
      <c r="N634" t="b">
        <v>0</v>
      </c>
      <c r="O634">
        <v>0</v>
      </c>
      <c r="P634">
        <v>1</v>
      </c>
      <c r="Q634">
        <v>0</v>
      </c>
      <c r="R634">
        <v>1</v>
      </c>
    </row>
    <row r="635" spans="1:18" x14ac:dyDescent="0.25">
      <c r="A635" t="s">
        <v>59</v>
      </c>
      <c r="B635" t="s">
        <v>6</v>
      </c>
      <c r="C635">
        <v>2</v>
      </c>
      <c r="D635">
        <v>7</v>
      </c>
      <c r="E635">
        <v>2</v>
      </c>
      <c r="F635" s="15">
        <v>46034</v>
      </c>
      <c r="G635" t="s">
        <v>310</v>
      </c>
      <c r="H635">
        <v>4</v>
      </c>
      <c r="I635">
        <v>2026</v>
      </c>
      <c r="J635">
        <v>1</v>
      </c>
      <c r="K635" t="s">
        <v>87</v>
      </c>
      <c r="L635" t="s">
        <v>432</v>
      </c>
      <c r="M635" t="s">
        <v>6</v>
      </c>
      <c r="N635" t="b">
        <v>0</v>
      </c>
      <c r="O635">
        <v>0</v>
      </c>
      <c r="P635">
        <v>1</v>
      </c>
      <c r="Q635">
        <v>0</v>
      </c>
      <c r="R635">
        <v>0</v>
      </c>
    </row>
    <row r="636" spans="1:18" x14ac:dyDescent="0.25">
      <c r="A636" t="s">
        <v>352</v>
      </c>
      <c r="B636" t="s">
        <v>8</v>
      </c>
      <c r="C636">
        <v>1</v>
      </c>
      <c r="D636">
        <v>7</v>
      </c>
      <c r="E636">
        <v>2</v>
      </c>
      <c r="F636" s="15">
        <v>46034</v>
      </c>
      <c r="G636" t="s">
        <v>310</v>
      </c>
      <c r="H636">
        <v>4</v>
      </c>
      <c r="I636">
        <v>2026</v>
      </c>
      <c r="J636">
        <v>1</v>
      </c>
      <c r="K636" t="s">
        <v>87</v>
      </c>
      <c r="L636" t="s">
        <v>14</v>
      </c>
      <c r="M636" t="s">
        <v>6</v>
      </c>
      <c r="N636" t="b">
        <v>0</v>
      </c>
      <c r="O636">
        <v>1</v>
      </c>
      <c r="P636">
        <v>0</v>
      </c>
      <c r="Q636">
        <v>0</v>
      </c>
      <c r="R636">
        <v>0</v>
      </c>
    </row>
    <row r="637" spans="1:18" x14ac:dyDescent="0.25">
      <c r="A637" t="s">
        <v>352</v>
      </c>
      <c r="B637" t="s">
        <v>8</v>
      </c>
      <c r="C637">
        <v>1</v>
      </c>
      <c r="D637">
        <v>7</v>
      </c>
      <c r="E637">
        <v>2</v>
      </c>
      <c r="F637" s="15">
        <v>46034</v>
      </c>
      <c r="G637" t="s">
        <v>310</v>
      </c>
      <c r="H637">
        <v>4</v>
      </c>
      <c r="I637">
        <v>2026</v>
      </c>
      <c r="J637">
        <v>1</v>
      </c>
      <c r="K637" t="s">
        <v>87</v>
      </c>
      <c r="L637" t="s">
        <v>59</v>
      </c>
      <c r="M637" t="s">
        <v>6</v>
      </c>
      <c r="N637" t="b">
        <v>0</v>
      </c>
      <c r="O637">
        <v>1</v>
      </c>
      <c r="P637">
        <v>0</v>
      </c>
      <c r="Q637">
        <v>0</v>
      </c>
      <c r="R637">
        <v>0</v>
      </c>
    </row>
    <row r="638" spans="1:18" x14ac:dyDescent="0.25">
      <c r="A638" t="s">
        <v>352</v>
      </c>
      <c r="B638" t="s">
        <v>8</v>
      </c>
      <c r="C638">
        <v>1</v>
      </c>
      <c r="D638">
        <v>7</v>
      </c>
      <c r="E638">
        <v>2</v>
      </c>
      <c r="F638" s="15">
        <v>46034</v>
      </c>
      <c r="G638" t="s">
        <v>310</v>
      </c>
      <c r="H638">
        <v>4</v>
      </c>
      <c r="I638">
        <v>2026</v>
      </c>
      <c r="J638">
        <v>1</v>
      </c>
      <c r="K638" t="s">
        <v>87</v>
      </c>
      <c r="L638" t="s">
        <v>432</v>
      </c>
      <c r="M638" t="s">
        <v>6</v>
      </c>
      <c r="N638" t="b">
        <v>0</v>
      </c>
      <c r="O638">
        <v>1</v>
      </c>
      <c r="P638">
        <v>0</v>
      </c>
      <c r="Q638">
        <v>0</v>
      </c>
      <c r="R638">
        <v>0</v>
      </c>
    </row>
    <row r="639" spans="1:18" x14ac:dyDescent="0.25">
      <c r="A639" t="s">
        <v>432</v>
      </c>
      <c r="B639" t="s">
        <v>6</v>
      </c>
      <c r="C639">
        <v>3</v>
      </c>
      <c r="D639">
        <v>7</v>
      </c>
      <c r="E639">
        <v>2</v>
      </c>
      <c r="F639" s="15">
        <v>46034</v>
      </c>
      <c r="G639" t="s">
        <v>310</v>
      </c>
      <c r="H639">
        <v>4</v>
      </c>
      <c r="I639">
        <v>2026</v>
      </c>
      <c r="J639">
        <v>1</v>
      </c>
      <c r="K639" t="s">
        <v>87</v>
      </c>
      <c r="L639" t="s">
        <v>14</v>
      </c>
      <c r="M639" t="s">
        <v>6</v>
      </c>
      <c r="N639" t="b">
        <v>0</v>
      </c>
      <c r="O639">
        <v>0</v>
      </c>
      <c r="P639">
        <v>1</v>
      </c>
      <c r="Q639">
        <v>0</v>
      </c>
      <c r="R639">
        <v>0</v>
      </c>
    </row>
    <row r="640" spans="1:18" x14ac:dyDescent="0.25">
      <c r="A640" t="s">
        <v>432</v>
      </c>
      <c r="B640" t="s">
        <v>6</v>
      </c>
      <c r="C640">
        <v>3</v>
      </c>
      <c r="D640">
        <v>7</v>
      </c>
      <c r="E640">
        <v>2</v>
      </c>
      <c r="F640" s="15">
        <v>46034</v>
      </c>
      <c r="G640" t="s">
        <v>310</v>
      </c>
      <c r="H640">
        <v>4</v>
      </c>
      <c r="I640">
        <v>2026</v>
      </c>
      <c r="J640">
        <v>1</v>
      </c>
      <c r="K640" t="s">
        <v>87</v>
      </c>
      <c r="L640" t="s">
        <v>59</v>
      </c>
      <c r="M640" t="s">
        <v>6</v>
      </c>
      <c r="N640" t="b">
        <v>0</v>
      </c>
      <c r="O640">
        <v>0</v>
      </c>
      <c r="P640">
        <v>1</v>
      </c>
      <c r="Q640">
        <v>0</v>
      </c>
      <c r="R640">
        <v>0</v>
      </c>
    </row>
    <row r="641" spans="1:18" x14ac:dyDescent="0.25">
      <c r="A641" t="s">
        <v>432</v>
      </c>
      <c r="B641" t="s">
        <v>6</v>
      </c>
      <c r="C641">
        <v>3</v>
      </c>
      <c r="D641">
        <v>7</v>
      </c>
      <c r="E641">
        <v>2</v>
      </c>
      <c r="F641" s="15">
        <v>46034</v>
      </c>
      <c r="G641" t="s">
        <v>310</v>
      </c>
      <c r="H641">
        <v>4</v>
      </c>
      <c r="I641">
        <v>2026</v>
      </c>
      <c r="J641">
        <v>1</v>
      </c>
      <c r="K641" t="s">
        <v>87</v>
      </c>
      <c r="L641" t="s">
        <v>352</v>
      </c>
      <c r="M641" t="s">
        <v>8</v>
      </c>
      <c r="N641" t="b">
        <v>0</v>
      </c>
      <c r="O641">
        <v>0</v>
      </c>
      <c r="P641">
        <v>1</v>
      </c>
      <c r="Q641">
        <v>0</v>
      </c>
      <c r="R641">
        <v>1</v>
      </c>
    </row>
    <row r="642" spans="1:18" x14ac:dyDescent="0.25">
      <c r="A642" t="s">
        <v>14</v>
      </c>
      <c r="B642" t="s">
        <v>8</v>
      </c>
      <c r="C642">
        <v>4</v>
      </c>
      <c r="D642">
        <v>3</v>
      </c>
      <c r="E642">
        <v>1</v>
      </c>
      <c r="F642" s="15">
        <v>46041</v>
      </c>
      <c r="G642" t="s">
        <v>313</v>
      </c>
      <c r="H642">
        <v>4</v>
      </c>
      <c r="I642">
        <v>2026</v>
      </c>
      <c r="J642">
        <v>1</v>
      </c>
      <c r="K642" t="s">
        <v>87</v>
      </c>
      <c r="L642" t="s">
        <v>321</v>
      </c>
      <c r="M642" t="s">
        <v>6</v>
      </c>
      <c r="N642" t="b">
        <v>0</v>
      </c>
      <c r="O642">
        <v>1</v>
      </c>
      <c r="P642">
        <v>0</v>
      </c>
      <c r="Q642">
        <v>0</v>
      </c>
      <c r="R642">
        <v>0</v>
      </c>
    </row>
    <row r="643" spans="1:18" x14ac:dyDescent="0.25">
      <c r="A643" t="s">
        <v>14</v>
      </c>
      <c r="B643" t="s">
        <v>8</v>
      </c>
      <c r="C643">
        <v>4</v>
      </c>
      <c r="D643">
        <v>3</v>
      </c>
      <c r="E643">
        <v>1</v>
      </c>
      <c r="F643" s="15">
        <v>46041</v>
      </c>
      <c r="G643" t="s">
        <v>313</v>
      </c>
      <c r="H643">
        <v>4</v>
      </c>
      <c r="I643">
        <v>2026</v>
      </c>
      <c r="J643">
        <v>1</v>
      </c>
      <c r="K643" t="s">
        <v>87</v>
      </c>
      <c r="L643" t="s">
        <v>43</v>
      </c>
      <c r="M643" t="s">
        <v>6</v>
      </c>
      <c r="N643" t="b">
        <v>0</v>
      </c>
      <c r="O643">
        <v>1</v>
      </c>
      <c r="P643">
        <v>0</v>
      </c>
      <c r="Q643">
        <v>0</v>
      </c>
      <c r="R643">
        <v>0</v>
      </c>
    </row>
    <row r="644" spans="1:18" x14ac:dyDescent="0.25">
      <c r="A644" t="s">
        <v>14</v>
      </c>
      <c r="B644" t="s">
        <v>8</v>
      </c>
      <c r="C644">
        <v>4</v>
      </c>
      <c r="D644">
        <v>3</v>
      </c>
      <c r="E644">
        <v>1</v>
      </c>
      <c r="F644" s="15">
        <v>46041</v>
      </c>
      <c r="G644" t="s">
        <v>313</v>
      </c>
      <c r="H644">
        <v>4</v>
      </c>
      <c r="I644">
        <v>2026</v>
      </c>
      <c r="J644">
        <v>1</v>
      </c>
      <c r="K644" t="s">
        <v>87</v>
      </c>
      <c r="L644" t="s">
        <v>42</v>
      </c>
      <c r="M644" t="s">
        <v>6</v>
      </c>
      <c r="N644" t="b">
        <v>0</v>
      </c>
      <c r="O644">
        <v>1</v>
      </c>
      <c r="P644">
        <v>0</v>
      </c>
      <c r="Q644">
        <v>0</v>
      </c>
      <c r="R644">
        <v>0</v>
      </c>
    </row>
    <row r="645" spans="1:18" x14ac:dyDescent="0.25">
      <c r="A645" t="s">
        <v>321</v>
      </c>
      <c r="B645" t="s">
        <v>6</v>
      </c>
      <c r="C645">
        <v>3</v>
      </c>
      <c r="D645">
        <v>3</v>
      </c>
      <c r="E645">
        <v>1</v>
      </c>
      <c r="F645" s="15">
        <v>46041</v>
      </c>
      <c r="G645" t="s">
        <v>313</v>
      </c>
      <c r="H645">
        <v>4</v>
      </c>
      <c r="I645">
        <v>2026</v>
      </c>
      <c r="J645">
        <v>1</v>
      </c>
      <c r="K645" t="s">
        <v>87</v>
      </c>
      <c r="L645" t="s">
        <v>14</v>
      </c>
      <c r="M645" t="s">
        <v>8</v>
      </c>
      <c r="N645" t="b">
        <v>0</v>
      </c>
      <c r="O645">
        <v>0</v>
      </c>
      <c r="P645">
        <v>1</v>
      </c>
      <c r="Q645">
        <v>0</v>
      </c>
      <c r="R645">
        <v>1</v>
      </c>
    </row>
    <row r="646" spans="1:18" x14ac:dyDescent="0.25">
      <c r="A646" t="s">
        <v>321</v>
      </c>
      <c r="B646" t="s">
        <v>6</v>
      </c>
      <c r="C646">
        <v>3</v>
      </c>
      <c r="D646">
        <v>3</v>
      </c>
      <c r="E646">
        <v>1</v>
      </c>
      <c r="F646" s="15">
        <v>46041</v>
      </c>
      <c r="G646" t="s">
        <v>313</v>
      </c>
      <c r="H646">
        <v>4</v>
      </c>
      <c r="I646">
        <v>2026</v>
      </c>
      <c r="J646">
        <v>1</v>
      </c>
      <c r="K646" t="s">
        <v>87</v>
      </c>
      <c r="L646" t="s">
        <v>43</v>
      </c>
      <c r="M646" t="s">
        <v>6</v>
      </c>
      <c r="N646" t="b">
        <v>0</v>
      </c>
      <c r="O646">
        <v>0</v>
      </c>
      <c r="P646">
        <v>1</v>
      </c>
      <c r="Q646">
        <v>0</v>
      </c>
      <c r="R646">
        <v>0</v>
      </c>
    </row>
    <row r="647" spans="1:18" x14ac:dyDescent="0.25">
      <c r="A647" t="s">
        <v>321</v>
      </c>
      <c r="B647" t="s">
        <v>6</v>
      </c>
      <c r="C647">
        <v>3</v>
      </c>
      <c r="D647">
        <v>3</v>
      </c>
      <c r="E647">
        <v>1</v>
      </c>
      <c r="F647" s="15">
        <v>46041</v>
      </c>
      <c r="G647" t="s">
        <v>313</v>
      </c>
      <c r="H647">
        <v>4</v>
      </c>
      <c r="I647">
        <v>2026</v>
      </c>
      <c r="J647">
        <v>1</v>
      </c>
      <c r="K647" t="s">
        <v>87</v>
      </c>
      <c r="L647" t="s">
        <v>42</v>
      </c>
      <c r="M647" t="s">
        <v>6</v>
      </c>
      <c r="N647" t="b">
        <v>0</v>
      </c>
      <c r="O647">
        <v>0</v>
      </c>
      <c r="P647">
        <v>1</v>
      </c>
      <c r="Q647">
        <v>0</v>
      </c>
      <c r="R647">
        <v>0</v>
      </c>
    </row>
    <row r="648" spans="1:18" x14ac:dyDescent="0.25">
      <c r="A648" t="s">
        <v>43</v>
      </c>
      <c r="B648" t="s">
        <v>6</v>
      </c>
      <c r="C648">
        <v>1</v>
      </c>
      <c r="D648">
        <v>3</v>
      </c>
      <c r="E648">
        <v>1</v>
      </c>
      <c r="F648" s="15">
        <v>46041</v>
      </c>
      <c r="G648" t="s">
        <v>313</v>
      </c>
      <c r="H648">
        <v>4</v>
      </c>
      <c r="I648">
        <v>2026</v>
      </c>
      <c r="J648">
        <v>1</v>
      </c>
      <c r="K648" t="s">
        <v>87</v>
      </c>
      <c r="L648" t="s">
        <v>14</v>
      </c>
      <c r="M648" t="s">
        <v>8</v>
      </c>
      <c r="N648" t="b">
        <v>0</v>
      </c>
      <c r="O648">
        <v>0</v>
      </c>
      <c r="P648">
        <v>1</v>
      </c>
      <c r="Q648">
        <v>0</v>
      </c>
      <c r="R648">
        <v>1</v>
      </c>
    </row>
    <row r="649" spans="1:18" x14ac:dyDescent="0.25">
      <c r="A649" t="s">
        <v>43</v>
      </c>
      <c r="B649" t="s">
        <v>6</v>
      </c>
      <c r="C649">
        <v>1</v>
      </c>
      <c r="D649">
        <v>3</v>
      </c>
      <c r="E649">
        <v>1</v>
      </c>
      <c r="F649" s="15">
        <v>46041</v>
      </c>
      <c r="G649" t="s">
        <v>313</v>
      </c>
      <c r="H649">
        <v>4</v>
      </c>
      <c r="I649">
        <v>2026</v>
      </c>
      <c r="J649">
        <v>1</v>
      </c>
      <c r="K649" t="s">
        <v>87</v>
      </c>
      <c r="L649" t="s">
        <v>321</v>
      </c>
      <c r="M649" t="s">
        <v>6</v>
      </c>
      <c r="N649" t="b">
        <v>0</v>
      </c>
      <c r="O649">
        <v>0</v>
      </c>
      <c r="P649">
        <v>1</v>
      </c>
      <c r="Q649">
        <v>0</v>
      </c>
      <c r="R649">
        <v>0</v>
      </c>
    </row>
    <row r="650" spans="1:18" x14ac:dyDescent="0.25">
      <c r="A650" t="s">
        <v>43</v>
      </c>
      <c r="B650" t="s">
        <v>6</v>
      </c>
      <c r="C650">
        <v>1</v>
      </c>
      <c r="D650">
        <v>3</v>
      </c>
      <c r="E650">
        <v>1</v>
      </c>
      <c r="F650" s="15">
        <v>46041</v>
      </c>
      <c r="G650" t="s">
        <v>313</v>
      </c>
      <c r="H650">
        <v>4</v>
      </c>
      <c r="I650">
        <v>2026</v>
      </c>
      <c r="J650">
        <v>1</v>
      </c>
      <c r="K650" t="s">
        <v>87</v>
      </c>
      <c r="L650" t="s">
        <v>42</v>
      </c>
      <c r="M650" t="s">
        <v>6</v>
      </c>
      <c r="N650" t="b">
        <v>0</v>
      </c>
      <c r="O650">
        <v>0</v>
      </c>
      <c r="P650">
        <v>1</v>
      </c>
      <c r="Q650">
        <v>0</v>
      </c>
      <c r="R650">
        <v>0</v>
      </c>
    </row>
    <row r="651" spans="1:18" x14ac:dyDescent="0.25">
      <c r="A651" t="s">
        <v>42</v>
      </c>
      <c r="B651" t="s">
        <v>6</v>
      </c>
      <c r="C651">
        <v>2</v>
      </c>
      <c r="D651">
        <v>3</v>
      </c>
      <c r="E651">
        <v>1</v>
      </c>
      <c r="F651" s="15">
        <v>46041</v>
      </c>
      <c r="G651" t="s">
        <v>313</v>
      </c>
      <c r="H651">
        <v>4</v>
      </c>
      <c r="I651">
        <v>2026</v>
      </c>
      <c r="J651">
        <v>1</v>
      </c>
      <c r="K651" t="s">
        <v>87</v>
      </c>
      <c r="L651" t="s">
        <v>14</v>
      </c>
      <c r="M651" t="s">
        <v>8</v>
      </c>
      <c r="N651" t="b">
        <v>0</v>
      </c>
      <c r="O651">
        <v>0</v>
      </c>
      <c r="P651">
        <v>1</v>
      </c>
      <c r="Q651">
        <v>0</v>
      </c>
      <c r="R651">
        <v>1</v>
      </c>
    </row>
    <row r="652" spans="1:18" x14ac:dyDescent="0.25">
      <c r="A652" t="s">
        <v>42</v>
      </c>
      <c r="B652" t="s">
        <v>6</v>
      </c>
      <c r="C652">
        <v>2</v>
      </c>
      <c r="D652">
        <v>3</v>
      </c>
      <c r="E652">
        <v>1</v>
      </c>
      <c r="F652" s="15">
        <v>46041</v>
      </c>
      <c r="G652" t="s">
        <v>313</v>
      </c>
      <c r="H652">
        <v>4</v>
      </c>
      <c r="I652">
        <v>2026</v>
      </c>
      <c r="J652">
        <v>1</v>
      </c>
      <c r="K652" t="s">
        <v>87</v>
      </c>
      <c r="L652" t="s">
        <v>321</v>
      </c>
      <c r="M652" t="s">
        <v>6</v>
      </c>
      <c r="N652" t="b">
        <v>0</v>
      </c>
      <c r="O652">
        <v>0</v>
      </c>
      <c r="P652">
        <v>1</v>
      </c>
      <c r="Q652">
        <v>0</v>
      </c>
      <c r="R652">
        <v>0</v>
      </c>
    </row>
    <row r="653" spans="1:18" x14ac:dyDescent="0.25">
      <c r="A653" t="s">
        <v>42</v>
      </c>
      <c r="B653" t="s">
        <v>6</v>
      </c>
      <c r="C653">
        <v>2</v>
      </c>
      <c r="D653">
        <v>3</v>
      </c>
      <c r="E653">
        <v>1</v>
      </c>
      <c r="F653" s="15">
        <v>46041</v>
      </c>
      <c r="G653" t="s">
        <v>313</v>
      </c>
      <c r="H653">
        <v>4</v>
      </c>
      <c r="I653">
        <v>2026</v>
      </c>
      <c r="J653">
        <v>1</v>
      </c>
      <c r="K653" t="s">
        <v>87</v>
      </c>
      <c r="L653" t="s">
        <v>43</v>
      </c>
      <c r="M653" t="s">
        <v>6</v>
      </c>
      <c r="N653" t="b">
        <v>0</v>
      </c>
      <c r="O653">
        <v>0</v>
      </c>
      <c r="P653">
        <v>1</v>
      </c>
      <c r="Q653">
        <v>0</v>
      </c>
      <c r="R653">
        <v>0</v>
      </c>
    </row>
    <row r="654" spans="1:18" x14ac:dyDescent="0.25">
      <c r="A654" t="s">
        <v>14</v>
      </c>
      <c r="B654" t="s">
        <v>8</v>
      </c>
      <c r="C654">
        <v>1</v>
      </c>
      <c r="D654">
        <v>1</v>
      </c>
      <c r="E654">
        <v>2</v>
      </c>
      <c r="F654" s="15">
        <v>46041</v>
      </c>
      <c r="G654" t="s">
        <v>316</v>
      </c>
      <c r="H654">
        <v>4</v>
      </c>
      <c r="I654">
        <v>2026</v>
      </c>
      <c r="J654">
        <v>1</v>
      </c>
      <c r="K654" t="s">
        <v>87</v>
      </c>
      <c r="L654" t="s">
        <v>296</v>
      </c>
      <c r="M654" t="s">
        <v>6</v>
      </c>
      <c r="N654" t="b">
        <v>0</v>
      </c>
      <c r="O654">
        <v>1</v>
      </c>
      <c r="P654">
        <v>0</v>
      </c>
      <c r="Q654">
        <v>0</v>
      </c>
      <c r="R654">
        <v>0</v>
      </c>
    </row>
    <row r="655" spans="1:18" x14ac:dyDescent="0.25">
      <c r="A655" t="s">
        <v>14</v>
      </c>
      <c r="B655" t="s">
        <v>8</v>
      </c>
      <c r="C655">
        <v>1</v>
      </c>
      <c r="D655">
        <v>1</v>
      </c>
      <c r="E655">
        <v>2</v>
      </c>
      <c r="F655" s="15">
        <v>46041</v>
      </c>
      <c r="G655" t="s">
        <v>316</v>
      </c>
      <c r="H655">
        <v>4</v>
      </c>
      <c r="I655">
        <v>2026</v>
      </c>
      <c r="J655">
        <v>1</v>
      </c>
      <c r="K655" t="s">
        <v>87</v>
      </c>
      <c r="L655" t="s">
        <v>17</v>
      </c>
      <c r="M655" t="s">
        <v>6</v>
      </c>
      <c r="N655" t="b">
        <v>0</v>
      </c>
      <c r="O655">
        <v>1</v>
      </c>
      <c r="P655">
        <v>0</v>
      </c>
      <c r="Q655">
        <v>0</v>
      </c>
      <c r="R655">
        <v>0</v>
      </c>
    </row>
    <row r="656" spans="1:18" x14ac:dyDescent="0.25">
      <c r="A656" t="s">
        <v>14</v>
      </c>
      <c r="B656" t="s">
        <v>8</v>
      </c>
      <c r="C656">
        <v>1</v>
      </c>
      <c r="D656">
        <v>1</v>
      </c>
      <c r="E656">
        <v>2</v>
      </c>
      <c r="F656" s="15">
        <v>46041</v>
      </c>
      <c r="G656" t="s">
        <v>316</v>
      </c>
      <c r="H656">
        <v>4</v>
      </c>
      <c r="I656">
        <v>2026</v>
      </c>
      <c r="J656">
        <v>1</v>
      </c>
      <c r="K656" t="s">
        <v>87</v>
      </c>
      <c r="L656" t="s">
        <v>432</v>
      </c>
      <c r="M656" t="s">
        <v>6</v>
      </c>
      <c r="N656" t="b">
        <v>0</v>
      </c>
      <c r="O656">
        <v>1</v>
      </c>
      <c r="P656">
        <v>0</v>
      </c>
      <c r="Q656">
        <v>0</v>
      </c>
      <c r="R656">
        <v>0</v>
      </c>
    </row>
    <row r="657" spans="1:18" x14ac:dyDescent="0.25">
      <c r="A657" t="s">
        <v>296</v>
      </c>
      <c r="B657" t="s">
        <v>6</v>
      </c>
      <c r="C657">
        <v>3</v>
      </c>
      <c r="D657">
        <v>1</v>
      </c>
      <c r="E657">
        <v>2</v>
      </c>
      <c r="F657" s="15">
        <v>46041</v>
      </c>
      <c r="G657" t="s">
        <v>316</v>
      </c>
      <c r="H657">
        <v>4</v>
      </c>
      <c r="I657">
        <v>2026</v>
      </c>
      <c r="J657">
        <v>1</v>
      </c>
      <c r="K657" t="s">
        <v>87</v>
      </c>
      <c r="L657" t="s">
        <v>14</v>
      </c>
      <c r="M657" t="s">
        <v>8</v>
      </c>
      <c r="N657" t="b">
        <v>0</v>
      </c>
      <c r="O657">
        <v>0</v>
      </c>
      <c r="P657">
        <v>1</v>
      </c>
      <c r="Q657">
        <v>0</v>
      </c>
      <c r="R657">
        <v>1</v>
      </c>
    </row>
    <row r="658" spans="1:18" x14ac:dyDescent="0.25">
      <c r="A658" t="s">
        <v>296</v>
      </c>
      <c r="B658" t="s">
        <v>6</v>
      </c>
      <c r="C658">
        <v>3</v>
      </c>
      <c r="D658">
        <v>1</v>
      </c>
      <c r="E658">
        <v>2</v>
      </c>
      <c r="F658" s="15">
        <v>46041</v>
      </c>
      <c r="G658" t="s">
        <v>316</v>
      </c>
      <c r="H658">
        <v>4</v>
      </c>
      <c r="I658">
        <v>2026</v>
      </c>
      <c r="J658">
        <v>1</v>
      </c>
      <c r="K658" t="s">
        <v>87</v>
      </c>
      <c r="L658" t="s">
        <v>17</v>
      </c>
      <c r="M658" t="s">
        <v>6</v>
      </c>
      <c r="N658" t="b">
        <v>0</v>
      </c>
      <c r="O658">
        <v>0</v>
      </c>
      <c r="P658">
        <v>1</v>
      </c>
      <c r="Q658">
        <v>0</v>
      </c>
      <c r="R658">
        <v>0</v>
      </c>
    </row>
    <row r="659" spans="1:18" x14ac:dyDescent="0.25">
      <c r="A659" t="s">
        <v>296</v>
      </c>
      <c r="B659" t="s">
        <v>6</v>
      </c>
      <c r="C659">
        <v>3</v>
      </c>
      <c r="D659">
        <v>1</v>
      </c>
      <c r="E659">
        <v>2</v>
      </c>
      <c r="F659" s="15">
        <v>46041</v>
      </c>
      <c r="G659" t="s">
        <v>316</v>
      </c>
      <c r="H659">
        <v>4</v>
      </c>
      <c r="I659">
        <v>2026</v>
      </c>
      <c r="J659">
        <v>1</v>
      </c>
      <c r="K659" t="s">
        <v>87</v>
      </c>
      <c r="L659" t="s">
        <v>432</v>
      </c>
      <c r="M659" t="s">
        <v>6</v>
      </c>
      <c r="N659" t="b">
        <v>0</v>
      </c>
      <c r="O659">
        <v>0</v>
      </c>
      <c r="P659">
        <v>1</v>
      </c>
      <c r="Q659">
        <v>0</v>
      </c>
      <c r="R659">
        <v>0</v>
      </c>
    </row>
    <row r="660" spans="1:18" x14ac:dyDescent="0.25">
      <c r="A660" t="s">
        <v>17</v>
      </c>
      <c r="B660" t="s">
        <v>6</v>
      </c>
      <c r="C660">
        <v>2</v>
      </c>
      <c r="D660">
        <v>1</v>
      </c>
      <c r="E660">
        <v>2</v>
      </c>
      <c r="F660" s="15">
        <v>46041</v>
      </c>
      <c r="G660" t="s">
        <v>316</v>
      </c>
      <c r="H660">
        <v>4</v>
      </c>
      <c r="I660">
        <v>2026</v>
      </c>
      <c r="J660">
        <v>1</v>
      </c>
      <c r="K660" t="s">
        <v>87</v>
      </c>
      <c r="L660" t="s">
        <v>14</v>
      </c>
      <c r="M660" t="s">
        <v>8</v>
      </c>
      <c r="N660" t="b">
        <v>0</v>
      </c>
      <c r="O660">
        <v>0</v>
      </c>
      <c r="P660">
        <v>1</v>
      </c>
      <c r="Q660">
        <v>0</v>
      </c>
      <c r="R660">
        <v>1</v>
      </c>
    </row>
    <row r="661" spans="1:18" x14ac:dyDescent="0.25">
      <c r="A661" t="s">
        <v>17</v>
      </c>
      <c r="B661" t="s">
        <v>6</v>
      </c>
      <c r="C661">
        <v>2</v>
      </c>
      <c r="D661">
        <v>1</v>
      </c>
      <c r="E661">
        <v>2</v>
      </c>
      <c r="F661" s="15">
        <v>46041</v>
      </c>
      <c r="G661" t="s">
        <v>316</v>
      </c>
      <c r="H661">
        <v>4</v>
      </c>
      <c r="I661">
        <v>2026</v>
      </c>
      <c r="J661">
        <v>1</v>
      </c>
      <c r="K661" t="s">
        <v>87</v>
      </c>
      <c r="L661" t="s">
        <v>296</v>
      </c>
      <c r="M661" t="s">
        <v>6</v>
      </c>
      <c r="N661" t="b">
        <v>0</v>
      </c>
      <c r="O661">
        <v>0</v>
      </c>
      <c r="P661">
        <v>1</v>
      </c>
      <c r="Q661">
        <v>0</v>
      </c>
      <c r="R661">
        <v>0</v>
      </c>
    </row>
    <row r="662" spans="1:18" x14ac:dyDescent="0.25">
      <c r="A662" t="s">
        <v>17</v>
      </c>
      <c r="B662" t="s">
        <v>6</v>
      </c>
      <c r="C662">
        <v>2</v>
      </c>
      <c r="D662">
        <v>1</v>
      </c>
      <c r="E662">
        <v>2</v>
      </c>
      <c r="F662" s="15">
        <v>46041</v>
      </c>
      <c r="G662" t="s">
        <v>316</v>
      </c>
      <c r="H662">
        <v>4</v>
      </c>
      <c r="I662">
        <v>2026</v>
      </c>
      <c r="J662">
        <v>1</v>
      </c>
      <c r="K662" t="s">
        <v>87</v>
      </c>
      <c r="L662" t="s">
        <v>432</v>
      </c>
      <c r="M662" t="s">
        <v>6</v>
      </c>
      <c r="N662" t="b">
        <v>0</v>
      </c>
      <c r="O662">
        <v>0</v>
      </c>
      <c r="P662">
        <v>1</v>
      </c>
      <c r="Q662">
        <v>0</v>
      </c>
      <c r="R662">
        <v>0</v>
      </c>
    </row>
    <row r="663" spans="1:18" x14ac:dyDescent="0.25">
      <c r="A663" t="s">
        <v>432</v>
      </c>
      <c r="B663" t="s">
        <v>6</v>
      </c>
      <c r="C663">
        <v>4</v>
      </c>
      <c r="D663">
        <v>1</v>
      </c>
      <c r="E663">
        <v>2</v>
      </c>
      <c r="F663" s="15">
        <v>46041</v>
      </c>
      <c r="G663" t="s">
        <v>316</v>
      </c>
      <c r="H663">
        <v>4</v>
      </c>
      <c r="I663">
        <v>2026</v>
      </c>
      <c r="J663">
        <v>1</v>
      </c>
      <c r="K663" t="s">
        <v>87</v>
      </c>
      <c r="L663" t="s">
        <v>14</v>
      </c>
      <c r="M663" t="s">
        <v>8</v>
      </c>
      <c r="N663" t="b">
        <v>0</v>
      </c>
      <c r="O663">
        <v>0</v>
      </c>
      <c r="P663">
        <v>1</v>
      </c>
      <c r="Q663">
        <v>0</v>
      </c>
      <c r="R663">
        <v>1</v>
      </c>
    </row>
    <row r="664" spans="1:18" x14ac:dyDescent="0.25">
      <c r="A664" t="s">
        <v>432</v>
      </c>
      <c r="B664" t="s">
        <v>6</v>
      </c>
      <c r="C664">
        <v>4</v>
      </c>
      <c r="D664">
        <v>1</v>
      </c>
      <c r="E664">
        <v>2</v>
      </c>
      <c r="F664" s="15">
        <v>46041</v>
      </c>
      <c r="G664" t="s">
        <v>316</v>
      </c>
      <c r="H664">
        <v>4</v>
      </c>
      <c r="I664">
        <v>2026</v>
      </c>
      <c r="J664">
        <v>1</v>
      </c>
      <c r="K664" t="s">
        <v>87</v>
      </c>
      <c r="L664" t="s">
        <v>296</v>
      </c>
      <c r="M664" t="s">
        <v>6</v>
      </c>
      <c r="N664" t="b">
        <v>0</v>
      </c>
      <c r="O664">
        <v>0</v>
      </c>
      <c r="P664">
        <v>1</v>
      </c>
      <c r="Q664">
        <v>0</v>
      </c>
      <c r="R664">
        <v>0</v>
      </c>
    </row>
    <row r="665" spans="1:18" x14ac:dyDescent="0.25">
      <c r="A665" t="s">
        <v>432</v>
      </c>
      <c r="B665" t="s">
        <v>6</v>
      </c>
      <c r="C665">
        <v>4</v>
      </c>
      <c r="D665">
        <v>1</v>
      </c>
      <c r="E665">
        <v>2</v>
      </c>
      <c r="F665" s="15">
        <v>46041</v>
      </c>
      <c r="G665" t="s">
        <v>316</v>
      </c>
      <c r="H665">
        <v>4</v>
      </c>
      <c r="I665">
        <v>2026</v>
      </c>
      <c r="J665">
        <v>1</v>
      </c>
      <c r="K665" t="s">
        <v>87</v>
      </c>
      <c r="L665" t="s">
        <v>17</v>
      </c>
      <c r="M665" t="s">
        <v>6</v>
      </c>
      <c r="N665" t="b">
        <v>0</v>
      </c>
      <c r="O665">
        <v>0</v>
      </c>
      <c r="P665">
        <v>1</v>
      </c>
      <c r="Q665">
        <v>0</v>
      </c>
      <c r="R665">
        <v>0</v>
      </c>
    </row>
    <row r="666" spans="1:18" x14ac:dyDescent="0.25">
      <c r="A666" t="s">
        <v>14</v>
      </c>
      <c r="B666" t="s">
        <v>8</v>
      </c>
      <c r="C666">
        <v>4</v>
      </c>
      <c r="D666">
        <v>5</v>
      </c>
      <c r="E666">
        <v>1</v>
      </c>
      <c r="F666" s="15">
        <v>46048</v>
      </c>
      <c r="G666" t="s">
        <v>331</v>
      </c>
      <c r="H666">
        <v>4</v>
      </c>
      <c r="I666">
        <v>2026</v>
      </c>
      <c r="J666">
        <v>1</v>
      </c>
      <c r="K666" t="s">
        <v>87</v>
      </c>
      <c r="L666" t="s">
        <v>10</v>
      </c>
      <c r="M666" t="s">
        <v>6</v>
      </c>
      <c r="N666" t="b">
        <v>0</v>
      </c>
      <c r="O666">
        <v>1</v>
      </c>
      <c r="P666">
        <v>0</v>
      </c>
      <c r="Q666">
        <v>0</v>
      </c>
      <c r="R666">
        <v>0</v>
      </c>
    </row>
    <row r="667" spans="1:18" x14ac:dyDescent="0.25">
      <c r="A667" t="s">
        <v>14</v>
      </c>
      <c r="B667" t="s">
        <v>8</v>
      </c>
      <c r="C667">
        <v>4</v>
      </c>
      <c r="D667">
        <v>5</v>
      </c>
      <c r="E667">
        <v>1</v>
      </c>
      <c r="F667" s="15">
        <v>46048</v>
      </c>
      <c r="G667" t="s">
        <v>331</v>
      </c>
      <c r="H667">
        <v>4</v>
      </c>
      <c r="I667">
        <v>2026</v>
      </c>
      <c r="J667">
        <v>1</v>
      </c>
      <c r="K667" t="s">
        <v>87</v>
      </c>
      <c r="L667" t="s">
        <v>326</v>
      </c>
      <c r="M667" t="s">
        <v>6</v>
      </c>
      <c r="N667" t="b">
        <v>0</v>
      </c>
      <c r="O667">
        <v>1</v>
      </c>
      <c r="P667">
        <v>0</v>
      </c>
      <c r="Q667">
        <v>0</v>
      </c>
      <c r="R667">
        <v>0</v>
      </c>
    </row>
    <row r="668" spans="1:18" x14ac:dyDescent="0.25">
      <c r="A668" t="s">
        <v>14</v>
      </c>
      <c r="B668" t="s">
        <v>8</v>
      </c>
      <c r="C668">
        <v>4</v>
      </c>
      <c r="D668">
        <v>5</v>
      </c>
      <c r="E668">
        <v>1</v>
      </c>
      <c r="F668" s="15">
        <v>46048</v>
      </c>
      <c r="G668" t="s">
        <v>331</v>
      </c>
      <c r="H668">
        <v>4</v>
      </c>
      <c r="I668">
        <v>2026</v>
      </c>
      <c r="J668">
        <v>1</v>
      </c>
      <c r="K668" t="s">
        <v>87</v>
      </c>
      <c r="L668" t="s">
        <v>16</v>
      </c>
      <c r="M668" t="s">
        <v>6</v>
      </c>
      <c r="N668" t="b">
        <v>0</v>
      </c>
      <c r="O668">
        <v>1</v>
      </c>
      <c r="P668">
        <v>0</v>
      </c>
      <c r="Q668">
        <v>0</v>
      </c>
      <c r="R668">
        <v>0</v>
      </c>
    </row>
    <row r="669" spans="1:18" x14ac:dyDescent="0.25">
      <c r="A669" t="s">
        <v>10</v>
      </c>
      <c r="B669" t="s">
        <v>6</v>
      </c>
      <c r="C669">
        <v>3</v>
      </c>
      <c r="D669">
        <v>5</v>
      </c>
      <c r="E669">
        <v>1</v>
      </c>
      <c r="F669" s="15">
        <v>46048</v>
      </c>
      <c r="G669" t="s">
        <v>331</v>
      </c>
      <c r="H669">
        <v>4</v>
      </c>
      <c r="I669">
        <v>2026</v>
      </c>
      <c r="J669">
        <v>1</v>
      </c>
      <c r="K669" t="s">
        <v>87</v>
      </c>
      <c r="L669" t="s">
        <v>14</v>
      </c>
      <c r="M669" t="s">
        <v>8</v>
      </c>
      <c r="N669" t="b">
        <v>0</v>
      </c>
      <c r="O669">
        <v>0</v>
      </c>
      <c r="P669">
        <v>1</v>
      </c>
      <c r="Q669">
        <v>0</v>
      </c>
      <c r="R669">
        <v>1</v>
      </c>
    </row>
    <row r="670" spans="1:18" x14ac:dyDescent="0.25">
      <c r="A670" t="s">
        <v>10</v>
      </c>
      <c r="B670" t="s">
        <v>6</v>
      </c>
      <c r="C670">
        <v>3</v>
      </c>
      <c r="D670">
        <v>5</v>
      </c>
      <c r="E670">
        <v>1</v>
      </c>
      <c r="F670" s="15">
        <v>46048</v>
      </c>
      <c r="G670" t="s">
        <v>331</v>
      </c>
      <c r="H670">
        <v>4</v>
      </c>
      <c r="I670">
        <v>2026</v>
      </c>
      <c r="J670">
        <v>1</v>
      </c>
      <c r="K670" t="s">
        <v>87</v>
      </c>
      <c r="L670" t="s">
        <v>326</v>
      </c>
      <c r="M670" t="s">
        <v>6</v>
      </c>
      <c r="N670" t="b">
        <v>0</v>
      </c>
      <c r="O670">
        <v>0</v>
      </c>
      <c r="P670">
        <v>1</v>
      </c>
      <c r="Q670">
        <v>0</v>
      </c>
      <c r="R670">
        <v>0</v>
      </c>
    </row>
    <row r="671" spans="1:18" x14ac:dyDescent="0.25">
      <c r="A671" t="s">
        <v>10</v>
      </c>
      <c r="B671" t="s">
        <v>6</v>
      </c>
      <c r="C671">
        <v>3</v>
      </c>
      <c r="D671">
        <v>5</v>
      </c>
      <c r="E671">
        <v>1</v>
      </c>
      <c r="F671" s="15">
        <v>46048</v>
      </c>
      <c r="G671" t="s">
        <v>331</v>
      </c>
      <c r="H671">
        <v>4</v>
      </c>
      <c r="I671">
        <v>2026</v>
      </c>
      <c r="J671">
        <v>1</v>
      </c>
      <c r="K671" t="s">
        <v>87</v>
      </c>
      <c r="L671" t="s">
        <v>16</v>
      </c>
      <c r="M671" t="s">
        <v>6</v>
      </c>
      <c r="N671" t="b">
        <v>0</v>
      </c>
      <c r="O671">
        <v>0</v>
      </c>
      <c r="P671">
        <v>1</v>
      </c>
      <c r="Q671">
        <v>0</v>
      </c>
      <c r="R671">
        <v>0</v>
      </c>
    </row>
    <row r="672" spans="1:18" x14ac:dyDescent="0.25">
      <c r="A672" t="s">
        <v>326</v>
      </c>
      <c r="B672" t="s">
        <v>6</v>
      </c>
      <c r="C672">
        <v>2</v>
      </c>
      <c r="D672">
        <v>5</v>
      </c>
      <c r="E672">
        <v>1</v>
      </c>
      <c r="F672" s="15">
        <v>46048</v>
      </c>
      <c r="G672" t="s">
        <v>331</v>
      </c>
      <c r="H672">
        <v>4</v>
      </c>
      <c r="I672">
        <v>2026</v>
      </c>
      <c r="J672">
        <v>1</v>
      </c>
      <c r="K672" t="s">
        <v>87</v>
      </c>
      <c r="L672" t="s">
        <v>14</v>
      </c>
      <c r="M672" t="s">
        <v>8</v>
      </c>
      <c r="N672" t="b">
        <v>0</v>
      </c>
      <c r="O672">
        <v>0</v>
      </c>
      <c r="P672">
        <v>1</v>
      </c>
      <c r="Q672">
        <v>0</v>
      </c>
      <c r="R672">
        <v>1</v>
      </c>
    </row>
    <row r="673" spans="1:18" x14ac:dyDescent="0.25">
      <c r="A673" t="s">
        <v>326</v>
      </c>
      <c r="B673" t="s">
        <v>6</v>
      </c>
      <c r="C673">
        <v>2</v>
      </c>
      <c r="D673">
        <v>5</v>
      </c>
      <c r="E673">
        <v>1</v>
      </c>
      <c r="F673" s="15">
        <v>46048</v>
      </c>
      <c r="G673" t="s">
        <v>331</v>
      </c>
      <c r="H673">
        <v>4</v>
      </c>
      <c r="I673">
        <v>2026</v>
      </c>
      <c r="J673">
        <v>1</v>
      </c>
      <c r="K673" t="s">
        <v>87</v>
      </c>
      <c r="L673" t="s">
        <v>10</v>
      </c>
      <c r="M673" t="s">
        <v>6</v>
      </c>
      <c r="N673" t="b">
        <v>0</v>
      </c>
      <c r="O673">
        <v>0</v>
      </c>
      <c r="P673">
        <v>1</v>
      </c>
      <c r="Q673">
        <v>0</v>
      </c>
      <c r="R673">
        <v>0</v>
      </c>
    </row>
    <row r="674" spans="1:18" x14ac:dyDescent="0.25">
      <c r="A674" t="s">
        <v>326</v>
      </c>
      <c r="B674" t="s">
        <v>6</v>
      </c>
      <c r="C674">
        <v>2</v>
      </c>
      <c r="D674">
        <v>5</v>
      </c>
      <c r="E674">
        <v>1</v>
      </c>
      <c r="F674" s="15">
        <v>46048</v>
      </c>
      <c r="G674" t="s">
        <v>331</v>
      </c>
      <c r="H674">
        <v>4</v>
      </c>
      <c r="I674">
        <v>2026</v>
      </c>
      <c r="J674">
        <v>1</v>
      </c>
      <c r="K674" t="s">
        <v>87</v>
      </c>
      <c r="L674" t="s">
        <v>16</v>
      </c>
      <c r="M674" t="s">
        <v>6</v>
      </c>
      <c r="N674" t="b">
        <v>0</v>
      </c>
      <c r="O674">
        <v>0</v>
      </c>
      <c r="P674">
        <v>1</v>
      </c>
      <c r="Q674">
        <v>0</v>
      </c>
      <c r="R674">
        <v>0</v>
      </c>
    </row>
    <row r="675" spans="1:18" x14ac:dyDescent="0.25">
      <c r="A675" t="s">
        <v>16</v>
      </c>
      <c r="B675" t="s">
        <v>6</v>
      </c>
      <c r="C675">
        <v>1</v>
      </c>
      <c r="D675">
        <v>5</v>
      </c>
      <c r="E675">
        <v>1</v>
      </c>
      <c r="F675" s="15">
        <v>46048</v>
      </c>
      <c r="G675" t="s">
        <v>331</v>
      </c>
      <c r="H675">
        <v>4</v>
      </c>
      <c r="I675">
        <v>2026</v>
      </c>
      <c r="J675">
        <v>1</v>
      </c>
      <c r="K675" t="s">
        <v>87</v>
      </c>
      <c r="L675" t="s">
        <v>14</v>
      </c>
      <c r="M675" t="s">
        <v>8</v>
      </c>
      <c r="N675" t="b">
        <v>0</v>
      </c>
      <c r="O675">
        <v>0</v>
      </c>
      <c r="P675">
        <v>1</v>
      </c>
      <c r="Q675">
        <v>0</v>
      </c>
      <c r="R675">
        <v>1</v>
      </c>
    </row>
    <row r="676" spans="1:18" x14ac:dyDescent="0.25">
      <c r="A676" t="s">
        <v>16</v>
      </c>
      <c r="B676" t="s">
        <v>6</v>
      </c>
      <c r="C676">
        <v>1</v>
      </c>
      <c r="D676">
        <v>5</v>
      </c>
      <c r="E676">
        <v>1</v>
      </c>
      <c r="F676" s="15">
        <v>46048</v>
      </c>
      <c r="G676" t="s">
        <v>331</v>
      </c>
      <c r="H676">
        <v>4</v>
      </c>
      <c r="I676">
        <v>2026</v>
      </c>
      <c r="J676">
        <v>1</v>
      </c>
      <c r="K676" t="s">
        <v>87</v>
      </c>
      <c r="L676" t="s">
        <v>10</v>
      </c>
      <c r="M676" t="s">
        <v>6</v>
      </c>
      <c r="N676" t="b">
        <v>0</v>
      </c>
      <c r="O676">
        <v>0</v>
      </c>
      <c r="P676">
        <v>1</v>
      </c>
      <c r="Q676">
        <v>0</v>
      </c>
      <c r="R676">
        <v>0</v>
      </c>
    </row>
    <row r="677" spans="1:18" x14ac:dyDescent="0.25">
      <c r="A677" t="s">
        <v>16</v>
      </c>
      <c r="B677" t="s">
        <v>6</v>
      </c>
      <c r="C677">
        <v>1</v>
      </c>
      <c r="D677">
        <v>5</v>
      </c>
      <c r="E677">
        <v>1</v>
      </c>
      <c r="F677" s="15">
        <v>46048</v>
      </c>
      <c r="G677" t="s">
        <v>331</v>
      </c>
      <c r="H677">
        <v>4</v>
      </c>
      <c r="I677">
        <v>2026</v>
      </c>
      <c r="J677">
        <v>1</v>
      </c>
      <c r="K677" t="s">
        <v>87</v>
      </c>
      <c r="L677" t="s">
        <v>326</v>
      </c>
      <c r="M677" t="s">
        <v>6</v>
      </c>
      <c r="N677" t="b">
        <v>0</v>
      </c>
      <c r="O677">
        <v>0</v>
      </c>
      <c r="P677">
        <v>1</v>
      </c>
      <c r="Q677">
        <v>0</v>
      </c>
      <c r="R677">
        <v>0</v>
      </c>
    </row>
    <row r="678" spans="1:18" x14ac:dyDescent="0.25">
      <c r="A678" t="s">
        <v>14</v>
      </c>
      <c r="B678" t="s">
        <v>6</v>
      </c>
      <c r="C678">
        <v>1</v>
      </c>
      <c r="D678">
        <v>6</v>
      </c>
      <c r="E678">
        <v>2</v>
      </c>
      <c r="F678" s="15">
        <v>46048</v>
      </c>
      <c r="G678" t="s">
        <v>339</v>
      </c>
      <c r="H678">
        <v>4</v>
      </c>
      <c r="I678">
        <v>2026</v>
      </c>
      <c r="J678">
        <v>1</v>
      </c>
      <c r="K678" t="s">
        <v>87</v>
      </c>
      <c r="L678" t="s">
        <v>28</v>
      </c>
      <c r="M678" t="s">
        <v>6</v>
      </c>
      <c r="N678" t="b">
        <v>0</v>
      </c>
      <c r="O678">
        <v>0</v>
      </c>
      <c r="P678">
        <v>1</v>
      </c>
      <c r="Q678">
        <v>0</v>
      </c>
      <c r="R678">
        <v>0</v>
      </c>
    </row>
    <row r="679" spans="1:18" x14ac:dyDescent="0.25">
      <c r="A679" t="s">
        <v>14</v>
      </c>
      <c r="B679" t="s">
        <v>6</v>
      </c>
      <c r="C679">
        <v>1</v>
      </c>
      <c r="D679">
        <v>6</v>
      </c>
      <c r="E679">
        <v>2</v>
      </c>
      <c r="F679" s="15">
        <v>46048</v>
      </c>
      <c r="G679" t="s">
        <v>339</v>
      </c>
      <c r="H679">
        <v>4</v>
      </c>
      <c r="I679">
        <v>2026</v>
      </c>
      <c r="J679">
        <v>1</v>
      </c>
      <c r="K679" t="s">
        <v>87</v>
      </c>
      <c r="L679" t="s">
        <v>433</v>
      </c>
      <c r="M679" t="s">
        <v>6</v>
      </c>
      <c r="N679" t="b">
        <v>0</v>
      </c>
      <c r="O679">
        <v>0</v>
      </c>
      <c r="P679">
        <v>1</v>
      </c>
      <c r="Q679">
        <v>0</v>
      </c>
      <c r="R679">
        <v>0</v>
      </c>
    </row>
    <row r="680" spans="1:18" x14ac:dyDescent="0.25">
      <c r="A680" t="s">
        <v>14</v>
      </c>
      <c r="B680" t="s">
        <v>6</v>
      </c>
      <c r="C680">
        <v>1</v>
      </c>
      <c r="D680">
        <v>6</v>
      </c>
      <c r="E680">
        <v>2</v>
      </c>
      <c r="F680" s="15">
        <v>46048</v>
      </c>
      <c r="G680" t="s">
        <v>339</v>
      </c>
      <c r="H680">
        <v>4</v>
      </c>
      <c r="I680">
        <v>2026</v>
      </c>
      <c r="J680">
        <v>1</v>
      </c>
      <c r="K680" t="s">
        <v>87</v>
      </c>
      <c r="L680" t="s">
        <v>27</v>
      </c>
      <c r="M680" t="s">
        <v>8</v>
      </c>
      <c r="N680" t="b">
        <v>0</v>
      </c>
      <c r="O680">
        <v>0</v>
      </c>
      <c r="P680">
        <v>1</v>
      </c>
      <c r="Q680">
        <v>0</v>
      </c>
      <c r="R680">
        <v>1</v>
      </c>
    </row>
    <row r="681" spans="1:18" x14ac:dyDescent="0.25">
      <c r="A681" t="s">
        <v>28</v>
      </c>
      <c r="B681" t="s">
        <v>6</v>
      </c>
      <c r="C681">
        <v>2</v>
      </c>
      <c r="D681">
        <v>6</v>
      </c>
      <c r="E681">
        <v>2</v>
      </c>
      <c r="F681" s="15">
        <v>46048</v>
      </c>
      <c r="G681" t="s">
        <v>339</v>
      </c>
      <c r="H681">
        <v>4</v>
      </c>
      <c r="I681">
        <v>2026</v>
      </c>
      <c r="J681">
        <v>1</v>
      </c>
      <c r="K681" t="s">
        <v>87</v>
      </c>
      <c r="L681" t="s">
        <v>14</v>
      </c>
      <c r="M681" t="s">
        <v>6</v>
      </c>
      <c r="N681" t="b">
        <v>0</v>
      </c>
      <c r="O681">
        <v>0</v>
      </c>
      <c r="P681">
        <v>1</v>
      </c>
      <c r="Q681">
        <v>0</v>
      </c>
      <c r="R681">
        <v>0</v>
      </c>
    </row>
    <row r="682" spans="1:18" x14ac:dyDescent="0.25">
      <c r="A682" t="s">
        <v>28</v>
      </c>
      <c r="B682" t="s">
        <v>6</v>
      </c>
      <c r="C682">
        <v>2</v>
      </c>
      <c r="D682">
        <v>6</v>
      </c>
      <c r="E682">
        <v>2</v>
      </c>
      <c r="F682" s="15">
        <v>46048</v>
      </c>
      <c r="G682" t="s">
        <v>339</v>
      </c>
      <c r="H682">
        <v>4</v>
      </c>
      <c r="I682">
        <v>2026</v>
      </c>
      <c r="J682">
        <v>1</v>
      </c>
      <c r="K682" t="s">
        <v>87</v>
      </c>
      <c r="L682" t="s">
        <v>433</v>
      </c>
      <c r="M682" t="s">
        <v>6</v>
      </c>
      <c r="N682" t="b">
        <v>0</v>
      </c>
      <c r="O682">
        <v>0</v>
      </c>
      <c r="P682">
        <v>1</v>
      </c>
      <c r="Q682">
        <v>0</v>
      </c>
      <c r="R682">
        <v>0</v>
      </c>
    </row>
    <row r="683" spans="1:18" x14ac:dyDescent="0.25">
      <c r="A683" t="s">
        <v>28</v>
      </c>
      <c r="B683" t="s">
        <v>6</v>
      </c>
      <c r="C683">
        <v>2</v>
      </c>
      <c r="D683">
        <v>6</v>
      </c>
      <c r="E683">
        <v>2</v>
      </c>
      <c r="F683" s="15">
        <v>46048</v>
      </c>
      <c r="G683" t="s">
        <v>339</v>
      </c>
      <c r="H683">
        <v>4</v>
      </c>
      <c r="I683">
        <v>2026</v>
      </c>
      <c r="J683">
        <v>1</v>
      </c>
      <c r="K683" t="s">
        <v>87</v>
      </c>
      <c r="L683" t="s">
        <v>27</v>
      </c>
      <c r="M683" t="s">
        <v>8</v>
      </c>
      <c r="N683" t="b">
        <v>0</v>
      </c>
      <c r="O683">
        <v>0</v>
      </c>
      <c r="P683">
        <v>1</v>
      </c>
      <c r="Q683">
        <v>0</v>
      </c>
      <c r="R683">
        <v>1</v>
      </c>
    </row>
    <row r="684" spans="1:18" x14ac:dyDescent="0.25">
      <c r="A684" t="s">
        <v>433</v>
      </c>
      <c r="B684" t="s">
        <v>6</v>
      </c>
      <c r="C684">
        <v>4</v>
      </c>
      <c r="D684">
        <v>6</v>
      </c>
      <c r="E684">
        <v>2</v>
      </c>
      <c r="F684" s="15">
        <v>46048</v>
      </c>
      <c r="G684" t="s">
        <v>339</v>
      </c>
      <c r="H684">
        <v>4</v>
      </c>
      <c r="I684">
        <v>2026</v>
      </c>
      <c r="J684">
        <v>1</v>
      </c>
      <c r="K684" t="s">
        <v>87</v>
      </c>
      <c r="L684" t="s">
        <v>14</v>
      </c>
      <c r="M684" t="s">
        <v>6</v>
      </c>
      <c r="N684" t="b">
        <v>0</v>
      </c>
      <c r="O684">
        <v>0</v>
      </c>
      <c r="P684">
        <v>1</v>
      </c>
      <c r="Q684">
        <v>0</v>
      </c>
      <c r="R684">
        <v>0</v>
      </c>
    </row>
    <row r="685" spans="1:18" x14ac:dyDescent="0.25">
      <c r="A685" t="s">
        <v>433</v>
      </c>
      <c r="B685" t="s">
        <v>6</v>
      </c>
      <c r="C685">
        <v>4</v>
      </c>
      <c r="D685">
        <v>6</v>
      </c>
      <c r="E685">
        <v>2</v>
      </c>
      <c r="F685" s="15">
        <v>46048</v>
      </c>
      <c r="G685" t="s">
        <v>339</v>
      </c>
      <c r="H685">
        <v>4</v>
      </c>
      <c r="I685">
        <v>2026</v>
      </c>
      <c r="J685">
        <v>1</v>
      </c>
      <c r="K685" t="s">
        <v>87</v>
      </c>
      <c r="L685" t="s">
        <v>28</v>
      </c>
      <c r="M685" t="s">
        <v>6</v>
      </c>
      <c r="N685" t="b">
        <v>0</v>
      </c>
      <c r="O685">
        <v>0</v>
      </c>
      <c r="P685">
        <v>1</v>
      </c>
      <c r="Q685">
        <v>0</v>
      </c>
      <c r="R685">
        <v>0</v>
      </c>
    </row>
    <row r="686" spans="1:18" x14ac:dyDescent="0.25">
      <c r="A686" t="s">
        <v>433</v>
      </c>
      <c r="B686" t="s">
        <v>6</v>
      </c>
      <c r="C686">
        <v>4</v>
      </c>
      <c r="D686">
        <v>6</v>
      </c>
      <c r="E686">
        <v>2</v>
      </c>
      <c r="F686" s="15">
        <v>46048</v>
      </c>
      <c r="G686" t="s">
        <v>339</v>
      </c>
      <c r="H686">
        <v>4</v>
      </c>
      <c r="I686">
        <v>2026</v>
      </c>
      <c r="J686">
        <v>1</v>
      </c>
      <c r="K686" t="s">
        <v>87</v>
      </c>
      <c r="L686" t="s">
        <v>27</v>
      </c>
      <c r="M686" t="s">
        <v>8</v>
      </c>
      <c r="N686" t="b">
        <v>0</v>
      </c>
      <c r="O686">
        <v>0</v>
      </c>
      <c r="P686">
        <v>1</v>
      </c>
      <c r="Q686">
        <v>0</v>
      </c>
      <c r="R686">
        <v>1</v>
      </c>
    </row>
    <row r="687" spans="1:18" x14ac:dyDescent="0.25">
      <c r="A687" t="s">
        <v>27</v>
      </c>
      <c r="B687" t="s">
        <v>8</v>
      </c>
      <c r="C687">
        <v>3</v>
      </c>
      <c r="D687">
        <v>6</v>
      </c>
      <c r="E687">
        <v>2</v>
      </c>
      <c r="F687" s="15">
        <v>46048</v>
      </c>
      <c r="G687" t="s">
        <v>339</v>
      </c>
      <c r="H687">
        <v>4</v>
      </c>
      <c r="I687">
        <v>2026</v>
      </c>
      <c r="J687">
        <v>1</v>
      </c>
      <c r="K687" t="s">
        <v>87</v>
      </c>
      <c r="L687" t="s">
        <v>14</v>
      </c>
      <c r="M687" t="s">
        <v>6</v>
      </c>
      <c r="N687" t="b">
        <v>0</v>
      </c>
      <c r="O687">
        <v>1</v>
      </c>
      <c r="P687">
        <v>0</v>
      </c>
      <c r="Q687">
        <v>0</v>
      </c>
      <c r="R687">
        <v>0</v>
      </c>
    </row>
    <row r="688" spans="1:18" x14ac:dyDescent="0.25">
      <c r="A688" t="s">
        <v>27</v>
      </c>
      <c r="B688" t="s">
        <v>8</v>
      </c>
      <c r="C688">
        <v>3</v>
      </c>
      <c r="D688">
        <v>6</v>
      </c>
      <c r="E688">
        <v>2</v>
      </c>
      <c r="F688" s="15">
        <v>46048</v>
      </c>
      <c r="G688" t="s">
        <v>339</v>
      </c>
      <c r="H688">
        <v>4</v>
      </c>
      <c r="I688">
        <v>2026</v>
      </c>
      <c r="J688">
        <v>1</v>
      </c>
      <c r="K688" t="s">
        <v>87</v>
      </c>
      <c r="L688" t="s">
        <v>28</v>
      </c>
      <c r="M688" t="s">
        <v>6</v>
      </c>
      <c r="N688" t="b">
        <v>0</v>
      </c>
      <c r="O688">
        <v>1</v>
      </c>
      <c r="P688">
        <v>0</v>
      </c>
      <c r="Q688">
        <v>0</v>
      </c>
      <c r="R688">
        <v>0</v>
      </c>
    </row>
    <row r="689" spans="1:18" x14ac:dyDescent="0.25">
      <c r="A689" t="s">
        <v>27</v>
      </c>
      <c r="B689" t="s">
        <v>8</v>
      </c>
      <c r="C689">
        <v>3</v>
      </c>
      <c r="D689">
        <v>6</v>
      </c>
      <c r="E689">
        <v>2</v>
      </c>
      <c r="F689" s="15">
        <v>46048</v>
      </c>
      <c r="G689" t="s">
        <v>339</v>
      </c>
      <c r="H689">
        <v>4</v>
      </c>
      <c r="I689">
        <v>2026</v>
      </c>
      <c r="J689">
        <v>1</v>
      </c>
      <c r="K689" t="s">
        <v>87</v>
      </c>
      <c r="L689" t="s">
        <v>433</v>
      </c>
      <c r="M689" t="s">
        <v>6</v>
      </c>
      <c r="N689" t="b">
        <v>0</v>
      </c>
      <c r="O689">
        <v>1</v>
      </c>
      <c r="P689">
        <v>0</v>
      </c>
      <c r="Q689">
        <v>0</v>
      </c>
      <c r="R689">
        <v>0</v>
      </c>
    </row>
    <row r="690" spans="1:18" x14ac:dyDescent="0.25">
      <c r="A690" t="s">
        <v>14</v>
      </c>
      <c r="B690" t="s">
        <v>6</v>
      </c>
      <c r="C690">
        <v>2</v>
      </c>
      <c r="D690">
        <v>3</v>
      </c>
      <c r="E690">
        <v>1</v>
      </c>
      <c r="F690" s="15">
        <v>46055</v>
      </c>
      <c r="G690" t="s">
        <v>343</v>
      </c>
      <c r="H690">
        <v>4</v>
      </c>
      <c r="I690">
        <v>2026</v>
      </c>
      <c r="J690">
        <v>2</v>
      </c>
      <c r="K690" t="s">
        <v>87</v>
      </c>
      <c r="L690" t="s">
        <v>19</v>
      </c>
      <c r="M690" t="s">
        <v>6</v>
      </c>
      <c r="N690" t="b">
        <v>0</v>
      </c>
      <c r="O690">
        <v>0</v>
      </c>
      <c r="P690">
        <v>1</v>
      </c>
      <c r="Q690">
        <v>0</v>
      </c>
      <c r="R690">
        <v>0</v>
      </c>
    </row>
    <row r="691" spans="1:18" x14ac:dyDescent="0.25">
      <c r="A691" t="s">
        <v>14</v>
      </c>
      <c r="B691" t="s">
        <v>6</v>
      </c>
      <c r="C691">
        <v>2</v>
      </c>
      <c r="D691">
        <v>3</v>
      </c>
      <c r="E691">
        <v>1</v>
      </c>
      <c r="F691" s="15">
        <v>46055</v>
      </c>
      <c r="G691" t="s">
        <v>343</v>
      </c>
      <c r="H691">
        <v>4</v>
      </c>
      <c r="I691">
        <v>2026</v>
      </c>
      <c r="J691">
        <v>2</v>
      </c>
      <c r="K691" t="s">
        <v>87</v>
      </c>
      <c r="L691" t="s">
        <v>20</v>
      </c>
      <c r="M691" t="s">
        <v>8</v>
      </c>
      <c r="N691" t="b">
        <v>0</v>
      </c>
      <c r="O691">
        <v>0</v>
      </c>
      <c r="P691">
        <v>1</v>
      </c>
      <c r="Q691">
        <v>0</v>
      </c>
      <c r="R691">
        <v>1</v>
      </c>
    </row>
    <row r="692" spans="1:18" x14ac:dyDescent="0.25">
      <c r="A692" t="s">
        <v>14</v>
      </c>
      <c r="B692" t="s">
        <v>6</v>
      </c>
      <c r="C692">
        <v>2</v>
      </c>
      <c r="D692">
        <v>3</v>
      </c>
      <c r="E692">
        <v>1</v>
      </c>
      <c r="F692" s="15">
        <v>46055</v>
      </c>
      <c r="G692" t="s">
        <v>343</v>
      </c>
      <c r="H692">
        <v>4</v>
      </c>
      <c r="I692">
        <v>2026</v>
      </c>
      <c r="J692">
        <v>2</v>
      </c>
      <c r="K692" t="s">
        <v>87</v>
      </c>
      <c r="L692" t="s">
        <v>364</v>
      </c>
      <c r="M692" t="s">
        <v>6</v>
      </c>
      <c r="N692" t="b">
        <v>0</v>
      </c>
      <c r="O692">
        <v>0</v>
      </c>
      <c r="P692">
        <v>1</v>
      </c>
      <c r="Q692">
        <v>0</v>
      </c>
      <c r="R692">
        <v>0</v>
      </c>
    </row>
    <row r="693" spans="1:18" x14ac:dyDescent="0.25">
      <c r="A693" t="s">
        <v>19</v>
      </c>
      <c r="B693" t="s">
        <v>6</v>
      </c>
      <c r="C693">
        <v>3</v>
      </c>
      <c r="D693">
        <v>3</v>
      </c>
      <c r="E693">
        <v>1</v>
      </c>
      <c r="F693" s="15">
        <v>46055</v>
      </c>
      <c r="G693" t="s">
        <v>343</v>
      </c>
      <c r="H693">
        <v>4</v>
      </c>
      <c r="I693">
        <v>2026</v>
      </c>
      <c r="J693">
        <v>2</v>
      </c>
      <c r="K693" t="s">
        <v>87</v>
      </c>
      <c r="L693" t="s">
        <v>14</v>
      </c>
      <c r="M693" t="s">
        <v>6</v>
      </c>
      <c r="N693" t="b">
        <v>0</v>
      </c>
      <c r="O693">
        <v>0</v>
      </c>
      <c r="P693">
        <v>1</v>
      </c>
      <c r="Q693">
        <v>0</v>
      </c>
      <c r="R693">
        <v>0</v>
      </c>
    </row>
    <row r="694" spans="1:18" x14ac:dyDescent="0.25">
      <c r="A694" t="s">
        <v>19</v>
      </c>
      <c r="B694" t="s">
        <v>6</v>
      </c>
      <c r="C694">
        <v>3</v>
      </c>
      <c r="D694">
        <v>3</v>
      </c>
      <c r="E694">
        <v>1</v>
      </c>
      <c r="F694" s="15">
        <v>46055</v>
      </c>
      <c r="G694" t="s">
        <v>343</v>
      </c>
      <c r="H694">
        <v>4</v>
      </c>
      <c r="I694">
        <v>2026</v>
      </c>
      <c r="J694">
        <v>2</v>
      </c>
      <c r="K694" t="s">
        <v>87</v>
      </c>
      <c r="L694" t="s">
        <v>20</v>
      </c>
      <c r="M694" t="s">
        <v>8</v>
      </c>
      <c r="N694" t="b">
        <v>0</v>
      </c>
      <c r="O694">
        <v>0</v>
      </c>
      <c r="P694">
        <v>1</v>
      </c>
      <c r="Q694">
        <v>0</v>
      </c>
      <c r="R694">
        <v>1</v>
      </c>
    </row>
    <row r="695" spans="1:18" x14ac:dyDescent="0.25">
      <c r="A695" t="s">
        <v>19</v>
      </c>
      <c r="B695" t="s">
        <v>6</v>
      </c>
      <c r="C695">
        <v>3</v>
      </c>
      <c r="D695">
        <v>3</v>
      </c>
      <c r="E695">
        <v>1</v>
      </c>
      <c r="F695" s="15">
        <v>46055</v>
      </c>
      <c r="G695" t="s">
        <v>343</v>
      </c>
      <c r="H695">
        <v>4</v>
      </c>
      <c r="I695">
        <v>2026</v>
      </c>
      <c r="J695">
        <v>2</v>
      </c>
      <c r="K695" t="s">
        <v>87</v>
      </c>
      <c r="L695" t="s">
        <v>364</v>
      </c>
      <c r="M695" t="s">
        <v>6</v>
      </c>
      <c r="N695" t="b">
        <v>0</v>
      </c>
      <c r="O695">
        <v>0</v>
      </c>
      <c r="P695">
        <v>1</v>
      </c>
      <c r="Q695">
        <v>0</v>
      </c>
      <c r="R695">
        <v>0</v>
      </c>
    </row>
    <row r="696" spans="1:18" x14ac:dyDescent="0.25">
      <c r="A696" t="s">
        <v>20</v>
      </c>
      <c r="B696" t="s">
        <v>8</v>
      </c>
      <c r="C696">
        <v>1</v>
      </c>
      <c r="D696">
        <v>3</v>
      </c>
      <c r="E696">
        <v>1</v>
      </c>
      <c r="F696" s="15">
        <v>46055</v>
      </c>
      <c r="G696" t="s">
        <v>343</v>
      </c>
      <c r="H696">
        <v>4</v>
      </c>
      <c r="I696">
        <v>2026</v>
      </c>
      <c r="J696">
        <v>2</v>
      </c>
      <c r="K696" t="s">
        <v>87</v>
      </c>
      <c r="L696" t="s">
        <v>14</v>
      </c>
      <c r="M696" t="s">
        <v>6</v>
      </c>
      <c r="N696" t="b">
        <v>0</v>
      </c>
      <c r="O696">
        <v>1</v>
      </c>
      <c r="P696">
        <v>0</v>
      </c>
      <c r="Q696">
        <v>0</v>
      </c>
      <c r="R696">
        <v>0</v>
      </c>
    </row>
    <row r="697" spans="1:18" x14ac:dyDescent="0.25">
      <c r="A697" t="s">
        <v>20</v>
      </c>
      <c r="B697" t="s">
        <v>8</v>
      </c>
      <c r="C697">
        <v>1</v>
      </c>
      <c r="D697">
        <v>3</v>
      </c>
      <c r="E697">
        <v>1</v>
      </c>
      <c r="F697" s="15">
        <v>46055</v>
      </c>
      <c r="G697" t="s">
        <v>343</v>
      </c>
      <c r="H697">
        <v>4</v>
      </c>
      <c r="I697">
        <v>2026</v>
      </c>
      <c r="J697">
        <v>2</v>
      </c>
      <c r="K697" t="s">
        <v>87</v>
      </c>
      <c r="L697" t="s">
        <v>19</v>
      </c>
      <c r="M697" t="s">
        <v>6</v>
      </c>
      <c r="N697" t="b">
        <v>0</v>
      </c>
      <c r="O697">
        <v>1</v>
      </c>
      <c r="P697">
        <v>0</v>
      </c>
      <c r="Q697">
        <v>0</v>
      </c>
      <c r="R697">
        <v>0</v>
      </c>
    </row>
    <row r="698" spans="1:18" x14ac:dyDescent="0.25">
      <c r="A698" t="s">
        <v>20</v>
      </c>
      <c r="B698" t="s">
        <v>8</v>
      </c>
      <c r="C698">
        <v>1</v>
      </c>
      <c r="D698">
        <v>3</v>
      </c>
      <c r="E698">
        <v>1</v>
      </c>
      <c r="F698" s="15">
        <v>46055</v>
      </c>
      <c r="G698" t="s">
        <v>343</v>
      </c>
      <c r="H698">
        <v>4</v>
      </c>
      <c r="I698">
        <v>2026</v>
      </c>
      <c r="J698">
        <v>2</v>
      </c>
      <c r="K698" t="s">
        <v>87</v>
      </c>
      <c r="L698" t="s">
        <v>364</v>
      </c>
      <c r="M698" t="s">
        <v>6</v>
      </c>
      <c r="N698" t="b">
        <v>0</v>
      </c>
      <c r="O698">
        <v>1</v>
      </c>
      <c r="P698">
        <v>0</v>
      </c>
      <c r="Q698">
        <v>0</v>
      </c>
      <c r="R698">
        <v>0</v>
      </c>
    </row>
    <row r="699" spans="1:18" x14ac:dyDescent="0.25">
      <c r="A699" t="s">
        <v>364</v>
      </c>
      <c r="B699" t="s">
        <v>6</v>
      </c>
      <c r="C699">
        <v>4</v>
      </c>
      <c r="D699">
        <v>3</v>
      </c>
      <c r="E699">
        <v>1</v>
      </c>
      <c r="F699" s="15">
        <v>46055</v>
      </c>
      <c r="G699" t="s">
        <v>343</v>
      </c>
      <c r="H699">
        <v>4</v>
      </c>
      <c r="I699">
        <v>2026</v>
      </c>
      <c r="J699">
        <v>2</v>
      </c>
      <c r="K699" t="s">
        <v>87</v>
      </c>
      <c r="L699" t="s">
        <v>14</v>
      </c>
      <c r="M699" t="s">
        <v>6</v>
      </c>
      <c r="N699" t="b">
        <v>0</v>
      </c>
      <c r="O699">
        <v>0</v>
      </c>
      <c r="P699">
        <v>1</v>
      </c>
      <c r="Q699">
        <v>0</v>
      </c>
      <c r="R699">
        <v>0</v>
      </c>
    </row>
    <row r="700" spans="1:18" x14ac:dyDescent="0.25">
      <c r="A700" t="s">
        <v>364</v>
      </c>
      <c r="B700" t="s">
        <v>6</v>
      </c>
      <c r="C700">
        <v>4</v>
      </c>
      <c r="D700">
        <v>3</v>
      </c>
      <c r="E700">
        <v>1</v>
      </c>
      <c r="F700" s="15">
        <v>46055</v>
      </c>
      <c r="G700" t="s">
        <v>343</v>
      </c>
      <c r="H700">
        <v>4</v>
      </c>
      <c r="I700">
        <v>2026</v>
      </c>
      <c r="J700">
        <v>2</v>
      </c>
      <c r="K700" t="s">
        <v>87</v>
      </c>
      <c r="L700" t="s">
        <v>19</v>
      </c>
      <c r="M700" t="s">
        <v>6</v>
      </c>
      <c r="N700" t="b">
        <v>0</v>
      </c>
      <c r="O700">
        <v>0</v>
      </c>
      <c r="P700">
        <v>1</v>
      </c>
      <c r="Q700">
        <v>0</v>
      </c>
      <c r="R700">
        <v>0</v>
      </c>
    </row>
    <row r="701" spans="1:18" x14ac:dyDescent="0.25">
      <c r="A701" t="s">
        <v>364</v>
      </c>
      <c r="B701" t="s">
        <v>6</v>
      </c>
      <c r="C701">
        <v>4</v>
      </c>
      <c r="D701">
        <v>3</v>
      </c>
      <c r="E701">
        <v>1</v>
      </c>
      <c r="F701" s="15">
        <v>46055</v>
      </c>
      <c r="G701" t="s">
        <v>343</v>
      </c>
      <c r="H701">
        <v>4</v>
      </c>
      <c r="I701">
        <v>2026</v>
      </c>
      <c r="J701">
        <v>2</v>
      </c>
      <c r="K701" t="s">
        <v>87</v>
      </c>
      <c r="L701" t="s">
        <v>20</v>
      </c>
      <c r="M701" t="s">
        <v>8</v>
      </c>
      <c r="N701" t="b">
        <v>0</v>
      </c>
      <c r="O701">
        <v>0</v>
      </c>
      <c r="P701">
        <v>1</v>
      </c>
      <c r="Q701">
        <v>0</v>
      </c>
      <c r="R701">
        <v>1</v>
      </c>
    </row>
    <row r="702" spans="1:18" x14ac:dyDescent="0.25">
      <c r="A702" t="s">
        <v>14</v>
      </c>
      <c r="B702" t="s">
        <v>8</v>
      </c>
      <c r="C702">
        <v>3</v>
      </c>
      <c r="D702">
        <v>3</v>
      </c>
      <c r="E702">
        <v>2</v>
      </c>
      <c r="F702" s="15">
        <v>46055</v>
      </c>
      <c r="G702" t="s">
        <v>348</v>
      </c>
      <c r="H702">
        <v>4</v>
      </c>
      <c r="I702">
        <v>2026</v>
      </c>
      <c r="J702">
        <v>2</v>
      </c>
      <c r="K702" t="s">
        <v>87</v>
      </c>
      <c r="L702" t="s">
        <v>321</v>
      </c>
      <c r="M702" t="s">
        <v>6</v>
      </c>
      <c r="N702" t="b">
        <v>0</v>
      </c>
      <c r="O702">
        <v>1</v>
      </c>
      <c r="P702">
        <v>0</v>
      </c>
      <c r="Q702">
        <v>0</v>
      </c>
      <c r="R702">
        <v>0</v>
      </c>
    </row>
    <row r="703" spans="1:18" x14ac:dyDescent="0.25">
      <c r="A703" t="s">
        <v>14</v>
      </c>
      <c r="B703" t="s">
        <v>8</v>
      </c>
      <c r="C703">
        <v>3</v>
      </c>
      <c r="D703">
        <v>3</v>
      </c>
      <c r="E703">
        <v>2</v>
      </c>
      <c r="F703" s="15">
        <v>46055</v>
      </c>
      <c r="G703" t="s">
        <v>348</v>
      </c>
      <c r="H703">
        <v>4</v>
      </c>
      <c r="I703">
        <v>2026</v>
      </c>
      <c r="J703">
        <v>2</v>
      </c>
      <c r="K703" t="s">
        <v>87</v>
      </c>
      <c r="L703" t="s">
        <v>11</v>
      </c>
      <c r="M703" t="s">
        <v>6</v>
      </c>
      <c r="N703" t="b">
        <v>0</v>
      </c>
      <c r="O703">
        <v>1</v>
      </c>
      <c r="P703">
        <v>0</v>
      </c>
      <c r="Q703">
        <v>0</v>
      </c>
      <c r="R703">
        <v>0</v>
      </c>
    </row>
    <row r="704" spans="1:18" x14ac:dyDescent="0.25">
      <c r="A704" t="s">
        <v>14</v>
      </c>
      <c r="B704" t="s">
        <v>8</v>
      </c>
      <c r="C704">
        <v>3</v>
      </c>
      <c r="D704">
        <v>3</v>
      </c>
      <c r="E704">
        <v>2</v>
      </c>
      <c r="F704" s="15">
        <v>46055</v>
      </c>
      <c r="G704" t="s">
        <v>348</v>
      </c>
      <c r="H704">
        <v>4</v>
      </c>
      <c r="I704">
        <v>2026</v>
      </c>
      <c r="J704">
        <v>2</v>
      </c>
      <c r="K704" t="s">
        <v>87</v>
      </c>
      <c r="L704" t="s">
        <v>17</v>
      </c>
      <c r="M704" t="s">
        <v>6</v>
      </c>
      <c r="N704" t="b">
        <v>0</v>
      </c>
      <c r="O704">
        <v>1</v>
      </c>
      <c r="P704">
        <v>0</v>
      </c>
      <c r="Q704">
        <v>0</v>
      </c>
      <c r="R704">
        <v>0</v>
      </c>
    </row>
    <row r="705" spans="1:18" x14ac:dyDescent="0.25">
      <c r="A705" t="s">
        <v>321</v>
      </c>
      <c r="B705" t="s">
        <v>6</v>
      </c>
      <c r="C705">
        <v>2</v>
      </c>
      <c r="D705">
        <v>3</v>
      </c>
      <c r="E705">
        <v>2</v>
      </c>
      <c r="F705" s="15">
        <v>46055</v>
      </c>
      <c r="G705" t="s">
        <v>348</v>
      </c>
      <c r="H705">
        <v>4</v>
      </c>
      <c r="I705">
        <v>2026</v>
      </c>
      <c r="J705">
        <v>2</v>
      </c>
      <c r="K705" t="s">
        <v>87</v>
      </c>
      <c r="L705" t="s">
        <v>14</v>
      </c>
      <c r="M705" t="s">
        <v>8</v>
      </c>
      <c r="N705" t="b">
        <v>0</v>
      </c>
      <c r="O705">
        <v>0</v>
      </c>
      <c r="P705">
        <v>1</v>
      </c>
      <c r="Q705">
        <v>0</v>
      </c>
      <c r="R705">
        <v>1</v>
      </c>
    </row>
    <row r="706" spans="1:18" x14ac:dyDescent="0.25">
      <c r="A706" t="s">
        <v>321</v>
      </c>
      <c r="B706" t="s">
        <v>6</v>
      </c>
      <c r="C706">
        <v>2</v>
      </c>
      <c r="D706">
        <v>3</v>
      </c>
      <c r="E706">
        <v>2</v>
      </c>
      <c r="F706" s="15">
        <v>46055</v>
      </c>
      <c r="G706" t="s">
        <v>348</v>
      </c>
      <c r="H706">
        <v>4</v>
      </c>
      <c r="I706">
        <v>2026</v>
      </c>
      <c r="J706">
        <v>2</v>
      </c>
      <c r="K706" t="s">
        <v>87</v>
      </c>
      <c r="L706" t="s">
        <v>11</v>
      </c>
      <c r="M706" t="s">
        <v>6</v>
      </c>
      <c r="N706" t="b">
        <v>0</v>
      </c>
      <c r="O706">
        <v>0</v>
      </c>
      <c r="P706">
        <v>1</v>
      </c>
      <c r="Q706">
        <v>0</v>
      </c>
      <c r="R706">
        <v>0</v>
      </c>
    </row>
    <row r="707" spans="1:18" x14ac:dyDescent="0.25">
      <c r="A707" t="s">
        <v>321</v>
      </c>
      <c r="B707" t="s">
        <v>6</v>
      </c>
      <c r="C707">
        <v>2</v>
      </c>
      <c r="D707">
        <v>3</v>
      </c>
      <c r="E707">
        <v>2</v>
      </c>
      <c r="F707" s="15">
        <v>46055</v>
      </c>
      <c r="G707" t="s">
        <v>348</v>
      </c>
      <c r="H707">
        <v>4</v>
      </c>
      <c r="I707">
        <v>2026</v>
      </c>
      <c r="J707">
        <v>2</v>
      </c>
      <c r="K707" t="s">
        <v>87</v>
      </c>
      <c r="L707" t="s">
        <v>17</v>
      </c>
      <c r="M707" t="s">
        <v>6</v>
      </c>
      <c r="N707" t="b">
        <v>0</v>
      </c>
      <c r="O707">
        <v>0</v>
      </c>
      <c r="P707">
        <v>1</v>
      </c>
      <c r="Q707">
        <v>0</v>
      </c>
      <c r="R707">
        <v>0</v>
      </c>
    </row>
    <row r="708" spans="1:18" x14ac:dyDescent="0.25">
      <c r="A708" t="s">
        <v>11</v>
      </c>
      <c r="B708" t="s">
        <v>6</v>
      </c>
      <c r="C708">
        <v>1</v>
      </c>
      <c r="D708">
        <v>3</v>
      </c>
      <c r="E708">
        <v>2</v>
      </c>
      <c r="F708" s="15">
        <v>46055</v>
      </c>
      <c r="G708" t="s">
        <v>348</v>
      </c>
      <c r="H708">
        <v>4</v>
      </c>
      <c r="I708">
        <v>2026</v>
      </c>
      <c r="J708">
        <v>2</v>
      </c>
      <c r="K708" t="s">
        <v>87</v>
      </c>
      <c r="L708" t="s">
        <v>14</v>
      </c>
      <c r="M708" t="s">
        <v>8</v>
      </c>
      <c r="N708" t="b">
        <v>0</v>
      </c>
      <c r="O708">
        <v>0</v>
      </c>
      <c r="P708">
        <v>1</v>
      </c>
      <c r="Q708">
        <v>0</v>
      </c>
      <c r="R708">
        <v>1</v>
      </c>
    </row>
    <row r="709" spans="1:18" x14ac:dyDescent="0.25">
      <c r="A709" t="s">
        <v>11</v>
      </c>
      <c r="B709" t="s">
        <v>6</v>
      </c>
      <c r="C709">
        <v>1</v>
      </c>
      <c r="D709">
        <v>3</v>
      </c>
      <c r="E709">
        <v>2</v>
      </c>
      <c r="F709" s="15">
        <v>46055</v>
      </c>
      <c r="G709" t="s">
        <v>348</v>
      </c>
      <c r="H709">
        <v>4</v>
      </c>
      <c r="I709">
        <v>2026</v>
      </c>
      <c r="J709">
        <v>2</v>
      </c>
      <c r="K709" t="s">
        <v>87</v>
      </c>
      <c r="L709" t="s">
        <v>321</v>
      </c>
      <c r="M709" t="s">
        <v>6</v>
      </c>
      <c r="N709" t="b">
        <v>0</v>
      </c>
      <c r="O709">
        <v>0</v>
      </c>
      <c r="P709">
        <v>1</v>
      </c>
      <c r="Q709">
        <v>0</v>
      </c>
      <c r="R709">
        <v>0</v>
      </c>
    </row>
    <row r="710" spans="1:18" x14ac:dyDescent="0.25">
      <c r="A710" t="s">
        <v>11</v>
      </c>
      <c r="B710" t="s">
        <v>6</v>
      </c>
      <c r="C710">
        <v>1</v>
      </c>
      <c r="D710">
        <v>3</v>
      </c>
      <c r="E710">
        <v>2</v>
      </c>
      <c r="F710" s="15">
        <v>46055</v>
      </c>
      <c r="G710" t="s">
        <v>348</v>
      </c>
      <c r="H710">
        <v>4</v>
      </c>
      <c r="I710">
        <v>2026</v>
      </c>
      <c r="J710">
        <v>2</v>
      </c>
      <c r="K710" t="s">
        <v>87</v>
      </c>
      <c r="L710" t="s">
        <v>17</v>
      </c>
      <c r="M710" t="s">
        <v>6</v>
      </c>
      <c r="N710" t="b">
        <v>0</v>
      </c>
      <c r="O710">
        <v>0</v>
      </c>
      <c r="P710">
        <v>1</v>
      </c>
      <c r="Q710">
        <v>0</v>
      </c>
      <c r="R710">
        <v>0</v>
      </c>
    </row>
    <row r="711" spans="1:18" x14ac:dyDescent="0.25">
      <c r="A711" t="s">
        <v>17</v>
      </c>
      <c r="B711" t="s">
        <v>6</v>
      </c>
      <c r="C711">
        <v>4</v>
      </c>
      <c r="D711">
        <v>3</v>
      </c>
      <c r="E711">
        <v>2</v>
      </c>
      <c r="F711" s="15">
        <v>46055</v>
      </c>
      <c r="G711" t="s">
        <v>348</v>
      </c>
      <c r="H711">
        <v>4</v>
      </c>
      <c r="I711">
        <v>2026</v>
      </c>
      <c r="J711">
        <v>2</v>
      </c>
      <c r="K711" t="s">
        <v>87</v>
      </c>
      <c r="L711" t="s">
        <v>14</v>
      </c>
      <c r="M711" t="s">
        <v>8</v>
      </c>
      <c r="N711" t="b">
        <v>0</v>
      </c>
      <c r="O711">
        <v>0</v>
      </c>
      <c r="P711">
        <v>1</v>
      </c>
      <c r="Q711">
        <v>0</v>
      </c>
      <c r="R711">
        <v>1</v>
      </c>
    </row>
    <row r="712" spans="1:18" x14ac:dyDescent="0.25">
      <c r="A712" t="s">
        <v>17</v>
      </c>
      <c r="B712" t="s">
        <v>6</v>
      </c>
      <c r="C712">
        <v>4</v>
      </c>
      <c r="D712">
        <v>3</v>
      </c>
      <c r="E712">
        <v>2</v>
      </c>
      <c r="F712" s="15">
        <v>46055</v>
      </c>
      <c r="G712" t="s">
        <v>348</v>
      </c>
      <c r="H712">
        <v>4</v>
      </c>
      <c r="I712">
        <v>2026</v>
      </c>
      <c r="J712">
        <v>2</v>
      </c>
      <c r="K712" t="s">
        <v>87</v>
      </c>
      <c r="L712" t="s">
        <v>321</v>
      </c>
      <c r="M712" t="s">
        <v>6</v>
      </c>
      <c r="N712" t="b">
        <v>0</v>
      </c>
      <c r="O712">
        <v>0</v>
      </c>
      <c r="P712">
        <v>1</v>
      </c>
      <c r="Q712">
        <v>0</v>
      </c>
      <c r="R712">
        <v>0</v>
      </c>
    </row>
    <row r="713" spans="1:18" x14ac:dyDescent="0.25">
      <c r="A713" t="s">
        <v>17</v>
      </c>
      <c r="B713" t="s">
        <v>6</v>
      </c>
      <c r="C713">
        <v>4</v>
      </c>
      <c r="D713">
        <v>3</v>
      </c>
      <c r="E713">
        <v>2</v>
      </c>
      <c r="F713" s="15">
        <v>46055</v>
      </c>
      <c r="G713" t="s">
        <v>348</v>
      </c>
      <c r="H713">
        <v>4</v>
      </c>
      <c r="I713">
        <v>2026</v>
      </c>
      <c r="J713">
        <v>2</v>
      </c>
      <c r="K713" t="s">
        <v>87</v>
      </c>
      <c r="L713" t="s">
        <v>11</v>
      </c>
      <c r="M713" t="s">
        <v>6</v>
      </c>
      <c r="N713" t="b">
        <v>0</v>
      </c>
      <c r="O713">
        <v>0</v>
      </c>
      <c r="P713">
        <v>1</v>
      </c>
      <c r="Q713">
        <v>0</v>
      </c>
      <c r="R713">
        <v>0</v>
      </c>
    </row>
    <row r="714" spans="1:18" x14ac:dyDescent="0.25">
      <c r="A714" t="s">
        <v>14</v>
      </c>
      <c r="B714" t="s">
        <v>63</v>
      </c>
      <c r="C714">
        <v>3</v>
      </c>
      <c r="D714">
        <v>1</v>
      </c>
      <c r="E714">
        <v>1</v>
      </c>
      <c r="F714" s="15">
        <v>46062</v>
      </c>
      <c r="G714" t="s">
        <v>353</v>
      </c>
      <c r="H714">
        <v>4</v>
      </c>
      <c r="I714">
        <v>2026</v>
      </c>
      <c r="J714">
        <v>2</v>
      </c>
      <c r="K714" t="s">
        <v>87</v>
      </c>
      <c r="L714" t="s">
        <v>351</v>
      </c>
      <c r="M714" t="s">
        <v>63</v>
      </c>
      <c r="N714" t="b">
        <v>0</v>
      </c>
      <c r="O714">
        <v>0</v>
      </c>
      <c r="P714">
        <v>0</v>
      </c>
      <c r="Q714">
        <v>1</v>
      </c>
      <c r="R714">
        <v>0</v>
      </c>
    </row>
    <row r="715" spans="1:18" x14ac:dyDescent="0.25">
      <c r="A715" t="s">
        <v>14</v>
      </c>
      <c r="B715" t="s">
        <v>63</v>
      </c>
      <c r="C715">
        <v>3</v>
      </c>
      <c r="D715">
        <v>1</v>
      </c>
      <c r="E715">
        <v>1</v>
      </c>
      <c r="F715" s="15">
        <v>46062</v>
      </c>
      <c r="G715" t="s">
        <v>353</v>
      </c>
      <c r="H715">
        <v>4</v>
      </c>
      <c r="I715">
        <v>2026</v>
      </c>
      <c r="J715">
        <v>2</v>
      </c>
      <c r="K715" t="s">
        <v>87</v>
      </c>
      <c r="L715" t="s">
        <v>436</v>
      </c>
      <c r="M715" t="s">
        <v>63</v>
      </c>
      <c r="N715" t="b">
        <v>0</v>
      </c>
      <c r="O715">
        <v>0</v>
      </c>
      <c r="P715">
        <v>0</v>
      </c>
      <c r="Q715">
        <v>1</v>
      </c>
      <c r="R715">
        <v>0</v>
      </c>
    </row>
    <row r="716" spans="1:18" x14ac:dyDescent="0.25">
      <c r="A716" t="s">
        <v>14</v>
      </c>
      <c r="B716" t="s">
        <v>63</v>
      </c>
      <c r="C716">
        <v>3</v>
      </c>
      <c r="D716">
        <v>1</v>
      </c>
      <c r="E716">
        <v>1</v>
      </c>
      <c r="F716" s="15">
        <v>46062</v>
      </c>
      <c r="G716" t="s">
        <v>353</v>
      </c>
      <c r="H716">
        <v>4</v>
      </c>
      <c r="I716">
        <v>2026</v>
      </c>
      <c r="J716">
        <v>2</v>
      </c>
      <c r="K716" t="s">
        <v>87</v>
      </c>
      <c r="L716" t="s">
        <v>9</v>
      </c>
      <c r="M716" t="s">
        <v>63</v>
      </c>
      <c r="N716" t="b">
        <v>0</v>
      </c>
      <c r="O716">
        <v>0</v>
      </c>
      <c r="P716">
        <v>0</v>
      </c>
      <c r="Q716">
        <v>1</v>
      </c>
      <c r="R716">
        <v>0</v>
      </c>
    </row>
    <row r="717" spans="1:18" x14ac:dyDescent="0.25">
      <c r="A717" t="s">
        <v>351</v>
      </c>
      <c r="B717" t="s">
        <v>63</v>
      </c>
      <c r="C717">
        <v>4</v>
      </c>
      <c r="D717">
        <v>1</v>
      </c>
      <c r="E717">
        <v>1</v>
      </c>
      <c r="F717" s="15">
        <v>46062</v>
      </c>
      <c r="G717" t="s">
        <v>353</v>
      </c>
      <c r="H717">
        <v>4</v>
      </c>
      <c r="I717">
        <v>2026</v>
      </c>
      <c r="J717">
        <v>2</v>
      </c>
      <c r="K717" t="s">
        <v>87</v>
      </c>
      <c r="L717" t="s">
        <v>14</v>
      </c>
      <c r="M717" t="s">
        <v>63</v>
      </c>
      <c r="N717" t="b">
        <v>0</v>
      </c>
      <c r="O717">
        <v>0</v>
      </c>
      <c r="P717">
        <v>0</v>
      </c>
      <c r="Q717">
        <v>1</v>
      </c>
      <c r="R717">
        <v>0</v>
      </c>
    </row>
    <row r="718" spans="1:18" x14ac:dyDescent="0.25">
      <c r="A718" t="s">
        <v>351</v>
      </c>
      <c r="B718" t="s">
        <v>63</v>
      </c>
      <c r="C718">
        <v>4</v>
      </c>
      <c r="D718">
        <v>1</v>
      </c>
      <c r="E718">
        <v>1</v>
      </c>
      <c r="F718" s="15">
        <v>46062</v>
      </c>
      <c r="G718" t="s">
        <v>353</v>
      </c>
      <c r="H718">
        <v>4</v>
      </c>
      <c r="I718">
        <v>2026</v>
      </c>
      <c r="J718">
        <v>2</v>
      </c>
      <c r="K718" t="s">
        <v>87</v>
      </c>
      <c r="L718" t="s">
        <v>436</v>
      </c>
      <c r="M718" t="s">
        <v>63</v>
      </c>
      <c r="N718" t="b">
        <v>0</v>
      </c>
      <c r="O718">
        <v>0</v>
      </c>
      <c r="P718">
        <v>0</v>
      </c>
      <c r="Q718">
        <v>1</v>
      </c>
      <c r="R718">
        <v>0</v>
      </c>
    </row>
    <row r="719" spans="1:18" x14ac:dyDescent="0.25">
      <c r="A719" t="s">
        <v>351</v>
      </c>
      <c r="B719" t="s">
        <v>63</v>
      </c>
      <c r="C719">
        <v>4</v>
      </c>
      <c r="D719">
        <v>1</v>
      </c>
      <c r="E719">
        <v>1</v>
      </c>
      <c r="F719" s="15">
        <v>46062</v>
      </c>
      <c r="G719" t="s">
        <v>353</v>
      </c>
      <c r="H719">
        <v>4</v>
      </c>
      <c r="I719">
        <v>2026</v>
      </c>
      <c r="J719">
        <v>2</v>
      </c>
      <c r="K719" t="s">
        <v>87</v>
      </c>
      <c r="L719" t="s">
        <v>9</v>
      </c>
      <c r="M719" t="s">
        <v>63</v>
      </c>
      <c r="N719" t="b">
        <v>0</v>
      </c>
      <c r="O719">
        <v>0</v>
      </c>
      <c r="P719">
        <v>0</v>
      </c>
      <c r="Q719">
        <v>1</v>
      </c>
      <c r="R719">
        <v>0</v>
      </c>
    </row>
    <row r="720" spans="1:18" x14ac:dyDescent="0.25">
      <c r="A720" t="s">
        <v>436</v>
      </c>
      <c r="B720" t="s">
        <v>63</v>
      </c>
      <c r="C720">
        <v>2</v>
      </c>
      <c r="D720">
        <v>1</v>
      </c>
      <c r="E720">
        <v>1</v>
      </c>
      <c r="F720" s="15">
        <v>46062</v>
      </c>
      <c r="G720" t="s">
        <v>353</v>
      </c>
      <c r="H720">
        <v>4</v>
      </c>
      <c r="I720">
        <v>2026</v>
      </c>
      <c r="J720">
        <v>2</v>
      </c>
      <c r="K720" t="s">
        <v>87</v>
      </c>
      <c r="L720" t="s">
        <v>14</v>
      </c>
      <c r="M720" t="s">
        <v>63</v>
      </c>
      <c r="N720" t="b">
        <v>0</v>
      </c>
      <c r="O720">
        <v>0</v>
      </c>
      <c r="P720">
        <v>0</v>
      </c>
      <c r="Q720">
        <v>1</v>
      </c>
      <c r="R720">
        <v>0</v>
      </c>
    </row>
    <row r="721" spans="1:18" x14ac:dyDescent="0.25">
      <c r="A721" t="s">
        <v>436</v>
      </c>
      <c r="B721" t="s">
        <v>63</v>
      </c>
      <c r="C721">
        <v>2</v>
      </c>
      <c r="D721">
        <v>1</v>
      </c>
      <c r="E721">
        <v>1</v>
      </c>
      <c r="F721" s="15">
        <v>46062</v>
      </c>
      <c r="G721" t="s">
        <v>353</v>
      </c>
      <c r="H721">
        <v>4</v>
      </c>
      <c r="I721">
        <v>2026</v>
      </c>
      <c r="J721">
        <v>2</v>
      </c>
      <c r="K721" t="s">
        <v>87</v>
      </c>
      <c r="L721" t="s">
        <v>351</v>
      </c>
      <c r="M721" t="s">
        <v>63</v>
      </c>
      <c r="N721" t="b">
        <v>0</v>
      </c>
      <c r="O721">
        <v>0</v>
      </c>
      <c r="P721">
        <v>0</v>
      </c>
      <c r="Q721">
        <v>1</v>
      </c>
      <c r="R721">
        <v>0</v>
      </c>
    </row>
    <row r="722" spans="1:18" x14ac:dyDescent="0.25">
      <c r="A722" t="s">
        <v>436</v>
      </c>
      <c r="B722" t="s">
        <v>63</v>
      </c>
      <c r="C722">
        <v>2</v>
      </c>
      <c r="D722">
        <v>1</v>
      </c>
      <c r="E722">
        <v>1</v>
      </c>
      <c r="F722" s="15">
        <v>46062</v>
      </c>
      <c r="G722" t="s">
        <v>353</v>
      </c>
      <c r="H722">
        <v>4</v>
      </c>
      <c r="I722">
        <v>2026</v>
      </c>
      <c r="J722">
        <v>2</v>
      </c>
      <c r="K722" t="s">
        <v>87</v>
      </c>
      <c r="L722" t="s">
        <v>9</v>
      </c>
      <c r="M722" t="s">
        <v>63</v>
      </c>
      <c r="N722" t="b">
        <v>0</v>
      </c>
      <c r="O722">
        <v>0</v>
      </c>
      <c r="P722">
        <v>0</v>
      </c>
      <c r="Q722">
        <v>1</v>
      </c>
      <c r="R722">
        <v>0</v>
      </c>
    </row>
    <row r="723" spans="1:18" x14ac:dyDescent="0.25">
      <c r="A723" t="s">
        <v>9</v>
      </c>
      <c r="B723" t="s">
        <v>63</v>
      </c>
      <c r="C723">
        <v>1</v>
      </c>
      <c r="D723">
        <v>1</v>
      </c>
      <c r="E723">
        <v>1</v>
      </c>
      <c r="F723" s="15">
        <v>46062</v>
      </c>
      <c r="G723" t="s">
        <v>353</v>
      </c>
      <c r="H723">
        <v>4</v>
      </c>
      <c r="I723">
        <v>2026</v>
      </c>
      <c r="J723">
        <v>2</v>
      </c>
      <c r="K723" t="s">
        <v>87</v>
      </c>
      <c r="L723" t="s">
        <v>14</v>
      </c>
      <c r="M723" t="s">
        <v>63</v>
      </c>
      <c r="N723" t="b">
        <v>0</v>
      </c>
      <c r="O723">
        <v>0</v>
      </c>
      <c r="P723">
        <v>0</v>
      </c>
      <c r="Q723">
        <v>1</v>
      </c>
      <c r="R723">
        <v>0</v>
      </c>
    </row>
    <row r="724" spans="1:18" x14ac:dyDescent="0.25">
      <c r="A724" t="s">
        <v>9</v>
      </c>
      <c r="B724" t="s">
        <v>63</v>
      </c>
      <c r="C724">
        <v>1</v>
      </c>
      <c r="D724">
        <v>1</v>
      </c>
      <c r="E724">
        <v>1</v>
      </c>
      <c r="F724" s="15">
        <v>46062</v>
      </c>
      <c r="G724" t="s">
        <v>353</v>
      </c>
      <c r="H724">
        <v>4</v>
      </c>
      <c r="I724">
        <v>2026</v>
      </c>
      <c r="J724">
        <v>2</v>
      </c>
      <c r="K724" t="s">
        <v>87</v>
      </c>
      <c r="L724" t="s">
        <v>351</v>
      </c>
      <c r="M724" t="s">
        <v>63</v>
      </c>
      <c r="N724" t="b">
        <v>0</v>
      </c>
      <c r="O724">
        <v>0</v>
      </c>
      <c r="P724">
        <v>0</v>
      </c>
      <c r="Q724">
        <v>1</v>
      </c>
      <c r="R724">
        <v>0</v>
      </c>
    </row>
    <row r="725" spans="1:18" x14ac:dyDescent="0.25">
      <c r="A725" t="s">
        <v>9</v>
      </c>
      <c r="B725" t="s">
        <v>63</v>
      </c>
      <c r="C725">
        <v>1</v>
      </c>
      <c r="D725">
        <v>1</v>
      </c>
      <c r="E725">
        <v>1</v>
      </c>
      <c r="F725" s="15">
        <v>46062</v>
      </c>
      <c r="G725" t="s">
        <v>353</v>
      </c>
      <c r="H725">
        <v>4</v>
      </c>
      <c r="I725">
        <v>2026</v>
      </c>
      <c r="J725">
        <v>2</v>
      </c>
      <c r="K725" t="s">
        <v>87</v>
      </c>
      <c r="L725" t="s">
        <v>436</v>
      </c>
      <c r="M725" t="s">
        <v>63</v>
      </c>
      <c r="N725" t="b">
        <v>0</v>
      </c>
      <c r="O725">
        <v>0</v>
      </c>
      <c r="P725">
        <v>0</v>
      </c>
      <c r="Q725">
        <v>1</v>
      </c>
      <c r="R725">
        <v>0</v>
      </c>
    </row>
    <row r="726" spans="1:18" x14ac:dyDescent="0.25">
      <c r="A726" t="s">
        <v>14</v>
      </c>
      <c r="B726" t="s">
        <v>8</v>
      </c>
      <c r="C726">
        <v>1</v>
      </c>
      <c r="D726">
        <v>1</v>
      </c>
      <c r="E726">
        <v>2</v>
      </c>
      <c r="F726" s="15">
        <v>46062</v>
      </c>
      <c r="G726" t="s">
        <v>358</v>
      </c>
      <c r="H726">
        <v>4</v>
      </c>
      <c r="I726">
        <v>2026</v>
      </c>
      <c r="J726">
        <v>2</v>
      </c>
      <c r="K726" t="s">
        <v>87</v>
      </c>
      <c r="L726" t="s">
        <v>19</v>
      </c>
      <c r="M726" t="s">
        <v>6</v>
      </c>
      <c r="N726" t="b">
        <v>0</v>
      </c>
      <c r="O726">
        <v>1</v>
      </c>
      <c r="P726">
        <v>0</v>
      </c>
      <c r="Q726">
        <v>0</v>
      </c>
      <c r="R726">
        <v>0</v>
      </c>
    </row>
    <row r="727" spans="1:18" x14ac:dyDescent="0.25">
      <c r="A727" t="s">
        <v>14</v>
      </c>
      <c r="B727" t="s">
        <v>8</v>
      </c>
      <c r="C727">
        <v>1</v>
      </c>
      <c r="D727">
        <v>1</v>
      </c>
      <c r="E727">
        <v>2</v>
      </c>
      <c r="F727" s="15">
        <v>46062</v>
      </c>
      <c r="G727" t="s">
        <v>358</v>
      </c>
      <c r="H727">
        <v>4</v>
      </c>
      <c r="I727">
        <v>2026</v>
      </c>
      <c r="J727">
        <v>2</v>
      </c>
      <c r="K727" t="s">
        <v>87</v>
      </c>
      <c r="L727" t="s">
        <v>20</v>
      </c>
      <c r="M727" t="s">
        <v>6</v>
      </c>
      <c r="N727" t="b">
        <v>0</v>
      </c>
      <c r="O727">
        <v>1</v>
      </c>
      <c r="P727">
        <v>0</v>
      </c>
      <c r="Q727">
        <v>0</v>
      </c>
      <c r="R727">
        <v>0</v>
      </c>
    </row>
    <row r="728" spans="1:18" x14ac:dyDescent="0.25">
      <c r="A728" t="s">
        <v>14</v>
      </c>
      <c r="B728" t="s">
        <v>8</v>
      </c>
      <c r="C728">
        <v>1</v>
      </c>
      <c r="D728">
        <v>1</v>
      </c>
      <c r="E728">
        <v>2</v>
      </c>
      <c r="F728" s="15">
        <v>46062</v>
      </c>
      <c r="G728" t="s">
        <v>358</v>
      </c>
      <c r="H728">
        <v>4</v>
      </c>
      <c r="I728">
        <v>2026</v>
      </c>
      <c r="J728">
        <v>2</v>
      </c>
      <c r="K728" t="s">
        <v>87</v>
      </c>
      <c r="L728" t="s">
        <v>41</v>
      </c>
      <c r="M728" t="s">
        <v>6</v>
      </c>
      <c r="N728" t="b">
        <v>0</v>
      </c>
      <c r="O728">
        <v>1</v>
      </c>
      <c r="P728">
        <v>0</v>
      </c>
      <c r="Q728">
        <v>0</v>
      </c>
      <c r="R728">
        <v>0</v>
      </c>
    </row>
    <row r="729" spans="1:18" x14ac:dyDescent="0.25">
      <c r="A729" t="s">
        <v>19</v>
      </c>
      <c r="B729" t="s">
        <v>6</v>
      </c>
      <c r="C729">
        <v>3</v>
      </c>
      <c r="D729">
        <v>1</v>
      </c>
      <c r="E729">
        <v>2</v>
      </c>
      <c r="F729" s="15">
        <v>46062</v>
      </c>
      <c r="G729" t="s">
        <v>358</v>
      </c>
      <c r="H729">
        <v>4</v>
      </c>
      <c r="I729">
        <v>2026</v>
      </c>
      <c r="J729">
        <v>2</v>
      </c>
      <c r="K729" t="s">
        <v>87</v>
      </c>
      <c r="L729" t="s">
        <v>14</v>
      </c>
      <c r="M729" t="s">
        <v>8</v>
      </c>
      <c r="N729" t="b">
        <v>0</v>
      </c>
      <c r="O729">
        <v>0</v>
      </c>
      <c r="P729">
        <v>1</v>
      </c>
      <c r="Q729">
        <v>0</v>
      </c>
      <c r="R729">
        <v>1</v>
      </c>
    </row>
    <row r="730" spans="1:18" x14ac:dyDescent="0.25">
      <c r="A730" t="s">
        <v>19</v>
      </c>
      <c r="B730" t="s">
        <v>6</v>
      </c>
      <c r="C730">
        <v>3</v>
      </c>
      <c r="D730">
        <v>1</v>
      </c>
      <c r="E730">
        <v>2</v>
      </c>
      <c r="F730" s="15">
        <v>46062</v>
      </c>
      <c r="G730" t="s">
        <v>358</v>
      </c>
      <c r="H730">
        <v>4</v>
      </c>
      <c r="I730">
        <v>2026</v>
      </c>
      <c r="J730">
        <v>2</v>
      </c>
      <c r="K730" t="s">
        <v>87</v>
      </c>
      <c r="L730" t="s">
        <v>20</v>
      </c>
      <c r="M730" t="s">
        <v>6</v>
      </c>
      <c r="N730" t="b">
        <v>0</v>
      </c>
      <c r="O730">
        <v>0</v>
      </c>
      <c r="P730">
        <v>1</v>
      </c>
      <c r="Q730">
        <v>0</v>
      </c>
      <c r="R730">
        <v>0</v>
      </c>
    </row>
    <row r="731" spans="1:18" x14ac:dyDescent="0.25">
      <c r="A731" t="s">
        <v>19</v>
      </c>
      <c r="B731" t="s">
        <v>6</v>
      </c>
      <c r="C731">
        <v>3</v>
      </c>
      <c r="D731">
        <v>1</v>
      </c>
      <c r="E731">
        <v>2</v>
      </c>
      <c r="F731" s="15">
        <v>46062</v>
      </c>
      <c r="G731" t="s">
        <v>358</v>
      </c>
      <c r="H731">
        <v>4</v>
      </c>
      <c r="I731">
        <v>2026</v>
      </c>
      <c r="J731">
        <v>2</v>
      </c>
      <c r="K731" t="s">
        <v>87</v>
      </c>
      <c r="L731" t="s">
        <v>41</v>
      </c>
      <c r="M731" t="s">
        <v>6</v>
      </c>
      <c r="N731" t="b">
        <v>0</v>
      </c>
      <c r="O731">
        <v>0</v>
      </c>
      <c r="P731">
        <v>1</v>
      </c>
      <c r="Q731">
        <v>0</v>
      </c>
      <c r="R731">
        <v>0</v>
      </c>
    </row>
    <row r="732" spans="1:18" x14ac:dyDescent="0.25">
      <c r="A732" t="s">
        <v>20</v>
      </c>
      <c r="B732" t="s">
        <v>6</v>
      </c>
      <c r="C732">
        <v>2</v>
      </c>
      <c r="D732">
        <v>1</v>
      </c>
      <c r="E732">
        <v>2</v>
      </c>
      <c r="F732" s="15">
        <v>46062</v>
      </c>
      <c r="G732" t="s">
        <v>358</v>
      </c>
      <c r="H732">
        <v>4</v>
      </c>
      <c r="I732">
        <v>2026</v>
      </c>
      <c r="J732">
        <v>2</v>
      </c>
      <c r="K732" t="s">
        <v>87</v>
      </c>
      <c r="L732" t="s">
        <v>14</v>
      </c>
      <c r="M732" t="s">
        <v>8</v>
      </c>
      <c r="N732" t="b">
        <v>0</v>
      </c>
      <c r="O732">
        <v>0</v>
      </c>
      <c r="P732">
        <v>1</v>
      </c>
      <c r="Q732">
        <v>0</v>
      </c>
      <c r="R732">
        <v>1</v>
      </c>
    </row>
    <row r="733" spans="1:18" x14ac:dyDescent="0.25">
      <c r="A733" t="s">
        <v>20</v>
      </c>
      <c r="B733" t="s">
        <v>6</v>
      </c>
      <c r="C733">
        <v>2</v>
      </c>
      <c r="D733">
        <v>1</v>
      </c>
      <c r="E733">
        <v>2</v>
      </c>
      <c r="F733" s="15">
        <v>46062</v>
      </c>
      <c r="G733" t="s">
        <v>358</v>
      </c>
      <c r="H733">
        <v>4</v>
      </c>
      <c r="I733">
        <v>2026</v>
      </c>
      <c r="J733">
        <v>2</v>
      </c>
      <c r="K733" t="s">
        <v>87</v>
      </c>
      <c r="L733" t="s">
        <v>19</v>
      </c>
      <c r="M733" t="s">
        <v>6</v>
      </c>
      <c r="N733" t="b">
        <v>0</v>
      </c>
      <c r="O733">
        <v>0</v>
      </c>
      <c r="P733">
        <v>1</v>
      </c>
      <c r="Q733">
        <v>0</v>
      </c>
      <c r="R733">
        <v>0</v>
      </c>
    </row>
    <row r="734" spans="1:18" x14ac:dyDescent="0.25">
      <c r="A734" t="s">
        <v>20</v>
      </c>
      <c r="B734" t="s">
        <v>6</v>
      </c>
      <c r="C734">
        <v>2</v>
      </c>
      <c r="D734">
        <v>1</v>
      </c>
      <c r="E734">
        <v>2</v>
      </c>
      <c r="F734" s="15">
        <v>46062</v>
      </c>
      <c r="G734" t="s">
        <v>358</v>
      </c>
      <c r="H734">
        <v>4</v>
      </c>
      <c r="I734">
        <v>2026</v>
      </c>
      <c r="J734">
        <v>2</v>
      </c>
      <c r="K734" t="s">
        <v>87</v>
      </c>
      <c r="L734" t="s">
        <v>41</v>
      </c>
      <c r="M734" t="s">
        <v>6</v>
      </c>
      <c r="N734" t="b">
        <v>0</v>
      </c>
      <c r="O734">
        <v>0</v>
      </c>
      <c r="P734">
        <v>1</v>
      </c>
      <c r="Q734">
        <v>0</v>
      </c>
      <c r="R734">
        <v>0</v>
      </c>
    </row>
    <row r="735" spans="1:18" x14ac:dyDescent="0.25">
      <c r="A735" t="s">
        <v>41</v>
      </c>
      <c r="B735" t="s">
        <v>6</v>
      </c>
      <c r="C735">
        <v>4</v>
      </c>
      <c r="D735">
        <v>1</v>
      </c>
      <c r="E735">
        <v>2</v>
      </c>
      <c r="F735" s="15">
        <v>46062</v>
      </c>
      <c r="G735" t="s">
        <v>358</v>
      </c>
      <c r="H735">
        <v>4</v>
      </c>
      <c r="I735">
        <v>2026</v>
      </c>
      <c r="J735">
        <v>2</v>
      </c>
      <c r="K735" t="s">
        <v>87</v>
      </c>
      <c r="L735" t="s">
        <v>14</v>
      </c>
      <c r="M735" t="s">
        <v>8</v>
      </c>
      <c r="N735" t="b">
        <v>0</v>
      </c>
      <c r="O735">
        <v>0</v>
      </c>
      <c r="P735">
        <v>1</v>
      </c>
      <c r="Q735">
        <v>0</v>
      </c>
      <c r="R735">
        <v>1</v>
      </c>
    </row>
    <row r="736" spans="1:18" x14ac:dyDescent="0.25">
      <c r="A736" t="s">
        <v>41</v>
      </c>
      <c r="B736" t="s">
        <v>6</v>
      </c>
      <c r="C736">
        <v>4</v>
      </c>
      <c r="D736">
        <v>1</v>
      </c>
      <c r="E736">
        <v>2</v>
      </c>
      <c r="F736" s="15">
        <v>46062</v>
      </c>
      <c r="G736" t="s">
        <v>358</v>
      </c>
      <c r="H736">
        <v>4</v>
      </c>
      <c r="I736">
        <v>2026</v>
      </c>
      <c r="J736">
        <v>2</v>
      </c>
      <c r="K736" t="s">
        <v>87</v>
      </c>
      <c r="L736" t="s">
        <v>19</v>
      </c>
      <c r="M736" t="s">
        <v>6</v>
      </c>
      <c r="N736" t="b">
        <v>0</v>
      </c>
      <c r="O736">
        <v>0</v>
      </c>
      <c r="P736">
        <v>1</v>
      </c>
      <c r="Q736">
        <v>0</v>
      </c>
      <c r="R736">
        <v>0</v>
      </c>
    </row>
    <row r="737" spans="1:18" x14ac:dyDescent="0.25">
      <c r="A737" t="s">
        <v>41</v>
      </c>
      <c r="B737" t="s">
        <v>6</v>
      </c>
      <c r="C737">
        <v>4</v>
      </c>
      <c r="D737">
        <v>1</v>
      </c>
      <c r="E737">
        <v>2</v>
      </c>
      <c r="F737" s="15">
        <v>46062</v>
      </c>
      <c r="G737" t="s">
        <v>358</v>
      </c>
      <c r="H737">
        <v>4</v>
      </c>
      <c r="I737">
        <v>2026</v>
      </c>
      <c r="J737">
        <v>2</v>
      </c>
      <c r="K737" t="s">
        <v>87</v>
      </c>
      <c r="L737" t="s">
        <v>20</v>
      </c>
      <c r="M737" t="s">
        <v>6</v>
      </c>
      <c r="N737" t="b">
        <v>0</v>
      </c>
      <c r="O737">
        <v>0</v>
      </c>
      <c r="P737">
        <v>1</v>
      </c>
      <c r="Q737">
        <v>0</v>
      </c>
      <c r="R737">
        <v>0</v>
      </c>
    </row>
    <row r="738" spans="1:18" x14ac:dyDescent="0.25">
      <c r="A738" t="s">
        <v>14</v>
      </c>
      <c r="B738" t="s">
        <v>63</v>
      </c>
      <c r="C738">
        <v>1</v>
      </c>
      <c r="D738">
        <v>2</v>
      </c>
      <c r="E738">
        <v>1</v>
      </c>
      <c r="F738" s="15">
        <v>46069</v>
      </c>
      <c r="G738" t="s">
        <v>367</v>
      </c>
      <c r="H738">
        <v>4</v>
      </c>
      <c r="I738">
        <v>2026</v>
      </c>
      <c r="J738">
        <v>2</v>
      </c>
      <c r="K738" t="s">
        <v>87</v>
      </c>
      <c r="L738" t="s">
        <v>322</v>
      </c>
      <c r="M738" t="s">
        <v>63</v>
      </c>
      <c r="N738" t="b">
        <v>0</v>
      </c>
      <c r="O738">
        <v>0</v>
      </c>
      <c r="P738">
        <v>0</v>
      </c>
      <c r="Q738">
        <v>1</v>
      </c>
      <c r="R738">
        <v>0</v>
      </c>
    </row>
    <row r="739" spans="1:18" x14ac:dyDescent="0.25">
      <c r="A739" t="s">
        <v>14</v>
      </c>
      <c r="B739" t="s">
        <v>63</v>
      </c>
      <c r="C739">
        <v>1</v>
      </c>
      <c r="D739">
        <v>2</v>
      </c>
      <c r="E739">
        <v>1</v>
      </c>
      <c r="F739" s="15">
        <v>46069</v>
      </c>
      <c r="G739" t="s">
        <v>367</v>
      </c>
      <c r="H739">
        <v>4</v>
      </c>
      <c r="I739">
        <v>2026</v>
      </c>
      <c r="J739">
        <v>2</v>
      </c>
      <c r="K739" t="s">
        <v>87</v>
      </c>
      <c r="L739" t="s">
        <v>363</v>
      </c>
      <c r="M739" t="s">
        <v>63</v>
      </c>
      <c r="N739" t="b">
        <v>0</v>
      </c>
      <c r="O739">
        <v>0</v>
      </c>
      <c r="P739">
        <v>0</v>
      </c>
      <c r="Q739">
        <v>1</v>
      </c>
      <c r="R739">
        <v>0</v>
      </c>
    </row>
    <row r="740" spans="1:18" x14ac:dyDescent="0.25">
      <c r="A740" t="s">
        <v>14</v>
      </c>
      <c r="B740" t="s">
        <v>63</v>
      </c>
      <c r="C740">
        <v>1</v>
      </c>
      <c r="D740">
        <v>2</v>
      </c>
      <c r="E740">
        <v>1</v>
      </c>
      <c r="F740" s="15">
        <v>46069</v>
      </c>
      <c r="G740" t="s">
        <v>367</v>
      </c>
      <c r="H740">
        <v>4</v>
      </c>
      <c r="I740">
        <v>2026</v>
      </c>
      <c r="J740">
        <v>2</v>
      </c>
      <c r="K740" t="s">
        <v>87</v>
      </c>
      <c r="L740" t="s">
        <v>28</v>
      </c>
      <c r="M740" t="s">
        <v>63</v>
      </c>
      <c r="N740" t="b">
        <v>0</v>
      </c>
      <c r="O740">
        <v>0</v>
      </c>
      <c r="P740">
        <v>0</v>
      </c>
      <c r="Q740">
        <v>1</v>
      </c>
      <c r="R740">
        <v>0</v>
      </c>
    </row>
    <row r="741" spans="1:18" x14ac:dyDescent="0.25">
      <c r="A741" t="s">
        <v>322</v>
      </c>
      <c r="B741" t="s">
        <v>63</v>
      </c>
      <c r="C741">
        <v>2</v>
      </c>
      <c r="D741">
        <v>2</v>
      </c>
      <c r="E741">
        <v>1</v>
      </c>
      <c r="F741" s="15">
        <v>46069</v>
      </c>
      <c r="G741" t="s">
        <v>367</v>
      </c>
      <c r="H741">
        <v>4</v>
      </c>
      <c r="I741">
        <v>2026</v>
      </c>
      <c r="J741">
        <v>2</v>
      </c>
      <c r="K741" t="s">
        <v>87</v>
      </c>
      <c r="L741" t="s">
        <v>14</v>
      </c>
      <c r="M741" t="s">
        <v>63</v>
      </c>
      <c r="N741" t="b">
        <v>0</v>
      </c>
      <c r="O741">
        <v>0</v>
      </c>
      <c r="P741">
        <v>0</v>
      </c>
      <c r="Q741">
        <v>1</v>
      </c>
      <c r="R741">
        <v>0</v>
      </c>
    </row>
    <row r="742" spans="1:18" x14ac:dyDescent="0.25">
      <c r="A742" t="s">
        <v>322</v>
      </c>
      <c r="B742" t="s">
        <v>63</v>
      </c>
      <c r="C742">
        <v>2</v>
      </c>
      <c r="D742">
        <v>2</v>
      </c>
      <c r="E742">
        <v>1</v>
      </c>
      <c r="F742" s="15">
        <v>46069</v>
      </c>
      <c r="G742" t="s">
        <v>367</v>
      </c>
      <c r="H742">
        <v>4</v>
      </c>
      <c r="I742">
        <v>2026</v>
      </c>
      <c r="J742">
        <v>2</v>
      </c>
      <c r="K742" t="s">
        <v>87</v>
      </c>
      <c r="L742" t="s">
        <v>363</v>
      </c>
      <c r="M742" t="s">
        <v>63</v>
      </c>
      <c r="N742" t="b">
        <v>0</v>
      </c>
      <c r="O742">
        <v>0</v>
      </c>
      <c r="P742">
        <v>0</v>
      </c>
      <c r="Q742">
        <v>1</v>
      </c>
      <c r="R742">
        <v>0</v>
      </c>
    </row>
    <row r="743" spans="1:18" x14ac:dyDescent="0.25">
      <c r="A743" t="s">
        <v>322</v>
      </c>
      <c r="B743" t="s">
        <v>63</v>
      </c>
      <c r="C743">
        <v>2</v>
      </c>
      <c r="D743">
        <v>2</v>
      </c>
      <c r="E743">
        <v>1</v>
      </c>
      <c r="F743" s="15">
        <v>46069</v>
      </c>
      <c r="G743" t="s">
        <v>367</v>
      </c>
      <c r="H743">
        <v>4</v>
      </c>
      <c r="I743">
        <v>2026</v>
      </c>
      <c r="J743">
        <v>2</v>
      </c>
      <c r="K743" t="s">
        <v>87</v>
      </c>
      <c r="L743" t="s">
        <v>28</v>
      </c>
      <c r="M743" t="s">
        <v>63</v>
      </c>
      <c r="N743" t="b">
        <v>0</v>
      </c>
      <c r="O743">
        <v>0</v>
      </c>
      <c r="P743">
        <v>0</v>
      </c>
      <c r="Q743">
        <v>1</v>
      </c>
      <c r="R743">
        <v>0</v>
      </c>
    </row>
    <row r="744" spans="1:18" x14ac:dyDescent="0.25">
      <c r="A744" t="s">
        <v>363</v>
      </c>
      <c r="B744" t="s">
        <v>63</v>
      </c>
      <c r="C744">
        <v>3</v>
      </c>
      <c r="D744">
        <v>2</v>
      </c>
      <c r="E744">
        <v>1</v>
      </c>
      <c r="F744" s="15">
        <v>46069</v>
      </c>
      <c r="G744" t="s">
        <v>367</v>
      </c>
      <c r="H744">
        <v>4</v>
      </c>
      <c r="I744">
        <v>2026</v>
      </c>
      <c r="J744">
        <v>2</v>
      </c>
      <c r="K744" t="s">
        <v>87</v>
      </c>
      <c r="L744" t="s">
        <v>14</v>
      </c>
      <c r="M744" t="s">
        <v>63</v>
      </c>
      <c r="N744" t="b">
        <v>0</v>
      </c>
      <c r="O744">
        <v>0</v>
      </c>
      <c r="P744">
        <v>0</v>
      </c>
      <c r="Q744">
        <v>1</v>
      </c>
      <c r="R744">
        <v>0</v>
      </c>
    </row>
    <row r="745" spans="1:18" x14ac:dyDescent="0.25">
      <c r="A745" t="s">
        <v>363</v>
      </c>
      <c r="B745" t="s">
        <v>63</v>
      </c>
      <c r="C745">
        <v>3</v>
      </c>
      <c r="D745">
        <v>2</v>
      </c>
      <c r="E745">
        <v>1</v>
      </c>
      <c r="F745" s="15">
        <v>46069</v>
      </c>
      <c r="G745" t="s">
        <v>367</v>
      </c>
      <c r="H745">
        <v>4</v>
      </c>
      <c r="I745">
        <v>2026</v>
      </c>
      <c r="J745">
        <v>2</v>
      </c>
      <c r="K745" t="s">
        <v>87</v>
      </c>
      <c r="L745" t="s">
        <v>322</v>
      </c>
      <c r="M745" t="s">
        <v>63</v>
      </c>
      <c r="N745" t="b">
        <v>0</v>
      </c>
      <c r="O745">
        <v>0</v>
      </c>
      <c r="P745">
        <v>0</v>
      </c>
      <c r="Q745">
        <v>1</v>
      </c>
      <c r="R745">
        <v>0</v>
      </c>
    </row>
    <row r="746" spans="1:18" x14ac:dyDescent="0.25">
      <c r="A746" t="s">
        <v>363</v>
      </c>
      <c r="B746" t="s">
        <v>63</v>
      </c>
      <c r="C746">
        <v>3</v>
      </c>
      <c r="D746">
        <v>2</v>
      </c>
      <c r="E746">
        <v>1</v>
      </c>
      <c r="F746" s="15">
        <v>46069</v>
      </c>
      <c r="G746" t="s">
        <v>367</v>
      </c>
      <c r="H746">
        <v>4</v>
      </c>
      <c r="I746">
        <v>2026</v>
      </c>
      <c r="J746">
        <v>2</v>
      </c>
      <c r="K746" t="s">
        <v>87</v>
      </c>
      <c r="L746" t="s">
        <v>28</v>
      </c>
      <c r="M746" t="s">
        <v>63</v>
      </c>
      <c r="N746" t="b">
        <v>0</v>
      </c>
      <c r="O746">
        <v>0</v>
      </c>
      <c r="P746">
        <v>0</v>
      </c>
      <c r="Q746">
        <v>1</v>
      </c>
      <c r="R746">
        <v>0</v>
      </c>
    </row>
    <row r="747" spans="1:18" x14ac:dyDescent="0.25">
      <c r="A747" t="s">
        <v>28</v>
      </c>
      <c r="B747" t="s">
        <v>63</v>
      </c>
      <c r="C747">
        <v>4</v>
      </c>
      <c r="D747">
        <v>2</v>
      </c>
      <c r="E747">
        <v>1</v>
      </c>
      <c r="F747" s="15">
        <v>46069</v>
      </c>
      <c r="G747" t="s">
        <v>367</v>
      </c>
      <c r="H747">
        <v>4</v>
      </c>
      <c r="I747">
        <v>2026</v>
      </c>
      <c r="J747">
        <v>2</v>
      </c>
      <c r="K747" t="s">
        <v>87</v>
      </c>
      <c r="L747" t="s">
        <v>14</v>
      </c>
      <c r="M747" t="s">
        <v>63</v>
      </c>
      <c r="N747" t="b">
        <v>0</v>
      </c>
      <c r="O747">
        <v>0</v>
      </c>
      <c r="P747">
        <v>0</v>
      </c>
      <c r="Q747">
        <v>1</v>
      </c>
      <c r="R747">
        <v>0</v>
      </c>
    </row>
    <row r="748" spans="1:18" x14ac:dyDescent="0.25">
      <c r="A748" t="s">
        <v>28</v>
      </c>
      <c r="B748" t="s">
        <v>63</v>
      </c>
      <c r="C748">
        <v>4</v>
      </c>
      <c r="D748">
        <v>2</v>
      </c>
      <c r="E748">
        <v>1</v>
      </c>
      <c r="F748" s="15">
        <v>46069</v>
      </c>
      <c r="G748" t="s">
        <v>367</v>
      </c>
      <c r="H748">
        <v>4</v>
      </c>
      <c r="I748">
        <v>2026</v>
      </c>
      <c r="J748">
        <v>2</v>
      </c>
      <c r="K748" t="s">
        <v>87</v>
      </c>
      <c r="L748" t="s">
        <v>322</v>
      </c>
      <c r="M748" t="s">
        <v>63</v>
      </c>
      <c r="N748" t="b">
        <v>0</v>
      </c>
      <c r="O748">
        <v>0</v>
      </c>
      <c r="P748">
        <v>0</v>
      </c>
      <c r="Q748">
        <v>1</v>
      </c>
      <c r="R748">
        <v>0</v>
      </c>
    </row>
    <row r="749" spans="1:18" x14ac:dyDescent="0.25">
      <c r="A749" t="s">
        <v>28</v>
      </c>
      <c r="B749" t="s">
        <v>63</v>
      </c>
      <c r="C749">
        <v>4</v>
      </c>
      <c r="D749">
        <v>2</v>
      </c>
      <c r="E749">
        <v>1</v>
      </c>
      <c r="F749" s="15">
        <v>46069</v>
      </c>
      <c r="G749" t="s">
        <v>367</v>
      </c>
      <c r="H749">
        <v>4</v>
      </c>
      <c r="I749">
        <v>2026</v>
      </c>
      <c r="J749">
        <v>2</v>
      </c>
      <c r="K749" t="s">
        <v>87</v>
      </c>
      <c r="L749" t="s">
        <v>363</v>
      </c>
      <c r="M749" t="s">
        <v>63</v>
      </c>
      <c r="N749" t="b">
        <v>0</v>
      </c>
      <c r="O749">
        <v>0</v>
      </c>
      <c r="P749">
        <v>0</v>
      </c>
      <c r="Q749">
        <v>1</v>
      </c>
      <c r="R749">
        <v>0</v>
      </c>
    </row>
    <row r="750" spans="1:18" x14ac:dyDescent="0.25">
      <c r="A750" t="s">
        <v>14</v>
      </c>
      <c r="B750" t="s">
        <v>6</v>
      </c>
      <c r="C750">
        <v>3</v>
      </c>
      <c r="D750">
        <v>5</v>
      </c>
      <c r="E750">
        <v>2</v>
      </c>
      <c r="F750" s="15">
        <v>46069</v>
      </c>
      <c r="G750" t="s">
        <v>375</v>
      </c>
      <c r="H750">
        <v>3</v>
      </c>
      <c r="I750">
        <v>2026</v>
      </c>
      <c r="J750">
        <v>2</v>
      </c>
      <c r="K750" t="s">
        <v>87</v>
      </c>
      <c r="L750" t="s">
        <v>325</v>
      </c>
      <c r="M750" t="s">
        <v>8</v>
      </c>
      <c r="N750" t="b">
        <v>0</v>
      </c>
      <c r="O750">
        <v>0</v>
      </c>
      <c r="P750">
        <v>1</v>
      </c>
      <c r="Q750">
        <v>0</v>
      </c>
      <c r="R750">
        <v>1</v>
      </c>
    </row>
    <row r="751" spans="1:18" x14ac:dyDescent="0.25">
      <c r="A751" t="s">
        <v>14</v>
      </c>
      <c r="B751" t="s">
        <v>6</v>
      </c>
      <c r="C751">
        <v>3</v>
      </c>
      <c r="D751">
        <v>5</v>
      </c>
      <c r="E751">
        <v>2</v>
      </c>
      <c r="F751" s="15">
        <v>46069</v>
      </c>
      <c r="G751" t="s">
        <v>375</v>
      </c>
      <c r="H751">
        <v>3</v>
      </c>
      <c r="I751">
        <v>2026</v>
      </c>
      <c r="J751">
        <v>2</v>
      </c>
      <c r="K751" t="s">
        <v>87</v>
      </c>
      <c r="L751" t="s">
        <v>42</v>
      </c>
      <c r="M751" t="s">
        <v>6</v>
      </c>
      <c r="N751" t="b">
        <v>0</v>
      </c>
      <c r="O751">
        <v>0</v>
      </c>
      <c r="P751">
        <v>1</v>
      </c>
      <c r="Q751">
        <v>0</v>
      </c>
      <c r="R751">
        <v>0</v>
      </c>
    </row>
    <row r="752" spans="1:18" x14ac:dyDescent="0.25">
      <c r="A752" t="s">
        <v>325</v>
      </c>
      <c r="B752" t="s">
        <v>8</v>
      </c>
      <c r="C752">
        <v>1</v>
      </c>
      <c r="D752">
        <v>5</v>
      </c>
      <c r="E752">
        <v>2</v>
      </c>
      <c r="F752" s="15">
        <v>46069</v>
      </c>
      <c r="G752" t="s">
        <v>375</v>
      </c>
      <c r="H752">
        <v>3</v>
      </c>
      <c r="I752">
        <v>2026</v>
      </c>
      <c r="J752">
        <v>2</v>
      </c>
      <c r="K752" t="s">
        <v>87</v>
      </c>
      <c r="L752" t="s">
        <v>14</v>
      </c>
      <c r="M752" t="s">
        <v>6</v>
      </c>
      <c r="N752" t="b">
        <v>0</v>
      </c>
      <c r="O752">
        <v>1</v>
      </c>
      <c r="P752">
        <v>0</v>
      </c>
      <c r="Q752">
        <v>0</v>
      </c>
      <c r="R752">
        <v>0</v>
      </c>
    </row>
    <row r="753" spans="1:18" x14ac:dyDescent="0.25">
      <c r="A753" t="s">
        <v>325</v>
      </c>
      <c r="B753" t="s">
        <v>8</v>
      </c>
      <c r="C753">
        <v>1</v>
      </c>
      <c r="D753">
        <v>5</v>
      </c>
      <c r="E753">
        <v>2</v>
      </c>
      <c r="F753" s="15">
        <v>46069</v>
      </c>
      <c r="G753" t="s">
        <v>375</v>
      </c>
      <c r="H753">
        <v>3</v>
      </c>
      <c r="I753">
        <v>2026</v>
      </c>
      <c r="J753">
        <v>2</v>
      </c>
      <c r="K753" t="s">
        <v>87</v>
      </c>
      <c r="L753" t="s">
        <v>42</v>
      </c>
      <c r="M753" t="s">
        <v>6</v>
      </c>
      <c r="N753" t="b">
        <v>0</v>
      </c>
      <c r="O753">
        <v>1</v>
      </c>
      <c r="P753">
        <v>0</v>
      </c>
      <c r="Q753">
        <v>0</v>
      </c>
      <c r="R753">
        <v>0</v>
      </c>
    </row>
    <row r="754" spans="1:18" x14ac:dyDescent="0.25">
      <c r="A754" t="s">
        <v>42</v>
      </c>
      <c r="B754" t="s">
        <v>6</v>
      </c>
      <c r="C754">
        <v>2</v>
      </c>
      <c r="D754">
        <v>5</v>
      </c>
      <c r="E754">
        <v>2</v>
      </c>
      <c r="F754" s="15">
        <v>46069</v>
      </c>
      <c r="G754" t="s">
        <v>375</v>
      </c>
      <c r="H754">
        <v>3</v>
      </c>
      <c r="I754">
        <v>2026</v>
      </c>
      <c r="J754">
        <v>2</v>
      </c>
      <c r="K754" t="s">
        <v>87</v>
      </c>
      <c r="L754" t="s">
        <v>14</v>
      </c>
      <c r="M754" t="s">
        <v>6</v>
      </c>
      <c r="N754" t="b">
        <v>0</v>
      </c>
      <c r="O754">
        <v>0</v>
      </c>
      <c r="P754">
        <v>1</v>
      </c>
      <c r="Q754">
        <v>0</v>
      </c>
      <c r="R754">
        <v>0</v>
      </c>
    </row>
    <row r="755" spans="1:18" x14ac:dyDescent="0.25">
      <c r="A755" t="s">
        <v>42</v>
      </c>
      <c r="B755" t="s">
        <v>6</v>
      </c>
      <c r="C755">
        <v>2</v>
      </c>
      <c r="D755">
        <v>5</v>
      </c>
      <c r="E755">
        <v>2</v>
      </c>
      <c r="F755" s="15">
        <v>46069</v>
      </c>
      <c r="G755" t="s">
        <v>375</v>
      </c>
      <c r="H755">
        <v>3</v>
      </c>
      <c r="I755">
        <v>2026</v>
      </c>
      <c r="J755">
        <v>2</v>
      </c>
      <c r="K755" t="s">
        <v>87</v>
      </c>
      <c r="L755" t="s">
        <v>325</v>
      </c>
      <c r="M755" t="s">
        <v>8</v>
      </c>
      <c r="N755" t="b">
        <v>0</v>
      </c>
      <c r="O755">
        <v>0</v>
      </c>
      <c r="P755">
        <v>1</v>
      </c>
      <c r="Q755">
        <v>0</v>
      </c>
      <c r="R755">
        <v>1</v>
      </c>
    </row>
    <row r="756" spans="1:18" x14ac:dyDescent="0.25">
      <c r="A756" t="s">
        <v>553</v>
      </c>
      <c r="B756" t="s">
        <v>6</v>
      </c>
      <c r="C756">
        <v>1</v>
      </c>
      <c r="D756">
        <v>3</v>
      </c>
      <c r="E756">
        <v>1</v>
      </c>
      <c r="F756" s="15">
        <v>46048</v>
      </c>
      <c r="G756" t="s">
        <v>329</v>
      </c>
      <c r="H756">
        <v>3</v>
      </c>
      <c r="I756">
        <v>2026</v>
      </c>
      <c r="J756">
        <v>1</v>
      </c>
      <c r="K756" t="s">
        <v>87</v>
      </c>
      <c r="L756" t="s">
        <v>324</v>
      </c>
      <c r="M756" t="s">
        <v>6</v>
      </c>
      <c r="N756" t="b">
        <v>0</v>
      </c>
      <c r="O756">
        <v>0</v>
      </c>
      <c r="P756">
        <v>1</v>
      </c>
      <c r="Q756">
        <v>0</v>
      </c>
      <c r="R756">
        <v>0</v>
      </c>
    </row>
    <row r="757" spans="1:18" x14ac:dyDescent="0.25">
      <c r="A757" t="s">
        <v>553</v>
      </c>
      <c r="B757" t="s">
        <v>6</v>
      </c>
      <c r="C757">
        <v>1</v>
      </c>
      <c r="D757">
        <v>3</v>
      </c>
      <c r="E757">
        <v>1</v>
      </c>
      <c r="F757" s="15">
        <v>46048</v>
      </c>
      <c r="G757" t="s">
        <v>329</v>
      </c>
      <c r="H757">
        <v>3</v>
      </c>
      <c r="I757">
        <v>2026</v>
      </c>
      <c r="J757">
        <v>1</v>
      </c>
      <c r="K757" t="s">
        <v>87</v>
      </c>
      <c r="L757" t="s">
        <v>9</v>
      </c>
      <c r="M757" t="s">
        <v>8</v>
      </c>
      <c r="N757" t="b">
        <v>0</v>
      </c>
      <c r="O757">
        <v>0</v>
      </c>
      <c r="P757">
        <v>1</v>
      </c>
      <c r="Q757">
        <v>0</v>
      </c>
      <c r="R757">
        <v>1</v>
      </c>
    </row>
    <row r="758" spans="1:18" x14ac:dyDescent="0.25">
      <c r="A758" t="s">
        <v>324</v>
      </c>
      <c r="B758" t="s">
        <v>6</v>
      </c>
      <c r="C758">
        <v>3</v>
      </c>
      <c r="D758">
        <v>3</v>
      </c>
      <c r="E758">
        <v>1</v>
      </c>
      <c r="F758" s="15">
        <v>46048</v>
      </c>
      <c r="G758" t="s">
        <v>329</v>
      </c>
      <c r="H758">
        <v>3</v>
      </c>
      <c r="I758">
        <v>2026</v>
      </c>
      <c r="J758">
        <v>1</v>
      </c>
      <c r="K758" t="s">
        <v>87</v>
      </c>
      <c r="L758" t="s">
        <v>553</v>
      </c>
      <c r="M758" t="s">
        <v>6</v>
      </c>
      <c r="N758" t="b">
        <v>0</v>
      </c>
      <c r="O758">
        <v>0</v>
      </c>
      <c r="P758">
        <v>1</v>
      </c>
      <c r="Q758">
        <v>0</v>
      </c>
      <c r="R758">
        <v>0</v>
      </c>
    </row>
    <row r="759" spans="1:18" x14ac:dyDescent="0.25">
      <c r="A759" t="s">
        <v>324</v>
      </c>
      <c r="B759" t="s">
        <v>6</v>
      </c>
      <c r="C759">
        <v>3</v>
      </c>
      <c r="D759">
        <v>3</v>
      </c>
      <c r="E759">
        <v>1</v>
      </c>
      <c r="F759" s="15">
        <v>46048</v>
      </c>
      <c r="G759" t="s">
        <v>329</v>
      </c>
      <c r="H759">
        <v>3</v>
      </c>
      <c r="I759">
        <v>2026</v>
      </c>
      <c r="J759">
        <v>1</v>
      </c>
      <c r="K759" t="s">
        <v>87</v>
      </c>
      <c r="L759" t="s">
        <v>9</v>
      </c>
      <c r="M759" t="s">
        <v>8</v>
      </c>
      <c r="N759" t="b">
        <v>0</v>
      </c>
      <c r="O759">
        <v>0</v>
      </c>
      <c r="P759">
        <v>1</v>
      </c>
      <c r="Q759">
        <v>0</v>
      </c>
      <c r="R759">
        <v>1</v>
      </c>
    </row>
    <row r="760" spans="1:18" x14ac:dyDescent="0.25">
      <c r="A760" t="s">
        <v>9</v>
      </c>
      <c r="B760" t="s">
        <v>8</v>
      </c>
      <c r="C760">
        <v>2</v>
      </c>
      <c r="D760">
        <v>3</v>
      </c>
      <c r="E760">
        <v>1</v>
      </c>
      <c r="F760" s="15">
        <v>46048</v>
      </c>
      <c r="G760" t="s">
        <v>329</v>
      </c>
      <c r="H760">
        <v>3</v>
      </c>
      <c r="I760">
        <v>2026</v>
      </c>
      <c r="J760">
        <v>1</v>
      </c>
      <c r="K760" t="s">
        <v>87</v>
      </c>
      <c r="L760" t="s">
        <v>553</v>
      </c>
      <c r="M760" t="s">
        <v>6</v>
      </c>
      <c r="N760" t="b">
        <v>0</v>
      </c>
      <c r="O760">
        <v>1</v>
      </c>
      <c r="P760">
        <v>0</v>
      </c>
      <c r="Q760">
        <v>0</v>
      </c>
      <c r="R760">
        <v>0</v>
      </c>
    </row>
    <row r="761" spans="1:18" x14ac:dyDescent="0.25">
      <c r="A761" t="s">
        <v>9</v>
      </c>
      <c r="B761" t="s">
        <v>8</v>
      </c>
      <c r="C761">
        <v>2</v>
      </c>
      <c r="D761">
        <v>3</v>
      </c>
      <c r="E761">
        <v>1</v>
      </c>
      <c r="F761" s="15">
        <v>46048</v>
      </c>
      <c r="G761" t="s">
        <v>329</v>
      </c>
      <c r="H761">
        <v>3</v>
      </c>
      <c r="I761">
        <v>2026</v>
      </c>
      <c r="J761">
        <v>1</v>
      </c>
      <c r="K761" t="s">
        <v>87</v>
      </c>
      <c r="L761" t="s">
        <v>324</v>
      </c>
      <c r="M761" t="s">
        <v>6</v>
      </c>
      <c r="N761" t="b">
        <v>0</v>
      </c>
      <c r="O761">
        <v>1</v>
      </c>
      <c r="P761">
        <v>0</v>
      </c>
      <c r="Q761">
        <v>0</v>
      </c>
      <c r="R761">
        <v>0</v>
      </c>
    </row>
    <row r="762" spans="1:18" x14ac:dyDescent="0.25">
      <c r="A762" t="s">
        <v>553</v>
      </c>
      <c r="B762" t="s">
        <v>6</v>
      </c>
      <c r="C762">
        <v>3</v>
      </c>
      <c r="D762">
        <v>2</v>
      </c>
      <c r="E762">
        <v>2</v>
      </c>
      <c r="F762" s="15">
        <v>46048</v>
      </c>
      <c r="G762" t="s">
        <v>335</v>
      </c>
      <c r="H762">
        <v>4</v>
      </c>
      <c r="I762">
        <v>2026</v>
      </c>
      <c r="J762">
        <v>1</v>
      </c>
      <c r="K762" t="s">
        <v>87</v>
      </c>
      <c r="L762" t="s">
        <v>19</v>
      </c>
      <c r="M762" t="s">
        <v>6</v>
      </c>
      <c r="N762" t="b">
        <v>0</v>
      </c>
      <c r="O762">
        <v>0</v>
      </c>
      <c r="P762">
        <v>1</v>
      </c>
      <c r="Q762">
        <v>0</v>
      </c>
      <c r="R762">
        <v>0</v>
      </c>
    </row>
    <row r="763" spans="1:18" x14ac:dyDescent="0.25">
      <c r="A763" t="s">
        <v>553</v>
      </c>
      <c r="B763" t="s">
        <v>6</v>
      </c>
      <c r="C763">
        <v>3</v>
      </c>
      <c r="D763">
        <v>2</v>
      </c>
      <c r="E763">
        <v>2</v>
      </c>
      <c r="F763" s="15">
        <v>46048</v>
      </c>
      <c r="G763" t="s">
        <v>335</v>
      </c>
      <c r="H763">
        <v>4</v>
      </c>
      <c r="I763">
        <v>2026</v>
      </c>
      <c r="J763">
        <v>1</v>
      </c>
      <c r="K763" t="s">
        <v>87</v>
      </c>
      <c r="L763" t="s">
        <v>321</v>
      </c>
      <c r="M763" t="s">
        <v>6</v>
      </c>
      <c r="N763" t="b">
        <v>0</v>
      </c>
      <c r="O763">
        <v>0</v>
      </c>
      <c r="P763">
        <v>1</v>
      </c>
      <c r="Q763">
        <v>0</v>
      </c>
      <c r="R763">
        <v>0</v>
      </c>
    </row>
    <row r="764" spans="1:18" x14ac:dyDescent="0.25">
      <c r="A764" t="s">
        <v>553</v>
      </c>
      <c r="B764" t="s">
        <v>6</v>
      </c>
      <c r="C764">
        <v>3</v>
      </c>
      <c r="D764">
        <v>2</v>
      </c>
      <c r="E764">
        <v>2</v>
      </c>
      <c r="F764" s="15">
        <v>46048</v>
      </c>
      <c r="G764" t="s">
        <v>335</v>
      </c>
      <c r="H764">
        <v>4</v>
      </c>
      <c r="I764">
        <v>2026</v>
      </c>
      <c r="J764">
        <v>1</v>
      </c>
      <c r="K764" t="s">
        <v>87</v>
      </c>
      <c r="L764" t="s">
        <v>364</v>
      </c>
      <c r="M764" t="s">
        <v>8</v>
      </c>
      <c r="N764" t="b">
        <v>0</v>
      </c>
      <c r="O764">
        <v>0</v>
      </c>
      <c r="P764">
        <v>1</v>
      </c>
      <c r="Q764">
        <v>0</v>
      </c>
      <c r="R764">
        <v>1</v>
      </c>
    </row>
    <row r="765" spans="1:18" x14ac:dyDescent="0.25">
      <c r="A765" t="s">
        <v>19</v>
      </c>
      <c r="B765" t="s">
        <v>6</v>
      </c>
      <c r="C765">
        <v>4</v>
      </c>
      <c r="D765">
        <v>2</v>
      </c>
      <c r="E765">
        <v>2</v>
      </c>
      <c r="F765" s="15">
        <v>46048</v>
      </c>
      <c r="G765" t="s">
        <v>335</v>
      </c>
      <c r="H765">
        <v>4</v>
      </c>
      <c r="I765">
        <v>2026</v>
      </c>
      <c r="J765">
        <v>1</v>
      </c>
      <c r="K765" t="s">
        <v>87</v>
      </c>
      <c r="L765" t="s">
        <v>553</v>
      </c>
      <c r="M765" t="s">
        <v>6</v>
      </c>
      <c r="N765" t="b">
        <v>0</v>
      </c>
      <c r="O765">
        <v>0</v>
      </c>
      <c r="P765">
        <v>1</v>
      </c>
      <c r="Q765">
        <v>0</v>
      </c>
      <c r="R765">
        <v>0</v>
      </c>
    </row>
    <row r="766" spans="1:18" x14ac:dyDescent="0.25">
      <c r="A766" t="s">
        <v>19</v>
      </c>
      <c r="B766" t="s">
        <v>6</v>
      </c>
      <c r="C766">
        <v>4</v>
      </c>
      <c r="D766">
        <v>2</v>
      </c>
      <c r="E766">
        <v>2</v>
      </c>
      <c r="F766" s="15">
        <v>46048</v>
      </c>
      <c r="G766" t="s">
        <v>335</v>
      </c>
      <c r="H766">
        <v>4</v>
      </c>
      <c r="I766">
        <v>2026</v>
      </c>
      <c r="J766">
        <v>1</v>
      </c>
      <c r="K766" t="s">
        <v>87</v>
      </c>
      <c r="L766" t="s">
        <v>321</v>
      </c>
      <c r="M766" t="s">
        <v>6</v>
      </c>
      <c r="N766" t="b">
        <v>0</v>
      </c>
      <c r="O766">
        <v>0</v>
      </c>
      <c r="P766">
        <v>1</v>
      </c>
      <c r="Q766">
        <v>0</v>
      </c>
      <c r="R766">
        <v>0</v>
      </c>
    </row>
    <row r="767" spans="1:18" x14ac:dyDescent="0.25">
      <c r="A767" t="s">
        <v>19</v>
      </c>
      <c r="B767" t="s">
        <v>6</v>
      </c>
      <c r="C767">
        <v>4</v>
      </c>
      <c r="D767">
        <v>2</v>
      </c>
      <c r="E767">
        <v>2</v>
      </c>
      <c r="F767" s="15">
        <v>46048</v>
      </c>
      <c r="G767" t="s">
        <v>335</v>
      </c>
      <c r="H767">
        <v>4</v>
      </c>
      <c r="I767">
        <v>2026</v>
      </c>
      <c r="J767">
        <v>1</v>
      </c>
      <c r="K767" t="s">
        <v>87</v>
      </c>
      <c r="L767" t="s">
        <v>364</v>
      </c>
      <c r="M767" t="s">
        <v>8</v>
      </c>
      <c r="N767" t="b">
        <v>0</v>
      </c>
      <c r="O767">
        <v>0</v>
      </c>
      <c r="P767">
        <v>1</v>
      </c>
      <c r="Q767">
        <v>0</v>
      </c>
      <c r="R767">
        <v>1</v>
      </c>
    </row>
    <row r="768" spans="1:18" x14ac:dyDescent="0.25">
      <c r="A768" t="s">
        <v>321</v>
      </c>
      <c r="B768" t="s">
        <v>6</v>
      </c>
      <c r="C768">
        <v>2</v>
      </c>
      <c r="D768">
        <v>2</v>
      </c>
      <c r="E768">
        <v>2</v>
      </c>
      <c r="F768" s="15">
        <v>46048</v>
      </c>
      <c r="G768" t="s">
        <v>335</v>
      </c>
      <c r="H768">
        <v>4</v>
      </c>
      <c r="I768">
        <v>2026</v>
      </c>
      <c r="J768">
        <v>1</v>
      </c>
      <c r="K768" t="s">
        <v>87</v>
      </c>
      <c r="L768" t="s">
        <v>553</v>
      </c>
      <c r="M768" t="s">
        <v>6</v>
      </c>
      <c r="N768" t="b">
        <v>0</v>
      </c>
      <c r="O768">
        <v>0</v>
      </c>
      <c r="P768">
        <v>1</v>
      </c>
      <c r="Q768">
        <v>0</v>
      </c>
      <c r="R768">
        <v>0</v>
      </c>
    </row>
    <row r="769" spans="1:18" x14ac:dyDescent="0.25">
      <c r="A769" t="s">
        <v>321</v>
      </c>
      <c r="B769" t="s">
        <v>6</v>
      </c>
      <c r="C769">
        <v>2</v>
      </c>
      <c r="D769">
        <v>2</v>
      </c>
      <c r="E769">
        <v>2</v>
      </c>
      <c r="F769" s="15">
        <v>46048</v>
      </c>
      <c r="G769" t="s">
        <v>335</v>
      </c>
      <c r="H769">
        <v>4</v>
      </c>
      <c r="I769">
        <v>2026</v>
      </c>
      <c r="J769">
        <v>1</v>
      </c>
      <c r="K769" t="s">
        <v>87</v>
      </c>
      <c r="L769" t="s">
        <v>19</v>
      </c>
      <c r="M769" t="s">
        <v>6</v>
      </c>
      <c r="N769" t="b">
        <v>0</v>
      </c>
      <c r="O769">
        <v>0</v>
      </c>
      <c r="P769">
        <v>1</v>
      </c>
      <c r="Q769">
        <v>0</v>
      </c>
      <c r="R769">
        <v>0</v>
      </c>
    </row>
    <row r="770" spans="1:18" x14ac:dyDescent="0.25">
      <c r="A770" t="s">
        <v>321</v>
      </c>
      <c r="B770" t="s">
        <v>6</v>
      </c>
      <c r="C770">
        <v>2</v>
      </c>
      <c r="D770">
        <v>2</v>
      </c>
      <c r="E770">
        <v>2</v>
      </c>
      <c r="F770" s="15">
        <v>46048</v>
      </c>
      <c r="G770" t="s">
        <v>335</v>
      </c>
      <c r="H770">
        <v>4</v>
      </c>
      <c r="I770">
        <v>2026</v>
      </c>
      <c r="J770">
        <v>1</v>
      </c>
      <c r="K770" t="s">
        <v>87</v>
      </c>
      <c r="L770" t="s">
        <v>364</v>
      </c>
      <c r="M770" t="s">
        <v>8</v>
      </c>
      <c r="N770" t="b">
        <v>0</v>
      </c>
      <c r="O770">
        <v>0</v>
      </c>
      <c r="P770">
        <v>1</v>
      </c>
      <c r="Q770">
        <v>0</v>
      </c>
      <c r="R770">
        <v>1</v>
      </c>
    </row>
    <row r="771" spans="1:18" x14ac:dyDescent="0.25">
      <c r="A771" t="s">
        <v>364</v>
      </c>
      <c r="B771" t="s">
        <v>8</v>
      </c>
      <c r="C771">
        <v>1</v>
      </c>
      <c r="D771">
        <v>2</v>
      </c>
      <c r="E771">
        <v>2</v>
      </c>
      <c r="F771" s="15">
        <v>46048</v>
      </c>
      <c r="G771" t="s">
        <v>335</v>
      </c>
      <c r="H771">
        <v>4</v>
      </c>
      <c r="I771">
        <v>2026</v>
      </c>
      <c r="J771">
        <v>1</v>
      </c>
      <c r="K771" t="s">
        <v>87</v>
      </c>
      <c r="L771" t="s">
        <v>553</v>
      </c>
      <c r="M771" t="s">
        <v>6</v>
      </c>
      <c r="N771" t="b">
        <v>0</v>
      </c>
      <c r="O771">
        <v>1</v>
      </c>
      <c r="P771">
        <v>0</v>
      </c>
      <c r="Q771">
        <v>0</v>
      </c>
      <c r="R771">
        <v>0</v>
      </c>
    </row>
    <row r="772" spans="1:18" x14ac:dyDescent="0.25">
      <c r="A772" t="s">
        <v>364</v>
      </c>
      <c r="B772" t="s">
        <v>8</v>
      </c>
      <c r="C772">
        <v>1</v>
      </c>
      <c r="D772">
        <v>2</v>
      </c>
      <c r="E772">
        <v>2</v>
      </c>
      <c r="F772" s="15">
        <v>46048</v>
      </c>
      <c r="G772" t="s">
        <v>335</v>
      </c>
      <c r="H772">
        <v>4</v>
      </c>
      <c r="I772">
        <v>2026</v>
      </c>
      <c r="J772">
        <v>1</v>
      </c>
      <c r="K772" t="s">
        <v>87</v>
      </c>
      <c r="L772" t="s">
        <v>19</v>
      </c>
      <c r="M772" t="s">
        <v>6</v>
      </c>
      <c r="N772" t="b">
        <v>0</v>
      </c>
      <c r="O772">
        <v>1</v>
      </c>
      <c r="P772">
        <v>0</v>
      </c>
      <c r="Q772">
        <v>0</v>
      </c>
      <c r="R772">
        <v>0</v>
      </c>
    </row>
    <row r="773" spans="1:18" x14ac:dyDescent="0.25">
      <c r="A773" t="s">
        <v>364</v>
      </c>
      <c r="B773" t="s">
        <v>8</v>
      </c>
      <c r="C773">
        <v>1</v>
      </c>
      <c r="D773">
        <v>2</v>
      </c>
      <c r="E773">
        <v>2</v>
      </c>
      <c r="F773" s="15">
        <v>46048</v>
      </c>
      <c r="G773" t="s">
        <v>335</v>
      </c>
      <c r="H773">
        <v>4</v>
      </c>
      <c r="I773">
        <v>2026</v>
      </c>
      <c r="J773">
        <v>1</v>
      </c>
      <c r="K773" t="s">
        <v>87</v>
      </c>
      <c r="L773" t="s">
        <v>321</v>
      </c>
      <c r="M773" t="s">
        <v>6</v>
      </c>
      <c r="N773" t="b">
        <v>0</v>
      </c>
      <c r="O773">
        <v>1</v>
      </c>
      <c r="P773">
        <v>0</v>
      </c>
      <c r="Q773">
        <v>0</v>
      </c>
      <c r="R773">
        <v>0</v>
      </c>
    </row>
    <row r="774" spans="1:18" x14ac:dyDescent="0.25">
      <c r="A774" t="s">
        <v>59</v>
      </c>
      <c r="B774" t="s">
        <v>6</v>
      </c>
      <c r="C774">
        <v>3</v>
      </c>
      <c r="D774">
        <v>3</v>
      </c>
      <c r="E774">
        <v>1</v>
      </c>
      <c r="F774" s="15">
        <v>45951</v>
      </c>
      <c r="G774" t="s">
        <v>202</v>
      </c>
      <c r="H774">
        <v>4</v>
      </c>
      <c r="I774">
        <v>2025</v>
      </c>
      <c r="J774">
        <v>10</v>
      </c>
      <c r="K774" t="s">
        <v>87</v>
      </c>
      <c r="L774" t="s">
        <v>27</v>
      </c>
      <c r="M774" t="s">
        <v>6</v>
      </c>
      <c r="N774" t="b">
        <v>0</v>
      </c>
      <c r="O774">
        <v>0</v>
      </c>
      <c r="P774">
        <v>1</v>
      </c>
      <c r="Q774">
        <v>0</v>
      </c>
      <c r="R774">
        <v>0</v>
      </c>
    </row>
    <row r="775" spans="1:18" x14ac:dyDescent="0.25">
      <c r="A775" t="s">
        <v>59</v>
      </c>
      <c r="B775" t="s">
        <v>6</v>
      </c>
      <c r="C775">
        <v>3</v>
      </c>
      <c r="D775">
        <v>3</v>
      </c>
      <c r="E775">
        <v>1</v>
      </c>
      <c r="F775" s="15">
        <v>45951</v>
      </c>
      <c r="G775" t="s">
        <v>202</v>
      </c>
      <c r="H775">
        <v>4</v>
      </c>
      <c r="I775">
        <v>2025</v>
      </c>
      <c r="J775">
        <v>10</v>
      </c>
      <c r="K775" t="s">
        <v>87</v>
      </c>
      <c r="L775" t="s">
        <v>42</v>
      </c>
      <c r="M775" t="s">
        <v>6</v>
      </c>
      <c r="N775" t="b">
        <v>0</v>
      </c>
      <c r="O775">
        <v>0</v>
      </c>
      <c r="P775">
        <v>1</v>
      </c>
      <c r="Q775">
        <v>0</v>
      </c>
      <c r="R775">
        <v>0</v>
      </c>
    </row>
    <row r="776" spans="1:18" x14ac:dyDescent="0.25">
      <c r="A776" t="s">
        <v>59</v>
      </c>
      <c r="B776" t="s">
        <v>6</v>
      </c>
      <c r="C776">
        <v>3</v>
      </c>
      <c r="D776">
        <v>3</v>
      </c>
      <c r="E776">
        <v>1</v>
      </c>
      <c r="F776" s="15">
        <v>45951</v>
      </c>
      <c r="G776" t="s">
        <v>202</v>
      </c>
      <c r="H776">
        <v>4</v>
      </c>
      <c r="I776">
        <v>2025</v>
      </c>
      <c r="J776">
        <v>10</v>
      </c>
      <c r="K776" t="s">
        <v>87</v>
      </c>
      <c r="L776" t="s">
        <v>18</v>
      </c>
      <c r="M776" t="s">
        <v>8</v>
      </c>
      <c r="N776" t="b">
        <v>0</v>
      </c>
      <c r="O776">
        <v>0</v>
      </c>
      <c r="P776">
        <v>1</v>
      </c>
      <c r="Q776">
        <v>0</v>
      </c>
      <c r="R776">
        <v>1</v>
      </c>
    </row>
    <row r="777" spans="1:18" x14ac:dyDescent="0.25">
      <c r="A777" t="s">
        <v>27</v>
      </c>
      <c r="B777" t="s">
        <v>6</v>
      </c>
      <c r="C777">
        <v>1</v>
      </c>
      <c r="D777">
        <v>3</v>
      </c>
      <c r="E777">
        <v>1</v>
      </c>
      <c r="F777" s="15">
        <v>45951</v>
      </c>
      <c r="G777" t="s">
        <v>202</v>
      </c>
      <c r="H777">
        <v>4</v>
      </c>
      <c r="I777">
        <v>2025</v>
      </c>
      <c r="J777">
        <v>10</v>
      </c>
      <c r="K777" t="s">
        <v>87</v>
      </c>
      <c r="L777" t="s">
        <v>59</v>
      </c>
      <c r="M777" t="s">
        <v>6</v>
      </c>
      <c r="N777" t="b">
        <v>0</v>
      </c>
      <c r="O777">
        <v>0</v>
      </c>
      <c r="P777">
        <v>1</v>
      </c>
      <c r="Q777">
        <v>0</v>
      </c>
      <c r="R777">
        <v>0</v>
      </c>
    </row>
    <row r="778" spans="1:18" x14ac:dyDescent="0.25">
      <c r="A778" t="s">
        <v>27</v>
      </c>
      <c r="B778" t="s">
        <v>6</v>
      </c>
      <c r="C778">
        <v>1</v>
      </c>
      <c r="D778">
        <v>3</v>
      </c>
      <c r="E778">
        <v>1</v>
      </c>
      <c r="F778" s="15">
        <v>45951</v>
      </c>
      <c r="G778" t="s">
        <v>202</v>
      </c>
      <c r="H778">
        <v>4</v>
      </c>
      <c r="I778">
        <v>2025</v>
      </c>
      <c r="J778">
        <v>10</v>
      </c>
      <c r="K778" t="s">
        <v>87</v>
      </c>
      <c r="L778" t="s">
        <v>42</v>
      </c>
      <c r="M778" t="s">
        <v>6</v>
      </c>
      <c r="N778" t="b">
        <v>0</v>
      </c>
      <c r="O778">
        <v>0</v>
      </c>
      <c r="P778">
        <v>1</v>
      </c>
      <c r="Q778">
        <v>0</v>
      </c>
      <c r="R778">
        <v>0</v>
      </c>
    </row>
    <row r="779" spans="1:18" x14ac:dyDescent="0.25">
      <c r="A779" t="s">
        <v>27</v>
      </c>
      <c r="B779" t="s">
        <v>6</v>
      </c>
      <c r="C779">
        <v>1</v>
      </c>
      <c r="D779">
        <v>3</v>
      </c>
      <c r="E779">
        <v>1</v>
      </c>
      <c r="F779" s="15">
        <v>45951</v>
      </c>
      <c r="G779" t="s">
        <v>202</v>
      </c>
      <c r="H779">
        <v>4</v>
      </c>
      <c r="I779">
        <v>2025</v>
      </c>
      <c r="J779">
        <v>10</v>
      </c>
      <c r="K779" t="s">
        <v>87</v>
      </c>
      <c r="L779" t="s">
        <v>18</v>
      </c>
      <c r="M779" t="s">
        <v>8</v>
      </c>
      <c r="N779" t="b">
        <v>0</v>
      </c>
      <c r="O779">
        <v>0</v>
      </c>
      <c r="P779">
        <v>1</v>
      </c>
      <c r="Q779">
        <v>0</v>
      </c>
      <c r="R779">
        <v>1</v>
      </c>
    </row>
    <row r="780" spans="1:18" x14ac:dyDescent="0.25">
      <c r="A780" t="s">
        <v>42</v>
      </c>
      <c r="B780" t="s">
        <v>6</v>
      </c>
      <c r="C780">
        <v>4</v>
      </c>
      <c r="D780">
        <v>3</v>
      </c>
      <c r="E780">
        <v>1</v>
      </c>
      <c r="F780" s="15">
        <v>45951</v>
      </c>
      <c r="G780" t="s">
        <v>202</v>
      </c>
      <c r="H780">
        <v>4</v>
      </c>
      <c r="I780">
        <v>2025</v>
      </c>
      <c r="J780">
        <v>10</v>
      </c>
      <c r="K780" t="s">
        <v>87</v>
      </c>
      <c r="L780" t="s">
        <v>59</v>
      </c>
      <c r="M780" t="s">
        <v>6</v>
      </c>
      <c r="N780" t="b">
        <v>0</v>
      </c>
      <c r="O780">
        <v>0</v>
      </c>
      <c r="P780">
        <v>1</v>
      </c>
      <c r="Q780">
        <v>0</v>
      </c>
      <c r="R780">
        <v>0</v>
      </c>
    </row>
    <row r="781" spans="1:18" x14ac:dyDescent="0.25">
      <c r="A781" t="s">
        <v>42</v>
      </c>
      <c r="B781" t="s">
        <v>6</v>
      </c>
      <c r="C781">
        <v>4</v>
      </c>
      <c r="D781">
        <v>3</v>
      </c>
      <c r="E781">
        <v>1</v>
      </c>
      <c r="F781" s="15">
        <v>45951</v>
      </c>
      <c r="G781" t="s">
        <v>202</v>
      </c>
      <c r="H781">
        <v>4</v>
      </c>
      <c r="I781">
        <v>2025</v>
      </c>
      <c r="J781">
        <v>10</v>
      </c>
      <c r="K781" t="s">
        <v>87</v>
      </c>
      <c r="L781" t="s">
        <v>27</v>
      </c>
      <c r="M781" t="s">
        <v>6</v>
      </c>
      <c r="N781" t="b">
        <v>0</v>
      </c>
      <c r="O781">
        <v>0</v>
      </c>
      <c r="P781">
        <v>1</v>
      </c>
      <c r="Q781">
        <v>0</v>
      </c>
      <c r="R781">
        <v>0</v>
      </c>
    </row>
    <row r="782" spans="1:18" x14ac:dyDescent="0.25">
      <c r="A782" t="s">
        <v>42</v>
      </c>
      <c r="B782" t="s">
        <v>6</v>
      </c>
      <c r="C782">
        <v>4</v>
      </c>
      <c r="D782">
        <v>3</v>
      </c>
      <c r="E782">
        <v>1</v>
      </c>
      <c r="F782" s="15">
        <v>45951</v>
      </c>
      <c r="G782" t="s">
        <v>202</v>
      </c>
      <c r="H782">
        <v>4</v>
      </c>
      <c r="I782">
        <v>2025</v>
      </c>
      <c r="J782">
        <v>10</v>
      </c>
      <c r="K782" t="s">
        <v>87</v>
      </c>
      <c r="L782" t="s">
        <v>18</v>
      </c>
      <c r="M782" t="s">
        <v>8</v>
      </c>
      <c r="N782" t="b">
        <v>0</v>
      </c>
      <c r="O782">
        <v>0</v>
      </c>
      <c r="P782">
        <v>1</v>
      </c>
      <c r="Q782">
        <v>0</v>
      </c>
      <c r="R782">
        <v>1</v>
      </c>
    </row>
    <row r="783" spans="1:18" x14ac:dyDescent="0.25">
      <c r="A783" t="s">
        <v>18</v>
      </c>
      <c r="B783" t="s">
        <v>8</v>
      </c>
      <c r="C783">
        <v>2</v>
      </c>
      <c r="D783">
        <v>3</v>
      </c>
      <c r="E783">
        <v>1</v>
      </c>
      <c r="F783" s="15">
        <v>45951</v>
      </c>
      <c r="G783" t="s">
        <v>202</v>
      </c>
      <c r="H783">
        <v>4</v>
      </c>
      <c r="I783">
        <v>2025</v>
      </c>
      <c r="J783">
        <v>10</v>
      </c>
      <c r="K783" t="s">
        <v>87</v>
      </c>
      <c r="L783" t="s">
        <v>59</v>
      </c>
      <c r="M783" t="s">
        <v>6</v>
      </c>
      <c r="N783" t="b">
        <v>0</v>
      </c>
      <c r="O783">
        <v>1</v>
      </c>
      <c r="P783">
        <v>0</v>
      </c>
      <c r="Q783">
        <v>0</v>
      </c>
      <c r="R783">
        <v>0</v>
      </c>
    </row>
    <row r="784" spans="1:18" x14ac:dyDescent="0.25">
      <c r="A784" t="s">
        <v>18</v>
      </c>
      <c r="B784" t="s">
        <v>8</v>
      </c>
      <c r="C784">
        <v>2</v>
      </c>
      <c r="D784">
        <v>3</v>
      </c>
      <c r="E784">
        <v>1</v>
      </c>
      <c r="F784" s="15">
        <v>45951</v>
      </c>
      <c r="G784" t="s">
        <v>202</v>
      </c>
      <c r="H784">
        <v>4</v>
      </c>
      <c r="I784">
        <v>2025</v>
      </c>
      <c r="J784">
        <v>10</v>
      </c>
      <c r="K784" t="s">
        <v>87</v>
      </c>
      <c r="L784" t="s">
        <v>27</v>
      </c>
      <c r="M784" t="s">
        <v>6</v>
      </c>
      <c r="N784" t="b">
        <v>0</v>
      </c>
      <c r="O784">
        <v>1</v>
      </c>
      <c r="P784">
        <v>0</v>
      </c>
      <c r="Q784">
        <v>0</v>
      </c>
      <c r="R784">
        <v>0</v>
      </c>
    </row>
    <row r="785" spans="1:18" x14ac:dyDescent="0.25">
      <c r="A785" t="s">
        <v>18</v>
      </c>
      <c r="B785" t="s">
        <v>8</v>
      </c>
      <c r="C785">
        <v>2</v>
      </c>
      <c r="D785">
        <v>3</v>
      </c>
      <c r="E785">
        <v>1</v>
      </c>
      <c r="F785" s="15">
        <v>45951</v>
      </c>
      <c r="G785" t="s">
        <v>202</v>
      </c>
      <c r="H785">
        <v>4</v>
      </c>
      <c r="I785">
        <v>2025</v>
      </c>
      <c r="J785">
        <v>10</v>
      </c>
      <c r="K785" t="s">
        <v>87</v>
      </c>
      <c r="L785" t="s">
        <v>42</v>
      </c>
      <c r="M785" t="s">
        <v>6</v>
      </c>
      <c r="N785" t="b">
        <v>0</v>
      </c>
      <c r="O785">
        <v>1</v>
      </c>
      <c r="P785">
        <v>0</v>
      </c>
      <c r="Q785">
        <v>0</v>
      </c>
      <c r="R785">
        <v>0</v>
      </c>
    </row>
    <row r="786" spans="1:18" x14ac:dyDescent="0.25">
      <c r="A786" t="s">
        <v>59</v>
      </c>
      <c r="B786" t="s">
        <v>6</v>
      </c>
      <c r="C786">
        <v>2</v>
      </c>
      <c r="D786">
        <v>4</v>
      </c>
      <c r="E786">
        <v>2</v>
      </c>
      <c r="F786" s="15">
        <v>45951</v>
      </c>
      <c r="G786" t="s">
        <v>267</v>
      </c>
      <c r="H786">
        <v>4</v>
      </c>
      <c r="I786">
        <v>2025</v>
      </c>
      <c r="J786">
        <v>10</v>
      </c>
      <c r="K786" t="s">
        <v>87</v>
      </c>
      <c r="L786" t="s">
        <v>58</v>
      </c>
      <c r="M786" t="s">
        <v>6</v>
      </c>
      <c r="N786" t="b">
        <v>0</v>
      </c>
      <c r="O786">
        <v>0</v>
      </c>
      <c r="P786">
        <v>1</v>
      </c>
      <c r="Q786">
        <v>0</v>
      </c>
      <c r="R786">
        <v>0</v>
      </c>
    </row>
    <row r="787" spans="1:18" x14ac:dyDescent="0.25">
      <c r="A787" t="s">
        <v>59</v>
      </c>
      <c r="B787" t="s">
        <v>6</v>
      </c>
      <c r="C787">
        <v>2</v>
      </c>
      <c r="D787">
        <v>4</v>
      </c>
      <c r="E787">
        <v>2</v>
      </c>
      <c r="F787" s="15">
        <v>45951</v>
      </c>
      <c r="G787" t="s">
        <v>267</v>
      </c>
      <c r="H787">
        <v>4</v>
      </c>
      <c r="I787">
        <v>2025</v>
      </c>
      <c r="J787">
        <v>10</v>
      </c>
      <c r="K787" t="s">
        <v>87</v>
      </c>
      <c r="L787" t="s">
        <v>9</v>
      </c>
      <c r="M787" t="s">
        <v>8</v>
      </c>
      <c r="N787" t="b">
        <v>0</v>
      </c>
      <c r="O787">
        <v>0</v>
      </c>
      <c r="P787">
        <v>1</v>
      </c>
      <c r="Q787">
        <v>0</v>
      </c>
      <c r="R787">
        <v>1</v>
      </c>
    </row>
    <row r="788" spans="1:18" x14ac:dyDescent="0.25">
      <c r="A788" t="s">
        <v>59</v>
      </c>
      <c r="B788" t="s">
        <v>6</v>
      </c>
      <c r="C788">
        <v>2</v>
      </c>
      <c r="D788">
        <v>4</v>
      </c>
      <c r="E788">
        <v>2</v>
      </c>
      <c r="F788" s="15">
        <v>45951</v>
      </c>
      <c r="G788" t="s">
        <v>267</v>
      </c>
      <c r="H788">
        <v>4</v>
      </c>
      <c r="I788">
        <v>2025</v>
      </c>
      <c r="J788">
        <v>10</v>
      </c>
      <c r="K788" t="s">
        <v>87</v>
      </c>
      <c r="L788" t="s">
        <v>352</v>
      </c>
      <c r="M788" t="s">
        <v>6</v>
      </c>
      <c r="N788" t="b">
        <v>0</v>
      </c>
      <c r="O788">
        <v>0</v>
      </c>
      <c r="P788">
        <v>1</v>
      </c>
      <c r="Q788">
        <v>0</v>
      </c>
      <c r="R788">
        <v>0</v>
      </c>
    </row>
    <row r="789" spans="1:18" x14ac:dyDescent="0.25">
      <c r="A789" t="s">
        <v>58</v>
      </c>
      <c r="B789" t="s">
        <v>6</v>
      </c>
      <c r="C789">
        <v>4</v>
      </c>
      <c r="D789">
        <v>4</v>
      </c>
      <c r="E789">
        <v>2</v>
      </c>
      <c r="F789" s="15">
        <v>45951</v>
      </c>
      <c r="G789" t="s">
        <v>267</v>
      </c>
      <c r="H789">
        <v>4</v>
      </c>
      <c r="I789">
        <v>2025</v>
      </c>
      <c r="J789">
        <v>10</v>
      </c>
      <c r="K789" t="s">
        <v>87</v>
      </c>
      <c r="L789" t="s">
        <v>59</v>
      </c>
      <c r="M789" t="s">
        <v>6</v>
      </c>
      <c r="N789" t="b">
        <v>0</v>
      </c>
      <c r="O789">
        <v>0</v>
      </c>
      <c r="P789">
        <v>1</v>
      </c>
      <c r="Q789">
        <v>0</v>
      </c>
      <c r="R789">
        <v>0</v>
      </c>
    </row>
    <row r="790" spans="1:18" x14ac:dyDescent="0.25">
      <c r="A790" t="s">
        <v>58</v>
      </c>
      <c r="B790" t="s">
        <v>6</v>
      </c>
      <c r="C790">
        <v>4</v>
      </c>
      <c r="D790">
        <v>4</v>
      </c>
      <c r="E790">
        <v>2</v>
      </c>
      <c r="F790" s="15">
        <v>45951</v>
      </c>
      <c r="G790" t="s">
        <v>267</v>
      </c>
      <c r="H790">
        <v>4</v>
      </c>
      <c r="I790">
        <v>2025</v>
      </c>
      <c r="J790">
        <v>10</v>
      </c>
      <c r="K790" t="s">
        <v>87</v>
      </c>
      <c r="L790" t="s">
        <v>9</v>
      </c>
      <c r="M790" t="s">
        <v>8</v>
      </c>
      <c r="N790" t="b">
        <v>0</v>
      </c>
      <c r="O790">
        <v>0</v>
      </c>
      <c r="P790">
        <v>1</v>
      </c>
      <c r="Q790">
        <v>0</v>
      </c>
      <c r="R790">
        <v>1</v>
      </c>
    </row>
    <row r="791" spans="1:18" x14ac:dyDescent="0.25">
      <c r="A791" t="s">
        <v>58</v>
      </c>
      <c r="B791" t="s">
        <v>6</v>
      </c>
      <c r="C791">
        <v>4</v>
      </c>
      <c r="D791">
        <v>4</v>
      </c>
      <c r="E791">
        <v>2</v>
      </c>
      <c r="F791" s="15">
        <v>45951</v>
      </c>
      <c r="G791" t="s">
        <v>267</v>
      </c>
      <c r="H791">
        <v>4</v>
      </c>
      <c r="I791">
        <v>2025</v>
      </c>
      <c r="J791">
        <v>10</v>
      </c>
      <c r="K791" t="s">
        <v>87</v>
      </c>
      <c r="L791" t="s">
        <v>352</v>
      </c>
      <c r="M791" t="s">
        <v>6</v>
      </c>
      <c r="N791" t="b">
        <v>0</v>
      </c>
      <c r="O791">
        <v>0</v>
      </c>
      <c r="P791">
        <v>1</v>
      </c>
      <c r="Q791">
        <v>0</v>
      </c>
      <c r="R791">
        <v>0</v>
      </c>
    </row>
    <row r="792" spans="1:18" x14ac:dyDescent="0.25">
      <c r="A792" t="s">
        <v>9</v>
      </c>
      <c r="B792" t="s">
        <v>8</v>
      </c>
      <c r="C792">
        <v>3</v>
      </c>
      <c r="D792">
        <v>4</v>
      </c>
      <c r="E792">
        <v>2</v>
      </c>
      <c r="F792" s="15">
        <v>45951</v>
      </c>
      <c r="G792" t="s">
        <v>267</v>
      </c>
      <c r="H792">
        <v>4</v>
      </c>
      <c r="I792">
        <v>2025</v>
      </c>
      <c r="J792">
        <v>10</v>
      </c>
      <c r="K792" t="s">
        <v>87</v>
      </c>
      <c r="L792" t="s">
        <v>59</v>
      </c>
      <c r="M792" t="s">
        <v>6</v>
      </c>
      <c r="N792" t="b">
        <v>0</v>
      </c>
      <c r="O792">
        <v>1</v>
      </c>
      <c r="P792">
        <v>0</v>
      </c>
      <c r="Q792">
        <v>0</v>
      </c>
      <c r="R792">
        <v>0</v>
      </c>
    </row>
    <row r="793" spans="1:18" x14ac:dyDescent="0.25">
      <c r="A793" t="s">
        <v>9</v>
      </c>
      <c r="B793" t="s">
        <v>8</v>
      </c>
      <c r="C793">
        <v>3</v>
      </c>
      <c r="D793">
        <v>4</v>
      </c>
      <c r="E793">
        <v>2</v>
      </c>
      <c r="F793" s="15">
        <v>45951</v>
      </c>
      <c r="G793" t="s">
        <v>267</v>
      </c>
      <c r="H793">
        <v>4</v>
      </c>
      <c r="I793">
        <v>2025</v>
      </c>
      <c r="J793">
        <v>10</v>
      </c>
      <c r="K793" t="s">
        <v>87</v>
      </c>
      <c r="L793" t="s">
        <v>58</v>
      </c>
      <c r="M793" t="s">
        <v>6</v>
      </c>
      <c r="N793" t="b">
        <v>0</v>
      </c>
      <c r="O793">
        <v>1</v>
      </c>
      <c r="P793">
        <v>0</v>
      </c>
      <c r="Q793">
        <v>0</v>
      </c>
      <c r="R793">
        <v>0</v>
      </c>
    </row>
    <row r="794" spans="1:18" x14ac:dyDescent="0.25">
      <c r="A794" t="s">
        <v>9</v>
      </c>
      <c r="B794" t="s">
        <v>8</v>
      </c>
      <c r="C794">
        <v>3</v>
      </c>
      <c r="D794">
        <v>4</v>
      </c>
      <c r="E794">
        <v>2</v>
      </c>
      <c r="F794" s="15">
        <v>45951</v>
      </c>
      <c r="G794" t="s">
        <v>267</v>
      </c>
      <c r="H794">
        <v>4</v>
      </c>
      <c r="I794">
        <v>2025</v>
      </c>
      <c r="J794">
        <v>10</v>
      </c>
      <c r="K794" t="s">
        <v>87</v>
      </c>
      <c r="L794" t="s">
        <v>352</v>
      </c>
      <c r="M794" t="s">
        <v>6</v>
      </c>
      <c r="N794" t="b">
        <v>0</v>
      </c>
      <c r="O794">
        <v>1</v>
      </c>
      <c r="P794">
        <v>0</v>
      </c>
      <c r="Q794">
        <v>0</v>
      </c>
      <c r="R794">
        <v>0</v>
      </c>
    </row>
    <row r="795" spans="1:18" x14ac:dyDescent="0.25">
      <c r="A795" t="s">
        <v>352</v>
      </c>
      <c r="B795" t="s">
        <v>6</v>
      </c>
      <c r="C795">
        <v>1</v>
      </c>
      <c r="D795">
        <v>4</v>
      </c>
      <c r="E795">
        <v>2</v>
      </c>
      <c r="F795" s="15">
        <v>45951</v>
      </c>
      <c r="G795" t="s">
        <v>267</v>
      </c>
      <c r="H795">
        <v>4</v>
      </c>
      <c r="I795">
        <v>2025</v>
      </c>
      <c r="J795">
        <v>10</v>
      </c>
      <c r="K795" t="s">
        <v>87</v>
      </c>
      <c r="L795" t="s">
        <v>59</v>
      </c>
      <c r="M795" t="s">
        <v>6</v>
      </c>
      <c r="N795" t="b">
        <v>0</v>
      </c>
      <c r="O795">
        <v>0</v>
      </c>
      <c r="P795">
        <v>1</v>
      </c>
      <c r="Q795">
        <v>0</v>
      </c>
      <c r="R795">
        <v>0</v>
      </c>
    </row>
    <row r="796" spans="1:18" x14ac:dyDescent="0.25">
      <c r="A796" t="s">
        <v>352</v>
      </c>
      <c r="B796" t="s">
        <v>6</v>
      </c>
      <c r="C796">
        <v>1</v>
      </c>
      <c r="D796">
        <v>4</v>
      </c>
      <c r="E796">
        <v>2</v>
      </c>
      <c r="F796" s="15">
        <v>45951</v>
      </c>
      <c r="G796" t="s">
        <v>267</v>
      </c>
      <c r="H796">
        <v>4</v>
      </c>
      <c r="I796">
        <v>2025</v>
      </c>
      <c r="J796">
        <v>10</v>
      </c>
      <c r="K796" t="s">
        <v>87</v>
      </c>
      <c r="L796" t="s">
        <v>58</v>
      </c>
      <c r="M796" t="s">
        <v>6</v>
      </c>
      <c r="N796" t="b">
        <v>0</v>
      </c>
      <c r="O796">
        <v>0</v>
      </c>
      <c r="P796">
        <v>1</v>
      </c>
      <c r="Q796">
        <v>0</v>
      </c>
      <c r="R796">
        <v>0</v>
      </c>
    </row>
    <row r="797" spans="1:18" x14ac:dyDescent="0.25">
      <c r="A797" t="s">
        <v>352</v>
      </c>
      <c r="B797" t="s">
        <v>6</v>
      </c>
      <c r="C797">
        <v>1</v>
      </c>
      <c r="D797">
        <v>4</v>
      </c>
      <c r="E797">
        <v>2</v>
      </c>
      <c r="F797" s="15">
        <v>45951</v>
      </c>
      <c r="G797" t="s">
        <v>267</v>
      </c>
      <c r="H797">
        <v>4</v>
      </c>
      <c r="I797">
        <v>2025</v>
      </c>
      <c r="J797">
        <v>10</v>
      </c>
      <c r="K797" t="s">
        <v>87</v>
      </c>
      <c r="L797" t="s">
        <v>9</v>
      </c>
      <c r="M797" t="s">
        <v>8</v>
      </c>
      <c r="N797" t="b">
        <v>0</v>
      </c>
      <c r="O797">
        <v>0</v>
      </c>
      <c r="P797">
        <v>1</v>
      </c>
      <c r="Q797">
        <v>0</v>
      </c>
      <c r="R797">
        <v>1</v>
      </c>
    </row>
    <row r="798" spans="1:18" x14ac:dyDescent="0.25">
      <c r="A798" t="s">
        <v>59</v>
      </c>
      <c r="B798" t="s">
        <v>6</v>
      </c>
      <c r="C798">
        <v>4</v>
      </c>
      <c r="D798">
        <v>1</v>
      </c>
      <c r="E798">
        <v>2</v>
      </c>
      <c r="F798" s="15">
        <v>46027</v>
      </c>
      <c r="G798" t="s">
        <v>141</v>
      </c>
      <c r="H798">
        <v>4</v>
      </c>
      <c r="I798">
        <v>2026</v>
      </c>
      <c r="J798">
        <v>1</v>
      </c>
      <c r="K798" t="s">
        <v>87</v>
      </c>
      <c r="L798" t="s">
        <v>7</v>
      </c>
      <c r="M798" t="s">
        <v>6</v>
      </c>
      <c r="N798" t="b">
        <v>0</v>
      </c>
      <c r="O798">
        <v>0</v>
      </c>
      <c r="P798">
        <v>1</v>
      </c>
      <c r="Q798">
        <v>0</v>
      </c>
      <c r="R798">
        <v>0</v>
      </c>
    </row>
    <row r="799" spans="1:18" x14ac:dyDescent="0.25">
      <c r="A799" t="s">
        <v>59</v>
      </c>
      <c r="B799" t="s">
        <v>6</v>
      </c>
      <c r="C799">
        <v>4</v>
      </c>
      <c r="D799">
        <v>1</v>
      </c>
      <c r="E799">
        <v>2</v>
      </c>
      <c r="F799" s="15">
        <v>46027</v>
      </c>
      <c r="G799" t="s">
        <v>141</v>
      </c>
      <c r="H799">
        <v>4</v>
      </c>
      <c r="I799">
        <v>2026</v>
      </c>
      <c r="J799">
        <v>1</v>
      </c>
      <c r="K799" t="s">
        <v>87</v>
      </c>
      <c r="L799" t="s">
        <v>41</v>
      </c>
      <c r="M799" t="s">
        <v>8</v>
      </c>
      <c r="N799" t="b">
        <v>0</v>
      </c>
      <c r="O799">
        <v>0</v>
      </c>
      <c r="P799">
        <v>1</v>
      </c>
      <c r="Q799">
        <v>0</v>
      </c>
      <c r="R799">
        <v>1</v>
      </c>
    </row>
    <row r="800" spans="1:18" x14ac:dyDescent="0.25">
      <c r="A800" t="s">
        <v>59</v>
      </c>
      <c r="B800" t="s">
        <v>6</v>
      </c>
      <c r="C800">
        <v>4</v>
      </c>
      <c r="D800">
        <v>1</v>
      </c>
      <c r="E800">
        <v>2</v>
      </c>
      <c r="F800" s="15">
        <v>46027</v>
      </c>
      <c r="G800" t="s">
        <v>141</v>
      </c>
      <c r="H800">
        <v>4</v>
      </c>
      <c r="I800">
        <v>2026</v>
      </c>
      <c r="J800">
        <v>1</v>
      </c>
      <c r="K800" t="s">
        <v>87</v>
      </c>
      <c r="L800" t="s">
        <v>22</v>
      </c>
      <c r="M800" t="s">
        <v>6</v>
      </c>
      <c r="N800" t="b">
        <v>0</v>
      </c>
      <c r="O800">
        <v>0</v>
      </c>
      <c r="P800">
        <v>1</v>
      </c>
      <c r="Q800">
        <v>0</v>
      </c>
      <c r="R800">
        <v>0</v>
      </c>
    </row>
    <row r="801" spans="1:18" x14ac:dyDescent="0.25">
      <c r="A801" t="s">
        <v>7</v>
      </c>
      <c r="B801" t="s">
        <v>6</v>
      </c>
      <c r="C801">
        <v>3</v>
      </c>
      <c r="D801">
        <v>1</v>
      </c>
      <c r="E801">
        <v>2</v>
      </c>
      <c r="F801" s="15">
        <v>46027</v>
      </c>
      <c r="G801" t="s">
        <v>141</v>
      </c>
      <c r="H801">
        <v>4</v>
      </c>
      <c r="I801">
        <v>2026</v>
      </c>
      <c r="J801">
        <v>1</v>
      </c>
      <c r="K801" t="s">
        <v>87</v>
      </c>
      <c r="L801" t="s">
        <v>59</v>
      </c>
      <c r="M801" t="s">
        <v>6</v>
      </c>
      <c r="N801" t="b">
        <v>0</v>
      </c>
      <c r="O801">
        <v>0</v>
      </c>
      <c r="P801">
        <v>1</v>
      </c>
      <c r="Q801">
        <v>0</v>
      </c>
      <c r="R801">
        <v>0</v>
      </c>
    </row>
    <row r="802" spans="1:18" x14ac:dyDescent="0.25">
      <c r="A802" t="s">
        <v>7</v>
      </c>
      <c r="B802" t="s">
        <v>6</v>
      </c>
      <c r="C802">
        <v>3</v>
      </c>
      <c r="D802">
        <v>1</v>
      </c>
      <c r="E802">
        <v>2</v>
      </c>
      <c r="F802" s="15">
        <v>46027</v>
      </c>
      <c r="G802" t="s">
        <v>141</v>
      </c>
      <c r="H802">
        <v>4</v>
      </c>
      <c r="I802">
        <v>2026</v>
      </c>
      <c r="J802">
        <v>1</v>
      </c>
      <c r="K802" t="s">
        <v>87</v>
      </c>
      <c r="L802" t="s">
        <v>41</v>
      </c>
      <c r="M802" t="s">
        <v>8</v>
      </c>
      <c r="N802" t="b">
        <v>0</v>
      </c>
      <c r="O802">
        <v>0</v>
      </c>
      <c r="P802">
        <v>1</v>
      </c>
      <c r="Q802">
        <v>0</v>
      </c>
      <c r="R802">
        <v>1</v>
      </c>
    </row>
    <row r="803" spans="1:18" x14ac:dyDescent="0.25">
      <c r="A803" t="s">
        <v>7</v>
      </c>
      <c r="B803" t="s">
        <v>6</v>
      </c>
      <c r="C803">
        <v>3</v>
      </c>
      <c r="D803">
        <v>1</v>
      </c>
      <c r="E803">
        <v>2</v>
      </c>
      <c r="F803" s="15">
        <v>46027</v>
      </c>
      <c r="G803" t="s">
        <v>141</v>
      </c>
      <c r="H803">
        <v>4</v>
      </c>
      <c r="I803">
        <v>2026</v>
      </c>
      <c r="J803">
        <v>1</v>
      </c>
      <c r="K803" t="s">
        <v>87</v>
      </c>
      <c r="L803" t="s">
        <v>22</v>
      </c>
      <c r="M803" t="s">
        <v>6</v>
      </c>
      <c r="N803" t="b">
        <v>0</v>
      </c>
      <c r="O803">
        <v>0</v>
      </c>
      <c r="P803">
        <v>1</v>
      </c>
      <c r="Q803">
        <v>0</v>
      </c>
      <c r="R803">
        <v>0</v>
      </c>
    </row>
    <row r="804" spans="1:18" x14ac:dyDescent="0.25">
      <c r="A804" t="s">
        <v>41</v>
      </c>
      <c r="B804" t="s">
        <v>8</v>
      </c>
      <c r="C804">
        <v>1</v>
      </c>
      <c r="D804">
        <v>1</v>
      </c>
      <c r="E804">
        <v>2</v>
      </c>
      <c r="F804" s="15">
        <v>46027</v>
      </c>
      <c r="G804" t="s">
        <v>141</v>
      </c>
      <c r="H804">
        <v>4</v>
      </c>
      <c r="I804">
        <v>2026</v>
      </c>
      <c r="J804">
        <v>1</v>
      </c>
      <c r="K804" t="s">
        <v>87</v>
      </c>
      <c r="L804" t="s">
        <v>59</v>
      </c>
      <c r="M804" t="s">
        <v>6</v>
      </c>
      <c r="N804" t="b">
        <v>0</v>
      </c>
      <c r="O804">
        <v>1</v>
      </c>
      <c r="P804">
        <v>0</v>
      </c>
      <c r="Q804">
        <v>0</v>
      </c>
      <c r="R804">
        <v>0</v>
      </c>
    </row>
    <row r="805" spans="1:18" x14ac:dyDescent="0.25">
      <c r="A805" t="s">
        <v>41</v>
      </c>
      <c r="B805" t="s">
        <v>8</v>
      </c>
      <c r="C805">
        <v>1</v>
      </c>
      <c r="D805">
        <v>1</v>
      </c>
      <c r="E805">
        <v>2</v>
      </c>
      <c r="F805" s="15">
        <v>46027</v>
      </c>
      <c r="G805" t="s">
        <v>141</v>
      </c>
      <c r="H805">
        <v>4</v>
      </c>
      <c r="I805">
        <v>2026</v>
      </c>
      <c r="J805">
        <v>1</v>
      </c>
      <c r="K805" t="s">
        <v>87</v>
      </c>
      <c r="L805" t="s">
        <v>7</v>
      </c>
      <c r="M805" t="s">
        <v>6</v>
      </c>
      <c r="N805" t="b">
        <v>0</v>
      </c>
      <c r="O805">
        <v>1</v>
      </c>
      <c r="P805">
        <v>0</v>
      </c>
      <c r="Q805">
        <v>0</v>
      </c>
      <c r="R805">
        <v>0</v>
      </c>
    </row>
    <row r="806" spans="1:18" x14ac:dyDescent="0.25">
      <c r="A806" t="s">
        <v>41</v>
      </c>
      <c r="B806" t="s">
        <v>8</v>
      </c>
      <c r="C806">
        <v>1</v>
      </c>
      <c r="D806">
        <v>1</v>
      </c>
      <c r="E806">
        <v>2</v>
      </c>
      <c r="F806" s="15">
        <v>46027</v>
      </c>
      <c r="G806" t="s">
        <v>141</v>
      </c>
      <c r="H806">
        <v>4</v>
      </c>
      <c r="I806">
        <v>2026</v>
      </c>
      <c r="J806">
        <v>1</v>
      </c>
      <c r="K806" t="s">
        <v>87</v>
      </c>
      <c r="L806" t="s">
        <v>22</v>
      </c>
      <c r="M806" t="s">
        <v>6</v>
      </c>
      <c r="N806" t="b">
        <v>0</v>
      </c>
      <c r="O806">
        <v>1</v>
      </c>
      <c r="P806">
        <v>0</v>
      </c>
      <c r="Q806">
        <v>0</v>
      </c>
      <c r="R806">
        <v>0</v>
      </c>
    </row>
    <row r="807" spans="1:18" x14ac:dyDescent="0.25">
      <c r="A807" t="s">
        <v>22</v>
      </c>
      <c r="B807" t="s">
        <v>6</v>
      </c>
      <c r="C807">
        <v>2</v>
      </c>
      <c r="D807">
        <v>1</v>
      </c>
      <c r="E807">
        <v>2</v>
      </c>
      <c r="F807" s="15">
        <v>46027</v>
      </c>
      <c r="G807" t="s">
        <v>141</v>
      </c>
      <c r="H807">
        <v>4</v>
      </c>
      <c r="I807">
        <v>2026</v>
      </c>
      <c r="J807">
        <v>1</v>
      </c>
      <c r="K807" t="s">
        <v>87</v>
      </c>
      <c r="L807" t="s">
        <v>59</v>
      </c>
      <c r="M807" t="s">
        <v>6</v>
      </c>
      <c r="N807" t="b">
        <v>0</v>
      </c>
      <c r="O807">
        <v>0</v>
      </c>
      <c r="P807">
        <v>1</v>
      </c>
      <c r="Q807">
        <v>0</v>
      </c>
      <c r="R807">
        <v>0</v>
      </c>
    </row>
    <row r="808" spans="1:18" x14ac:dyDescent="0.25">
      <c r="A808" t="s">
        <v>22</v>
      </c>
      <c r="B808" t="s">
        <v>6</v>
      </c>
      <c r="C808">
        <v>2</v>
      </c>
      <c r="D808">
        <v>1</v>
      </c>
      <c r="E808">
        <v>2</v>
      </c>
      <c r="F808" s="15">
        <v>46027</v>
      </c>
      <c r="G808" t="s">
        <v>141</v>
      </c>
      <c r="H808">
        <v>4</v>
      </c>
      <c r="I808">
        <v>2026</v>
      </c>
      <c r="J808">
        <v>1</v>
      </c>
      <c r="K808" t="s">
        <v>87</v>
      </c>
      <c r="L808" t="s">
        <v>7</v>
      </c>
      <c r="M808" t="s">
        <v>6</v>
      </c>
      <c r="N808" t="b">
        <v>0</v>
      </c>
      <c r="O808">
        <v>0</v>
      </c>
      <c r="P808">
        <v>1</v>
      </c>
      <c r="Q808">
        <v>0</v>
      </c>
      <c r="R808">
        <v>0</v>
      </c>
    </row>
    <row r="809" spans="1:18" x14ac:dyDescent="0.25">
      <c r="A809" t="s">
        <v>22</v>
      </c>
      <c r="B809" t="s">
        <v>6</v>
      </c>
      <c r="C809">
        <v>2</v>
      </c>
      <c r="D809">
        <v>1</v>
      </c>
      <c r="E809">
        <v>2</v>
      </c>
      <c r="F809" s="15">
        <v>46027</v>
      </c>
      <c r="G809" t="s">
        <v>141</v>
      </c>
      <c r="H809">
        <v>4</v>
      </c>
      <c r="I809">
        <v>2026</v>
      </c>
      <c r="J809">
        <v>1</v>
      </c>
      <c r="K809" t="s">
        <v>87</v>
      </c>
      <c r="L809" t="s">
        <v>41</v>
      </c>
      <c r="M809" t="s">
        <v>8</v>
      </c>
      <c r="N809" t="b">
        <v>0</v>
      </c>
      <c r="O809">
        <v>0</v>
      </c>
      <c r="P809">
        <v>1</v>
      </c>
      <c r="Q809">
        <v>0</v>
      </c>
      <c r="R809">
        <v>1</v>
      </c>
    </row>
    <row r="810" spans="1:18" x14ac:dyDescent="0.25">
      <c r="A810" t="s">
        <v>59</v>
      </c>
      <c r="B810" t="s">
        <v>8</v>
      </c>
      <c r="C810">
        <v>1</v>
      </c>
      <c r="D810">
        <v>7</v>
      </c>
      <c r="E810">
        <v>1</v>
      </c>
      <c r="F810" s="15">
        <v>46034</v>
      </c>
      <c r="G810" t="s">
        <v>303</v>
      </c>
      <c r="H810">
        <v>4</v>
      </c>
      <c r="I810">
        <v>2026</v>
      </c>
      <c r="J810">
        <v>1</v>
      </c>
      <c r="K810" t="s">
        <v>87</v>
      </c>
      <c r="L810" t="s">
        <v>10</v>
      </c>
      <c r="M810" t="s">
        <v>6</v>
      </c>
      <c r="N810" t="b">
        <v>0</v>
      </c>
      <c r="O810">
        <v>1</v>
      </c>
      <c r="P810">
        <v>0</v>
      </c>
      <c r="Q810">
        <v>0</v>
      </c>
      <c r="R810">
        <v>0</v>
      </c>
    </row>
    <row r="811" spans="1:18" x14ac:dyDescent="0.25">
      <c r="A811" t="s">
        <v>59</v>
      </c>
      <c r="B811" t="s">
        <v>8</v>
      </c>
      <c r="C811">
        <v>1</v>
      </c>
      <c r="D811">
        <v>7</v>
      </c>
      <c r="E811">
        <v>1</v>
      </c>
      <c r="F811" s="15">
        <v>46034</v>
      </c>
      <c r="G811" t="s">
        <v>303</v>
      </c>
      <c r="H811">
        <v>4</v>
      </c>
      <c r="I811">
        <v>2026</v>
      </c>
      <c r="J811">
        <v>1</v>
      </c>
      <c r="K811" t="s">
        <v>87</v>
      </c>
      <c r="L811" t="s">
        <v>296</v>
      </c>
      <c r="M811" t="s">
        <v>6</v>
      </c>
      <c r="N811" t="b">
        <v>0</v>
      </c>
      <c r="O811">
        <v>1</v>
      </c>
      <c r="P811">
        <v>0</v>
      </c>
      <c r="Q811">
        <v>0</v>
      </c>
      <c r="R811">
        <v>0</v>
      </c>
    </row>
    <row r="812" spans="1:18" x14ac:dyDescent="0.25">
      <c r="A812" t="s">
        <v>59</v>
      </c>
      <c r="B812" t="s">
        <v>8</v>
      </c>
      <c r="C812">
        <v>1</v>
      </c>
      <c r="D812">
        <v>7</v>
      </c>
      <c r="E812">
        <v>1</v>
      </c>
      <c r="F812" s="15">
        <v>46034</v>
      </c>
      <c r="G812" t="s">
        <v>303</v>
      </c>
      <c r="H812">
        <v>4</v>
      </c>
      <c r="I812">
        <v>2026</v>
      </c>
      <c r="J812">
        <v>1</v>
      </c>
      <c r="K812" t="s">
        <v>87</v>
      </c>
      <c r="L812" t="s">
        <v>12</v>
      </c>
      <c r="M812" t="s">
        <v>6</v>
      </c>
      <c r="N812" t="b">
        <v>0</v>
      </c>
      <c r="O812">
        <v>1</v>
      </c>
      <c r="P812">
        <v>0</v>
      </c>
      <c r="Q812">
        <v>0</v>
      </c>
      <c r="R812">
        <v>0</v>
      </c>
    </row>
    <row r="813" spans="1:18" x14ac:dyDescent="0.25">
      <c r="A813" t="s">
        <v>10</v>
      </c>
      <c r="B813" t="s">
        <v>6</v>
      </c>
      <c r="C813">
        <v>3</v>
      </c>
      <c r="D813">
        <v>7</v>
      </c>
      <c r="E813">
        <v>1</v>
      </c>
      <c r="F813" s="15">
        <v>46034</v>
      </c>
      <c r="G813" t="s">
        <v>303</v>
      </c>
      <c r="H813">
        <v>4</v>
      </c>
      <c r="I813">
        <v>2026</v>
      </c>
      <c r="J813">
        <v>1</v>
      </c>
      <c r="K813" t="s">
        <v>87</v>
      </c>
      <c r="L813" t="s">
        <v>59</v>
      </c>
      <c r="M813" t="s">
        <v>8</v>
      </c>
      <c r="N813" t="b">
        <v>0</v>
      </c>
      <c r="O813">
        <v>0</v>
      </c>
      <c r="P813">
        <v>1</v>
      </c>
      <c r="Q813">
        <v>0</v>
      </c>
      <c r="R813">
        <v>1</v>
      </c>
    </row>
    <row r="814" spans="1:18" x14ac:dyDescent="0.25">
      <c r="A814" t="s">
        <v>10</v>
      </c>
      <c r="B814" t="s">
        <v>6</v>
      </c>
      <c r="C814">
        <v>3</v>
      </c>
      <c r="D814">
        <v>7</v>
      </c>
      <c r="E814">
        <v>1</v>
      </c>
      <c r="F814" s="15">
        <v>46034</v>
      </c>
      <c r="G814" t="s">
        <v>303</v>
      </c>
      <c r="H814">
        <v>4</v>
      </c>
      <c r="I814">
        <v>2026</v>
      </c>
      <c r="J814">
        <v>1</v>
      </c>
      <c r="K814" t="s">
        <v>87</v>
      </c>
      <c r="L814" t="s">
        <v>296</v>
      </c>
      <c r="M814" t="s">
        <v>6</v>
      </c>
      <c r="N814" t="b">
        <v>0</v>
      </c>
      <c r="O814">
        <v>0</v>
      </c>
      <c r="P814">
        <v>1</v>
      </c>
      <c r="Q814">
        <v>0</v>
      </c>
      <c r="R814">
        <v>0</v>
      </c>
    </row>
    <row r="815" spans="1:18" x14ac:dyDescent="0.25">
      <c r="A815" t="s">
        <v>10</v>
      </c>
      <c r="B815" t="s">
        <v>6</v>
      </c>
      <c r="C815">
        <v>3</v>
      </c>
      <c r="D815">
        <v>7</v>
      </c>
      <c r="E815">
        <v>1</v>
      </c>
      <c r="F815" s="15">
        <v>46034</v>
      </c>
      <c r="G815" t="s">
        <v>303</v>
      </c>
      <c r="H815">
        <v>4</v>
      </c>
      <c r="I815">
        <v>2026</v>
      </c>
      <c r="J815">
        <v>1</v>
      </c>
      <c r="K815" t="s">
        <v>87</v>
      </c>
      <c r="L815" t="s">
        <v>12</v>
      </c>
      <c r="M815" t="s">
        <v>6</v>
      </c>
      <c r="N815" t="b">
        <v>0</v>
      </c>
      <c r="O815">
        <v>0</v>
      </c>
      <c r="P815">
        <v>1</v>
      </c>
      <c r="Q815">
        <v>0</v>
      </c>
      <c r="R815">
        <v>0</v>
      </c>
    </row>
    <row r="816" spans="1:18" x14ac:dyDescent="0.25">
      <c r="A816" t="s">
        <v>296</v>
      </c>
      <c r="B816" t="s">
        <v>6</v>
      </c>
      <c r="C816">
        <v>4</v>
      </c>
      <c r="D816">
        <v>7</v>
      </c>
      <c r="E816">
        <v>1</v>
      </c>
      <c r="F816" s="15">
        <v>46034</v>
      </c>
      <c r="G816" t="s">
        <v>303</v>
      </c>
      <c r="H816">
        <v>4</v>
      </c>
      <c r="I816">
        <v>2026</v>
      </c>
      <c r="J816">
        <v>1</v>
      </c>
      <c r="K816" t="s">
        <v>87</v>
      </c>
      <c r="L816" t="s">
        <v>59</v>
      </c>
      <c r="M816" t="s">
        <v>8</v>
      </c>
      <c r="N816" t="b">
        <v>0</v>
      </c>
      <c r="O816">
        <v>0</v>
      </c>
      <c r="P816">
        <v>1</v>
      </c>
      <c r="Q816">
        <v>0</v>
      </c>
      <c r="R816">
        <v>1</v>
      </c>
    </row>
    <row r="817" spans="1:18" x14ac:dyDescent="0.25">
      <c r="A817" t="s">
        <v>296</v>
      </c>
      <c r="B817" t="s">
        <v>6</v>
      </c>
      <c r="C817">
        <v>4</v>
      </c>
      <c r="D817">
        <v>7</v>
      </c>
      <c r="E817">
        <v>1</v>
      </c>
      <c r="F817" s="15">
        <v>46034</v>
      </c>
      <c r="G817" t="s">
        <v>303</v>
      </c>
      <c r="H817">
        <v>4</v>
      </c>
      <c r="I817">
        <v>2026</v>
      </c>
      <c r="J817">
        <v>1</v>
      </c>
      <c r="K817" t="s">
        <v>87</v>
      </c>
      <c r="L817" t="s">
        <v>10</v>
      </c>
      <c r="M817" t="s">
        <v>6</v>
      </c>
      <c r="N817" t="b">
        <v>0</v>
      </c>
      <c r="O817">
        <v>0</v>
      </c>
      <c r="P817">
        <v>1</v>
      </c>
      <c r="Q817">
        <v>0</v>
      </c>
      <c r="R817">
        <v>0</v>
      </c>
    </row>
    <row r="818" spans="1:18" x14ac:dyDescent="0.25">
      <c r="A818" t="s">
        <v>296</v>
      </c>
      <c r="B818" t="s">
        <v>6</v>
      </c>
      <c r="C818">
        <v>4</v>
      </c>
      <c r="D818">
        <v>7</v>
      </c>
      <c r="E818">
        <v>1</v>
      </c>
      <c r="F818" s="15">
        <v>46034</v>
      </c>
      <c r="G818" t="s">
        <v>303</v>
      </c>
      <c r="H818">
        <v>4</v>
      </c>
      <c r="I818">
        <v>2026</v>
      </c>
      <c r="J818">
        <v>1</v>
      </c>
      <c r="K818" t="s">
        <v>87</v>
      </c>
      <c r="L818" t="s">
        <v>12</v>
      </c>
      <c r="M818" t="s">
        <v>6</v>
      </c>
      <c r="N818" t="b">
        <v>0</v>
      </c>
      <c r="O818">
        <v>0</v>
      </c>
      <c r="P818">
        <v>1</v>
      </c>
      <c r="Q818">
        <v>0</v>
      </c>
      <c r="R818">
        <v>0</v>
      </c>
    </row>
    <row r="819" spans="1:18" x14ac:dyDescent="0.25">
      <c r="A819" t="s">
        <v>12</v>
      </c>
      <c r="B819" t="s">
        <v>6</v>
      </c>
      <c r="C819">
        <v>2</v>
      </c>
      <c r="D819">
        <v>7</v>
      </c>
      <c r="E819">
        <v>1</v>
      </c>
      <c r="F819" s="15">
        <v>46034</v>
      </c>
      <c r="G819" t="s">
        <v>303</v>
      </c>
      <c r="H819">
        <v>4</v>
      </c>
      <c r="I819">
        <v>2026</v>
      </c>
      <c r="J819">
        <v>1</v>
      </c>
      <c r="K819" t="s">
        <v>87</v>
      </c>
      <c r="L819" t="s">
        <v>59</v>
      </c>
      <c r="M819" t="s">
        <v>8</v>
      </c>
      <c r="N819" t="b">
        <v>0</v>
      </c>
      <c r="O819">
        <v>0</v>
      </c>
      <c r="P819">
        <v>1</v>
      </c>
      <c r="Q819">
        <v>0</v>
      </c>
      <c r="R819">
        <v>1</v>
      </c>
    </row>
    <row r="820" spans="1:18" x14ac:dyDescent="0.25">
      <c r="A820" t="s">
        <v>12</v>
      </c>
      <c r="B820" t="s">
        <v>6</v>
      </c>
      <c r="C820">
        <v>2</v>
      </c>
      <c r="D820">
        <v>7</v>
      </c>
      <c r="E820">
        <v>1</v>
      </c>
      <c r="F820" s="15">
        <v>46034</v>
      </c>
      <c r="G820" t="s">
        <v>303</v>
      </c>
      <c r="H820">
        <v>4</v>
      </c>
      <c r="I820">
        <v>2026</v>
      </c>
      <c r="J820">
        <v>1</v>
      </c>
      <c r="K820" t="s">
        <v>87</v>
      </c>
      <c r="L820" t="s">
        <v>10</v>
      </c>
      <c r="M820" t="s">
        <v>6</v>
      </c>
      <c r="N820" t="b">
        <v>0</v>
      </c>
      <c r="O820">
        <v>0</v>
      </c>
      <c r="P820">
        <v>1</v>
      </c>
      <c r="Q820">
        <v>0</v>
      </c>
      <c r="R820">
        <v>0</v>
      </c>
    </row>
    <row r="821" spans="1:18" x14ac:dyDescent="0.25">
      <c r="A821" t="s">
        <v>12</v>
      </c>
      <c r="B821" t="s">
        <v>6</v>
      </c>
      <c r="C821">
        <v>2</v>
      </c>
      <c r="D821">
        <v>7</v>
      </c>
      <c r="E821">
        <v>1</v>
      </c>
      <c r="F821" s="15">
        <v>46034</v>
      </c>
      <c r="G821" t="s">
        <v>303</v>
      </c>
      <c r="H821">
        <v>4</v>
      </c>
      <c r="I821">
        <v>2026</v>
      </c>
      <c r="J821">
        <v>1</v>
      </c>
      <c r="K821" t="s">
        <v>87</v>
      </c>
      <c r="L821" t="s">
        <v>296</v>
      </c>
      <c r="M821" t="s">
        <v>6</v>
      </c>
      <c r="N821" t="b">
        <v>0</v>
      </c>
      <c r="O821">
        <v>0</v>
      </c>
      <c r="P821">
        <v>1</v>
      </c>
      <c r="Q821">
        <v>0</v>
      </c>
      <c r="R821">
        <v>0</v>
      </c>
    </row>
    <row r="822" spans="1:18" x14ac:dyDescent="0.25">
      <c r="A822" t="s">
        <v>351</v>
      </c>
      <c r="B822" t="s">
        <v>6</v>
      </c>
      <c r="C822">
        <v>3</v>
      </c>
      <c r="D822">
        <v>3</v>
      </c>
      <c r="E822">
        <v>2</v>
      </c>
      <c r="F822" s="15">
        <v>46062</v>
      </c>
      <c r="G822" t="s">
        <v>360</v>
      </c>
      <c r="H822">
        <v>4</v>
      </c>
      <c r="I822">
        <v>2026</v>
      </c>
      <c r="J822">
        <v>2</v>
      </c>
      <c r="K822" t="s">
        <v>87</v>
      </c>
      <c r="L822" t="s">
        <v>10</v>
      </c>
      <c r="M822" t="s">
        <v>6</v>
      </c>
      <c r="N822" t="b">
        <v>0</v>
      </c>
      <c r="O822">
        <v>0</v>
      </c>
      <c r="P822">
        <v>1</v>
      </c>
      <c r="Q822">
        <v>0</v>
      </c>
      <c r="R822">
        <v>0</v>
      </c>
    </row>
    <row r="823" spans="1:18" x14ac:dyDescent="0.25">
      <c r="A823" t="s">
        <v>351</v>
      </c>
      <c r="B823" t="s">
        <v>6</v>
      </c>
      <c r="C823">
        <v>3</v>
      </c>
      <c r="D823">
        <v>3</v>
      </c>
      <c r="E823">
        <v>2</v>
      </c>
      <c r="F823" s="15">
        <v>46062</v>
      </c>
      <c r="G823" t="s">
        <v>360</v>
      </c>
      <c r="H823">
        <v>4</v>
      </c>
      <c r="I823">
        <v>2026</v>
      </c>
      <c r="J823">
        <v>2</v>
      </c>
      <c r="K823" t="s">
        <v>87</v>
      </c>
      <c r="L823" t="s">
        <v>7</v>
      </c>
      <c r="M823" t="s">
        <v>8</v>
      </c>
      <c r="N823" t="b">
        <v>0</v>
      </c>
      <c r="O823">
        <v>0</v>
      </c>
      <c r="P823">
        <v>1</v>
      </c>
      <c r="Q823">
        <v>0</v>
      </c>
      <c r="R823">
        <v>1</v>
      </c>
    </row>
    <row r="824" spans="1:18" x14ac:dyDescent="0.25">
      <c r="A824" t="s">
        <v>351</v>
      </c>
      <c r="B824" t="s">
        <v>6</v>
      </c>
      <c r="C824">
        <v>3</v>
      </c>
      <c r="D824">
        <v>3</v>
      </c>
      <c r="E824">
        <v>2</v>
      </c>
      <c r="F824" s="15">
        <v>46062</v>
      </c>
      <c r="G824" t="s">
        <v>360</v>
      </c>
      <c r="H824">
        <v>4</v>
      </c>
      <c r="I824">
        <v>2026</v>
      </c>
      <c r="J824">
        <v>2</v>
      </c>
      <c r="K824" t="s">
        <v>87</v>
      </c>
      <c r="L824" t="s">
        <v>52</v>
      </c>
      <c r="M824" t="s">
        <v>6</v>
      </c>
      <c r="N824" t="b">
        <v>0</v>
      </c>
      <c r="O824">
        <v>0</v>
      </c>
      <c r="P824">
        <v>1</v>
      </c>
      <c r="Q824">
        <v>0</v>
      </c>
      <c r="R824">
        <v>0</v>
      </c>
    </row>
    <row r="825" spans="1:18" x14ac:dyDescent="0.25">
      <c r="A825" t="s">
        <v>10</v>
      </c>
      <c r="B825" t="s">
        <v>6</v>
      </c>
      <c r="C825">
        <v>2</v>
      </c>
      <c r="D825">
        <v>3</v>
      </c>
      <c r="E825">
        <v>2</v>
      </c>
      <c r="F825" s="15">
        <v>46062</v>
      </c>
      <c r="G825" t="s">
        <v>360</v>
      </c>
      <c r="H825">
        <v>4</v>
      </c>
      <c r="I825">
        <v>2026</v>
      </c>
      <c r="J825">
        <v>2</v>
      </c>
      <c r="K825" t="s">
        <v>87</v>
      </c>
      <c r="L825" t="s">
        <v>351</v>
      </c>
      <c r="M825" t="s">
        <v>6</v>
      </c>
      <c r="N825" t="b">
        <v>0</v>
      </c>
      <c r="O825">
        <v>0</v>
      </c>
      <c r="P825">
        <v>1</v>
      </c>
      <c r="Q825">
        <v>0</v>
      </c>
      <c r="R825">
        <v>0</v>
      </c>
    </row>
    <row r="826" spans="1:18" x14ac:dyDescent="0.25">
      <c r="A826" t="s">
        <v>10</v>
      </c>
      <c r="B826" t="s">
        <v>6</v>
      </c>
      <c r="C826">
        <v>2</v>
      </c>
      <c r="D826">
        <v>3</v>
      </c>
      <c r="E826">
        <v>2</v>
      </c>
      <c r="F826" s="15">
        <v>46062</v>
      </c>
      <c r="G826" t="s">
        <v>360</v>
      </c>
      <c r="H826">
        <v>4</v>
      </c>
      <c r="I826">
        <v>2026</v>
      </c>
      <c r="J826">
        <v>2</v>
      </c>
      <c r="K826" t="s">
        <v>87</v>
      </c>
      <c r="L826" t="s">
        <v>7</v>
      </c>
      <c r="M826" t="s">
        <v>8</v>
      </c>
      <c r="N826" t="b">
        <v>0</v>
      </c>
      <c r="O826">
        <v>0</v>
      </c>
      <c r="P826">
        <v>1</v>
      </c>
      <c r="Q826">
        <v>0</v>
      </c>
      <c r="R826">
        <v>1</v>
      </c>
    </row>
    <row r="827" spans="1:18" x14ac:dyDescent="0.25">
      <c r="A827" t="s">
        <v>10</v>
      </c>
      <c r="B827" t="s">
        <v>6</v>
      </c>
      <c r="C827">
        <v>2</v>
      </c>
      <c r="D827">
        <v>3</v>
      </c>
      <c r="E827">
        <v>2</v>
      </c>
      <c r="F827" s="15">
        <v>46062</v>
      </c>
      <c r="G827" t="s">
        <v>360</v>
      </c>
      <c r="H827">
        <v>4</v>
      </c>
      <c r="I827">
        <v>2026</v>
      </c>
      <c r="J827">
        <v>2</v>
      </c>
      <c r="K827" t="s">
        <v>87</v>
      </c>
      <c r="L827" t="s">
        <v>52</v>
      </c>
      <c r="M827" t="s">
        <v>6</v>
      </c>
      <c r="N827" t="b">
        <v>0</v>
      </c>
      <c r="O827">
        <v>0</v>
      </c>
      <c r="P827">
        <v>1</v>
      </c>
      <c r="Q827">
        <v>0</v>
      </c>
      <c r="R827">
        <v>0</v>
      </c>
    </row>
    <row r="828" spans="1:18" x14ac:dyDescent="0.25">
      <c r="A828" t="s">
        <v>7</v>
      </c>
      <c r="B828" t="s">
        <v>8</v>
      </c>
      <c r="C828">
        <v>1</v>
      </c>
      <c r="D828">
        <v>3</v>
      </c>
      <c r="E828">
        <v>2</v>
      </c>
      <c r="F828" s="15">
        <v>46062</v>
      </c>
      <c r="G828" t="s">
        <v>360</v>
      </c>
      <c r="H828">
        <v>4</v>
      </c>
      <c r="I828">
        <v>2026</v>
      </c>
      <c r="J828">
        <v>2</v>
      </c>
      <c r="K828" t="s">
        <v>87</v>
      </c>
      <c r="L828" t="s">
        <v>351</v>
      </c>
      <c r="M828" t="s">
        <v>6</v>
      </c>
      <c r="N828" t="b">
        <v>0</v>
      </c>
      <c r="O828">
        <v>1</v>
      </c>
      <c r="P828">
        <v>0</v>
      </c>
      <c r="Q828">
        <v>0</v>
      </c>
      <c r="R828">
        <v>0</v>
      </c>
    </row>
    <row r="829" spans="1:18" x14ac:dyDescent="0.25">
      <c r="A829" t="s">
        <v>7</v>
      </c>
      <c r="B829" t="s">
        <v>8</v>
      </c>
      <c r="C829">
        <v>1</v>
      </c>
      <c r="D829">
        <v>3</v>
      </c>
      <c r="E829">
        <v>2</v>
      </c>
      <c r="F829" s="15">
        <v>46062</v>
      </c>
      <c r="G829" t="s">
        <v>360</v>
      </c>
      <c r="H829">
        <v>4</v>
      </c>
      <c r="I829">
        <v>2026</v>
      </c>
      <c r="J829">
        <v>2</v>
      </c>
      <c r="K829" t="s">
        <v>87</v>
      </c>
      <c r="L829" t="s">
        <v>10</v>
      </c>
      <c r="M829" t="s">
        <v>6</v>
      </c>
      <c r="N829" t="b">
        <v>0</v>
      </c>
      <c r="O829">
        <v>1</v>
      </c>
      <c r="P829">
        <v>0</v>
      </c>
      <c r="Q829">
        <v>0</v>
      </c>
      <c r="R829">
        <v>0</v>
      </c>
    </row>
    <row r="830" spans="1:18" x14ac:dyDescent="0.25">
      <c r="A830" t="s">
        <v>7</v>
      </c>
      <c r="B830" t="s">
        <v>8</v>
      </c>
      <c r="C830">
        <v>1</v>
      </c>
      <c r="D830">
        <v>3</v>
      </c>
      <c r="E830">
        <v>2</v>
      </c>
      <c r="F830" s="15">
        <v>46062</v>
      </c>
      <c r="G830" t="s">
        <v>360</v>
      </c>
      <c r="H830">
        <v>4</v>
      </c>
      <c r="I830">
        <v>2026</v>
      </c>
      <c r="J830">
        <v>2</v>
      </c>
      <c r="K830" t="s">
        <v>87</v>
      </c>
      <c r="L830" t="s">
        <v>52</v>
      </c>
      <c r="M830" t="s">
        <v>6</v>
      </c>
      <c r="N830" t="b">
        <v>0</v>
      </c>
      <c r="O830">
        <v>1</v>
      </c>
      <c r="P830">
        <v>0</v>
      </c>
      <c r="Q830">
        <v>0</v>
      </c>
      <c r="R830">
        <v>0</v>
      </c>
    </row>
    <row r="831" spans="1:18" x14ac:dyDescent="0.25">
      <c r="A831" t="s">
        <v>52</v>
      </c>
      <c r="B831" t="s">
        <v>6</v>
      </c>
      <c r="C831">
        <v>4</v>
      </c>
      <c r="D831">
        <v>3</v>
      </c>
      <c r="E831">
        <v>2</v>
      </c>
      <c r="F831" s="15">
        <v>46062</v>
      </c>
      <c r="G831" t="s">
        <v>360</v>
      </c>
      <c r="H831">
        <v>4</v>
      </c>
      <c r="I831">
        <v>2026</v>
      </c>
      <c r="J831">
        <v>2</v>
      </c>
      <c r="K831" t="s">
        <v>87</v>
      </c>
      <c r="L831" t="s">
        <v>351</v>
      </c>
      <c r="M831" t="s">
        <v>6</v>
      </c>
      <c r="N831" t="b">
        <v>0</v>
      </c>
      <c r="O831">
        <v>0</v>
      </c>
      <c r="P831">
        <v>1</v>
      </c>
      <c r="Q831">
        <v>0</v>
      </c>
      <c r="R831">
        <v>0</v>
      </c>
    </row>
    <row r="832" spans="1:18" x14ac:dyDescent="0.25">
      <c r="A832" t="s">
        <v>52</v>
      </c>
      <c r="B832" t="s">
        <v>6</v>
      </c>
      <c r="C832">
        <v>4</v>
      </c>
      <c r="D832">
        <v>3</v>
      </c>
      <c r="E832">
        <v>2</v>
      </c>
      <c r="F832" s="15">
        <v>46062</v>
      </c>
      <c r="G832" t="s">
        <v>360</v>
      </c>
      <c r="H832">
        <v>4</v>
      </c>
      <c r="I832">
        <v>2026</v>
      </c>
      <c r="J832">
        <v>2</v>
      </c>
      <c r="K832" t="s">
        <v>87</v>
      </c>
      <c r="L832" t="s">
        <v>10</v>
      </c>
      <c r="M832" t="s">
        <v>6</v>
      </c>
      <c r="N832" t="b">
        <v>0</v>
      </c>
      <c r="O832">
        <v>0</v>
      </c>
      <c r="P832">
        <v>1</v>
      </c>
      <c r="Q832">
        <v>0</v>
      </c>
      <c r="R832">
        <v>0</v>
      </c>
    </row>
    <row r="833" spans="1:18" x14ac:dyDescent="0.25">
      <c r="A833" t="s">
        <v>52</v>
      </c>
      <c r="B833" t="s">
        <v>6</v>
      </c>
      <c r="C833">
        <v>4</v>
      </c>
      <c r="D833">
        <v>3</v>
      </c>
      <c r="E833">
        <v>2</v>
      </c>
      <c r="F833" s="15">
        <v>46062</v>
      </c>
      <c r="G833" t="s">
        <v>360</v>
      </c>
      <c r="H833">
        <v>4</v>
      </c>
      <c r="I833">
        <v>2026</v>
      </c>
      <c r="J833">
        <v>2</v>
      </c>
      <c r="K833" t="s">
        <v>87</v>
      </c>
      <c r="L833" t="s">
        <v>7</v>
      </c>
      <c r="M833" t="s">
        <v>8</v>
      </c>
      <c r="N833" t="b">
        <v>0</v>
      </c>
      <c r="O833">
        <v>0</v>
      </c>
      <c r="P833">
        <v>1</v>
      </c>
      <c r="Q833">
        <v>0</v>
      </c>
      <c r="R833">
        <v>1</v>
      </c>
    </row>
    <row r="834" spans="1:18" x14ac:dyDescent="0.25">
      <c r="A834" t="s">
        <v>351</v>
      </c>
      <c r="B834" t="s">
        <v>6</v>
      </c>
      <c r="C834">
        <v>4</v>
      </c>
      <c r="D834">
        <v>3</v>
      </c>
      <c r="E834">
        <v>1</v>
      </c>
      <c r="F834" s="15">
        <v>46069</v>
      </c>
      <c r="G834" t="s">
        <v>368</v>
      </c>
      <c r="H834">
        <v>4</v>
      </c>
      <c r="I834">
        <v>2026</v>
      </c>
      <c r="J834">
        <v>2</v>
      </c>
      <c r="K834" t="s">
        <v>87</v>
      </c>
      <c r="L834" t="s">
        <v>7</v>
      </c>
      <c r="M834" t="s">
        <v>8</v>
      </c>
      <c r="N834" t="b">
        <v>0</v>
      </c>
      <c r="O834">
        <v>0</v>
      </c>
      <c r="P834">
        <v>1</v>
      </c>
      <c r="Q834">
        <v>0</v>
      </c>
      <c r="R834">
        <v>1</v>
      </c>
    </row>
    <row r="835" spans="1:18" x14ac:dyDescent="0.25">
      <c r="A835" t="s">
        <v>351</v>
      </c>
      <c r="B835" t="s">
        <v>6</v>
      </c>
      <c r="C835">
        <v>4</v>
      </c>
      <c r="D835">
        <v>3</v>
      </c>
      <c r="E835">
        <v>1</v>
      </c>
      <c r="F835" s="15">
        <v>46069</v>
      </c>
      <c r="G835" t="s">
        <v>368</v>
      </c>
      <c r="H835">
        <v>4</v>
      </c>
      <c r="I835">
        <v>2026</v>
      </c>
      <c r="J835">
        <v>2</v>
      </c>
      <c r="K835" t="s">
        <v>87</v>
      </c>
      <c r="L835" t="s">
        <v>44</v>
      </c>
      <c r="M835" t="s">
        <v>6</v>
      </c>
      <c r="N835" t="b">
        <v>0</v>
      </c>
      <c r="O835">
        <v>0</v>
      </c>
      <c r="P835">
        <v>1</v>
      </c>
      <c r="Q835">
        <v>0</v>
      </c>
      <c r="R835">
        <v>0</v>
      </c>
    </row>
    <row r="836" spans="1:18" x14ac:dyDescent="0.25">
      <c r="A836" t="s">
        <v>351</v>
      </c>
      <c r="B836" t="s">
        <v>6</v>
      </c>
      <c r="C836">
        <v>4</v>
      </c>
      <c r="D836">
        <v>3</v>
      </c>
      <c r="E836">
        <v>1</v>
      </c>
      <c r="F836" s="15">
        <v>46069</v>
      </c>
      <c r="G836" t="s">
        <v>368</v>
      </c>
      <c r="H836">
        <v>4</v>
      </c>
      <c r="I836">
        <v>2026</v>
      </c>
      <c r="J836">
        <v>2</v>
      </c>
      <c r="K836" t="s">
        <v>87</v>
      </c>
      <c r="L836" t="s">
        <v>9</v>
      </c>
      <c r="M836" t="s">
        <v>6</v>
      </c>
      <c r="N836" t="b">
        <v>0</v>
      </c>
      <c r="O836">
        <v>0</v>
      </c>
      <c r="P836">
        <v>1</v>
      </c>
      <c r="Q836">
        <v>0</v>
      </c>
      <c r="R836">
        <v>0</v>
      </c>
    </row>
    <row r="837" spans="1:18" x14ac:dyDescent="0.25">
      <c r="A837" t="s">
        <v>7</v>
      </c>
      <c r="B837" t="s">
        <v>8</v>
      </c>
      <c r="C837">
        <v>2</v>
      </c>
      <c r="D837">
        <v>3</v>
      </c>
      <c r="E837">
        <v>1</v>
      </c>
      <c r="F837" s="15">
        <v>46069</v>
      </c>
      <c r="G837" t="s">
        <v>368</v>
      </c>
      <c r="H837">
        <v>4</v>
      </c>
      <c r="I837">
        <v>2026</v>
      </c>
      <c r="J837">
        <v>2</v>
      </c>
      <c r="K837" t="s">
        <v>87</v>
      </c>
      <c r="L837" t="s">
        <v>351</v>
      </c>
      <c r="M837" t="s">
        <v>6</v>
      </c>
      <c r="N837" t="b">
        <v>0</v>
      </c>
      <c r="O837">
        <v>1</v>
      </c>
      <c r="P837">
        <v>0</v>
      </c>
      <c r="Q837">
        <v>0</v>
      </c>
      <c r="R837">
        <v>0</v>
      </c>
    </row>
    <row r="838" spans="1:18" x14ac:dyDescent="0.25">
      <c r="A838" t="s">
        <v>7</v>
      </c>
      <c r="B838" t="s">
        <v>8</v>
      </c>
      <c r="C838">
        <v>2</v>
      </c>
      <c r="D838">
        <v>3</v>
      </c>
      <c r="E838">
        <v>1</v>
      </c>
      <c r="F838" s="15">
        <v>46069</v>
      </c>
      <c r="G838" t="s">
        <v>368</v>
      </c>
      <c r="H838">
        <v>4</v>
      </c>
      <c r="I838">
        <v>2026</v>
      </c>
      <c r="J838">
        <v>2</v>
      </c>
      <c r="K838" t="s">
        <v>87</v>
      </c>
      <c r="L838" t="s">
        <v>44</v>
      </c>
      <c r="M838" t="s">
        <v>6</v>
      </c>
      <c r="N838" t="b">
        <v>0</v>
      </c>
      <c r="O838">
        <v>1</v>
      </c>
      <c r="P838">
        <v>0</v>
      </c>
      <c r="Q838">
        <v>0</v>
      </c>
      <c r="R838">
        <v>0</v>
      </c>
    </row>
    <row r="839" spans="1:18" x14ac:dyDescent="0.25">
      <c r="A839" t="s">
        <v>7</v>
      </c>
      <c r="B839" t="s">
        <v>8</v>
      </c>
      <c r="C839">
        <v>2</v>
      </c>
      <c r="D839">
        <v>3</v>
      </c>
      <c r="E839">
        <v>1</v>
      </c>
      <c r="F839" s="15">
        <v>46069</v>
      </c>
      <c r="G839" t="s">
        <v>368</v>
      </c>
      <c r="H839">
        <v>4</v>
      </c>
      <c r="I839">
        <v>2026</v>
      </c>
      <c r="J839">
        <v>2</v>
      </c>
      <c r="K839" t="s">
        <v>87</v>
      </c>
      <c r="L839" t="s">
        <v>9</v>
      </c>
      <c r="M839" t="s">
        <v>6</v>
      </c>
      <c r="N839" t="b">
        <v>0</v>
      </c>
      <c r="O839">
        <v>1</v>
      </c>
      <c r="P839">
        <v>0</v>
      </c>
      <c r="Q839">
        <v>0</v>
      </c>
      <c r="R839">
        <v>0</v>
      </c>
    </row>
    <row r="840" spans="1:18" x14ac:dyDescent="0.25">
      <c r="A840" t="s">
        <v>44</v>
      </c>
      <c r="B840" t="s">
        <v>6</v>
      </c>
      <c r="C840">
        <v>3</v>
      </c>
      <c r="D840">
        <v>3</v>
      </c>
      <c r="E840">
        <v>1</v>
      </c>
      <c r="F840" s="15">
        <v>46069</v>
      </c>
      <c r="G840" t="s">
        <v>368</v>
      </c>
      <c r="H840">
        <v>4</v>
      </c>
      <c r="I840">
        <v>2026</v>
      </c>
      <c r="J840">
        <v>2</v>
      </c>
      <c r="K840" t="s">
        <v>87</v>
      </c>
      <c r="L840" t="s">
        <v>351</v>
      </c>
      <c r="M840" t="s">
        <v>6</v>
      </c>
      <c r="N840" t="b">
        <v>0</v>
      </c>
      <c r="O840">
        <v>0</v>
      </c>
      <c r="P840">
        <v>1</v>
      </c>
      <c r="Q840">
        <v>0</v>
      </c>
      <c r="R840">
        <v>0</v>
      </c>
    </row>
    <row r="841" spans="1:18" x14ac:dyDescent="0.25">
      <c r="A841" t="s">
        <v>44</v>
      </c>
      <c r="B841" t="s">
        <v>6</v>
      </c>
      <c r="C841">
        <v>3</v>
      </c>
      <c r="D841">
        <v>3</v>
      </c>
      <c r="E841">
        <v>1</v>
      </c>
      <c r="F841" s="15">
        <v>46069</v>
      </c>
      <c r="G841" t="s">
        <v>368</v>
      </c>
      <c r="H841">
        <v>4</v>
      </c>
      <c r="I841">
        <v>2026</v>
      </c>
      <c r="J841">
        <v>2</v>
      </c>
      <c r="K841" t="s">
        <v>87</v>
      </c>
      <c r="L841" t="s">
        <v>7</v>
      </c>
      <c r="M841" t="s">
        <v>8</v>
      </c>
      <c r="N841" t="b">
        <v>0</v>
      </c>
      <c r="O841">
        <v>0</v>
      </c>
      <c r="P841">
        <v>1</v>
      </c>
      <c r="Q841">
        <v>0</v>
      </c>
      <c r="R841">
        <v>1</v>
      </c>
    </row>
    <row r="842" spans="1:18" x14ac:dyDescent="0.25">
      <c r="A842" t="s">
        <v>44</v>
      </c>
      <c r="B842" t="s">
        <v>6</v>
      </c>
      <c r="C842">
        <v>3</v>
      </c>
      <c r="D842">
        <v>3</v>
      </c>
      <c r="E842">
        <v>1</v>
      </c>
      <c r="F842" s="15">
        <v>46069</v>
      </c>
      <c r="G842" t="s">
        <v>368</v>
      </c>
      <c r="H842">
        <v>4</v>
      </c>
      <c r="I842">
        <v>2026</v>
      </c>
      <c r="J842">
        <v>2</v>
      </c>
      <c r="K842" t="s">
        <v>87</v>
      </c>
      <c r="L842" t="s">
        <v>9</v>
      </c>
      <c r="M842" t="s">
        <v>6</v>
      </c>
      <c r="N842" t="b">
        <v>0</v>
      </c>
      <c r="O842">
        <v>0</v>
      </c>
      <c r="P842">
        <v>1</v>
      </c>
      <c r="Q842">
        <v>0</v>
      </c>
      <c r="R842">
        <v>0</v>
      </c>
    </row>
    <row r="843" spans="1:18" x14ac:dyDescent="0.25">
      <c r="A843" t="s">
        <v>9</v>
      </c>
      <c r="B843" t="s">
        <v>6</v>
      </c>
      <c r="C843">
        <v>1</v>
      </c>
      <c r="D843">
        <v>3</v>
      </c>
      <c r="E843">
        <v>1</v>
      </c>
      <c r="F843" s="15">
        <v>46069</v>
      </c>
      <c r="G843" t="s">
        <v>368</v>
      </c>
      <c r="H843">
        <v>4</v>
      </c>
      <c r="I843">
        <v>2026</v>
      </c>
      <c r="J843">
        <v>2</v>
      </c>
      <c r="K843" t="s">
        <v>87</v>
      </c>
      <c r="L843" t="s">
        <v>351</v>
      </c>
      <c r="M843" t="s">
        <v>6</v>
      </c>
      <c r="N843" t="b">
        <v>0</v>
      </c>
      <c r="O843">
        <v>0</v>
      </c>
      <c r="P843">
        <v>1</v>
      </c>
      <c r="Q843">
        <v>0</v>
      </c>
      <c r="R843">
        <v>0</v>
      </c>
    </row>
    <row r="844" spans="1:18" x14ac:dyDescent="0.25">
      <c r="A844" t="s">
        <v>9</v>
      </c>
      <c r="B844" t="s">
        <v>6</v>
      </c>
      <c r="C844">
        <v>1</v>
      </c>
      <c r="D844">
        <v>3</v>
      </c>
      <c r="E844">
        <v>1</v>
      </c>
      <c r="F844" s="15">
        <v>46069</v>
      </c>
      <c r="G844" t="s">
        <v>368</v>
      </c>
      <c r="H844">
        <v>4</v>
      </c>
      <c r="I844">
        <v>2026</v>
      </c>
      <c r="J844">
        <v>2</v>
      </c>
      <c r="K844" t="s">
        <v>87</v>
      </c>
      <c r="L844" t="s">
        <v>7</v>
      </c>
      <c r="M844" t="s">
        <v>8</v>
      </c>
      <c r="N844" t="b">
        <v>0</v>
      </c>
      <c r="O844">
        <v>0</v>
      </c>
      <c r="P844">
        <v>1</v>
      </c>
      <c r="Q844">
        <v>0</v>
      </c>
      <c r="R844">
        <v>1</v>
      </c>
    </row>
    <row r="845" spans="1:18" x14ac:dyDescent="0.25">
      <c r="A845" t="s">
        <v>9</v>
      </c>
      <c r="B845" t="s">
        <v>6</v>
      </c>
      <c r="C845">
        <v>1</v>
      </c>
      <c r="D845">
        <v>3</v>
      </c>
      <c r="E845">
        <v>1</v>
      </c>
      <c r="F845" s="15">
        <v>46069</v>
      </c>
      <c r="G845" t="s">
        <v>368</v>
      </c>
      <c r="H845">
        <v>4</v>
      </c>
      <c r="I845">
        <v>2026</v>
      </c>
      <c r="J845">
        <v>2</v>
      </c>
      <c r="K845" t="s">
        <v>87</v>
      </c>
      <c r="L845" t="s">
        <v>44</v>
      </c>
      <c r="M845" t="s">
        <v>6</v>
      </c>
      <c r="N845" t="b">
        <v>0</v>
      </c>
      <c r="O845">
        <v>0</v>
      </c>
      <c r="P845">
        <v>1</v>
      </c>
      <c r="Q845">
        <v>0</v>
      </c>
      <c r="R845">
        <v>0</v>
      </c>
    </row>
    <row r="846" spans="1:18" x14ac:dyDescent="0.25">
      <c r="A846" t="s">
        <v>351</v>
      </c>
      <c r="B846" t="s">
        <v>6</v>
      </c>
      <c r="C846">
        <v>2</v>
      </c>
      <c r="D846">
        <v>4</v>
      </c>
      <c r="E846">
        <v>2</v>
      </c>
      <c r="F846" s="15">
        <v>46069</v>
      </c>
      <c r="G846" t="s">
        <v>374</v>
      </c>
      <c r="H846">
        <v>4</v>
      </c>
      <c r="I846">
        <v>2026</v>
      </c>
      <c r="J846">
        <v>2</v>
      </c>
      <c r="K846" t="s">
        <v>87</v>
      </c>
      <c r="L846" t="s">
        <v>13</v>
      </c>
      <c r="M846" t="s">
        <v>6</v>
      </c>
      <c r="N846" t="b">
        <v>0</v>
      </c>
      <c r="O846">
        <v>0</v>
      </c>
      <c r="P846">
        <v>1</v>
      </c>
      <c r="Q846">
        <v>0</v>
      </c>
      <c r="R846">
        <v>0</v>
      </c>
    </row>
    <row r="847" spans="1:18" x14ac:dyDescent="0.25">
      <c r="A847" t="s">
        <v>351</v>
      </c>
      <c r="B847" t="s">
        <v>6</v>
      </c>
      <c r="C847">
        <v>2</v>
      </c>
      <c r="D847">
        <v>4</v>
      </c>
      <c r="E847">
        <v>2</v>
      </c>
      <c r="F847" s="15">
        <v>46069</v>
      </c>
      <c r="G847" t="s">
        <v>374</v>
      </c>
      <c r="H847">
        <v>4</v>
      </c>
      <c r="I847">
        <v>2026</v>
      </c>
      <c r="J847">
        <v>2</v>
      </c>
      <c r="K847" t="s">
        <v>87</v>
      </c>
      <c r="L847" t="s">
        <v>28</v>
      </c>
      <c r="M847" t="s">
        <v>8</v>
      </c>
      <c r="N847" t="b">
        <v>0</v>
      </c>
      <c r="O847">
        <v>0</v>
      </c>
      <c r="P847">
        <v>1</v>
      </c>
      <c r="Q847">
        <v>0</v>
      </c>
      <c r="R847">
        <v>1</v>
      </c>
    </row>
    <row r="848" spans="1:18" x14ac:dyDescent="0.25">
      <c r="A848" t="s">
        <v>351</v>
      </c>
      <c r="B848" t="s">
        <v>6</v>
      </c>
      <c r="C848">
        <v>2</v>
      </c>
      <c r="D848">
        <v>4</v>
      </c>
      <c r="E848">
        <v>2</v>
      </c>
      <c r="F848" s="15">
        <v>46069</v>
      </c>
      <c r="G848" t="s">
        <v>374</v>
      </c>
      <c r="H848">
        <v>4</v>
      </c>
      <c r="I848">
        <v>2026</v>
      </c>
      <c r="J848">
        <v>2</v>
      </c>
      <c r="K848" t="s">
        <v>87</v>
      </c>
      <c r="L848" t="s">
        <v>364</v>
      </c>
      <c r="M848" t="s">
        <v>6</v>
      </c>
      <c r="N848" t="b">
        <v>0</v>
      </c>
      <c r="O848">
        <v>0</v>
      </c>
      <c r="P848">
        <v>1</v>
      </c>
      <c r="Q848">
        <v>0</v>
      </c>
      <c r="R848">
        <v>0</v>
      </c>
    </row>
    <row r="849" spans="1:18" x14ac:dyDescent="0.25">
      <c r="A849" t="s">
        <v>13</v>
      </c>
      <c r="B849" t="s">
        <v>6</v>
      </c>
      <c r="C849">
        <v>4</v>
      </c>
      <c r="D849">
        <v>4</v>
      </c>
      <c r="E849">
        <v>2</v>
      </c>
      <c r="F849" s="15">
        <v>46069</v>
      </c>
      <c r="G849" t="s">
        <v>374</v>
      </c>
      <c r="H849">
        <v>4</v>
      </c>
      <c r="I849">
        <v>2026</v>
      </c>
      <c r="J849">
        <v>2</v>
      </c>
      <c r="K849" t="s">
        <v>87</v>
      </c>
      <c r="L849" t="s">
        <v>351</v>
      </c>
      <c r="M849" t="s">
        <v>6</v>
      </c>
      <c r="N849" t="b">
        <v>0</v>
      </c>
      <c r="O849">
        <v>0</v>
      </c>
      <c r="P849">
        <v>1</v>
      </c>
      <c r="Q849">
        <v>0</v>
      </c>
      <c r="R849">
        <v>0</v>
      </c>
    </row>
    <row r="850" spans="1:18" x14ac:dyDescent="0.25">
      <c r="A850" t="s">
        <v>13</v>
      </c>
      <c r="B850" t="s">
        <v>6</v>
      </c>
      <c r="C850">
        <v>4</v>
      </c>
      <c r="D850">
        <v>4</v>
      </c>
      <c r="E850">
        <v>2</v>
      </c>
      <c r="F850" s="15">
        <v>46069</v>
      </c>
      <c r="G850" t="s">
        <v>374</v>
      </c>
      <c r="H850">
        <v>4</v>
      </c>
      <c r="I850">
        <v>2026</v>
      </c>
      <c r="J850">
        <v>2</v>
      </c>
      <c r="K850" t="s">
        <v>87</v>
      </c>
      <c r="L850" t="s">
        <v>28</v>
      </c>
      <c r="M850" t="s">
        <v>8</v>
      </c>
      <c r="N850" t="b">
        <v>0</v>
      </c>
      <c r="O850">
        <v>0</v>
      </c>
      <c r="P850">
        <v>1</v>
      </c>
      <c r="Q850">
        <v>0</v>
      </c>
      <c r="R850">
        <v>1</v>
      </c>
    </row>
    <row r="851" spans="1:18" x14ac:dyDescent="0.25">
      <c r="A851" t="s">
        <v>13</v>
      </c>
      <c r="B851" t="s">
        <v>6</v>
      </c>
      <c r="C851">
        <v>4</v>
      </c>
      <c r="D851">
        <v>4</v>
      </c>
      <c r="E851">
        <v>2</v>
      </c>
      <c r="F851" s="15">
        <v>46069</v>
      </c>
      <c r="G851" t="s">
        <v>374</v>
      </c>
      <c r="H851">
        <v>4</v>
      </c>
      <c r="I851">
        <v>2026</v>
      </c>
      <c r="J851">
        <v>2</v>
      </c>
      <c r="K851" t="s">
        <v>87</v>
      </c>
      <c r="L851" t="s">
        <v>364</v>
      </c>
      <c r="M851" t="s">
        <v>6</v>
      </c>
      <c r="N851" t="b">
        <v>0</v>
      </c>
      <c r="O851">
        <v>0</v>
      </c>
      <c r="P851">
        <v>1</v>
      </c>
      <c r="Q851">
        <v>0</v>
      </c>
      <c r="R851">
        <v>0</v>
      </c>
    </row>
    <row r="852" spans="1:18" x14ac:dyDescent="0.25">
      <c r="A852" t="s">
        <v>28</v>
      </c>
      <c r="B852" t="s">
        <v>8</v>
      </c>
      <c r="C852">
        <v>3</v>
      </c>
      <c r="D852">
        <v>4</v>
      </c>
      <c r="E852">
        <v>2</v>
      </c>
      <c r="F852" s="15">
        <v>46069</v>
      </c>
      <c r="G852" t="s">
        <v>374</v>
      </c>
      <c r="H852">
        <v>4</v>
      </c>
      <c r="I852">
        <v>2026</v>
      </c>
      <c r="J852">
        <v>2</v>
      </c>
      <c r="K852" t="s">
        <v>87</v>
      </c>
      <c r="L852" t="s">
        <v>351</v>
      </c>
      <c r="M852" t="s">
        <v>6</v>
      </c>
      <c r="N852" t="b">
        <v>0</v>
      </c>
      <c r="O852">
        <v>1</v>
      </c>
      <c r="P852">
        <v>0</v>
      </c>
      <c r="Q852">
        <v>0</v>
      </c>
      <c r="R852">
        <v>0</v>
      </c>
    </row>
    <row r="853" spans="1:18" x14ac:dyDescent="0.25">
      <c r="A853" t="s">
        <v>28</v>
      </c>
      <c r="B853" t="s">
        <v>8</v>
      </c>
      <c r="C853">
        <v>3</v>
      </c>
      <c r="D853">
        <v>4</v>
      </c>
      <c r="E853">
        <v>2</v>
      </c>
      <c r="F853" s="15">
        <v>46069</v>
      </c>
      <c r="G853" t="s">
        <v>374</v>
      </c>
      <c r="H853">
        <v>4</v>
      </c>
      <c r="I853">
        <v>2026</v>
      </c>
      <c r="J853">
        <v>2</v>
      </c>
      <c r="K853" t="s">
        <v>87</v>
      </c>
      <c r="L853" t="s">
        <v>13</v>
      </c>
      <c r="M853" t="s">
        <v>6</v>
      </c>
      <c r="N853" t="b">
        <v>0</v>
      </c>
      <c r="O853">
        <v>1</v>
      </c>
      <c r="P853">
        <v>0</v>
      </c>
      <c r="Q853">
        <v>0</v>
      </c>
      <c r="R853">
        <v>0</v>
      </c>
    </row>
    <row r="854" spans="1:18" x14ac:dyDescent="0.25">
      <c r="A854" t="s">
        <v>28</v>
      </c>
      <c r="B854" t="s">
        <v>8</v>
      </c>
      <c r="C854">
        <v>3</v>
      </c>
      <c r="D854">
        <v>4</v>
      </c>
      <c r="E854">
        <v>2</v>
      </c>
      <c r="F854" s="15">
        <v>46069</v>
      </c>
      <c r="G854" t="s">
        <v>374</v>
      </c>
      <c r="H854">
        <v>4</v>
      </c>
      <c r="I854">
        <v>2026</v>
      </c>
      <c r="J854">
        <v>2</v>
      </c>
      <c r="K854" t="s">
        <v>87</v>
      </c>
      <c r="L854" t="s">
        <v>364</v>
      </c>
      <c r="M854" t="s">
        <v>6</v>
      </c>
      <c r="N854" t="b">
        <v>0</v>
      </c>
      <c r="O854">
        <v>1</v>
      </c>
      <c r="P854">
        <v>0</v>
      </c>
      <c r="Q854">
        <v>0</v>
      </c>
      <c r="R854">
        <v>0</v>
      </c>
    </row>
    <row r="855" spans="1:18" x14ac:dyDescent="0.25">
      <c r="A855" t="s">
        <v>364</v>
      </c>
      <c r="B855" t="s">
        <v>6</v>
      </c>
      <c r="C855">
        <v>1</v>
      </c>
      <c r="D855">
        <v>4</v>
      </c>
      <c r="E855">
        <v>2</v>
      </c>
      <c r="F855" s="15">
        <v>46069</v>
      </c>
      <c r="G855" t="s">
        <v>374</v>
      </c>
      <c r="H855">
        <v>4</v>
      </c>
      <c r="I855">
        <v>2026</v>
      </c>
      <c r="J855">
        <v>2</v>
      </c>
      <c r="K855" t="s">
        <v>87</v>
      </c>
      <c r="L855" t="s">
        <v>351</v>
      </c>
      <c r="M855" t="s">
        <v>6</v>
      </c>
      <c r="N855" t="b">
        <v>0</v>
      </c>
      <c r="O855">
        <v>0</v>
      </c>
      <c r="P855">
        <v>1</v>
      </c>
      <c r="Q855">
        <v>0</v>
      </c>
      <c r="R855">
        <v>0</v>
      </c>
    </row>
    <row r="856" spans="1:18" x14ac:dyDescent="0.25">
      <c r="A856" t="s">
        <v>364</v>
      </c>
      <c r="B856" t="s">
        <v>6</v>
      </c>
      <c r="C856">
        <v>1</v>
      </c>
      <c r="D856">
        <v>4</v>
      </c>
      <c r="E856">
        <v>2</v>
      </c>
      <c r="F856" s="15">
        <v>46069</v>
      </c>
      <c r="G856" t="s">
        <v>374</v>
      </c>
      <c r="H856">
        <v>4</v>
      </c>
      <c r="I856">
        <v>2026</v>
      </c>
      <c r="J856">
        <v>2</v>
      </c>
      <c r="K856" t="s">
        <v>87</v>
      </c>
      <c r="L856" t="s">
        <v>13</v>
      </c>
      <c r="M856" t="s">
        <v>6</v>
      </c>
      <c r="N856" t="b">
        <v>0</v>
      </c>
      <c r="O856">
        <v>0</v>
      </c>
      <c r="P856">
        <v>1</v>
      </c>
      <c r="Q856">
        <v>0</v>
      </c>
      <c r="R856">
        <v>0</v>
      </c>
    </row>
    <row r="857" spans="1:18" x14ac:dyDescent="0.25">
      <c r="A857" t="s">
        <v>364</v>
      </c>
      <c r="B857" t="s">
        <v>6</v>
      </c>
      <c r="C857">
        <v>1</v>
      </c>
      <c r="D857">
        <v>4</v>
      </c>
      <c r="E857">
        <v>2</v>
      </c>
      <c r="F857" s="15">
        <v>46069</v>
      </c>
      <c r="G857" t="s">
        <v>374</v>
      </c>
      <c r="H857">
        <v>4</v>
      </c>
      <c r="I857">
        <v>2026</v>
      </c>
      <c r="J857">
        <v>2</v>
      </c>
      <c r="K857" t="s">
        <v>87</v>
      </c>
      <c r="L857" t="s">
        <v>28</v>
      </c>
      <c r="M857" t="s">
        <v>8</v>
      </c>
      <c r="N857" t="b">
        <v>0</v>
      </c>
      <c r="O857">
        <v>0</v>
      </c>
      <c r="P857">
        <v>1</v>
      </c>
      <c r="Q857">
        <v>0</v>
      </c>
      <c r="R857">
        <v>1</v>
      </c>
    </row>
    <row r="858" spans="1:18" x14ac:dyDescent="0.25">
      <c r="A858" t="s">
        <v>322</v>
      </c>
      <c r="B858" t="s">
        <v>6</v>
      </c>
      <c r="C858">
        <v>2</v>
      </c>
      <c r="D858">
        <v>2</v>
      </c>
      <c r="E858">
        <v>1</v>
      </c>
      <c r="F858" s="15">
        <v>46048</v>
      </c>
      <c r="G858" t="s">
        <v>328</v>
      </c>
      <c r="H858">
        <v>4</v>
      </c>
      <c r="I858">
        <v>2026</v>
      </c>
      <c r="J858">
        <v>1</v>
      </c>
      <c r="K858" t="s">
        <v>87</v>
      </c>
      <c r="L858" t="s">
        <v>19</v>
      </c>
      <c r="M858" t="s">
        <v>8</v>
      </c>
      <c r="N858" t="b">
        <v>0</v>
      </c>
      <c r="O858">
        <v>0</v>
      </c>
      <c r="P858">
        <v>1</v>
      </c>
      <c r="Q858">
        <v>0</v>
      </c>
      <c r="R858">
        <v>1</v>
      </c>
    </row>
    <row r="859" spans="1:18" x14ac:dyDescent="0.25">
      <c r="A859" t="s">
        <v>322</v>
      </c>
      <c r="B859" t="s">
        <v>6</v>
      </c>
      <c r="C859">
        <v>2</v>
      </c>
      <c r="D859">
        <v>2</v>
      </c>
      <c r="E859">
        <v>1</v>
      </c>
      <c r="F859" s="15">
        <v>46048</v>
      </c>
      <c r="G859" t="s">
        <v>328</v>
      </c>
      <c r="H859">
        <v>4</v>
      </c>
      <c r="I859">
        <v>2026</v>
      </c>
      <c r="J859">
        <v>1</v>
      </c>
      <c r="K859" t="s">
        <v>87</v>
      </c>
      <c r="L859" t="s">
        <v>13</v>
      </c>
      <c r="M859" t="s">
        <v>6</v>
      </c>
      <c r="N859" t="b">
        <v>0</v>
      </c>
      <c r="O859">
        <v>0</v>
      </c>
      <c r="P859">
        <v>1</v>
      </c>
      <c r="Q859">
        <v>0</v>
      </c>
      <c r="R859">
        <v>0</v>
      </c>
    </row>
    <row r="860" spans="1:18" x14ac:dyDescent="0.25">
      <c r="A860" t="s">
        <v>322</v>
      </c>
      <c r="B860" t="s">
        <v>6</v>
      </c>
      <c r="C860">
        <v>2</v>
      </c>
      <c r="D860">
        <v>2</v>
      </c>
      <c r="E860">
        <v>1</v>
      </c>
      <c r="F860" s="15">
        <v>46048</v>
      </c>
      <c r="G860" t="s">
        <v>328</v>
      </c>
      <c r="H860">
        <v>4</v>
      </c>
      <c r="I860">
        <v>2026</v>
      </c>
      <c r="J860">
        <v>1</v>
      </c>
      <c r="K860" t="s">
        <v>87</v>
      </c>
      <c r="L860" t="s">
        <v>51</v>
      </c>
      <c r="M860" t="s">
        <v>6</v>
      </c>
      <c r="N860" t="b">
        <v>0</v>
      </c>
      <c r="O860">
        <v>0</v>
      </c>
      <c r="P860">
        <v>1</v>
      </c>
      <c r="Q860">
        <v>0</v>
      </c>
      <c r="R860">
        <v>0</v>
      </c>
    </row>
    <row r="861" spans="1:18" x14ac:dyDescent="0.25">
      <c r="A861" t="s">
        <v>19</v>
      </c>
      <c r="B861" t="s">
        <v>8</v>
      </c>
      <c r="C861">
        <v>1</v>
      </c>
      <c r="D861">
        <v>2</v>
      </c>
      <c r="E861">
        <v>1</v>
      </c>
      <c r="F861" s="15">
        <v>46048</v>
      </c>
      <c r="G861" t="s">
        <v>328</v>
      </c>
      <c r="H861">
        <v>4</v>
      </c>
      <c r="I861">
        <v>2026</v>
      </c>
      <c r="J861">
        <v>1</v>
      </c>
      <c r="K861" t="s">
        <v>87</v>
      </c>
      <c r="L861" t="s">
        <v>322</v>
      </c>
      <c r="M861" t="s">
        <v>6</v>
      </c>
      <c r="N861" t="b">
        <v>0</v>
      </c>
      <c r="O861">
        <v>1</v>
      </c>
      <c r="P861">
        <v>0</v>
      </c>
      <c r="Q861">
        <v>0</v>
      </c>
      <c r="R861">
        <v>0</v>
      </c>
    </row>
    <row r="862" spans="1:18" x14ac:dyDescent="0.25">
      <c r="A862" t="s">
        <v>19</v>
      </c>
      <c r="B862" t="s">
        <v>8</v>
      </c>
      <c r="C862">
        <v>1</v>
      </c>
      <c r="D862">
        <v>2</v>
      </c>
      <c r="E862">
        <v>1</v>
      </c>
      <c r="F862" s="15">
        <v>46048</v>
      </c>
      <c r="G862" t="s">
        <v>328</v>
      </c>
      <c r="H862">
        <v>4</v>
      </c>
      <c r="I862">
        <v>2026</v>
      </c>
      <c r="J862">
        <v>1</v>
      </c>
      <c r="K862" t="s">
        <v>87</v>
      </c>
      <c r="L862" t="s">
        <v>13</v>
      </c>
      <c r="M862" t="s">
        <v>6</v>
      </c>
      <c r="N862" t="b">
        <v>0</v>
      </c>
      <c r="O862">
        <v>1</v>
      </c>
      <c r="P862">
        <v>0</v>
      </c>
      <c r="Q862">
        <v>0</v>
      </c>
      <c r="R862">
        <v>0</v>
      </c>
    </row>
    <row r="863" spans="1:18" x14ac:dyDescent="0.25">
      <c r="A863" t="s">
        <v>19</v>
      </c>
      <c r="B863" t="s">
        <v>8</v>
      </c>
      <c r="C863">
        <v>1</v>
      </c>
      <c r="D863">
        <v>2</v>
      </c>
      <c r="E863">
        <v>1</v>
      </c>
      <c r="F863" s="15">
        <v>46048</v>
      </c>
      <c r="G863" t="s">
        <v>328</v>
      </c>
      <c r="H863">
        <v>4</v>
      </c>
      <c r="I863">
        <v>2026</v>
      </c>
      <c r="J863">
        <v>1</v>
      </c>
      <c r="K863" t="s">
        <v>87</v>
      </c>
      <c r="L863" t="s">
        <v>51</v>
      </c>
      <c r="M863" t="s">
        <v>6</v>
      </c>
      <c r="N863" t="b">
        <v>0</v>
      </c>
      <c r="O863">
        <v>1</v>
      </c>
      <c r="P863">
        <v>0</v>
      </c>
      <c r="Q863">
        <v>0</v>
      </c>
      <c r="R863">
        <v>0</v>
      </c>
    </row>
    <row r="864" spans="1:18" x14ac:dyDescent="0.25">
      <c r="A864" t="s">
        <v>13</v>
      </c>
      <c r="B864" t="s">
        <v>6</v>
      </c>
      <c r="C864">
        <v>3</v>
      </c>
      <c r="D864">
        <v>2</v>
      </c>
      <c r="E864">
        <v>1</v>
      </c>
      <c r="F864" s="15">
        <v>46048</v>
      </c>
      <c r="G864" t="s">
        <v>328</v>
      </c>
      <c r="H864">
        <v>4</v>
      </c>
      <c r="I864">
        <v>2026</v>
      </c>
      <c r="J864">
        <v>1</v>
      </c>
      <c r="K864" t="s">
        <v>87</v>
      </c>
      <c r="L864" t="s">
        <v>322</v>
      </c>
      <c r="M864" t="s">
        <v>6</v>
      </c>
      <c r="N864" t="b">
        <v>0</v>
      </c>
      <c r="O864">
        <v>0</v>
      </c>
      <c r="P864">
        <v>1</v>
      </c>
      <c r="Q864">
        <v>0</v>
      </c>
      <c r="R864">
        <v>0</v>
      </c>
    </row>
    <row r="865" spans="1:18" x14ac:dyDescent="0.25">
      <c r="A865" t="s">
        <v>13</v>
      </c>
      <c r="B865" t="s">
        <v>6</v>
      </c>
      <c r="C865">
        <v>3</v>
      </c>
      <c r="D865">
        <v>2</v>
      </c>
      <c r="E865">
        <v>1</v>
      </c>
      <c r="F865" s="15">
        <v>46048</v>
      </c>
      <c r="G865" t="s">
        <v>328</v>
      </c>
      <c r="H865">
        <v>4</v>
      </c>
      <c r="I865">
        <v>2026</v>
      </c>
      <c r="J865">
        <v>1</v>
      </c>
      <c r="K865" t="s">
        <v>87</v>
      </c>
      <c r="L865" t="s">
        <v>19</v>
      </c>
      <c r="M865" t="s">
        <v>8</v>
      </c>
      <c r="N865" t="b">
        <v>0</v>
      </c>
      <c r="O865">
        <v>0</v>
      </c>
      <c r="P865">
        <v>1</v>
      </c>
      <c r="Q865">
        <v>0</v>
      </c>
      <c r="R865">
        <v>1</v>
      </c>
    </row>
    <row r="866" spans="1:18" x14ac:dyDescent="0.25">
      <c r="A866" t="s">
        <v>13</v>
      </c>
      <c r="B866" t="s">
        <v>6</v>
      </c>
      <c r="C866">
        <v>3</v>
      </c>
      <c r="D866">
        <v>2</v>
      </c>
      <c r="E866">
        <v>1</v>
      </c>
      <c r="F866" s="15">
        <v>46048</v>
      </c>
      <c r="G866" t="s">
        <v>328</v>
      </c>
      <c r="H866">
        <v>4</v>
      </c>
      <c r="I866">
        <v>2026</v>
      </c>
      <c r="J866">
        <v>1</v>
      </c>
      <c r="K866" t="s">
        <v>87</v>
      </c>
      <c r="L866" t="s">
        <v>51</v>
      </c>
      <c r="M866" t="s">
        <v>6</v>
      </c>
      <c r="N866" t="b">
        <v>0</v>
      </c>
      <c r="O866">
        <v>0</v>
      </c>
      <c r="P866">
        <v>1</v>
      </c>
      <c r="Q866">
        <v>0</v>
      </c>
      <c r="R866">
        <v>0</v>
      </c>
    </row>
    <row r="867" spans="1:18" x14ac:dyDescent="0.25">
      <c r="A867" t="s">
        <v>51</v>
      </c>
      <c r="B867" t="s">
        <v>6</v>
      </c>
      <c r="C867">
        <v>4</v>
      </c>
      <c r="D867">
        <v>2</v>
      </c>
      <c r="E867">
        <v>1</v>
      </c>
      <c r="F867" s="15">
        <v>46048</v>
      </c>
      <c r="G867" t="s">
        <v>328</v>
      </c>
      <c r="H867">
        <v>4</v>
      </c>
      <c r="I867">
        <v>2026</v>
      </c>
      <c r="J867">
        <v>1</v>
      </c>
      <c r="K867" t="s">
        <v>87</v>
      </c>
      <c r="L867" t="s">
        <v>322</v>
      </c>
      <c r="M867" t="s">
        <v>6</v>
      </c>
      <c r="N867" t="b">
        <v>0</v>
      </c>
      <c r="O867">
        <v>0</v>
      </c>
      <c r="P867">
        <v>1</v>
      </c>
      <c r="Q867">
        <v>0</v>
      </c>
      <c r="R867">
        <v>0</v>
      </c>
    </row>
    <row r="868" spans="1:18" x14ac:dyDescent="0.25">
      <c r="A868" t="s">
        <v>51</v>
      </c>
      <c r="B868" t="s">
        <v>6</v>
      </c>
      <c r="C868">
        <v>4</v>
      </c>
      <c r="D868">
        <v>2</v>
      </c>
      <c r="E868">
        <v>1</v>
      </c>
      <c r="F868" s="15">
        <v>46048</v>
      </c>
      <c r="G868" t="s">
        <v>328</v>
      </c>
      <c r="H868">
        <v>4</v>
      </c>
      <c r="I868">
        <v>2026</v>
      </c>
      <c r="J868">
        <v>1</v>
      </c>
      <c r="K868" t="s">
        <v>87</v>
      </c>
      <c r="L868" t="s">
        <v>19</v>
      </c>
      <c r="M868" t="s">
        <v>8</v>
      </c>
      <c r="N868" t="b">
        <v>0</v>
      </c>
      <c r="O868">
        <v>0</v>
      </c>
      <c r="P868">
        <v>1</v>
      </c>
      <c r="Q868">
        <v>0</v>
      </c>
      <c r="R868">
        <v>1</v>
      </c>
    </row>
    <row r="869" spans="1:18" x14ac:dyDescent="0.25">
      <c r="A869" t="s">
        <v>51</v>
      </c>
      <c r="B869" t="s">
        <v>6</v>
      </c>
      <c r="C869">
        <v>4</v>
      </c>
      <c r="D869">
        <v>2</v>
      </c>
      <c r="E869">
        <v>1</v>
      </c>
      <c r="F869" s="15">
        <v>46048</v>
      </c>
      <c r="G869" t="s">
        <v>328</v>
      </c>
      <c r="H869">
        <v>4</v>
      </c>
      <c r="I869">
        <v>2026</v>
      </c>
      <c r="J869">
        <v>1</v>
      </c>
      <c r="K869" t="s">
        <v>87</v>
      </c>
      <c r="L869" t="s">
        <v>13</v>
      </c>
      <c r="M869" t="s">
        <v>6</v>
      </c>
      <c r="N869" t="b">
        <v>0</v>
      </c>
      <c r="O869">
        <v>0</v>
      </c>
      <c r="P869">
        <v>1</v>
      </c>
      <c r="Q869">
        <v>0</v>
      </c>
      <c r="R869">
        <v>0</v>
      </c>
    </row>
    <row r="870" spans="1:18" x14ac:dyDescent="0.25">
      <c r="A870" t="s">
        <v>322</v>
      </c>
      <c r="B870" t="s">
        <v>6</v>
      </c>
      <c r="C870">
        <v>3</v>
      </c>
      <c r="D870">
        <v>7</v>
      </c>
      <c r="E870">
        <v>2</v>
      </c>
      <c r="F870" s="15">
        <v>46048</v>
      </c>
      <c r="G870" t="s">
        <v>340</v>
      </c>
      <c r="H870">
        <v>3</v>
      </c>
      <c r="I870">
        <v>2026</v>
      </c>
      <c r="J870">
        <v>1</v>
      </c>
      <c r="K870" t="s">
        <v>87</v>
      </c>
      <c r="L870" t="s">
        <v>41</v>
      </c>
      <c r="M870" t="s">
        <v>8</v>
      </c>
      <c r="N870" t="b">
        <v>0</v>
      </c>
      <c r="O870">
        <v>0</v>
      </c>
      <c r="P870">
        <v>1</v>
      </c>
      <c r="Q870">
        <v>0</v>
      </c>
      <c r="R870">
        <v>1</v>
      </c>
    </row>
    <row r="871" spans="1:18" x14ac:dyDescent="0.25">
      <c r="A871" t="s">
        <v>322</v>
      </c>
      <c r="B871" t="s">
        <v>6</v>
      </c>
      <c r="C871">
        <v>3</v>
      </c>
      <c r="D871">
        <v>7</v>
      </c>
      <c r="E871">
        <v>2</v>
      </c>
      <c r="F871" s="15">
        <v>46048</v>
      </c>
      <c r="G871" t="s">
        <v>340</v>
      </c>
      <c r="H871">
        <v>3</v>
      </c>
      <c r="I871">
        <v>2026</v>
      </c>
      <c r="J871">
        <v>1</v>
      </c>
      <c r="K871" t="s">
        <v>87</v>
      </c>
      <c r="L871" t="s">
        <v>326</v>
      </c>
      <c r="M871" t="s">
        <v>6</v>
      </c>
      <c r="N871" t="b">
        <v>0</v>
      </c>
      <c r="O871">
        <v>0</v>
      </c>
      <c r="P871">
        <v>1</v>
      </c>
      <c r="Q871">
        <v>0</v>
      </c>
      <c r="R871">
        <v>0</v>
      </c>
    </row>
    <row r="872" spans="1:18" x14ac:dyDescent="0.25">
      <c r="A872" t="s">
        <v>41</v>
      </c>
      <c r="B872" t="s">
        <v>8</v>
      </c>
      <c r="C872">
        <v>1</v>
      </c>
      <c r="D872">
        <v>7</v>
      </c>
      <c r="E872">
        <v>2</v>
      </c>
      <c r="F872" s="15">
        <v>46048</v>
      </c>
      <c r="G872" t="s">
        <v>340</v>
      </c>
      <c r="H872">
        <v>3</v>
      </c>
      <c r="I872">
        <v>2026</v>
      </c>
      <c r="J872">
        <v>1</v>
      </c>
      <c r="K872" t="s">
        <v>87</v>
      </c>
      <c r="L872" t="s">
        <v>322</v>
      </c>
      <c r="M872" t="s">
        <v>6</v>
      </c>
      <c r="N872" t="b">
        <v>0</v>
      </c>
      <c r="O872">
        <v>1</v>
      </c>
      <c r="P872">
        <v>0</v>
      </c>
      <c r="Q872">
        <v>0</v>
      </c>
      <c r="R872">
        <v>0</v>
      </c>
    </row>
    <row r="873" spans="1:18" x14ac:dyDescent="0.25">
      <c r="A873" t="s">
        <v>41</v>
      </c>
      <c r="B873" t="s">
        <v>8</v>
      </c>
      <c r="C873">
        <v>1</v>
      </c>
      <c r="D873">
        <v>7</v>
      </c>
      <c r="E873">
        <v>2</v>
      </c>
      <c r="F873" s="15">
        <v>46048</v>
      </c>
      <c r="G873" t="s">
        <v>340</v>
      </c>
      <c r="H873">
        <v>3</v>
      </c>
      <c r="I873">
        <v>2026</v>
      </c>
      <c r="J873">
        <v>1</v>
      </c>
      <c r="K873" t="s">
        <v>87</v>
      </c>
      <c r="L873" t="s">
        <v>326</v>
      </c>
      <c r="M873" t="s">
        <v>6</v>
      </c>
      <c r="N873" t="b">
        <v>0</v>
      </c>
      <c r="O873">
        <v>1</v>
      </c>
      <c r="P873">
        <v>0</v>
      </c>
      <c r="Q873">
        <v>0</v>
      </c>
      <c r="R873">
        <v>0</v>
      </c>
    </row>
    <row r="874" spans="1:18" x14ac:dyDescent="0.25">
      <c r="A874" t="s">
        <v>326</v>
      </c>
      <c r="B874" t="s">
        <v>6</v>
      </c>
      <c r="C874">
        <v>2</v>
      </c>
      <c r="D874">
        <v>7</v>
      </c>
      <c r="E874">
        <v>2</v>
      </c>
      <c r="F874" s="15">
        <v>46048</v>
      </c>
      <c r="G874" t="s">
        <v>340</v>
      </c>
      <c r="H874">
        <v>3</v>
      </c>
      <c r="I874">
        <v>2026</v>
      </c>
      <c r="J874">
        <v>1</v>
      </c>
      <c r="K874" t="s">
        <v>87</v>
      </c>
      <c r="L874" t="s">
        <v>322</v>
      </c>
      <c r="M874" t="s">
        <v>6</v>
      </c>
      <c r="N874" t="b">
        <v>0</v>
      </c>
      <c r="O874">
        <v>0</v>
      </c>
      <c r="P874">
        <v>1</v>
      </c>
      <c r="Q874">
        <v>0</v>
      </c>
      <c r="R874">
        <v>0</v>
      </c>
    </row>
    <row r="875" spans="1:18" x14ac:dyDescent="0.25">
      <c r="A875" t="s">
        <v>326</v>
      </c>
      <c r="B875" t="s">
        <v>6</v>
      </c>
      <c r="C875">
        <v>2</v>
      </c>
      <c r="D875">
        <v>7</v>
      </c>
      <c r="E875">
        <v>2</v>
      </c>
      <c r="F875" s="15">
        <v>46048</v>
      </c>
      <c r="G875" t="s">
        <v>340</v>
      </c>
      <c r="H875">
        <v>3</v>
      </c>
      <c r="I875">
        <v>2026</v>
      </c>
      <c r="J875">
        <v>1</v>
      </c>
      <c r="K875" t="s">
        <v>87</v>
      </c>
      <c r="L875" t="s">
        <v>41</v>
      </c>
      <c r="M875" t="s">
        <v>8</v>
      </c>
      <c r="N875" t="b">
        <v>0</v>
      </c>
      <c r="O875">
        <v>0</v>
      </c>
      <c r="P875">
        <v>1</v>
      </c>
      <c r="Q875">
        <v>0</v>
      </c>
      <c r="R875">
        <v>1</v>
      </c>
    </row>
    <row r="876" spans="1:18" x14ac:dyDescent="0.25">
      <c r="A876" t="s">
        <v>322</v>
      </c>
      <c r="B876" t="s">
        <v>6</v>
      </c>
      <c r="C876">
        <v>2</v>
      </c>
      <c r="D876">
        <v>2</v>
      </c>
      <c r="E876">
        <v>2</v>
      </c>
      <c r="F876" s="15">
        <v>46069</v>
      </c>
      <c r="G876" t="s">
        <v>372</v>
      </c>
      <c r="H876">
        <v>4</v>
      </c>
      <c r="I876">
        <v>2026</v>
      </c>
      <c r="J876">
        <v>2</v>
      </c>
      <c r="K876" t="s">
        <v>87</v>
      </c>
      <c r="L876" t="s">
        <v>19</v>
      </c>
      <c r="M876" t="s">
        <v>6</v>
      </c>
      <c r="N876" t="b">
        <v>0</v>
      </c>
      <c r="O876">
        <v>0</v>
      </c>
      <c r="P876">
        <v>1</v>
      </c>
      <c r="Q876">
        <v>0</v>
      </c>
      <c r="R876">
        <v>0</v>
      </c>
    </row>
    <row r="877" spans="1:18" x14ac:dyDescent="0.25">
      <c r="A877" t="s">
        <v>322</v>
      </c>
      <c r="B877" t="s">
        <v>6</v>
      </c>
      <c r="C877">
        <v>2</v>
      </c>
      <c r="D877">
        <v>2</v>
      </c>
      <c r="E877">
        <v>2</v>
      </c>
      <c r="F877" s="15">
        <v>46069</v>
      </c>
      <c r="G877" t="s">
        <v>372</v>
      </c>
      <c r="H877">
        <v>4</v>
      </c>
      <c r="I877">
        <v>2026</v>
      </c>
      <c r="J877">
        <v>2</v>
      </c>
      <c r="K877" t="s">
        <v>87</v>
      </c>
      <c r="L877" t="s">
        <v>11</v>
      </c>
      <c r="M877" t="s">
        <v>8</v>
      </c>
      <c r="N877" t="b">
        <v>0</v>
      </c>
      <c r="O877">
        <v>0</v>
      </c>
      <c r="P877">
        <v>1</v>
      </c>
      <c r="Q877">
        <v>0</v>
      </c>
      <c r="R877">
        <v>1</v>
      </c>
    </row>
    <row r="878" spans="1:18" x14ac:dyDescent="0.25">
      <c r="A878" t="s">
        <v>322</v>
      </c>
      <c r="B878" t="s">
        <v>6</v>
      </c>
      <c r="C878">
        <v>2</v>
      </c>
      <c r="D878">
        <v>2</v>
      </c>
      <c r="E878">
        <v>2</v>
      </c>
      <c r="F878" s="15">
        <v>46069</v>
      </c>
      <c r="G878" t="s">
        <v>372</v>
      </c>
      <c r="H878">
        <v>4</v>
      </c>
      <c r="I878">
        <v>2026</v>
      </c>
      <c r="J878">
        <v>2</v>
      </c>
      <c r="K878" t="s">
        <v>87</v>
      </c>
      <c r="L878" t="s">
        <v>44</v>
      </c>
      <c r="M878" t="s">
        <v>6</v>
      </c>
      <c r="N878" t="b">
        <v>0</v>
      </c>
      <c r="O878">
        <v>0</v>
      </c>
      <c r="P878">
        <v>1</v>
      </c>
      <c r="Q878">
        <v>0</v>
      </c>
      <c r="R878">
        <v>0</v>
      </c>
    </row>
    <row r="879" spans="1:18" x14ac:dyDescent="0.25">
      <c r="A879" t="s">
        <v>19</v>
      </c>
      <c r="B879" t="s">
        <v>6</v>
      </c>
      <c r="C879">
        <v>1</v>
      </c>
      <c r="D879">
        <v>2</v>
      </c>
      <c r="E879">
        <v>2</v>
      </c>
      <c r="F879" s="15">
        <v>46069</v>
      </c>
      <c r="G879" t="s">
        <v>372</v>
      </c>
      <c r="H879">
        <v>4</v>
      </c>
      <c r="I879">
        <v>2026</v>
      </c>
      <c r="J879">
        <v>2</v>
      </c>
      <c r="K879" t="s">
        <v>87</v>
      </c>
      <c r="L879" t="s">
        <v>322</v>
      </c>
      <c r="M879" t="s">
        <v>6</v>
      </c>
      <c r="N879" t="b">
        <v>0</v>
      </c>
      <c r="O879">
        <v>0</v>
      </c>
      <c r="P879">
        <v>1</v>
      </c>
      <c r="Q879">
        <v>0</v>
      </c>
      <c r="R879">
        <v>0</v>
      </c>
    </row>
    <row r="880" spans="1:18" x14ac:dyDescent="0.25">
      <c r="A880" t="s">
        <v>19</v>
      </c>
      <c r="B880" t="s">
        <v>6</v>
      </c>
      <c r="C880">
        <v>1</v>
      </c>
      <c r="D880">
        <v>2</v>
      </c>
      <c r="E880">
        <v>2</v>
      </c>
      <c r="F880" s="15">
        <v>46069</v>
      </c>
      <c r="G880" t="s">
        <v>372</v>
      </c>
      <c r="H880">
        <v>4</v>
      </c>
      <c r="I880">
        <v>2026</v>
      </c>
      <c r="J880">
        <v>2</v>
      </c>
      <c r="K880" t="s">
        <v>87</v>
      </c>
      <c r="L880" t="s">
        <v>11</v>
      </c>
      <c r="M880" t="s">
        <v>8</v>
      </c>
      <c r="N880" t="b">
        <v>0</v>
      </c>
      <c r="O880">
        <v>0</v>
      </c>
      <c r="P880">
        <v>1</v>
      </c>
      <c r="Q880">
        <v>0</v>
      </c>
      <c r="R880">
        <v>1</v>
      </c>
    </row>
    <row r="881" spans="1:18" x14ac:dyDescent="0.25">
      <c r="A881" t="s">
        <v>19</v>
      </c>
      <c r="B881" t="s">
        <v>6</v>
      </c>
      <c r="C881">
        <v>1</v>
      </c>
      <c r="D881">
        <v>2</v>
      </c>
      <c r="E881">
        <v>2</v>
      </c>
      <c r="F881" s="15">
        <v>46069</v>
      </c>
      <c r="G881" t="s">
        <v>372</v>
      </c>
      <c r="H881">
        <v>4</v>
      </c>
      <c r="I881">
        <v>2026</v>
      </c>
      <c r="J881">
        <v>2</v>
      </c>
      <c r="K881" t="s">
        <v>87</v>
      </c>
      <c r="L881" t="s">
        <v>44</v>
      </c>
      <c r="M881" t="s">
        <v>6</v>
      </c>
      <c r="N881" t="b">
        <v>0</v>
      </c>
      <c r="O881">
        <v>0</v>
      </c>
      <c r="P881">
        <v>1</v>
      </c>
      <c r="Q881">
        <v>0</v>
      </c>
      <c r="R881">
        <v>0</v>
      </c>
    </row>
    <row r="882" spans="1:18" x14ac:dyDescent="0.25">
      <c r="A882" t="s">
        <v>11</v>
      </c>
      <c r="B882" t="s">
        <v>8</v>
      </c>
      <c r="C882">
        <v>3</v>
      </c>
      <c r="D882">
        <v>2</v>
      </c>
      <c r="E882">
        <v>2</v>
      </c>
      <c r="F882" s="15">
        <v>46069</v>
      </c>
      <c r="G882" t="s">
        <v>372</v>
      </c>
      <c r="H882">
        <v>4</v>
      </c>
      <c r="I882">
        <v>2026</v>
      </c>
      <c r="J882">
        <v>2</v>
      </c>
      <c r="K882" t="s">
        <v>87</v>
      </c>
      <c r="L882" t="s">
        <v>322</v>
      </c>
      <c r="M882" t="s">
        <v>6</v>
      </c>
      <c r="N882" t="b">
        <v>0</v>
      </c>
      <c r="O882">
        <v>1</v>
      </c>
      <c r="P882">
        <v>0</v>
      </c>
      <c r="Q882">
        <v>0</v>
      </c>
      <c r="R882">
        <v>0</v>
      </c>
    </row>
    <row r="883" spans="1:18" x14ac:dyDescent="0.25">
      <c r="A883" t="s">
        <v>11</v>
      </c>
      <c r="B883" t="s">
        <v>8</v>
      </c>
      <c r="C883">
        <v>3</v>
      </c>
      <c r="D883">
        <v>2</v>
      </c>
      <c r="E883">
        <v>2</v>
      </c>
      <c r="F883" s="15">
        <v>46069</v>
      </c>
      <c r="G883" t="s">
        <v>372</v>
      </c>
      <c r="H883">
        <v>4</v>
      </c>
      <c r="I883">
        <v>2026</v>
      </c>
      <c r="J883">
        <v>2</v>
      </c>
      <c r="K883" t="s">
        <v>87</v>
      </c>
      <c r="L883" t="s">
        <v>19</v>
      </c>
      <c r="M883" t="s">
        <v>6</v>
      </c>
      <c r="N883" t="b">
        <v>0</v>
      </c>
      <c r="O883">
        <v>1</v>
      </c>
      <c r="P883">
        <v>0</v>
      </c>
      <c r="Q883">
        <v>0</v>
      </c>
      <c r="R883">
        <v>0</v>
      </c>
    </row>
    <row r="884" spans="1:18" x14ac:dyDescent="0.25">
      <c r="A884" t="s">
        <v>11</v>
      </c>
      <c r="B884" t="s">
        <v>8</v>
      </c>
      <c r="C884">
        <v>3</v>
      </c>
      <c r="D884">
        <v>2</v>
      </c>
      <c r="E884">
        <v>2</v>
      </c>
      <c r="F884" s="15">
        <v>46069</v>
      </c>
      <c r="G884" t="s">
        <v>372</v>
      </c>
      <c r="H884">
        <v>4</v>
      </c>
      <c r="I884">
        <v>2026</v>
      </c>
      <c r="J884">
        <v>2</v>
      </c>
      <c r="K884" t="s">
        <v>87</v>
      </c>
      <c r="L884" t="s">
        <v>44</v>
      </c>
      <c r="M884" t="s">
        <v>6</v>
      </c>
      <c r="N884" t="b">
        <v>0</v>
      </c>
      <c r="O884">
        <v>1</v>
      </c>
      <c r="P884">
        <v>0</v>
      </c>
      <c r="Q884">
        <v>0</v>
      </c>
      <c r="R884">
        <v>0</v>
      </c>
    </row>
    <row r="885" spans="1:18" x14ac:dyDescent="0.25">
      <c r="A885" t="s">
        <v>44</v>
      </c>
      <c r="B885" t="s">
        <v>6</v>
      </c>
      <c r="C885">
        <v>4</v>
      </c>
      <c r="D885">
        <v>2</v>
      </c>
      <c r="E885">
        <v>2</v>
      </c>
      <c r="F885" s="15">
        <v>46069</v>
      </c>
      <c r="G885" t="s">
        <v>372</v>
      </c>
      <c r="H885">
        <v>4</v>
      </c>
      <c r="I885">
        <v>2026</v>
      </c>
      <c r="J885">
        <v>2</v>
      </c>
      <c r="K885" t="s">
        <v>87</v>
      </c>
      <c r="L885" t="s">
        <v>322</v>
      </c>
      <c r="M885" t="s">
        <v>6</v>
      </c>
      <c r="N885" t="b">
        <v>0</v>
      </c>
      <c r="O885">
        <v>0</v>
      </c>
      <c r="P885">
        <v>1</v>
      </c>
      <c r="Q885">
        <v>0</v>
      </c>
      <c r="R885">
        <v>0</v>
      </c>
    </row>
    <row r="886" spans="1:18" x14ac:dyDescent="0.25">
      <c r="A886" t="s">
        <v>44</v>
      </c>
      <c r="B886" t="s">
        <v>6</v>
      </c>
      <c r="C886">
        <v>4</v>
      </c>
      <c r="D886">
        <v>2</v>
      </c>
      <c r="E886">
        <v>2</v>
      </c>
      <c r="F886" s="15">
        <v>46069</v>
      </c>
      <c r="G886" t="s">
        <v>372</v>
      </c>
      <c r="H886">
        <v>4</v>
      </c>
      <c r="I886">
        <v>2026</v>
      </c>
      <c r="J886">
        <v>2</v>
      </c>
      <c r="K886" t="s">
        <v>87</v>
      </c>
      <c r="L886" t="s">
        <v>19</v>
      </c>
      <c r="M886" t="s">
        <v>6</v>
      </c>
      <c r="N886" t="b">
        <v>0</v>
      </c>
      <c r="O886">
        <v>0</v>
      </c>
      <c r="P886">
        <v>1</v>
      </c>
      <c r="Q886">
        <v>0</v>
      </c>
      <c r="R886">
        <v>0</v>
      </c>
    </row>
    <row r="887" spans="1:18" x14ac:dyDescent="0.25">
      <c r="A887" t="s">
        <v>44</v>
      </c>
      <c r="B887" t="s">
        <v>6</v>
      </c>
      <c r="C887">
        <v>4</v>
      </c>
      <c r="D887">
        <v>2</v>
      </c>
      <c r="E887">
        <v>2</v>
      </c>
      <c r="F887" s="15">
        <v>46069</v>
      </c>
      <c r="G887" t="s">
        <v>372</v>
      </c>
      <c r="H887">
        <v>4</v>
      </c>
      <c r="I887">
        <v>2026</v>
      </c>
      <c r="J887">
        <v>2</v>
      </c>
      <c r="K887" t="s">
        <v>87</v>
      </c>
      <c r="L887" t="s">
        <v>11</v>
      </c>
      <c r="M887" t="s">
        <v>8</v>
      </c>
      <c r="N887" t="b">
        <v>0</v>
      </c>
      <c r="O887">
        <v>0</v>
      </c>
      <c r="P887">
        <v>1</v>
      </c>
      <c r="Q887">
        <v>0</v>
      </c>
      <c r="R887">
        <v>1</v>
      </c>
    </row>
    <row r="888" spans="1:18" x14ac:dyDescent="0.25">
      <c r="A888" t="s">
        <v>46</v>
      </c>
      <c r="B888" t="s">
        <v>6</v>
      </c>
      <c r="C888">
        <v>3</v>
      </c>
      <c r="D888">
        <v>1</v>
      </c>
      <c r="E888">
        <v>1</v>
      </c>
      <c r="F888" s="15">
        <v>45887</v>
      </c>
      <c r="G888" t="s">
        <v>98</v>
      </c>
      <c r="H888">
        <v>4</v>
      </c>
      <c r="I888">
        <v>2025</v>
      </c>
      <c r="J888">
        <v>8</v>
      </c>
      <c r="K888" t="s">
        <v>87</v>
      </c>
      <c r="L888" t="s">
        <v>20</v>
      </c>
      <c r="M888" t="s">
        <v>6</v>
      </c>
      <c r="N888" t="b">
        <v>0</v>
      </c>
      <c r="O888">
        <v>0</v>
      </c>
      <c r="P888">
        <v>1</v>
      </c>
      <c r="Q888">
        <v>0</v>
      </c>
      <c r="R888">
        <v>0</v>
      </c>
    </row>
    <row r="889" spans="1:18" x14ac:dyDescent="0.25">
      <c r="A889" t="s">
        <v>46</v>
      </c>
      <c r="B889" t="s">
        <v>6</v>
      </c>
      <c r="C889">
        <v>3</v>
      </c>
      <c r="D889">
        <v>1</v>
      </c>
      <c r="E889">
        <v>1</v>
      </c>
      <c r="F889" s="15">
        <v>45887</v>
      </c>
      <c r="G889" t="s">
        <v>98</v>
      </c>
      <c r="H889">
        <v>4</v>
      </c>
      <c r="I889">
        <v>2025</v>
      </c>
      <c r="J889">
        <v>8</v>
      </c>
      <c r="K889" t="s">
        <v>87</v>
      </c>
      <c r="L889" t="s">
        <v>9</v>
      </c>
      <c r="M889" t="s">
        <v>8</v>
      </c>
      <c r="N889" t="b">
        <v>0</v>
      </c>
      <c r="O889">
        <v>0</v>
      </c>
      <c r="P889">
        <v>1</v>
      </c>
      <c r="Q889">
        <v>0</v>
      </c>
      <c r="R889">
        <v>1</v>
      </c>
    </row>
    <row r="890" spans="1:18" x14ac:dyDescent="0.25">
      <c r="A890" t="s">
        <v>46</v>
      </c>
      <c r="B890" t="s">
        <v>6</v>
      </c>
      <c r="C890">
        <v>3</v>
      </c>
      <c r="D890">
        <v>1</v>
      </c>
      <c r="E890">
        <v>1</v>
      </c>
      <c r="F890" s="15">
        <v>45887</v>
      </c>
      <c r="G890" t="s">
        <v>98</v>
      </c>
      <c r="H890">
        <v>4</v>
      </c>
      <c r="I890">
        <v>2025</v>
      </c>
      <c r="J890">
        <v>8</v>
      </c>
      <c r="K890" t="s">
        <v>87</v>
      </c>
      <c r="L890" t="s">
        <v>17</v>
      </c>
      <c r="M890" t="s">
        <v>6</v>
      </c>
      <c r="N890" t="b">
        <v>0</v>
      </c>
      <c r="O890">
        <v>0</v>
      </c>
      <c r="P890">
        <v>1</v>
      </c>
      <c r="Q890">
        <v>0</v>
      </c>
      <c r="R890">
        <v>0</v>
      </c>
    </row>
    <row r="891" spans="1:18" x14ac:dyDescent="0.25">
      <c r="A891" t="s">
        <v>20</v>
      </c>
      <c r="B891" t="s">
        <v>6</v>
      </c>
      <c r="C891">
        <v>2</v>
      </c>
      <c r="D891">
        <v>1</v>
      </c>
      <c r="E891">
        <v>1</v>
      </c>
      <c r="F891" s="15">
        <v>45887</v>
      </c>
      <c r="G891" t="s">
        <v>98</v>
      </c>
      <c r="H891">
        <v>4</v>
      </c>
      <c r="I891">
        <v>2025</v>
      </c>
      <c r="J891">
        <v>8</v>
      </c>
      <c r="K891" t="s">
        <v>87</v>
      </c>
      <c r="L891" t="s">
        <v>46</v>
      </c>
      <c r="M891" t="s">
        <v>6</v>
      </c>
      <c r="N891" t="b">
        <v>0</v>
      </c>
      <c r="O891">
        <v>0</v>
      </c>
      <c r="P891">
        <v>1</v>
      </c>
      <c r="Q891">
        <v>0</v>
      </c>
      <c r="R891">
        <v>0</v>
      </c>
    </row>
    <row r="892" spans="1:18" x14ac:dyDescent="0.25">
      <c r="A892" t="s">
        <v>20</v>
      </c>
      <c r="B892" t="s">
        <v>6</v>
      </c>
      <c r="C892">
        <v>2</v>
      </c>
      <c r="D892">
        <v>1</v>
      </c>
      <c r="E892">
        <v>1</v>
      </c>
      <c r="F892" s="15">
        <v>45887</v>
      </c>
      <c r="G892" t="s">
        <v>98</v>
      </c>
      <c r="H892">
        <v>4</v>
      </c>
      <c r="I892">
        <v>2025</v>
      </c>
      <c r="J892">
        <v>8</v>
      </c>
      <c r="K892" t="s">
        <v>87</v>
      </c>
      <c r="L892" t="s">
        <v>9</v>
      </c>
      <c r="M892" t="s">
        <v>8</v>
      </c>
      <c r="N892" t="b">
        <v>0</v>
      </c>
      <c r="O892">
        <v>0</v>
      </c>
      <c r="P892">
        <v>1</v>
      </c>
      <c r="Q892">
        <v>0</v>
      </c>
      <c r="R892">
        <v>1</v>
      </c>
    </row>
    <row r="893" spans="1:18" x14ac:dyDescent="0.25">
      <c r="A893" t="s">
        <v>20</v>
      </c>
      <c r="B893" t="s">
        <v>6</v>
      </c>
      <c r="C893">
        <v>2</v>
      </c>
      <c r="D893">
        <v>1</v>
      </c>
      <c r="E893">
        <v>1</v>
      </c>
      <c r="F893" s="15">
        <v>45887</v>
      </c>
      <c r="G893" t="s">
        <v>98</v>
      </c>
      <c r="H893">
        <v>4</v>
      </c>
      <c r="I893">
        <v>2025</v>
      </c>
      <c r="J893">
        <v>8</v>
      </c>
      <c r="K893" t="s">
        <v>87</v>
      </c>
      <c r="L893" t="s">
        <v>17</v>
      </c>
      <c r="M893" t="s">
        <v>6</v>
      </c>
      <c r="N893" t="b">
        <v>0</v>
      </c>
      <c r="O893">
        <v>0</v>
      </c>
      <c r="P893">
        <v>1</v>
      </c>
      <c r="Q893">
        <v>0</v>
      </c>
      <c r="R893">
        <v>0</v>
      </c>
    </row>
    <row r="894" spans="1:18" x14ac:dyDescent="0.25">
      <c r="A894" t="s">
        <v>9</v>
      </c>
      <c r="B894" t="s">
        <v>8</v>
      </c>
      <c r="C894">
        <v>4</v>
      </c>
      <c r="D894">
        <v>1</v>
      </c>
      <c r="E894">
        <v>1</v>
      </c>
      <c r="F894" s="15">
        <v>45887</v>
      </c>
      <c r="G894" t="s">
        <v>98</v>
      </c>
      <c r="H894">
        <v>4</v>
      </c>
      <c r="I894">
        <v>2025</v>
      </c>
      <c r="J894">
        <v>8</v>
      </c>
      <c r="K894" t="s">
        <v>87</v>
      </c>
      <c r="L894" t="s">
        <v>46</v>
      </c>
      <c r="M894" t="s">
        <v>6</v>
      </c>
      <c r="N894" t="b">
        <v>0</v>
      </c>
      <c r="O894">
        <v>1</v>
      </c>
      <c r="P894">
        <v>0</v>
      </c>
      <c r="Q894">
        <v>0</v>
      </c>
      <c r="R894">
        <v>0</v>
      </c>
    </row>
    <row r="895" spans="1:18" x14ac:dyDescent="0.25">
      <c r="A895" t="s">
        <v>9</v>
      </c>
      <c r="B895" t="s">
        <v>8</v>
      </c>
      <c r="C895">
        <v>4</v>
      </c>
      <c r="D895">
        <v>1</v>
      </c>
      <c r="E895">
        <v>1</v>
      </c>
      <c r="F895" s="15">
        <v>45887</v>
      </c>
      <c r="G895" t="s">
        <v>98</v>
      </c>
      <c r="H895">
        <v>4</v>
      </c>
      <c r="I895">
        <v>2025</v>
      </c>
      <c r="J895">
        <v>8</v>
      </c>
      <c r="K895" t="s">
        <v>87</v>
      </c>
      <c r="L895" t="s">
        <v>20</v>
      </c>
      <c r="M895" t="s">
        <v>6</v>
      </c>
      <c r="N895" t="b">
        <v>0</v>
      </c>
      <c r="O895">
        <v>1</v>
      </c>
      <c r="P895">
        <v>0</v>
      </c>
      <c r="Q895">
        <v>0</v>
      </c>
      <c r="R895">
        <v>0</v>
      </c>
    </row>
    <row r="896" spans="1:18" x14ac:dyDescent="0.25">
      <c r="A896" t="s">
        <v>9</v>
      </c>
      <c r="B896" t="s">
        <v>8</v>
      </c>
      <c r="C896">
        <v>4</v>
      </c>
      <c r="D896">
        <v>1</v>
      </c>
      <c r="E896">
        <v>1</v>
      </c>
      <c r="F896" s="15">
        <v>45887</v>
      </c>
      <c r="G896" t="s">
        <v>98</v>
      </c>
      <c r="H896">
        <v>4</v>
      </c>
      <c r="I896">
        <v>2025</v>
      </c>
      <c r="J896">
        <v>8</v>
      </c>
      <c r="K896" t="s">
        <v>87</v>
      </c>
      <c r="L896" t="s">
        <v>17</v>
      </c>
      <c r="M896" t="s">
        <v>6</v>
      </c>
      <c r="N896" t="b">
        <v>0</v>
      </c>
      <c r="O896">
        <v>1</v>
      </c>
      <c r="P896">
        <v>0</v>
      </c>
      <c r="Q896">
        <v>0</v>
      </c>
      <c r="R896">
        <v>0</v>
      </c>
    </row>
    <row r="897" spans="1:18" x14ac:dyDescent="0.25">
      <c r="A897" t="s">
        <v>17</v>
      </c>
      <c r="B897" t="s">
        <v>6</v>
      </c>
      <c r="C897">
        <v>1</v>
      </c>
      <c r="D897">
        <v>1</v>
      </c>
      <c r="E897">
        <v>1</v>
      </c>
      <c r="F897" s="15">
        <v>45887</v>
      </c>
      <c r="G897" t="s">
        <v>98</v>
      </c>
      <c r="H897">
        <v>4</v>
      </c>
      <c r="I897">
        <v>2025</v>
      </c>
      <c r="J897">
        <v>8</v>
      </c>
      <c r="K897" t="s">
        <v>87</v>
      </c>
      <c r="L897" t="s">
        <v>46</v>
      </c>
      <c r="M897" t="s">
        <v>6</v>
      </c>
      <c r="N897" t="b">
        <v>0</v>
      </c>
      <c r="O897">
        <v>0</v>
      </c>
      <c r="P897">
        <v>1</v>
      </c>
      <c r="Q897">
        <v>0</v>
      </c>
      <c r="R897">
        <v>0</v>
      </c>
    </row>
    <row r="898" spans="1:18" x14ac:dyDescent="0.25">
      <c r="A898" t="s">
        <v>17</v>
      </c>
      <c r="B898" t="s">
        <v>6</v>
      </c>
      <c r="C898">
        <v>1</v>
      </c>
      <c r="D898">
        <v>1</v>
      </c>
      <c r="E898">
        <v>1</v>
      </c>
      <c r="F898" s="15">
        <v>45887</v>
      </c>
      <c r="G898" t="s">
        <v>98</v>
      </c>
      <c r="H898">
        <v>4</v>
      </c>
      <c r="I898">
        <v>2025</v>
      </c>
      <c r="J898">
        <v>8</v>
      </c>
      <c r="K898" t="s">
        <v>87</v>
      </c>
      <c r="L898" t="s">
        <v>20</v>
      </c>
      <c r="M898" t="s">
        <v>6</v>
      </c>
      <c r="N898" t="b">
        <v>0</v>
      </c>
      <c r="O898">
        <v>0</v>
      </c>
      <c r="P898">
        <v>1</v>
      </c>
      <c r="Q898">
        <v>0</v>
      </c>
      <c r="R898">
        <v>0</v>
      </c>
    </row>
    <row r="899" spans="1:18" x14ac:dyDescent="0.25">
      <c r="A899" t="s">
        <v>17</v>
      </c>
      <c r="B899" t="s">
        <v>6</v>
      </c>
      <c r="C899">
        <v>1</v>
      </c>
      <c r="D899">
        <v>1</v>
      </c>
      <c r="E899">
        <v>1</v>
      </c>
      <c r="F899" s="15">
        <v>45887</v>
      </c>
      <c r="G899" t="s">
        <v>98</v>
      </c>
      <c r="H899">
        <v>4</v>
      </c>
      <c r="I899">
        <v>2025</v>
      </c>
      <c r="J899">
        <v>8</v>
      </c>
      <c r="K899" t="s">
        <v>87</v>
      </c>
      <c r="L899" t="s">
        <v>9</v>
      </c>
      <c r="M899" t="s">
        <v>8</v>
      </c>
      <c r="N899" t="b">
        <v>0</v>
      </c>
      <c r="O899">
        <v>0</v>
      </c>
      <c r="P899">
        <v>1</v>
      </c>
      <c r="Q899">
        <v>0</v>
      </c>
      <c r="R899">
        <v>1</v>
      </c>
    </row>
    <row r="900" spans="1:18" x14ac:dyDescent="0.25">
      <c r="A900" t="s">
        <v>46</v>
      </c>
      <c r="B900" t="s">
        <v>6</v>
      </c>
      <c r="C900">
        <v>4</v>
      </c>
      <c r="D900">
        <v>3</v>
      </c>
      <c r="E900">
        <v>2</v>
      </c>
      <c r="F900" s="15">
        <v>45887</v>
      </c>
      <c r="G900" t="s">
        <v>218</v>
      </c>
      <c r="H900">
        <v>4</v>
      </c>
      <c r="I900">
        <v>2025</v>
      </c>
      <c r="J900">
        <v>8</v>
      </c>
      <c r="K900" t="s">
        <v>87</v>
      </c>
      <c r="L900" t="s">
        <v>7</v>
      </c>
      <c r="M900" t="s">
        <v>8</v>
      </c>
      <c r="N900" t="b">
        <v>0</v>
      </c>
      <c r="O900">
        <v>0</v>
      </c>
      <c r="P900">
        <v>1</v>
      </c>
      <c r="Q900">
        <v>0</v>
      </c>
      <c r="R900">
        <v>1</v>
      </c>
    </row>
    <row r="901" spans="1:18" x14ac:dyDescent="0.25">
      <c r="A901" t="s">
        <v>46</v>
      </c>
      <c r="B901" t="s">
        <v>6</v>
      </c>
      <c r="C901">
        <v>4</v>
      </c>
      <c r="D901">
        <v>3</v>
      </c>
      <c r="E901">
        <v>2</v>
      </c>
      <c r="F901" s="15">
        <v>45887</v>
      </c>
      <c r="G901" t="s">
        <v>218</v>
      </c>
      <c r="H901">
        <v>4</v>
      </c>
      <c r="I901">
        <v>2025</v>
      </c>
      <c r="J901">
        <v>8</v>
      </c>
      <c r="K901" t="s">
        <v>87</v>
      </c>
      <c r="L901" t="s">
        <v>28</v>
      </c>
      <c r="M901" t="s">
        <v>6</v>
      </c>
      <c r="N901" t="b">
        <v>0</v>
      </c>
      <c r="O901">
        <v>0</v>
      </c>
      <c r="P901">
        <v>1</v>
      </c>
      <c r="Q901">
        <v>0</v>
      </c>
      <c r="R901">
        <v>0</v>
      </c>
    </row>
    <row r="902" spans="1:18" x14ac:dyDescent="0.25">
      <c r="A902" t="s">
        <v>46</v>
      </c>
      <c r="B902" t="s">
        <v>6</v>
      </c>
      <c r="C902">
        <v>4</v>
      </c>
      <c r="D902">
        <v>3</v>
      </c>
      <c r="E902">
        <v>2</v>
      </c>
      <c r="F902" s="15">
        <v>45887</v>
      </c>
      <c r="G902" t="s">
        <v>218</v>
      </c>
      <c r="H902">
        <v>4</v>
      </c>
      <c r="I902">
        <v>2025</v>
      </c>
      <c r="J902">
        <v>8</v>
      </c>
      <c r="K902" t="s">
        <v>87</v>
      </c>
      <c r="L902" t="s">
        <v>17</v>
      </c>
      <c r="M902" t="s">
        <v>6</v>
      </c>
      <c r="N902" t="b">
        <v>0</v>
      </c>
      <c r="O902">
        <v>0</v>
      </c>
      <c r="P902">
        <v>1</v>
      </c>
      <c r="Q902">
        <v>0</v>
      </c>
      <c r="R902">
        <v>0</v>
      </c>
    </row>
    <row r="903" spans="1:18" x14ac:dyDescent="0.25">
      <c r="A903" t="s">
        <v>7</v>
      </c>
      <c r="B903" t="s">
        <v>8</v>
      </c>
      <c r="C903">
        <v>2</v>
      </c>
      <c r="D903">
        <v>3</v>
      </c>
      <c r="E903">
        <v>2</v>
      </c>
      <c r="F903" s="15">
        <v>45887</v>
      </c>
      <c r="G903" t="s">
        <v>218</v>
      </c>
      <c r="H903">
        <v>4</v>
      </c>
      <c r="I903">
        <v>2025</v>
      </c>
      <c r="J903">
        <v>8</v>
      </c>
      <c r="K903" t="s">
        <v>87</v>
      </c>
      <c r="L903" t="s">
        <v>46</v>
      </c>
      <c r="M903" t="s">
        <v>6</v>
      </c>
      <c r="N903" t="b">
        <v>0</v>
      </c>
      <c r="O903">
        <v>1</v>
      </c>
      <c r="P903">
        <v>0</v>
      </c>
      <c r="Q903">
        <v>0</v>
      </c>
      <c r="R903">
        <v>0</v>
      </c>
    </row>
    <row r="904" spans="1:18" x14ac:dyDescent="0.25">
      <c r="A904" t="s">
        <v>7</v>
      </c>
      <c r="B904" t="s">
        <v>8</v>
      </c>
      <c r="C904">
        <v>2</v>
      </c>
      <c r="D904">
        <v>3</v>
      </c>
      <c r="E904">
        <v>2</v>
      </c>
      <c r="F904" s="15">
        <v>45887</v>
      </c>
      <c r="G904" t="s">
        <v>218</v>
      </c>
      <c r="H904">
        <v>4</v>
      </c>
      <c r="I904">
        <v>2025</v>
      </c>
      <c r="J904">
        <v>8</v>
      </c>
      <c r="K904" t="s">
        <v>87</v>
      </c>
      <c r="L904" t="s">
        <v>28</v>
      </c>
      <c r="M904" t="s">
        <v>6</v>
      </c>
      <c r="N904" t="b">
        <v>0</v>
      </c>
      <c r="O904">
        <v>1</v>
      </c>
      <c r="P904">
        <v>0</v>
      </c>
      <c r="Q904">
        <v>0</v>
      </c>
      <c r="R904">
        <v>0</v>
      </c>
    </row>
    <row r="905" spans="1:18" x14ac:dyDescent="0.25">
      <c r="A905" t="s">
        <v>7</v>
      </c>
      <c r="B905" t="s">
        <v>8</v>
      </c>
      <c r="C905">
        <v>2</v>
      </c>
      <c r="D905">
        <v>3</v>
      </c>
      <c r="E905">
        <v>2</v>
      </c>
      <c r="F905" s="15">
        <v>45887</v>
      </c>
      <c r="G905" t="s">
        <v>218</v>
      </c>
      <c r="H905">
        <v>4</v>
      </c>
      <c r="I905">
        <v>2025</v>
      </c>
      <c r="J905">
        <v>8</v>
      </c>
      <c r="K905" t="s">
        <v>87</v>
      </c>
      <c r="L905" t="s">
        <v>17</v>
      </c>
      <c r="M905" t="s">
        <v>6</v>
      </c>
      <c r="N905" t="b">
        <v>0</v>
      </c>
      <c r="O905">
        <v>1</v>
      </c>
      <c r="P905">
        <v>0</v>
      </c>
      <c r="Q905">
        <v>0</v>
      </c>
      <c r="R905">
        <v>0</v>
      </c>
    </row>
    <row r="906" spans="1:18" x14ac:dyDescent="0.25">
      <c r="A906" t="s">
        <v>28</v>
      </c>
      <c r="B906" t="s">
        <v>6</v>
      </c>
      <c r="C906">
        <v>1</v>
      </c>
      <c r="D906">
        <v>3</v>
      </c>
      <c r="E906">
        <v>2</v>
      </c>
      <c r="F906" s="15">
        <v>45887</v>
      </c>
      <c r="G906" t="s">
        <v>218</v>
      </c>
      <c r="H906">
        <v>4</v>
      </c>
      <c r="I906">
        <v>2025</v>
      </c>
      <c r="J906">
        <v>8</v>
      </c>
      <c r="K906" t="s">
        <v>87</v>
      </c>
      <c r="L906" t="s">
        <v>46</v>
      </c>
      <c r="M906" t="s">
        <v>6</v>
      </c>
      <c r="N906" t="b">
        <v>0</v>
      </c>
      <c r="O906">
        <v>0</v>
      </c>
      <c r="P906">
        <v>1</v>
      </c>
      <c r="Q906">
        <v>0</v>
      </c>
      <c r="R906">
        <v>0</v>
      </c>
    </row>
    <row r="907" spans="1:18" x14ac:dyDescent="0.25">
      <c r="A907" t="s">
        <v>28</v>
      </c>
      <c r="B907" t="s">
        <v>6</v>
      </c>
      <c r="C907">
        <v>1</v>
      </c>
      <c r="D907">
        <v>3</v>
      </c>
      <c r="E907">
        <v>2</v>
      </c>
      <c r="F907" s="15">
        <v>45887</v>
      </c>
      <c r="G907" t="s">
        <v>218</v>
      </c>
      <c r="H907">
        <v>4</v>
      </c>
      <c r="I907">
        <v>2025</v>
      </c>
      <c r="J907">
        <v>8</v>
      </c>
      <c r="K907" t="s">
        <v>87</v>
      </c>
      <c r="L907" t="s">
        <v>7</v>
      </c>
      <c r="M907" t="s">
        <v>8</v>
      </c>
      <c r="N907" t="b">
        <v>0</v>
      </c>
      <c r="O907">
        <v>0</v>
      </c>
      <c r="P907">
        <v>1</v>
      </c>
      <c r="Q907">
        <v>0</v>
      </c>
      <c r="R907">
        <v>1</v>
      </c>
    </row>
    <row r="908" spans="1:18" x14ac:dyDescent="0.25">
      <c r="A908" t="s">
        <v>28</v>
      </c>
      <c r="B908" t="s">
        <v>6</v>
      </c>
      <c r="C908">
        <v>1</v>
      </c>
      <c r="D908">
        <v>3</v>
      </c>
      <c r="E908">
        <v>2</v>
      </c>
      <c r="F908" s="15">
        <v>45887</v>
      </c>
      <c r="G908" t="s">
        <v>218</v>
      </c>
      <c r="H908">
        <v>4</v>
      </c>
      <c r="I908">
        <v>2025</v>
      </c>
      <c r="J908">
        <v>8</v>
      </c>
      <c r="K908" t="s">
        <v>87</v>
      </c>
      <c r="L908" t="s">
        <v>17</v>
      </c>
      <c r="M908" t="s">
        <v>6</v>
      </c>
      <c r="N908" t="b">
        <v>0</v>
      </c>
      <c r="O908">
        <v>0</v>
      </c>
      <c r="P908">
        <v>1</v>
      </c>
      <c r="Q908">
        <v>0</v>
      </c>
      <c r="R908">
        <v>0</v>
      </c>
    </row>
    <row r="909" spans="1:18" x14ac:dyDescent="0.25">
      <c r="A909" t="s">
        <v>17</v>
      </c>
      <c r="B909" t="s">
        <v>6</v>
      </c>
      <c r="C909">
        <v>3</v>
      </c>
      <c r="D909">
        <v>3</v>
      </c>
      <c r="E909">
        <v>2</v>
      </c>
      <c r="F909" s="15">
        <v>45887</v>
      </c>
      <c r="G909" t="s">
        <v>218</v>
      </c>
      <c r="H909">
        <v>4</v>
      </c>
      <c r="I909">
        <v>2025</v>
      </c>
      <c r="J909">
        <v>8</v>
      </c>
      <c r="K909" t="s">
        <v>87</v>
      </c>
      <c r="L909" t="s">
        <v>46</v>
      </c>
      <c r="M909" t="s">
        <v>6</v>
      </c>
      <c r="N909" t="b">
        <v>0</v>
      </c>
      <c r="O909">
        <v>0</v>
      </c>
      <c r="P909">
        <v>1</v>
      </c>
      <c r="Q909">
        <v>0</v>
      </c>
      <c r="R909">
        <v>0</v>
      </c>
    </row>
    <row r="910" spans="1:18" x14ac:dyDescent="0.25">
      <c r="A910" t="s">
        <v>17</v>
      </c>
      <c r="B910" t="s">
        <v>6</v>
      </c>
      <c r="C910">
        <v>3</v>
      </c>
      <c r="D910">
        <v>3</v>
      </c>
      <c r="E910">
        <v>2</v>
      </c>
      <c r="F910" s="15">
        <v>45887</v>
      </c>
      <c r="G910" t="s">
        <v>218</v>
      </c>
      <c r="H910">
        <v>4</v>
      </c>
      <c r="I910">
        <v>2025</v>
      </c>
      <c r="J910">
        <v>8</v>
      </c>
      <c r="K910" t="s">
        <v>87</v>
      </c>
      <c r="L910" t="s">
        <v>7</v>
      </c>
      <c r="M910" t="s">
        <v>8</v>
      </c>
      <c r="N910" t="b">
        <v>0</v>
      </c>
      <c r="O910">
        <v>0</v>
      </c>
      <c r="P910">
        <v>1</v>
      </c>
      <c r="Q910">
        <v>0</v>
      </c>
      <c r="R910">
        <v>1</v>
      </c>
    </row>
    <row r="911" spans="1:18" x14ac:dyDescent="0.25">
      <c r="A911" t="s">
        <v>17</v>
      </c>
      <c r="B911" t="s">
        <v>6</v>
      </c>
      <c r="C911">
        <v>3</v>
      </c>
      <c r="D911">
        <v>3</v>
      </c>
      <c r="E911">
        <v>2</v>
      </c>
      <c r="F911" s="15">
        <v>45887</v>
      </c>
      <c r="G911" t="s">
        <v>218</v>
      </c>
      <c r="H911">
        <v>4</v>
      </c>
      <c r="I911">
        <v>2025</v>
      </c>
      <c r="J911">
        <v>8</v>
      </c>
      <c r="K911" t="s">
        <v>87</v>
      </c>
      <c r="L911" t="s">
        <v>28</v>
      </c>
      <c r="M911" t="s">
        <v>6</v>
      </c>
      <c r="N911" t="b">
        <v>0</v>
      </c>
      <c r="O911">
        <v>0</v>
      </c>
      <c r="P911">
        <v>1</v>
      </c>
      <c r="Q911">
        <v>0</v>
      </c>
      <c r="R911">
        <v>0</v>
      </c>
    </row>
    <row r="912" spans="1:18" x14ac:dyDescent="0.25">
      <c r="A912" t="s">
        <v>46</v>
      </c>
      <c r="B912" t="s">
        <v>6</v>
      </c>
      <c r="C912">
        <v>1</v>
      </c>
      <c r="D912">
        <v>4</v>
      </c>
      <c r="E912">
        <v>1</v>
      </c>
      <c r="F912" s="15">
        <v>45894</v>
      </c>
      <c r="G912" t="s">
        <v>241</v>
      </c>
      <c r="H912">
        <v>4</v>
      </c>
      <c r="I912">
        <v>2025</v>
      </c>
      <c r="J912">
        <v>8</v>
      </c>
      <c r="K912" t="s">
        <v>87</v>
      </c>
      <c r="L912" t="s">
        <v>41</v>
      </c>
      <c r="M912" t="s">
        <v>8</v>
      </c>
      <c r="N912" t="b">
        <v>0</v>
      </c>
      <c r="O912">
        <v>0</v>
      </c>
      <c r="P912">
        <v>1</v>
      </c>
      <c r="Q912">
        <v>0</v>
      </c>
      <c r="R912">
        <v>1</v>
      </c>
    </row>
    <row r="913" spans="1:18" x14ac:dyDescent="0.25">
      <c r="A913" t="s">
        <v>46</v>
      </c>
      <c r="B913" t="s">
        <v>6</v>
      </c>
      <c r="C913">
        <v>1</v>
      </c>
      <c r="D913">
        <v>4</v>
      </c>
      <c r="E913">
        <v>1</v>
      </c>
      <c r="F913" s="15">
        <v>45894</v>
      </c>
      <c r="G913" t="s">
        <v>241</v>
      </c>
      <c r="H913">
        <v>4</v>
      </c>
      <c r="I913">
        <v>2025</v>
      </c>
      <c r="J913">
        <v>8</v>
      </c>
      <c r="K913" t="s">
        <v>87</v>
      </c>
      <c r="L913" t="s">
        <v>50</v>
      </c>
      <c r="M913" t="s">
        <v>6</v>
      </c>
      <c r="N913" t="b">
        <v>0</v>
      </c>
      <c r="O913">
        <v>0</v>
      </c>
      <c r="P913">
        <v>1</v>
      </c>
      <c r="Q913">
        <v>0</v>
      </c>
      <c r="R913">
        <v>0</v>
      </c>
    </row>
    <row r="914" spans="1:18" x14ac:dyDescent="0.25">
      <c r="A914" t="s">
        <v>46</v>
      </c>
      <c r="B914" t="s">
        <v>6</v>
      </c>
      <c r="C914">
        <v>1</v>
      </c>
      <c r="D914">
        <v>4</v>
      </c>
      <c r="E914">
        <v>1</v>
      </c>
      <c r="F914" s="15">
        <v>45894</v>
      </c>
      <c r="G914" t="s">
        <v>241</v>
      </c>
      <c r="H914">
        <v>4</v>
      </c>
      <c r="I914">
        <v>2025</v>
      </c>
      <c r="J914">
        <v>8</v>
      </c>
      <c r="K914" t="s">
        <v>87</v>
      </c>
      <c r="L914" t="s">
        <v>49</v>
      </c>
      <c r="M914" t="s">
        <v>6</v>
      </c>
      <c r="N914" t="b">
        <v>0</v>
      </c>
      <c r="O914">
        <v>0</v>
      </c>
      <c r="P914">
        <v>1</v>
      </c>
      <c r="Q914">
        <v>0</v>
      </c>
      <c r="R914">
        <v>0</v>
      </c>
    </row>
    <row r="915" spans="1:18" x14ac:dyDescent="0.25">
      <c r="A915" t="s">
        <v>41</v>
      </c>
      <c r="B915" t="s">
        <v>8</v>
      </c>
      <c r="C915">
        <v>2</v>
      </c>
      <c r="D915">
        <v>4</v>
      </c>
      <c r="E915">
        <v>1</v>
      </c>
      <c r="F915" s="15">
        <v>45894</v>
      </c>
      <c r="G915" t="s">
        <v>241</v>
      </c>
      <c r="H915">
        <v>4</v>
      </c>
      <c r="I915">
        <v>2025</v>
      </c>
      <c r="J915">
        <v>8</v>
      </c>
      <c r="K915" t="s">
        <v>87</v>
      </c>
      <c r="L915" t="s">
        <v>46</v>
      </c>
      <c r="M915" t="s">
        <v>6</v>
      </c>
      <c r="N915" t="b">
        <v>0</v>
      </c>
      <c r="O915">
        <v>1</v>
      </c>
      <c r="P915">
        <v>0</v>
      </c>
      <c r="Q915">
        <v>0</v>
      </c>
      <c r="R915">
        <v>0</v>
      </c>
    </row>
    <row r="916" spans="1:18" x14ac:dyDescent="0.25">
      <c r="A916" t="s">
        <v>41</v>
      </c>
      <c r="B916" t="s">
        <v>8</v>
      </c>
      <c r="C916">
        <v>2</v>
      </c>
      <c r="D916">
        <v>4</v>
      </c>
      <c r="E916">
        <v>1</v>
      </c>
      <c r="F916" s="15">
        <v>45894</v>
      </c>
      <c r="G916" t="s">
        <v>241</v>
      </c>
      <c r="H916">
        <v>4</v>
      </c>
      <c r="I916">
        <v>2025</v>
      </c>
      <c r="J916">
        <v>8</v>
      </c>
      <c r="K916" t="s">
        <v>87</v>
      </c>
      <c r="L916" t="s">
        <v>50</v>
      </c>
      <c r="M916" t="s">
        <v>6</v>
      </c>
      <c r="N916" t="b">
        <v>0</v>
      </c>
      <c r="O916">
        <v>1</v>
      </c>
      <c r="P916">
        <v>0</v>
      </c>
      <c r="Q916">
        <v>0</v>
      </c>
      <c r="R916">
        <v>0</v>
      </c>
    </row>
    <row r="917" spans="1:18" x14ac:dyDescent="0.25">
      <c r="A917" t="s">
        <v>41</v>
      </c>
      <c r="B917" t="s">
        <v>8</v>
      </c>
      <c r="C917">
        <v>2</v>
      </c>
      <c r="D917">
        <v>4</v>
      </c>
      <c r="E917">
        <v>1</v>
      </c>
      <c r="F917" s="15">
        <v>45894</v>
      </c>
      <c r="G917" t="s">
        <v>241</v>
      </c>
      <c r="H917">
        <v>4</v>
      </c>
      <c r="I917">
        <v>2025</v>
      </c>
      <c r="J917">
        <v>8</v>
      </c>
      <c r="K917" t="s">
        <v>87</v>
      </c>
      <c r="L917" t="s">
        <v>49</v>
      </c>
      <c r="M917" t="s">
        <v>6</v>
      </c>
      <c r="N917" t="b">
        <v>0</v>
      </c>
      <c r="O917">
        <v>1</v>
      </c>
      <c r="P917">
        <v>0</v>
      </c>
      <c r="Q917">
        <v>0</v>
      </c>
      <c r="R917">
        <v>0</v>
      </c>
    </row>
    <row r="918" spans="1:18" x14ac:dyDescent="0.25">
      <c r="A918" t="s">
        <v>50</v>
      </c>
      <c r="B918" t="s">
        <v>6</v>
      </c>
      <c r="C918">
        <v>4</v>
      </c>
      <c r="D918">
        <v>4</v>
      </c>
      <c r="E918">
        <v>1</v>
      </c>
      <c r="F918" s="15">
        <v>45894</v>
      </c>
      <c r="G918" t="s">
        <v>241</v>
      </c>
      <c r="H918">
        <v>4</v>
      </c>
      <c r="I918">
        <v>2025</v>
      </c>
      <c r="J918">
        <v>8</v>
      </c>
      <c r="K918" t="s">
        <v>87</v>
      </c>
      <c r="L918" t="s">
        <v>46</v>
      </c>
      <c r="M918" t="s">
        <v>6</v>
      </c>
      <c r="N918" t="b">
        <v>0</v>
      </c>
      <c r="O918">
        <v>0</v>
      </c>
      <c r="P918">
        <v>1</v>
      </c>
      <c r="Q918">
        <v>0</v>
      </c>
      <c r="R918">
        <v>0</v>
      </c>
    </row>
    <row r="919" spans="1:18" x14ac:dyDescent="0.25">
      <c r="A919" t="s">
        <v>50</v>
      </c>
      <c r="B919" t="s">
        <v>6</v>
      </c>
      <c r="C919">
        <v>4</v>
      </c>
      <c r="D919">
        <v>4</v>
      </c>
      <c r="E919">
        <v>1</v>
      </c>
      <c r="F919" s="15">
        <v>45894</v>
      </c>
      <c r="G919" t="s">
        <v>241</v>
      </c>
      <c r="H919">
        <v>4</v>
      </c>
      <c r="I919">
        <v>2025</v>
      </c>
      <c r="J919">
        <v>8</v>
      </c>
      <c r="K919" t="s">
        <v>87</v>
      </c>
      <c r="L919" t="s">
        <v>41</v>
      </c>
      <c r="M919" t="s">
        <v>8</v>
      </c>
      <c r="N919" t="b">
        <v>0</v>
      </c>
      <c r="O919">
        <v>0</v>
      </c>
      <c r="P919">
        <v>1</v>
      </c>
      <c r="Q919">
        <v>0</v>
      </c>
      <c r="R919">
        <v>1</v>
      </c>
    </row>
    <row r="920" spans="1:18" x14ac:dyDescent="0.25">
      <c r="A920" t="s">
        <v>50</v>
      </c>
      <c r="B920" t="s">
        <v>6</v>
      </c>
      <c r="C920">
        <v>4</v>
      </c>
      <c r="D920">
        <v>4</v>
      </c>
      <c r="E920">
        <v>1</v>
      </c>
      <c r="F920" s="15">
        <v>45894</v>
      </c>
      <c r="G920" t="s">
        <v>241</v>
      </c>
      <c r="H920">
        <v>4</v>
      </c>
      <c r="I920">
        <v>2025</v>
      </c>
      <c r="J920">
        <v>8</v>
      </c>
      <c r="K920" t="s">
        <v>87</v>
      </c>
      <c r="L920" t="s">
        <v>49</v>
      </c>
      <c r="M920" t="s">
        <v>6</v>
      </c>
      <c r="N920" t="b">
        <v>0</v>
      </c>
      <c r="O920">
        <v>0</v>
      </c>
      <c r="P920">
        <v>1</v>
      </c>
      <c r="Q920">
        <v>0</v>
      </c>
      <c r="R920">
        <v>0</v>
      </c>
    </row>
    <row r="921" spans="1:18" x14ac:dyDescent="0.25">
      <c r="A921" t="s">
        <v>49</v>
      </c>
      <c r="B921" t="s">
        <v>6</v>
      </c>
      <c r="C921">
        <v>3</v>
      </c>
      <c r="D921">
        <v>4</v>
      </c>
      <c r="E921">
        <v>1</v>
      </c>
      <c r="F921" s="15">
        <v>45894</v>
      </c>
      <c r="G921" t="s">
        <v>241</v>
      </c>
      <c r="H921">
        <v>4</v>
      </c>
      <c r="I921">
        <v>2025</v>
      </c>
      <c r="J921">
        <v>8</v>
      </c>
      <c r="K921" t="s">
        <v>87</v>
      </c>
      <c r="L921" t="s">
        <v>46</v>
      </c>
      <c r="M921" t="s">
        <v>6</v>
      </c>
      <c r="N921" t="b">
        <v>0</v>
      </c>
      <c r="O921">
        <v>0</v>
      </c>
      <c r="P921">
        <v>1</v>
      </c>
      <c r="Q921">
        <v>0</v>
      </c>
      <c r="R921">
        <v>0</v>
      </c>
    </row>
    <row r="922" spans="1:18" x14ac:dyDescent="0.25">
      <c r="A922" t="s">
        <v>49</v>
      </c>
      <c r="B922" t="s">
        <v>6</v>
      </c>
      <c r="C922">
        <v>3</v>
      </c>
      <c r="D922">
        <v>4</v>
      </c>
      <c r="E922">
        <v>1</v>
      </c>
      <c r="F922" s="15">
        <v>45894</v>
      </c>
      <c r="G922" t="s">
        <v>241</v>
      </c>
      <c r="H922">
        <v>4</v>
      </c>
      <c r="I922">
        <v>2025</v>
      </c>
      <c r="J922">
        <v>8</v>
      </c>
      <c r="K922" t="s">
        <v>87</v>
      </c>
      <c r="L922" t="s">
        <v>41</v>
      </c>
      <c r="M922" t="s">
        <v>8</v>
      </c>
      <c r="N922" t="b">
        <v>0</v>
      </c>
      <c r="O922">
        <v>0</v>
      </c>
      <c r="P922">
        <v>1</v>
      </c>
      <c r="Q922">
        <v>0</v>
      </c>
      <c r="R922">
        <v>1</v>
      </c>
    </row>
    <row r="923" spans="1:18" x14ac:dyDescent="0.25">
      <c r="A923" t="s">
        <v>49</v>
      </c>
      <c r="B923" t="s">
        <v>6</v>
      </c>
      <c r="C923">
        <v>3</v>
      </c>
      <c r="D923">
        <v>4</v>
      </c>
      <c r="E923">
        <v>1</v>
      </c>
      <c r="F923" s="15">
        <v>45894</v>
      </c>
      <c r="G923" t="s">
        <v>241</v>
      </c>
      <c r="H923">
        <v>4</v>
      </c>
      <c r="I923">
        <v>2025</v>
      </c>
      <c r="J923">
        <v>8</v>
      </c>
      <c r="K923" t="s">
        <v>87</v>
      </c>
      <c r="L923" t="s">
        <v>50</v>
      </c>
      <c r="M923" t="s">
        <v>6</v>
      </c>
      <c r="N923" t="b">
        <v>0</v>
      </c>
      <c r="O923">
        <v>0</v>
      </c>
      <c r="P923">
        <v>1</v>
      </c>
      <c r="Q923">
        <v>0</v>
      </c>
      <c r="R923">
        <v>0</v>
      </c>
    </row>
    <row r="924" spans="1:18" x14ac:dyDescent="0.25">
      <c r="A924" t="s">
        <v>46</v>
      </c>
      <c r="B924" t="s">
        <v>6</v>
      </c>
      <c r="C924">
        <v>2</v>
      </c>
      <c r="D924">
        <v>4</v>
      </c>
      <c r="E924">
        <v>2</v>
      </c>
      <c r="F924" s="15">
        <v>45894</v>
      </c>
      <c r="G924" t="s">
        <v>261</v>
      </c>
      <c r="H924">
        <v>4</v>
      </c>
      <c r="I924">
        <v>2025</v>
      </c>
      <c r="J924">
        <v>8</v>
      </c>
      <c r="K924" t="s">
        <v>87</v>
      </c>
      <c r="L924" t="s">
        <v>433</v>
      </c>
      <c r="M924" t="s">
        <v>6</v>
      </c>
      <c r="N924" t="b">
        <v>0</v>
      </c>
      <c r="O924">
        <v>0</v>
      </c>
      <c r="P924">
        <v>1</v>
      </c>
      <c r="Q924">
        <v>0</v>
      </c>
      <c r="R924">
        <v>0</v>
      </c>
    </row>
    <row r="925" spans="1:18" x14ac:dyDescent="0.25">
      <c r="A925" t="s">
        <v>46</v>
      </c>
      <c r="B925" t="s">
        <v>6</v>
      </c>
      <c r="C925">
        <v>2</v>
      </c>
      <c r="D925">
        <v>4</v>
      </c>
      <c r="E925">
        <v>2</v>
      </c>
      <c r="F925" s="15">
        <v>45894</v>
      </c>
      <c r="G925" t="s">
        <v>261</v>
      </c>
      <c r="H925">
        <v>4</v>
      </c>
      <c r="I925">
        <v>2025</v>
      </c>
      <c r="J925">
        <v>8</v>
      </c>
      <c r="K925" t="s">
        <v>87</v>
      </c>
      <c r="L925" t="s">
        <v>15</v>
      </c>
      <c r="M925" t="s">
        <v>6</v>
      </c>
      <c r="N925" t="b">
        <v>0</v>
      </c>
      <c r="O925">
        <v>0</v>
      </c>
      <c r="P925">
        <v>1</v>
      </c>
      <c r="Q925">
        <v>0</v>
      </c>
      <c r="R925">
        <v>0</v>
      </c>
    </row>
    <row r="926" spans="1:18" x14ac:dyDescent="0.25">
      <c r="A926" t="s">
        <v>46</v>
      </c>
      <c r="B926" t="s">
        <v>6</v>
      </c>
      <c r="C926">
        <v>2</v>
      </c>
      <c r="D926">
        <v>4</v>
      </c>
      <c r="E926">
        <v>2</v>
      </c>
      <c r="F926" s="15">
        <v>45894</v>
      </c>
      <c r="G926" t="s">
        <v>261</v>
      </c>
      <c r="H926">
        <v>4</v>
      </c>
      <c r="I926">
        <v>2025</v>
      </c>
      <c r="J926">
        <v>8</v>
      </c>
      <c r="K926" t="s">
        <v>87</v>
      </c>
      <c r="L926" t="s">
        <v>11</v>
      </c>
      <c r="M926" t="s">
        <v>8</v>
      </c>
      <c r="N926" t="b">
        <v>0</v>
      </c>
      <c r="O926">
        <v>0</v>
      </c>
      <c r="P926">
        <v>1</v>
      </c>
      <c r="Q926">
        <v>0</v>
      </c>
      <c r="R926">
        <v>1</v>
      </c>
    </row>
    <row r="927" spans="1:18" x14ac:dyDescent="0.25">
      <c r="A927" t="s">
        <v>433</v>
      </c>
      <c r="B927" t="s">
        <v>6</v>
      </c>
      <c r="C927">
        <v>1</v>
      </c>
      <c r="D927">
        <v>4</v>
      </c>
      <c r="E927">
        <v>2</v>
      </c>
      <c r="F927" s="15">
        <v>45894</v>
      </c>
      <c r="G927" t="s">
        <v>261</v>
      </c>
      <c r="H927">
        <v>4</v>
      </c>
      <c r="I927">
        <v>2025</v>
      </c>
      <c r="J927">
        <v>8</v>
      </c>
      <c r="K927" t="s">
        <v>87</v>
      </c>
      <c r="L927" t="s">
        <v>46</v>
      </c>
      <c r="M927" t="s">
        <v>6</v>
      </c>
      <c r="N927" t="b">
        <v>0</v>
      </c>
      <c r="O927">
        <v>0</v>
      </c>
      <c r="P927">
        <v>1</v>
      </c>
      <c r="Q927">
        <v>0</v>
      </c>
      <c r="R927">
        <v>0</v>
      </c>
    </row>
    <row r="928" spans="1:18" x14ac:dyDescent="0.25">
      <c r="A928" t="s">
        <v>433</v>
      </c>
      <c r="B928" t="s">
        <v>6</v>
      </c>
      <c r="C928">
        <v>1</v>
      </c>
      <c r="D928">
        <v>4</v>
      </c>
      <c r="E928">
        <v>2</v>
      </c>
      <c r="F928" s="15">
        <v>45894</v>
      </c>
      <c r="G928" t="s">
        <v>261</v>
      </c>
      <c r="H928">
        <v>4</v>
      </c>
      <c r="I928">
        <v>2025</v>
      </c>
      <c r="J928">
        <v>8</v>
      </c>
      <c r="K928" t="s">
        <v>87</v>
      </c>
      <c r="L928" t="s">
        <v>15</v>
      </c>
      <c r="M928" t="s">
        <v>6</v>
      </c>
      <c r="N928" t="b">
        <v>0</v>
      </c>
      <c r="O928">
        <v>0</v>
      </c>
      <c r="P928">
        <v>1</v>
      </c>
      <c r="Q928">
        <v>0</v>
      </c>
      <c r="R928">
        <v>0</v>
      </c>
    </row>
    <row r="929" spans="1:18" x14ac:dyDescent="0.25">
      <c r="A929" t="s">
        <v>433</v>
      </c>
      <c r="B929" t="s">
        <v>6</v>
      </c>
      <c r="C929">
        <v>1</v>
      </c>
      <c r="D929">
        <v>4</v>
      </c>
      <c r="E929">
        <v>2</v>
      </c>
      <c r="F929" s="15">
        <v>45894</v>
      </c>
      <c r="G929" t="s">
        <v>261</v>
      </c>
      <c r="H929">
        <v>4</v>
      </c>
      <c r="I929">
        <v>2025</v>
      </c>
      <c r="J929">
        <v>8</v>
      </c>
      <c r="K929" t="s">
        <v>87</v>
      </c>
      <c r="L929" t="s">
        <v>11</v>
      </c>
      <c r="M929" t="s">
        <v>8</v>
      </c>
      <c r="N929" t="b">
        <v>0</v>
      </c>
      <c r="O929">
        <v>0</v>
      </c>
      <c r="P929">
        <v>1</v>
      </c>
      <c r="Q929">
        <v>0</v>
      </c>
      <c r="R929">
        <v>1</v>
      </c>
    </row>
    <row r="930" spans="1:18" x14ac:dyDescent="0.25">
      <c r="A930" t="s">
        <v>15</v>
      </c>
      <c r="B930" t="s">
        <v>6</v>
      </c>
      <c r="C930">
        <v>4</v>
      </c>
      <c r="D930">
        <v>4</v>
      </c>
      <c r="E930">
        <v>2</v>
      </c>
      <c r="F930" s="15">
        <v>45894</v>
      </c>
      <c r="G930" t="s">
        <v>261</v>
      </c>
      <c r="H930">
        <v>4</v>
      </c>
      <c r="I930">
        <v>2025</v>
      </c>
      <c r="J930">
        <v>8</v>
      </c>
      <c r="K930" t="s">
        <v>87</v>
      </c>
      <c r="L930" t="s">
        <v>46</v>
      </c>
      <c r="M930" t="s">
        <v>6</v>
      </c>
      <c r="N930" t="b">
        <v>0</v>
      </c>
      <c r="O930">
        <v>0</v>
      </c>
      <c r="P930">
        <v>1</v>
      </c>
      <c r="Q930">
        <v>0</v>
      </c>
      <c r="R930">
        <v>0</v>
      </c>
    </row>
    <row r="931" spans="1:18" x14ac:dyDescent="0.25">
      <c r="A931" t="s">
        <v>15</v>
      </c>
      <c r="B931" t="s">
        <v>6</v>
      </c>
      <c r="C931">
        <v>4</v>
      </c>
      <c r="D931">
        <v>4</v>
      </c>
      <c r="E931">
        <v>2</v>
      </c>
      <c r="F931" s="15">
        <v>45894</v>
      </c>
      <c r="G931" t="s">
        <v>261</v>
      </c>
      <c r="H931">
        <v>4</v>
      </c>
      <c r="I931">
        <v>2025</v>
      </c>
      <c r="J931">
        <v>8</v>
      </c>
      <c r="K931" t="s">
        <v>87</v>
      </c>
      <c r="L931" t="s">
        <v>433</v>
      </c>
      <c r="M931" t="s">
        <v>6</v>
      </c>
      <c r="N931" t="b">
        <v>0</v>
      </c>
      <c r="O931">
        <v>0</v>
      </c>
      <c r="P931">
        <v>1</v>
      </c>
      <c r="Q931">
        <v>0</v>
      </c>
      <c r="R931">
        <v>0</v>
      </c>
    </row>
    <row r="932" spans="1:18" x14ac:dyDescent="0.25">
      <c r="A932" t="s">
        <v>15</v>
      </c>
      <c r="B932" t="s">
        <v>6</v>
      </c>
      <c r="C932">
        <v>4</v>
      </c>
      <c r="D932">
        <v>4</v>
      </c>
      <c r="E932">
        <v>2</v>
      </c>
      <c r="F932" s="15">
        <v>45894</v>
      </c>
      <c r="G932" t="s">
        <v>261</v>
      </c>
      <c r="H932">
        <v>4</v>
      </c>
      <c r="I932">
        <v>2025</v>
      </c>
      <c r="J932">
        <v>8</v>
      </c>
      <c r="K932" t="s">
        <v>87</v>
      </c>
      <c r="L932" t="s">
        <v>11</v>
      </c>
      <c r="M932" t="s">
        <v>8</v>
      </c>
      <c r="N932" t="b">
        <v>0</v>
      </c>
      <c r="O932">
        <v>0</v>
      </c>
      <c r="P932">
        <v>1</v>
      </c>
      <c r="Q932">
        <v>0</v>
      </c>
      <c r="R932">
        <v>1</v>
      </c>
    </row>
    <row r="933" spans="1:18" x14ac:dyDescent="0.25">
      <c r="A933" t="s">
        <v>11</v>
      </c>
      <c r="B933" t="s">
        <v>8</v>
      </c>
      <c r="C933">
        <v>3</v>
      </c>
      <c r="D933">
        <v>4</v>
      </c>
      <c r="E933">
        <v>2</v>
      </c>
      <c r="F933" s="15">
        <v>45894</v>
      </c>
      <c r="G933" t="s">
        <v>261</v>
      </c>
      <c r="H933">
        <v>4</v>
      </c>
      <c r="I933">
        <v>2025</v>
      </c>
      <c r="J933">
        <v>8</v>
      </c>
      <c r="K933" t="s">
        <v>87</v>
      </c>
      <c r="L933" t="s">
        <v>46</v>
      </c>
      <c r="M933" t="s">
        <v>6</v>
      </c>
      <c r="N933" t="b">
        <v>0</v>
      </c>
      <c r="O933">
        <v>1</v>
      </c>
      <c r="P933">
        <v>0</v>
      </c>
      <c r="Q933">
        <v>0</v>
      </c>
      <c r="R933">
        <v>0</v>
      </c>
    </row>
    <row r="934" spans="1:18" x14ac:dyDescent="0.25">
      <c r="A934" t="s">
        <v>11</v>
      </c>
      <c r="B934" t="s">
        <v>8</v>
      </c>
      <c r="C934">
        <v>3</v>
      </c>
      <c r="D934">
        <v>4</v>
      </c>
      <c r="E934">
        <v>2</v>
      </c>
      <c r="F934" s="15">
        <v>45894</v>
      </c>
      <c r="G934" t="s">
        <v>261</v>
      </c>
      <c r="H934">
        <v>4</v>
      </c>
      <c r="I934">
        <v>2025</v>
      </c>
      <c r="J934">
        <v>8</v>
      </c>
      <c r="K934" t="s">
        <v>87</v>
      </c>
      <c r="L934" t="s">
        <v>433</v>
      </c>
      <c r="M934" t="s">
        <v>6</v>
      </c>
      <c r="N934" t="b">
        <v>0</v>
      </c>
      <c r="O934">
        <v>1</v>
      </c>
      <c r="P934">
        <v>0</v>
      </c>
      <c r="Q934">
        <v>0</v>
      </c>
      <c r="R934">
        <v>0</v>
      </c>
    </row>
    <row r="935" spans="1:18" x14ac:dyDescent="0.25">
      <c r="A935" t="s">
        <v>11</v>
      </c>
      <c r="B935" t="s">
        <v>8</v>
      </c>
      <c r="C935">
        <v>3</v>
      </c>
      <c r="D935">
        <v>4</v>
      </c>
      <c r="E935">
        <v>2</v>
      </c>
      <c r="F935" s="15">
        <v>45894</v>
      </c>
      <c r="G935" t="s">
        <v>261</v>
      </c>
      <c r="H935">
        <v>4</v>
      </c>
      <c r="I935">
        <v>2025</v>
      </c>
      <c r="J935">
        <v>8</v>
      </c>
      <c r="K935" t="s">
        <v>87</v>
      </c>
      <c r="L935" t="s">
        <v>15</v>
      </c>
      <c r="M935" t="s">
        <v>6</v>
      </c>
      <c r="N935" t="b">
        <v>0</v>
      </c>
      <c r="O935">
        <v>1</v>
      </c>
      <c r="P935">
        <v>0</v>
      </c>
      <c r="Q935">
        <v>0</v>
      </c>
      <c r="R935">
        <v>0</v>
      </c>
    </row>
    <row r="936" spans="1:18" x14ac:dyDescent="0.25">
      <c r="A936" t="s">
        <v>435</v>
      </c>
      <c r="B936" t="s">
        <v>63</v>
      </c>
      <c r="C936">
        <v>1</v>
      </c>
      <c r="D936">
        <v>3</v>
      </c>
      <c r="E936">
        <v>2</v>
      </c>
      <c r="F936" s="15">
        <v>46034</v>
      </c>
      <c r="G936" t="s">
        <v>306</v>
      </c>
      <c r="H936">
        <v>4</v>
      </c>
      <c r="I936">
        <v>2026</v>
      </c>
      <c r="J936">
        <v>1</v>
      </c>
      <c r="K936" t="s">
        <v>87</v>
      </c>
      <c r="L936" t="s">
        <v>19</v>
      </c>
      <c r="M936" t="s">
        <v>63</v>
      </c>
      <c r="N936" t="b">
        <v>0</v>
      </c>
      <c r="O936">
        <v>0</v>
      </c>
      <c r="P936">
        <v>0</v>
      </c>
      <c r="Q936">
        <v>1</v>
      </c>
      <c r="R936">
        <v>0</v>
      </c>
    </row>
    <row r="937" spans="1:18" x14ac:dyDescent="0.25">
      <c r="A937" t="s">
        <v>435</v>
      </c>
      <c r="B937" t="s">
        <v>63</v>
      </c>
      <c r="C937">
        <v>1</v>
      </c>
      <c r="D937">
        <v>3</v>
      </c>
      <c r="E937">
        <v>2</v>
      </c>
      <c r="F937" s="15">
        <v>46034</v>
      </c>
      <c r="G937" t="s">
        <v>306</v>
      </c>
      <c r="H937">
        <v>4</v>
      </c>
      <c r="I937">
        <v>2026</v>
      </c>
      <c r="J937">
        <v>1</v>
      </c>
      <c r="K937" t="s">
        <v>87</v>
      </c>
      <c r="L937" t="s">
        <v>10</v>
      </c>
      <c r="M937" t="s">
        <v>63</v>
      </c>
      <c r="N937" t="b">
        <v>0</v>
      </c>
      <c r="O937">
        <v>0</v>
      </c>
      <c r="P937">
        <v>0</v>
      </c>
      <c r="Q937">
        <v>1</v>
      </c>
      <c r="R937">
        <v>0</v>
      </c>
    </row>
    <row r="938" spans="1:18" x14ac:dyDescent="0.25">
      <c r="A938" t="s">
        <v>435</v>
      </c>
      <c r="B938" t="s">
        <v>63</v>
      </c>
      <c r="C938">
        <v>1</v>
      </c>
      <c r="D938">
        <v>3</v>
      </c>
      <c r="E938">
        <v>2</v>
      </c>
      <c r="F938" s="15">
        <v>46034</v>
      </c>
      <c r="G938" t="s">
        <v>306</v>
      </c>
      <c r="H938">
        <v>4</v>
      </c>
      <c r="I938">
        <v>2026</v>
      </c>
      <c r="J938">
        <v>1</v>
      </c>
      <c r="K938" t="s">
        <v>87</v>
      </c>
      <c r="L938" t="s">
        <v>364</v>
      </c>
      <c r="M938" t="s">
        <v>63</v>
      </c>
      <c r="N938" t="b">
        <v>0</v>
      </c>
      <c r="O938">
        <v>0</v>
      </c>
      <c r="P938">
        <v>0</v>
      </c>
      <c r="Q938">
        <v>1</v>
      </c>
      <c r="R938">
        <v>0</v>
      </c>
    </row>
    <row r="939" spans="1:18" x14ac:dyDescent="0.25">
      <c r="A939" t="s">
        <v>19</v>
      </c>
      <c r="B939" t="s">
        <v>63</v>
      </c>
      <c r="C939">
        <v>2</v>
      </c>
      <c r="D939">
        <v>3</v>
      </c>
      <c r="E939">
        <v>2</v>
      </c>
      <c r="F939" s="15">
        <v>46034</v>
      </c>
      <c r="G939" t="s">
        <v>306</v>
      </c>
      <c r="H939">
        <v>4</v>
      </c>
      <c r="I939">
        <v>2026</v>
      </c>
      <c r="J939">
        <v>1</v>
      </c>
      <c r="K939" t="s">
        <v>87</v>
      </c>
      <c r="L939" t="s">
        <v>435</v>
      </c>
      <c r="M939" t="s">
        <v>63</v>
      </c>
      <c r="N939" t="b">
        <v>0</v>
      </c>
      <c r="O939">
        <v>0</v>
      </c>
      <c r="P939">
        <v>0</v>
      </c>
      <c r="Q939">
        <v>1</v>
      </c>
      <c r="R939">
        <v>0</v>
      </c>
    </row>
    <row r="940" spans="1:18" x14ac:dyDescent="0.25">
      <c r="A940" t="s">
        <v>19</v>
      </c>
      <c r="B940" t="s">
        <v>63</v>
      </c>
      <c r="C940">
        <v>2</v>
      </c>
      <c r="D940">
        <v>3</v>
      </c>
      <c r="E940">
        <v>2</v>
      </c>
      <c r="F940" s="15">
        <v>46034</v>
      </c>
      <c r="G940" t="s">
        <v>306</v>
      </c>
      <c r="H940">
        <v>4</v>
      </c>
      <c r="I940">
        <v>2026</v>
      </c>
      <c r="J940">
        <v>1</v>
      </c>
      <c r="K940" t="s">
        <v>87</v>
      </c>
      <c r="L940" t="s">
        <v>10</v>
      </c>
      <c r="M940" t="s">
        <v>63</v>
      </c>
      <c r="N940" t="b">
        <v>0</v>
      </c>
      <c r="O940">
        <v>0</v>
      </c>
      <c r="P940">
        <v>0</v>
      </c>
      <c r="Q940">
        <v>1</v>
      </c>
      <c r="R940">
        <v>0</v>
      </c>
    </row>
    <row r="941" spans="1:18" x14ac:dyDescent="0.25">
      <c r="A941" t="s">
        <v>19</v>
      </c>
      <c r="B941" t="s">
        <v>63</v>
      </c>
      <c r="C941">
        <v>2</v>
      </c>
      <c r="D941">
        <v>3</v>
      </c>
      <c r="E941">
        <v>2</v>
      </c>
      <c r="F941" s="15">
        <v>46034</v>
      </c>
      <c r="G941" t="s">
        <v>306</v>
      </c>
      <c r="H941">
        <v>4</v>
      </c>
      <c r="I941">
        <v>2026</v>
      </c>
      <c r="J941">
        <v>1</v>
      </c>
      <c r="K941" t="s">
        <v>87</v>
      </c>
      <c r="L941" t="s">
        <v>364</v>
      </c>
      <c r="M941" t="s">
        <v>63</v>
      </c>
      <c r="N941" t="b">
        <v>0</v>
      </c>
      <c r="O941">
        <v>0</v>
      </c>
      <c r="P941">
        <v>0</v>
      </c>
      <c r="Q941">
        <v>1</v>
      </c>
      <c r="R941">
        <v>0</v>
      </c>
    </row>
    <row r="942" spans="1:18" x14ac:dyDescent="0.25">
      <c r="A942" t="s">
        <v>10</v>
      </c>
      <c r="B942" t="s">
        <v>63</v>
      </c>
      <c r="C942">
        <v>4</v>
      </c>
      <c r="D942">
        <v>3</v>
      </c>
      <c r="E942">
        <v>2</v>
      </c>
      <c r="F942" s="15">
        <v>46034</v>
      </c>
      <c r="G942" t="s">
        <v>306</v>
      </c>
      <c r="H942">
        <v>4</v>
      </c>
      <c r="I942">
        <v>2026</v>
      </c>
      <c r="J942">
        <v>1</v>
      </c>
      <c r="K942" t="s">
        <v>87</v>
      </c>
      <c r="L942" t="s">
        <v>435</v>
      </c>
      <c r="M942" t="s">
        <v>63</v>
      </c>
      <c r="N942" t="b">
        <v>0</v>
      </c>
      <c r="O942">
        <v>0</v>
      </c>
      <c r="P942">
        <v>0</v>
      </c>
      <c r="Q942">
        <v>1</v>
      </c>
      <c r="R942">
        <v>0</v>
      </c>
    </row>
    <row r="943" spans="1:18" x14ac:dyDescent="0.25">
      <c r="A943" t="s">
        <v>10</v>
      </c>
      <c r="B943" t="s">
        <v>63</v>
      </c>
      <c r="C943">
        <v>4</v>
      </c>
      <c r="D943">
        <v>3</v>
      </c>
      <c r="E943">
        <v>2</v>
      </c>
      <c r="F943" s="15">
        <v>46034</v>
      </c>
      <c r="G943" t="s">
        <v>306</v>
      </c>
      <c r="H943">
        <v>4</v>
      </c>
      <c r="I943">
        <v>2026</v>
      </c>
      <c r="J943">
        <v>1</v>
      </c>
      <c r="K943" t="s">
        <v>87</v>
      </c>
      <c r="L943" t="s">
        <v>19</v>
      </c>
      <c r="M943" t="s">
        <v>63</v>
      </c>
      <c r="N943" t="b">
        <v>0</v>
      </c>
      <c r="O943">
        <v>0</v>
      </c>
      <c r="P943">
        <v>0</v>
      </c>
      <c r="Q943">
        <v>1</v>
      </c>
      <c r="R943">
        <v>0</v>
      </c>
    </row>
    <row r="944" spans="1:18" x14ac:dyDescent="0.25">
      <c r="A944" t="s">
        <v>10</v>
      </c>
      <c r="B944" t="s">
        <v>63</v>
      </c>
      <c r="C944">
        <v>4</v>
      </c>
      <c r="D944">
        <v>3</v>
      </c>
      <c r="E944">
        <v>2</v>
      </c>
      <c r="F944" s="15">
        <v>46034</v>
      </c>
      <c r="G944" t="s">
        <v>306</v>
      </c>
      <c r="H944">
        <v>4</v>
      </c>
      <c r="I944">
        <v>2026</v>
      </c>
      <c r="J944">
        <v>1</v>
      </c>
      <c r="K944" t="s">
        <v>87</v>
      </c>
      <c r="L944" t="s">
        <v>364</v>
      </c>
      <c r="M944" t="s">
        <v>63</v>
      </c>
      <c r="N944" t="b">
        <v>0</v>
      </c>
      <c r="O944">
        <v>0</v>
      </c>
      <c r="P944">
        <v>0</v>
      </c>
      <c r="Q944">
        <v>1</v>
      </c>
      <c r="R944">
        <v>0</v>
      </c>
    </row>
    <row r="945" spans="1:18" x14ac:dyDescent="0.25">
      <c r="A945" t="s">
        <v>364</v>
      </c>
      <c r="B945" t="s">
        <v>63</v>
      </c>
      <c r="C945">
        <v>3</v>
      </c>
      <c r="D945">
        <v>3</v>
      </c>
      <c r="E945">
        <v>2</v>
      </c>
      <c r="F945" s="15">
        <v>46034</v>
      </c>
      <c r="G945" t="s">
        <v>306</v>
      </c>
      <c r="H945">
        <v>4</v>
      </c>
      <c r="I945">
        <v>2026</v>
      </c>
      <c r="J945">
        <v>1</v>
      </c>
      <c r="K945" t="s">
        <v>87</v>
      </c>
      <c r="L945" t="s">
        <v>435</v>
      </c>
      <c r="M945" t="s">
        <v>63</v>
      </c>
      <c r="N945" t="b">
        <v>0</v>
      </c>
      <c r="O945">
        <v>0</v>
      </c>
      <c r="P945">
        <v>0</v>
      </c>
      <c r="Q945">
        <v>1</v>
      </c>
      <c r="R945">
        <v>0</v>
      </c>
    </row>
    <row r="946" spans="1:18" x14ac:dyDescent="0.25">
      <c r="A946" t="s">
        <v>364</v>
      </c>
      <c r="B946" t="s">
        <v>63</v>
      </c>
      <c r="C946">
        <v>3</v>
      </c>
      <c r="D946">
        <v>3</v>
      </c>
      <c r="E946">
        <v>2</v>
      </c>
      <c r="F946" s="15">
        <v>46034</v>
      </c>
      <c r="G946" t="s">
        <v>306</v>
      </c>
      <c r="H946">
        <v>4</v>
      </c>
      <c r="I946">
        <v>2026</v>
      </c>
      <c r="J946">
        <v>1</v>
      </c>
      <c r="K946" t="s">
        <v>87</v>
      </c>
      <c r="L946" t="s">
        <v>19</v>
      </c>
      <c r="M946" t="s">
        <v>63</v>
      </c>
      <c r="N946" t="b">
        <v>0</v>
      </c>
      <c r="O946">
        <v>0</v>
      </c>
      <c r="P946">
        <v>0</v>
      </c>
      <c r="Q946">
        <v>1</v>
      </c>
      <c r="R946">
        <v>0</v>
      </c>
    </row>
    <row r="947" spans="1:18" x14ac:dyDescent="0.25">
      <c r="A947" t="s">
        <v>364</v>
      </c>
      <c r="B947" t="s">
        <v>63</v>
      </c>
      <c r="C947">
        <v>3</v>
      </c>
      <c r="D947">
        <v>3</v>
      </c>
      <c r="E947">
        <v>2</v>
      </c>
      <c r="F947" s="15">
        <v>46034</v>
      </c>
      <c r="G947" t="s">
        <v>306</v>
      </c>
      <c r="H947">
        <v>4</v>
      </c>
      <c r="I947">
        <v>2026</v>
      </c>
      <c r="J947">
        <v>1</v>
      </c>
      <c r="K947" t="s">
        <v>87</v>
      </c>
      <c r="L947" t="s">
        <v>10</v>
      </c>
      <c r="M947" t="s">
        <v>63</v>
      </c>
      <c r="N947" t="b">
        <v>0</v>
      </c>
      <c r="O947">
        <v>0</v>
      </c>
      <c r="P947">
        <v>0</v>
      </c>
      <c r="Q947">
        <v>1</v>
      </c>
      <c r="R947">
        <v>0</v>
      </c>
    </row>
    <row r="948" spans="1:18" x14ac:dyDescent="0.25">
      <c r="A948" t="s">
        <v>435</v>
      </c>
      <c r="B948" t="s">
        <v>6</v>
      </c>
      <c r="C948">
        <v>3</v>
      </c>
      <c r="D948">
        <v>1</v>
      </c>
      <c r="E948">
        <v>1</v>
      </c>
      <c r="F948" s="15">
        <v>46041</v>
      </c>
      <c r="G948" t="s">
        <v>311</v>
      </c>
      <c r="H948">
        <v>4</v>
      </c>
      <c r="I948">
        <v>2026</v>
      </c>
      <c r="J948">
        <v>1</v>
      </c>
      <c r="K948" t="s">
        <v>87</v>
      </c>
      <c r="L948" t="s">
        <v>296</v>
      </c>
      <c r="M948" t="s">
        <v>8</v>
      </c>
      <c r="N948" t="b">
        <v>0</v>
      </c>
      <c r="O948">
        <v>0</v>
      </c>
      <c r="P948">
        <v>1</v>
      </c>
      <c r="Q948">
        <v>0</v>
      </c>
      <c r="R948">
        <v>1</v>
      </c>
    </row>
    <row r="949" spans="1:18" x14ac:dyDescent="0.25">
      <c r="A949" t="s">
        <v>435</v>
      </c>
      <c r="B949" t="s">
        <v>6</v>
      </c>
      <c r="C949">
        <v>3</v>
      </c>
      <c r="D949">
        <v>1</v>
      </c>
      <c r="E949">
        <v>1</v>
      </c>
      <c r="F949" s="15">
        <v>46041</v>
      </c>
      <c r="G949" t="s">
        <v>311</v>
      </c>
      <c r="H949">
        <v>4</v>
      </c>
      <c r="I949">
        <v>2026</v>
      </c>
      <c r="J949">
        <v>1</v>
      </c>
      <c r="K949" t="s">
        <v>87</v>
      </c>
      <c r="L949" t="s">
        <v>11</v>
      </c>
      <c r="M949" t="s">
        <v>6</v>
      </c>
      <c r="N949" t="b">
        <v>0</v>
      </c>
      <c r="O949">
        <v>0</v>
      </c>
      <c r="P949">
        <v>1</v>
      </c>
      <c r="Q949">
        <v>0</v>
      </c>
      <c r="R949">
        <v>0</v>
      </c>
    </row>
    <row r="950" spans="1:18" x14ac:dyDescent="0.25">
      <c r="A950" t="s">
        <v>435</v>
      </c>
      <c r="B950" t="s">
        <v>6</v>
      </c>
      <c r="C950">
        <v>3</v>
      </c>
      <c r="D950">
        <v>1</v>
      </c>
      <c r="E950">
        <v>1</v>
      </c>
      <c r="F950" s="15">
        <v>46041</v>
      </c>
      <c r="G950" t="s">
        <v>311</v>
      </c>
      <c r="H950">
        <v>4</v>
      </c>
      <c r="I950">
        <v>2026</v>
      </c>
      <c r="J950">
        <v>1</v>
      </c>
      <c r="K950" t="s">
        <v>87</v>
      </c>
      <c r="L950" t="s">
        <v>9</v>
      </c>
      <c r="M950" t="s">
        <v>6</v>
      </c>
      <c r="N950" t="b">
        <v>0</v>
      </c>
      <c r="O950">
        <v>0</v>
      </c>
      <c r="P950">
        <v>1</v>
      </c>
      <c r="Q950">
        <v>0</v>
      </c>
      <c r="R950">
        <v>0</v>
      </c>
    </row>
    <row r="951" spans="1:18" x14ac:dyDescent="0.25">
      <c r="A951" t="s">
        <v>296</v>
      </c>
      <c r="B951" t="s">
        <v>8</v>
      </c>
      <c r="C951">
        <v>1</v>
      </c>
      <c r="D951">
        <v>1</v>
      </c>
      <c r="E951">
        <v>1</v>
      </c>
      <c r="F951" s="15">
        <v>46041</v>
      </c>
      <c r="G951" t="s">
        <v>311</v>
      </c>
      <c r="H951">
        <v>4</v>
      </c>
      <c r="I951">
        <v>2026</v>
      </c>
      <c r="J951">
        <v>1</v>
      </c>
      <c r="K951" t="s">
        <v>87</v>
      </c>
      <c r="L951" t="s">
        <v>435</v>
      </c>
      <c r="M951" t="s">
        <v>6</v>
      </c>
      <c r="N951" t="b">
        <v>0</v>
      </c>
      <c r="O951">
        <v>1</v>
      </c>
      <c r="P951">
        <v>0</v>
      </c>
      <c r="Q951">
        <v>0</v>
      </c>
      <c r="R951">
        <v>0</v>
      </c>
    </row>
    <row r="952" spans="1:18" x14ac:dyDescent="0.25">
      <c r="A952" t="s">
        <v>296</v>
      </c>
      <c r="B952" t="s">
        <v>8</v>
      </c>
      <c r="C952">
        <v>1</v>
      </c>
      <c r="D952">
        <v>1</v>
      </c>
      <c r="E952">
        <v>1</v>
      </c>
      <c r="F952" s="15">
        <v>46041</v>
      </c>
      <c r="G952" t="s">
        <v>311</v>
      </c>
      <c r="H952">
        <v>4</v>
      </c>
      <c r="I952">
        <v>2026</v>
      </c>
      <c r="J952">
        <v>1</v>
      </c>
      <c r="K952" t="s">
        <v>87</v>
      </c>
      <c r="L952" t="s">
        <v>11</v>
      </c>
      <c r="M952" t="s">
        <v>6</v>
      </c>
      <c r="N952" t="b">
        <v>0</v>
      </c>
      <c r="O952">
        <v>1</v>
      </c>
      <c r="P952">
        <v>0</v>
      </c>
      <c r="Q952">
        <v>0</v>
      </c>
      <c r="R952">
        <v>0</v>
      </c>
    </row>
    <row r="953" spans="1:18" x14ac:dyDescent="0.25">
      <c r="A953" t="s">
        <v>296</v>
      </c>
      <c r="B953" t="s">
        <v>8</v>
      </c>
      <c r="C953">
        <v>1</v>
      </c>
      <c r="D953">
        <v>1</v>
      </c>
      <c r="E953">
        <v>1</v>
      </c>
      <c r="F953" s="15">
        <v>46041</v>
      </c>
      <c r="G953" t="s">
        <v>311</v>
      </c>
      <c r="H953">
        <v>4</v>
      </c>
      <c r="I953">
        <v>2026</v>
      </c>
      <c r="J953">
        <v>1</v>
      </c>
      <c r="K953" t="s">
        <v>87</v>
      </c>
      <c r="L953" t="s">
        <v>9</v>
      </c>
      <c r="M953" t="s">
        <v>6</v>
      </c>
      <c r="N953" t="b">
        <v>0</v>
      </c>
      <c r="O953">
        <v>1</v>
      </c>
      <c r="P953">
        <v>0</v>
      </c>
      <c r="Q953">
        <v>0</v>
      </c>
      <c r="R953">
        <v>0</v>
      </c>
    </row>
    <row r="954" spans="1:18" x14ac:dyDescent="0.25">
      <c r="A954" t="s">
        <v>11</v>
      </c>
      <c r="B954" t="s">
        <v>6</v>
      </c>
      <c r="C954">
        <v>2</v>
      </c>
      <c r="D954">
        <v>1</v>
      </c>
      <c r="E954">
        <v>1</v>
      </c>
      <c r="F954" s="15">
        <v>46041</v>
      </c>
      <c r="G954" t="s">
        <v>311</v>
      </c>
      <c r="H954">
        <v>4</v>
      </c>
      <c r="I954">
        <v>2026</v>
      </c>
      <c r="J954">
        <v>1</v>
      </c>
      <c r="K954" t="s">
        <v>87</v>
      </c>
      <c r="L954" t="s">
        <v>435</v>
      </c>
      <c r="M954" t="s">
        <v>6</v>
      </c>
      <c r="N954" t="b">
        <v>0</v>
      </c>
      <c r="O954">
        <v>0</v>
      </c>
      <c r="P954">
        <v>1</v>
      </c>
      <c r="Q954">
        <v>0</v>
      </c>
      <c r="R954">
        <v>0</v>
      </c>
    </row>
    <row r="955" spans="1:18" x14ac:dyDescent="0.25">
      <c r="A955" t="s">
        <v>11</v>
      </c>
      <c r="B955" t="s">
        <v>6</v>
      </c>
      <c r="C955">
        <v>2</v>
      </c>
      <c r="D955">
        <v>1</v>
      </c>
      <c r="E955">
        <v>1</v>
      </c>
      <c r="F955" s="15">
        <v>46041</v>
      </c>
      <c r="G955" t="s">
        <v>311</v>
      </c>
      <c r="H955">
        <v>4</v>
      </c>
      <c r="I955">
        <v>2026</v>
      </c>
      <c r="J955">
        <v>1</v>
      </c>
      <c r="K955" t="s">
        <v>87</v>
      </c>
      <c r="L955" t="s">
        <v>296</v>
      </c>
      <c r="M955" t="s">
        <v>8</v>
      </c>
      <c r="N955" t="b">
        <v>0</v>
      </c>
      <c r="O955">
        <v>0</v>
      </c>
      <c r="P955">
        <v>1</v>
      </c>
      <c r="Q955">
        <v>0</v>
      </c>
      <c r="R955">
        <v>1</v>
      </c>
    </row>
    <row r="956" spans="1:18" x14ac:dyDescent="0.25">
      <c r="A956" t="s">
        <v>11</v>
      </c>
      <c r="B956" t="s">
        <v>6</v>
      </c>
      <c r="C956">
        <v>2</v>
      </c>
      <c r="D956">
        <v>1</v>
      </c>
      <c r="E956">
        <v>1</v>
      </c>
      <c r="F956" s="15">
        <v>46041</v>
      </c>
      <c r="G956" t="s">
        <v>311</v>
      </c>
      <c r="H956">
        <v>4</v>
      </c>
      <c r="I956">
        <v>2026</v>
      </c>
      <c r="J956">
        <v>1</v>
      </c>
      <c r="K956" t="s">
        <v>87</v>
      </c>
      <c r="L956" t="s">
        <v>9</v>
      </c>
      <c r="M956" t="s">
        <v>6</v>
      </c>
      <c r="N956" t="b">
        <v>0</v>
      </c>
      <c r="O956">
        <v>0</v>
      </c>
      <c r="P956">
        <v>1</v>
      </c>
      <c r="Q956">
        <v>0</v>
      </c>
      <c r="R956">
        <v>0</v>
      </c>
    </row>
    <row r="957" spans="1:18" x14ac:dyDescent="0.25">
      <c r="A957" t="s">
        <v>9</v>
      </c>
      <c r="B957" t="s">
        <v>6</v>
      </c>
      <c r="C957">
        <v>4</v>
      </c>
      <c r="D957">
        <v>1</v>
      </c>
      <c r="E957">
        <v>1</v>
      </c>
      <c r="F957" s="15">
        <v>46041</v>
      </c>
      <c r="G957" t="s">
        <v>311</v>
      </c>
      <c r="H957">
        <v>4</v>
      </c>
      <c r="I957">
        <v>2026</v>
      </c>
      <c r="J957">
        <v>1</v>
      </c>
      <c r="K957" t="s">
        <v>87</v>
      </c>
      <c r="L957" t="s">
        <v>435</v>
      </c>
      <c r="M957" t="s">
        <v>6</v>
      </c>
      <c r="N957" t="b">
        <v>0</v>
      </c>
      <c r="O957">
        <v>0</v>
      </c>
      <c r="P957">
        <v>1</v>
      </c>
      <c r="Q957">
        <v>0</v>
      </c>
      <c r="R957">
        <v>0</v>
      </c>
    </row>
    <row r="958" spans="1:18" x14ac:dyDescent="0.25">
      <c r="A958" t="s">
        <v>9</v>
      </c>
      <c r="B958" t="s">
        <v>6</v>
      </c>
      <c r="C958">
        <v>4</v>
      </c>
      <c r="D958">
        <v>1</v>
      </c>
      <c r="E958">
        <v>1</v>
      </c>
      <c r="F958" s="15">
        <v>46041</v>
      </c>
      <c r="G958" t="s">
        <v>311</v>
      </c>
      <c r="H958">
        <v>4</v>
      </c>
      <c r="I958">
        <v>2026</v>
      </c>
      <c r="J958">
        <v>1</v>
      </c>
      <c r="K958" t="s">
        <v>87</v>
      </c>
      <c r="L958" t="s">
        <v>296</v>
      </c>
      <c r="M958" t="s">
        <v>8</v>
      </c>
      <c r="N958" t="b">
        <v>0</v>
      </c>
      <c r="O958">
        <v>0</v>
      </c>
      <c r="P958">
        <v>1</v>
      </c>
      <c r="Q958">
        <v>0</v>
      </c>
      <c r="R958">
        <v>1</v>
      </c>
    </row>
    <row r="959" spans="1:18" x14ac:dyDescent="0.25">
      <c r="A959" t="s">
        <v>9</v>
      </c>
      <c r="B959" t="s">
        <v>6</v>
      </c>
      <c r="C959">
        <v>4</v>
      </c>
      <c r="D959">
        <v>1</v>
      </c>
      <c r="E959">
        <v>1</v>
      </c>
      <c r="F959" s="15">
        <v>46041</v>
      </c>
      <c r="G959" t="s">
        <v>311</v>
      </c>
      <c r="H959">
        <v>4</v>
      </c>
      <c r="I959">
        <v>2026</v>
      </c>
      <c r="J959">
        <v>1</v>
      </c>
      <c r="K959" t="s">
        <v>87</v>
      </c>
      <c r="L959" t="s">
        <v>11</v>
      </c>
      <c r="M959" t="s">
        <v>6</v>
      </c>
      <c r="N959" t="b">
        <v>0</v>
      </c>
      <c r="O959">
        <v>0</v>
      </c>
      <c r="P959">
        <v>1</v>
      </c>
      <c r="Q959">
        <v>0</v>
      </c>
      <c r="R959">
        <v>0</v>
      </c>
    </row>
    <row r="960" spans="1:18" x14ac:dyDescent="0.25">
      <c r="A960" t="s">
        <v>435</v>
      </c>
      <c r="B960" t="s">
        <v>63</v>
      </c>
      <c r="C960">
        <v>1</v>
      </c>
      <c r="D960">
        <v>3</v>
      </c>
      <c r="E960">
        <v>2</v>
      </c>
      <c r="F960" s="15">
        <v>46041</v>
      </c>
      <c r="G960" t="s">
        <v>318</v>
      </c>
      <c r="H960">
        <v>4</v>
      </c>
      <c r="I960">
        <v>2026</v>
      </c>
      <c r="J960">
        <v>1</v>
      </c>
      <c r="K960" t="s">
        <v>87</v>
      </c>
      <c r="L960" t="s">
        <v>13</v>
      </c>
      <c r="M960" t="s">
        <v>63</v>
      </c>
      <c r="N960" t="b">
        <v>0</v>
      </c>
      <c r="O960">
        <v>0</v>
      </c>
      <c r="P960">
        <v>0</v>
      </c>
      <c r="Q960">
        <v>1</v>
      </c>
      <c r="R960">
        <v>0</v>
      </c>
    </row>
    <row r="961" spans="1:18" x14ac:dyDescent="0.25">
      <c r="A961" t="s">
        <v>435</v>
      </c>
      <c r="B961" t="s">
        <v>63</v>
      </c>
      <c r="C961">
        <v>1</v>
      </c>
      <c r="D961">
        <v>3</v>
      </c>
      <c r="E961">
        <v>2</v>
      </c>
      <c r="F961" s="15">
        <v>46041</v>
      </c>
      <c r="G961" t="s">
        <v>318</v>
      </c>
      <c r="H961">
        <v>4</v>
      </c>
      <c r="I961">
        <v>2026</v>
      </c>
      <c r="J961">
        <v>1</v>
      </c>
      <c r="K961" t="s">
        <v>87</v>
      </c>
      <c r="L961" t="s">
        <v>10</v>
      </c>
      <c r="M961" t="s">
        <v>63</v>
      </c>
      <c r="N961" t="b">
        <v>0</v>
      </c>
      <c r="O961">
        <v>0</v>
      </c>
      <c r="P961">
        <v>0</v>
      </c>
      <c r="Q961">
        <v>1</v>
      </c>
      <c r="R961">
        <v>0</v>
      </c>
    </row>
    <row r="962" spans="1:18" x14ac:dyDescent="0.25">
      <c r="A962" t="s">
        <v>435</v>
      </c>
      <c r="B962" t="s">
        <v>63</v>
      </c>
      <c r="C962">
        <v>1</v>
      </c>
      <c r="D962">
        <v>3</v>
      </c>
      <c r="E962">
        <v>2</v>
      </c>
      <c r="F962" s="15">
        <v>46041</v>
      </c>
      <c r="G962" t="s">
        <v>318</v>
      </c>
      <c r="H962">
        <v>4</v>
      </c>
      <c r="I962">
        <v>2026</v>
      </c>
      <c r="J962">
        <v>1</v>
      </c>
      <c r="K962" t="s">
        <v>87</v>
      </c>
      <c r="L962" t="s">
        <v>42</v>
      </c>
      <c r="M962" t="s">
        <v>63</v>
      </c>
      <c r="N962" t="b">
        <v>0</v>
      </c>
      <c r="O962">
        <v>0</v>
      </c>
      <c r="P962">
        <v>0</v>
      </c>
      <c r="Q962">
        <v>1</v>
      </c>
      <c r="R962">
        <v>0</v>
      </c>
    </row>
    <row r="963" spans="1:18" x14ac:dyDescent="0.25">
      <c r="A963" t="s">
        <v>13</v>
      </c>
      <c r="B963" t="s">
        <v>63</v>
      </c>
      <c r="C963">
        <v>4</v>
      </c>
      <c r="D963">
        <v>3</v>
      </c>
      <c r="E963">
        <v>2</v>
      </c>
      <c r="F963" s="15">
        <v>46041</v>
      </c>
      <c r="G963" t="s">
        <v>318</v>
      </c>
      <c r="H963">
        <v>4</v>
      </c>
      <c r="I963">
        <v>2026</v>
      </c>
      <c r="J963">
        <v>1</v>
      </c>
      <c r="K963" t="s">
        <v>87</v>
      </c>
      <c r="L963" t="s">
        <v>435</v>
      </c>
      <c r="M963" t="s">
        <v>63</v>
      </c>
      <c r="N963" t="b">
        <v>0</v>
      </c>
      <c r="O963">
        <v>0</v>
      </c>
      <c r="P963">
        <v>0</v>
      </c>
      <c r="Q963">
        <v>1</v>
      </c>
      <c r="R963">
        <v>0</v>
      </c>
    </row>
    <row r="964" spans="1:18" x14ac:dyDescent="0.25">
      <c r="A964" t="s">
        <v>13</v>
      </c>
      <c r="B964" t="s">
        <v>63</v>
      </c>
      <c r="C964">
        <v>4</v>
      </c>
      <c r="D964">
        <v>3</v>
      </c>
      <c r="E964">
        <v>2</v>
      </c>
      <c r="F964" s="15">
        <v>46041</v>
      </c>
      <c r="G964" t="s">
        <v>318</v>
      </c>
      <c r="H964">
        <v>4</v>
      </c>
      <c r="I964">
        <v>2026</v>
      </c>
      <c r="J964">
        <v>1</v>
      </c>
      <c r="K964" t="s">
        <v>87</v>
      </c>
      <c r="L964" t="s">
        <v>10</v>
      </c>
      <c r="M964" t="s">
        <v>63</v>
      </c>
      <c r="N964" t="b">
        <v>0</v>
      </c>
      <c r="O964">
        <v>0</v>
      </c>
      <c r="P964">
        <v>0</v>
      </c>
      <c r="Q964">
        <v>1</v>
      </c>
      <c r="R964">
        <v>0</v>
      </c>
    </row>
    <row r="965" spans="1:18" x14ac:dyDescent="0.25">
      <c r="A965" t="s">
        <v>13</v>
      </c>
      <c r="B965" t="s">
        <v>63</v>
      </c>
      <c r="C965">
        <v>4</v>
      </c>
      <c r="D965">
        <v>3</v>
      </c>
      <c r="E965">
        <v>2</v>
      </c>
      <c r="F965" s="15">
        <v>46041</v>
      </c>
      <c r="G965" t="s">
        <v>318</v>
      </c>
      <c r="H965">
        <v>4</v>
      </c>
      <c r="I965">
        <v>2026</v>
      </c>
      <c r="J965">
        <v>1</v>
      </c>
      <c r="K965" t="s">
        <v>87</v>
      </c>
      <c r="L965" t="s">
        <v>42</v>
      </c>
      <c r="M965" t="s">
        <v>63</v>
      </c>
      <c r="N965" t="b">
        <v>0</v>
      </c>
      <c r="O965">
        <v>0</v>
      </c>
      <c r="P965">
        <v>0</v>
      </c>
      <c r="Q965">
        <v>1</v>
      </c>
      <c r="R965">
        <v>0</v>
      </c>
    </row>
    <row r="966" spans="1:18" x14ac:dyDescent="0.25">
      <c r="A966" t="s">
        <v>10</v>
      </c>
      <c r="B966" t="s">
        <v>63</v>
      </c>
      <c r="C966">
        <v>3</v>
      </c>
      <c r="D966">
        <v>3</v>
      </c>
      <c r="E966">
        <v>2</v>
      </c>
      <c r="F966" s="15">
        <v>46041</v>
      </c>
      <c r="G966" t="s">
        <v>318</v>
      </c>
      <c r="H966">
        <v>4</v>
      </c>
      <c r="I966">
        <v>2026</v>
      </c>
      <c r="J966">
        <v>1</v>
      </c>
      <c r="K966" t="s">
        <v>87</v>
      </c>
      <c r="L966" t="s">
        <v>435</v>
      </c>
      <c r="M966" t="s">
        <v>63</v>
      </c>
      <c r="N966" t="b">
        <v>0</v>
      </c>
      <c r="O966">
        <v>0</v>
      </c>
      <c r="P966">
        <v>0</v>
      </c>
      <c r="Q966">
        <v>1</v>
      </c>
      <c r="R966">
        <v>0</v>
      </c>
    </row>
    <row r="967" spans="1:18" x14ac:dyDescent="0.25">
      <c r="A967" t="s">
        <v>10</v>
      </c>
      <c r="B967" t="s">
        <v>63</v>
      </c>
      <c r="C967">
        <v>3</v>
      </c>
      <c r="D967">
        <v>3</v>
      </c>
      <c r="E967">
        <v>2</v>
      </c>
      <c r="F967" s="15">
        <v>46041</v>
      </c>
      <c r="G967" t="s">
        <v>318</v>
      </c>
      <c r="H967">
        <v>4</v>
      </c>
      <c r="I967">
        <v>2026</v>
      </c>
      <c r="J967">
        <v>1</v>
      </c>
      <c r="K967" t="s">
        <v>87</v>
      </c>
      <c r="L967" t="s">
        <v>13</v>
      </c>
      <c r="M967" t="s">
        <v>63</v>
      </c>
      <c r="N967" t="b">
        <v>0</v>
      </c>
      <c r="O967">
        <v>0</v>
      </c>
      <c r="P967">
        <v>0</v>
      </c>
      <c r="Q967">
        <v>1</v>
      </c>
      <c r="R967">
        <v>0</v>
      </c>
    </row>
    <row r="968" spans="1:18" x14ac:dyDescent="0.25">
      <c r="A968" t="s">
        <v>10</v>
      </c>
      <c r="B968" t="s">
        <v>63</v>
      </c>
      <c r="C968">
        <v>3</v>
      </c>
      <c r="D968">
        <v>3</v>
      </c>
      <c r="E968">
        <v>2</v>
      </c>
      <c r="F968" s="15">
        <v>46041</v>
      </c>
      <c r="G968" t="s">
        <v>318</v>
      </c>
      <c r="H968">
        <v>4</v>
      </c>
      <c r="I968">
        <v>2026</v>
      </c>
      <c r="J968">
        <v>1</v>
      </c>
      <c r="K968" t="s">
        <v>87</v>
      </c>
      <c r="L968" t="s">
        <v>42</v>
      </c>
      <c r="M968" t="s">
        <v>63</v>
      </c>
      <c r="N968" t="b">
        <v>0</v>
      </c>
      <c r="O968">
        <v>0</v>
      </c>
      <c r="P968">
        <v>0</v>
      </c>
      <c r="Q968">
        <v>1</v>
      </c>
      <c r="R968">
        <v>0</v>
      </c>
    </row>
    <row r="969" spans="1:18" x14ac:dyDescent="0.25">
      <c r="A969" t="s">
        <v>42</v>
      </c>
      <c r="B969" t="s">
        <v>63</v>
      </c>
      <c r="C969">
        <v>2</v>
      </c>
      <c r="D969">
        <v>3</v>
      </c>
      <c r="E969">
        <v>2</v>
      </c>
      <c r="F969" s="15">
        <v>46041</v>
      </c>
      <c r="G969" t="s">
        <v>318</v>
      </c>
      <c r="H969">
        <v>4</v>
      </c>
      <c r="I969">
        <v>2026</v>
      </c>
      <c r="J969">
        <v>1</v>
      </c>
      <c r="K969" t="s">
        <v>87</v>
      </c>
      <c r="L969" t="s">
        <v>435</v>
      </c>
      <c r="M969" t="s">
        <v>63</v>
      </c>
      <c r="N969" t="b">
        <v>0</v>
      </c>
      <c r="O969">
        <v>0</v>
      </c>
      <c r="P969">
        <v>0</v>
      </c>
      <c r="Q969">
        <v>1</v>
      </c>
      <c r="R969">
        <v>0</v>
      </c>
    </row>
    <row r="970" spans="1:18" x14ac:dyDescent="0.25">
      <c r="A970" t="s">
        <v>42</v>
      </c>
      <c r="B970" t="s">
        <v>63</v>
      </c>
      <c r="C970">
        <v>2</v>
      </c>
      <c r="D970">
        <v>3</v>
      </c>
      <c r="E970">
        <v>2</v>
      </c>
      <c r="F970" s="15">
        <v>46041</v>
      </c>
      <c r="G970" t="s">
        <v>318</v>
      </c>
      <c r="H970">
        <v>4</v>
      </c>
      <c r="I970">
        <v>2026</v>
      </c>
      <c r="J970">
        <v>1</v>
      </c>
      <c r="K970" t="s">
        <v>87</v>
      </c>
      <c r="L970" t="s">
        <v>13</v>
      </c>
      <c r="M970" t="s">
        <v>63</v>
      </c>
      <c r="N970" t="b">
        <v>0</v>
      </c>
      <c r="O970">
        <v>0</v>
      </c>
      <c r="P970">
        <v>0</v>
      </c>
      <c r="Q970">
        <v>1</v>
      </c>
      <c r="R970">
        <v>0</v>
      </c>
    </row>
    <row r="971" spans="1:18" x14ac:dyDescent="0.25">
      <c r="A971" t="s">
        <v>42</v>
      </c>
      <c r="B971" t="s">
        <v>63</v>
      </c>
      <c r="C971">
        <v>2</v>
      </c>
      <c r="D971">
        <v>3</v>
      </c>
      <c r="E971">
        <v>2</v>
      </c>
      <c r="F971" s="15">
        <v>46041</v>
      </c>
      <c r="G971" t="s">
        <v>318</v>
      </c>
      <c r="H971">
        <v>4</v>
      </c>
      <c r="I971">
        <v>2026</v>
      </c>
      <c r="J971">
        <v>1</v>
      </c>
      <c r="K971" t="s">
        <v>87</v>
      </c>
      <c r="L971" t="s">
        <v>10</v>
      </c>
      <c r="M971" t="s">
        <v>63</v>
      </c>
      <c r="N971" t="b">
        <v>0</v>
      </c>
      <c r="O971">
        <v>0</v>
      </c>
      <c r="P971">
        <v>0</v>
      </c>
      <c r="Q971">
        <v>1</v>
      </c>
      <c r="R971">
        <v>0</v>
      </c>
    </row>
    <row r="972" spans="1:18" x14ac:dyDescent="0.25">
      <c r="A972" t="s">
        <v>19</v>
      </c>
      <c r="B972" t="s">
        <v>6</v>
      </c>
      <c r="C972">
        <v>3</v>
      </c>
      <c r="D972">
        <v>1</v>
      </c>
      <c r="E972">
        <v>1</v>
      </c>
      <c r="F972" s="15">
        <v>45922</v>
      </c>
      <c r="G972" t="s">
        <v>102</v>
      </c>
      <c r="H972">
        <v>5</v>
      </c>
      <c r="I972">
        <v>2025</v>
      </c>
      <c r="J972">
        <v>9</v>
      </c>
      <c r="K972" t="s">
        <v>87</v>
      </c>
      <c r="L972" t="s">
        <v>7</v>
      </c>
      <c r="M972" t="s">
        <v>8</v>
      </c>
      <c r="N972" t="b">
        <v>0</v>
      </c>
      <c r="O972">
        <v>0</v>
      </c>
      <c r="P972">
        <v>1</v>
      </c>
      <c r="Q972">
        <v>0</v>
      </c>
      <c r="R972">
        <v>1</v>
      </c>
    </row>
    <row r="973" spans="1:18" x14ac:dyDescent="0.25">
      <c r="A973" t="s">
        <v>19</v>
      </c>
      <c r="B973" t="s">
        <v>6</v>
      </c>
      <c r="C973">
        <v>3</v>
      </c>
      <c r="D973">
        <v>1</v>
      </c>
      <c r="E973">
        <v>1</v>
      </c>
      <c r="F973" s="15">
        <v>45922</v>
      </c>
      <c r="G973" t="s">
        <v>102</v>
      </c>
      <c r="H973">
        <v>5</v>
      </c>
      <c r="I973">
        <v>2025</v>
      </c>
      <c r="J973">
        <v>9</v>
      </c>
      <c r="K973" t="s">
        <v>87</v>
      </c>
      <c r="L973" t="s">
        <v>27</v>
      </c>
      <c r="M973" t="s">
        <v>6</v>
      </c>
      <c r="N973" t="b">
        <v>0</v>
      </c>
      <c r="O973">
        <v>0</v>
      </c>
      <c r="P973">
        <v>1</v>
      </c>
      <c r="Q973">
        <v>0</v>
      </c>
      <c r="R973">
        <v>0</v>
      </c>
    </row>
    <row r="974" spans="1:18" x14ac:dyDescent="0.25">
      <c r="A974" t="s">
        <v>19</v>
      </c>
      <c r="B974" t="s">
        <v>6</v>
      </c>
      <c r="C974">
        <v>3</v>
      </c>
      <c r="D974">
        <v>1</v>
      </c>
      <c r="E974">
        <v>1</v>
      </c>
      <c r="F974" s="15">
        <v>45922</v>
      </c>
      <c r="G974" t="s">
        <v>102</v>
      </c>
      <c r="H974">
        <v>5</v>
      </c>
      <c r="I974">
        <v>2025</v>
      </c>
      <c r="J974">
        <v>9</v>
      </c>
      <c r="K974" t="s">
        <v>87</v>
      </c>
      <c r="L974" t="s">
        <v>326</v>
      </c>
      <c r="M974" t="s">
        <v>6</v>
      </c>
      <c r="N974" t="b">
        <v>0</v>
      </c>
      <c r="O974">
        <v>0</v>
      </c>
      <c r="P974">
        <v>1</v>
      </c>
      <c r="Q974">
        <v>0</v>
      </c>
      <c r="R974">
        <v>0</v>
      </c>
    </row>
    <row r="975" spans="1:18" x14ac:dyDescent="0.25">
      <c r="A975" t="s">
        <v>19</v>
      </c>
      <c r="B975" t="s">
        <v>6</v>
      </c>
      <c r="C975">
        <v>3</v>
      </c>
      <c r="D975">
        <v>1</v>
      </c>
      <c r="E975">
        <v>1</v>
      </c>
      <c r="F975" s="15">
        <v>45922</v>
      </c>
      <c r="G975" t="s">
        <v>102</v>
      </c>
      <c r="H975">
        <v>5</v>
      </c>
      <c r="I975">
        <v>2025</v>
      </c>
      <c r="J975">
        <v>9</v>
      </c>
      <c r="K975" t="s">
        <v>87</v>
      </c>
      <c r="L975" t="s">
        <v>11</v>
      </c>
      <c r="M975" t="s">
        <v>6</v>
      </c>
      <c r="N975" t="b">
        <v>0</v>
      </c>
      <c r="O975">
        <v>0</v>
      </c>
      <c r="P975">
        <v>1</v>
      </c>
      <c r="Q975">
        <v>0</v>
      </c>
      <c r="R975">
        <v>0</v>
      </c>
    </row>
    <row r="976" spans="1:18" x14ac:dyDescent="0.25">
      <c r="A976" t="s">
        <v>7</v>
      </c>
      <c r="B976" t="s">
        <v>8</v>
      </c>
      <c r="C976">
        <v>2</v>
      </c>
      <c r="D976">
        <v>1</v>
      </c>
      <c r="E976">
        <v>1</v>
      </c>
      <c r="F976" s="15">
        <v>45922</v>
      </c>
      <c r="G976" t="s">
        <v>102</v>
      </c>
      <c r="H976">
        <v>5</v>
      </c>
      <c r="I976">
        <v>2025</v>
      </c>
      <c r="J976">
        <v>9</v>
      </c>
      <c r="K976" t="s">
        <v>87</v>
      </c>
      <c r="L976" t="s">
        <v>19</v>
      </c>
      <c r="M976" t="s">
        <v>6</v>
      </c>
      <c r="N976" t="b">
        <v>0</v>
      </c>
      <c r="O976">
        <v>1</v>
      </c>
      <c r="P976">
        <v>0</v>
      </c>
      <c r="Q976">
        <v>0</v>
      </c>
      <c r="R976">
        <v>0</v>
      </c>
    </row>
    <row r="977" spans="1:18" x14ac:dyDescent="0.25">
      <c r="A977" t="s">
        <v>7</v>
      </c>
      <c r="B977" t="s">
        <v>8</v>
      </c>
      <c r="C977">
        <v>2</v>
      </c>
      <c r="D977">
        <v>1</v>
      </c>
      <c r="E977">
        <v>1</v>
      </c>
      <c r="F977" s="15">
        <v>45922</v>
      </c>
      <c r="G977" t="s">
        <v>102</v>
      </c>
      <c r="H977">
        <v>5</v>
      </c>
      <c r="I977">
        <v>2025</v>
      </c>
      <c r="J977">
        <v>9</v>
      </c>
      <c r="K977" t="s">
        <v>87</v>
      </c>
      <c r="L977" t="s">
        <v>27</v>
      </c>
      <c r="M977" t="s">
        <v>6</v>
      </c>
      <c r="N977" t="b">
        <v>0</v>
      </c>
      <c r="O977">
        <v>1</v>
      </c>
      <c r="P977">
        <v>0</v>
      </c>
      <c r="Q977">
        <v>0</v>
      </c>
      <c r="R977">
        <v>0</v>
      </c>
    </row>
    <row r="978" spans="1:18" x14ac:dyDescent="0.25">
      <c r="A978" t="s">
        <v>7</v>
      </c>
      <c r="B978" t="s">
        <v>8</v>
      </c>
      <c r="C978">
        <v>2</v>
      </c>
      <c r="D978">
        <v>1</v>
      </c>
      <c r="E978">
        <v>1</v>
      </c>
      <c r="F978" s="15">
        <v>45922</v>
      </c>
      <c r="G978" t="s">
        <v>102</v>
      </c>
      <c r="H978">
        <v>5</v>
      </c>
      <c r="I978">
        <v>2025</v>
      </c>
      <c r="J978">
        <v>9</v>
      </c>
      <c r="K978" t="s">
        <v>87</v>
      </c>
      <c r="L978" t="s">
        <v>326</v>
      </c>
      <c r="M978" t="s">
        <v>6</v>
      </c>
      <c r="N978" t="b">
        <v>0</v>
      </c>
      <c r="O978">
        <v>1</v>
      </c>
      <c r="P978">
        <v>0</v>
      </c>
      <c r="Q978">
        <v>0</v>
      </c>
      <c r="R978">
        <v>0</v>
      </c>
    </row>
    <row r="979" spans="1:18" x14ac:dyDescent="0.25">
      <c r="A979" t="s">
        <v>7</v>
      </c>
      <c r="B979" t="s">
        <v>8</v>
      </c>
      <c r="C979">
        <v>2</v>
      </c>
      <c r="D979">
        <v>1</v>
      </c>
      <c r="E979">
        <v>1</v>
      </c>
      <c r="F979" s="15">
        <v>45922</v>
      </c>
      <c r="G979" t="s">
        <v>102</v>
      </c>
      <c r="H979">
        <v>5</v>
      </c>
      <c r="I979">
        <v>2025</v>
      </c>
      <c r="J979">
        <v>9</v>
      </c>
      <c r="K979" t="s">
        <v>87</v>
      </c>
      <c r="L979" t="s">
        <v>11</v>
      </c>
      <c r="M979" t="s">
        <v>6</v>
      </c>
      <c r="N979" t="b">
        <v>0</v>
      </c>
      <c r="O979">
        <v>1</v>
      </c>
      <c r="P979">
        <v>0</v>
      </c>
      <c r="Q979">
        <v>0</v>
      </c>
      <c r="R979">
        <v>0</v>
      </c>
    </row>
    <row r="980" spans="1:18" x14ac:dyDescent="0.25">
      <c r="A980" t="s">
        <v>27</v>
      </c>
      <c r="B980" t="s">
        <v>6</v>
      </c>
      <c r="C980">
        <v>4</v>
      </c>
      <c r="D980">
        <v>1</v>
      </c>
      <c r="E980">
        <v>1</v>
      </c>
      <c r="F980" s="15">
        <v>45922</v>
      </c>
      <c r="G980" t="s">
        <v>102</v>
      </c>
      <c r="H980">
        <v>5</v>
      </c>
      <c r="I980">
        <v>2025</v>
      </c>
      <c r="J980">
        <v>9</v>
      </c>
      <c r="K980" t="s">
        <v>87</v>
      </c>
      <c r="L980" t="s">
        <v>19</v>
      </c>
      <c r="M980" t="s">
        <v>6</v>
      </c>
      <c r="N980" t="b">
        <v>0</v>
      </c>
      <c r="O980">
        <v>0</v>
      </c>
      <c r="P980">
        <v>1</v>
      </c>
      <c r="Q980">
        <v>0</v>
      </c>
      <c r="R980">
        <v>0</v>
      </c>
    </row>
    <row r="981" spans="1:18" x14ac:dyDescent="0.25">
      <c r="A981" t="s">
        <v>27</v>
      </c>
      <c r="B981" t="s">
        <v>6</v>
      </c>
      <c r="C981">
        <v>4</v>
      </c>
      <c r="D981">
        <v>1</v>
      </c>
      <c r="E981">
        <v>1</v>
      </c>
      <c r="F981" s="15">
        <v>45922</v>
      </c>
      <c r="G981" t="s">
        <v>102</v>
      </c>
      <c r="H981">
        <v>5</v>
      </c>
      <c r="I981">
        <v>2025</v>
      </c>
      <c r="J981">
        <v>9</v>
      </c>
      <c r="K981" t="s">
        <v>87</v>
      </c>
      <c r="L981" t="s">
        <v>7</v>
      </c>
      <c r="M981" t="s">
        <v>8</v>
      </c>
      <c r="N981" t="b">
        <v>0</v>
      </c>
      <c r="O981">
        <v>0</v>
      </c>
      <c r="P981">
        <v>1</v>
      </c>
      <c r="Q981">
        <v>0</v>
      </c>
      <c r="R981">
        <v>1</v>
      </c>
    </row>
    <row r="982" spans="1:18" x14ac:dyDescent="0.25">
      <c r="A982" t="s">
        <v>27</v>
      </c>
      <c r="B982" t="s">
        <v>6</v>
      </c>
      <c r="C982">
        <v>4</v>
      </c>
      <c r="D982">
        <v>1</v>
      </c>
      <c r="E982">
        <v>1</v>
      </c>
      <c r="F982" s="15">
        <v>45922</v>
      </c>
      <c r="G982" t="s">
        <v>102</v>
      </c>
      <c r="H982">
        <v>5</v>
      </c>
      <c r="I982">
        <v>2025</v>
      </c>
      <c r="J982">
        <v>9</v>
      </c>
      <c r="K982" t="s">
        <v>87</v>
      </c>
      <c r="L982" t="s">
        <v>326</v>
      </c>
      <c r="M982" t="s">
        <v>6</v>
      </c>
      <c r="N982" t="b">
        <v>0</v>
      </c>
      <c r="O982">
        <v>0</v>
      </c>
      <c r="P982">
        <v>1</v>
      </c>
      <c r="Q982">
        <v>0</v>
      </c>
      <c r="R982">
        <v>0</v>
      </c>
    </row>
    <row r="983" spans="1:18" x14ac:dyDescent="0.25">
      <c r="A983" t="s">
        <v>27</v>
      </c>
      <c r="B983" t="s">
        <v>6</v>
      </c>
      <c r="C983">
        <v>4</v>
      </c>
      <c r="D983">
        <v>1</v>
      </c>
      <c r="E983">
        <v>1</v>
      </c>
      <c r="F983" s="15">
        <v>45922</v>
      </c>
      <c r="G983" t="s">
        <v>102</v>
      </c>
      <c r="H983">
        <v>5</v>
      </c>
      <c r="I983">
        <v>2025</v>
      </c>
      <c r="J983">
        <v>9</v>
      </c>
      <c r="K983" t="s">
        <v>87</v>
      </c>
      <c r="L983" t="s">
        <v>11</v>
      </c>
      <c r="M983" t="s">
        <v>6</v>
      </c>
      <c r="N983" t="b">
        <v>0</v>
      </c>
      <c r="O983">
        <v>0</v>
      </c>
      <c r="P983">
        <v>1</v>
      </c>
      <c r="Q983">
        <v>0</v>
      </c>
      <c r="R983">
        <v>0</v>
      </c>
    </row>
    <row r="984" spans="1:18" x14ac:dyDescent="0.25">
      <c r="A984" t="s">
        <v>326</v>
      </c>
      <c r="B984" t="s">
        <v>6</v>
      </c>
      <c r="C984">
        <v>5</v>
      </c>
      <c r="D984">
        <v>1</v>
      </c>
      <c r="E984">
        <v>1</v>
      </c>
      <c r="F984" s="15">
        <v>45922</v>
      </c>
      <c r="G984" t="s">
        <v>102</v>
      </c>
      <c r="H984">
        <v>5</v>
      </c>
      <c r="I984">
        <v>2025</v>
      </c>
      <c r="J984">
        <v>9</v>
      </c>
      <c r="K984" t="s">
        <v>87</v>
      </c>
      <c r="L984" t="s">
        <v>19</v>
      </c>
      <c r="M984" t="s">
        <v>6</v>
      </c>
      <c r="N984" t="b">
        <v>0</v>
      </c>
      <c r="O984">
        <v>0</v>
      </c>
      <c r="P984">
        <v>1</v>
      </c>
      <c r="Q984">
        <v>0</v>
      </c>
      <c r="R984">
        <v>0</v>
      </c>
    </row>
    <row r="985" spans="1:18" x14ac:dyDescent="0.25">
      <c r="A985" t="s">
        <v>326</v>
      </c>
      <c r="B985" t="s">
        <v>6</v>
      </c>
      <c r="C985">
        <v>5</v>
      </c>
      <c r="D985">
        <v>1</v>
      </c>
      <c r="E985">
        <v>1</v>
      </c>
      <c r="F985" s="15">
        <v>45922</v>
      </c>
      <c r="G985" t="s">
        <v>102</v>
      </c>
      <c r="H985">
        <v>5</v>
      </c>
      <c r="I985">
        <v>2025</v>
      </c>
      <c r="J985">
        <v>9</v>
      </c>
      <c r="K985" t="s">
        <v>87</v>
      </c>
      <c r="L985" t="s">
        <v>7</v>
      </c>
      <c r="M985" t="s">
        <v>8</v>
      </c>
      <c r="N985" t="b">
        <v>0</v>
      </c>
      <c r="O985">
        <v>0</v>
      </c>
      <c r="P985">
        <v>1</v>
      </c>
      <c r="Q985">
        <v>0</v>
      </c>
      <c r="R985">
        <v>1</v>
      </c>
    </row>
    <row r="986" spans="1:18" x14ac:dyDescent="0.25">
      <c r="A986" t="s">
        <v>326</v>
      </c>
      <c r="B986" t="s">
        <v>6</v>
      </c>
      <c r="C986">
        <v>5</v>
      </c>
      <c r="D986">
        <v>1</v>
      </c>
      <c r="E986">
        <v>1</v>
      </c>
      <c r="F986" s="15">
        <v>45922</v>
      </c>
      <c r="G986" t="s">
        <v>102</v>
      </c>
      <c r="H986">
        <v>5</v>
      </c>
      <c r="I986">
        <v>2025</v>
      </c>
      <c r="J986">
        <v>9</v>
      </c>
      <c r="K986" t="s">
        <v>87</v>
      </c>
      <c r="L986" t="s">
        <v>27</v>
      </c>
      <c r="M986" t="s">
        <v>6</v>
      </c>
      <c r="N986" t="b">
        <v>0</v>
      </c>
      <c r="O986">
        <v>0</v>
      </c>
      <c r="P986">
        <v>1</v>
      </c>
      <c r="Q986">
        <v>0</v>
      </c>
      <c r="R986">
        <v>0</v>
      </c>
    </row>
    <row r="987" spans="1:18" x14ac:dyDescent="0.25">
      <c r="A987" t="s">
        <v>326</v>
      </c>
      <c r="B987" t="s">
        <v>6</v>
      </c>
      <c r="C987">
        <v>5</v>
      </c>
      <c r="D987">
        <v>1</v>
      </c>
      <c r="E987">
        <v>1</v>
      </c>
      <c r="F987" s="15">
        <v>45922</v>
      </c>
      <c r="G987" t="s">
        <v>102</v>
      </c>
      <c r="H987">
        <v>5</v>
      </c>
      <c r="I987">
        <v>2025</v>
      </c>
      <c r="J987">
        <v>9</v>
      </c>
      <c r="K987" t="s">
        <v>87</v>
      </c>
      <c r="L987" t="s">
        <v>11</v>
      </c>
      <c r="M987" t="s">
        <v>6</v>
      </c>
      <c r="N987" t="b">
        <v>0</v>
      </c>
      <c r="O987">
        <v>0</v>
      </c>
      <c r="P987">
        <v>1</v>
      </c>
      <c r="Q987">
        <v>0</v>
      </c>
      <c r="R987">
        <v>0</v>
      </c>
    </row>
    <row r="988" spans="1:18" x14ac:dyDescent="0.25">
      <c r="A988" t="s">
        <v>11</v>
      </c>
      <c r="B988" t="s">
        <v>6</v>
      </c>
      <c r="C988">
        <v>1</v>
      </c>
      <c r="D988">
        <v>1</v>
      </c>
      <c r="E988">
        <v>1</v>
      </c>
      <c r="F988" s="15">
        <v>45922</v>
      </c>
      <c r="G988" t="s">
        <v>102</v>
      </c>
      <c r="H988">
        <v>5</v>
      </c>
      <c r="I988">
        <v>2025</v>
      </c>
      <c r="J988">
        <v>9</v>
      </c>
      <c r="K988" t="s">
        <v>87</v>
      </c>
      <c r="L988" t="s">
        <v>19</v>
      </c>
      <c r="M988" t="s">
        <v>6</v>
      </c>
      <c r="N988" t="b">
        <v>0</v>
      </c>
      <c r="O988">
        <v>0</v>
      </c>
      <c r="P988">
        <v>1</v>
      </c>
      <c r="Q988">
        <v>0</v>
      </c>
      <c r="R988">
        <v>0</v>
      </c>
    </row>
    <row r="989" spans="1:18" x14ac:dyDescent="0.25">
      <c r="A989" t="s">
        <v>11</v>
      </c>
      <c r="B989" t="s">
        <v>6</v>
      </c>
      <c r="C989">
        <v>1</v>
      </c>
      <c r="D989">
        <v>1</v>
      </c>
      <c r="E989">
        <v>1</v>
      </c>
      <c r="F989" s="15">
        <v>45922</v>
      </c>
      <c r="G989" t="s">
        <v>102</v>
      </c>
      <c r="H989">
        <v>5</v>
      </c>
      <c r="I989">
        <v>2025</v>
      </c>
      <c r="J989">
        <v>9</v>
      </c>
      <c r="K989" t="s">
        <v>87</v>
      </c>
      <c r="L989" t="s">
        <v>7</v>
      </c>
      <c r="M989" t="s">
        <v>8</v>
      </c>
      <c r="N989" t="b">
        <v>0</v>
      </c>
      <c r="O989">
        <v>0</v>
      </c>
      <c r="P989">
        <v>1</v>
      </c>
      <c r="Q989">
        <v>0</v>
      </c>
      <c r="R989">
        <v>1</v>
      </c>
    </row>
    <row r="990" spans="1:18" x14ac:dyDescent="0.25">
      <c r="A990" t="s">
        <v>11</v>
      </c>
      <c r="B990" t="s">
        <v>6</v>
      </c>
      <c r="C990">
        <v>1</v>
      </c>
      <c r="D990">
        <v>1</v>
      </c>
      <c r="E990">
        <v>1</v>
      </c>
      <c r="F990" s="15">
        <v>45922</v>
      </c>
      <c r="G990" t="s">
        <v>102</v>
      </c>
      <c r="H990">
        <v>5</v>
      </c>
      <c r="I990">
        <v>2025</v>
      </c>
      <c r="J990">
        <v>9</v>
      </c>
      <c r="K990" t="s">
        <v>87</v>
      </c>
      <c r="L990" t="s">
        <v>27</v>
      </c>
      <c r="M990" t="s">
        <v>6</v>
      </c>
      <c r="N990" t="b">
        <v>0</v>
      </c>
      <c r="O990">
        <v>0</v>
      </c>
      <c r="P990">
        <v>1</v>
      </c>
      <c r="Q990">
        <v>0</v>
      </c>
      <c r="R990">
        <v>0</v>
      </c>
    </row>
    <row r="991" spans="1:18" x14ac:dyDescent="0.25">
      <c r="A991" t="s">
        <v>11</v>
      </c>
      <c r="B991" t="s">
        <v>6</v>
      </c>
      <c r="C991">
        <v>1</v>
      </c>
      <c r="D991">
        <v>1</v>
      </c>
      <c r="E991">
        <v>1</v>
      </c>
      <c r="F991" s="15">
        <v>45922</v>
      </c>
      <c r="G991" t="s">
        <v>102</v>
      </c>
      <c r="H991">
        <v>5</v>
      </c>
      <c r="I991">
        <v>2025</v>
      </c>
      <c r="J991">
        <v>9</v>
      </c>
      <c r="K991" t="s">
        <v>87</v>
      </c>
      <c r="L991" t="s">
        <v>326</v>
      </c>
      <c r="M991" t="s">
        <v>6</v>
      </c>
      <c r="N991" t="b">
        <v>0</v>
      </c>
      <c r="O991">
        <v>0</v>
      </c>
      <c r="P991">
        <v>1</v>
      </c>
      <c r="Q991">
        <v>0</v>
      </c>
      <c r="R991">
        <v>0</v>
      </c>
    </row>
    <row r="992" spans="1:18" x14ac:dyDescent="0.25">
      <c r="A992" t="s">
        <v>19</v>
      </c>
      <c r="B992" t="s">
        <v>6</v>
      </c>
      <c r="C992">
        <v>4</v>
      </c>
      <c r="D992">
        <v>1</v>
      </c>
      <c r="E992">
        <v>1</v>
      </c>
      <c r="F992" s="15">
        <v>45936</v>
      </c>
      <c r="G992" t="s">
        <v>104</v>
      </c>
      <c r="H992">
        <v>5</v>
      </c>
      <c r="I992">
        <v>2025</v>
      </c>
      <c r="J992">
        <v>10</v>
      </c>
      <c r="K992" t="s">
        <v>87</v>
      </c>
      <c r="L992" t="s">
        <v>10</v>
      </c>
      <c r="M992" t="s">
        <v>8</v>
      </c>
      <c r="N992" t="b">
        <v>0</v>
      </c>
      <c r="O992">
        <v>0</v>
      </c>
      <c r="P992">
        <v>1</v>
      </c>
      <c r="Q992">
        <v>0</v>
      </c>
      <c r="R992">
        <v>1</v>
      </c>
    </row>
    <row r="993" spans="1:18" x14ac:dyDescent="0.25">
      <c r="A993" t="s">
        <v>19</v>
      </c>
      <c r="B993" t="s">
        <v>6</v>
      </c>
      <c r="C993">
        <v>4</v>
      </c>
      <c r="D993">
        <v>1</v>
      </c>
      <c r="E993">
        <v>1</v>
      </c>
      <c r="F993" s="15">
        <v>45936</v>
      </c>
      <c r="G993" t="s">
        <v>104</v>
      </c>
      <c r="H993">
        <v>5</v>
      </c>
      <c r="I993">
        <v>2025</v>
      </c>
      <c r="J993">
        <v>10</v>
      </c>
      <c r="K993" t="s">
        <v>87</v>
      </c>
      <c r="L993" t="s">
        <v>321</v>
      </c>
      <c r="M993" t="s">
        <v>6</v>
      </c>
      <c r="N993" t="b">
        <v>0</v>
      </c>
      <c r="O993">
        <v>0</v>
      </c>
      <c r="P993">
        <v>1</v>
      </c>
      <c r="Q993">
        <v>0</v>
      </c>
      <c r="R993">
        <v>0</v>
      </c>
    </row>
    <row r="994" spans="1:18" x14ac:dyDescent="0.25">
      <c r="A994" t="s">
        <v>19</v>
      </c>
      <c r="B994" t="s">
        <v>6</v>
      </c>
      <c r="C994">
        <v>4</v>
      </c>
      <c r="D994">
        <v>1</v>
      </c>
      <c r="E994">
        <v>1</v>
      </c>
      <c r="F994" s="15">
        <v>45936</v>
      </c>
      <c r="G994" t="s">
        <v>104</v>
      </c>
      <c r="H994">
        <v>5</v>
      </c>
      <c r="I994">
        <v>2025</v>
      </c>
      <c r="J994">
        <v>10</v>
      </c>
      <c r="K994" t="s">
        <v>87</v>
      </c>
      <c r="L994" t="s">
        <v>54</v>
      </c>
      <c r="M994" t="s">
        <v>6</v>
      </c>
      <c r="N994" t="b">
        <v>0</v>
      </c>
      <c r="O994">
        <v>0</v>
      </c>
      <c r="P994">
        <v>1</v>
      </c>
      <c r="Q994">
        <v>0</v>
      </c>
      <c r="R994">
        <v>0</v>
      </c>
    </row>
    <row r="995" spans="1:18" x14ac:dyDescent="0.25">
      <c r="A995" t="s">
        <v>19</v>
      </c>
      <c r="B995" t="s">
        <v>6</v>
      </c>
      <c r="C995">
        <v>4</v>
      </c>
      <c r="D995">
        <v>1</v>
      </c>
      <c r="E995">
        <v>1</v>
      </c>
      <c r="F995" s="15">
        <v>45936</v>
      </c>
      <c r="G995" t="s">
        <v>104</v>
      </c>
      <c r="H995">
        <v>5</v>
      </c>
      <c r="I995">
        <v>2025</v>
      </c>
      <c r="J995">
        <v>10</v>
      </c>
      <c r="K995" t="s">
        <v>87</v>
      </c>
      <c r="L995" t="s">
        <v>42</v>
      </c>
      <c r="M995" t="s">
        <v>6</v>
      </c>
      <c r="N995" t="b">
        <v>0</v>
      </c>
      <c r="O995">
        <v>0</v>
      </c>
      <c r="P995">
        <v>1</v>
      </c>
      <c r="Q995">
        <v>0</v>
      </c>
      <c r="R995">
        <v>0</v>
      </c>
    </row>
    <row r="996" spans="1:18" x14ac:dyDescent="0.25">
      <c r="A996" t="s">
        <v>10</v>
      </c>
      <c r="B996" t="s">
        <v>8</v>
      </c>
      <c r="C996">
        <v>1</v>
      </c>
      <c r="D996">
        <v>1</v>
      </c>
      <c r="E996">
        <v>1</v>
      </c>
      <c r="F996" s="15">
        <v>45936</v>
      </c>
      <c r="G996" t="s">
        <v>104</v>
      </c>
      <c r="H996">
        <v>5</v>
      </c>
      <c r="I996">
        <v>2025</v>
      </c>
      <c r="J996">
        <v>10</v>
      </c>
      <c r="K996" t="s">
        <v>87</v>
      </c>
      <c r="L996" t="s">
        <v>19</v>
      </c>
      <c r="M996" t="s">
        <v>6</v>
      </c>
      <c r="N996" t="b">
        <v>0</v>
      </c>
      <c r="O996">
        <v>1</v>
      </c>
      <c r="P996">
        <v>0</v>
      </c>
      <c r="Q996">
        <v>0</v>
      </c>
      <c r="R996">
        <v>0</v>
      </c>
    </row>
    <row r="997" spans="1:18" x14ac:dyDescent="0.25">
      <c r="A997" t="s">
        <v>10</v>
      </c>
      <c r="B997" t="s">
        <v>8</v>
      </c>
      <c r="C997">
        <v>1</v>
      </c>
      <c r="D997">
        <v>1</v>
      </c>
      <c r="E997">
        <v>1</v>
      </c>
      <c r="F997" s="15">
        <v>45936</v>
      </c>
      <c r="G997" t="s">
        <v>104</v>
      </c>
      <c r="H997">
        <v>5</v>
      </c>
      <c r="I997">
        <v>2025</v>
      </c>
      <c r="J997">
        <v>10</v>
      </c>
      <c r="K997" t="s">
        <v>87</v>
      </c>
      <c r="L997" t="s">
        <v>321</v>
      </c>
      <c r="M997" t="s">
        <v>6</v>
      </c>
      <c r="N997" t="b">
        <v>0</v>
      </c>
      <c r="O997">
        <v>1</v>
      </c>
      <c r="P997">
        <v>0</v>
      </c>
      <c r="Q997">
        <v>0</v>
      </c>
      <c r="R997">
        <v>0</v>
      </c>
    </row>
    <row r="998" spans="1:18" x14ac:dyDescent="0.25">
      <c r="A998" t="s">
        <v>10</v>
      </c>
      <c r="B998" t="s">
        <v>8</v>
      </c>
      <c r="C998">
        <v>1</v>
      </c>
      <c r="D998">
        <v>1</v>
      </c>
      <c r="E998">
        <v>1</v>
      </c>
      <c r="F998" s="15">
        <v>45936</v>
      </c>
      <c r="G998" t="s">
        <v>104</v>
      </c>
      <c r="H998">
        <v>5</v>
      </c>
      <c r="I998">
        <v>2025</v>
      </c>
      <c r="J998">
        <v>10</v>
      </c>
      <c r="K998" t="s">
        <v>87</v>
      </c>
      <c r="L998" t="s">
        <v>54</v>
      </c>
      <c r="M998" t="s">
        <v>6</v>
      </c>
      <c r="N998" t="b">
        <v>0</v>
      </c>
      <c r="O998">
        <v>1</v>
      </c>
      <c r="P998">
        <v>0</v>
      </c>
      <c r="Q998">
        <v>0</v>
      </c>
      <c r="R998">
        <v>0</v>
      </c>
    </row>
    <row r="999" spans="1:18" x14ac:dyDescent="0.25">
      <c r="A999" t="s">
        <v>10</v>
      </c>
      <c r="B999" t="s">
        <v>8</v>
      </c>
      <c r="C999">
        <v>1</v>
      </c>
      <c r="D999">
        <v>1</v>
      </c>
      <c r="E999">
        <v>1</v>
      </c>
      <c r="F999" s="15">
        <v>45936</v>
      </c>
      <c r="G999" t="s">
        <v>104</v>
      </c>
      <c r="H999">
        <v>5</v>
      </c>
      <c r="I999">
        <v>2025</v>
      </c>
      <c r="J999">
        <v>10</v>
      </c>
      <c r="K999" t="s">
        <v>87</v>
      </c>
      <c r="L999" t="s">
        <v>42</v>
      </c>
      <c r="M999" t="s">
        <v>6</v>
      </c>
      <c r="N999" t="b">
        <v>0</v>
      </c>
      <c r="O999">
        <v>1</v>
      </c>
      <c r="P999">
        <v>0</v>
      </c>
      <c r="Q999">
        <v>0</v>
      </c>
      <c r="R999">
        <v>0</v>
      </c>
    </row>
    <row r="1000" spans="1:18" x14ac:dyDescent="0.25">
      <c r="A1000" t="s">
        <v>321</v>
      </c>
      <c r="B1000" t="s">
        <v>6</v>
      </c>
      <c r="C1000">
        <v>5</v>
      </c>
      <c r="D1000">
        <v>1</v>
      </c>
      <c r="E1000">
        <v>1</v>
      </c>
      <c r="F1000" s="15">
        <v>45936</v>
      </c>
      <c r="G1000" t="s">
        <v>104</v>
      </c>
      <c r="H1000">
        <v>5</v>
      </c>
      <c r="I1000">
        <v>2025</v>
      </c>
      <c r="J1000">
        <v>10</v>
      </c>
      <c r="K1000" t="s">
        <v>87</v>
      </c>
      <c r="L1000" t="s">
        <v>19</v>
      </c>
      <c r="M1000" t="s">
        <v>6</v>
      </c>
      <c r="N1000" t="b">
        <v>0</v>
      </c>
      <c r="O1000">
        <v>0</v>
      </c>
      <c r="P1000">
        <v>1</v>
      </c>
      <c r="Q1000">
        <v>0</v>
      </c>
      <c r="R1000">
        <v>0</v>
      </c>
    </row>
    <row r="1001" spans="1:18" x14ac:dyDescent="0.25">
      <c r="A1001" t="s">
        <v>321</v>
      </c>
      <c r="B1001" t="s">
        <v>6</v>
      </c>
      <c r="C1001">
        <v>5</v>
      </c>
      <c r="D1001">
        <v>1</v>
      </c>
      <c r="E1001">
        <v>1</v>
      </c>
      <c r="F1001" s="15">
        <v>45936</v>
      </c>
      <c r="G1001" t="s">
        <v>104</v>
      </c>
      <c r="H1001">
        <v>5</v>
      </c>
      <c r="I1001">
        <v>2025</v>
      </c>
      <c r="J1001">
        <v>10</v>
      </c>
      <c r="K1001" t="s">
        <v>87</v>
      </c>
      <c r="L1001" t="s">
        <v>10</v>
      </c>
      <c r="M1001" t="s">
        <v>8</v>
      </c>
      <c r="N1001" t="b">
        <v>0</v>
      </c>
      <c r="O1001">
        <v>0</v>
      </c>
      <c r="P1001">
        <v>1</v>
      </c>
      <c r="Q1001">
        <v>0</v>
      </c>
      <c r="R1001">
        <v>1</v>
      </c>
    </row>
    <row r="1002" spans="1:18" x14ac:dyDescent="0.25">
      <c r="A1002" t="s">
        <v>321</v>
      </c>
      <c r="B1002" t="s">
        <v>6</v>
      </c>
      <c r="C1002">
        <v>5</v>
      </c>
      <c r="D1002">
        <v>1</v>
      </c>
      <c r="E1002">
        <v>1</v>
      </c>
      <c r="F1002" s="15">
        <v>45936</v>
      </c>
      <c r="G1002" t="s">
        <v>104</v>
      </c>
      <c r="H1002">
        <v>5</v>
      </c>
      <c r="I1002">
        <v>2025</v>
      </c>
      <c r="J1002">
        <v>10</v>
      </c>
      <c r="K1002" t="s">
        <v>87</v>
      </c>
      <c r="L1002" t="s">
        <v>54</v>
      </c>
      <c r="M1002" t="s">
        <v>6</v>
      </c>
      <c r="N1002" t="b">
        <v>0</v>
      </c>
      <c r="O1002">
        <v>0</v>
      </c>
      <c r="P1002">
        <v>1</v>
      </c>
      <c r="Q1002">
        <v>0</v>
      </c>
      <c r="R1002">
        <v>0</v>
      </c>
    </row>
    <row r="1003" spans="1:18" x14ac:dyDescent="0.25">
      <c r="A1003" t="s">
        <v>321</v>
      </c>
      <c r="B1003" t="s">
        <v>6</v>
      </c>
      <c r="C1003">
        <v>5</v>
      </c>
      <c r="D1003">
        <v>1</v>
      </c>
      <c r="E1003">
        <v>1</v>
      </c>
      <c r="F1003" s="15">
        <v>45936</v>
      </c>
      <c r="G1003" t="s">
        <v>104</v>
      </c>
      <c r="H1003">
        <v>5</v>
      </c>
      <c r="I1003">
        <v>2025</v>
      </c>
      <c r="J1003">
        <v>10</v>
      </c>
      <c r="K1003" t="s">
        <v>87</v>
      </c>
      <c r="L1003" t="s">
        <v>42</v>
      </c>
      <c r="M1003" t="s">
        <v>6</v>
      </c>
      <c r="N1003" t="b">
        <v>0</v>
      </c>
      <c r="O1003">
        <v>0</v>
      </c>
      <c r="P1003">
        <v>1</v>
      </c>
      <c r="Q1003">
        <v>0</v>
      </c>
      <c r="R1003">
        <v>0</v>
      </c>
    </row>
    <row r="1004" spans="1:18" x14ac:dyDescent="0.25">
      <c r="A1004" t="s">
        <v>54</v>
      </c>
      <c r="B1004" t="s">
        <v>6</v>
      </c>
      <c r="C1004">
        <v>2</v>
      </c>
      <c r="D1004">
        <v>1</v>
      </c>
      <c r="E1004">
        <v>1</v>
      </c>
      <c r="F1004" s="15">
        <v>45936</v>
      </c>
      <c r="G1004" t="s">
        <v>104</v>
      </c>
      <c r="H1004">
        <v>5</v>
      </c>
      <c r="I1004">
        <v>2025</v>
      </c>
      <c r="J1004">
        <v>10</v>
      </c>
      <c r="K1004" t="s">
        <v>87</v>
      </c>
      <c r="L1004" t="s">
        <v>19</v>
      </c>
      <c r="M1004" t="s">
        <v>6</v>
      </c>
      <c r="N1004" t="b">
        <v>0</v>
      </c>
      <c r="O1004">
        <v>0</v>
      </c>
      <c r="P1004">
        <v>1</v>
      </c>
      <c r="Q1004">
        <v>0</v>
      </c>
      <c r="R1004">
        <v>0</v>
      </c>
    </row>
    <row r="1005" spans="1:18" x14ac:dyDescent="0.25">
      <c r="A1005" t="s">
        <v>54</v>
      </c>
      <c r="B1005" t="s">
        <v>6</v>
      </c>
      <c r="C1005">
        <v>2</v>
      </c>
      <c r="D1005">
        <v>1</v>
      </c>
      <c r="E1005">
        <v>1</v>
      </c>
      <c r="F1005" s="15">
        <v>45936</v>
      </c>
      <c r="G1005" t="s">
        <v>104</v>
      </c>
      <c r="H1005">
        <v>5</v>
      </c>
      <c r="I1005">
        <v>2025</v>
      </c>
      <c r="J1005">
        <v>10</v>
      </c>
      <c r="K1005" t="s">
        <v>87</v>
      </c>
      <c r="L1005" t="s">
        <v>10</v>
      </c>
      <c r="M1005" t="s">
        <v>8</v>
      </c>
      <c r="N1005" t="b">
        <v>0</v>
      </c>
      <c r="O1005">
        <v>0</v>
      </c>
      <c r="P1005">
        <v>1</v>
      </c>
      <c r="Q1005">
        <v>0</v>
      </c>
      <c r="R1005">
        <v>1</v>
      </c>
    </row>
    <row r="1006" spans="1:18" x14ac:dyDescent="0.25">
      <c r="A1006" t="s">
        <v>54</v>
      </c>
      <c r="B1006" t="s">
        <v>6</v>
      </c>
      <c r="C1006">
        <v>2</v>
      </c>
      <c r="D1006">
        <v>1</v>
      </c>
      <c r="E1006">
        <v>1</v>
      </c>
      <c r="F1006" s="15">
        <v>45936</v>
      </c>
      <c r="G1006" t="s">
        <v>104</v>
      </c>
      <c r="H1006">
        <v>5</v>
      </c>
      <c r="I1006">
        <v>2025</v>
      </c>
      <c r="J1006">
        <v>10</v>
      </c>
      <c r="K1006" t="s">
        <v>87</v>
      </c>
      <c r="L1006" t="s">
        <v>321</v>
      </c>
      <c r="M1006" t="s">
        <v>6</v>
      </c>
      <c r="N1006" t="b">
        <v>0</v>
      </c>
      <c r="O1006">
        <v>0</v>
      </c>
      <c r="P1006">
        <v>1</v>
      </c>
      <c r="Q1006">
        <v>0</v>
      </c>
      <c r="R1006">
        <v>0</v>
      </c>
    </row>
    <row r="1007" spans="1:18" x14ac:dyDescent="0.25">
      <c r="A1007" t="s">
        <v>54</v>
      </c>
      <c r="B1007" t="s">
        <v>6</v>
      </c>
      <c r="C1007">
        <v>2</v>
      </c>
      <c r="D1007">
        <v>1</v>
      </c>
      <c r="E1007">
        <v>1</v>
      </c>
      <c r="F1007" s="15">
        <v>45936</v>
      </c>
      <c r="G1007" t="s">
        <v>104</v>
      </c>
      <c r="H1007">
        <v>5</v>
      </c>
      <c r="I1007">
        <v>2025</v>
      </c>
      <c r="J1007">
        <v>10</v>
      </c>
      <c r="K1007" t="s">
        <v>87</v>
      </c>
      <c r="L1007" t="s">
        <v>42</v>
      </c>
      <c r="M1007" t="s">
        <v>6</v>
      </c>
      <c r="N1007" t="b">
        <v>0</v>
      </c>
      <c r="O1007">
        <v>0</v>
      </c>
      <c r="P1007">
        <v>1</v>
      </c>
      <c r="Q1007">
        <v>0</v>
      </c>
      <c r="R1007">
        <v>0</v>
      </c>
    </row>
    <row r="1008" spans="1:18" x14ac:dyDescent="0.25">
      <c r="A1008" t="s">
        <v>42</v>
      </c>
      <c r="B1008" t="s">
        <v>6</v>
      </c>
      <c r="C1008">
        <v>3</v>
      </c>
      <c r="D1008">
        <v>1</v>
      </c>
      <c r="E1008">
        <v>1</v>
      </c>
      <c r="F1008" s="15">
        <v>45936</v>
      </c>
      <c r="G1008" t="s">
        <v>104</v>
      </c>
      <c r="H1008">
        <v>5</v>
      </c>
      <c r="I1008">
        <v>2025</v>
      </c>
      <c r="J1008">
        <v>10</v>
      </c>
      <c r="K1008" t="s">
        <v>87</v>
      </c>
      <c r="L1008" t="s">
        <v>19</v>
      </c>
      <c r="M1008" t="s">
        <v>6</v>
      </c>
      <c r="N1008" t="b">
        <v>0</v>
      </c>
      <c r="O1008">
        <v>0</v>
      </c>
      <c r="P1008">
        <v>1</v>
      </c>
      <c r="Q1008">
        <v>0</v>
      </c>
      <c r="R1008">
        <v>0</v>
      </c>
    </row>
    <row r="1009" spans="1:18" x14ac:dyDescent="0.25">
      <c r="A1009" t="s">
        <v>42</v>
      </c>
      <c r="B1009" t="s">
        <v>6</v>
      </c>
      <c r="C1009">
        <v>3</v>
      </c>
      <c r="D1009">
        <v>1</v>
      </c>
      <c r="E1009">
        <v>1</v>
      </c>
      <c r="F1009" s="15">
        <v>45936</v>
      </c>
      <c r="G1009" t="s">
        <v>104</v>
      </c>
      <c r="H1009">
        <v>5</v>
      </c>
      <c r="I1009">
        <v>2025</v>
      </c>
      <c r="J1009">
        <v>10</v>
      </c>
      <c r="K1009" t="s">
        <v>87</v>
      </c>
      <c r="L1009" t="s">
        <v>10</v>
      </c>
      <c r="M1009" t="s">
        <v>8</v>
      </c>
      <c r="N1009" t="b">
        <v>0</v>
      </c>
      <c r="O1009">
        <v>0</v>
      </c>
      <c r="P1009">
        <v>1</v>
      </c>
      <c r="Q1009">
        <v>0</v>
      </c>
      <c r="R1009">
        <v>1</v>
      </c>
    </row>
    <row r="1010" spans="1:18" x14ac:dyDescent="0.25">
      <c r="A1010" t="s">
        <v>42</v>
      </c>
      <c r="B1010" t="s">
        <v>6</v>
      </c>
      <c r="C1010">
        <v>3</v>
      </c>
      <c r="D1010">
        <v>1</v>
      </c>
      <c r="E1010">
        <v>1</v>
      </c>
      <c r="F1010" s="15">
        <v>45936</v>
      </c>
      <c r="G1010" t="s">
        <v>104</v>
      </c>
      <c r="H1010">
        <v>5</v>
      </c>
      <c r="I1010">
        <v>2025</v>
      </c>
      <c r="J1010">
        <v>10</v>
      </c>
      <c r="K1010" t="s">
        <v>87</v>
      </c>
      <c r="L1010" t="s">
        <v>321</v>
      </c>
      <c r="M1010" t="s">
        <v>6</v>
      </c>
      <c r="N1010" t="b">
        <v>0</v>
      </c>
      <c r="O1010">
        <v>0</v>
      </c>
      <c r="P1010">
        <v>1</v>
      </c>
      <c r="Q1010">
        <v>0</v>
      </c>
      <c r="R1010">
        <v>0</v>
      </c>
    </row>
    <row r="1011" spans="1:18" x14ac:dyDescent="0.25">
      <c r="A1011" t="s">
        <v>42</v>
      </c>
      <c r="B1011" t="s">
        <v>6</v>
      </c>
      <c r="C1011">
        <v>3</v>
      </c>
      <c r="D1011">
        <v>1</v>
      </c>
      <c r="E1011">
        <v>1</v>
      </c>
      <c r="F1011" s="15">
        <v>45936</v>
      </c>
      <c r="G1011" t="s">
        <v>104</v>
      </c>
      <c r="H1011">
        <v>5</v>
      </c>
      <c r="I1011">
        <v>2025</v>
      </c>
      <c r="J1011">
        <v>10</v>
      </c>
      <c r="K1011" t="s">
        <v>87</v>
      </c>
      <c r="L1011" t="s">
        <v>54</v>
      </c>
      <c r="M1011" t="s">
        <v>6</v>
      </c>
      <c r="N1011" t="b">
        <v>0</v>
      </c>
      <c r="O1011">
        <v>0</v>
      </c>
      <c r="P1011">
        <v>1</v>
      </c>
      <c r="Q1011">
        <v>0</v>
      </c>
      <c r="R1011">
        <v>0</v>
      </c>
    </row>
    <row r="1012" spans="1:18" x14ac:dyDescent="0.25">
      <c r="A1012" t="s">
        <v>19</v>
      </c>
      <c r="B1012" t="s">
        <v>8</v>
      </c>
      <c r="C1012">
        <v>3</v>
      </c>
      <c r="D1012">
        <v>1</v>
      </c>
      <c r="E1012">
        <v>2</v>
      </c>
      <c r="F1012" s="15">
        <v>45951</v>
      </c>
      <c r="G1012" t="s">
        <v>130</v>
      </c>
      <c r="H1012">
        <v>4</v>
      </c>
      <c r="I1012">
        <v>2025</v>
      </c>
      <c r="J1012">
        <v>10</v>
      </c>
      <c r="K1012" t="s">
        <v>87</v>
      </c>
      <c r="L1012" t="s">
        <v>28</v>
      </c>
      <c r="M1012" t="s">
        <v>6</v>
      </c>
      <c r="N1012" t="b">
        <v>0</v>
      </c>
      <c r="O1012">
        <v>1</v>
      </c>
      <c r="P1012">
        <v>0</v>
      </c>
      <c r="Q1012">
        <v>0</v>
      </c>
      <c r="R1012">
        <v>0</v>
      </c>
    </row>
    <row r="1013" spans="1:18" x14ac:dyDescent="0.25">
      <c r="A1013" t="s">
        <v>19</v>
      </c>
      <c r="B1013" t="s">
        <v>8</v>
      </c>
      <c r="C1013">
        <v>3</v>
      </c>
      <c r="D1013">
        <v>1</v>
      </c>
      <c r="E1013">
        <v>2</v>
      </c>
      <c r="F1013" s="15">
        <v>45951</v>
      </c>
      <c r="G1013" t="s">
        <v>130</v>
      </c>
      <c r="H1013">
        <v>4</v>
      </c>
      <c r="I1013">
        <v>2025</v>
      </c>
      <c r="J1013">
        <v>10</v>
      </c>
      <c r="K1013" t="s">
        <v>87</v>
      </c>
      <c r="L1013" t="s">
        <v>11</v>
      </c>
      <c r="M1013" t="s">
        <v>6</v>
      </c>
      <c r="N1013" t="b">
        <v>0</v>
      </c>
      <c r="O1013">
        <v>1</v>
      </c>
      <c r="P1013">
        <v>0</v>
      </c>
      <c r="Q1013">
        <v>0</v>
      </c>
      <c r="R1013">
        <v>0</v>
      </c>
    </row>
    <row r="1014" spans="1:18" x14ac:dyDescent="0.25">
      <c r="A1014" t="s">
        <v>19</v>
      </c>
      <c r="B1014" t="s">
        <v>8</v>
      </c>
      <c r="C1014">
        <v>3</v>
      </c>
      <c r="D1014">
        <v>1</v>
      </c>
      <c r="E1014">
        <v>2</v>
      </c>
      <c r="F1014" s="15">
        <v>45951</v>
      </c>
      <c r="G1014" t="s">
        <v>130</v>
      </c>
      <c r="H1014">
        <v>4</v>
      </c>
      <c r="I1014">
        <v>2025</v>
      </c>
      <c r="J1014">
        <v>10</v>
      </c>
      <c r="K1014" t="s">
        <v>87</v>
      </c>
      <c r="L1014" t="s">
        <v>18</v>
      </c>
      <c r="M1014" t="s">
        <v>6</v>
      </c>
      <c r="N1014" t="b">
        <v>0</v>
      </c>
      <c r="O1014">
        <v>1</v>
      </c>
      <c r="P1014">
        <v>0</v>
      </c>
      <c r="Q1014">
        <v>0</v>
      </c>
      <c r="R1014">
        <v>0</v>
      </c>
    </row>
    <row r="1015" spans="1:18" x14ac:dyDescent="0.25">
      <c r="A1015" t="s">
        <v>28</v>
      </c>
      <c r="B1015" t="s">
        <v>6</v>
      </c>
      <c r="C1015">
        <v>1</v>
      </c>
      <c r="D1015">
        <v>1</v>
      </c>
      <c r="E1015">
        <v>2</v>
      </c>
      <c r="F1015" s="15">
        <v>45951</v>
      </c>
      <c r="G1015" t="s">
        <v>130</v>
      </c>
      <c r="H1015">
        <v>4</v>
      </c>
      <c r="I1015">
        <v>2025</v>
      </c>
      <c r="J1015">
        <v>10</v>
      </c>
      <c r="K1015" t="s">
        <v>87</v>
      </c>
      <c r="L1015" t="s">
        <v>19</v>
      </c>
      <c r="M1015" t="s">
        <v>8</v>
      </c>
      <c r="N1015" t="b">
        <v>0</v>
      </c>
      <c r="O1015">
        <v>0</v>
      </c>
      <c r="P1015">
        <v>1</v>
      </c>
      <c r="Q1015">
        <v>0</v>
      </c>
      <c r="R1015">
        <v>1</v>
      </c>
    </row>
    <row r="1016" spans="1:18" x14ac:dyDescent="0.25">
      <c r="A1016" t="s">
        <v>28</v>
      </c>
      <c r="B1016" t="s">
        <v>6</v>
      </c>
      <c r="C1016">
        <v>1</v>
      </c>
      <c r="D1016">
        <v>1</v>
      </c>
      <c r="E1016">
        <v>2</v>
      </c>
      <c r="F1016" s="15">
        <v>45951</v>
      </c>
      <c r="G1016" t="s">
        <v>130</v>
      </c>
      <c r="H1016">
        <v>4</v>
      </c>
      <c r="I1016">
        <v>2025</v>
      </c>
      <c r="J1016">
        <v>10</v>
      </c>
      <c r="K1016" t="s">
        <v>87</v>
      </c>
      <c r="L1016" t="s">
        <v>11</v>
      </c>
      <c r="M1016" t="s">
        <v>6</v>
      </c>
      <c r="N1016" t="b">
        <v>0</v>
      </c>
      <c r="O1016">
        <v>0</v>
      </c>
      <c r="P1016">
        <v>1</v>
      </c>
      <c r="Q1016">
        <v>0</v>
      </c>
      <c r="R1016">
        <v>0</v>
      </c>
    </row>
    <row r="1017" spans="1:18" x14ac:dyDescent="0.25">
      <c r="A1017" t="s">
        <v>28</v>
      </c>
      <c r="B1017" t="s">
        <v>6</v>
      </c>
      <c r="C1017">
        <v>1</v>
      </c>
      <c r="D1017">
        <v>1</v>
      </c>
      <c r="E1017">
        <v>2</v>
      </c>
      <c r="F1017" s="15">
        <v>45951</v>
      </c>
      <c r="G1017" t="s">
        <v>130</v>
      </c>
      <c r="H1017">
        <v>4</v>
      </c>
      <c r="I1017">
        <v>2025</v>
      </c>
      <c r="J1017">
        <v>10</v>
      </c>
      <c r="K1017" t="s">
        <v>87</v>
      </c>
      <c r="L1017" t="s">
        <v>18</v>
      </c>
      <c r="M1017" t="s">
        <v>6</v>
      </c>
      <c r="N1017" t="b">
        <v>0</v>
      </c>
      <c r="O1017">
        <v>0</v>
      </c>
      <c r="P1017">
        <v>1</v>
      </c>
      <c r="Q1017">
        <v>0</v>
      </c>
      <c r="R1017">
        <v>0</v>
      </c>
    </row>
    <row r="1018" spans="1:18" x14ac:dyDescent="0.25">
      <c r="A1018" t="s">
        <v>11</v>
      </c>
      <c r="B1018" t="s">
        <v>6</v>
      </c>
      <c r="C1018">
        <v>4</v>
      </c>
      <c r="D1018">
        <v>1</v>
      </c>
      <c r="E1018">
        <v>2</v>
      </c>
      <c r="F1018" s="15">
        <v>45951</v>
      </c>
      <c r="G1018" t="s">
        <v>130</v>
      </c>
      <c r="H1018">
        <v>4</v>
      </c>
      <c r="I1018">
        <v>2025</v>
      </c>
      <c r="J1018">
        <v>10</v>
      </c>
      <c r="K1018" t="s">
        <v>87</v>
      </c>
      <c r="L1018" t="s">
        <v>19</v>
      </c>
      <c r="M1018" t="s">
        <v>8</v>
      </c>
      <c r="N1018" t="b">
        <v>0</v>
      </c>
      <c r="O1018">
        <v>0</v>
      </c>
      <c r="P1018">
        <v>1</v>
      </c>
      <c r="Q1018">
        <v>0</v>
      </c>
      <c r="R1018">
        <v>1</v>
      </c>
    </row>
    <row r="1019" spans="1:18" x14ac:dyDescent="0.25">
      <c r="A1019" t="s">
        <v>11</v>
      </c>
      <c r="B1019" t="s">
        <v>6</v>
      </c>
      <c r="C1019">
        <v>4</v>
      </c>
      <c r="D1019">
        <v>1</v>
      </c>
      <c r="E1019">
        <v>2</v>
      </c>
      <c r="F1019" s="15">
        <v>45951</v>
      </c>
      <c r="G1019" t="s">
        <v>130</v>
      </c>
      <c r="H1019">
        <v>4</v>
      </c>
      <c r="I1019">
        <v>2025</v>
      </c>
      <c r="J1019">
        <v>10</v>
      </c>
      <c r="K1019" t="s">
        <v>87</v>
      </c>
      <c r="L1019" t="s">
        <v>28</v>
      </c>
      <c r="M1019" t="s">
        <v>6</v>
      </c>
      <c r="N1019" t="b">
        <v>0</v>
      </c>
      <c r="O1019">
        <v>0</v>
      </c>
      <c r="P1019">
        <v>1</v>
      </c>
      <c r="Q1019">
        <v>0</v>
      </c>
      <c r="R1019">
        <v>0</v>
      </c>
    </row>
    <row r="1020" spans="1:18" x14ac:dyDescent="0.25">
      <c r="A1020" t="s">
        <v>11</v>
      </c>
      <c r="B1020" t="s">
        <v>6</v>
      </c>
      <c r="C1020">
        <v>4</v>
      </c>
      <c r="D1020">
        <v>1</v>
      </c>
      <c r="E1020">
        <v>2</v>
      </c>
      <c r="F1020" s="15">
        <v>45951</v>
      </c>
      <c r="G1020" t="s">
        <v>130</v>
      </c>
      <c r="H1020">
        <v>4</v>
      </c>
      <c r="I1020">
        <v>2025</v>
      </c>
      <c r="J1020">
        <v>10</v>
      </c>
      <c r="K1020" t="s">
        <v>87</v>
      </c>
      <c r="L1020" t="s">
        <v>18</v>
      </c>
      <c r="M1020" t="s">
        <v>6</v>
      </c>
      <c r="N1020" t="b">
        <v>0</v>
      </c>
      <c r="O1020">
        <v>0</v>
      </c>
      <c r="P1020">
        <v>1</v>
      </c>
      <c r="Q1020">
        <v>0</v>
      </c>
      <c r="R1020">
        <v>0</v>
      </c>
    </row>
    <row r="1021" spans="1:18" x14ac:dyDescent="0.25">
      <c r="A1021" t="s">
        <v>18</v>
      </c>
      <c r="B1021" t="s">
        <v>6</v>
      </c>
      <c r="C1021">
        <v>2</v>
      </c>
      <c r="D1021">
        <v>1</v>
      </c>
      <c r="E1021">
        <v>2</v>
      </c>
      <c r="F1021" s="15">
        <v>45951</v>
      </c>
      <c r="G1021" t="s">
        <v>130</v>
      </c>
      <c r="H1021">
        <v>4</v>
      </c>
      <c r="I1021">
        <v>2025</v>
      </c>
      <c r="J1021">
        <v>10</v>
      </c>
      <c r="K1021" t="s">
        <v>87</v>
      </c>
      <c r="L1021" t="s">
        <v>19</v>
      </c>
      <c r="M1021" t="s">
        <v>8</v>
      </c>
      <c r="N1021" t="b">
        <v>0</v>
      </c>
      <c r="O1021">
        <v>0</v>
      </c>
      <c r="P1021">
        <v>1</v>
      </c>
      <c r="Q1021">
        <v>0</v>
      </c>
      <c r="R1021">
        <v>1</v>
      </c>
    </row>
    <row r="1022" spans="1:18" x14ac:dyDescent="0.25">
      <c r="A1022" t="s">
        <v>18</v>
      </c>
      <c r="B1022" t="s">
        <v>6</v>
      </c>
      <c r="C1022">
        <v>2</v>
      </c>
      <c r="D1022">
        <v>1</v>
      </c>
      <c r="E1022">
        <v>2</v>
      </c>
      <c r="F1022" s="15">
        <v>45951</v>
      </c>
      <c r="G1022" t="s">
        <v>130</v>
      </c>
      <c r="H1022">
        <v>4</v>
      </c>
      <c r="I1022">
        <v>2025</v>
      </c>
      <c r="J1022">
        <v>10</v>
      </c>
      <c r="K1022" t="s">
        <v>87</v>
      </c>
      <c r="L1022" t="s">
        <v>28</v>
      </c>
      <c r="M1022" t="s">
        <v>6</v>
      </c>
      <c r="N1022" t="b">
        <v>0</v>
      </c>
      <c r="O1022">
        <v>0</v>
      </c>
      <c r="P1022">
        <v>1</v>
      </c>
      <c r="Q1022">
        <v>0</v>
      </c>
      <c r="R1022">
        <v>0</v>
      </c>
    </row>
    <row r="1023" spans="1:18" x14ac:dyDescent="0.25">
      <c r="A1023" t="s">
        <v>18</v>
      </c>
      <c r="B1023" t="s">
        <v>6</v>
      </c>
      <c r="C1023">
        <v>2</v>
      </c>
      <c r="D1023">
        <v>1</v>
      </c>
      <c r="E1023">
        <v>2</v>
      </c>
      <c r="F1023" s="15">
        <v>45951</v>
      </c>
      <c r="G1023" t="s">
        <v>130</v>
      </c>
      <c r="H1023">
        <v>4</v>
      </c>
      <c r="I1023">
        <v>2025</v>
      </c>
      <c r="J1023">
        <v>10</v>
      </c>
      <c r="K1023" t="s">
        <v>87</v>
      </c>
      <c r="L1023" t="s">
        <v>11</v>
      </c>
      <c r="M1023" t="s">
        <v>6</v>
      </c>
      <c r="N1023" t="b">
        <v>0</v>
      </c>
      <c r="O1023">
        <v>0</v>
      </c>
      <c r="P1023">
        <v>1</v>
      </c>
      <c r="Q1023">
        <v>0</v>
      </c>
      <c r="R1023">
        <v>0</v>
      </c>
    </row>
    <row r="1024" spans="1:18" x14ac:dyDescent="0.25">
      <c r="A1024" t="s">
        <v>19</v>
      </c>
      <c r="B1024" t="s">
        <v>6</v>
      </c>
      <c r="C1024">
        <v>5</v>
      </c>
      <c r="D1024">
        <v>1</v>
      </c>
      <c r="E1024">
        <v>2</v>
      </c>
      <c r="F1024" s="15">
        <v>45971</v>
      </c>
      <c r="G1024" t="s">
        <v>133</v>
      </c>
      <c r="H1024">
        <v>5</v>
      </c>
      <c r="I1024">
        <v>2025</v>
      </c>
      <c r="J1024">
        <v>11</v>
      </c>
      <c r="K1024" t="s">
        <v>87</v>
      </c>
      <c r="L1024" t="s">
        <v>13</v>
      </c>
      <c r="M1024" t="s">
        <v>8</v>
      </c>
      <c r="N1024" t="b">
        <v>0</v>
      </c>
      <c r="O1024">
        <v>0</v>
      </c>
      <c r="P1024">
        <v>1</v>
      </c>
      <c r="Q1024">
        <v>0</v>
      </c>
      <c r="R1024">
        <v>1</v>
      </c>
    </row>
    <row r="1025" spans="1:18" x14ac:dyDescent="0.25">
      <c r="A1025" t="s">
        <v>19</v>
      </c>
      <c r="B1025" t="s">
        <v>6</v>
      </c>
      <c r="C1025">
        <v>5</v>
      </c>
      <c r="D1025">
        <v>1</v>
      </c>
      <c r="E1025">
        <v>2</v>
      </c>
      <c r="F1025" s="15">
        <v>45971</v>
      </c>
      <c r="G1025" t="s">
        <v>133</v>
      </c>
      <c r="H1025">
        <v>5</v>
      </c>
      <c r="I1025">
        <v>2025</v>
      </c>
      <c r="J1025">
        <v>11</v>
      </c>
      <c r="K1025" t="s">
        <v>87</v>
      </c>
      <c r="L1025" t="s">
        <v>436</v>
      </c>
      <c r="M1025" t="s">
        <v>6</v>
      </c>
      <c r="N1025" t="b">
        <v>0</v>
      </c>
      <c r="O1025">
        <v>0</v>
      </c>
      <c r="P1025">
        <v>1</v>
      </c>
      <c r="Q1025">
        <v>0</v>
      </c>
      <c r="R1025">
        <v>0</v>
      </c>
    </row>
    <row r="1026" spans="1:18" x14ac:dyDescent="0.25">
      <c r="A1026" t="s">
        <v>19</v>
      </c>
      <c r="B1026" t="s">
        <v>6</v>
      </c>
      <c r="C1026">
        <v>5</v>
      </c>
      <c r="D1026">
        <v>1</v>
      </c>
      <c r="E1026">
        <v>2</v>
      </c>
      <c r="F1026" s="15">
        <v>45971</v>
      </c>
      <c r="G1026" t="s">
        <v>133</v>
      </c>
      <c r="H1026">
        <v>5</v>
      </c>
      <c r="I1026">
        <v>2025</v>
      </c>
      <c r="J1026">
        <v>11</v>
      </c>
      <c r="K1026" t="s">
        <v>87</v>
      </c>
      <c r="L1026" t="s">
        <v>7</v>
      </c>
      <c r="M1026" t="s">
        <v>6</v>
      </c>
      <c r="N1026" t="b">
        <v>0</v>
      </c>
      <c r="O1026">
        <v>0</v>
      </c>
      <c r="P1026">
        <v>1</v>
      </c>
      <c r="Q1026">
        <v>0</v>
      </c>
      <c r="R1026">
        <v>0</v>
      </c>
    </row>
    <row r="1027" spans="1:18" x14ac:dyDescent="0.25">
      <c r="A1027" t="s">
        <v>19</v>
      </c>
      <c r="B1027" t="s">
        <v>6</v>
      </c>
      <c r="C1027">
        <v>5</v>
      </c>
      <c r="D1027">
        <v>1</v>
      </c>
      <c r="E1027">
        <v>2</v>
      </c>
      <c r="F1027" s="15">
        <v>45971</v>
      </c>
      <c r="G1027" t="s">
        <v>133</v>
      </c>
      <c r="H1027">
        <v>5</v>
      </c>
      <c r="I1027">
        <v>2025</v>
      </c>
      <c r="J1027">
        <v>11</v>
      </c>
      <c r="K1027" t="s">
        <v>87</v>
      </c>
      <c r="L1027" t="s">
        <v>27</v>
      </c>
      <c r="M1027" t="s">
        <v>6</v>
      </c>
      <c r="N1027" t="b">
        <v>0</v>
      </c>
      <c r="O1027">
        <v>0</v>
      </c>
      <c r="P1027">
        <v>1</v>
      </c>
      <c r="Q1027">
        <v>0</v>
      </c>
      <c r="R1027">
        <v>0</v>
      </c>
    </row>
    <row r="1028" spans="1:18" x14ac:dyDescent="0.25">
      <c r="A1028" t="s">
        <v>13</v>
      </c>
      <c r="B1028" t="s">
        <v>8</v>
      </c>
      <c r="C1028">
        <v>4</v>
      </c>
      <c r="D1028">
        <v>1</v>
      </c>
      <c r="E1028">
        <v>2</v>
      </c>
      <c r="F1028" s="15">
        <v>45971</v>
      </c>
      <c r="G1028" t="s">
        <v>133</v>
      </c>
      <c r="H1028">
        <v>5</v>
      </c>
      <c r="I1028">
        <v>2025</v>
      </c>
      <c r="J1028">
        <v>11</v>
      </c>
      <c r="K1028" t="s">
        <v>87</v>
      </c>
      <c r="L1028" t="s">
        <v>19</v>
      </c>
      <c r="M1028" t="s">
        <v>6</v>
      </c>
      <c r="N1028" t="b">
        <v>0</v>
      </c>
      <c r="O1028">
        <v>1</v>
      </c>
      <c r="P1028">
        <v>0</v>
      </c>
      <c r="Q1028">
        <v>0</v>
      </c>
      <c r="R1028">
        <v>0</v>
      </c>
    </row>
    <row r="1029" spans="1:18" x14ac:dyDescent="0.25">
      <c r="A1029" t="s">
        <v>13</v>
      </c>
      <c r="B1029" t="s">
        <v>8</v>
      </c>
      <c r="C1029">
        <v>4</v>
      </c>
      <c r="D1029">
        <v>1</v>
      </c>
      <c r="E1029">
        <v>2</v>
      </c>
      <c r="F1029" s="15">
        <v>45971</v>
      </c>
      <c r="G1029" t="s">
        <v>133</v>
      </c>
      <c r="H1029">
        <v>5</v>
      </c>
      <c r="I1029">
        <v>2025</v>
      </c>
      <c r="J1029">
        <v>11</v>
      </c>
      <c r="K1029" t="s">
        <v>87</v>
      </c>
      <c r="L1029" t="s">
        <v>436</v>
      </c>
      <c r="M1029" t="s">
        <v>6</v>
      </c>
      <c r="N1029" t="b">
        <v>0</v>
      </c>
      <c r="O1029">
        <v>1</v>
      </c>
      <c r="P1029">
        <v>0</v>
      </c>
      <c r="Q1029">
        <v>0</v>
      </c>
      <c r="R1029">
        <v>0</v>
      </c>
    </row>
    <row r="1030" spans="1:18" x14ac:dyDescent="0.25">
      <c r="A1030" t="s">
        <v>13</v>
      </c>
      <c r="B1030" t="s">
        <v>8</v>
      </c>
      <c r="C1030">
        <v>4</v>
      </c>
      <c r="D1030">
        <v>1</v>
      </c>
      <c r="E1030">
        <v>2</v>
      </c>
      <c r="F1030" s="15">
        <v>45971</v>
      </c>
      <c r="G1030" t="s">
        <v>133</v>
      </c>
      <c r="H1030">
        <v>5</v>
      </c>
      <c r="I1030">
        <v>2025</v>
      </c>
      <c r="J1030">
        <v>11</v>
      </c>
      <c r="K1030" t="s">
        <v>87</v>
      </c>
      <c r="L1030" t="s">
        <v>7</v>
      </c>
      <c r="M1030" t="s">
        <v>6</v>
      </c>
      <c r="N1030" t="b">
        <v>0</v>
      </c>
      <c r="O1030">
        <v>1</v>
      </c>
      <c r="P1030">
        <v>0</v>
      </c>
      <c r="Q1030">
        <v>0</v>
      </c>
      <c r="R1030">
        <v>0</v>
      </c>
    </row>
    <row r="1031" spans="1:18" x14ac:dyDescent="0.25">
      <c r="A1031" t="s">
        <v>13</v>
      </c>
      <c r="B1031" t="s">
        <v>8</v>
      </c>
      <c r="C1031">
        <v>4</v>
      </c>
      <c r="D1031">
        <v>1</v>
      </c>
      <c r="E1031">
        <v>2</v>
      </c>
      <c r="F1031" s="15">
        <v>45971</v>
      </c>
      <c r="G1031" t="s">
        <v>133</v>
      </c>
      <c r="H1031">
        <v>5</v>
      </c>
      <c r="I1031">
        <v>2025</v>
      </c>
      <c r="J1031">
        <v>11</v>
      </c>
      <c r="K1031" t="s">
        <v>87</v>
      </c>
      <c r="L1031" t="s">
        <v>27</v>
      </c>
      <c r="M1031" t="s">
        <v>6</v>
      </c>
      <c r="N1031" t="b">
        <v>0</v>
      </c>
      <c r="O1031">
        <v>1</v>
      </c>
      <c r="P1031">
        <v>0</v>
      </c>
      <c r="Q1031">
        <v>0</v>
      </c>
      <c r="R1031">
        <v>0</v>
      </c>
    </row>
    <row r="1032" spans="1:18" x14ac:dyDescent="0.25">
      <c r="A1032" t="s">
        <v>436</v>
      </c>
      <c r="B1032" t="s">
        <v>6</v>
      </c>
      <c r="C1032">
        <v>1</v>
      </c>
      <c r="D1032">
        <v>1</v>
      </c>
      <c r="E1032">
        <v>2</v>
      </c>
      <c r="F1032" s="15">
        <v>45971</v>
      </c>
      <c r="G1032" t="s">
        <v>133</v>
      </c>
      <c r="H1032">
        <v>5</v>
      </c>
      <c r="I1032">
        <v>2025</v>
      </c>
      <c r="J1032">
        <v>11</v>
      </c>
      <c r="K1032" t="s">
        <v>87</v>
      </c>
      <c r="L1032" t="s">
        <v>19</v>
      </c>
      <c r="M1032" t="s">
        <v>6</v>
      </c>
      <c r="N1032" t="b">
        <v>0</v>
      </c>
      <c r="O1032">
        <v>0</v>
      </c>
      <c r="P1032">
        <v>1</v>
      </c>
      <c r="Q1032">
        <v>0</v>
      </c>
      <c r="R1032">
        <v>0</v>
      </c>
    </row>
    <row r="1033" spans="1:18" x14ac:dyDescent="0.25">
      <c r="A1033" t="s">
        <v>436</v>
      </c>
      <c r="B1033" t="s">
        <v>6</v>
      </c>
      <c r="C1033">
        <v>1</v>
      </c>
      <c r="D1033">
        <v>1</v>
      </c>
      <c r="E1033">
        <v>2</v>
      </c>
      <c r="F1033" s="15">
        <v>45971</v>
      </c>
      <c r="G1033" t="s">
        <v>133</v>
      </c>
      <c r="H1033">
        <v>5</v>
      </c>
      <c r="I1033">
        <v>2025</v>
      </c>
      <c r="J1033">
        <v>11</v>
      </c>
      <c r="K1033" t="s">
        <v>87</v>
      </c>
      <c r="L1033" t="s">
        <v>13</v>
      </c>
      <c r="M1033" t="s">
        <v>8</v>
      </c>
      <c r="N1033" t="b">
        <v>0</v>
      </c>
      <c r="O1033">
        <v>0</v>
      </c>
      <c r="P1033">
        <v>1</v>
      </c>
      <c r="Q1033">
        <v>0</v>
      </c>
      <c r="R1033">
        <v>1</v>
      </c>
    </row>
    <row r="1034" spans="1:18" x14ac:dyDescent="0.25">
      <c r="A1034" t="s">
        <v>436</v>
      </c>
      <c r="B1034" t="s">
        <v>6</v>
      </c>
      <c r="C1034">
        <v>1</v>
      </c>
      <c r="D1034">
        <v>1</v>
      </c>
      <c r="E1034">
        <v>2</v>
      </c>
      <c r="F1034" s="15">
        <v>45971</v>
      </c>
      <c r="G1034" t="s">
        <v>133</v>
      </c>
      <c r="H1034">
        <v>5</v>
      </c>
      <c r="I1034">
        <v>2025</v>
      </c>
      <c r="J1034">
        <v>11</v>
      </c>
      <c r="K1034" t="s">
        <v>87</v>
      </c>
      <c r="L1034" t="s">
        <v>7</v>
      </c>
      <c r="M1034" t="s">
        <v>6</v>
      </c>
      <c r="N1034" t="b">
        <v>0</v>
      </c>
      <c r="O1034">
        <v>0</v>
      </c>
      <c r="P1034">
        <v>1</v>
      </c>
      <c r="Q1034">
        <v>0</v>
      </c>
      <c r="R1034">
        <v>0</v>
      </c>
    </row>
    <row r="1035" spans="1:18" x14ac:dyDescent="0.25">
      <c r="A1035" t="s">
        <v>436</v>
      </c>
      <c r="B1035" t="s">
        <v>6</v>
      </c>
      <c r="C1035">
        <v>1</v>
      </c>
      <c r="D1035">
        <v>1</v>
      </c>
      <c r="E1035">
        <v>2</v>
      </c>
      <c r="F1035" s="15">
        <v>45971</v>
      </c>
      <c r="G1035" t="s">
        <v>133</v>
      </c>
      <c r="H1035">
        <v>5</v>
      </c>
      <c r="I1035">
        <v>2025</v>
      </c>
      <c r="J1035">
        <v>11</v>
      </c>
      <c r="K1035" t="s">
        <v>87</v>
      </c>
      <c r="L1035" t="s">
        <v>27</v>
      </c>
      <c r="M1035" t="s">
        <v>6</v>
      </c>
      <c r="N1035" t="b">
        <v>0</v>
      </c>
      <c r="O1035">
        <v>0</v>
      </c>
      <c r="P1035">
        <v>1</v>
      </c>
      <c r="Q1035">
        <v>0</v>
      </c>
      <c r="R1035">
        <v>0</v>
      </c>
    </row>
    <row r="1036" spans="1:18" x14ac:dyDescent="0.25">
      <c r="A1036" t="s">
        <v>7</v>
      </c>
      <c r="B1036" t="s">
        <v>6</v>
      </c>
      <c r="C1036">
        <v>2</v>
      </c>
      <c r="D1036">
        <v>1</v>
      </c>
      <c r="E1036">
        <v>2</v>
      </c>
      <c r="F1036" s="15">
        <v>45971</v>
      </c>
      <c r="G1036" t="s">
        <v>133</v>
      </c>
      <c r="H1036">
        <v>5</v>
      </c>
      <c r="I1036">
        <v>2025</v>
      </c>
      <c r="J1036">
        <v>11</v>
      </c>
      <c r="K1036" t="s">
        <v>87</v>
      </c>
      <c r="L1036" t="s">
        <v>19</v>
      </c>
      <c r="M1036" t="s">
        <v>6</v>
      </c>
      <c r="N1036" t="b">
        <v>0</v>
      </c>
      <c r="O1036">
        <v>0</v>
      </c>
      <c r="P1036">
        <v>1</v>
      </c>
      <c r="Q1036">
        <v>0</v>
      </c>
      <c r="R1036">
        <v>0</v>
      </c>
    </row>
    <row r="1037" spans="1:18" x14ac:dyDescent="0.25">
      <c r="A1037" t="s">
        <v>7</v>
      </c>
      <c r="B1037" t="s">
        <v>6</v>
      </c>
      <c r="C1037">
        <v>2</v>
      </c>
      <c r="D1037">
        <v>1</v>
      </c>
      <c r="E1037">
        <v>2</v>
      </c>
      <c r="F1037" s="15">
        <v>45971</v>
      </c>
      <c r="G1037" t="s">
        <v>133</v>
      </c>
      <c r="H1037">
        <v>5</v>
      </c>
      <c r="I1037">
        <v>2025</v>
      </c>
      <c r="J1037">
        <v>11</v>
      </c>
      <c r="K1037" t="s">
        <v>87</v>
      </c>
      <c r="L1037" t="s">
        <v>13</v>
      </c>
      <c r="M1037" t="s">
        <v>8</v>
      </c>
      <c r="N1037" t="b">
        <v>0</v>
      </c>
      <c r="O1037">
        <v>0</v>
      </c>
      <c r="P1037">
        <v>1</v>
      </c>
      <c r="Q1037">
        <v>0</v>
      </c>
      <c r="R1037">
        <v>1</v>
      </c>
    </row>
    <row r="1038" spans="1:18" x14ac:dyDescent="0.25">
      <c r="A1038" t="s">
        <v>7</v>
      </c>
      <c r="B1038" t="s">
        <v>6</v>
      </c>
      <c r="C1038">
        <v>2</v>
      </c>
      <c r="D1038">
        <v>1</v>
      </c>
      <c r="E1038">
        <v>2</v>
      </c>
      <c r="F1038" s="15">
        <v>45971</v>
      </c>
      <c r="G1038" t="s">
        <v>133</v>
      </c>
      <c r="H1038">
        <v>5</v>
      </c>
      <c r="I1038">
        <v>2025</v>
      </c>
      <c r="J1038">
        <v>11</v>
      </c>
      <c r="K1038" t="s">
        <v>87</v>
      </c>
      <c r="L1038" t="s">
        <v>436</v>
      </c>
      <c r="M1038" t="s">
        <v>6</v>
      </c>
      <c r="N1038" t="b">
        <v>0</v>
      </c>
      <c r="O1038">
        <v>0</v>
      </c>
      <c r="P1038">
        <v>1</v>
      </c>
      <c r="Q1038">
        <v>0</v>
      </c>
      <c r="R1038">
        <v>0</v>
      </c>
    </row>
    <row r="1039" spans="1:18" x14ac:dyDescent="0.25">
      <c r="A1039" t="s">
        <v>7</v>
      </c>
      <c r="B1039" t="s">
        <v>6</v>
      </c>
      <c r="C1039">
        <v>2</v>
      </c>
      <c r="D1039">
        <v>1</v>
      </c>
      <c r="E1039">
        <v>2</v>
      </c>
      <c r="F1039" s="15">
        <v>45971</v>
      </c>
      <c r="G1039" t="s">
        <v>133</v>
      </c>
      <c r="H1039">
        <v>5</v>
      </c>
      <c r="I1039">
        <v>2025</v>
      </c>
      <c r="J1039">
        <v>11</v>
      </c>
      <c r="K1039" t="s">
        <v>87</v>
      </c>
      <c r="L1039" t="s">
        <v>27</v>
      </c>
      <c r="M1039" t="s">
        <v>6</v>
      </c>
      <c r="N1039" t="b">
        <v>0</v>
      </c>
      <c r="O1039">
        <v>0</v>
      </c>
      <c r="P1039">
        <v>1</v>
      </c>
      <c r="Q1039">
        <v>0</v>
      </c>
      <c r="R1039">
        <v>0</v>
      </c>
    </row>
    <row r="1040" spans="1:18" x14ac:dyDescent="0.25">
      <c r="A1040" t="s">
        <v>27</v>
      </c>
      <c r="B1040" t="s">
        <v>6</v>
      </c>
      <c r="C1040">
        <v>3</v>
      </c>
      <c r="D1040">
        <v>1</v>
      </c>
      <c r="E1040">
        <v>2</v>
      </c>
      <c r="F1040" s="15">
        <v>45971</v>
      </c>
      <c r="G1040" t="s">
        <v>133</v>
      </c>
      <c r="H1040">
        <v>5</v>
      </c>
      <c r="I1040">
        <v>2025</v>
      </c>
      <c r="J1040">
        <v>11</v>
      </c>
      <c r="K1040" t="s">
        <v>87</v>
      </c>
      <c r="L1040" t="s">
        <v>19</v>
      </c>
      <c r="M1040" t="s">
        <v>6</v>
      </c>
      <c r="N1040" t="b">
        <v>0</v>
      </c>
      <c r="O1040">
        <v>0</v>
      </c>
      <c r="P1040">
        <v>1</v>
      </c>
      <c r="Q1040">
        <v>0</v>
      </c>
      <c r="R1040">
        <v>0</v>
      </c>
    </row>
    <row r="1041" spans="1:18" x14ac:dyDescent="0.25">
      <c r="A1041" t="s">
        <v>27</v>
      </c>
      <c r="B1041" t="s">
        <v>6</v>
      </c>
      <c r="C1041">
        <v>3</v>
      </c>
      <c r="D1041">
        <v>1</v>
      </c>
      <c r="E1041">
        <v>2</v>
      </c>
      <c r="F1041" s="15">
        <v>45971</v>
      </c>
      <c r="G1041" t="s">
        <v>133</v>
      </c>
      <c r="H1041">
        <v>5</v>
      </c>
      <c r="I1041">
        <v>2025</v>
      </c>
      <c r="J1041">
        <v>11</v>
      </c>
      <c r="K1041" t="s">
        <v>87</v>
      </c>
      <c r="L1041" t="s">
        <v>13</v>
      </c>
      <c r="M1041" t="s">
        <v>8</v>
      </c>
      <c r="N1041" t="b">
        <v>0</v>
      </c>
      <c r="O1041">
        <v>0</v>
      </c>
      <c r="P1041">
        <v>1</v>
      </c>
      <c r="Q1041">
        <v>0</v>
      </c>
      <c r="R1041">
        <v>1</v>
      </c>
    </row>
    <row r="1042" spans="1:18" x14ac:dyDescent="0.25">
      <c r="A1042" t="s">
        <v>27</v>
      </c>
      <c r="B1042" t="s">
        <v>6</v>
      </c>
      <c r="C1042">
        <v>3</v>
      </c>
      <c r="D1042">
        <v>1</v>
      </c>
      <c r="E1042">
        <v>2</v>
      </c>
      <c r="F1042" s="15">
        <v>45971</v>
      </c>
      <c r="G1042" t="s">
        <v>133</v>
      </c>
      <c r="H1042">
        <v>5</v>
      </c>
      <c r="I1042">
        <v>2025</v>
      </c>
      <c r="J1042">
        <v>11</v>
      </c>
      <c r="K1042" t="s">
        <v>87</v>
      </c>
      <c r="L1042" t="s">
        <v>436</v>
      </c>
      <c r="M1042" t="s">
        <v>6</v>
      </c>
      <c r="N1042" t="b">
        <v>0</v>
      </c>
      <c r="O1042">
        <v>0</v>
      </c>
      <c r="P1042">
        <v>1</v>
      </c>
      <c r="Q1042">
        <v>0</v>
      </c>
      <c r="R1042">
        <v>0</v>
      </c>
    </row>
    <row r="1043" spans="1:18" x14ac:dyDescent="0.25">
      <c r="A1043" t="s">
        <v>27</v>
      </c>
      <c r="B1043" t="s">
        <v>6</v>
      </c>
      <c r="C1043">
        <v>3</v>
      </c>
      <c r="D1043">
        <v>1</v>
      </c>
      <c r="E1043">
        <v>2</v>
      </c>
      <c r="F1043" s="15">
        <v>45971</v>
      </c>
      <c r="G1043" t="s">
        <v>133</v>
      </c>
      <c r="H1043">
        <v>5</v>
      </c>
      <c r="I1043">
        <v>2025</v>
      </c>
      <c r="J1043">
        <v>11</v>
      </c>
      <c r="K1043" t="s">
        <v>87</v>
      </c>
      <c r="L1043" t="s">
        <v>7</v>
      </c>
      <c r="M1043" t="s">
        <v>6</v>
      </c>
      <c r="N1043" t="b">
        <v>0</v>
      </c>
      <c r="O1043">
        <v>0</v>
      </c>
      <c r="P1043">
        <v>1</v>
      </c>
      <c r="Q1043">
        <v>0</v>
      </c>
      <c r="R1043">
        <v>0</v>
      </c>
    </row>
    <row r="1044" spans="1:18" x14ac:dyDescent="0.25">
      <c r="A1044" t="s">
        <v>19</v>
      </c>
      <c r="B1044" t="s">
        <v>6</v>
      </c>
      <c r="C1044">
        <v>2</v>
      </c>
      <c r="D1044">
        <v>1</v>
      </c>
      <c r="E1044">
        <v>2</v>
      </c>
      <c r="F1044" s="15">
        <v>46013</v>
      </c>
      <c r="G1044" t="s">
        <v>139</v>
      </c>
      <c r="H1044">
        <v>4</v>
      </c>
      <c r="I1044">
        <v>2025</v>
      </c>
      <c r="J1044">
        <v>12</v>
      </c>
      <c r="K1044" t="s">
        <v>87</v>
      </c>
      <c r="L1044" t="s">
        <v>10</v>
      </c>
      <c r="M1044" t="s">
        <v>6</v>
      </c>
      <c r="N1044" t="b">
        <v>0</v>
      </c>
      <c r="O1044">
        <v>0</v>
      </c>
      <c r="P1044">
        <v>1</v>
      </c>
      <c r="Q1044">
        <v>0</v>
      </c>
      <c r="R1044">
        <v>0</v>
      </c>
    </row>
    <row r="1045" spans="1:18" x14ac:dyDescent="0.25">
      <c r="A1045" t="s">
        <v>19</v>
      </c>
      <c r="B1045" t="s">
        <v>6</v>
      </c>
      <c r="C1045">
        <v>2</v>
      </c>
      <c r="D1045">
        <v>1</v>
      </c>
      <c r="E1045">
        <v>2</v>
      </c>
      <c r="F1045" s="15">
        <v>46013</v>
      </c>
      <c r="G1045" t="s">
        <v>139</v>
      </c>
      <c r="H1045">
        <v>4</v>
      </c>
      <c r="I1045">
        <v>2025</v>
      </c>
      <c r="J1045">
        <v>12</v>
      </c>
      <c r="K1045" t="s">
        <v>87</v>
      </c>
      <c r="L1045" t="s">
        <v>436</v>
      </c>
      <c r="M1045" t="s">
        <v>8</v>
      </c>
      <c r="N1045" t="b">
        <v>0</v>
      </c>
      <c r="O1045">
        <v>0</v>
      </c>
      <c r="P1045">
        <v>1</v>
      </c>
      <c r="Q1045">
        <v>0</v>
      </c>
      <c r="R1045">
        <v>1</v>
      </c>
    </row>
    <row r="1046" spans="1:18" x14ac:dyDescent="0.25">
      <c r="A1046" t="s">
        <v>19</v>
      </c>
      <c r="B1046" t="s">
        <v>6</v>
      </c>
      <c r="C1046">
        <v>2</v>
      </c>
      <c r="D1046">
        <v>1</v>
      </c>
      <c r="E1046">
        <v>2</v>
      </c>
      <c r="F1046" s="15">
        <v>46013</v>
      </c>
      <c r="G1046" t="s">
        <v>139</v>
      </c>
      <c r="H1046">
        <v>4</v>
      </c>
      <c r="I1046">
        <v>2025</v>
      </c>
      <c r="J1046">
        <v>12</v>
      </c>
      <c r="K1046" t="s">
        <v>87</v>
      </c>
      <c r="L1046" t="s">
        <v>11</v>
      </c>
      <c r="M1046" t="s">
        <v>6</v>
      </c>
      <c r="N1046" t="b">
        <v>0</v>
      </c>
      <c r="O1046">
        <v>0</v>
      </c>
      <c r="P1046">
        <v>1</v>
      </c>
      <c r="Q1046">
        <v>0</v>
      </c>
      <c r="R1046">
        <v>0</v>
      </c>
    </row>
    <row r="1047" spans="1:18" x14ac:dyDescent="0.25">
      <c r="A1047" t="s">
        <v>10</v>
      </c>
      <c r="B1047" t="s">
        <v>6</v>
      </c>
      <c r="C1047">
        <v>3</v>
      </c>
      <c r="D1047">
        <v>1</v>
      </c>
      <c r="E1047">
        <v>2</v>
      </c>
      <c r="F1047" s="15">
        <v>46013</v>
      </c>
      <c r="G1047" t="s">
        <v>139</v>
      </c>
      <c r="H1047">
        <v>4</v>
      </c>
      <c r="I1047">
        <v>2025</v>
      </c>
      <c r="J1047">
        <v>12</v>
      </c>
      <c r="K1047" t="s">
        <v>87</v>
      </c>
      <c r="L1047" t="s">
        <v>19</v>
      </c>
      <c r="M1047" t="s">
        <v>6</v>
      </c>
      <c r="N1047" t="b">
        <v>0</v>
      </c>
      <c r="O1047">
        <v>0</v>
      </c>
      <c r="P1047">
        <v>1</v>
      </c>
      <c r="Q1047">
        <v>0</v>
      </c>
      <c r="R1047">
        <v>0</v>
      </c>
    </row>
    <row r="1048" spans="1:18" x14ac:dyDescent="0.25">
      <c r="A1048" t="s">
        <v>10</v>
      </c>
      <c r="B1048" t="s">
        <v>6</v>
      </c>
      <c r="C1048">
        <v>3</v>
      </c>
      <c r="D1048">
        <v>1</v>
      </c>
      <c r="E1048">
        <v>2</v>
      </c>
      <c r="F1048" s="15">
        <v>46013</v>
      </c>
      <c r="G1048" t="s">
        <v>139</v>
      </c>
      <c r="H1048">
        <v>4</v>
      </c>
      <c r="I1048">
        <v>2025</v>
      </c>
      <c r="J1048">
        <v>12</v>
      </c>
      <c r="K1048" t="s">
        <v>87</v>
      </c>
      <c r="L1048" t="s">
        <v>436</v>
      </c>
      <c r="M1048" t="s">
        <v>8</v>
      </c>
      <c r="N1048" t="b">
        <v>0</v>
      </c>
      <c r="O1048">
        <v>0</v>
      </c>
      <c r="P1048">
        <v>1</v>
      </c>
      <c r="Q1048">
        <v>0</v>
      </c>
      <c r="R1048">
        <v>1</v>
      </c>
    </row>
    <row r="1049" spans="1:18" x14ac:dyDescent="0.25">
      <c r="A1049" t="s">
        <v>10</v>
      </c>
      <c r="B1049" t="s">
        <v>6</v>
      </c>
      <c r="C1049">
        <v>3</v>
      </c>
      <c r="D1049">
        <v>1</v>
      </c>
      <c r="E1049">
        <v>2</v>
      </c>
      <c r="F1049" s="15">
        <v>46013</v>
      </c>
      <c r="G1049" t="s">
        <v>139</v>
      </c>
      <c r="H1049">
        <v>4</v>
      </c>
      <c r="I1049">
        <v>2025</v>
      </c>
      <c r="J1049">
        <v>12</v>
      </c>
      <c r="K1049" t="s">
        <v>87</v>
      </c>
      <c r="L1049" t="s">
        <v>11</v>
      </c>
      <c r="M1049" t="s">
        <v>6</v>
      </c>
      <c r="N1049" t="b">
        <v>0</v>
      </c>
      <c r="O1049">
        <v>0</v>
      </c>
      <c r="P1049">
        <v>1</v>
      </c>
      <c r="Q1049">
        <v>0</v>
      </c>
      <c r="R1049">
        <v>0</v>
      </c>
    </row>
    <row r="1050" spans="1:18" x14ac:dyDescent="0.25">
      <c r="A1050" t="s">
        <v>436</v>
      </c>
      <c r="B1050" t="s">
        <v>8</v>
      </c>
      <c r="C1050">
        <v>1</v>
      </c>
      <c r="D1050">
        <v>1</v>
      </c>
      <c r="E1050">
        <v>2</v>
      </c>
      <c r="F1050" s="15">
        <v>46013</v>
      </c>
      <c r="G1050" t="s">
        <v>139</v>
      </c>
      <c r="H1050">
        <v>4</v>
      </c>
      <c r="I1050">
        <v>2025</v>
      </c>
      <c r="J1050">
        <v>12</v>
      </c>
      <c r="K1050" t="s">
        <v>87</v>
      </c>
      <c r="L1050" t="s">
        <v>19</v>
      </c>
      <c r="M1050" t="s">
        <v>6</v>
      </c>
      <c r="N1050" t="b">
        <v>0</v>
      </c>
      <c r="O1050">
        <v>1</v>
      </c>
      <c r="P1050">
        <v>0</v>
      </c>
      <c r="Q1050">
        <v>0</v>
      </c>
      <c r="R1050">
        <v>0</v>
      </c>
    </row>
    <row r="1051" spans="1:18" x14ac:dyDescent="0.25">
      <c r="A1051" t="s">
        <v>436</v>
      </c>
      <c r="B1051" t="s">
        <v>8</v>
      </c>
      <c r="C1051">
        <v>1</v>
      </c>
      <c r="D1051">
        <v>1</v>
      </c>
      <c r="E1051">
        <v>2</v>
      </c>
      <c r="F1051" s="15">
        <v>46013</v>
      </c>
      <c r="G1051" t="s">
        <v>139</v>
      </c>
      <c r="H1051">
        <v>4</v>
      </c>
      <c r="I1051">
        <v>2025</v>
      </c>
      <c r="J1051">
        <v>12</v>
      </c>
      <c r="K1051" t="s">
        <v>87</v>
      </c>
      <c r="L1051" t="s">
        <v>10</v>
      </c>
      <c r="M1051" t="s">
        <v>6</v>
      </c>
      <c r="N1051" t="b">
        <v>0</v>
      </c>
      <c r="O1051">
        <v>1</v>
      </c>
      <c r="P1051">
        <v>0</v>
      </c>
      <c r="Q1051">
        <v>0</v>
      </c>
      <c r="R1051">
        <v>0</v>
      </c>
    </row>
    <row r="1052" spans="1:18" x14ac:dyDescent="0.25">
      <c r="A1052" t="s">
        <v>436</v>
      </c>
      <c r="B1052" t="s">
        <v>8</v>
      </c>
      <c r="C1052">
        <v>1</v>
      </c>
      <c r="D1052">
        <v>1</v>
      </c>
      <c r="E1052">
        <v>2</v>
      </c>
      <c r="F1052" s="15">
        <v>46013</v>
      </c>
      <c r="G1052" t="s">
        <v>139</v>
      </c>
      <c r="H1052">
        <v>4</v>
      </c>
      <c r="I1052">
        <v>2025</v>
      </c>
      <c r="J1052">
        <v>12</v>
      </c>
      <c r="K1052" t="s">
        <v>87</v>
      </c>
      <c r="L1052" t="s">
        <v>11</v>
      </c>
      <c r="M1052" t="s">
        <v>6</v>
      </c>
      <c r="N1052" t="b">
        <v>0</v>
      </c>
      <c r="O1052">
        <v>1</v>
      </c>
      <c r="P1052">
        <v>0</v>
      </c>
      <c r="Q1052">
        <v>0</v>
      </c>
      <c r="R1052">
        <v>0</v>
      </c>
    </row>
    <row r="1053" spans="1:18" x14ac:dyDescent="0.25">
      <c r="A1053" t="s">
        <v>11</v>
      </c>
      <c r="B1053" t="s">
        <v>6</v>
      </c>
      <c r="C1053">
        <v>4</v>
      </c>
      <c r="D1053">
        <v>1</v>
      </c>
      <c r="E1053">
        <v>2</v>
      </c>
      <c r="F1053" s="15">
        <v>46013</v>
      </c>
      <c r="G1053" t="s">
        <v>139</v>
      </c>
      <c r="H1053">
        <v>4</v>
      </c>
      <c r="I1053">
        <v>2025</v>
      </c>
      <c r="J1053">
        <v>12</v>
      </c>
      <c r="K1053" t="s">
        <v>87</v>
      </c>
      <c r="L1053" t="s">
        <v>19</v>
      </c>
      <c r="M1053" t="s">
        <v>6</v>
      </c>
      <c r="N1053" t="b">
        <v>0</v>
      </c>
      <c r="O1053">
        <v>0</v>
      </c>
      <c r="P1053">
        <v>1</v>
      </c>
      <c r="Q1053">
        <v>0</v>
      </c>
      <c r="R1053">
        <v>0</v>
      </c>
    </row>
    <row r="1054" spans="1:18" x14ac:dyDescent="0.25">
      <c r="A1054" t="s">
        <v>11</v>
      </c>
      <c r="B1054" t="s">
        <v>6</v>
      </c>
      <c r="C1054">
        <v>4</v>
      </c>
      <c r="D1054">
        <v>1</v>
      </c>
      <c r="E1054">
        <v>2</v>
      </c>
      <c r="F1054" s="15">
        <v>46013</v>
      </c>
      <c r="G1054" t="s">
        <v>139</v>
      </c>
      <c r="H1054">
        <v>4</v>
      </c>
      <c r="I1054">
        <v>2025</v>
      </c>
      <c r="J1054">
        <v>12</v>
      </c>
      <c r="K1054" t="s">
        <v>87</v>
      </c>
      <c r="L1054" t="s">
        <v>10</v>
      </c>
      <c r="M1054" t="s">
        <v>6</v>
      </c>
      <c r="N1054" t="b">
        <v>0</v>
      </c>
      <c r="O1054">
        <v>0</v>
      </c>
      <c r="P1054">
        <v>1</v>
      </c>
      <c r="Q1054">
        <v>0</v>
      </c>
      <c r="R1054">
        <v>0</v>
      </c>
    </row>
    <row r="1055" spans="1:18" x14ac:dyDescent="0.25">
      <c r="A1055" t="s">
        <v>11</v>
      </c>
      <c r="B1055" t="s">
        <v>6</v>
      </c>
      <c r="C1055">
        <v>4</v>
      </c>
      <c r="D1055">
        <v>1</v>
      </c>
      <c r="E1055">
        <v>2</v>
      </c>
      <c r="F1055" s="15">
        <v>46013</v>
      </c>
      <c r="G1055" t="s">
        <v>139</v>
      </c>
      <c r="H1055">
        <v>4</v>
      </c>
      <c r="I1055">
        <v>2025</v>
      </c>
      <c r="J1055">
        <v>12</v>
      </c>
      <c r="K1055" t="s">
        <v>87</v>
      </c>
      <c r="L1055" t="s">
        <v>436</v>
      </c>
      <c r="M1055" t="s">
        <v>8</v>
      </c>
      <c r="N1055" t="b">
        <v>0</v>
      </c>
      <c r="O1055">
        <v>0</v>
      </c>
      <c r="P1055">
        <v>1</v>
      </c>
      <c r="Q1055">
        <v>0</v>
      </c>
      <c r="R1055">
        <v>1</v>
      </c>
    </row>
    <row r="1056" spans="1:18" x14ac:dyDescent="0.25">
      <c r="A1056" t="s">
        <v>19</v>
      </c>
      <c r="B1056" t="s">
        <v>8</v>
      </c>
      <c r="C1056">
        <v>4</v>
      </c>
      <c r="D1056">
        <v>2</v>
      </c>
      <c r="E1056">
        <v>1</v>
      </c>
      <c r="F1056" s="15">
        <v>45908</v>
      </c>
      <c r="G1056" t="s">
        <v>148</v>
      </c>
      <c r="H1056">
        <v>4</v>
      </c>
      <c r="I1056">
        <v>2025</v>
      </c>
      <c r="J1056">
        <v>9</v>
      </c>
      <c r="K1056" t="s">
        <v>87</v>
      </c>
      <c r="L1056" t="s">
        <v>10</v>
      </c>
      <c r="M1056" t="s">
        <v>6</v>
      </c>
      <c r="N1056" t="b">
        <v>0</v>
      </c>
      <c r="O1056">
        <v>1</v>
      </c>
      <c r="P1056">
        <v>0</v>
      </c>
      <c r="Q1056">
        <v>0</v>
      </c>
      <c r="R1056">
        <v>0</v>
      </c>
    </row>
    <row r="1057" spans="1:18" x14ac:dyDescent="0.25">
      <c r="A1057" t="s">
        <v>19</v>
      </c>
      <c r="B1057" t="s">
        <v>8</v>
      </c>
      <c r="C1057">
        <v>4</v>
      </c>
      <c r="D1057">
        <v>2</v>
      </c>
      <c r="E1057">
        <v>1</v>
      </c>
      <c r="F1057" s="15">
        <v>45908</v>
      </c>
      <c r="G1057" t="s">
        <v>148</v>
      </c>
      <c r="H1057">
        <v>4</v>
      </c>
      <c r="I1057">
        <v>2025</v>
      </c>
      <c r="J1057">
        <v>9</v>
      </c>
      <c r="K1057" t="s">
        <v>87</v>
      </c>
      <c r="L1057" t="s">
        <v>20</v>
      </c>
      <c r="M1057" t="s">
        <v>6</v>
      </c>
      <c r="N1057" t="b">
        <v>0</v>
      </c>
      <c r="O1057">
        <v>1</v>
      </c>
      <c r="P1057">
        <v>0</v>
      </c>
      <c r="Q1057">
        <v>0</v>
      </c>
      <c r="R1057">
        <v>0</v>
      </c>
    </row>
    <row r="1058" spans="1:18" x14ac:dyDescent="0.25">
      <c r="A1058" t="s">
        <v>19</v>
      </c>
      <c r="B1058" t="s">
        <v>8</v>
      </c>
      <c r="C1058">
        <v>4</v>
      </c>
      <c r="D1058">
        <v>2</v>
      </c>
      <c r="E1058">
        <v>1</v>
      </c>
      <c r="F1058" s="15">
        <v>45908</v>
      </c>
      <c r="G1058" t="s">
        <v>148</v>
      </c>
      <c r="H1058">
        <v>4</v>
      </c>
      <c r="I1058">
        <v>2025</v>
      </c>
      <c r="J1058">
        <v>9</v>
      </c>
      <c r="K1058" t="s">
        <v>87</v>
      </c>
      <c r="L1058" t="s">
        <v>352</v>
      </c>
      <c r="M1058" t="s">
        <v>6</v>
      </c>
      <c r="N1058" t="b">
        <v>0</v>
      </c>
      <c r="O1058">
        <v>1</v>
      </c>
      <c r="P1058">
        <v>0</v>
      </c>
      <c r="Q1058">
        <v>0</v>
      </c>
      <c r="R1058">
        <v>0</v>
      </c>
    </row>
    <row r="1059" spans="1:18" x14ac:dyDescent="0.25">
      <c r="A1059" t="s">
        <v>10</v>
      </c>
      <c r="B1059" t="s">
        <v>6</v>
      </c>
      <c r="C1059">
        <v>2</v>
      </c>
      <c r="D1059">
        <v>2</v>
      </c>
      <c r="E1059">
        <v>1</v>
      </c>
      <c r="F1059" s="15">
        <v>45908</v>
      </c>
      <c r="G1059" t="s">
        <v>148</v>
      </c>
      <c r="H1059">
        <v>4</v>
      </c>
      <c r="I1059">
        <v>2025</v>
      </c>
      <c r="J1059">
        <v>9</v>
      </c>
      <c r="K1059" t="s">
        <v>87</v>
      </c>
      <c r="L1059" t="s">
        <v>19</v>
      </c>
      <c r="M1059" t="s">
        <v>8</v>
      </c>
      <c r="N1059" t="b">
        <v>0</v>
      </c>
      <c r="O1059">
        <v>0</v>
      </c>
      <c r="P1059">
        <v>1</v>
      </c>
      <c r="Q1059">
        <v>0</v>
      </c>
      <c r="R1059">
        <v>1</v>
      </c>
    </row>
    <row r="1060" spans="1:18" x14ac:dyDescent="0.25">
      <c r="A1060" t="s">
        <v>10</v>
      </c>
      <c r="B1060" t="s">
        <v>6</v>
      </c>
      <c r="C1060">
        <v>2</v>
      </c>
      <c r="D1060">
        <v>2</v>
      </c>
      <c r="E1060">
        <v>1</v>
      </c>
      <c r="F1060" s="15">
        <v>45908</v>
      </c>
      <c r="G1060" t="s">
        <v>148</v>
      </c>
      <c r="H1060">
        <v>4</v>
      </c>
      <c r="I1060">
        <v>2025</v>
      </c>
      <c r="J1060">
        <v>9</v>
      </c>
      <c r="K1060" t="s">
        <v>87</v>
      </c>
      <c r="L1060" t="s">
        <v>20</v>
      </c>
      <c r="M1060" t="s">
        <v>6</v>
      </c>
      <c r="N1060" t="b">
        <v>0</v>
      </c>
      <c r="O1060">
        <v>0</v>
      </c>
      <c r="P1060">
        <v>1</v>
      </c>
      <c r="Q1060">
        <v>0</v>
      </c>
      <c r="R1060">
        <v>0</v>
      </c>
    </row>
    <row r="1061" spans="1:18" x14ac:dyDescent="0.25">
      <c r="A1061" t="s">
        <v>10</v>
      </c>
      <c r="B1061" t="s">
        <v>6</v>
      </c>
      <c r="C1061">
        <v>2</v>
      </c>
      <c r="D1061">
        <v>2</v>
      </c>
      <c r="E1061">
        <v>1</v>
      </c>
      <c r="F1061" s="15">
        <v>45908</v>
      </c>
      <c r="G1061" t="s">
        <v>148</v>
      </c>
      <c r="H1061">
        <v>4</v>
      </c>
      <c r="I1061">
        <v>2025</v>
      </c>
      <c r="J1061">
        <v>9</v>
      </c>
      <c r="K1061" t="s">
        <v>87</v>
      </c>
      <c r="L1061" t="s">
        <v>352</v>
      </c>
      <c r="M1061" t="s">
        <v>6</v>
      </c>
      <c r="N1061" t="b">
        <v>0</v>
      </c>
      <c r="O1061">
        <v>0</v>
      </c>
      <c r="P1061">
        <v>1</v>
      </c>
      <c r="Q1061">
        <v>0</v>
      </c>
      <c r="R1061">
        <v>0</v>
      </c>
    </row>
    <row r="1062" spans="1:18" x14ac:dyDescent="0.25">
      <c r="A1062" t="s">
        <v>20</v>
      </c>
      <c r="B1062" t="s">
        <v>6</v>
      </c>
      <c r="C1062">
        <v>1</v>
      </c>
      <c r="D1062">
        <v>2</v>
      </c>
      <c r="E1062">
        <v>1</v>
      </c>
      <c r="F1062" s="15">
        <v>45908</v>
      </c>
      <c r="G1062" t="s">
        <v>148</v>
      </c>
      <c r="H1062">
        <v>4</v>
      </c>
      <c r="I1062">
        <v>2025</v>
      </c>
      <c r="J1062">
        <v>9</v>
      </c>
      <c r="K1062" t="s">
        <v>87</v>
      </c>
      <c r="L1062" t="s">
        <v>19</v>
      </c>
      <c r="M1062" t="s">
        <v>8</v>
      </c>
      <c r="N1062" t="b">
        <v>0</v>
      </c>
      <c r="O1062">
        <v>0</v>
      </c>
      <c r="P1062">
        <v>1</v>
      </c>
      <c r="Q1062">
        <v>0</v>
      </c>
      <c r="R1062">
        <v>1</v>
      </c>
    </row>
    <row r="1063" spans="1:18" x14ac:dyDescent="0.25">
      <c r="A1063" t="s">
        <v>20</v>
      </c>
      <c r="B1063" t="s">
        <v>6</v>
      </c>
      <c r="C1063">
        <v>1</v>
      </c>
      <c r="D1063">
        <v>2</v>
      </c>
      <c r="E1063">
        <v>1</v>
      </c>
      <c r="F1063" s="15">
        <v>45908</v>
      </c>
      <c r="G1063" t="s">
        <v>148</v>
      </c>
      <c r="H1063">
        <v>4</v>
      </c>
      <c r="I1063">
        <v>2025</v>
      </c>
      <c r="J1063">
        <v>9</v>
      </c>
      <c r="K1063" t="s">
        <v>87</v>
      </c>
      <c r="L1063" t="s">
        <v>10</v>
      </c>
      <c r="M1063" t="s">
        <v>6</v>
      </c>
      <c r="N1063" t="b">
        <v>0</v>
      </c>
      <c r="O1063">
        <v>0</v>
      </c>
      <c r="P1063">
        <v>1</v>
      </c>
      <c r="Q1063">
        <v>0</v>
      </c>
      <c r="R1063">
        <v>0</v>
      </c>
    </row>
    <row r="1064" spans="1:18" x14ac:dyDescent="0.25">
      <c r="A1064" t="s">
        <v>20</v>
      </c>
      <c r="B1064" t="s">
        <v>6</v>
      </c>
      <c r="C1064">
        <v>1</v>
      </c>
      <c r="D1064">
        <v>2</v>
      </c>
      <c r="E1064">
        <v>1</v>
      </c>
      <c r="F1064" s="15">
        <v>45908</v>
      </c>
      <c r="G1064" t="s">
        <v>148</v>
      </c>
      <c r="H1064">
        <v>4</v>
      </c>
      <c r="I1064">
        <v>2025</v>
      </c>
      <c r="J1064">
        <v>9</v>
      </c>
      <c r="K1064" t="s">
        <v>87</v>
      </c>
      <c r="L1064" t="s">
        <v>352</v>
      </c>
      <c r="M1064" t="s">
        <v>6</v>
      </c>
      <c r="N1064" t="b">
        <v>0</v>
      </c>
      <c r="O1064">
        <v>0</v>
      </c>
      <c r="P1064">
        <v>1</v>
      </c>
      <c r="Q1064">
        <v>0</v>
      </c>
      <c r="R1064">
        <v>0</v>
      </c>
    </row>
    <row r="1065" spans="1:18" x14ac:dyDescent="0.25">
      <c r="A1065" t="s">
        <v>352</v>
      </c>
      <c r="B1065" t="s">
        <v>6</v>
      </c>
      <c r="C1065">
        <v>3</v>
      </c>
      <c r="D1065">
        <v>2</v>
      </c>
      <c r="E1065">
        <v>1</v>
      </c>
      <c r="F1065" s="15">
        <v>45908</v>
      </c>
      <c r="G1065" t="s">
        <v>148</v>
      </c>
      <c r="H1065">
        <v>4</v>
      </c>
      <c r="I1065">
        <v>2025</v>
      </c>
      <c r="J1065">
        <v>9</v>
      </c>
      <c r="K1065" t="s">
        <v>87</v>
      </c>
      <c r="L1065" t="s">
        <v>19</v>
      </c>
      <c r="M1065" t="s">
        <v>8</v>
      </c>
      <c r="N1065" t="b">
        <v>0</v>
      </c>
      <c r="O1065">
        <v>0</v>
      </c>
      <c r="P1065">
        <v>1</v>
      </c>
      <c r="Q1065">
        <v>0</v>
      </c>
      <c r="R1065">
        <v>1</v>
      </c>
    </row>
    <row r="1066" spans="1:18" x14ac:dyDescent="0.25">
      <c r="A1066" t="s">
        <v>352</v>
      </c>
      <c r="B1066" t="s">
        <v>6</v>
      </c>
      <c r="C1066">
        <v>3</v>
      </c>
      <c r="D1066">
        <v>2</v>
      </c>
      <c r="E1066">
        <v>1</v>
      </c>
      <c r="F1066" s="15">
        <v>45908</v>
      </c>
      <c r="G1066" t="s">
        <v>148</v>
      </c>
      <c r="H1066">
        <v>4</v>
      </c>
      <c r="I1066">
        <v>2025</v>
      </c>
      <c r="J1066">
        <v>9</v>
      </c>
      <c r="K1066" t="s">
        <v>87</v>
      </c>
      <c r="L1066" t="s">
        <v>10</v>
      </c>
      <c r="M1066" t="s">
        <v>6</v>
      </c>
      <c r="N1066" t="b">
        <v>0</v>
      </c>
      <c r="O1066">
        <v>0</v>
      </c>
      <c r="P1066">
        <v>1</v>
      </c>
      <c r="Q1066">
        <v>0</v>
      </c>
      <c r="R1066">
        <v>0</v>
      </c>
    </row>
    <row r="1067" spans="1:18" x14ac:dyDescent="0.25">
      <c r="A1067" t="s">
        <v>352</v>
      </c>
      <c r="B1067" t="s">
        <v>6</v>
      </c>
      <c r="C1067">
        <v>3</v>
      </c>
      <c r="D1067">
        <v>2</v>
      </c>
      <c r="E1067">
        <v>1</v>
      </c>
      <c r="F1067" s="15">
        <v>45908</v>
      </c>
      <c r="G1067" t="s">
        <v>148</v>
      </c>
      <c r="H1067">
        <v>4</v>
      </c>
      <c r="I1067">
        <v>2025</v>
      </c>
      <c r="J1067">
        <v>9</v>
      </c>
      <c r="K1067" t="s">
        <v>87</v>
      </c>
      <c r="L1067" t="s">
        <v>20</v>
      </c>
      <c r="M1067" t="s">
        <v>6</v>
      </c>
      <c r="N1067" t="b">
        <v>0</v>
      </c>
      <c r="O1067">
        <v>0</v>
      </c>
      <c r="P1067">
        <v>1</v>
      </c>
      <c r="Q1067">
        <v>0</v>
      </c>
      <c r="R1067">
        <v>0</v>
      </c>
    </row>
    <row r="1068" spans="1:18" x14ac:dyDescent="0.25">
      <c r="A1068" t="s">
        <v>19</v>
      </c>
      <c r="B1068" t="s">
        <v>6</v>
      </c>
      <c r="C1068">
        <v>2</v>
      </c>
      <c r="D1068">
        <v>2</v>
      </c>
      <c r="E1068">
        <v>1</v>
      </c>
      <c r="F1068" s="15">
        <v>45915</v>
      </c>
      <c r="G1068" t="s">
        <v>149</v>
      </c>
      <c r="H1068">
        <v>3</v>
      </c>
      <c r="I1068">
        <v>2025</v>
      </c>
      <c r="J1068">
        <v>9</v>
      </c>
      <c r="K1068" t="s">
        <v>87</v>
      </c>
      <c r="L1068" t="s">
        <v>20</v>
      </c>
      <c r="M1068" t="s">
        <v>8</v>
      </c>
      <c r="N1068" t="b">
        <v>0</v>
      </c>
      <c r="O1068">
        <v>0</v>
      </c>
      <c r="P1068">
        <v>1</v>
      </c>
      <c r="Q1068">
        <v>0</v>
      </c>
      <c r="R1068">
        <v>1</v>
      </c>
    </row>
    <row r="1069" spans="1:18" x14ac:dyDescent="0.25">
      <c r="A1069" t="s">
        <v>19</v>
      </c>
      <c r="B1069" t="s">
        <v>6</v>
      </c>
      <c r="C1069">
        <v>2</v>
      </c>
      <c r="D1069">
        <v>2</v>
      </c>
      <c r="E1069">
        <v>1</v>
      </c>
      <c r="F1069" s="15">
        <v>45915</v>
      </c>
      <c r="G1069" t="s">
        <v>149</v>
      </c>
      <c r="H1069">
        <v>3</v>
      </c>
      <c r="I1069">
        <v>2025</v>
      </c>
      <c r="J1069">
        <v>9</v>
      </c>
      <c r="K1069" t="s">
        <v>87</v>
      </c>
      <c r="L1069" t="s">
        <v>9</v>
      </c>
      <c r="M1069" t="s">
        <v>6</v>
      </c>
      <c r="N1069" t="b">
        <v>0</v>
      </c>
      <c r="O1069">
        <v>0</v>
      </c>
      <c r="P1069">
        <v>1</v>
      </c>
      <c r="Q1069">
        <v>0</v>
      </c>
      <c r="R1069">
        <v>0</v>
      </c>
    </row>
    <row r="1070" spans="1:18" x14ac:dyDescent="0.25">
      <c r="A1070" t="s">
        <v>20</v>
      </c>
      <c r="B1070" t="s">
        <v>8</v>
      </c>
      <c r="C1070">
        <v>1</v>
      </c>
      <c r="D1070">
        <v>2</v>
      </c>
      <c r="E1070">
        <v>1</v>
      </c>
      <c r="F1070" s="15">
        <v>45915</v>
      </c>
      <c r="G1070" t="s">
        <v>149</v>
      </c>
      <c r="H1070">
        <v>3</v>
      </c>
      <c r="I1070">
        <v>2025</v>
      </c>
      <c r="J1070">
        <v>9</v>
      </c>
      <c r="K1070" t="s">
        <v>87</v>
      </c>
      <c r="L1070" t="s">
        <v>19</v>
      </c>
      <c r="M1070" t="s">
        <v>6</v>
      </c>
      <c r="N1070" t="b">
        <v>0</v>
      </c>
      <c r="O1070">
        <v>1</v>
      </c>
      <c r="P1070">
        <v>0</v>
      </c>
      <c r="Q1070">
        <v>0</v>
      </c>
      <c r="R1070">
        <v>0</v>
      </c>
    </row>
    <row r="1071" spans="1:18" x14ac:dyDescent="0.25">
      <c r="A1071" t="s">
        <v>20</v>
      </c>
      <c r="B1071" t="s">
        <v>8</v>
      </c>
      <c r="C1071">
        <v>1</v>
      </c>
      <c r="D1071">
        <v>2</v>
      </c>
      <c r="E1071">
        <v>1</v>
      </c>
      <c r="F1071" s="15">
        <v>45915</v>
      </c>
      <c r="G1071" t="s">
        <v>149</v>
      </c>
      <c r="H1071">
        <v>3</v>
      </c>
      <c r="I1071">
        <v>2025</v>
      </c>
      <c r="J1071">
        <v>9</v>
      </c>
      <c r="K1071" t="s">
        <v>87</v>
      </c>
      <c r="L1071" t="s">
        <v>9</v>
      </c>
      <c r="M1071" t="s">
        <v>6</v>
      </c>
      <c r="N1071" t="b">
        <v>0</v>
      </c>
      <c r="O1071">
        <v>1</v>
      </c>
      <c r="P1071">
        <v>0</v>
      </c>
      <c r="Q1071">
        <v>0</v>
      </c>
      <c r="R1071">
        <v>0</v>
      </c>
    </row>
    <row r="1072" spans="1:18" x14ac:dyDescent="0.25">
      <c r="A1072" t="s">
        <v>9</v>
      </c>
      <c r="B1072" t="s">
        <v>6</v>
      </c>
      <c r="C1072">
        <v>3</v>
      </c>
      <c r="D1072">
        <v>2</v>
      </c>
      <c r="E1072">
        <v>1</v>
      </c>
      <c r="F1072" s="15">
        <v>45915</v>
      </c>
      <c r="G1072" t="s">
        <v>149</v>
      </c>
      <c r="H1072">
        <v>3</v>
      </c>
      <c r="I1072">
        <v>2025</v>
      </c>
      <c r="J1072">
        <v>9</v>
      </c>
      <c r="K1072" t="s">
        <v>87</v>
      </c>
      <c r="L1072" t="s">
        <v>19</v>
      </c>
      <c r="M1072" t="s">
        <v>6</v>
      </c>
      <c r="N1072" t="b">
        <v>0</v>
      </c>
      <c r="O1072">
        <v>0</v>
      </c>
      <c r="P1072">
        <v>1</v>
      </c>
      <c r="Q1072">
        <v>0</v>
      </c>
      <c r="R1072">
        <v>0</v>
      </c>
    </row>
    <row r="1073" spans="1:18" x14ac:dyDescent="0.25">
      <c r="A1073" t="s">
        <v>9</v>
      </c>
      <c r="B1073" t="s">
        <v>6</v>
      </c>
      <c r="C1073">
        <v>3</v>
      </c>
      <c r="D1073">
        <v>2</v>
      </c>
      <c r="E1073">
        <v>1</v>
      </c>
      <c r="F1073" s="15">
        <v>45915</v>
      </c>
      <c r="G1073" t="s">
        <v>149</v>
      </c>
      <c r="H1073">
        <v>3</v>
      </c>
      <c r="I1073">
        <v>2025</v>
      </c>
      <c r="J1073">
        <v>9</v>
      </c>
      <c r="K1073" t="s">
        <v>87</v>
      </c>
      <c r="L1073" t="s">
        <v>20</v>
      </c>
      <c r="M1073" t="s">
        <v>8</v>
      </c>
      <c r="N1073" t="b">
        <v>0</v>
      </c>
      <c r="O1073">
        <v>0</v>
      </c>
      <c r="P1073">
        <v>1</v>
      </c>
      <c r="Q1073">
        <v>0</v>
      </c>
      <c r="R1073">
        <v>1</v>
      </c>
    </row>
    <row r="1074" spans="1:18" x14ac:dyDescent="0.25">
      <c r="A1074" t="s">
        <v>19</v>
      </c>
      <c r="B1074" t="s">
        <v>6</v>
      </c>
      <c r="C1074">
        <v>3</v>
      </c>
      <c r="D1074">
        <v>2</v>
      </c>
      <c r="E1074">
        <v>1</v>
      </c>
      <c r="F1074" s="15">
        <v>45992</v>
      </c>
      <c r="G1074" t="s">
        <v>160</v>
      </c>
      <c r="H1074">
        <v>3</v>
      </c>
      <c r="I1074">
        <v>2025</v>
      </c>
      <c r="J1074">
        <v>12</v>
      </c>
      <c r="K1074" t="s">
        <v>87</v>
      </c>
      <c r="L1074" t="s">
        <v>13</v>
      </c>
      <c r="M1074" t="s">
        <v>6</v>
      </c>
      <c r="N1074" t="b">
        <v>0</v>
      </c>
      <c r="O1074">
        <v>0</v>
      </c>
      <c r="P1074">
        <v>1</v>
      </c>
      <c r="Q1074">
        <v>0</v>
      </c>
      <c r="R1074">
        <v>0</v>
      </c>
    </row>
    <row r="1075" spans="1:18" x14ac:dyDescent="0.25">
      <c r="A1075" t="s">
        <v>19</v>
      </c>
      <c r="B1075" t="s">
        <v>6</v>
      </c>
      <c r="C1075">
        <v>3</v>
      </c>
      <c r="D1075">
        <v>2</v>
      </c>
      <c r="E1075">
        <v>1</v>
      </c>
      <c r="F1075" s="15">
        <v>45992</v>
      </c>
      <c r="G1075" t="s">
        <v>160</v>
      </c>
      <c r="H1075">
        <v>3</v>
      </c>
      <c r="I1075">
        <v>2025</v>
      </c>
      <c r="J1075">
        <v>12</v>
      </c>
      <c r="K1075" t="s">
        <v>87</v>
      </c>
      <c r="L1075" t="s">
        <v>28</v>
      </c>
      <c r="M1075" t="s">
        <v>8</v>
      </c>
      <c r="N1075" t="b">
        <v>0</v>
      </c>
      <c r="O1075">
        <v>0</v>
      </c>
      <c r="P1075">
        <v>1</v>
      </c>
      <c r="Q1075">
        <v>0</v>
      </c>
      <c r="R1075">
        <v>1</v>
      </c>
    </row>
    <row r="1076" spans="1:18" x14ac:dyDescent="0.25">
      <c r="A1076" t="s">
        <v>13</v>
      </c>
      <c r="B1076" t="s">
        <v>6</v>
      </c>
      <c r="C1076">
        <v>2</v>
      </c>
      <c r="D1076">
        <v>2</v>
      </c>
      <c r="E1076">
        <v>1</v>
      </c>
      <c r="F1076" s="15">
        <v>45992</v>
      </c>
      <c r="G1076" t="s">
        <v>160</v>
      </c>
      <c r="H1076">
        <v>3</v>
      </c>
      <c r="I1076">
        <v>2025</v>
      </c>
      <c r="J1076">
        <v>12</v>
      </c>
      <c r="K1076" t="s">
        <v>87</v>
      </c>
      <c r="L1076" t="s">
        <v>19</v>
      </c>
      <c r="M1076" t="s">
        <v>6</v>
      </c>
      <c r="N1076" t="b">
        <v>0</v>
      </c>
      <c r="O1076">
        <v>0</v>
      </c>
      <c r="P1076">
        <v>1</v>
      </c>
      <c r="Q1076">
        <v>0</v>
      </c>
      <c r="R1076">
        <v>0</v>
      </c>
    </row>
    <row r="1077" spans="1:18" x14ac:dyDescent="0.25">
      <c r="A1077" t="s">
        <v>13</v>
      </c>
      <c r="B1077" t="s">
        <v>6</v>
      </c>
      <c r="C1077">
        <v>2</v>
      </c>
      <c r="D1077">
        <v>2</v>
      </c>
      <c r="E1077">
        <v>1</v>
      </c>
      <c r="F1077" s="15">
        <v>45992</v>
      </c>
      <c r="G1077" t="s">
        <v>160</v>
      </c>
      <c r="H1077">
        <v>3</v>
      </c>
      <c r="I1077">
        <v>2025</v>
      </c>
      <c r="J1077">
        <v>12</v>
      </c>
      <c r="K1077" t="s">
        <v>87</v>
      </c>
      <c r="L1077" t="s">
        <v>28</v>
      </c>
      <c r="M1077" t="s">
        <v>8</v>
      </c>
      <c r="N1077" t="b">
        <v>0</v>
      </c>
      <c r="O1077">
        <v>0</v>
      </c>
      <c r="P1077">
        <v>1</v>
      </c>
      <c r="Q1077">
        <v>0</v>
      </c>
      <c r="R1077">
        <v>1</v>
      </c>
    </row>
    <row r="1078" spans="1:18" x14ac:dyDescent="0.25">
      <c r="A1078" t="s">
        <v>28</v>
      </c>
      <c r="B1078" t="s">
        <v>8</v>
      </c>
      <c r="C1078">
        <v>1</v>
      </c>
      <c r="D1078">
        <v>2</v>
      </c>
      <c r="E1078">
        <v>1</v>
      </c>
      <c r="F1078" s="15">
        <v>45992</v>
      </c>
      <c r="G1078" t="s">
        <v>160</v>
      </c>
      <c r="H1078">
        <v>3</v>
      </c>
      <c r="I1078">
        <v>2025</v>
      </c>
      <c r="J1078">
        <v>12</v>
      </c>
      <c r="K1078" t="s">
        <v>87</v>
      </c>
      <c r="L1078" t="s">
        <v>19</v>
      </c>
      <c r="M1078" t="s">
        <v>6</v>
      </c>
      <c r="N1078" t="b">
        <v>0</v>
      </c>
      <c r="O1078">
        <v>1</v>
      </c>
      <c r="P1078">
        <v>0</v>
      </c>
      <c r="Q1078">
        <v>0</v>
      </c>
      <c r="R1078">
        <v>0</v>
      </c>
    </row>
    <row r="1079" spans="1:18" x14ac:dyDescent="0.25">
      <c r="A1079" t="s">
        <v>28</v>
      </c>
      <c r="B1079" t="s">
        <v>8</v>
      </c>
      <c r="C1079">
        <v>1</v>
      </c>
      <c r="D1079">
        <v>2</v>
      </c>
      <c r="E1079">
        <v>1</v>
      </c>
      <c r="F1079" s="15">
        <v>45992</v>
      </c>
      <c r="G1079" t="s">
        <v>160</v>
      </c>
      <c r="H1079">
        <v>3</v>
      </c>
      <c r="I1079">
        <v>2025</v>
      </c>
      <c r="J1079">
        <v>12</v>
      </c>
      <c r="K1079" t="s">
        <v>87</v>
      </c>
      <c r="L1079" t="s">
        <v>13</v>
      </c>
      <c r="M1079" t="s">
        <v>6</v>
      </c>
      <c r="N1079" t="b">
        <v>0</v>
      </c>
      <c r="O1079">
        <v>1</v>
      </c>
      <c r="P1079">
        <v>0</v>
      </c>
      <c r="Q1079">
        <v>0</v>
      </c>
      <c r="R1079">
        <v>0</v>
      </c>
    </row>
    <row r="1080" spans="1:18" x14ac:dyDescent="0.25">
      <c r="A1080" t="s">
        <v>19</v>
      </c>
      <c r="B1080" t="s">
        <v>6</v>
      </c>
      <c r="C1080">
        <v>4</v>
      </c>
      <c r="D1080">
        <v>2</v>
      </c>
      <c r="E1080">
        <v>2</v>
      </c>
      <c r="F1080" s="15">
        <v>45880</v>
      </c>
      <c r="G1080" t="s">
        <v>169</v>
      </c>
      <c r="H1080">
        <v>4</v>
      </c>
      <c r="I1080">
        <v>2025</v>
      </c>
      <c r="J1080">
        <v>8</v>
      </c>
      <c r="K1080" t="s">
        <v>87</v>
      </c>
      <c r="L1080" t="s">
        <v>41</v>
      </c>
      <c r="M1080" t="s">
        <v>8</v>
      </c>
      <c r="N1080" t="b">
        <v>0</v>
      </c>
      <c r="O1080">
        <v>0</v>
      </c>
      <c r="P1080">
        <v>1</v>
      </c>
      <c r="Q1080">
        <v>0</v>
      </c>
      <c r="R1080">
        <v>1</v>
      </c>
    </row>
    <row r="1081" spans="1:18" x14ac:dyDescent="0.25">
      <c r="A1081" t="s">
        <v>19</v>
      </c>
      <c r="B1081" t="s">
        <v>6</v>
      </c>
      <c r="C1081">
        <v>4</v>
      </c>
      <c r="D1081">
        <v>2</v>
      </c>
      <c r="E1081">
        <v>2</v>
      </c>
      <c r="F1081" s="15">
        <v>45880</v>
      </c>
      <c r="G1081" t="s">
        <v>169</v>
      </c>
      <c r="H1081">
        <v>4</v>
      </c>
      <c r="I1081">
        <v>2025</v>
      </c>
      <c r="J1081">
        <v>8</v>
      </c>
      <c r="K1081" t="s">
        <v>87</v>
      </c>
      <c r="L1081" t="s">
        <v>44</v>
      </c>
      <c r="M1081" t="s">
        <v>6</v>
      </c>
      <c r="N1081" t="b">
        <v>0</v>
      </c>
      <c r="O1081">
        <v>0</v>
      </c>
      <c r="P1081">
        <v>1</v>
      </c>
      <c r="Q1081">
        <v>0</v>
      </c>
      <c r="R1081">
        <v>0</v>
      </c>
    </row>
    <row r="1082" spans="1:18" x14ac:dyDescent="0.25">
      <c r="A1082" t="s">
        <v>19</v>
      </c>
      <c r="B1082" t="s">
        <v>6</v>
      </c>
      <c r="C1082">
        <v>4</v>
      </c>
      <c r="D1082">
        <v>2</v>
      </c>
      <c r="E1082">
        <v>2</v>
      </c>
      <c r="F1082" s="15">
        <v>45880</v>
      </c>
      <c r="G1082" t="s">
        <v>169</v>
      </c>
      <c r="H1082">
        <v>4</v>
      </c>
      <c r="I1082">
        <v>2025</v>
      </c>
      <c r="J1082">
        <v>8</v>
      </c>
      <c r="K1082" t="s">
        <v>87</v>
      </c>
      <c r="L1082" t="s">
        <v>9</v>
      </c>
      <c r="M1082" t="s">
        <v>6</v>
      </c>
      <c r="N1082" t="b">
        <v>0</v>
      </c>
      <c r="O1082">
        <v>0</v>
      </c>
      <c r="P1082">
        <v>1</v>
      </c>
      <c r="Q1082">
        <v>0</v>
      </c>
      <c r="R1082">
        <v>0</v>
      </c>
    </row>
    <row r="1083" spans="1:18" x14ac:dyDescent="0.25">
      <c r="A1083" t="s">
        <v>41</v>
      </c>
      <c r="B1083" t="s">
        <v>8</v>
      </c>
      <c r="C1083">
        <v>3</v>
      </c>
      <c r="D1083">
        <v>2</v>
      </c>
      <c r="E1083">
        <v>2</v>
      </c>
      <c r="F1083" s="15">
        <v>45880</v>
      </c>
      <c r="G1083" t="s">
        <v>169</v>
      </c>
      <c r="H1083">
        <v>4</v>
      </c>
      <c r="I1083">
        <v>2025</v>
      </c>
      <c r="J1083">
        <v>8</v>
      </c>
      <c r="K1083" t="s">
        <v>87</v>
      </c>
      <c r="L1083" t="s">
        <v>19</v>
      </c>
      <c r="M1083" t="s">
        <v>6</v>
      </c>
      <c r="N1083" t="b">
        <v>0</v>
      </c>
      <c r="O1083">
        <v>1</v>
      </c>
      <c r="P1083">
        <v>0</v>
      </c>
      <c r="Q1083">
        <v>0</v>
      </c>
      <c r="R1083">
        <v>0</v>
      </c>
    </row>
    <row r="1084" spans="1:18" x14ac:dyDescent="0.25">
      <c r="A1084" t="s">
        <v>41</v>
      </c>
      <c r="B1084" t="s">
        <v>8</v>
      </c>
      <c r="C1084">
        <v>3</v>
      </c>
      <c r="D1084">
        <v>2</v>
      </c>
      <c r="E1084">
        <v>2</v>
      </c>
      <c r="F1084" s="15">
        <v>45880</v>
      </c>
      <c r="G1084" t="s">
        <v>169</v>
      </c>
      <c r="H1084">
        <v>4</v>
      </c>
      <c r="I1084">
        <v>2025</v>
      </c>
      <c r="J1084">
        <v>8</v>
      </c>
      <c r="K1084" t="s">
        <v>87</v>
      </c>
      <c r="L1084" t="s">
        <v>44</v>
      </c>
      <c r="M1084" t="s">
        <v>6</v>
      </c>
      <c r="N1084" t="b">
        <v>0</v>
      </c>
      <c r="O1084">
        <v>1</v>
      </c>
      <c r="P1084">
        <v>0</v>
      </c>
      <c r="Q1084">
        <v>0</v>
      </c>
      <c r="R1084">
        <v>0</v>
      </c>
    </row>
    <row r="1085" spans="1:18" x14ac:dyDescent="0.25">
      <c r="A1085" t="s">
        <v>41</v>
      </c>
      <c r="B1085" t="s">
        <v>8</v>
      </c>
      <c r="C1085">
        <v>3</v>
      </c>
      <c r="D1085">
        <v>2</v>
      </c>
      <c r="E1085">
        <v>2</v>
      </c>
      <c r="F1085" s="15">
        <v>45880</v>
      </c>
      <c r="G1085" t="s">
        <v>169</v>
      </c>
      <c r="H1085">
        <v>4</v>
      </c>
      <c r="I1085">
        <v>2025</v>
      </c>
      <c r="J1085">
        <v>8</v>
      </c>
      <c r="K1085" t="s">
        <v>87</v>
      </c>
      <c r="L1085" t="s">
        <v>9</v>
      </c>
      <c r="M1085" t="s">
        <v>6</v>
      </c>
      <c r="N1085" t="b">
        <v>0</v>
      </c>
      <c r="O1085">
        <v>1</v>
      </c>
      <c r="P1085">
        <v>0</v>
      </c>
      <c r="Q1085">
        <v>0</v>
      </c>
      <c r="R1085">
        <v>0</v>
      </c>
    </row>
    <row r="1086" spans="1:18" x14ac:dyDescent="0.25">
      <c r="A1086" t="s">
        <v>44</v>
      </c>
      <c r="B1086" t="s">
        <v>6</v>
      </c>
      <c r="C1086">
        <v>2</v>
      </c>
      <c r="D1086">
        <v>2</v>
      </c>
      <c r="E1086">
        <v>2</v>
      </c>
      <c r="F1086" s="15">
        <v>45880</v>
      </c>
      <c r="G1086" t="s">
        <v>169</v>
      </c>
      <c r="H1086">
        <v>4</v>
      </c>
      <c r="I1086">
        <v>2025</v>
      </c>
      <c r="J1086">
        <v>8</v>
      </c>
      <c r="K1086" t="s">
        <v>87</v>
      </c>
      <c r="L1086" t="s">
        <v>19</v>
      </c>
      <c r="M1086" t="s">
        <v>6</v>
      </c>
      <c r="N1086" t="b">
        <v>0</v>
      </c>
      <c r="O1086">
        <v>0</v>
      </c>
      <c r="P1086">
        <v>1</v>
      </c>
      <c r="Q1086">
        <v>0</v>
      </c>
      <c r="R1086">
        <v>0</v>
      </c>
    </row>
    <row r="1087" spans="1:18" x14ac:dyDescent="0.25">
      <c r="A1087" t="s">
        <v>44</v>
      </c>
      <c r="B1087" t="s">
        <v>6</v>
      </c>
      <c r="C1087">
        <v>2</v>
      </c>
      <c r="D1087">
        <v>2</v>
      </c>
      <c r="E1087">
        <v>2</v>
      </c>
      <c r="F1087" s="15">
        <v>45880</v>
      </c>
      <c r="G1087" t="s">
        <v>169</v>
      </c>
      <c r="H1087">
        <v>4</v>
      </c>
      <c r="I1087">
        <v>2025</v>
      </c>
      <c r="J1087">
        <v>8</v>
      </c>
      <c r="K1087" t="s">
        <v>87</v>
      </c>
      <c r="L1087" t="s">
        <v>41</v>
      </c>
      <c r="M1087" t="s">
        <v>8</v>
      </c>
      <c r="N1087" t="b">
        <v>0</v>
      </c>
      <c r="O1087">
        <v>0</v>
      </c>
      <c r="P1087">
        <v>1</v>
      </c>
      <c r="Q1087">
        <v>0</v>
      </c>
      <c r="R1087">
        <v>1</v>
      </c>
    </row>
    <row r="1088" spans="1:18" x14ac:dyDescent="0.25">
      <c r="A1088" t="s">
        <v>44</v>
      </c>
      <c r="B1088" t="s">
        <v>6</v>
      </c>
      <c r="C1088">
        <v>2</v>
      </c>
      <c r="D1088">
        <v>2</v>
      </c>
      <c r="E1088">
        <v>2</v>
      </c>
      <c r="F1088" s="15">
        <v>45880</v>
      </c>
      <c r="G1088" t="s">
        <v>169</v>
      </c>
      <c r="H1088">
        <v>4</v>
      </c>
      <c r="I1088">
        <v>2025</v>
      </c>
      <c r="J1088">
        <v>8</v>
      </c>
      <c r="K1088" t="s">
        <v>87</v>
      </c>
      <c r="L1088" t="s">
        <v>9</v>
      </c>
      <c r="M1088" t="s">
        <v>6</v>
      </c>
      <c r="N1088" t="b">
        <v>0</v>
      </c>
      <c r="O1088">
        <v>0</v>
      </c>
      <c r="P1088">
        <v>1</v>
      </c>
      <c r="Q1088">
        <v>0</v>
      </c>
      <c r="R1088">
        <v>0</v>
      </c>
    </row>
    <row r="1089" spans="1:18" x14ac:dyDescent="0.25">
      <c r="A1089" t="s">
        <v>9</v>
      </c>
      <c r="B1089" t="s">
        <v>6</v>
      </c>
      <c r="C1089">
        <v>1</v>
      </c>
      <c r="D1089">
        <v>2</v>
      </c>
      <c r="E1089">
        <v>2</v>
      </c>
      <c r="F1089" s="15">
        <v>45880</v>
      </c>
      <c r="G1089" t="s">
        <v>169</v>
      </c>
      <c r="H1089">
        <v>4</v>
      </c>
      <c r="I1089">
        <v>2025</v>
      </c>
      <c r="J1089">
        <v>8</v>
      </c>
      <c r="K1089" t="s">
        <v>87</v>
      </c>
      <c r="L1089" t="s">
        <v>19</v>
      </c>
      <c r="M1089" t="s">
        <v>6</v>
      </c>
      <c r="N1089" t="b">
        <v>0</v>
      </c>
      <c r="O1089">
        <v>0</v>
      </c>
      <c r="P1089">
        <v>1</v>
      </c>
      <c r="Q1089">
        <v>0</v>
      </c>
      <c r="R1089">
        <v>0</v>
      </c>
    </row>
    <row r="1090" spans="1:18" x14ac:dyDescent="0.25">
      <c r="A1090" t="s">
        <v>9</v>
      </c>
      <c r="B1090" t="s">
        <v>6</v>
      </c>
      <c r="C1090">
        <v>1</v>
      </c>
      <c r="D1090">
        <v>2</v>
      </c>
      <c r="E1090">
        <v>2</v>
      </c>
      <c r="F1090" s="15">
        <v>45880</v>
      </c>
      <c r="G1090" t="s">
        <v>169</v>
      </c>
      <c r="H1090">
        <v>4</v>
      </c>
      <c r="I1090">
        <v>2025</v>
      </c>
      <c r="J1090">
        <v>8</v>
      </c>
      <c r="K1090" t="s">
        <v>87</v>
      </c>
      <c r="L1090" t="s">
        <v>41</v>
      </c>
      <c r="M1090" t="s">
        <v>8</v>
      </c>
      <c r="N1090" t="b">
        <v>0</v>
      </c>
      <c r="O1090">
        <v>0</v>
      </c>
      <c r="P1090">
        <v>1</v>
      </c>
      <c r="Q1090">
        <v>0</v>
      </c>
      <c r="R1090">
        <v>1</v>
      </c>
    </row>
    <row r="1091" spans="1:18" x14ac:dyDescent="0.25">
      <c r="A1091" t="s">
        <v>9</v>
      </c>
      <c r="B1091" t="s">
        <v>6</v>
      </c>
      <c r="C1091">
        <v>1</v>
      </c>
      <c r="D1091">
        <v>2</v>
      </c>
      <c r="E1091">
        <v>2</v>
      </c>
      <c r="F1091" s="15">
        <v>45880</v>
      </c>
      <c r="G1091" t="s">
        <v>169</v>
      </c>
      <c r="H1091">
        <v>4</v>
      </c>
      <c r="I1091">
        <v>2025</v>
      </c>
      <c r="J1091">
        <v>8</v>
      </c>
      <c r="K1091" t="s">
        <v>87</v>
      </c>
      <c r="L1091" t="s">
        <v>44</v>
      </c>
      <c r="M1091" t="s">
        <v>6</v>
      </c>
      <c r="N1091" t="b">
        <v>0</v>
      </c>
      <c r="O1091">
        <v>0</v>
      </c>
      <c r="P1091">
        <v>1</v>
      </c>
      <c r="Q1091">
        <v>0</v>
      </c>
      <c r="R1091">
        <v>0</v>
      </c>
    </row>
    <row r="1092" spans="1:18" x14ac:dyDescent="0.25">
      <c r="A1092" t="s">
        <v>19</v>
      </c>
      <c r="B1092" t="s">
        <v>6</v>
      </c>
      <c r="C1092">
        <v>2</v>
      </c>
      <c r="D1092">
        <v>2</v>
      </c>
      <c r="E1092">
        <v>2</v>
      </c>
      <c r="F1092" s="15">
        <v>45915</v>
      </c>
      <c r="G1092" t="s">
        <v>173</v>
      </c>
      <c r="H1092">
        <v>4</v>
      </c>
      <c r="I1092">
        <v>2025</v>
      </c>
      <c r="J1092">
        <v>9</v>
      </c>
      <c r="K1092" t="s">
        <v>87</v>
      </c>
      <c r="L1092" t="s">
        <v>13</v>
      </c>
      <c r="M1092" t="s">
        <v>8</v>
      </c>
      <c r="N1092" t="b">
        <v>0</v>
      </c>
      <c r="O1092">
        <v>0</v>
      </c>
      <c r="P1092">
        <v>1</v>
      </c>
      <c r="Q1092">
        <v>0</v>
      </c>
      <c r="R1092">
        <v>1</v>
      </c>
    </row>
    <row r="1093" spans="1:18" x14ac:dyDescent="0.25">
      <c r="A1093" t="s">
        <v>19</v>
      </c>
      <c r="B1093" t="s">
        <v>6</v>
      </c>
      <c r="C1093">
        <v>2</v>
      </c>
      <c r="D1093">
        <v>2</v>
      </c>
      <c r="E1093">
        <v>2</v>
      </c>
      <c r="F1093" s="15">
        <v>45915</v>
      </c>
      <c r="G1093" t="s">
        <v>173</v>
      </c>
      <c r="H1093">
        <v>4</v>
      </c>
      <c r="I1093">
        <v>2025</v>
      </c>
      <c r="J1093">
        <v>9</v>
      </c>
      <c r="K1093" t="s">
        <v>87</v>
      </c>
      <c r="L1093" t="s">
        <v>27</v>
      </c>
      <c r="M1093" t="s">
        <v>6</v>
      </c>
      <c r="N1093" t="b">
        <v>0</v>
      </c>
      <c r="O1093">
        <v>0</v>
      </c>
      <c r="P1093">
        <v>1</v>
      </c>
      <c r="Q1093">
        <v>0</v>
      </c>
      <c r="R1093">
        <v>0</v>
      </c>
    </row>
    <row r="1094" spans="1:18" x14ac:dyDescent="0.25">
      <c r="A1094" t="s">
        <v>19</v>
      </c>
      <c r="B1094" t="s">
        <v>6</v>
      </c>
      <c r="C1094">
        <v>2</v>
      </c>
      <c r="D1094">
        <v>2</v>
      </c>
      <c r="E1094">
        <v>2</v>
      </c>
      <c r="F1094" s="15">
        <v>45915</v>
      </c>
      <c r="G1094" t="s">
        <v>173</v>
      </c>
      <c r="H1094">
        <v>4</v>
      </c>
      <c r="I1094">
        <v>2025</v>
      </c>
      <c r="J1094">
        <v>9</v>
      </c>
      <c r="K1094" t="s">
        <v>87</v>
      </c>
      <c r="L1094" t="s">
        <v>352</v>
      </c>
      <c r="M1094" t="s">
        <v>6</v>
      </c>
      <c r="N1094" t="b">
        <v>0</v>
      </c>
      <c r="O1094">
        <v>0</v>
      </c>
      <c r="P1094">
        <v>1</v>
      </c>
      <c r="Q1094">
        <v>0</v>
      </c>
      <c r="R1094">
        <v>0</v>
      </c>
    </row>
    <row r="1095" spans="1:18" x14ac:dyDescent="0.25">
      <c r="A1095" t="s">
        <v>13</v>
      </c>
      <c r="B1095" t="s">
        <v>8</v>
      </c>
      <c r="C1095">
        <v>1</v>
      </c>
      <c r="D1095">
        <v>2</v>
      </c>
      <c r="E1095">
        <v>2</v>
      </c>
      <c r="F1095" s="15">
        <v>45915</v>
      </c>
      <c r="G1095" t="s">
        <v>173</v>
      </c>
      <c r="H1095">
        <v>4</v>
      </c>
      <c r="I1095">
        <v>2025</v>
      </c>
      <c r="J1095">
        <v>9</v>
      </c>
      <c r="K1095" t="s">
        <v>87</v>
      </c>
      <c r="L1095" t="s">
        <v>19</v>
      </c>
      <c r="M1095" t="s">
        <v>6</v>
      </c>
      <c r="N1095" t="b">
        <v>0</v>
      </c>
      <c r="O1095">
        <v>1</v>
      </c>
      <c r="P1095">
        <v>0</v>
      </c>
      <c r="Q1095">
        <v>0</v>
      </c>
      <c r="R1095">
        <v>0</v>
      </c>
    </row>
    <row r="1096" spans="1:18" x14ac:dyDescent="0.25">
      <c r="A1096" t="s">
        <v>13</v>
      </c>
      <c r="B1096" t="s">
        <v>8</v>
      </c>
      <c r="C1096">
        <v>1</v>
      </c>
      <c r="D1096">
        <v>2</v>
      </c>
      <c r="E1096">
        <v>2</v>
      </c>
      <c r="F1096" s="15">
        <v>45915</v>
      </c>
      <c r="G1096" t="s">
        <v>173</v>
      </c>
      <c r="H1096">
        <v>4</v>
      </c>
      <c r="I1096">
        <v>2025</v>
      </c>
      <c r="J1096">
        <v>9</v>
      </c>
      <c r="K1096" t="s">
        <v>87</v>
      </c>
      <c r="L1096" t="s">
        <v>27</v>
      </c>
      <c r="M1096" t="s">
        <v>6</v>
      </c>
      <c r="N1096" t="b">
        <v>0</v>
      </c>
      <c r="O1096">
        <v>1</v>
      </c>
      <c r="P1096">
        <v>0</v>
      </c>
      <c r="Q1096">
        <v>0</v>
      </c>
      <c r="R1096">
        <v>0</v>
      </c>
    </row>
    <row r="1097" spans="1:18" x14ac:dyDescent="0.25">
      <c r="A1097" t="s">
        <v>13</v>
      </c>
      <c r="B1097" t="s">
        <v>8</v>
      </c>
      <c r="C1097">
        <v>1</v>
      </c>
      <c r="D1097">
        <v>2</v>
      </c>
      <c r="E1097">
        <v>2</v>
      </c>
      <c r="F1097" s="15">
        <v>45915</v>
      </c>
      <c r="G1097" t="s">
        <v>173</v>
      </c>
      <c r="H1097">
        <v>4</v>
      </c>
      <c r="I1097">
        <v>2025</v>
      </c>
      <c r="J1097">
        <v>9</v>
      </c>
      <c r="K1097" t="s">
        <v>87</v>
      </c>
      <c r="L1097" t="s">
        <v>352</v>
      </c>
      <c r="M1097" t="s">
        <v>6</v>
      </c>
      <c r="N1097" t="b">
        <v>0</v>
      </c>
      <c r="O1097">
        <v>1</v>
      </c>
      <c r="P1097">
        <v>0</v>
      </c>
      <c r="Q1097">
        <v>0</v>
      </c>
      <c r="R1097">
        <v>0</v>
      </c>
    </row>
    <row r="1098" spans="1:18" x14ac:dyDescent="0.25">
      <c r="A1098" t="s">
        <v>27</v>
      </c>
      <c r="B1098" t="s">
        <v>6</v>
      </c>
      <c r="C1098">
        <v>4</v>
      </c>
      <c r="D1098">
        <v>2</v>
      </c>
      <c r="E1098">
        <v>2</v>
      </c>
      <c r="F1098" s="15">
        <v>45915</v>
      </c>
      <c r="G1098" t="s">
        <v>173</v>
      </c>
      <c r="H1098">
        <v>4</v>
      </c>
      <c r="I1098">
        <v>2025</v>
      </c>
      <c r="J1098">
        <v>9</v>
      </c>
      <c r="K1098" t="s">
        <v>87</v>
      </c>
      <c r="L1098" t="s">
        <v>19</v>
      </c>
      <c r="M1098" t="s">
        <v>6</v>
      </c>
      <c r="N1098" t="b">
        <v>0</v>
      </c>
      <c r="O1098">
        <v>0</v>
      </c>
      <c r="P1098">
        <v>1</v>
      </c>
      <c r="Q1098">
        <v>0</v>
      </c>
      <c r="R1098">
        <v>0</v>
      </c>
    </row>
    <row r="1099" spans="1:18" x14ac:dyDescent="0.25">
      <c r="A1099" t="s">
        <v>27</v>
      </c>
      <c r="B1099" t="s">
        <v>6</v>
      </c>
      <c r="C1099">
        <v>4</v>
      </c>
      <c r="D1099">
        <v>2</v>
      </c>
      <c r="E1099">
        <v>2</v>
      </c>
      <c r="F1099" s="15">
        <v>45915</v>
      </c>
      <c r="G1099" t="s">
        <v>173</v>
      </c>
      <c r="H1099">
        <v>4</v>
      </c>
      <c r="I1099">
        <v>2025</v>
      </c>
      <c r="J1099">
        <v>9</v>
      </c>
      <c r="K1099" t="s">
        <v>87</v>
      </c>
      <c r="L1099" t="s">
        <v>13</v>
      </c>
      <c r="M1099" t="s">
        <v>8</v>
      </c>
      <c r="N1099" t="b">
        <v>0</v>
      </c>
      <c r="O1099">
        <v>0</v>
      </c>
      <c r="P1099">
        <v>1</v>
      </c>
      <c r="Q1099">
        <v>0</v>
      </c>
      <c r="R1099">
        <v>1</v>
      </c>
    </row>
    <row r="1100" spans="1:18" x14ac:dyDescent="0.25">
      <c r="A1100" t="s">
        <v>27</v>
      </c>
      <c r="B1100" t="s">
        <v>6</v>
      </c>
      <c r="C1100">
        <v>4</v>
      </c>
      <c r="D1100">
        <v>2</v>
      </c>
      <c r="E1100">
        <v>2</v>
      </c>
      <c r="F1100" s="15">
        <v>45915</v>
      </c>
      <c r="G1100" t="s">
        <v>173</v>
      </c>
      <c r="H1100">
        <v>4</v>
      </c>
      <c r="I1100">
        <v>2025</v>
      </c>
      <c r="J1100">
        <v>9</v>
      </c>
      <c r="K1100" t="s">
        <v>87</v>
      </c>
      <c r="L1100" t="s">
        <v>352</v>
      </c>
      <c r="M1100" t="s">
        <v>6</v>
      </c>
      <c r="N1100" t="b">
        <v>0</v>
      </c>
      <c r="O1100">
        <v>0</v>
      </c>
      <c r="P1100">
        <v>1</v>
      </c>
      <c r="Q1100">
        <v>0</v>
      </c>
      <c r="R1100">
        <v>0</v>
      </c>
    </row>
    <row r="1101" spans="1:18" x14ac:dyDescent="0.25">
      <c r="A1101" t="s">
        <v>352</v>
      </c>
      <c r="B1101" t="s">
        <v>6</v>
      </c>
      <c r="C1101">
        <v>3</v>
      </c>
      <c r="D1101">
        <v>2</v>
      </c>
      <c r="E1101">
        <v>2</v>
      </c>
      <c r="F1101" s="15">
        <v>45915</v>
      </c>
      <c r="G1101" t="s">
        <v>173</v>
      </c>
      <c r="H1101">
        <v>4</v>
      </c>
      <c r="I1101">
        <v>2025</v>
      </c>
      <c r="J1101">
        <v>9</v>
      </c>
      <c r="K1101" t="s">
        <v>87</v>
      </c>
      <c r="L1101" t="s">
        <v>19</v>
      </c>
      <c r="M1101" t="s">
        <v>6</v>
      </c>
      <c r="N1101" t="b">
        <v>0</v>
      </c>
      <c r="O1101">
        <v>0</v>
      </c>
      <c r="P1101">
        <v>1</v>
      </c>
      <c r="Q1101">
        <v>0</v>
      </c>
      <c r="R1101">
        <v>0</v>
      </c>
    </row>
    <row r="1102" spans="1:18" x14ac:dyDescent="0.25">
      <c r="A1102" t="s">
        <v>352</v>
      </c>
      <c r="B1102" t="s">
        <v>6</v>
      </c>
      <c r="C1102">
        <v>3</v>
      </c>
      <c r="D1102">
        <v>2</v>
      </c>
      <c r="E1102">
        <v>2</v>
      </c>
      <c r="F1102" s="15">
        <v>45915</v>
      </c>
      <c r="G1102" t="s">
        <v>173</v>
      </c>
      <c r="H1102">
        <v>4</v>
      </c>
      <c r="I1102">
        <v>2025</v>
      </c>
      <c r="J1102">
        <v>9</v>
      </c>
      <c r="K1102" t="s">
        <v>87</v>
      </c>
      <c r="L1102" t="s">
        <v>13</v>
      </c>
      <c r="M1102" t="s">
        <v>8</v>
      </c>
      <c r="N1102" t="b">
        <v>0</v>
      </c>
      <c r="O1102">
        <v>0</v>
      </c>
      <c r="P1102">
        <v>1</v>
      </c>
      <c r="Q1102">
        <v>0</v>
      </c>
      <c r="R1102">
        <v>1</v>
      </c>
    </row>
    <row r="1103" spans="1:18" x14ac:dyDescent="0.25">
      <c r="A1103" t="s">
        <v>352</v>
      </c>
      <c r="B1103" t="s">
        <v>6</v>
      </c>
      <c r="C1103">
        <v>3</v>
      </c>
      <c r="D1103">
        <v>2</v>
      </c>
      <c r="E1103">
        <v>2</v>
      </c>
      <c r="F1103" s="15">
        <v>45915</v>
      </c>
      <c r="G1103" t="s">
        <v>173</v>
      </c>
      <c r="H1103">
        <v>4</v>
      </c>
      <c r="I1103">
        <v>2025</v>
      </c>
      <c r="J1103">
        <v>9</v>
      </c>
      <c r="K1103" t="s">
        <v>87</v>
      </c>
      <c r="L1103" t="s">
        <v>27</v>
      </c>
      <c r="M1103" t="s">
        <v>6</v>
      </c>
      <c r="N1103" t="b">
        <v>0</v>
      </c>
      <c r="O1103">
        <v>0</v>
      </c>
      <c r="P1103">
        <v>1</v>
      </c>
      <c r="Q1103">
        <v>0</v>
      </c>
      <c r="R1103">
        <v>0</v>
      </c>
    </row>
    <row r="1104" spans="1:18" x14ac:dyDescent="0.25">
      <c r="A1104" t="s">
        <v>19</v>
      </c>
      <c r="B1104" t="s">
        <v>6</v>
      </c>
      <c r="C1104">
        <v>1</v>
      </c>
      <c r="D1104">
        <v>2</v>
      </c>
      <c r="E1104">
        <v>2</v>
      </c>
      <c r="F1104" s="15">
        <v>45992</v>
      </c>
      <c r="G1104" t="s">
        <v>184</v>
      </c>
      <c r="H1104">
        <v>3</v>
      </c>
      <c r="I1104">
        <v>2025</v>
      </c>
      <c r="J1104">
        <v>12</v>
      </c>
      <c r="K1104" t="s">
        <v>87</v>
      </c>
      <c r="L1104" t="s">
        <v>41</v>
      </c>
      <c r="M1104" t="s">
        <v>6</v>
      </c>
      <c r="N1104" t="b">
        <v>0</v>
      </c>
      <c r="O1104">
        <v>0</v>
      </c>
      <c r="P1104">
        <v>1</v>
      </c>
      <c r="Q1104">
        <v>0</v>
      </c>
      <c r="R1104">
        <v>0</v>
      </c>
    </row>
    <row r="1105" spans="1:18" x14ac:dyDescent="0.25">
      <c r="A1105" t="s">
        <v>19</v>
      </c>
      <c r="B1105" t="s">
        <v>6</v>
      </c>
      <c r="C1105">
        <v>1</v>
      </c>
      <c r="D1105">
        <v>2</v>
      </c>
      <c r="E1105">
        <v>2</v>
      </c>
      <c r="F1105" s="15">
        <v>45992</v>
      </c>
      <c r="G1105" t="s">
        <v>184</v>
      </c>
      <c r="H1105">
        <v>3</v>
      </c>
      <c r="I1105">
        <v>2025</v>
      </c>
      <c r="J1105">
        <v>12</v>
      </c>
      <c r="K1105" t="s">
        <v>87</v>
      </c>
      <c r="L1105" t="s">
        <v>11</v>
      </c>
      <c r="M1105" t="s">
        <v>8</v>
      </c>
      <c r="N1105" t="b">
        <v>0</v>
      </c>
      <c r="O1105">
        <v>0</v>
      </c>
      <c r="P1105">
        <v>1</v>
      </c>
      <c r="Q1105">
        <v>0</v>
      </c>
      <c r="R1105">
        <v>1</v>
      </c>
    </row>
    <row r="1106" spans="1:18" x14ac:dyDescent="0.25">
      <c r="A1106" t="s">
        <v>41</v>
      </c>
      <c r="B1106" t="s">
        <v>6</v>
      </c>
      <c r="C1106">
        <v>3</v>
      </c>
      <c r="D1106">
        <v>2</v>
      </c>
      <c r="E1106">
        <v>2</v>
      </c>
      <c r="F1106" s="15">
        <v>45992</v>
      </c>
      <c r="G1106" t="s">
        <v>184</v>
      </c>
      <c r="H1106">
        <v>3</v>
      </c>
      <c r="I1106">
        <v>2025</v>
      </c>
      <c r="J1106">
        <v>12</v>
      </c>
      <c r="K1106" t="s">
        <v>87</v>
      </c>
      <c r="L1106" t="s">
        <v>19</v>
      </c>
      <c r="M1106" t="s">
        <v>6</v>
      </c>
      <c r="N1106" t="b">
        <v>0</v>
      </c>
      <c r="O1106">
        <v>0</v>
      </c>
      <c r="P1106">
        <v>1</v>
      </c>
      <c r="Q1106">
        <v>0</v>
      </c>
      <c r="R1106">
        <v>0</v>
      </c>
    </row>
    <row r="1107" spans="1:18" x14ac:dyDescent="0.25">
      <c r="A1107" t="s">
        <v>41</v>
      </c>
      <c r="B1107" t="s">
        <v>6</v>
      </c>
      <c r="C1107">
        <v>3</v>
      </c>
      <c r="D1107">
        <v>2</v>
      </c>
      <c r="E1107">
        <v>2</v>
      </c>
      <c r="F1107" s="15">
        <v>45992</v>
      </c>
      <c r="G1107" t="s">
        <v>184</v>
      </c>
      <c r="H1107">
        <v>3</v>
      </c>
      <c r="I1107">
        <v>2025</v>
      </c>
      <c r="J1107">
        <v>12</v>
      </c>
      <c r="K1107" t="s">
        <v>87</v>
      </c>
      <c r="L1107" t="s">
        <v>11</v>
      </c>
      <c r="M1107" t="s">
        <v>8</v>
      </c>
      <c r="N1107" t="b">
        <v>0</v>
      </c>
      <c r="O1107">
        <v>0</v>
      </c>
      <c r="P1107">
        <v>1</v>
      </c>
      <c r="Q1107">
        <v>0</v>
      </c>
      <c r="R1107">
        <v>1</v>
      </c>
    </row>
    <row r="1108" spans="1:18" x14ac:dyDescent="0.25">
      <c r="A1108" t="s">
        <v>11</v>
      </c>
      <c r="B1108" t="s">
        <v>8</v>
      </c>
      <c r="C1108">
        <v>2</v>
      </c>
      <c r="D1108">
        <v>2</v>
      </c>
      <c r="E1108">
        <v>2</v>
      </c>
      <c r="F1108" s="15">
        <v>45992</v>
      </c>
      <c r="G1108" t="s">
        <v>184</v>
      </c>
      <c r="H1108">
        <v>3</v>
      </c>
      <c r="I1108">
        <v>2025</v>
      </c>
      <c r="J1108">
        <v>12</v>
      </c>
      <c r="K1108" t="s">
        <v>87</v>
      </c>
      <c r="L1108" t="s">
        <v>19</v>
      </c>
      <c r="M1108" t="s">
        <v>6</v>
      </c>
      <c r="N1108" t="b">
        <v>0</v>
      </c>
      <c r="O1108">
        <v>1</v>
      </c>
      <c r="P1108">
        <v>0</v>
      </c>
      <c r="Q1108">
        <v>0</v>
      </c>
      <c r="R1108">
        <v>0</v>
      </c>
    </row>
    <row r="1109" spans="1:18" x14ac:dyDescent="0.25">
      <c r="A1109" t="s">
        <v>11</v>
      </c>
      <c r="B1109" t="s">
        <v>8</v>
      </c>
      <c r="C1109">
        <v>2</v>
      </c>
      <c r="D1109">
        <v>2</v>
      </c>
      <c r="E1109">
        <v>2</v>
      </c>
      <c r="F1109" s="15">
        <v>45992</v>
      </c>
      <c r="G1109" t="s">
        <v>184</v>
      </c>
      <c r="H1109">
        <v>3</v>
      </c>
      <c r="I1109">
        <v>2025</v>
      </c>
      <c r="J1109">
        <v>12</v>
      </c>
      <c r="K1109" t="s">
        <v>87</v>
      </c>
      <c r="L1109" t="s">
        <v>41</v>
      </c>
      <c r="M1109" t="s">
        <v>6</v>
      </c>
      <c r="N1109" t="b">
        <v>0</v>
      </c>
      <c r="O1109">
        <v>1</v>
      </c>
      <c r="P1109">
        <v>0</v>
      </c>
      <c r="Q1109">
        <v>0</v>
      </c>
      <c r="R1109">
        <v>0</v>
      </c>
    </row>
    <row r="1110" spans="1:18" x14ac:dyDescent="0.25">
      <c r="A1110" t="s">
        <v>19</v>
      </c>
      <c r="B1110" t="s">
        <v>6</v>
      </c>
      <c r="C1110">
        <v>3</v>
      </c>
      <c r="D1110">
        <v>2</v>
      </c>
      <c r="E1110">
        <v>2</v>
      </c>
      <c r="F1110" s="15">
        <v>46006</v>
      </c>
      <c r="G1110" t="s">
        <v>186</v>
      </c>
      <c r="H1110">
        <v>4</v>
      </c>
      <c r="I1110">
        <v>2025</v>
      </c>
      <c r="J1110">
        <v>12</v>
      </c>
      <c r="K1110" t="s">
        <v>87</v>
      </c>
      <c r="L1110" t="s">
        <v>10</v>
      </c>
      <c r="M1110" t="s">
        <v>6</v>
      </c>
      <c r="N1110" t="b">
        <v>0</v>
      </c>
      <c r="O1110">
        <v>0</v>
      </c>
      <c r="P1110">
        <v>1</v>
      </c>
      <c r="Q1110">
        <v>0</v>
      </c>
      <c r="R1110">
        <v>0</v>
      </c>
    </row>
    <row r="1111" spans="1:18" x14ac:dyDescent="0.25">
      <c r="A1111" t="s">
        <v>19</v>
      </c>
      <c r="B1111" t="s">
        <v>6</v>
      </c>
      <c r="C1111">
        <v>3</v>
      </c>
      <c r="D1111">
        <v>2</v>
      </c>
      <c r="E1111">
        <v>2</v>
      </c>
      <c r="F1111" s="15">
        <v>46006</v>
      </c>
      <c r="G1111" t="s">
        <v>186</v>
      </c>
      <c r="H1111">
        <v>4</v>
      </c>
      <c r="I1111">
        <v>2025</v>
      </c>
      <c r="J1111">
        <v>12</v>
      </c>
      <c r="K1111" t="s">
        <v>87</v>
      </c>
      <c r="L1111" t="s">
        <v>22</v>
      </c>
      <c r="M1111" t="s">
        <v>8</v>
      </c>
      <c r="N1111" t="b">
        <v>0</v>
      </c>
      <c r="O1111">
        <v>0</v>
      </c>
      <c r="P1111">
        <v>1</v>
      </c>
      <c r="Q1111">
        <v>0</v>
      </c>
      <c r="R1111">
        <v>1</v>
      </c>
    </row>
    <row r="1112" spans="1:18" x14ac:dyDescent="0.25">
      <c r="A1112" t="s">
        <v>19</v>
      </c>
      <c r="B1112" t="s">
        <v>6</v>
      </c>
      <c r="C1112">
        <v>3</v>
      </c>
      <c r="D1112">
        <v>2</v>
      </c>
      <c r="E1112">
        <v>2</v>
      </c>
      <c r="F1112" s="15">
        <v>46006</v>
      </c>
      <c r="G1112" t="s">
        <v>186</v>
      </c>
      <c r="H1112">
        <v>4</v>
      </c>
      <c r="I1112">
        <v>2025</v>
      </c>
      <c r="J1112">
        <v>12</v>
      </c>
      <c r="K1112" t="s">
        <v>87</v>
      </c>
      <c r="L1112" t="s">
        <v>17</v>
      </c>
      <c r="M1112" t="s">
        <v>6</v>
      </c>
      <c r="N1112" t="b">
        <v>0</v>
      </c>
      <c r="O1112">
        <v>0</v>
      </c>
      <c r="P1112">
        <v>1</v>
      </c>
      <c r="Q1112">
        <v>0</v>
      </c>
      <c r="R1112">
        <v>0</v>
      </c>
    </row>
    <row r="1113" spans="1:18" x14ac:dyDescent="0.25">
      <c r="A1113" t="s">
        <v>10</v>
      </c>
      <c r="B1113" t="s">
        <v>6</v>
      </c>
      <c r="C1113">
        <v>4</v>
      </c>
      <c r="D1113">
        <v>2</v>
      </c>
      <c r="E1113">
        <v>2</v>
      </c>
      <c r="F1113" s="15">
        <v>46006</v>
      </c>
      <c r="G1113" t="s">
        <v>186</v>
      </c>
      <c r="H1113">
        <v>4</v>
      </c>
      <c r="I1113">
        <v>2025</v>
      </c>
      <c r="J1113">
        <v>12</v>
      </c>
      <c r="K1113" t="s">
        <v>87</v>
      </c>
      <c r="L1113" t="s">
        <v>19</v>
      </c>
      <c r="M1113" t="s">
        <v>6</v>
      </c>
      <c r="N1113" t="b">
        <v>0</v>
      </c>
      <c r="O1113">
        <v>0</v>
      </c>
      <c r="P1113">
        <v>1</v>
      </c>
      <c r="Q1113">
        <v>0</v>
      </c>
      <c r="R1113">
        <v>0</v>
      </c>
    </row>
    <row r="1114" spans="1:18" x14ac:dyDescent="0.25">
      <c r="A1114" t="s">
        <v>10</v>
      </c>
      <c r="B1114" t="s">
        <v>6</v>
      </c>
      <c r="C1114">
        <v>4</v>
      </c>
      <c r="D1114">
        <v>2</v>
      </c>
      <c r="E1114">
        <v>2</v>
      </c>
      <c r="F1114" s="15">
        <v>46006</v>
      </c>
      <c r="G1114" t="s">
        <v>186</v>
      </c>
      <c r="H1114">
        <v>4</v>
      </c>
      <c r="I1114">
        <v>2025</v>
      </c>
      <c r="J1114">
        <v>12</v>
      </c>
      <c r="K1114" t="s">
        <v>87</v>
      </c>
      <c r="L1114" t="s">
        <v>22</v>
      </c>
      <c r="M1114" t="s">
        <v>8</v>
      </c>
      <c r="N1114" t="b">
        <v>0</v>
      </c>
      <c r="O1114">
        <v>0</v>
      </c>
      <c r="P1114">
        <v>1</v>
      </c>
      <c r="Q1114">
        <v>0</v>
      </c>
      <c r="R1114">
        <v>1</v>
      </c>
    </row>
    <row r="1115" spans="1:18" x14ac:dyDescent="0.25">
      <c r="A1115" t="s">
        <v>10</v>
      </c>
      <c r="B1115" t="s">
        <v>6</v>
      </c>
      <c r="C1115">
        <v>4</v>
      </c>
      <c r="D1115">
        <v>2</v>
      </c>
      <c r="E1115">
        <v>2</v>
      </c>
      <c r="F1115" s="15">
        <v>46006</v>
      </c>
      <c r="G1115" t="s">
        <v>186</v>
      </c>
      <c r="H1115">
        <v>4</v>
      </c>
      <c r="I1115">
        <v>2025</v>
      </c>
      <c r="J1115">
        <v>12</v>
      </c>
      <c r="K1115" t="s">
        <v>87</v>
      </c>
      <c r="L1115" t="s">
        <v>17</v>
      </c>
      <c r="M1115" t="s">
        <v>6</v>
      </c>
      <c r="N1115" t="b">
        <v>0</v>
      </c>
      <c r="O1115">
        <v>0</v>
      </c>
      <c r="P1115">
        <v>1</v>
      </c>
      <c r="Q1115">
        <v>0</v>
      </c>
      <c r="R1115">
        <v>0</v>
      </c>
    </row>
    <row r="1116" spans="1:18" x14ac:dyDescent="0.25">
      <c r="A1116" t="s">
        <v>22</v>
      </c>
      <c r="B1116" t="s">
        <v>8</v>
      </c>
      <c r="C1116">
        <v>2</v>
      </c>
      <c r="D1116">
        <v>2</v>
      </c>
      <c r="E1116">
        <v>2</v>
      </c>
      <c r="F1116" s="15">
        <v>46006</v>
      </c>
      <c r="G1116" t="s">
        <v>186</v>
      </c>
      <c r="H1116">
        <v>4</v>
      </c>
      <c r="I1116">
        <v>2025</v>
      </c>
      <c r="J1116">
        <v>12</v>
      </c>
      <c r="K1116" t="s">
        <v>87</v>
      </c>
      <c r="L1116" t="s">
        <v>19</v>
      </c>
      <c r="M1116" t="s">
        <v>6</v>
      </c>
      <c r="N1116" t="b">
        <v>0</v>
      </c>
      <c r="O1116">
        <v>1</v>
      </c>
      <c r="P1116">
        <v>0</v>
      </c>
      <c r="Q1116">
        <v>0</v>
      </c>
      <c r="R1116">
        <v>0</v>
      </c>
    </row>
    <row r="1117" spans="1:18" x14ac:dyDescent="0.25">
      <c r="A1117" t="s">
        <v>22</v>
      </c>
      <c r="B1117" t="s">
        <v>8</v>
      </c>
      <c r="C1117">
        <v>2</v>
      </c>
      <c r="D1117">
        <v>2</v>
      </c>
      <c r="E1117">
        <v>2</v>
      </c>
      <c r="F1117" s="15">
        <v>46006</v>
      </c>
      <c r="G1117" t="s">
        <v>186</v>
      </c>
      <c r="H1117">
        <v>4</v>
      </c>
      <c r="I1117">
        <v>2025</v>
      </c>
      <c r="J1117">
        <v>12</v>
      </c>
      <c r="K1117" t="s">
        <v>87</v>
      </c>
      <c r="L1117" t="s">
        <v>10</v>
      </c>
      <c r="M1117" t="s">
        <v>6</v>
      </c>
      <c r="N1117" t="b">
        <v>0</v>
      </c>
      <c r="O1117">
        <v>1</v>
      </c>
      <c r="P1117">
        <v>0</v>
      </c>
      <c r="Q1117">
        <v>0</v>
      </c>
      <c r="R1117">
        <v>0</v>
      </c>
    </row>
    <row r="1118" spans="1:18" x14ac:dyDescent="0.25">
      <c r="A1118" t="s">
        <v>22</v>
      </c>
      <c r="B1118" t="s">
        <v>8</v>
      </c>
      <c r="C1118">
        <v>2</v>
      </c>
      <c r="D1118">
        <v>2</v>
      </c>
      <c r="E1118">
        <v>2</v>
      </c>
      <c r="F1118" s="15">
        <v>46006</v>
      </c>
      <c r="G1118" t="s">
        <v>186</v>
      </c>
      <c r="H1118">
        <v>4</v>
      </c>
      <c r="I1118">
        <v>2025</v>
      </c>
      <c r="J1118">
        <v>12</v>
      </c>
      <c r="K1118" t="s">
        <v>87</v>
      </c>
      <c r="L1118" t="s">
        <v>17</v>
      </c>
      <c r="M1118" t="s">
        <v>6</v>
      </c>
      <c r="N1118" t="b">
        <v>0</v>
      </c>
      <c r="O1118">
        <v>1</v>
      </c>
      <c r="P1118">
        <v>0</v>
      </c>
      <c r="Q1118">
        <v>0</v>
      </c>
      <c r="R1118">
        <v>0</v>
      </c>
    </row>
    <row r="1119" spans="1:18" x14ac:dyDescent="0.25">
      <c r="A1119" t="s">
        <v>17</v>
      </c>
      <c r="B1119" t="s">
        <v>6</v>
      </c>
      <c r="C1119">
        <v>1</v>
      </c>
      <c r="D1119">
        <v>2</v>
      </c>
      <c r="E1119">
        <v>2</v>
      </c>
      <c r="F1119" s="15">
        <v>46006</v>
      </c>
      <c r="G1119" t="s">
        <v>186</v>
      </c>
      <c r="H1119">
        <v>4</v>
      </c>
      <c r="I1119">
        <v>2025</v>
      </c>
      <c r="J1119">
        <v>12</v>
      </c>
      <c r="K1119" t="s">
        <v>87</v>
      </c>
      <c r="L1119" t="s">
        <v>19</v>
      </c>
      <c r="M1119" t="s">
        <v>6</v>
      </c>
      <c r="N1119" t="b">
        <v>0</v>
      </c>
      <c r="O1119">
        <v>0</v>
      </c>
      <c r="P1119">
        <v>1</v>
      </c>
      <c r="Q1119">
        <v>0</v>
      </c>
      <c r="R1119">
        <v>0</v>
      </c>
    </row>
    <row r="1120" spans="1:18" x14ac:dyDescent="0.25">
      <c r="A1120" t="s">
        <v>17</v>
      </c>
      <c r="B1120" t="s">
        <v>6</v>
      </c>
      <c r="C1120">
        <v>1</v>
      </c>
      <c r="D1120">
        <v>2</v>
      </c>
      <c r="E1120">
        <v>2</v>
      </c>
      <c r="F1120" s="15">
        <v>46006</v>
      </c>
      <c r="G1120" t="s">
        <v>186</v>
      </c>
      <c r="H1120">
        <v>4</v>
      </c>
      <c r="I1120">
        <v>2025</v>
      </c>
      <c r="J1120">
        <v>12</v>
      </c>
      <c r="K1120" t="s">
        <v>87</v>
      </c>
      <c r="L1120" t="s">
        <v>10</v>
      </c>
      <c r="M1120" t="s">
        <v>6</v>
      </c>
      <c r="N1120" t="b">
        <v>0</v>
      </c>
      <c r="O1120">
        <v>0</v>
      </c>
      <c r="P1120">
        <v>1</v>
      </c>
      <c r="Q1120">
        <v>0</v>
      </c>
      <c r="R1120">
        <v>0</v>
      </c>
    </row>
    <row r="1121" spans="1:18" x14ac:dyDescent="0.25">
      <c r="A1121" t="s">
        <v>17</v>
      </c>
      <c r="B1121" t="s">
        <v>6</v>
      </c>
      <c r="C1121">
        <v>1</v>
      </c>
      <c r="D1121">
        <v>2</v>
      </c>
      <c r="E1121">
        <v>2</v>
      </c>
      <c r="F1121" s="15">
        <v>46006</v>
      </c>
      <c r="G1121" t="s">
        <v>186</v>
      </c>
      <c r="H1121">
        <v>4</v>
      </c>
      <c r="I1121">
        <v>2025</v>
      </c>
      <c r="J1121">
        <v>12</v>
      </c>
      <c r="K1121" t="s">
        <v>87</v>
      </c>
      <c r="L1121" t="s">
        <v>22</v>
      </c>
      <c r="M1121" t="s">
        <v>8</v>
      </c>
      <c r="N1121" t="b">
        <v>0</v>
      </c>
      <c r="O1121">
        <v>0</v>
      </c>
      <c r="P1121">
        <v>1</v>
      </c>
      <c r="Q1121">
        <v>0</v>
      </c>
      <c r="R1121">
        <v>1</v>
      </c>
    </row>
    <row r="1122" spans="1:18" x14ac:dyDescent="0.25">
      <c r="A1122" t="s">
        <v>19</v>
      </c>
      <c r="B1122" t="s">
        <v>6</v>
      </c>
      <c r="C1122">
        <v>1</v>
      </c>
      <c r="D1122">
        <v>3</v>
      </c>
      <c r="E1122">
        <v>1</v>
      </c>
      <c r="F1122" s="15">
        <v>45880</v>
      </c>
      <c r="G1122" t="s">
        <v>193</v>
      </c>
      <c r="H1122">
        <v>4</v>
      </c>
      <c r="I1122">
        <v>2025</v>
      </c>
      <c r="J1122">
        <v>8</v>
      </c>
      <c r="K1122" t="s">
        <v>87</v>
      </c>
      <c r="L1122" t="s">
        <v>45</v>
      </c>
      <c r="M1122" t="s">
        <v>6</v>
      </c>
      <c r="N1122" t="b">
        <v>0</v>
      </c>
      <c r="O1122">
        <v>0</v>
      </c>
      <c r="P1122">
        <v>1</v>
      </c>
      <c r="Q1122">
        <v>0</v>
      </c>
      <c r="R1122">
        <v>0</v>
      </c>
    </row>
    <row r="1123" spans="1:18" x14ac:dyDescent="0.25">
      <c r="A1123" t="s">
        <v>19</v>
      </c>
      <c r="B1123" t="s">
        <v>6</v>
      </c>
      <c r="C1123">
        <v>1</v>
      </c>
      <c r="D1123">
        <v>3</v>
      </c>
      <c r="E1123">
        <v>1</v>
      </c>
      <c r="F1123" s="15">
        <v>45880</v>
      </c>
      <c r="G1123" t="s">
        <v>193</v>
      </c>
      <c r="H1123">
        <v>4</v>
      </c>
      <c r="I1123">
        <v>2025</v>
      </c>
      <c r="J1123">
        <v>8</v>
      </c>
      <c r="K1123" t="s">
        <v>87</v>
      </c>
      <c r="L1123" t="s">
        <v>11</v>
      </c>
      <c r="M1123" t="s">
        <v>8</v>
      </c>
      <c r="N1123" t="b">
        <v>0</v>
      </c>
      <c r="O1123">
        <v>0</v>
      </c>
      <c r="P1123">
        <v>1</v>
      </c>
      <c r="Q1123">
        <v>0</v>
      </c>
      <c r="R1123">
        <v>1</v>
      </c>
    </row>
    <row r="1124" spans="1:18" x14ac:dyDescent="0.25">
      <c r="A1124" t="s">
        <v>19</v>
      </c>
      <c r="B1124" t="s">
        <v>6</v>
      </c>
      <c r="C1124">
        <v>1</v>
      </c>
      <c r="D1124">
        <v>3</v>
      </c>
      <c r="E1124">
        <v>1</v>
      </c>
      <c r="F1124" s="15">
        <v>45880</v>
      </c>
      <c r="G1124" t="s">
        <v>193</v>
      </c>
      <c r="H1124">
        <v>4</v>
      </c>
      <c r="I1124">
        <v>2025</v>
      </c>
      <c r="J1124">
        <v>8</v>
      </c>
      <c r="K1124" t="s">
        <v>87</v>
      </c>
      <c r="L1124" t="s">
        <v>17</v>
      </c>
      <c r="M1124" t="s">
        <v>6</v>
      </c>
      <c r="N1124" t="b">
        <v>0</v>
      </c>
      <c r="O1124">
        <v>0</v>
      </c>
      <c r="P1124">
        <v>1</v>
      </c>
      <c r="Q1124">
        <v>0</v>
      </c>
      <c r="R1124">
        <v>0</v>
      </c>
    </row>
    <row r="1125" spans="1:18" x14ac:dyDescent="0.25">
      <c r="A1125" t="s">
        <v>45</v>
      </c>
      <c r="B1125" t="s">
        <v>6</v>
      </c>
      <c r="C1125">
        <v>2</v>
      </c>
      <c r="D1125">
        <v>3</v>
      </c>
      <c r="E1125">
        <v>1</v>
      </c>
      <c r="F1125" s="15">
        <v>45880</v>
      </c>
      <c r="G1125" t="s">
        <v>193</v>
      </c>
      <c r="H1125">
        <v>4</v>
      </c>
      <c r="I1125">
        <v>2025</v>
      </c>
      <c r="J1125">
        <v>8</v>
      </c>
      <c r="K1125" t="s">
        <v>87</v>
      </c>
      <c r="L1125" t="s">
        <v>19</v>
      </c>
      <c r="M1125" t="s">
        <v>6</v>
      </c>
      <c r="N1125" t="b">
        <v>0</v>
      </c>
      <c r="O1125">
        <v>0</v>
      </c>
      <c r="P1125">
        <v>1</v>
      </c>
      <c r="Q1125">
        <v>0</v>
      </c>
      <c r="R1125">
        <v>0</v>
      </c>
    </row>
    <row r="1126" spans="1:18" x14ac:dyDescent="0.25">
      <c r="A1126" t="s">
        <v>45</v>
      </c>
      <c r="B1126" t="s">
        <v>6</v>
      </c>
      <c r="C1126">
        <v>2</v>
      </c>
      <c r="D1126">
        <v>3</v>
      </c>
      <c r="E1126">
        <v>1</v>
      </c>
      <c r="F1126" s="15">
        <v>45880</v>
      </c>
      <c r="G1126" t="s">
        <v>193</v>
      </c>
      <c r="H1126">
        <v>4</v>
      </c>
      <c r="I1126">
        <v>2025</v>
      </c>
      <c r="J1126">
        <v>8</v>
      </c>
      <c r="K1126" t="s">
        <v>87</v>
      </c>
      <c r="L1126" t="s">
        <v>11</v>
      </c>
      <c r="M1126" t="s">
        <v>8</v>
      </c>
      <c r="N1126" t="b">
        <v>0</v>
      </c>
      <c r="O1126">
        <v>0</v>
      </c>
      <c r="P1126">
        <v>1</v>
      </c>
      <c r="Q1126">
        <v>0</v>
      </c>
      <c r="R1126">
        <v>1</v>
      </c>
    </row>
    <row r="1127" spans="1:18" x14ac:dyDescent="0.25">
      <c r="A1127" t="s">
        <v>45</v>
      </c>
      <c r="B1127" t="s">
        <v>6</v>
      </c>
      <c r="C1127">
        <v>2</v>
      </c>
      <c r="D1127">
        <v>3</v>
      </c>
      <c r="E1127">
        <v>1</v>
      </c>
      <c r="F1127" s="15">
        <v>45880</v>
      </c>
      <c r="G1127" t="s">
        <v>193</v>
      </c>
      <c r="H1127">
        <v>4</v>
      </c>
      <c r="I1127">
        <v>2025</v>
      </c>
      <c r="J1127">
        <v>8</v>
      </c>
      <c r="K1127" t="s">
        <v>87</v>
      </c>
      <c r="L1127" t="s">
        <v>17</v>
      </c>
      <c r="M1127" t="s">
        <v>6</v>
      </c>
      <c r="N1127" t="b">
        <v>0</v>
      </c>
      <c r="O1127">
        <v>0</v>
      </c>
      <c r="P1127">
        <v>1</v>
      </c>
      <c r="Q1127">
        <v>0</v>
      </c>
      <c r="R1127">
        <v>0</v>
      </c>
    </row>
    <row r="1128" spans="1:18" x14ac:dyDescent="0.25">
      <c r="A1128" t="s">
        <v>11</v>
      </c>
      <c r="B1128" t="s">
        <v>8</v>
      </c>
      <c r="C1128">
        <v>4</v>
      </c>
      <c r="D1128">
        <v>3</v>
      </c>
      <c r="E1128">
        <v>1</v>
      </c>
      <c r="F1128" s="15">
        <v>45880</v>
      </c>
      <c r="G1128" t="s">
        <v>193</v>
      </c>
      <c r="H1128">
        <v>4</v>
      </c>
      <c r="I1128">
        <v>2025</v>
      </c>
      <c r="J1128">
        <v>8</v>
      </c>
      <c r="K1128" t="s">
        <v>87</v>
      </c>
      <c r="L1128" t="s">
        <v>19</v>
      </c>
      <c r="M1128" t="s">
        <v>6</v>
      </c>
      <c r="N1128" t="b">
        <v>0</v>
      </c>
      <c r="O1128">
        <v>1</v>
      </c>
      <c r="P1128">
        <v>0</v>
      </c>
      <c r="Q1128">
        <v>0</v>
      </c>
      <c r="R1128">
        <v>0</v>
      </c>
    </row>
    <row r="1129" spans="1:18" x14ac:dyDescent="0.25">
      <c r="A1129" t="s">
        <v>11</v>
      </c>
      <c r="B1129" t="s">
        <v>8</v>
      </c>
      <c r="C1129">
        <v>4</v>
      </c>
      <c r="D1129">
        <v>3</v>
      </c>
      <c r="E1129">
        <v>1</v>
      </c>
      <c r="F1129" s="15">
        <v>45880</v>
      </c>
      <c r="G1129" t="s">
        <v>193</v>
      </c>
      <c r="H1129">
        <v>4</v>
      </c>
      <c r="I1129">
        <v>2025</v>
      </c>
      <c r="J1129">
        <v>8</v>
      </c>
      <c r="K1129" t="s">
        <v>87</v>
      </c>
      <c r="L1129" t="s">
        <v>45</v>
      </c>
      <c r="M1129" t="s">
        <v>6</v>
      </c>
      <c r="N1129" t="b">
        <v>0</v>
      </c>
      <c r="O1129">
        <v>1</v>
      </c>
      <c r="P1129">
        <v>0</v>
      </c>
      <c r="Q1129">
        <v>0</v>
      </c>
      <c r="R1129">
        <v>0</v>
      </c>
    </row>
    <row r="1130" spans="1:18" x14ac:dyDescent="0.25">
      <c r="A1130" t="s">
        <v>11</v>
      </c>
      <c r="B1130" t="s">
        <v>8</v>
      </c>
      <c r="C1130">
        <v>4</v>
      </c>
      <c r="D1130">
        <v>3</v>
      </c>
      <c r="E1130">
        <v>1</v>
      </c>
      <c r="F1130" s="15">
        <v>45880</v>
      </c>
      <c r="G1130" t="s">
        <v>193</v>
      </c>
      <c r="H1130">
        <v>4</v>
      </c>
      <c r="I1130">
        <v>2025</v>
      </c>
      <c r="J1130">
        <v>8</v>
      </c>
      <c r="K1130" t="s">
        <v>87</v>
      </c>
      <c r="L1130" t="s">
        <v>17</v>
      </c>
      <c r="M1130" t="s">
        <v>6</v>
      </c>
      <c r="N1130" t="b">
        <v>0</v>
      </c>
      <c r="O1130">
        <v>1</v>
      </c>
      <c r="P1130">
        <v>0</v>
      </c>
      <c r="Q1130">
        <v>0</v>
      </c>
      <c r="R1130">
        <v>0</v>
      </c>
    </row>
    <row r="1131" spans="1:18" x14ac:dyDescent="0.25">
      <c r="A1131" t="s">
        <v>17</v>
      </c>
      <c r="B1131" t="s">
        <v>6</v>
      </c>
      <c r="C1131">
        <v>3</v>
      </c>
      <c r="D1131">
        <v>3</v>
      </c>
      <c r="E1131">
        <v>1</v>
      </c>
      <c r="F1131" s="15">
        <v>45880</v>
      </c>
      <c r="G1131" t="s">
        <v>193</v>
      </c>
      <c r="H1131">
        <v>4</v>
      </c>
      <c r="I1131">
        <v>2025</v>
      </c>
      <c r="J1131">
        <v>8</v>
      </c>
      <c r="K1131" t="s">
        <v>87</v>
      </c>
      <c r="L1131" t="s">
        <v>19</v>
      </c>
      <c r="M1131" t="s">
        <v>6</v>
      </c>
      <c r="N1131" t="b">
        <v>0</v>
      </c>
      <c r="O1131">
        <v>0</v>
      </c>
      <c r="P1131">
        <v>1</v>
      </c>
      <c r="Q1131">
        <v>0</v>
      </c>
      <c r="R1131">
        <v>0</v>
      </c>
    </row>
    <row r="1132" spans="1:18" x14ac:dyDescent="0.25">
      <c r="A1132" t="s">
        <v>17</v>
      </c>
      <c r="B1132" t="s">
        <v>6</v>
      </c>
      <c r="C1132">
        <v>3</v>
      </c>
      <c r="D1132">
        <v>3</v>
      </c>
      <c r="E1132">
        <v>1</v>
      </c>
      <c r="F1132" s="15">
        <v>45880</v>
      </c>
      <c r="G1132" t="s">
        <v>193</v>
      </c>
      <c r="H1132">
        <v>4</v>
      </c>
      <c r="I1132">
        <v>2025</v>
      </c>
      <c r="J1132">
        <v>8</v>
      </c>
      <c r="K1132" t="s">
        <v>87</v>
      </c>
      <c r="L1132" t="s">
        <v>45</v>
      </c>
      <c r="M1132" t="s">
        <v>6</v>
      </c>
      <c r="N1132" t="b">
        <v>0</v>
      </c>
      <c r="O1132">
        <v>0</v>
      </c>
      <c r="P1132">
        <v>1</v>
      </c>
      <c r="Q1132">
        <v>0</v>
      </c>
      <c r="R1132">
        <v>0</v>
      </c>
    </row>
    <row r="1133" spans="1:18" x14ac:dyDescent="0.25">
      <c r="A1133" t="s">
        <v>17</v>
      </c>
      <c r="B1133" t="s">
        <v>6</v>
      </c>
      <c r="C1133">
        <v>3</v>
      </c>
      <c r="D1133">
        <v>3</v>
      </c>
      <c r="E1133">
        <v>1</v>
      </c>
      <c r="F1133" s="15">
        <v>45880</v>
      </c>
      <c r="G1133" t="s">
        <v>193</v>
      </c>
      <c r="H1133">
        <v>4</v>
      </c>
      <c r="I1133">
        <v>2025</v>
      </c>
      <c r="J1133">
        <v>8</v>
      </c>
      <c r="K1133" t="s">
        <v>87</v>
      </c>
      <c r="L1133" t="s">
        <v>11</v>
      </c>
      <c r="M1133" t="s">
        <v>8</v>
      </c>
      <c r="N1133" t="b">
        <v>0</v>
      </c>
      <c r="O1133">
        <v>0</v>
      </c>
      <c r="P1133">
        <v>1</v>
      </c>
      <c r="Q1133">
        <v>0</v>
      </c>
      <c r="R1133">
        <v>1</v>
      </c>
    </row>
    <row r="1134" spans="1:18" x14ac:dyDescent="0.25">
      <c r="A1134" t="s">
        <v>19</v>
      </c>
      <c r="B1134" t="s">
        <v>6</v>
      </c>
      <c r="C1134">
        <v>4</v>
      </c>
      <c r="D1134">
        <v>3</v>
      </c>
      <c r="E1134">
        <v>1</v>
      </c>
      <c r="F1134" s="15">
        <v>45943</v>
      </c>
      <c r="G1134" t="s">
        <v>201</v>
      </c>
      <c r="H1134">
        <v>4</v>
      </c>
      <c r="I1134">
        <v>2025</v>
      </c>
      <c r="J1134">
        <v>10</v>
      </c>
      <c r="K1134" t="s">
        <v>87</v>
      </c>
      <c r="L1134" t="s">
        <v>53</v>
      </c>
      <c r="M1134" t="s">
        <v>8</v>
      </c>
      <c r="N1134" t="b">
        <v>0</v>
      </c>
      <c r="O1134">
        <v>0</v>
      </c>
      <c r="P1134">
        <v>1</v>
      </c>
      <c r="Q1134">
        <v>0</v>
      </c>
      <c r="R1134">
        <v>1</v>
      </c>
    </row>
    <row r="1135" spans="1:18" x14ac:dyDescent="0.25">
      <c r="A1135" t="s">
        <v>19</v>
      </c>
      <c r="B1135" t="s">
        <v>6</v>
      </c>
      <c r="C1135">
        <v>4</v>
      </c>
      <c r="D1135">
        <v>3</v>
      </c>
      <c r="E1135">
        <v>1</v>
      </c>
      <c r="F1135" s="15">
        <v>45943</v>
      </c>
      <c r="G1135" t="s">
        <v>201</v>
      </c>
      <c r="H1135">
        <v>4</v>
      </c>
      <c r="I1135">
        <v>2025</v>
      </c>
      <c r="J1135">
        <v>10</v>
      </c>
      <c r="K1135" t="s">
        <v>87</v>
      </c>
      <c r="L1135" t="s">
        <v>42</v>
      </c>
      <c r="M1135" t="s">
        <v>6</v>
      </c>
      <c r="N1135" t="b">
        <v>0</v>
      </c>
      <c r="O1135">
        <v>0</v>
      </c>
      <c r="P1135">
        <v>1</v>
      </c>
      <c r="Q1135">
        <v>0</v>
      </c>
      <c r="R1135">
        <v>0</v>
      </c>
    </row>
    <row r="1136" spans="1:18" x14ac:dyDescent="0.25">
      <c r="A1136" t="s">
        <v>19</v>
      </c>
      <c r="B1136" t="s">
        <v>6</v>
      </c>
      <c r="C1136">
        <v>4</v>
      </c>
      <c r="D1136">
        <v>3</v>
      </c>
      <c r="E1136">
        <v>1</v>
      </c>
      <c r="F1136" s="15">
        <v>45943</v>
      </c>
      <c r="G1136" t="s">
        <v>201</v>
      </c>
      <c r="H1136">
        <v>4</v>
      </c>
      <c r="I1136">
        <v>2025</v>
      </c>
      <c r="J1136">
        <v>10</v>
      </c>
      <c r="K1136" t="s">
        <v>87</v>
      </c>
      <c r="L1136" t="s">
        <v>9</v>
      </c>
      <c r="M1136" t="s">
        <v>6</v>
      </c>
      <c r="N1136" t="b">
        <v>0</v>
      </c>
      <c r="O1136">
        <v>0</v>
      </c>
      <c r="P1136">
        <v>1</v>
      </c>
      <c r="Q1136">
        <v>0</v>
      </c>
      <c r="R1136">
        <v>0</v>
      </c>
    </row>
    <row r="1137" spans="1:18" x14ac:dyDescent="0.25">
      <c r="A1137" t="s">
        <v>53</v>
      </c>
      <c r="B1137" t="s">
        <v>8</v>
      </c>
      <c r="C1137">
        <v>3</v>
      </c>
      <c r="D1137">
        <v>3</v>
      </c>
      <c r="E1137">
        <v>1</v>
      </c>
      <c r="F1137" s="15">
        <v>45943</v>
      </c>
      <c r="G1137" t="s">
        <v>201</v>
      </c>
      <c r="H1137">
        <v>4</v>
      </c>
      <c r="I1137">
        <v>2025</v>
      </c>
      <c r="J1137">
        <v>10</v>
      </c>
      <c r="K1137" t="s">
        <v>87</v>
      </c>
      <c r="L1137" t="s">
        <v>19</v>
      </c>
      <c r="M1137" t="s">
        <v>6</v>
      </c>
      <c r="N1137" t="b">
        <v>0</v>
      </c>
      <c r="O1137">
        <v>1</v>
      </c>
      <c r="P1137">
        <v>0</v>
      </c>
      <c r="Q1137">
        <v>0</v>
      </c>
      <c r="R1137">
        <v>0</v>
      </c>
    </row>
    <row r="1138" spans="1:18" x14ac:dyDescent="0.25">
      <c r="A1138" t="s">
        <v>53</v>
      </c>
      <c r="B1138" t="s">
        <v>8</v>
      </c>
      <c r="C1138">
        <v>3</v>
      </c>
      <c r="D1138">
        <v>3</v>
      </c>
      <c r="E1138">
        <v>1</v>
      </c>
      <c r="F1138" s="15">
        <v>45943</v>
      </c>
      <c r="G1138" t="s">
        <v>201</v>
      </c>
      <c r="H1138">
        <v>4</v>
      </c>
      <c r="I1138">
        <v>2025</v>
      </c>
      <c r="J1138">
        <v>10</v>
      </c>
      <c r="K1138" t="s">
        <v>87</v>
      </c>
      <c r="L1138" t="s">
        <v>42</v>
      </c>
      <c r="M1138" t="s">
        <v>6</v>
      </c>
      <c r="N1138" t="b">
        <v>0</v>
      </c>
      <c r="O1138">
        <v>1</v>
      </c>
      <c r="P1138">
        <v>0</v>
      </c>
      <c r="Q1138">
        <v>0</v>
      </c>
      <c r="R1138">
        <v>0</v>
      </c>
    </row>
    <row r="1139" spans="1:18" x14ac:dyDescent="0.25">
      <c r="A1139" t="s">
        <v>53</v>
      </c>
      <c r="B1139" t="s">
        <v>8</v>
      </c>
      <c r="C1139">
        <v>3</v>
      </c>
      <c r="D1139">
        <v>3</v>
      </c>
      <c r="E1139">
        <v>1</v>
      </c>
      <c r="F1139" s="15">
        <v>45943</v>
      </c>
      <c r="G1139" t="s">
        <v>201</v>
      </c>
      <c r="H1139">
        <v>4</v>
      </c>
      <c r="I1139">
        <v>2025</v>
      </c>
      <c r="J1139">
        <v>10</v>
      </c>
      <c r="K1139" t="s">
        <v>87</v>
      </c>
      <c r="L1139" t="s">
        <v>9</v>
      </c>
      <c r="M1139" t="s">
        <v>6</v>
      </c>
      <c r="N1139" t="b">
        <v>0</v>
      </c>
      <c r="O1139">
        <v>1</v>
      </c>
      <c r="P1139">
        <v>0</v>
      </c>
      <c r="Q1139">
        <v>0</v>
      </c>
      <c r="R1139">
        <v>0</v>
      </c>
    </row>
    <row r="1140" spans="1:18" x14ac:dyDescent="0.25">
      <c r="A1140" t="s">
        <v>42</v>
      </c>
      <c r="B1140" t="s">
        <v>6</v>
      </c>
      <c r="C1140">
        <v>1</v>
      </c>
      <c r="D1140">
        <v>3</v>
      </c>
      <c r="E1140">
        <v>1</v>
      </c>
      <c r="F1140" s="15">
        <v>45943</v>
      </c>
      <c r="G1140" t="s">
        <v>201</v>
      </c>
      <c r="H1140">
        <v>4</v>
      </c>
      <c r="I1140">
        <v>2025</v>
      </c>
      <c r="J1140">
        <v>10</v>
      </c>
      <c r="K1140" t="s">
        <v>87</v>
      </c>
      <c r="L1140" t="s">
        <v>19</v>
      </c>
      <c r="M1140" t="s">
        <v>6</v>
      </c>
      <c r="N1140" t="b">
        <v>0</v>
      </c>
      <c r="O1140">
        <v>0</v>
      </c>
      <c r="P1140">
        <v>1</v>
      </c>
      <c r="Q1140">
        <v>0</v>
      </c>
      <c r="R1140">
        <v>0</v>
      </c>
    </row>
    <row r="1141" spans="1:18" x14ac:dyDescent="0.25">
      <c r="A1141" t="s">
        <v>42</v>
      </c>
      <c r="B1141" t="s">
        <v>6</v>
      </c>
      <c r="C1141">
        <v>1</v>
      </c>
      <c r="D1141">
        <v>3</v>
      </c>
      <c r="E1141">
        <v>1</v>
      </c>
      <c r="F1141" s="15">
        <v>45943</v>
      </c>
      <c r="G1141" t="s">
        <v>201</v>
      </c>
      <c r="H1141">
        <v>4</v>
      </c>
      <c r="I1141">
        <v>2025</v>
      </c>
      <c r="J1141">
        <v>10</v>
      </c>
      <c r="K1141" t="s">
        <v>87</v>
      </c>
      <c r="L1141" t="s">
        <v>53</v>
      </c>
      <c r="M1141" t="s">
        <v>8</v>
      </c>
      <c r="N1141" t="b">
        <v>0</v>
      </c>
      <c r="O1141">
        <v>0</v>
      </c>
      <c r="P1141">
        <v>1</v>
      </c>
      <c r="Q1141">
        <v>0</v>
      </c>
      <c r="R1141">
        <v>1</v>
      </c>
    </row>
    <row r="1142" spans="1:18" x14ac:dyDescent="0.25">
      <c r="A1142" t="s">
        <v>42</v>
      </c>
      <c r="B1142" t="s">
        <v>6</v>
      </c>
      <c r="C1142">
        <v>1</v>
      </c>
      <c r="D1142">
        <v>3</v>
      </c>
      <c r="E1142">
        <v>1</v>
      </c>
      <c r="F1142" s="15">
        <v>45943</v>
      </c>
      <c r="G1142" t="s">
        <v>201</v>
      </c>
      <c r="H1142">
        <v>4</v>
      </c>
      <c r="I1142">
        <v>2025</v>
      </c>
      <c r="J1142">
        <v>10</v>
      </c>
      <c r="K1142" t="s">
        <v>87</v>
      </c>
      <c r="L1142" t="s">
        <v>9</v>
      </c>
      <c r="M1142" t="s">
        <v>6</v>
      </c>
      <c r="N1142" t="b">
        <v>0</v>
      </c>
      <c r="O1142">
        <v>0</v>
      </c>
      <c r="P1142">
        <v>1</v>
      </c>
      <c r="Q1142">
        <v>0</v>
      </c>
      <c r="R1142">
        <v>0</v>
      </c>
    </row>
    <row r="1143" spans="1:18" x14ac:dyDescent="0.25">
      <c r="A1143" t="s">
        <v>9</v>
      </c>
      <c r="B1143" t="s">
        <v>6</v>
      </c>
      <c r="C1143">
        <v>2</v>
      </c>
      <c r="D1143">
        <v>3</v>
      </c>
      <c r="E1143">
        <v>1</v>
      </c>
      <c r="F1143" s="15">
        <v>45943</v>
      </c>
      <c r="G1143" t="s">
        <v>201</v>
      </c>
      <c r="H1143">
        <v>4</v>
      </c>
      <c r="I1143">
        <v>2025</v>
      </c>
      <c r="J1143">
        <v>10</v>
      </c>
      <c r="K1143" t="s">
        <v>87</v>
      </c>
      <c r="L1143" t="s">
        <v>19</v>
      </c>
      <c r="M1143" t="s">
        <v>6</v>
      </c>
      <c r="N1143" t="b">
        <v>0</v>
      </c>
      <c r="O1143">
        <v>0</v>
      </c>
      <c r="P1143">
        <v>1</v>
      </c>
      <c r="Q1143">
        <v>0</v>
      </c>
      <c r="R1143">
        <v>0</v>
      </c>
    </row>
    <row r="1144" spans="1:18" x14ac:dyDescent="0.25">
      <c r="A1144" t="s">
        <v>9</v>
      </c>
      <c r="B1144" t="s">
        <v>6</v>
      </c>
      <c r="C1144">
        <v>2</v>
      </c>
      <c r="D1144">
        <v>3</v>
      </c>
      <c r="E1144">
        <v>1</v>
      </c>
      <c r="F1144" s="15">
        <v>45943</v>
      </c>
      <c r="G1144" t="s">
        <v>201</v>
      </c>
      <c r="H1144">
        <v>4</v>
      </c>
      <c r="I1144">
        <v>2025</v>
      </c>
      <c r="J1144">
        <v>10</v>
      </c>
      <c r="K1144" t="s">
        <v>87</v>
      </c>
      <c r="L1144" t="s">
        <v>53</v>
      </c>
      <c r="M1144" t="s">
        <v>8</v>
      </c>
      <c r="N1144" t="b">
        <v>0</v>
      </c>
      <c r="O1144">
        <v>0</v>
      </c>
      <c r="P1144">
        <v>1</v>
      </c>
      <c r="Q1144">
        <v>0</v>
      </c>
      <c r="R1144">
        <v>1</v>
      </c>
    </row>
    <row r="1145" spans="1:18" x14ac:dyDescent="0.25">
      <c r="A1145" t="s">
        <v>9</v>
      </c>
      <c r="B1145" t="s">
        <v>6</v>
      </c>
      <c r="C1145">
        <v>2</v>
      </c>
      <c r="D1145">
        <v>3</v>
      </c>
      <c r="E1145">
        <v>1</v>
      </c>
      <c r="F1145" s="15">
        <v>45943</v>
      </c>
      <c r="G1145" t="s">
        <v>201</v>
      </c>
      <c r="H1145">
        <v>4</v>
      </c>
      <c r="I1145">
        <v>2025</v>
      </c>
      <c r="J1145">
        <v>10</v>
      </c>
      <c r="K1145" t="s">
        <v>87</v>
      </c>
      <c r="L1145" t="s">
        <v>42</v>
      </c>
      <c r="M1145" t="s">
        <v>6</v>
      </c>
      <c r="N1145" t="b">
        <v>0</v>
      </c>
      <c r="O1145">
        <v>0</v>
      </c>
      <c r="P1145">
        <v>1</v>
      </c>
      <c r="Q1145">
        <v>0</v>
      </c>
      <c r="R1145">
        <v>0</v>
      </c>
    </row>
    <row r="1146" spans="1:18" x14ac:dyDescent="0.25">
      <c r="A1146" t="s">
        <v>19</v>
      </c>
      <c r="B1146" t="s">
        <v>8</v>
      </c>
      <c r="C1146">
        <v>3</v>
      </c>
      <c r="D1146">
        <v>3</v>
      </c>
      <c r="E1146">
        <v>1</v>
      </c>
      <c r="F1146" s="15">
        <v>46013</v>
      </c>
      <c r="G1146" t="s">
        <v>211</v>
      </c>
      <c r="H1146">
        <v>3</v>
      </c>
      <c r="I1146">
        <v>2025</v>
      </c>
      <c r="J1146">
        <v>12</v>
      </c>
      <c r="K1146" t="s">
        <v>87</v>
      </c>
      <c r="L1146" t="s">
        <v>7</v>
      </c>
      <c r="M1146" t="s">
        <v>6</v>
      </c>
      <c r="N1146" t="b">
        <v>0</v>
      </c>
      <c r="O1146">
        <v>1</v>
      </c>
      <c r="P1146">
        <v>0</v>
      </c>
      <c r="Q1146">
        <v>0</v>
      </c>
      <c r="R1146">
        <v>0</v>
      </c>
    </row>
    <row r="1147" spans="1:18" x14ac:dyDescent="0.25">
      <c r="A1147" t="s">
        <v>19</v>
      </c>
      <c r="B1147" t="s">
        <v>8</v>
      </c>
      <c r="C1147">
        <v>3</v>
      </c>
      <c r="D1147">
        <v>3</v>
      </c>
      <c r="E1147">
        <v>1</v>
      </c>
      <c r="F1147" s="15">
        <v>46013</v>
      </c>
      <c r="G1147" t="s">
        <v>211</v>
      </c>
      <c r="H1147">
        <v>3</v>
      </c>
      <c r="I1147">
        <v>2025</v>
      </c>
      <c r="J1147">
        <v>12</v>
      </c>
      <c r="K1147" t="s">
        <v>87</v>
      </c>
      <c r="L1147" t="s">
        <v>22</v>
      </c>
      <c r="M1147" t="s">
        <v>6</v>
      </c>
      <c r="N1147" t="b">
        <v>0</v>
      </c>
      <c r="O1147">
        <v>1</v>
      </c>
      <c r="P1147">
        <v>0</v>
      </c>
      <c r="Q1147">
        <v>0</v>
      </c>
      <c r="R1147">
        <v>0</v>
      </c>
    </row>
    <row r="1148" spans="1:18" x14ac:dyDescent="0.25">
      <c r="A1148" t="s">
        <v>7</v>
      </c>
      <c r="B1148" t="s">
        <v>6</v>
      </c>
      <c r="C1148">
        <v>2</v>
      </c>
      <c r="D1148">
        <v>3</v>
      </c>
      <c r="E1148">
        <v>1</v>
      </c>
      <c r="F1148" s="15">
        <v>46013</v>
      </c>
      <c r="G1148" t="s">
        <v>211</v>
      </c>
      <c r="H1148">
        <v>3</v>
      </c>
      <c r="I1148">
        <v>2025</v>
      </c>
      <c r="J1148">
        <v>12</v>
      </c>
      <c r="K1148" t="s">
        <v>87</v>
      </c>
      <c r="L1148" t="s">
        <v>19</v>
      </c>
      <c r="M1148" t="s">
        <v>8</v>
      </c>
      <c r="N1148" t="b">
        <v>0</v>
      </c>
      <c r="O1148">
        <v>0</v>
      </c>
      <c r="P1148">
        <v>1</v>
      </c>
      <c r="Q1148">
        <v>0</v>
      </c>
      <c r="R1148">
        <v>1</v>
      </c>
    </row>
    <row r="1149" spans="1:18" x14ac:dyDescent="0.25">
      <c r="A1149" t="s">
        <v>7</v>
      </c>
      <c r="B1149" t="s">
        <v>6</v>
      </c>
      <c r="C1149">
        <v>2</v>
      </c>
      <c r="D1149">
        <v>3</v>
      </c>
      <c r="E1149">
        <v>1</v>
      </c>
      <c r="F1149" s="15">
        <v>46013</v>
      </c>
      <c r="G1149" t="s">
        <v>211</v>
      </c>
      <c r="H1149">
        <v>3</v>
      </c>
      <c r="I1149">
        <v>2025</v>
      </c>
      <c r="J1149">
        <v>12</v>
      </c>
      <c r="K1149" t="s">
        <v>87</v>
      </c>
      <c r="L1149" t="s">
        <v>22</v>
      </c>
      <c r="M1149" t="s">
        <v>6</v>
      </c>
      <c r="N1149" t="b">
        <v>0</v>
      </c>
      <c r="O1149">
        <v>0</v>
      </c>
      <c r="P1149">
        <v>1</v>
      </c>
      <c r="Q1149">
        <v>0</v>
      </c>
      <c r="R1149">
        <v>0</v>
      </c>
    </row>
    <row r="1150" spans="1:18" x14ac:dyDescent="0.25">
      <c r="A1150" t="s">
        <v>22</v>
      </c>
      <c r="B1150" t="s">
        <v>6</v>
      </c>
      <c r="C1150">
        <v>1</v>
      </c>
      <c r="D1150">
        <v>3</v>
      </c>
      <c r="E1150">
        <v>1</v>
      </c>
      <c r="F1150" s="15">
        <v>46013</v>
      </c>
      <c r="G1150" t="s">
        <v>211</v>
      </c>
      <c r="H1150">
        <v>3</v>
      </c>
      <c r="I1150">
        <v>2025</v>
      </c>
      <c r="J1150">
        <v>12</v>
      </c>
      <c r="K1150" t="s">
        <v>87</v>
      </c>
      <c r="L1150" t="s">
        <v>19</v>
      </c>
      <c r="M1150" t="s">
        <v>8</v>
      </c>
      <c r="N1150" t="b">
        <v>0</v>
      </c>
      <c r="O1150">
        <v>0</v>
      </c>
      <c r="P1150">
        <v>1</v>
      </c>
      <c r="Q1150">
        <v>0</v>
      </c>
      <c r="R1150">
        <v>1</v>
      </c>
    </row>
    <row r="1151" spans="1:18" x14ac:dyDescent="0.25">
      <c r="A1151" t="s">
        <v>22</v>
      </c>
      <c r="B1151" t="s">
        <v>6</v>
      </c>
      <c r="C1151">
        <v>1</v>
      </c>
      <c r="D1151">
        <v>3</v>
      </c>
      <c r="E1151">
        <v>1</v>
      </c>
      <c r="F1151" s="15">
        <v>46013</v>
      </c>
      <c r="G1151" t="s">
        <v>211</v>
      </c>
      <c r="H1151">
        <v>3</v>
      </c>
      <c r="I1151">
        <v>2025</v>
      </c>
      <c r="J1151">
        <v>12</v>
      </c>
      <c r="K1151" t="s">
        <v>87</v>
      </c>
      <c r="L1151" t="s">
        <v>7</v>
      </c>
      <c r="M1151" t="s">
        <v>6</v>
      </c>
      <c r="N1151" t="b">
        <v>0</v>
      </c>
      <c r="O1151">
        <v>0</v>
      </c>
      <c r="P1151">
        <v>1</v>
      </c>
      <c r="Q1151">
        <v>0</v>
      </c>
      <c r="R1151">
        <v>0</v>
      </c>
    </row>
    <row r="1152" spans="1:18" x14ac:dyDescent="0.25">
      <c r="A1152" t="s">
        <v>19</v>
      </c>
      <c r="B1152" t="s">
        <v>6</v>
      </c>
      <c r="C1152">
        <v>3</v>
      </c>
      <c r="D1152">
        <v>3</v>
      </c>
      <c r="E1152">
        <v>2</v>
      </c>
      <c r="F1152" s="15">
        <v>45929</v>
      </c>
      <c r="G1152" t="s">
        <v>223</v>
      </c>
      <c r="H1152">
        <v>4</v>
      </c>
      <c r="I1152">
        <v>2025</v>
      </c>
      <c r="J1152">
        <v>9</v>
      </c>
      <c r="K1152" t="s">
        <v>87</v>
      </c>
      <c r="L1152" t="s">
        <v>13</v>
      </c>
      <c r="M1152" t="s">
        <v>6</v>
      </c>
      <c r="N1152" t="b">
        <v>0</v>
      </c>
      <c r="O1152">
        <v>0</v>
      </c>
      <c r="P1152">
        <v>1</v>
      </c>
      <c r="Q1152">
        <v>0</v>
      </c>
      <c r="R1152">
        <v>0</v>
      </c>
    </row>
    <row r="1153" spans="1:18" x14ac:dyDescent="0.25">
      <c r="A1153" t="s">
        <v>19</v>
      </c>
      <c r="B1153" t="s">
        <v>6</v>
      </c>
      <c r="C1153">
        <v>3</v>
      </c>
      <c r="D1153">
        <v>3</v>
      </c>
      <c r="E1153">
        <v>2</v>
      </c>
      <c r="F1153" s="15">
        <v>45929</v>
      </c>
      <c r="G1153" t="s">
        <v>223</v>
      </c>
      <c r="H1153">
        <v>4</v>
      </c>
      <c r="I1153">
        <v>2025</v>
      </c>
      <c r="J1153">
        <v>9</v>
      </c>
      <c r="K1153" t="s">
        <v>87</v>
      </c>
      <c r="L1153" t="s">
        <v>20</v>
      </c>
      <c r="M1153" t="s">
        <v>8</v>
      </c>
      <c r="N1153" t="b">
        <v>0</v>
      </c>
      <c r="O1153">
        <v>0</v>
      </c>
      <c r="P1153">
        <v>1</v>
      </c>
      <c r="Q1153">
        <v>0</v>
      </c>
      <c r="R1153">
        <v>1</v>
      </c>
    </row>
    <row r="1154" spans="1:18" x14ac:dyDescent="0.25">
      <c r="A1154" t="s">
        <v>19</v>
      </c>
      <c r="B1154" t="s">
        <v>6</v>
      </c>
      <c r="C1154">
        <v>3</v>
      </c>
      <c r="D1154">
        <v>3</v>
      </c>
      <c r="E1154">
        <v>2</v>
      </c>
      <c r="F1154" s="15">
        <v>45929</v>
      </c>
      <c r="G1154" t="s">
        <v>223</v>
      </c>
      <c r="H1154">
        <v>4</v>
      </c>
      <c r="I1154">
        <v>2025</v>
      </c>
      <c r="J1154">
        <v>9</v>
      </c>
      <c r="K1154" t="s">
        <v>87</v>
      </c>
      <c r="L1154" t="s">
        <v>326</v>
      </c>
      <c r="M1154" t="s">
        <v>6</v>
      </c>
      <c r="N1154" t="b">
        <v>0</v>
      </c>
      <c r="O1154">
        <v>0</v>
      </c>
      <c r="P1154">
        <v>1</v>
      </c>
      <c r="Q1154">
        <v>0</v>
      </c>
      <c r="R1154">
        <v>0</v>
      </c>
    </row>
    <row r="1155" spans="1:18" x14ac:dyDescent="0.25">
      <c r="A1155" t="s">
        <v>13</v>
      </c>
      <c r="B1155" t="s">
        <v>6</v>
      </c>
      <c r="C1155">
        <v>1</v>
      </c>
      <c r="D1155">
        <v>3</v>
      </c>
      <c r="E1155">
        <v>2</v>
      </c>
      <c r="F1155" s="15">
        <v>45929</v>
      </c>
      <c r="G1155" t="s">
        <v>223</v>
      </c>
      <c r="H1155">
        <v>4</v>
      </c>
      <c r="I1155">
        <v>2025</v>
      </c>
      <c r="J1155">
        <v>9</v>
      </c>
      <c r="K1155" t="s">
        <v>87</v>
      </c>
      <c r="L1155" t="s">
        <v>19</v>
      </c>
      <c r="M1155" t="s">
        <v>6</v>
      </c>
      <c r="N1155" t="b">
        <v>0</v>
      </c>
      <c r="O1155">
        <v>0</v>
      </c>
      <c r="P1155">
        <v>1</v>
      </c>
      <c r="Q1155">
        <v>0</v>
      </c>
      <c r="R1155">
        <v>0</v>
      </c>
    </row>
    <row r="1156" spans="1:18" x14ac:dyDescent="0.25">
      <c r="A1156" t="s">
        <v>13</v>
      </c>
      <c r="B1156" t="s">
        <v>6</v>
      </c>
      <c r="C1156">
        <v>1</v>
      </c>
      <c r="D1156">
        <v>3</v>
      </c>
      <c r="E1156">
        <v>2</v>
      </c>
      <c r="F1156" s="15">
        <v>45929</v>
      </c>
      <c r="G1156" t="s">
        <v>223</v>
      </c>
      <c r="H1156">
        <v>4</v>
      </c>
      <c r="I1156">
        <v>2025</v>
      </c>
      <c r="J1156">
        <v>9</v>
      </c>
      <c r="K1156" t="s">
        <v>87</v>
      </c>
      <c r="L1156" t="s">
        <v>20</v>
      </c>
      <c r="M1156" t="s">
        <v>8</v>
      </c>
      <c r="N1156" t="b">
        <v>0</v>
      </c>
      <c r="O1156">
        <v>0</v>
      </c>
      <c r="P1156">
        <v>1</v>
      </c>
      <c r="Q1156">
        <v>0</v>
      </c>
      <c r="R1156">
        <v>1</v>
      </c>
    </row>
    <row r="1157" spans="1:18" x14ac:dyDescent="0.25">
      <c r="A1157" t="s">
        <v>13</v>
      </c>
      <c r="B1157" t="s">
        <v>6</v>
      </c>
      <c r="C1157">
        <v>1</v>
      </c>
      <c r="D1157">
        <v>3</v>
      </c>
      <c r="E1157">
        <v>2</v>
      </c>
      <c r="F1157" s="15">
        <v>45929</v>
      </c>
      <c r="G1157" t="s">
        <v>223</v>
      </c>
      <c r="H1157">
        <v>4</v>
      </c>
      <c r="I1157">
        <v>2025</v>
      </c>
      <c r="J1157">
        <v>9</v>
      </c>
      <c r="K1157" t="s">
        <v>87</v>
      </c>
      <c r="L1157" t="s">
        <v>326</v>
      </c>
      <c r="M1157" t="s">
        <v>6</v>
      </c>
      <c r="N1157" t="b">
        <v>0</v>
      </c>
      <c r="O1157">
        <v>0</v>
      </c>
      <c r="P1157">
        <v>1</v>
      </c>
      <c r="Q1157">
        <v>0</v>
      </c>
      <c r="R1157">
        <v>0</v>
      </c>
    </row>
    <row r="1158" spans="1:18" x14ac:dyDescent="0.25">
      <c r="A1158" t="s">
        <v>20</v>
      </c>
      <c r="B1158" t="s">
        <v>8</v>
      </c>
      <c r="C1158">
        <v>4</v>
      </c>
      <c r="D1158">
        <v>3</v>
      </c>
      <c r="E1158">
        <v>2</v>
      </c>
      <c r="F1158" s="15">
        <v>45929</v>
      </c>
      <c r="G1158" t="s">
        <v>223</v>
      </c>
      <c r="H1158">
        <v>4</v>
      </c>
      <c r="I1158">
        <v>2025</v>
      </c>
      <c r="J1158">
        <v>9</v>
      </c>
      <c r="K1158" t="s">
        <v>87</v>
      </c>
      <c r="L1158" t="s">
        <v>19</v>
      </c>
      <c r="M1158" t="s">
        <v>6</v>
      </c>
      <c r="N1158" t="b">
        <v>0</v>
      </c>
      <c r="O1158">
        <v>1</v>
      </c>
      <c r="P1158">
        <v>0</v>
      </c>
      <c r="Q1158">
        <v>0</v>
      </c>
      <c r="R1158">
        <v>0</v>
      </c>
    </row>
    <row r="1159" spans="1:18" x14ac:dyDescent="0.25">
      <c r="A1159" t="s">
        <v>20</v>
      </c>
      <c r="B1159" t="s">
        <v>8</v>
      </c>
      <c r="C1159">
        <v>4</v>
      </c>
      <c r="D1159">
        <v>3</v>
      </c>
      <c r="E1159">
        <v>2</v>
      </c>
      <c r="F1159" s="15">
        <v>45929</v>
      </c>
      <c r="G1159" t="s">
        <v>223</v>
      </c>
      <c r="H1159">
        <v>4</v>
      </c>
      <c r="I1159">
        <v>2025</v>
      </c>
      <c r="J1159">
        <v>9</v>
      </c>
      <c r="K1159" t="s">
        <v>87</v>
      </c>
      <c r="L1159" t="s">
        <v>13</v>
      </c>
      <c r="M1159" t="s">
        <v>6</v>
      </c>
      <c r="N1159" t="b">
        <v>0</v>
      </c>
      <c r="O1159">
        <v>1</v>
      </c>
      <c r="P1159">
        <v>0</v>
      </c>
      <c r="Q1159">
        <v>0</v>
      </c>
      <c r="R1159">
        <v>0</v>
      </c>
    </row>
    <row r="1160" spans="1:18" x14ac:dyDescent="0.25">
      <c r="A1160" t="s">
        <v>20</v>
      </c>
      <c r="B1160" t="s">
        <v>8</v>
      </c>
      <c r="C1160">
        <v>4</v>
      </c>
      <c r="D1160">
        <v>3</v>
      </c>
      <c r="E1160">
        <v>2</v>
      </c>
      <c r="F1160" s="15">
        <v>45929</v>
      </c>
      <c r="G1160" t="s">
        <v>223</v>
      </c>
      <c r="H1160">
        <v>4</v>
      </c>
      <c r="I1160">
        <v>2025</v>
      </c>
      <c r="J1160">
        <v>9</v>
      </c>
      <c r="K1160" t="s">
        <v>87</v>
      </c>
      <c r="L1160" t="s">
        <v>326</v>
      </c>
      <c r="M1160" t="s">
        <v>6</v>
      </c>
      <c r="N1160" t="b">
        <v>0</v>
      </c>
      <c r="O1160">
        <v>1</v>
      </c>
      <c r="P1160">
        <v>0</v>
      </c>
      <c r="Q1160">
        <v>0</v>
      </c>
      <c r="R1160">
        <v>0</v>
      </c>
    </row>
    <row r="1161" spans="1:18" x14ac:dyDescent="0.25">
      <c r="A1161" t="s">
        <v>326</v>
      </c>
      <c r="B1161" t="s">
        <v>6</v>
      </c>
      <c r="C1161">
        <v>2</v>
      </c>
      <c r="D1161">
        <v>3</v>
      </c>
      <c r="E1161">
        <v>2</v>
      </c>
      <c r="F1161" s="15">
        <v>45929</v>
      </c>
      <c r="G1161" t="s">
        <v>223</v>
      </c>
      <c r="H1161">
        <v>4</v>
      </c>
      <c r="I1161">
        <v>2025</v>
      </c>
      <c r="J1161">
        <v>9</v>
      </c>
      <c r="K1161" t="s">
        <v>87</v>
      </c>
      <c r="L1161" t="s">
        <v>19</v>
      </c>
      <c r="M1161" t="s">
        <v>6</v>
      </c>
      <c r="N1161" t="b">
        <v>0</v>
      </c>
      <c r="O1161">
        <v>0</v>
      </c>
      <c r="P1161">
        <v>1</v>
      </c>
      <c r="Q1161">
        <v>0</v>
      </c>
      <c r="R1161">
        <v>0</v>
      </c>
    </row>
    <row r="1162" spans="1:18" x14ac:dyDescent="0.25">
      <c r="A1162" t="s">
        <v>326</v>
      </c>
      <c r="B1162" t="s">
        <v>6</v>
      </c>
      <c r="C1162">
        <v>2</v>
      </c>
      <c r="D1162">
        <v>3</v>
      </c>
      <c r="E1162">
        <v>2</v>
      </c>
      <c r="F1162" s="15">
        <v>45929</v>
      </c>
      <c r="G1162" t="s">
        <v>223</v>
      </c>
      <c r="H1162">
        <v>4</v>
      </c>
      <c r="I1162">
        <v>2025</v>
      </c>
      <c r="J1162">
        <v>9</v>
      </c>
      <c r="K1162" t="s">
        <v>87</v>
      </c>
      <c r="L1162" t="s">
        <v>13</v>
      </c>
      <c r="M1162" t="s">
        <v>6</v>
      </c>
      <c r="N1162" t="b">
        <v>0</v>
      </c>
      <c r="O1162">
        <v>0</v>
      </c>
      <c r="P1162">
        <v>1</v>
      </c>
      <c r="Q1162">
        <v>0</v>
      </c>
      <c r="R1162">
        <v>0</v>
      </c>
    </row>
    <row r="1163" spans="1:18" x14ac:dyDescent="0.25">
      <c r="A1163" t="s">
        <v>326</v>
      </c>
      <c r="B1163" t="s">
        <v>6</v>
      </c>
      <c r="C1163">
        <v>2</v>
      </c>
      <c r="D1163">
        <v>3</v>
      </c>
      <c r="E1163">
        <v>2</v>
      </c>
      <c r="F1163" s="15">
        <v>45929</v>
      </c>
      <c r="G1163" t="s">
        <v>223</v>
      </c>
      <c r="H1163">
        <v>4</v>
      </c>
      <c r="I1163">
        <v>2025</v>
      </c>
      <c r="J1163">
        <v>9</v>
      </c>
      <c r="K1163" t="s">
        <v>87</v>
      </c>
      <c r="L1163" t="s">
        <v>20</v>
      </c>
      <c r="M1163" t="s">
        <v>8</v>
      </c>
      <c r="N1163" t="b">
        <v>0</v>
      </c>
      <c r="O1163">
        <v>0</v>
      </c>
      <c r="P1163">
        <v>1</v>
      </c>
      <c r="Q1163">
        <v>0</v>
      </c>
      <c r="R1163">
        <v>1</v>
      </c>
    </row>
    <row r="1164" spans="1:18" x14ac:dyDescent="0.25">
      <c r="A1164" t="s">
        <v>19</v>
      </c>
      <c r="B1164" t="s">
        <v>6</v>
      </c>
      <c r="C1164">
        <v>5</v>
      </c>
      <c r="D1164">
        <v>3</v>
      </c>
      <c r="E1164">
        <v>2</v>
      </c>
      <c r="F1164" s="15">
        <v>45964</v>
      </c>
      <c r="G1164" t="s">
        <v>228</v>
      </c>
      <c r="H1164">
        <v>5</v>
      </c>
      <c r="I1164">
        <v>2025</v>
      </c>
      <c r="J1164">
        <v>11</v>
      </c>
      <c r="K1164" t="s">
        <v>87</v>
      </c>
      <c r="L1164" t="s">
        <v>436</v>
      </c>
      <c r="M1164" t="s">
        <v>6</v>
      </c>
      <c r="N1164" t="b">
        <v>0</v>
      </c>
      <c r="O1164">
        <v>0</v>
      </c>
      <c r="P1164">
        <v>1</v>
      </c>
      <c r="Q1164">
        <v>0</v>
      </c>
      <c r="R1164">
        <v>0</v>
      </c>
    </row>
    <row r="1165" spans="1:18" x14ac:dyDescent="0.25">
      <c r="A1165" t="s">
        <v>19</v>
      </c>
      <c r="B1165" t="s">
        <v>6</v>
      </c>
      <c r="C1165">
        <v>5</v>
      </c>
      <c r="D1165">
        <v>3</v>
      </c>
      <c r="E1165">
        <v>2</v>
      </c>
      <c r="F1165" s="15">
        <v>45964</v>
      </c>
      <c r="G1165" t="s">
        <v>228</v>
      </c>
      <c r="H1165">
        <v>5</v>
      </c>
      <c r="I1165">
        <v>2025</v>
      </c>
      <c r="J1165">
        <v>11</v>
      </c>
      <c r="K1165" t="s">
        <v>87</v>
      </c>
      <c r="L1165" t="s">
        <v>38</v>
      </c>
      <c r="M1165" t="s">
        <v>6</v>
      </c>
      <c r="N1165" t="b">
        <v>0</v>
      </c>
      <c r="O1165">
        <v>0</v>
      </c>
      <c r="P1165">
        <v>1</v>
      </c>
      <c r="Q1165">
        <v>0</v>
      </c>
      <c r="R1165">
        <v>0</v>
      </c>
    </row>
    <row r="1166" spans="1:18" x14ac:dyDescent="0.25">
      <c r="A1166" t="s">
        <v>19</v>
      </c>
      <c r="B1166" t="s">
        <v>6</v>
      </c>
      <c r="C1166">
        <v>5</v>
      </c>
      <c r="D1166">
        <v>3</v>
      </c>
      <c r="E1166">
        <v>2</v>
      </c>
      <c r="F1166" s="15">
        <v>45964</v>
      </c>
      <c r="G1166" t="s">
        <v>228</v>
      </c>
      <c r="H1166">
        <v>5</v>
      </c>
      <c r="I1166">
        <v>2025</v>
      </c>
      <c r="J1166">
        <v>11</v>
      </c>
      <c r="K1166" t="s">
        <v>87</v>
      </c>
      <c r="L1166" t="s">
        <v>41</v>
      </c>
      <c r="M1166" t="s">
        <v>8</v>
      </c>
      <c r="N1166" t="b">
        <v>0</v>
      </c>
      <c r="O1166">
        <v>0</v>
      </c>
      <c r="P1166">
        <v>1</v>
      </c>
      <c r="Q1166">
        <v>0</v>
      </c>
      <c r="R1166">
        <v>1</v>
      </c>
    </row>
    <row r="1167" spans="1:18" x14ac:dyDescent="0.25">
      <c r="A1167" t="s">
        <v>19</v>
      </c>
      <c r="B1167" t="s">
        <v>6</v>
      </c>
      <c r="C1167">
        <v>5</v>
      </c>
      <c r="D1167">
        <v>3</v>
      </c>
      <c r="E1167">
        <v>2</v>
      </c>
      <c r="F1167" s="15">
        <v>45964</v>
      </c>
      <c r="G1167" t="s">
        <v>228</v>
      </c>
      <c r="H1167">
        <v>5</v>
      </c>
      <c r="I1167">
        <v>2025</v>
      </c>
      <c r="J1167">
        <v>11</v>
      </c>
      <c r="K1167" t="s">
        <v>87</v>
      </c>
      <c r="L1167" t="s">
        <v>62</v>
      </c>
      <c r="M1167" t="s">
        <v>6</v>
      </c>
      <c r="N1167" t="b">
        <v>0</v>
      </c>
      <c r="O1167">
        <v>0</v>
      </c>
      <c r="P1167">
        <v>1</v>
      </c>
      <c r="Q1167">
        <v>0</v>
      </c>
      <c r="R1167">
        <v>0</v>
      </c>
    </row>
    <row r="1168" spans="1:18" x14ac:dyDescent="0.25">
      <c r="A1168" t="s">
        <v>436</v>
      </c>
      <c r="B1168" t="s">
        <v>6</v>
      </c>
      <c r="C1168">
        <v>4</v>
      </c>
      <c r="D1168">
        <v>3</v>
      </c>
      <c r="E1168">
        <v>2</v>
      </c>
      <c r="F1168" s="15">
        <v>45964</v>
      </c>
      <c r="G1168" t="s">
        <v>228</v>
      </c>
      <c r="H1168">
        <v>5</v>
      </c>
      <c r="I1168">
        <v>2025</v>
      </c>
      <c r="J1168">
        <v>11</v>
      </c>
      <c r="K1168" t="s">
        <v>87</v>
      </c>
      <c r="L1168" t="s">
        <v>19</v>
      </c>
      <c r="M1168" t="s">
        <v>6</v>
      </c>
      <c r="N1168" t="b">
        <v>0</v>
      </c>
      <c r="O1168">
        <v>0</v>
      </c>
      <c r="P1168">
        <v>1</v>
      </c>
      <c r="Q1168">
        <v>0</v>
      </c>
      <c r="R1168">
        <v>0</v>
      </c>
    </row>
    <row r="1169" spans="1:18" x14ac:dyDescent="0.25">
      <c r="A1169" t="s">
        <v>436</v>
      </c>
      <c r="B1169" t="s">
        <v>6</v>
      </c>
      <c r="C1169">
        <v>4</v>
      </c>
      <c r="D1169">
        <v>3</v>
      </c>
      <c r="E1169">
        <v>2</v>
      </c>
      <c r="F1169" s="15">
        <v>45964</v>
      </c>
      <c r="G1169" t="s">
        <v>228</v>
      </c>
      <c r="H1169">
        <v>5</v>
      </c>
      <c r="I1169">
        <v>2025</v>
      </c>
      <c r="J1169">
        <v>11</v>
      </c>
      <c r="K1169" t="s">
        <v>87</v>
      </c>
      <c r="L1169" t="s">
        <v>38</v>
      </c>
      <c r="M1169" t="s">
        <v>6</v>
      </c>
      <c r="N1169" t="b">
        <v>0</v>
      </c>
      <c r="O1169">
        <v>0</v>
      </c>
      <c r="P1169">
        <v>1</v>
      </c>
      <c r="Q1169">
        <v>0</v>
      </c>
      <c r="R1169">
        <v>0</v>
      </c>
    </row>
    <row r="1170" spans="1:18" x14ac:dyDescent="0.25">
      <c r="A1170" t="s">
        <v>436</v>
      </c>
      <c r="B1170" t="s">
        <v>6</v>
      </c>
      <c r="C1170">
        <v>4</v>
      </c>
      <c r="D1170">
        <v>3</v>
      </c>
      <c r="E1170">
        <v>2</v>
      </c>
      <c r="F1170" s="15">
        <v>45964</v>
      </c>
      <c r="G1170" t="s">
        <v>228</v>
      </c>
      <c r="H1170">
        <v>5</v>
      </c>
      <c r="I1170">
        <v>2025</v>
      </c>
      <c r="J1170">
        <v>11</v>
      </c>
      <c r="K1170" t="s">
        <v>87</v>
      </c>
      <c r="L1170" t="s">
        <v>41</v>
      </c>
      <c r="M1170" t="s">
        <v>8</v>
      </c>
      <c r="N1170" t="b">
        <v>0</v>
      </c>
      <c r="O1170">
        <v>0</v>
      </c>
      <c r="P1170">
        <v>1</v>
      </c>
      <c r="Q1170">
        <v>0</v>
      </c>
      <c r="R1170">
        <v>1</v>
      </c>
    </row>
    <row r="1171" spans="1:18" x14ac:dyDescent="0.25">
      <c r="A1171" t="s">
        <v>436</v>
      </c>
      <c r="B1171" t="s">
        <v>6</v>
      </c>
      <c r="C1171">
        <v>4</v>
      </c>
      <c r="D1171">
        <v>3</v>
      </c>
      <c r="E1171">
        <v>2</v>
      </c>
      <c r="F1171" s="15">
        <v>45964</v>
      </c>
      <c r="G1171" t="s">
        <v>228</v>
      </c>
      <c r="H1171">
        <v>5</v>
      </c>
      <c r="I1171">
        <v>2025</v>
      </c>
      <c r="J1171">
        <v>11</v>
      </c>
      <c r="K1171" t="s">
        <v>87</v>
      </c>
      <c r="L1171" t="s">
        <v>62</v>
      </c>
      <c r="M1171" t="s">
        <v>6</v>
      </c>
      <c r="N1171" t="b">
        <v>0</v>
      </c>
      <c r="O1171">
        <v>0</v>
      </c>
      <c r="P1171">
        <v>1</v>
      </c>
      <c r="Q1171">
        <v>0</v>
      </c>
      <c r="R1171">
        <v>0</v>
      </c>
    </row>
    <row r="1172" spans="1:18" x14ac:dyDescent="0.25">
      <c r="A1172" t="s">
        <v>38</v>
      </c>
      <c r="B1172" t="s">
        <v>6</v>
      </c>
      <c r="C1172">
        <v>1</v>
      </c>
      <c r="D1172">
        <v>3</v>
      </c>
      <c r="E1172">
        <v>2</v>
      </c>
      <c r="F1172" s="15">
        <v>45964</v>
      </c>
      <c r="G1172" t="s">
        <v>228</v>
      </c>
      <c r="H1172">
        <v>5</v>
      </c>
      <c r="I1172">
        <v>2025</v>
      </c>
      <c r="J1172">
        <v>11</v>
      </c>
      <c r="K1172" t="s">
        <v>87</v>
      </c>
      <c r="L1172" t="s">
        <v>19</v>
      </c>
      <c r="M1172" t="s">
        <v>6</v>
      </c>
      <c r="N1172" t="b">
        <v>0</v>
      </c>
      <c r="O1172">
        <v>0</v>
      </c>
      <c r="P1172">
        <v>1</v>
      </c>
      <c r="Q1172">
        <v>0</v>
      </c>
      <c r="R1172">
        <v>0</v>
      </c>
    </row>
    <row r="1173" spans="1:18" x14ac:dyDescent="0.25">
      <c r="A1173" t="s">
        <v>38</v>
      </c>
      <c r="B1173" t="s">
        <v>6</v>
      </c>
      <c r="C1173">
        <v>1</v>
      </c>
      <c r="D1173">
        <v>3</v>
      </c>
      <c r="E1173">
        <v>2</v>
      </c>
      <c r="F1173" s="15">
        <v>45964</v>
      </c>
      <c r="G1173" t="s">
        <v>228</v>
      </c>
      <c r="H1173">
        <v>5</v>
      </c>
      <c r="I1173">
        <v>2025</v>
      </c>
      <c r="J1173">
        <v>11</v>
      </c>
      <c r="K1173" t="s">
        <v>87</v>
      </c>
      <c r="L1173" t="s">
        <v>436</v>
      </c>
      <c r="M1173" t="s">
        <v>6</v>
      </c>
      <c r="N1173" t="b">
        <v>0</v>
      </c>
      <c r="O1173">
        <v>0</v>
      </c>
      <c r="P1173">
        <v>1</v>
      </c>
      <c r="Q1173">
        <v>0</v>
      </c>
      <c r="R1173">
        <v>0</v>
      </c>
    </row>
    <row r="1174" spans="1:18" x14ac:dyDescent="0.25">
      <c r="A1174" t="s">
        <v>38</v>
      </c>
      <c r="B1174" t="s">
        <v>6</v>
      </c>
      <c r="C1174">
        <v>1</v>
      </c>
      <c r="D1174">
        <v>3</v>
      </c>
      <c r="E1174">
        <v>2</v>
      </c>
      <c r="F1174" s="15">
        <v>45964</v>
      </c>
      <c r="G1174" t="s">
        <v>228</v>
      </c>
      <c r="H1174">
        <v>5</v>
      </c>
      <c r="I1174">
        <v>2025</v>
      </c>
      <c r="J1174">
        <v>11</v>
      </c>
      <c r="K1174" t="s">
        <v>87</v>
      </c>
      <c r="L1174" t="s">
        <v>41</v>
      </c>
      <c r="M1174" t="s">
        <v>8</v>
      </c>
      <c r="N1174" t="b">
        <v>0</v>
      </c>
      <c r="O1174">
        <v>0</v>
      </c>
      <c r="P1174">
        <v>1</v>
      </c>
      <c r="Q1174">
        <v>0</v>
      </c>
      <c r="R1174">
        <v>1</v>
      </c>
    </row>
    <row r="1175" spans="1:18" x14ac:dyDescent="0.25">
      <c r="A1175" t="s">
        <v>38</v>
      </c>
      <c r="B1175" t="s">
        <v>6</v>
      </c>
      <c r="C1175">
        <v>1</v>
      </c>
      <c r="D1175">
        <v>3</v>
      </c>
      <c r="E1175">
        <v>2</v>
      </c>
      <c r="F1175" s="15">
        <v>45964</v>
      </c>
      <c r="G1175" t="s">
        <v>228</v>
      </c>
      <c r="H1175">
        <v>5</v>
      </c>
      <c r="I1175">
        <v>2025</v>
      </c>
      <c r="J1175">
        <v>11</v>
      </c>
      <c r="K1175" t="s">
        <v>87</v>
      </c>
      <c r="L1175" t="s">
        <v>62</v>
      </c>
      <c r="M1175" t="s">
        <v>6</v>
      </c>
      <c r="N1175" t="b">
        <v>0</v>
      </c>
      <c r="O1175">
        <v>0</v>
      </c>
      <c r="P1175">
        <v>1</v>
      </c>
      <c r="Q1175">
        <v>0</v>
      </c>
      <c r="R1175">
        <v>0</v>
      </c>
    </row>
    <row r="1176" spans="1:18" x14ac:dyDescent="0.25">
      <c r="A1176" t="s">
        <v>41</v>
      </c>
      <c r="B1176" t="s">
        <v>8</v>
      </c>
      <c r="C1176">
        <v>3</v>
      </c>
      <c r="D1176">
        <v>3</v>
      </c>
      <c r="E1176">
        <v>2</v>
      </c>
      <c r="F1176" s="15">
        <v>45964</v>
      </c>
      <c r="G1176" t="s">
        <v>228</v>
      </c>
      <c r="H1176">
        <v>5</v>
      </c>
      <c r="I1176">
        <v>2025</v>
      </c>
      <c r="J1176">
        <v>11</v>
      </c>
      <c r="K1176" t="s">
        <v>87</v>
      </c>
      <c r="L1176" t="s">
        <v>19</v>
      </c>
      <c r="M1176" t="s">
        <v>6</v>
      </c>
      <c r="N1176" t="b">
        <v>0</v>
      </c>
      <c r="O1176">
        <v>1</v>
      </c>
      <c r="P1176">
        <v>0</v>
      </c>
      <c r="Q1176">
        <v>0</v>
      </c>
      <c r="R1176">
        <v>0</v>
      </c>
    </row>
    <row r="1177" spans="1:18" x14ac:dyDescent="0.25">
      <c r="A1177" t="s">
        <v>41</v>
      </c>
      <c r="B1177" t="s">
        <v>8</v>
      </c>
      <c r="C1177">
        <v>3</v>
      </c>
      <c r="D1177">
        <v>3</v>
      </c>
      <c r="E1177">
        <v>2</v>
      </c>
      <c r="F1177" s="15">
        <v>45964</v>
      </c>
      <c r="G1177" t="s">
        <v>228</v>
      </c>
      <c r="H1177">
        <v>5</v>
      </c>
      <c r="I1177">
        <v>2025</v>
      </c>
      <c r="J1177">
        <v>11</v>
      </c>
      <c r="K1177" t="s">
        <v>87</v>
      </c>
      <c r="L1177" t="s">
        <v>436</v>
      </c>
      <c r="M1177" t="s">
        <v>6</v>
      </c>
      <c r="N1177" t="b">
        <v>0</v>
      </c>
      <c r="O1177">
        <v>1</v>
      </c>
      <c r="P1177">
        <v>0</v>
      </c>
      <c r="Q1177">
        <v>0</v>
      </c>
      <c r="R1177">
        <v>0</v>
      </c>
    </row>
    <row r="1178" spans="1:18" x14ac:dyDescent="0.25">
      <c r="A1178" t="s">
        <v>41</v>
      </c>
      <c r="B1178" t="s">
        <v>8</v>
      </c>
      <c r="C1178">
        <v>3</v>
      </c>
      <c r="D1178">
        <v>3</v>
      </c>
      <c r="E1178">
        <v>2</v>
      </c>
      <c r="F1178" s="15">
        <v>45964</v>
      </c>
      <c r="G1178" t="s">
        <v>228</v>
      </c>
      <c r="H1178">
        <v>5</v>
      </c>
      <c r="I1178">
        <v>2025</v>
      </c>
      <c r="J1178">
        <v>11</v>
      </c>
      <c r="K1178" t="s">
        <v>87</v>
      </c>
      <c r="L1178" t="s">
        <v>38</v>
      </c>
      <c r="M1178" t="s">
        <v>6</v>
      </c>
      <c r="N1178" t="b">
        <v>0</v>
      </c>
      <c r="O1178">
        <v>1</v>
      </c>
      <c r="P1178">
        <v>0</v>
      </c>
      <c r="Q1178">
        <v>0</v>
      </c>
      <c r="R1178">
        <v>0</v>
      </c>
    </row>
    <row r="1179" spans="1:18" x14ac:dyDescent="0.25">
      <c r="A1179" t="s">
        <v>41</v>
      </c>
      <c r="B1179" t="s">
        <v>8</v>
      </c>
      <c r="C1179">
        <v>3</v>
      </c>
      <c r="D1179">
        <v>3</v>
      </c>
      <c r="E1179">
        <v>2</v>
      </c>
      <c r="F1179" s="15">
        <v>45964</v>
      </c>
      <c r="G1179" t="s">
        <v>228</v>
      </c>
      <c r="H1179">
        <v>5</v>
      </c>
      <c r="I1179">
        <v>2025</v>
      </c>
      <c r="J1179">
        <v>11</v>
      </c>
      <c r="K1179" t="s">
        <v>87</v>
      </c>
      <c r="L1179" t="s">
        <v>62</v>
      </c>
      <c r="M1179" t="s">
        <v>6</v>
      </c>
      <c r="N1179" t="b">
        <v>0</v>
      </c>
      <c r="O1179">
        <v>1</v>
      </c>
      <c r="P1179">
        <v>0</v>
      </c>
      <c r="Q1179">
        <v>0</v>
      </c>
      <c r="R1179">
        <v>0</v>
      </c>
    </row>
    <row r="1180" spans="1:18" x14ac:dyDescent="0.25">
      <c r="A1180" t="s">
        <v>62</v>
      </c>
      <c r="B1180" t="s">
        <v>6</v>
      </c>
      <c r="C1180">
        <v>2</v>
      </c>
      <c r="D1180">
        <v>3</v>
      </c>
      <c r="E1180">
        <v>2</v>
      </c>
      <c r="F1180" s="15">
        <v>45964</v>
      </c>
      <c r="G1180" t="s">
        <v>228</v>
      </c>
      <c r="H1180">
        <v>5</v>
      </c>
      <c r="I1180">
        <v>2025</v>
      </c>
      <c r="J1180">
        <v>11</v>
      </c>
      <c r="K1180" t="s">
        <v>87</v>
      </c>
      <c r="L1180" t="s">
        <v>19</v>
      </c>
      <c r="M1180" t="s">
        <v>6</v>
      </c>
      <c r="N1180" t="b">
        <v>0</v>
      </c>
      <c r="O1180">
        <v>0</v>
      </c>
      <c r="P1180">
        <v>1</v>
      </c>
      <c r="Q1180">
        <v>0</v>
      </c>
      <c r="R1180">
        <v>0</v>
      </c>
    </row>
    <row r="1181" spans="1:18" x14ac:dyDescent="0.25">
      <c r="A1181" t="s">
        <v>62</v>
      </c>
      <c r="B1181" t="s">
        <v>6</v>
      </c>
      <c r="C1181">
        <v>2</v>
      </c>
      <c r="D1181">
        <v>3</v>
      </c>
      <c r="E1181">
        <v>2</v>
      </c>
      <c r="F1181" s="15">
        <v>45964</v>
      </c>
      <c r="G1181" t="s">
        <v>228</v>
      </c>
      <c r="H1181">
        <v>5</v>
      </c>
      <c r="I1181">
        <v>2025</v>
      </c>
      <c r="J1181">
        <v>11</v>
      </c>
      <c r="K1181" t="s">
        <v>87</v>
      </c>
      <c r="L1181" t="s">
        <v>436</v>
      </c>
      <c r="M1181" t="s">
        <v>6</v>
      </c>
      <c r="N1181" t="b">
        <v>0</v>
      </c>
      <c r="O1181">
        <v>0</v>
      </c>
      <c r="P1181">
        <v>1</v>
      </c>
      <c r="Q1181">
        <v>0</v>
      </c>
      <c r="R1181">
        <v>0</v>
      </c>
    </row>
    <row r="1182" spans="1:18" x14ac:dyDescent="0.25">
      <c r="A1182" t="s">
        <v>62</v>
      </c>
      <c r="B1182" t="s">
        <v>6</v>
      </c>
      <c r="C1182">
        <v>2</v>
      </c>
      <c r="D1182">
        <v>3</v>
      </c>
      <c r="E1182">
        <v>2</v>
      </c>
      <c r="F1182" s="15">
        <v>45964</v>
      </c>
      <c r="G1182" t="s">
        <v>228</v>
      </c>
      <c r="H1182">
        <v>5</v>
      </c>
      <c r="I1182">
        <v>2025</v>
      </c>
      <c r="J1182">
        <v>11</v>
      </c>
      <c r="K1182" t="s">
        <v>87</v>
      </c>
      <c r="L1182" t="s">
        <v>38</v>
      </c>
      <c r="M1182" t="s">
        <v>6</v>
      </c>
      <c r="N1182" t="b">
        <v>0</v>
      </c>
      <c r="O1182">
        <v>0</v>
      </c>
      <c r="P1182">
        <v>1</v>
      </c>
      <c r="Q1182">
        <v>0</v>
      </c>
      <c r="R1182">
        <v>0</v>
      </c>
    </row>
    <row r="1183" spans="1:18" x14ac:dyDescent="0.25">
      <c r="A1183" t="s">
        <v>62</v>
      </c>
      <c r="B1183" t="s">
        <v>6</v>
      </c>
      <c r="C1183">
        <v>2</v>
      </c>
      <c r="D1183">
        <v>3</v>
      </c>
      <c r="E1183">
        <v>2</v>
      </c>
      <c r="F1183" s="15">
        <v>45964</v>
      </c>
      <c r="G1183" t="s">
        <v>228</v>
      </c>
      <c r="H1183">
        <v>5</v>
      </c>
      <c r="I1183">
        <v>2025</v>
      </c>
      <c r="J1183">
        <v>11</v>
      </c>
      <c r="K1183" t="s">
        <v>87</v>
      </c>
      <c r="L1183" t="s">
        <v>41</v>
      </c>
      <c r="M1183" t="s">
        <v>8</v>
      </c>
      <c r="N1183" t="b">
        <v>0</v>
      </c>
      <c r="O1183">
        <v>0</v>
      </c>
      <c r="P1183">
        <v>1</v>
      </c>
      <c r="Q1183">
        <v>0</v>
      </c>
      <c r="R1183">
        <v>1</v>
      </c>
    </row>
    <row r="1184" spans="1:18" x14ac:dyDescent="0.25">
      <c r="A1184" t="s">
        <v>19</v>
      </c>
      <c r="B1184" t="s">
        <v>8</v>
      </c>
      <c r="C1184">
        <v>3</v>
      </c>
      <c r="D1184">
        <v>3</v>
      </c>
      <c r="E1184">
        <v>2</v>
      </c>
      <c r="F1184" s="15">
        <v>45985</v>
      </c>
      <c r="G1184" t="s">
        <v>231</v>
      </c>
      <c r="H1184">
        <v>3</v>
      </c>
      <c r="I1184">
        <v>2025</v>
      </c>
      <c r="J1184">
        <v>11</v>
      </c>
      <c r="K1184" t="s">
        <v>87</v>
      </c>
      <c r="L1184" t="s">
        <v>57</v>
      </c>
      <c r="M1184" t="s">
        <v>6</v>
      </c>
      <c r="N1184" t="b">
        <v>0</v>
      </c>
      <c r="O1184">
        <v>1</v>
      </c>
      <c r="P1184">
        <v>0</v>
      </c>
      <c r="Q1184">
        <v>0</v>
      </c>
      <c r="R1184">
        <v>0</v>
      </c>
    </row>
    <row r="1185" spans="1:18" x14ac:dyDescent="0.25">
      <c r="A1185" t="s">
        <v>19</v>
      </c>
      <c r="B1185" t="s">
        <v>8</v>
      </c>
      <c r="C1185">
        <v>3</v>
      </c>
      <c r="D1185">
        <v>3</v>
      </c>
      <c r="E1185">
        <v>2</v>
      </c>
      <c r="F1185" s="15">
        <v>45985</v>
      </c>
      <c r="G1185" t="s">
        <v>231</v>
      </c>
      <c r="H1185">
        <v>3</v>
      </c>
      <c r="I1185">
        <v>2025</v>
      </c>
      <c r="J1185">
        <v>11</v>
      </c>
      <c r="K1185" t="s">
        <v>87</v>
      </c>
      <c r="L1185" t="s">
        <v>9</v>
      </c>
      <c r="M1185" t="s">
        <v>6</v>
      </c>
      <c r="N1185" t="b">
        <v>0</v>
      </c>
      <c r="O1185">
        <v>1</v>
      </c>
      <c r="P1185">
        <v>0</v>
      </c>
      <c r="Q1185">
        <v>0</v>
      </c>
      <c r="R1185">
        <v>0</v>
      </c>
    </row>
    <row r="1186" spans="1:18" x14ac:dyDescent="0.25">
      <c r="A1186" t="s">
        <v>57</v>
      </c>
      <c r="B1186" t="s">
        <v>6</v>
      </c>
      <c r="C1186">
        <v>1</v>
      </c>
      <c r="D1186">
        <v>3</v>
      </c>
      <c r="E1186">
        <v>2</v>
      </c>
      <c r="F1186" s="15">
        <v>45985</v>
      </c>
      <c r="G1186" t="s">
        <v>231</v>
      </c>
      <c r="H1186">
        <v>3</v>
      </c>
      <c r="I1186">
        <v>2025</v>
      </c>
      <c r="J1186">
        <v>11</v>
      </c>
      <c r="K1186" t="s">
        <v>87</v>
      </c>
      <c r="L1186" t="s">
        <v>19</v>
      </c>
      <c r="M1186" t="s">
        <v>8</v>
      </c>
      <c r="N1186" t="b">
        <v>0</v>
      </c>
      <c r="O1186">
        <v>0</v>
      </c>
      <c r="P1186">
        <v>1</v>
      </c>
      <c r="Q1186">
        <v>0</v>
      </c>
      <c r="R1186">
        <v>1</v>
      </c>
    </row>
    <row r="1187" spans="1:18" x14ac:dyDescent="0.25">
      <c r="A1187" t="s">
        <v>57</v>
      </c>
      <c r="B1187" t="s">
        <v>6</v>
      </c>
      <c r="C1187">
        <v>1</v>
      </c>
      <c r="D1187">
        <v>3</v>
      </c>
      <c r="E1187">
        <v>2</v>
      </c>
      <c r="F1187" s="15">
        <v>45985</v>
      </c>
      <c r="G1187" t="s">
        <v>231</v>
      </c>
      <c r="H1187">
        <v>3</v>
      </c>
      <c r="I1187">
        <v>2025</v>
      </c>
      <c r="J1187">
        <v>11</v>
      </c>
      <c r="K1187" t="s">
        <v>87</v>
      </c>
      <c r="L1187" t="s">
        <v>9</v>
      </c>
      <c r="M1187" t="s">
        <v>6</v>
      </c>
      <c r="N1187" t="b">
        <v>0</v>
      </c>
      <c r="O1187">
        <v>0</v>
      </c>
      <c r="P1187">
        <v>1</v>
      </c>
      <c r="Q1187">
        <v>0</v>
      </c>
      <c r="R1187">
        <v>0</v>
      </c>
    </row>
    <row r="1188" spans="1:18" x14ac:dyDescent="0.25">
      <c r="A1188" t="s">
        <v>9</v>
      </c>
      <c r="B1188" t="s">
        <v>6</v>
      </c>
      <c r="C1188">
        <v>2</v>
      </c>
      <c r="D1188">
        <v>3</v>
      </c>
      <c r="E1188">
        <v>2</v>
      </c>
      <c r="F1188" s="15">
        <v>45985</v>
      </c>
      <c r="G1188" t="s">
        <v>231</v>
      </c>
      <c r="H1188">
        <v>3</v>
      </c>
      <c r="I1188">
        <v>2025</v>
      </c>
      <c r="J1188">
        <v>11</v>
      </c>
      <c r="K1188" t="s">
        <v>87</v>
      </c>
      <c r="L1188" t="s">
        <v>19</v>
      </c>
      <c r="M1188" t="s">
        <v>8</v>
      </c>
      <c r="N1188" t="b">
        <v>0</v>
      </c>
      <c r="O1188">
        <v>0</v>
      </c>
      <c r="P1188">
        <v>1</v>
      </c>
      <c r="Q1188">
        <v>0</v>
      </c>
      <c r="R1188">
        <v>1</v>
      </c>
    </row>
    <row r="1189" spans="1:18" x14ac:dyDescent="0.25">
      <c r="A1189" t="s">
        <v>9</v>
      </c>
      <c r="B1189" t="s">
        <v>6</v>
      </c>
      <c r="C1189">
        <v>2</v>
      </c>
      <c r="D1189">
        <v>3</v>
      </c>
      <c r="E1189">
        <v>2</v>
      </c>
      <c r="F1189" s="15">
        <v>45985</v>
      </c>
      <c r="G1189" t="s">
        <v>231</v>
      </c>
      <c r="H1189">
        <v>3</v>
      </c>
      <c r="I1189">
        <v>2025</v>
      </c>
      <c r="J1189">
        <v>11</v>
      </c>
      <c r="K1189" t="s">
        <v>87</v>
      </c>
      <c r="L1189" t="s">
        <v>57</v>
      </c>
      <c r="M1189" t="s">
        <v>6</v>
      </c>
      <c r="N1189" t="b">
        <v>0</v>
      </c>
      <c r="O1189">
        <v>0</v>
      </c>
      <c r="P1189">
        <v>1</v>
      </c>
      <c r="Q1189">
        <v>0</v>
      </c>
      <c r="R1189">
        <v>0</v>
      </c>
    </row>
    <row r="1190" spans="1:18" x14ac:dyDescent="0.25">
      <c r="A1190" t="s">
        <v>19</v>
      </c>
      <c r="B1190" t="s">
        <v>6</v>
      </c>
      <c r="C1190">
        <v>2</v>
      </c>
      <c r="D1190">
        <v>3</v>
      </c>
      <c r="E1190">
        <v>2</v>
      </c>
      <c r="F1190" s="15">
        <v>45999</v>
      </c>
      <c r="G1190" t="s">
        <v>233</v>
      </c>
      <c r="H1190">
        <v>4</v>
      </c>
      <c r="I1190">
        <v>2025</v>
      </c>
      <c r="J1190">
        <v>12</v>
      </c>
      <c r="K1190" t="s">
        <v>87</v>
      </c>
      <c r="L1190" t="s">
        <v>13</v>
      </c>
      <c r="M1190" t="s">
        <v>8</v>
      </c>
      <c r="N1190" t="b">
        <v>0</v>
      </c>
      <c r="O1190">
        <v>0</v>
      </c>
      <c r="P1190">
        <v>1</v>
      </c>
      <c r="Q1190">
        <v>0</v>
      </c>
      <c r="R1190">
        <v>1</v>
      </c>
    </row>
    <row r="1191" spans="1:18" x14ac:dyDescent="0.25">
      <c r="A1191" t="s">
        <v>19</v>
      </c>
      <c r="B1191" t="s">
        <v>6</v>
      </c>
      <c r="C1191">
        <v>2</v>
      </c>
      <c r="D1191">
        <v>3</v>
      </c>
      <c r="E1191">
        <v>2</v>
      </c>
      <c r="F1191" s="15">
        <v>45999</v>
      </c>
      <c r="G1191" t="s">
        <v>233</v>
      </c>
      <c r="H1191">
        <v>4</v>
      </c>
      <c r="I1191">
        <v>2025</v>
      </c>
      <c r="J1191">
        <v>12</v>
      </c>
      <c r="K1191" t="s">
        <v>87</v>
      </c>
      <c r="L1191" t="s">
        <v>27</v>
      </c>
      <c r="M1191" t="s">
        <v>6</v>
      </c>
      <c r="N1191" t="b">
        <v>0</v>
      </c>
      <c r="O1191">
        <v>0</v>
      </c>
      <c r="P1191">
        <v>1</v>
      </c>
      <c r="Q1191">
        <v>0</v>
      </c>
      <c r="R1191">
        <v>0</v>
      </c>
    </row>
    <row r="1192" spans="1:18" x14ac:dyDescent="0.25">
      <c r="A1192" t="s">
        <v>19</v>
      </c>
      <c r="B1192" t="s">
        <v>6</v>
      </c>
      <c r="C1192">
        <v>2</v>
      </c>
      <c r="D1192">
        <v>3</v>
      </c>
      <c r="E1192">
        <v>2</v>
      </c>
      <c r="F1192" s="15">
        <v>45999</v>
      </c>
      <c r="G1192" t="s">
        <v>233</v>
      </c>
      <c r="H1192">
        <v>4</v>
      </c>
      <c r="I1192">
        <v>2025</v>
      </c>
      <c r="J1192">
        <v>12</v>
      </c>
      <c r="K1192" t="s">
        <v>87</v>
      </c>
      <c r="L1192" t="s">
        <v>11</v>
      </c>
      <c r="M1192" t="s">
        <v>6</v>
      </c>
      <c r="N1192" t="b">
        <v>0</v>
      </c>
      <c r="O1192">
        <v>0</v>
      </c>
      <c r="P1192">
        <v>1</v>
      </c>
      <c r="Q1192">
        <v>0</v>
      </c>
      <c r="R1192">
        <v>0</v>
      </c>
    </row>
    <row r="1193" spans="1:18" x14ac:dyDescent="0.25">
      <c r="A1193" t="s">
        <v>13</v>
      </c>
      <c r="B1193" t="s">
        <v>8</v>
      </c>
      <c r="C1193">
        <v>3</v>
      </c>
      <c r="D1193">
        <v>3</v>
      </c>
      <c r="E1193">
        <v>2</v>
      </c>
      <c r="F1193" s="15">
        <v>45999</v>
      </c>
      <c r="G1193" t="s">
        <v>233</v>
      </c>
      <c r="H1193">
        <v>4</v>
      </c>
      <c r="I1193">
        <v>2025</v>
      </c>
      <c r="J1193">
        <v>12</v>
      </c>
      <c r="K1193" t="s">
        <v>87</v>
      </c>
      <c r="L1193" t="s">
        <v>19</v>
      </c>
      <c r="M1193" t="s">
        <v>6</v>
      </c>
      <c r="N1193" t="b">
        <v>0</v>
      </c>
      <c r="O1193">
        <v>1</v>
      </c>
      <c r="P1193">
        <v>0</v>
      </c>
      <c r="Q1193">
        <v>0</v>
      </c>
      <c r="R1193">
        <v>0</v>
      </c>
    </row>
    <row r="1194" spans="1:18" x14ac:dyDescent="0.25">
      <c r="A1194" t="s">
        <v>13</v>
      </c>
      <c r="B1194" t="s">
        <v>8</v>
      </c>
      <c r="C1194">
        <v>3</v>
      </c>
      <c r="D1194">
        <v>3</v>
      </c>
      <c r="E1194">
        <v>2</v>
      </c>
      <c r="F1194" s="15">
        <v>45999</v>
      </c>
      <c r="G1194" t="s">
        <v>233</v>
      </c>
      <c r="H1194">
        <v>4</v>
      </c>
      <c r="I1194">
        <v>2025</v>
      </c>
      <c r="J1194">
        <v>12</v>
      </c>
      <c r="K1194" t="s">
        <v>87</v>
      </c>
      <c r="L1194" t="s">
        <v>27</v>
      </c>
      <c r="M1194" t="s">
        <v>6</v>
      </c>
      <c r="N1194" t="b">
        <v>0</v>
      </c>
      <c r="O1194">
        <v>1</v>
      </c>
      <c r="P1194">
        <v>0</v>
      </c>
      <c r="Q1194">
        <v>0</v>
      </c>
      <c r="R1194">
        <v>0</v>
      </c>
    </row>
    <row r="1195" spans="1:18" x14ac:dyDescent="0.25">
      <c r="A1195" t="s">
        <v>13</v>
      </c>
      <c r="B1195" t="s">
        <v>8</v>
      </c>
      <c r="C1195">
        <v>3</v>
      </c>
      <c r="D1195">
        <v>3</v>
      </c>
      <c r="E1195">
        <v>2</v>
      </c>
      <c r="F1195" s="15">
        <v>45999</v>
      </c>
      <c r="G1195" t="s">
        <v>233</v>
      </c>
      <c r="H1195">
        <v>4</v>
      </c>
      <c r="I1195">
        <v>2025</v>
      </c>
      <c r="J1195">
        <v>12</v>
      </c>
      <c r="K1195" t="s">
        <v>87</v>
      </c>
      <c r="L1195" t="s">
        <v>11</v>
      </c>
      <c r="M1195" t="s">
        <v>6</v>
      </c>
      <c r="N1195" t="b">
        <v>0</v>
      </c>
      <c r="O1195">
        <v>1</v>
      </c>
      <c r="P1195">
        <v>0</v>
      </c>
      <c r="Q1195">
        <v>0</v>
      </c>
      <c r="R1195">
        <v>0</v>
      </c>
    </row>
    <row r="1196" spans="1:18" x14ac:dyDescent="0.25">
      <c r="A1196" t="s">
        <v>27</v>
      </c>
      <c r="B1196" t="s">
        <v>6</v>
      </c>
      <c r="C1196">
        <v>4</v>
      </c>
      <c r="D1196">
        <v>3</v>
      </c>
      <c r="E1196">
        <v>2</v>
      </c>
      <c r="F1196" s="15">
        <v>45999</v>
      </c>
      <c r="G1196" t="s">
        <v>233</v>
      </c>
      <c r="H1196">
        <v>4</v>
      </c>
      <c r="I1196">
        <v>2025</v>
      </c>
      <c r="J1196">
        <v>12</v>
      </c>
      <c r="K1196" t="s">
        <v>87</v>
      </c>
      <c r="L1196" t="s">
        <v>19</v>
      </c>
      <c r="M1196" t="s">
        <v>6</v>
      </c>
      <c r="N1196" t="b">
        <v>0</v>
      </c>
      <c r="O1196">
        <v>0</v>
      </c>
      <c r="P1196">
        <v>1</v>
      </c>
      <c r="Q1196">
        <v>0</v>
      </c>
      <c r="R1196">
        <v>0</v>
      </c>
    </row>
    <row r="1197" spans="1:18" x14ac:dyDescent="0.25">
      <c r="A1197" t="s">
        <v>27</v>
      </c>
      <c r="B1197" t="s">
        <v>6</v>
      </c>
      <c r="C1197">
        <v>4</v>
      </c>
      <c r="D1197">
        <v>3</v>
      </c>
      <c r="E1197">
        <v>2</v>
      </c>
      <c r="F1197" s="15">
        <v>45999</v>
      </c>
      <c r="G1197" t="s">
        <v>233</v>
      </c>
      <c r="H1197">
        <v>4</v>
      </c>
      <c r="I1197">
        <v>2025</v>
      </c>
      <c r="J1197">
        <v>12</v>
      </c>
      <c r="K1197" t="s">
        <v>87</v>
      </c>
      <c r="L1197" t="s">
        <v>13</v>
      </c>
      <c r="M1197" t="s">
        <v>8</v>
      </c>
      <c r="N1197" t="b">
        <v>0</v>
      </c>
      <c r="O1197">
        <v>0</v>
      </c>
      <c r="P1197">
        <v>1</v>
      </c>
      <c r="Q1197">
        <v>0</v>
      </c>
      <c r="R1197">
        <v>1</v>
      </c>
    </row>
    <row r="1198" spans="1:18" x14ac:dyDescent="0.25">
      <c r="A1198" t="s">
        <v>27</v>
      </c>
      <c r="B1198" t="s">
        <v>6</v>
      </c>
      <c r="C1198">
        <v>4</v>
      </c>
      <c r="D1198">
        <v>3</v>
      </c>
      <c r="E1198">
        <v>2</v>
      </c>
      <c r="F1198" s="15">
        <v>45999</v>
      </c>
      <c r="G1198" t="s">
        <v>233</v>
      </c>
      <c r="H1198">
        <v>4</v>
      </c>
      <c r="I1198">
        <v>2025</v>
      </c>
      <c r="J1198">
        <v>12</v>
      </c>
      <c r="K1198" t="s">
        <v>87</v>
      </c>
      <c r="L1198" t="s">
        <v>11</v>
      </c>
      <c r="M1198" t="s">
        <v>6</v>
      </c>
      <c r="N1198" t="b">
        <v>0</v>
      </c>
      <c r="O1198">
        <v>0</v>
      </c>
      <c r="P1198">
        <v>1</v>
      </c>
      <c r="Q1198">
        <v>0</v>
      </c>
      <c r="R1198">
        <v>0</v>
      </c>
    </row>
    <row r="1199" spans="1:18" x14ac:dyDescent="0.25">
      <c r="A1199" t="s">
        <v>11</v>
      </c>
      <c r="B1199" t="s">
        <v>6</v>
      </c>
      <c r="C1199">
        <v>1</v>
      </c>
      <c r="D1199">
        <v>3</v>
      </c>
      <c r="E1199">
        <v>2</v>
      </c>
      <c r="F1199" s="15">
        <v>45999</v>
      </c>
      <c r="G1199" t="s">
        <v>233</v>
      </c>
      <c r="H1199">
        <v>4</v>
      </c>
      <c r="I1199">
        <v>2025</v>
      </c>
      <c r="J1199">
        <v>12</v>
      </c>
      <c r="K1199" t="s">
        <v>87</v>
      </c>
      <c r="L1199" t="s">
        <v>19</v>
      </c>
      <c r="M1199" t="s">
        <v>6</v>
      </c>
      <c r="N1199" t="b">
        <v>0</v>
      </c>
      <c r="O1199">
        <v>0</v>
      </c>
      <c r="P1199">
        <v>1</v>
      </c>
      <c r="Q1199">
        <v>0</v>
      </c>
      <c r="R1199">
        <v>0</v>
      </c>
    </row>
    <row r="1200" spans="1:18" x14ac:dyDescent="0.25">
      <c r="A1200" t="s">
        <v>11</v>
      </c>
      <c r="B1200" t="s">
        <v>6</v>
      </c>
      <c r="C1200">
        <v>1</v>
      </c>
      <c r="D1200">
        <v>3</v>
      </c>
      <c r="E1200">
        <v>2</v>
      </c>
      <c r="F1200" s="15">
        <v>45999</v>
      </c>
      <c r="G1200" t="s">
        <v>233</v>
      </c>
      <c r="H1200">
        <v>4</v>
      </c>
      <c r="I1200">
        <v>2025</v>
      </c>
      <c r="J1200">
        <v>12</v>
      </c>
      <c r="K1200" t="s">
        <v>87</v>
      </c>
      <c r="L1200" t="s">
        <v>13</v>
      </c>
      <c r="M1200" t="s">
        <v>8</v>
      </c>
      <c r="N1200" t="b">
        <v>0</v>
      </c>
      <c r="O1200">
        <v>0</v>
      </c>
      <c r="P1200">
        <v>1</v>
      </c>
      <c r="Q1200">
        <v>0</v>
      </c>
      <c r="R1200">
        <v>1</v>
      </c>
    </row>
    <row r="1201" spans="1:18" x14ac:dyDescent="0.25">
      <c r="A1201" t="s">
        <v>11</v>
      </c>
      <c r="B1201" t="s">
        <v>6</v>
      </c>
      <c r="C1201">
        <v>1</v>
      </c>
      <c r="D1201">
        <v>3</v>
      </c>
      <c r="E1201">
        <v>2</v>
      </c>
      <c r="F1201" s="15">
        <v>45999</v>
      </c>
      <c r="G1201" t="s">
        <v>233</v>
      </c>
      <c r="H1201">
        <v>4</v>
      </c>
      <c r="I1201">
        <v>2025</v>
      </c>
      <c r="J1201">
        <v>12</v>
      </c>
      <c r="K1201" t="s">
        <v>87</v>
      </c>
      <c r="L1201" t="s">
        <v>27</v>
      </c>
      <c r="M1201" t="s">
        <v>6</v>
      </c>
      <c r="N1201" t="b">
        <v>0</v>
      </c>
      <c r="O1201">
        <v>0</v>
      </c>
      <c r="P1201">
        <v>1</v>
      </c>
      <c r="Q1201">
        <v>0</v>
      </c>
      <c r="R1201">
        <v>0</v>
      </c>
    </row>
    <row r="1202" spans="1:18" x14ac:dyDescent="0.25">
      <c r="A1202" t="s">
        <v>19</v>
      </c>
      <c r="B1202" t="s">
        <v>6</v>
      </c>
      <c r="C1202">
        <v>2</v>
      </c>
      <c r="D1202">
        <v>4</v>
      </c>
      <c r="E1202">
        <v>1</v>
      </c>
      <c r="F1202" s="15">
        <v>45929</v>
      </c>
      <c r="G1202" t="s">
        <v>245</v>
      </c>
      <c r="H1202">
        <v>4</v>
      </c>
      <c r="I1202">
        <v>2025</v>
      </c>
      <c r="J1202">
        <v>9</v>
      </c>
      <c r="K1202" t="s">
        <v>87</v>
      </c>
      <c r="L1202" t="s">
        <v>10</v>
      </c>
      <c r="M1202" t="s">
        <v>6</v>
      </c>
      <c r="N1202" t="b">
        <v>0</v>
      </c>
      <c r="O1202">
        <v>0</v>
      </c>
      <c r="P1202">
        <v>1</v>
      </c>
      <c r="Q1202">
        <v>0</v>
      </c>
      <c r="R1202">
        <v>0</v>
      </c>
    </row>
    <row r="1203" spans="1:18" x14ac:dyDescent="0.25">
      <c r="A1203" t="s">
        <v>19</v>
      </c>
      <c r="B1203" t="s">
        <v>6</v>
      </c>
      <c r="C1203">
        <v>2</v>
      </c>
      <c r="D1203">
        <v>4</v>
      </c>
      <c r="E1203">
        <v>1</v>
      </c>
      <c r="F1203" s="15">
        <v>45929</v>
      </c>
      <c r="G1203" t="s">
        <v>245</v>
      </c>
      <c r="H1203">
        <v>4</v>
      </c>
      <c r="I1203">
        <v>2025</v>
      </c>
      <c r="J1203">
        <v>9</v>
      </c>
      <c r="K1203" t="s">
        <v>87</v>
      </c>
      <c r="L1203" t="s">
        <v>436</v>
      </c>
      <c r="M1203" t="s">
        <v>6</v>
      </c>
      <c r="N1203" t="b">
        <v>0</v>
      </c>
      <c r="O1203">
        <v>0</v>
      </c>
      <c r="P1203">
        <v>1</v>
      </c>
      <c r="Q1203">
        <v>0</v>
      </c>
      <c r="R1203">
        <v>0</v>
      </c>
    </row>
    <row r="1204" spans="1:18" x14ac:dyDescent="0.25">
      <c r="A1204" t="s">
        <v>19</v>
      </c>
      <c r="B1204" t="s">
        <v>6</v>
      </c>
      <c r="C1204">
        <v>2</v>
      </c>
      <c r="D1204">
        <v>4</v>
      </c>
      <c r="E1204">
        <v>1</v>
      </c>
      <c r="F1204" s="15">
        <v>45929</v>
      </c>
      <c r="G1204" t="s">
        <v>245</v>
      </c>
      <c r="H1204">
        <v>4</v>
      </c>
      <c r="I1204">
        <v>2025</v>
      </c>
      <c r="J1204">
        <v>9</v>
      </c>
      <c r="K1204" t="s">
        <v>87</v>
      </c>
      <c r="L1204" t="s">
        <v>52</v>
      </c>
      <c r="M1204" t="s">
        <v>8</v>
      </c>
      <c r="N1204" t="b">
        <v>0</v>
      </c>
      <c r="O1204">
        <v>0</v>
      </c>
      <c r="P1204">
        <v>1</v>
      </c>
      <c r="Q1204">
        <v>0</v>
      </c>
      <c r="R1204">
        <v>1</v>
      </c>
    </row>
    <row r="1205" spans="1:18" x14ac:dyDescent="0.25">
      <c r="A1205" t="s">
        <v>10</v>
      </c>
      <c r="B1205" t="s">
        <v>6</v>
      </c>
      <c r="C1205">
        <v>1</v>
      </c>
      <c r="D1205">
        <v>4</v>
      </c>
      <c r="E1205">
        <v>1</v>
      </c>
      <c r="F1205" s="15">
        <v>45929</v>
      </c>
      <c r="G1205" t="s">
        <v>245</v>
      </c>
      <c r="H1205">
        <v>4</v>
      </c>
      <c r="I1205">
        <v>2025</v>
      </c>
      <c r="J1205">
        <v>9</v>
      </c>
      <c r="K1205" t="s">
        <v>87</v>
      </c>
      <c r="L1205" t="s">
        <v>19</v>
      </c>
      <c r="M1205" t="s">
        <v>6</v>
      </c>
      <c r="N1205" t="b">
        <v>0</v>
      </c>
      <c r="O1205">
        <v>0</v>
      </c>
      <c r="P1205">
        <v>1</v>
      </c>
      <c r="Q1205">
        <v>0</v>
      </c>
      <c r="R1205">
        <v>0</v>
      </c>
    </row>
    <row r="1206" spans="1:18" x14ac:dyDescent="0.25">
      <c r="A1206" t="s">
        <v>10</v>
      </c>
      <c r="B1206" t="s">
        <v>6</v>
      </c>
      <c r="C1206">
        <v>1</v>
      </c>
      <c r="D1206">
        <v>4</v>
      </c>
      <c r="E1206">
        <v>1</v>
      </c>
      <c r="F1206" s="15">
        <v>45929</v>
      </c>
      <c r="G1206" t="s">
        <v>245</v>
      </c>
      <c r="H1206">
        <v>4</v>
      </c>
      <c r="I1206">
        <v>2025</v>
      </c>
      <c r="J1206">
        <v>9</v>
      </c>
      <c r="K1206" t="s">
        <v>87</v>
      </c>
      <c r="L1206" t="s">
        <v>436</v>
      </c>
      <c r="M1206" t="s">
        <v>6</v>
      </c>
      <c r="N1206" t="b">
        <v>0</v>
      </c>
      <c r="O1206">
        <v>0</v>
      </c>
      <c r="P1206">
        <v>1</v>
      </c>
      <c r="Q1206">
        <v>0</v>
      </c>
      <c r="R1206">
        <v>0</v>
      </c>
    </row>
    <row r="1207" spans="1:18" x14ac:dyDescent="0.25">
      <c r="A1207" t="s">
        <v>10</v>
      </c>
      <c r="B1207" t="s">
        <v>6</v>
      </c>
      <c r="C1207">
        <v>1</v>
      </c>
      <c r="D1207">
        <v>4</v>
      </c>
      <c r="E1207">
        <v>1</v>
      </c>
      <c r="F1207" s="15">
        <v>45929</v>
      </c>
      <c r="G1207" t="s">
        <v>245</v>
      </c>
      <c r="H1207">
        <v>4</v>
      </c>
      <c r="I1207">
        <v>2025</v>
      </c>
      <c r="J1207">
        <v>9</v>
      </c>
      <c r="K1207" t="s">
        <v>87</v>
      </c>
      <c r="L1207" t="s">
        <v>52</v>
      </c>
      <c r="M1207" t="s">
        <v>8</v>
      </c>
      <c r="N1207" t="b">
        <v>0</v>
      </c>
      <c r="O1207">
        <v>0</v>
      </c>
      <c r="P1207">
        <v>1</v>
      </c>
      <c r="Q1207">
        <v>0</v>
      </c>
      <c r="R1207">
        <v>1</v>
      </c>
    </row>
    <row r="1208" spans="1:18" x14ac:dyDescent="0.25">
      <c r="A1208" t="s">
        <v>436</v>
      </c>
      <c r="B1208" t="s">
        <v>6</v>
      </c>
      <c r="C1208">
        <v>3</v>
      </c>
      <c r="D1208">
        <v>4</v>
      </c>
      <c r="E1208">
        <v>1</v>
      </c>
      <c r="F1208" s="15">
        <v>45929</v>
      </c>
      <c r="G1208" t="s">
        <v>245</v>
      </c>
      <c r="H1208">
        <v>4</v>
      </c>
      <c r="I1208">
        <v>2025</v>
      </c>
      <c r="J1208">
        <v>9</v>
      </c>
      <c r="K1208" t="s">
        <v>87</v>
      </c>
      <c r="L1208" t="s">
        <v>19</v>
      </c>
      <c r="M1208" t="s">
        <v>6</v>
      </c>
      <c r="N1208" t="b">
        <v>0</v>
      </c>
      <c r="O1208">
        <v>0</v>
      </c>
      <c r="P1208">
        <v>1</v>
      </c>
      <c r="Q1208">
        <v>0</v>
      </c>
      <c r="R1208">
        <v>0</v>
      </c>
    </row>
    <row r="1209" spans="1:18" x14ac:dyDescent="0.25">
      <c r="A1209" t="s">
        <v>436</v>
      </c>
      <c r="B1209" t="s">
        <v>6</v>
      </c>
      <c r="C1209">
        <v>3</v>
      </c>
      <c r="D1209">
        <v>4</v>
      </c>
      <c r="E1209">
        <v>1</v>
      </c>
      <c r="F1209" s="15">
        <v>45929</v>
      </c>
      <c r="G1209" t="s">
        <v>245</v>
      </c>
      <c r="H1209">
        <v>4</v>
      </c>
      <c r="I1209">
        <v>2025</v>
      </c>
      <c r="J1209">
        <v>9</v>
      </c>
      <c r="K1209" t="s">
        <v>87</v>
      </c>
      <c r="L1209" t="s">
        <v>10</v>
      </c>
      <c r="M1209" t="s">
        <v>6</v>
      </c>
      <c r="N1209" t="b">
        <v>0</v>
      </c>
      <c r="O1209">
        <v>0</v>
      </c>
      <c r="P1209">
        <v>1</v>
      </c>
      <c r="Q1209">
        <v>0</v>
      </c>
      <c r="R1209">
        <v>0</v>
      </c>
    </row>
    <row r="1210" spans="1:18" x14ac:dyDescent="0.25">
      <c r="A1210" t="s">
        <v>436</v>
      </c>
      <c r="B1210" t="s">
        <v>6</v>
      </c>
      <c r="C1210">
        <v>3</v>
      </c>
      <c r="D1210">
        <v>4</v>
      </c>
      <c r="E1210">
        <v>1</v>
      </c>
      <c r="F1210" s="15">
        <v>45929</v>
      </c>
      <c r="G1210" t="s">
        <v>245</v>
      </c>
      <c r="H1210">
        <v>4</v>
      </c>
      <c r="I1210">
        <v>2025</v>
      </c>
      <c r="J1210">
        <v>9</v>
      </c>
      <c r="K1210" t="s">
        <v>87</v>
      </c>
      <c r="L1210" t="s">
        <v>52</v>
      </c>
      <c r="M1210" t="s">
        <v>8</v>
      </c>
      <c r="N1210" t="b">
        <v>0</v>
      </c>
      <c r="O1210">
        <v>0</v>
      </c>
      <c r="P1210">
        <v>1</v>
      </c>
      <c r="Q1210">
        <v>0</v>
      </c>
      <c r="R1210">
        <v>1</v>
      </c>
    </row>
    <row r="1211" spans="1:18" x14ac:dyDescent="0.25">
      <c r="A1211" t="s">
        <v>52</v>
      </c>
      <c r="B1211" t="s">
        <v>8</v>
      </c>
      <c r="C1211">
        <v>4</v>
      </c>
      <c r="D1211">
        <v>4</v>
      </c>
      <c r="E1211">
        <v>1</v>
      </c>
      <c r="F1211" s="15">
        <v>45929</v>
      </c>
      <c r="G1211" t="s">
        <v>245</v>
      </c>
      <c r="H1211">
        <v>4</v>
      </c>
      <c r="I1211">
        <v>2025</v>
      </c>
      <c r="J1211">
        <v>9</v>
      </c>
      <c r="K1211" t="s">
        <v>87</v>
      </c>
      <c r="L1211" t="s">
        <v>19</v>
      </c>
      <c r="M1211" t="s">
        <v>6</v>
      </c>
      <c r="N1211" t="b">
        <v>0</v>
      </c>
      <c r="O1211">
        <v>1</v>
      </c>
      <c r="P1211">
        <v>0</v>
      </c>
      <c r="Q1211">
        <v>0</v>
      </c>
      <c r="R1211">
        <v>0</v>
      </c>
    </row>
    <row r="1212" spans="1:18" x14ac:dyDescent="0.25">
      <c r="A1212" t="s">
        <v>52</v>
      </c>
      <c r="B1212" t="s">
        <v>8</v>
      </c>
      <c r="C1212">
        <v>4</v>
      </c>
      <c r="D1212">
        <v>4</v>
      </c>
      <c r="E1212">
        <v>1</v>
      </c>
      <c r="F1212" s="15">
        <v>45929</v>
      </c>
      <c r="G1212" t="s">
        <v>245</v>
      </c>
      <c r="H1212">
        <v>4</v>
      </c>
      <c r="I1212">
        <v>2025</v>
      </c>
      <c r="J1212">
        <v>9</v>
      </c>
      <c r="K1212" t="s">
        <v>87</v>
      </c>
      <c r="L1212" t="s">
        <v>10</v>
      </c>
      <c r="M1212" t="s">
        <v>6</v>
      </c>
      <c r="N1212" t="b">
        <v>0</v>
      </c>
      <c r="O1212">
        <v>1</v>
      </c>
      <c r="P1212">
        <v>0</v>
      </c>
      <c r="Q1212">
        <v>0</v>
      </c>
      <c r="R1212">
        <v>0</v>
      </c>
    </row>
    <row r="1213" spans="1:18" x14ac:dyDescent="0.25">
      <c r="A1213" t="s">
        <v>52</v>
      </c>
      <c r="B1213" t="s">
        <v>8</v>
      </c>
      <c r="C1213">
        <v>4</v>
      </c>
      <c r="D1213">
        <v>4</v>
      </c>
      <c r="E1213">
        <v>1</v>
      </c>
      <c r="F1213" s="15">
        <v>45929</v>
      </c>
      <c r="G1213" t="s">
        <v>245</v>
      </c>
      <c r="H1213">
        <v>4</v>
      </c>
      <c r="I1213">
        <v>2025</v>
      </c>
      <c r="J1213">
        <v>9</v>
      </c>
      <c r="K1213" t="s">
        <v>87</v>
      </c>
      <c r="L1213" t="s">
        <v>436</v>
      </c>
      <c r="M1213" t="s">
        <v>6</v>
      </c>
      <c r="N1213" t="b">
        <v>0</v>
      </c>
      <c r="O1213">
        <v>1</v>
      </c>
      <c r="P1213">
        <v>0</v>
      </c>
      <c r="Q1213">
        <v>0</v>
      </c>
      <c r="R1213">
        <v>0</v>
      </c>
    </row>
    <row r="1214" spans="1:18" x14ac:dyDescent="0.25">
      <c r="A1214" t="s">
        <v>19</v>
      </c>
      <c r="B1214" t="s">
        <v>8</v>
      </c>
      <c r="C1214">
        <v>1</v>
      </c>
      <c r="D1214">
        <v>4</v>
      </c>
      <c r="E1214">
        <v>1</v>
      </c>
      <c r="F1214" s="15">
        <v>45971</v>
      </c>
      <c r="G1214" t="s">
        <v>251</v>
      </c>
      <c r="H1214">
        <v>4</v>
      </c>
      <c r="I1214">
        <v>2025</v>
      </c>
      <c r="J1214">
        <v>11</v>
      </c>
      <c r="K1214" t="s">
        <v>87</v>
      </c>
      <c r="L1214" t="s">
        <v>28</v>
      </c>
      <c r="M1214" t="s">
        <v>6</v>
      </c>
      <c r="N1214" t="b">
        <v>0</v>
      </c>
      <c r="O1214">
        <v>1</v>
      </c>
      <c r="P1214">
        <v>0</v>
      </c>
      <c r="Q1214">
        <v>0</v>
      </c>
      <c r="R1214">
        <v>0</v>
      </c>
    </row>
    <row r="1215" spans="1:18" x14ac:dyDescent="0.25">
      <c r="A1215" t="s">
        <v>19</v>
      </c>
      <c r="B1215" t="s">
        <v>8</v>
      </c>
      <c r="C1215">
        <v>1</v>
      </c>
      <c r="D1215">
        <v>4</v>
      </c>
      <c r="E1215">
        <v>1</v>
      </c>
      <c r="F1215" s="15">
        <v>45971</v>
      </c>
      <c r="G1215" t="s">
        <v>251</v>
      </c>
      <c r="H1215">
        <v>4</v>
      </c>
      <c r="I1215">
        <v>2025</v>
      </c>
      <c r="J1215">
        <v>11</v>
      </c>
      <c r="K1215" t="s">
        <v>87</v>
      </c>
      <c r="L1215" t="s">
        <v>60</v>
      </c>
      <c r="M1215" t="s">
        <v>6</v>
      </c>
      <c r="N1215" t="b">
        <v>0</v>
      </c>
      <c r="O1215">
        <v>1</v>
      </c>
      <c r="P1215">
        <v>0</v>
      </c>
      <c r="Q1215">
        <v>0</v>
      </c>
      <c r="R1215">
        <v>0</v>
      </c>
    </row>
    <row r="1216" spans="1:18" x14ac:dyDescent="0.25">
      <c r="A1216" t="s">
        <v>19</v>
      </c>
      <c r="B1216" t="s">
        <v>8</v>
      </c>
      <c r="C1216">
        <v>1</v>
      </c>
      <c r="D1216">
        <v>4</v>
      </c>
      <c r="E1216">
        <v>1</v>
      </c>
      <c r="F1216" s="15">
        <v>45971</v>
      </c>
      <c r="G1216" t="s">
        <v>251</v>
      </c>
      <c r="H1216">
        <v>4</v>
      </c>
      <c r="I1216">
        <v>2025</v>
      </c>
      <c r="J1216">
        <v>11</v>
      </c>
      <c r="K1216" t="s">
        <v>87</v>
      </c>
      <c r="L1216" t="s">
        <v>53</v>
      </c>
      <c r="M1216" t="s">
        <v>6</v>
      </c>
      <c r="N1216" t="b">
        <v>0</v>
      </c>
      <c r="O1216">
        <v>1</v>
      </c>
      <c r="P1216">
        <v>0</v>
      </c>
      <c r="Q1216">
        <v>0</v>
      </c>
      <c r="R1216">
        <v>0</v>
      </c>
    </row>
    <row r="1217" spans="1:18" x14ac:dyDescent="0.25">
      <c r="A1217" t="s">
        <v>28</v>
      </c>
      <c r="B1217" t="s">
        <v>6</v>
      </c>
      <c r="C1217">
        <v>4</v>
      </c>
      <c r="D1217">
        <v>4</v>
      </c>
      <c r="E1217">
        <v>1</v>
      </c>
      <c r="F1217" s="15">
        <v>45971</v>
      </c>
      <c r="G1217" t="s">
        <v>251</v>
      </c>
      <c r="H1217">
        <v>4</v>
      </c>
      <c r="I1217">
        <v>2025</v>
      </c>
      <c r="J1217">
        <v>11</v>
      </c>
      <c r="K1217" t="s">
        <v>87</v>
      </c>
      <c r="L1217" t="s">
        <v>19</v>
      </c>
      <c r="M1217" t="s">
        <v>8</v>
      </c>
      <c r="N1217" t="b">
        <v>0</v>
      </c>
      <c r="O1217">
        <v>0</v>
      </c>
      <c r="P1217">
        <v>1</v>
      </c>
      <c r="Q1217">
        <v>0</v>
      </c>
      <c r="R1217">
        <v>1</v>
      </c>
    </row>
    <row r="1218" spans="1:18" x14ac:dyDescent="0.25">
      <c r="A1218" t="s">
        <v>28</v>
      </c>
      <c r="B1218" t="s">
        <v>6</v>
      </c>
      <c r="C1218">
        <v>4</v>
      </c>
      <c r="D1218">
        <v>4</v>
      </c>
      <c r="E1218">
        <v>1</v>
      </c>
      <c r="F1218" s="15">
        <v>45971</v>
      </c>
      <c r="G1218" t="s">
        <v>251</v>
      </c>
      <c r="H1218">
        <v>4</v>
      </c>
      <c r="I1218">
        <v>2025</v>
      </c>
      <c r="J1218">
        <v>11</v>
      </c>
      <c r="K1218" t="s">
        <v>87</v>
      </c>
      <c r="L1218" t="s">
        <v>60</v>
      </c>
      <c r="M1218" t="s">
        <v>6</v>
      </c>
      <c r="N1218" t="b">
        <v>0</v>
      </c>
      <c r="O1218">
        <v>0</v>
      </c>
      <c r="P1218">
        <v>1</v>
      </c>
      <c r="Q1218">
        <v>0</v>
      </c>
      <c r="R1218">
        <v>0</v>
      </c>
    </row>
    <row r="1219" spans="1:18" x14ac:dyDescent="0.25">
      <c r="A1219" t="s">
        <v>28</v>
      </c>
      <c r="B1219" t="s">
        <v>6</v>
      </c>
      <c r="C1219">
        <v>4</v>
      </c>
      <c r="D1219">
        <v>4</v>
      </c>
      <c r="E1219">
        <v>1</v>
      </c>
      <c r="F1219" s="15">
        <v>45971</v>
      </c>
      <c r="G1219" t="s">
        <v>251</v>
      </c>
      <c r="H1219">
        <v>4</v>
      </c>
      <c r="I1219">
        <v>2025</v>
      </c>
      <c r="J1219">
        <v>11</v>
      </c>
      <c r="K1219" t="s">
        <v>87</v>
      </c>
      <c r="L1219" t="s">
        <v>53</v>
      </c>
      <c r="M1219" t="s">
        <v>6</v>
      </c>
      <c r="N1219" t="b">
        <v>0</v>
      </c>
      <c r="O1219">
        <v>0</v>
      </c>
      <c r="P1219">
        <v>1</v>
      </c>
      <c r="Q1219">
        <v>0</v>
      </c>
      <c r="R1219">
        <v>0</v>
      </c>
    </row>
    <row r="1220" spans="1:18" x14ac:dyDescent="0.25">
      <c r="A1220" t="s">
        <v>60</v>
      </c>
      <c r="B1220" t="s">
        <v>6</v>
      </c>
      <c r="C1220">
        <v>2</v>
      </c>
      <c r="D1220">
        <v>4</v>
      </c>
      <c r="E1220">
        <v>1</v>
      </c>
      <c r="F1220" s="15">
        <v>45971</v>
      </c>
      <c r="G1220" t="s">
        <v>251</v>
      </c>
      <c r="H1220">
        <v>4</v>
      </c>
      <c r="I1220">
        <v>2025</v>
      </c>
      <c r="J1220">
        <v>11</v>
      </c>
      <c r="K1220" t="s">
        <v>87</v>
      </c>
      <c r="L1220" t="s">
        <v>19</v>
      </c>
      <c r="M1220" t="s">
        <v>8</v>
      </c>
      <c r="N1220" t="b">
        <v>0</v>
      </c>
      <c r="O1220">
        <v>0</v>
      </c>
      <c r="P1220">
        <v>1</v>
      </c>
      <c r="Q1220">
        <v>0</v>
      </c>
      <c r="R1220">
        <v>1</v>
      </c>
    </row>
    <row r="1221" spans="1:18" x14ac:dyDescent="0.25">
      <c r="A1221" t="s">
        <v>60</v>
      </c>
      <c r="B1221" t="s">
        <v>6</v>
      </c>
      <c r="C1221">
        <v>2</v>
      </c>
      <c r="D1221">
        <v>4</v>
      </c>
      <c r="E1221">
        <v>1</v>
      </c>
      <c r="F1221" s="15">
        <v>45971</v>
      </c>
      <c r="G1221" t="s">
        <v>251</v>
      </c>
      <c r="H1221">
        <v>4</v>
      </c>
      <c r="I1221">
        <v>2025</v>
      </c>
      <c r="J1221">
        <v>11</v>
      </c>
      <c r="K1221" t="s">
        <v>87</v>
      </c>
      <c r="L1221" t="s">
        <v>28</v>
      </c>
      <c r="M1221" t="s">
        <v>6</v>
      </c>
      <c r="N1221" t="b">
        <v>0</v>
      </c>
      <c r="O1221">
        <v>0</v>
      </c>
      <c r="P1221">
        <v>1</v>
      </c>
      <c r="Q1221">
        <v>0</v>
      </c>
      <c r="R1221">
        <v>0</v>
      </c>
    </row>
    <row r="1222" spans="1:18" x14ac:dyDescent="0.25">
      <c r="A1222" t="s">
        <v>60</v>
      </c>
      <c r="B1222" t="s">
        <v>6</v>
      </c>
      <c r="C1222">
        <v>2</v>
      </c>
      <c r="D1222">
        <v>4</v>
      </c>
      <c r="E1222">
        <v>1</v>
      </c>
      <c r="F1222" s="15">
        <v>45971</v>
      </c>
      <c r="G1222" t="s">
        <v>251</v>
      </c>
      <c r="H1222">
        <v>4</v>
      </c>
      <c r="I1222">
        <v>2025</v>
      </c>
      <c r="J1222">
        <v>11</v>
      </c>
      <c r="K1222" t="s">
        <v>87</v>
      </c>
      <c r="L1222" t="s">
        <v>53</v>
      </c>
      <c r="M1222" t="s">
        <v>6</v>
      </c>
      <c r="N1222" t="b">
        <v>0</v>
      </c>
      <c r="O1222">
        <v>0</v>
      </c>
      <c r="P1222">
        <v>1</v>
      </c>
      <c r="Q1222">
        <v>0</v>
      </c>
      <c r="R1222">
        <v>0</v>
      </c>
    </row>
    <row r="1223" spans="1:18" x14ac:dyDescent="0.25">
      <c r="A1223" t="s">
        <v>53</v>
      </c>
      <c r="B1223" t="s">
        <v>6</v>
      </c>
      <c r="C1223">
        <v>3</v>
      </c>
      <c r="D1223">
        <v>4</v>
      </c>
      <c r="E1223">
        <v>1</v>
      </c>
      <c r="F1223" s="15">
        <v>45971</v>
      </c>
      <c r="G1223" t="s">
        <v>251</v>
      </c>
      <c r="H1223">
        <v>4</v>
      </c>
      <c r="I1223">
        <v>2025</v>
      </c>
      <c r="J1223">
        <v>11</v>
      </c>
      <c r="K1223" t="s">
        <v>87</v>
      </c>
      <c r="L1223" t="s">
        <v>19</v>
      </c>
      <c r="M1223" t="s">
        <v>8</v>
      </c>
      <c r="N1223" t="b">
        <v>0</v>
      </c>
      <c r="O1223">
        <v>0</v>
      </c>
      <c r="P1223">
        <v>1</v>
      </c>
      <c r="Q1223">
        <v>0</v>
      </c>
      <c r="R1223">
        <v>1</v>
      </c>
    </row>
    <row r="1224" spans="1:18" x14ac:dyDescent="0.25">
      <c r="A1224" t="s">
        <v>53</v>
      </c>
      <c r="B1224" t="s">
        <v>6</v>
      </c>
      <c r="C1224">
        <v>3</v>
      </c>
      <c r="D1224">
        <v>4</v>
      </c>
      <c r="E1224">
        <v>1</v>
      </c>
      <c r="F1224" s="15">
        <v>45971</v>
      </c>
      <c r="G1224" t="s">
        <v>251</v>
      </c>
      <c r="H1224">
        <v>4</v>
      </c>
      <c r="I1224">
        <v>2025</v>
      </c>
      <c r="J1224">
        <v>11</v>
      </c>
      <c r="K1224" t="s">
        <v>87</v>
      </c>
      <c r="L1224" t="s">
        <v>28</v>
      </c>
      <c r="M1224" t="s">
        <v>6</v>
      </c>
      <c r="N1224" t="b">
        <v>0</v>
      </c>
      <c r="O1224">
        <v>0</v>
      </c>
      <c r="P1224">
        <v>1</v>
      </c>
      <c r="Q1224">
        <v>0</v>
      </c>
      <c r="R1224">
        <v>0</v>
      </c>
    </row>
    <row r="1225" spans="1:18" x14ac:dyDescent="0.25">
      <c r="A1225" t="s">
        <v>53</v>
      </c>
      <c r="B1225" t="s">
        <v>6</v>
      </c>
      <c r="C1225">
        <v>3</v>
      </c>
      <c r="D1225">
        <v>4</v>
      </c>
      <c r="E1225">
        <v>1</v>
      </c>
      <c r="F1225" s="15">
        <v>45971</v>
      </c>
      <c r="G1225" t="s">
        <v>251</v>
      </c>
      <c r="H1225">
        <v>4</v>
      </c>
      <c r="I1225">
        <v>2025</v>
      </c>
      <c r="J1225">
        <v>11</v>
      </c>
      <c r="K1225" t="s">
        <v>87</v>
      </c>
      <c r="L1225" t="s">
        <v>60</v>
      </c>
      <c r="M1225" t="s">
        <v>6</v>
      </c>
      <c r="N1225" t="b">
        <v>0</v>
      </c>
      <c r="O1225">
        <v>0</v>
      </c>
      <c r="P1225">
        <v>1</v>
      </c>
      <c r="Q1225">
        <v>0</v>
      </c>
      <c r="R1225">
        <v>0</v>
      </c>
    </row>
    <row r="1226" spans="1:18" x14ac:dyDescent="0.25">
      <c r="A1226" t="s">
        <v>19</v>
      </c>
      <c r="B1226" t="s">
        <v>6</v>
      </c>
      <c r="C1226">
        <v>1</v>
      </c>
      <c r="D1226">
        <v>4</v>
      </c>
      <c r="E1226">
        <v>1</v>
      </c>
      <c r="F1226" s="15">
        <v>45985</v>
      </c>
      <c r="G1226" t="s">
        <v>253</v>
      </c>
      <c r="H1226">
        <v>3</v>
      </c>
      <c r="I1226">
        <v>2025</v>
      </c>
      <c r="J1226">
        <v>11</v>
      </c>
      <c r="K1226" t="s">
        <v>87</v>
      </c>
      <c r="L1226" t="s">
        <v>436</v>
      </c>
      <c r="M1226" t="s">
        <v>8</v>
      </c>
      <c r="N1226" t="b">
        <v>0</v>
      </c>
      <c r="O1226">
        <v>0</v>
      </c>
      <c r="P1226">
        <v>1</v>
      </c>
      <c r="Q1226">
        <v>0</v>
      </c>
      <c r="R1226">
        <v>1</v>
      </c>
    </row>
    <row r="1227" spans="1:18" x14ac:dyDescent="0.25">
      <c r="A1227" t="s">
        <v>19</v>
      </c>
      <c r="B1227" t="s">
        <v>6</v>
      </c>
      <c r="C1227">
        <v>1</v>
      </c>
      <c r="D1227">
        <v>4</v>
      </c>
      <c r="E1227">
        <v>1</v>
      </c>
      <c r="F1227" s="15">
        <v>45985</v>
      </c>
      <c r="G1227" t="s">
        <v>253</v>
      </c>
      <c r="H1227">
        <v>3</v>
      </c>
      <c r="I1227">
        <v>2025</v>
      </c>
      <c r="J1227">
        <v>11</v>
      </c>
      <c r="K1227" t="s">
        <v>87</v>
      </c>
      <c r="L1227" t="s">
        <v>22</v>
      </c>
      <c r="M1227" t="s">
        <v>6</v>
      </c>
      <c r="N1227" t="b">
        <v>0</v>
      </c>
      <c r="O1227">
        <v>0</v>
      </c>
      <c r="P1227">
        <v>1</v>
      </c>
      <c r="Q1227">
        <v>0</v>
      </c>
      <c r="R1227">
        <v>0</v>
      </c>
    </row>
    <row r="1228" spans="1:18" x14ac:dyDescent="0.25">
      <c r="A1228" t="s">
        <v>436</v>
      </c>
      <c r="B1228" t="s">
        <v>8</v>
      </c>
      <c r="C1228">
        <v>3</v>
      </c>
      <c r="D1228">
        <v>4</v>
      </c>
      <c r="E1228">
        <v>1</v>
      </c>
      <c r="F1228" s="15">
        <v>45985</v>
      </c>
      <c r="G1228" t="s">
        <v>253</v>
      </c>
      <c r="H1228">
        <v>3</v>
      </c>
      <c r="I1228">
        <v>2025</v>
      </c>
      <c r="J1228">
        <v>11</v>
      </c>
      <c r="K1228" t="s">
        <v>87</v>
      </c>
      <c r="L1228" t="s">
        <v>19</v>
      </c>
      <c r="M1228" t="s">
        <v>6</v>
      </c>
      <c r="N1228" t="b">
        <v>0</v>
      </c>
      <c r="O1228">
        <v>1</v>
      </c>
      <c r="P1228">
        <v>0</v>
      </c>
      <c r="Q1228">
        <v>0</v>
      </c>
      <c r="R1228">
        <v>0</v>
      </c>
    </row>
    <row r="1229" spans="1:18" x14ac:dyDescent="0.25">
      <c r="A1229" t="s">
        <v>436</v>
      </c>
      <c r="B1229" t="s">
        <v>8</v>
      </c>
      <c r="C1229">
        <v>3</v>
      </c>
      <c r="D1229">
        <v>4</v>
      </c>
      <c r="E1229">
        <v>1</v>
      </c>
      <c r="F1229" s="15">
        <v>45985</v>
      </c>
      <c r="G1229" t="s">
        <v>253</v>
      </c>
      <c r="H1229">
        <v>3</v>
      </c>
      <c r="I1229">
        <v>2025</v>
      </c>
      <c r="J1229">
        <v>11</v>
      </c>
      <c r="K1229" t="s">
        <v>87</v>
      </c>
      <c r="L1229" t="s">
        <v>22</v>
      </c>
      <c r="M1229" t="s">
        <v>6</v>
      </c>
      <c r="N1229" t="b">
        <v>0</v>
      </c>
      <c r="O1229">
        <v>1</v>
      </c>
      <c r="P1229">
        <v>0</v>
      </c>
      <c r="Q1229">
        <v>0</v>
      </c>
      <c r="R1229">
        <v>0</v>
      </c>
    </row>
    <row r="1230" spans="1:18" x14ac:dyDescent="0.25">
      <c r="A1230" t="s">
        <v>22</v>
      </c>
      <c r="B1230" t="s">
        <v>6</v>
      </c>
      <c r="C1230">
        <v>2</v>
      </c>
      <c r="D1230">
        <v>4</v>
      </c>
      <c r="E1230">
        <v>1</v>
      </c>
      <c r="F1230" s="15">
        <v>45985</v>
      </c>
      <c r="G1230" t="s">
        <v>253</v>
      </c>
      <c r="H1230">
        <v>3</v>
      </c>
      <c r="I1230">
        <v>2025</v>
      </c>
      <c r="J1230">
        <v>11</v>
      </c>
      <c r="K1230" t="s">
        <v>87</v>
      </c>
      <c r="L1230" t="s">
        <v>19</v>
      </c>
      <c r="M1230" t="s">
        <v>6</v>
      </c>
      <c r="N1230" t="b">
        <v>0</v>
      </c>
      <c r="O1230">
        <v>0</v>
      </c>
      <c r="P1230">
        <v>1</v>
      </c>
      <c r="Q1230">
        <v>0</v>
      </c>
      <c r="R1230">
        <v>0</v>
      </c>
    </row>
    <row r="1231" spans="1:18" x14ac:dyDescent="0.25">
      <c r="A1231" t="s">
        <v>22</v>
      </c>
      <c r="B1231" t="s">
        <v>6</v>
      </c>
      <c r="C1231">
        <v>2</v>
      </c>
      <c r="D1231">
        <v>4</v>
      </c>
      <c r="E1231">
        <v>1</v>
      </c>
      <c r="F1231" s="15">
        <v>45985</v>
      </c>
      <c r="G1231" t="s">
        <v>253</v>
      </c>
      <c r="H1231">
        <v>3</v>
      </c>
      <c r="I1231">
        <v>2025</v>
      </c>
      <c r="J1231">
        <v>11</v>
      </c>
      <c r="K1231" t="s">
        <v>87</v>
      </c>
      <c r="L1231" t="s">
        <v>436</v>
      </c>
      <c r="M1231" t="s">
        <v>8</v>
      </c>
      <c r="N1231" t="b">
        <v>0</v>
      </c>
      <c r="O1231">
        <v>0</v>
      </c>
      <c r="P1231">
        <v>1</v>
      </c>
      <c r="Q1231">
        <v>0</v>
      </c>
      <c r="R1231">
        <v>1</v>
      </c>
    </row>
    <row r="1232" spans="1:18" x14ac:dyDescent="0.25">
      <c r="A1232" t="s">
        <v>19</v>
      </c>
      <c r="B1232" t="s">
        <v>6</v>
      </c>
      <c r="C1232">
        <v>2</v>
      </c>
      <c r="D1232">
        <v>4</v>
      </c>
      <c r="E1232">
        <v>1</v>
      </c>
      <c r="F1232" s="15">
        <v>46006</v>
      </c>
      <c r="G1232" t="s">
        <v>256</v>
      </c>
      <c r="H1232">
        <v>4</v>
      </c>
      <c r="I1232">
        <v>2025</v>
      </c>
      <c r="J1232">
        <v>12</v>
      </c>
      <c r="K1232" t="s">
        <v>87</v>
      </c>
      <c r="L1232" t="s">
        <v>20</v>
      </c>
      <c r="M1232" t="s">
        <v>8</v>
      </c>
      <c r="N1232" t="b">
        <v>0</v>
      </c>
      <c r="O1232">
        <v>0</v>
      </c>
      <c r="P1232">
        <v>1</v>
      </c>
      <c r="Q1232">
        <v>0</v>
      </c>
      <c r="R1232">
        <v>1</v>
      </c>
    </row>
    <row r="1233" spans="1:18" x14ac:dyDescent="0.25">
      <c r="A1233" t="s">
        <v>19</v>
      </c>
      <c r="B1233" t="s">
        <v>6</v>
      </c>
      <c r="C1233">
        <v>2</v>
      </c>
      <c r="D1233">
        <v>4</v>
      </c>
      <c r="E1233">
        <v>1</v>
      </c>
      <c r="F1233" s="15">
        <v>46006</v>
      </c>
      <c r="G1233" t="s">
        <v>256</v>
      </c>
      <c r="H1233">
        <v>4</v>
      </c>
      <c r="I1233">
        <v>2025</v>
      </c>
      <c r="J1233">
        <v>12</v>
      </c>
      <c r="K1233" t="s">
        <v>87</v>
      </c>
      <c r="L1233" t="s">
        <v>21</v>
      </c>
      <c r="M1233" t="s">
        <v>6</v>
      </c>
      <c r="N1233" t="b">
        <v>0</v>
      </c>
      <c r="O1233">
        <v>0</v>
      </c>
      <c r="P1233">
        <v>1</v>
      </c>
      <c r="Q1233">
        <v>0</v>
      </c>
      <c r="R1233">
        <v>0</v>
      </c>
    </row>
    <row r="1234" spans="1:18" x14ac:dyDescent="0.25">
      <c r="A1234" t="s">
        <v>19</v>
      </c>
      <c r="B1234" t="s">
        <v>6</v>
      </c>
      <c r="C1234">
        <v>2</v>
      </c>
      <c r="D1234">
        <v>4</v>
      </c>
      <c r="E1234">
        <v>1</v>
      </c>
      <c r="F1234" s="15">
        <v>46006</v>
      </c>
      <c r="G1234" t="s">
        <v>256</v>
      </c>
      <c r="H1234">
        <v>4</v>
      </c>
      <c r="I1234">
        <v>2025</v>
      </c>
      <c r="J1234">
        <v>12</v>
      </c>
      <c r="K1234" t="s">
        <v>87</v>
      </c>
      <c r="L1234" t="s">
        <v>18</v>
      </c>
      <c r="M1234" t="s">
        <v>6</v>
      </c>
      <c r="N1234" t="b">
        <v>0</v>
      </c>
      <c r="O1234">
        <v>0</v>
      </c>
      <c r="P1234">
        <v>1</v>
      </c>
      <c r="Q1234">
        <v>0</v>
      </c>
      <c r="R1234">
        <v>0</v>
      </c>
    </row>
    <row r="1235" spans="1:18" x14ac:dyDescent="0.25">
      <c r="A1235" t="s">
        <v>20</v>
      </c>
      <c r="B1235" t="s">
        <v>8</v>
      </c>
      <c r="C1235">
        <v>3</v>
      </c>
      <c r="D1235">
        <v>4</v>
      </c>
      <c r="E1235">
        <v>1</v>
      </c>
      <c r="F1235" s="15">
        <v>46006</v>
      </c>
      <c r="G1235" t="s">
        <v>256</v>
      </c>
      <c r="H1235">
        <v>4</v>
      </c>
      <c r="I1235">
        <v>2025</v>
      </c>
      <c r="J1235">
        <v>12</v>
      </c>
      <c r="K1235" t="s">
        <v>87</v>
      </c>
      <c r="L1235" t="s">
        <v>19</v>
      </c>
      <c r="M1235" t="s">
        <v>6</v>
      </c>
      <c r="N1235" t="b">
        <v>0</v>
      </c>
      <c r="O1235">
        <v>1</v>
      </c>
      <c r="P1235">
        <v>0</v>
      </c>
      <c r="Q1235">
        <v>0</v>
      </c>
      <c r="R1235">
        <v>0</v>
      </c>
    </row>
    <row r="1236" spans="1:18" x14ac:dyDescent="0.25">
      <c r="A1236" t="s">
        <v>20</v>
      </c>
      <c r="B1236" t="s">
        <v>8</v>
      </c>
      <c r="C1236">
        <v>3</v>
      </c>
      <c r="D1236">
        <v>4</v>
      </c>
      <c r="E1236">
        <v>1</v>
      </c>
      <c r="F1236" s="15">
        <v>46006</v>
      </c>
      <c r="G1236" t="s">
        <v>256</v>
      </c>
      <c r="H1236">
        <v>4</v>
      </c>
      <c r="I1236">
        <v>2025</v>
      </c>
      <c r="J1236">
        <v>12</v>
      </c>
      <c r="K1236" t="s">
        <v>87</v>
      </c>
      <c r="L1236" t="s">
        <v>21</v>
      </c>
      <c r="M1236" t="s">
        <v>6</v>
      </c>
      <c r="N1236" t="b">
        <v>0</v>
      </c>
      <c r="O1236">
        <v>1</v>
      </c>
      <c r="P1236">
        <v>0</v>
      </c>
      <c r="Q1236">
        <v>0</v>
      </c>
      <c r="R1236">
        <v>0</v>
      </c>
    </row>
    <row r="1237" spans="1:18" x14ac:dyDescent="0.25">
      <c r="A1237" t="s">
        <v>20</v>
      </c>
      <c r="B1237" t="s">
        <v>8</v>
      </c>
      <c r="C1237">
        <v>3</v>
      </c>
      <c r="D1237">
        <v>4</v>
      </c>
      <c r="E1237">
        <v>1</v>
      </c>
      <c r="F1237" s="15">
        <v>46006</v>
      </c>
      <c r="G1237" t="s">
        <v>256</v>
      </c>
      <c r="H1237">
        <v>4</v>
      </c>
      <c r="I1237">
        <v>2025</v>
      </c>
      <c r="J1237">
        <v>12</v>
      </c>
      <c r="K1237" t="s">
        <v>87</v>
      </c>
      <c r="L1237" t="s">
        <v>18</v>
      </c>
      <c r="M1237" t="s">
        <v>6</v>
      </c>
      <c r="N1237" t="b">
        <v>0</v>
      </c>
      <c r="O1237">
        <v>1</v>
      </c>
      <c r="P1237">
        <v>0</v>
      </c>
      <c r="Q1237">
        <v>0</v>
      </c>
      <c r="R1237">
        <v>0</v>
      </c>
    </row>
    <row r="1238" spans="1:18" x14ac:dyDescent="0.25">
      <c r="A1238" t="s">
        <v>21</v>
      </c>
      <c r="B1238" t="s">
        <v>6</v>
      </c>
      <c r="C1238">
        <v>4</v>
      </c>
      <c r="D1238">
        <v>4</v>
      </c>
      <c r="E1238">
        <v>1</v>
      </c>
      <c r="F1238" s="15">
        <v>46006</v>
      </c>
      <c r="G1238" t="s">
        <v>256</v>
      </c>
      <c r="H1238">
        <v>4</v>
      </c>
      <c r="I1238">
        <v>2025</v>
      </c>
      <c r="J1238">
        <v>12</v>
      </c>
      <c r="K1238" t="s">
        <v>87</v>
      </c>
      <c r="L1238" t="s">
        <v>19</v>
      </c>
      <c r="M1238" t="s">
        <v>6</v>
      </c>
      <c r="N1238" t="b">
        <v>0</v>
      </c>
      <c r="O1238">
        <v>0</v>
      </c>
      <c r="P1238">
        <v>1</v>
      </c>
      <c r="Q1238">
        <v>0</v>
      </c>
      <c r="R1238">
        <v>0</v>
      </c>
    </row>
    <row r="1239" spans="1:18" x14ac:dyDescent="0.25">
      <c r="A1239" t="s">
        <v>21</v>
      </c>
      <c r="B1239" t="s">
        <v>6</v>
      </c>
      <c r="C1239">
        <v>4</v>
      </c>
      <c r="D1239">
        <v>4</v>
      </c>
      <c r="E1239">
        <v>1</v>
      </c>
      <c r="F1239" s="15">
        <v>46006</v>
      </c>
      <c r="G1239" t="s">
        <v>256</v>
      </c>
      <c r="H1239">
        <v>4</v>
      </c>
      <c r="I1239">
        <v>2025</v>
      </c>
      <c r="J1239">
        <v>12</v>
      </c>
      <c r="K1239" t="s">
        <v>87</v>
      </c>
      <c r="L1239" t="s">
        <v>20</v>
      </c>
      <c r="M1239" t="s">
        <v>8</v>
      </c>
      <c r="N1239" t="b">
        <v>0</v>
      </c>
      <c r="O1239">
        <v>0</v>
      </c>
      <c r="P1239">
        <v>1</v>
      </c>
      <c r="Q1239">
        <v>0</v>
      </c>
      <c r="R1239">
        <v>1</v>
      </c>
    </row>
    <row r="1240" spans="1:18" x14ac:dyDescent="0.25">
      <c r="A1240" t="s">
        <v>21</v>
      </c>
      <c r="B1240" t="s">
        <v>6</v>
      </c>
      <c r="C1240">
        <v>4</v>
      </c>
      <c r="D1240">
        <v>4</v>
      </c>
      <c r="E1240">
        <v>1</v>
      </c>
      <c r="F1240" s="15">
        <v>46006</v>
      </c>
      <c r="G1240" t="s">
        <v>256</v>
      </c>
      <c r="H1240">
        <v>4</v>
      </c>
      <c r="I1240">
        <v>2025</v>
      </c>
      <c r="J1240">
        <v>12</v>
      </c>
      <c r="K1240" t="s">
        <v>87</v>
      </c>
      <c r="L1240" t="s">
        <v>18</v>
      </c>
      <c r="M1240" t="s">
        <v>6</v>
      </c>
      <c r="N1240" t="b">
        <v>0</v>
      </c>
      <c r="O1240">
        <v>0</v>
      </c>
      <c r="P1240">
        <v>1</v>
      </c>
      <c r="Q1240">
        <v>0</v>
      </c>
      <c r="R1240">
        <v>0</v>
      </c>
    </row>
    <row r="1241" spans="1:18" x14ac:dyDescent="0.25">
      <c r="A1241" t="s">
        <v>18</v>
      </c>
      <c r="B1241" t="s">
        <v>6</v>
      </c>
      <c r="C1241">
        <v>1</v>
      </c>
      <c r="D1241">
        <v>4</v>
      </c>
      <c r="E1241">
        <v>1</v>
      </c>
      <c r="F1241" s="15">
        <v>46006</v>
      </c>
      <c r="G1241" t="s">
        <v>256</v>
      </c>
      <c r="H1241">
        <v>4</v>
      </c>
      <c r="I1241">
        <v>2025</v>
      </c>
      <c r="J1241">
        <v>12</v>
      </c>
      <c r="K1241" t="s">
        <v>87</v>
      </c>
      <c r="L1241" t="s">
        <v>19</v>
      </c>
      <c r="M1241" t="s">
        <v>6</v>
      </c>
      <c r="N1241" t="b">
        <v>0</v>
      </c>
      <c r="O1241">
        <v>0</v>
      </c>
      <c r="P1241">
        <v>1</v>
      </c>
      <c r="Q1241">
        <v>0</v>
      </c>
      <c r="R1241">
        <v>0</v>
      </c>
    </row>
    <row r="1242" spans="1:18" x14ac:dyDescent="0.25">
      <c r="A1242" t="s">
        <v>18</v>
      </c>
      <c r="B1242" t="s">
        <v>6</v>
      </c>
      <c r="C1242">
        <v>1</v>
      </c>
      <c r="D1242">
        <v>4</v>
      </c>
      <c r="E1242">
        <v>1</v>
      </c>
      <c r="F1242" s="15">
        <v>46006</v>
      </c>
      <c r="G1242" t="s">
        <v>256</v>
      </c>
      <c r="H1242">
        <v>4</v>
      </c>
      <c r="I1242">
        <v>2025</v>
      </c>
      <c r="J1242">
        <v>12</v>
      </c>
      <c r="K1242" t="s">
        <v>87</v>
      </c>
      <c r="L1242" t="s">
        <v>20</v>
      </c>
      <c r="M1242" t="s">
        <v>8</v>
      </c>
      <c r="N1242" t="b">
        <v>0</v>
      </c>
      <c r="O1242">
        <v>0</v>
      </c>
      <c r="P1242">
        <v>1</v>
      </c>
      <c r="Q1242">
        <v>0</v>
      </c>
      <c r="R1242">
        <v>1</v>
      </c>
    </row>
    <row r="1243" spans="1:18" x14ac:dyDescent="0.25">
      <c r="A1243" t="s">
        <v>18</v>
      </c>
      <c r="B1243" t="s">
        <v>6</v>
      </c>
      <c r="C1243">
        <v>1</v>
      </c>
      <c r="D1243">
        <v>4</v>
      </c>
      <c r="E1243">
        <v>1</v>
      </c>
      <c r="F1243" s="15">
        <v>46006</v>
      </c>
      <c r="G1243" t="s">
        <v>256</v>
      </c>
      <c r="H1243">
        <v>4</v>
      </c>
      <c r="I1243">
        <v>2025</v>
      </c>
      <c r="J1243">
        <v>12</v>
      </c>
      <c r="K1243" t="s">
        <v>87</v>
      </c>
      <c r="L1243" t="s">
        <v>21</v>
      </c>
      <c r="M1243" t="s">
        <v>6</v>
      </c>
      <c r="N1243" t="b">
        <v>0</v>
      </c>
      <c r="O1243">
        <v>0</v>
      </c>
      <c r="P1243">
        <v>1</v>
      </c>
      <c r="Q1243">
        <v>0</v>
      </c>
      <c r="R1243">
        <v>0</v>
      </c>
    </row>
    <row r="1244" spans="1:18" x14ac:dyDescent="0.25">
      <c r="A1244" t="s">
        <v>19</v>
      </c>
      <c r="B1244" t="s">
        <v>6</v>
      </c>
      <c r="C1244">
        <v>3</v>
      </c>
      <c r="D1244">
        <v>4</v>
      </c>
      <c r="E1244">
        <v>2</v>
      </c>
      <c r="F1244" s="15">
        <v>45922</v>
      </c>
      <c r="G1244" t="s">
        <v>264</v>
      </c>
      <c r="H1244">
        <v>4</v>
      </c>
      <c r="I1244">
        <v>2025</v>
      </c>
      <c r="J1244">
        <v>9</v>
      </c>
      <c r="K1244" t="s">
        <v>87</v>
      </c>
      <c r="L1244" t="s">
        <v>28</v>
      </c>
      <c r="M1244" t="s">
        <v>6</v>
      </c>
      <c r="N1244" t="b">
        <v>0</v>
      </c>
      <c r="O1244">
        <v>0</v>
      </c>
      <c r="P1244">
        <v>1</v>
      </c>
      <c r="Q1244">
        <v>0</v>
      </c>
      <c r="R1244">
        <v>0</v>
      </c>
    </row>
    <row r="1245" spans="1:18" x14ac:dyDescent="0.25">
      <c r="A1245" t="s">
        <v>19</v>
      </c>
      <c r="B1245" t="s">
        <v>6</v>
      </c>
      <c r="C1245">
        <v>3</v>
      </c>
      <c r="D1245">
        <v>4</v>
      </c>
      <c r="E1245">
        <v>2</v>
      </c>
      <c r="F1245" s="15">
        <v>45922</v>
      </c>
      <c r="G1245" t="s">
        <v>264</v>
      </c>
      <c r="H1245">
        <v>4</v>
      </c>
      <c r="I1245">
        <v>2025</v>
      </c>
      <c r="J1245">
        <v>9</v>
      </c>
      <c r="K1245" t="s">
        <v>87</v>
      </c>
      <c r="L1245" t="s">
        <v>27</v>
      </c>
      <c r="M1245" t="s">
        <v>6</v>
      </c>
      <c r="N1245" t="b">
        <v>0</v>
      </c>
      <c r="O1245">
        <v>0</v>
      </c>
      <c r="P1245">
        <v>1</v>
      </c>
      <c r="Q1245">
        <v>0</v>
      </c>
      <c r="R1245">
        <v>0</v>
      </c>
    </row>
    <row r="1246" spans="1:18" x14ac:dyDescent="0.25">
      <c r="A1246" t="s">
        <v>19</v>
      </c>
      <c r="B1246" t="s">
        <v>6</v>
      </c>
      <c r="C1246">
        <v>3</v>
      </c>
      <c r="D1246">
        <v>4</v>
      </c>
      <c r="E1246">
        <v>2</v>
      </c>
      <c r="F1246" s="15">
        <v>45922</v>
      </c>
      <c r="G1246" t="s">
        <v>264</v>
      </c>
      <c r="H1246">
        <v>4</v>
      </c>
      <c r="I1246">
        <v>2025</v>
      </c>
      <c r="J1246">
        <v>9</v>
      </c>
      <c r="K1246" t="s">
        <v>87</v>
      </c>
      <c r="L1246" t="s">
        <v>9</v>
      </c>
      <c r="M1246" t="s">
        <v>8</v>
      </c>
      <c r="N1246" t="b">
        <v>0</v>
      </c>
      <c r="O1246">
        <v>0</v>
      </c>
      <c r="P1246">
        <v>1</v>
      </c>
      <c r="Q1246">
        <v>0</v>
      </c>
      <c r="R1246">
        <v>1</v>
      </c>
    </row>
    <row r="1247" spans="1:18" x14ac:dyDescent="0.25">
      <c r="A1247" t="s">
        <v>28</v>
      </c>
      <c r="B1247" t="s">
        <v>6</v>
      </c>
      <c r="C1247">
        <v>1</v>
      </c>
      <c r="D1247">
        <v>4</v>
      </c>
      <c r="E1247">
        <v>2</v>
      </c>
      <c r="F1247" s="15">
        <v>45922</v>
      </c>
      <c r="G1247" t="s">
        <v>264</v>
      </c>
      <c r="H1247">
        <v>4</v>
      </c>
      <c r="I1247">
        <v>2025</v>
      </c>
      <c r="J1247">
        <v>9</v>
      </c>
      <c r="K1247" t="s">
        <v>87</v>
      </c>
      <c r="L1247" t="s">
        <v>19</v>
      </c>
      <c r="M1247" t="s">
        <v>6</v>
      </c>
      <c r="N1247" t="b">
        <v>0</v>
      </c>
      <c r="O1247">
        <v>0</v>
      </c>
      <c r="P1247">
        <v>1</v>
      </c>
      <c r="Q1247">
        <v>0</v>
      </c>
      <c r="R1247">
        <v>0</v>
      </c>
    </row>
    <row r="1248" spans="1:18" x14ac:dyDescent="0.25">
      <c r="A1248" t="s">
        <v>28</v>
      </c>
      <c r="B1248" t="s">
        <v>6</v>
      </c>
      <c r="C1248">
        <v>1</v>
      </c>
      <c r="D1248">
        <v>4</v>
      </c>
      <c r="E1248">
        <v>2</v>
      </c>
      <c r="F1248" s="15">
        <v>45922</v>
      </c>
      <c r="G1248" t="s">
        <v>264</v>
      </c>
      <c r="H1248">
        <v>4</v>
      </c>
      <c r="I1248">
        <v>2025</v>
      </c>
      <c r="J1248">
        <v>9</v>
      </c>
      <c r="K1248" t="s">
        <v>87</v>
      </c>
      <c r="L1248" t="s">
        <v>27</v>
      </c>
      <c r="M1248" t="s">
        <v>6</v>
      </c>
      <c r="N1248" t="b">
        <v>0</v>
      </c>
      <c r="O1248">
        <v>0</v>
      </c>
      <c r="P1248">
        <v>1</v>
      </c>
      <c r="Q1248">
        <v>0</v>
      </c>
      <c r="R1248">
        <v>0</v>
      </c>
    </row>
    <row r="1249" spans="1:18" x14ac:dyDescent="0.25">
      <c r="A1249" t="s">
        <v>28</v>
      </c>
      <c r="B1249" t="s">
        <v>6</v>
      </c>
      <c r="C1249">
        <v>1</v>
      </c>
      <c r="D1249">
        <v>4</v>
      </c>
      <c r="E1249">
        <v>2</v>
      </c>
      <c r="F1249" s="15">
        <v>45922</v>
      </c>
      <c r="G1249" t="s">
        <v>264</v>
      </c>
      <c r="H1249">
        <v>4</v>
      </c>
      <c r="I1249">
        <v>2025</v>
      </c>
      <c r="J1249">
        <v>9</v>
      </c>
      <c r="K1249" t="s">
        <v>87</v>
      </c>
      <c r="L1249" t="s">
        <v>9</v>
      </c>
      <c r="M1249" t="s">
        <v>8</v>
      </c>
      <c r="N1249" t="b">
        <v>0</v>
      </c>
      <c r="O1249">
        <v>0</v>
      </c>
      <c r="P1249">
        <v>1</v>
      </c>
      <c r="Q1249">
        <v>0</v>
      </c>
      <c r="R1249">
        <v>1</v>
      </c>
    </row>
    <row r="1250" spans="1:18" x14ac:dyDescent="0.25">
      <c r="A1250" t="s">
        <v>27</v>
      </c>
      <c r="B1250" t="s">
        <v>6</v>
      </c>
      <c r="C1250">
        <v>2</v>
      </c>
      <c r="D1250">
        <v>4</v>
      </c>
      <c r="E1250">
        <v>2</v>
      </c>
      <c r="F1250" s="15">
        <v>45922</v>
      </c>
      <c r="G1250" t="s">
        <v>264</v>
      </c>
      <c r="H1250">
        <v>4</v>
      </c>
      <c r="I1250">
        <v>2025</v>
      </c>
      <c r="J1250">
        <v>9</v>
      </c>
      <c r="K1250" t="s">
        <v>87</v>
      </c>
      <c r="L1250" t="s">
        <v>19</v>
      </c>
      <c r="M1250" t="s">
        <v>6</v>
      </c>
      <c r="N1250" t="b">
        <v>0</v>
      </c>
      <c r="O1250">
        <v>0</v>
      </c>
      <c r="P1250">
        <v>1</v>
      </c>
      <c r="Q1250">
        <v>0</v>
      </c>
      <c r="R1250">
        <v>0</v>
      </c>
    </row>
    <row r="1251" spans="1:18" x14ac:dyDescent="0.25">
      <c r="A1251" t="s">
        <v>27</v>
      </c>
      <c r="B1251" t="s">
        <v>6</v>
      </c>
      <c r="C1251">
        <v>2</v>
      </c>
      <c r="D1251">
        <v>4</v>
      </c>
      <c r="E1251">
        <v>2</v>
      </c>
      <c r="F1251" s="15">
        <v>45922</v>
      </c>
      <c r="G1251" t="s">
        <v>264</v>
      </c>
      <c r="H1251">
        <v>4</v>
      </c>
      <c r="I1251">
        <v>2025</v>
      </c>
      <c r="J1251">
        <v>9</v>
      </c>
      <c r="K1251" t="s">
        <v>87</v>
      </c>
      <c r="L1251" t="s">
        <v>28</v>
      </c>
      <c r="M1251" t="s">
        <v>6</v>
      </c>
      <c r="N1251" t="b">
        <v>0</v>
      </c>
      <c r="O1251">
        <v>0</v>
      </c>
      <c r="P1251">
        <v>1</v>
      </c>
      <c r="Q1251">
        <v>0</v>
      </c>
      <c r="R1251">
        <v>0</v>
      </c>
    </row>
    <row r="1252" spans="1:18" x14ac:dyDescent="0.25">
      <c r="A1252" t="s">
        <v>27</v>
      </c>
      <c r="B1252" t="s">
        <v>6</v>
      </c>
      <c r="C1252">
        <v>2</v>
      </c>
      <c r="D1252">
        <v>4</v>
      </c>
      <c r="E1252">
        <v>2</v>
      </c>
      <c r="F1252" s="15">
        <v>45922</v>
      </c>
      <c r="G1252" t="s">
        <v>264</v>
      </c>
      <c r="H1252">
        <v>4</v>
      </c>
      <c r="I1252">
        <v>2025</v>
      </c>
      <c r="J1252">
        <v>9</v>
      </c>
      <c r="K1252" t="s">
        <v>87</v>
      </c>
      <c r="L1252" t="s">
        <v>9</v>
      </c>
      <c r="M1252" t="s">
        <v>8</v>
      </c>
      <c r="N1252" t="b">
        <v>0</v>
      </c>
      <c r="O1252">
        <v>0</v>
      </c>
      <c r="P1252">
        <v>1</v>
      </c>
      <c r="Q1252">
        <v>0</v>
      </c>
      <c r="R1252">
        <v>1</v>
      </c>
    </row>
    <row r="1253" spans="1:18" x14ac:dyDescent="0.25">
      <c r="A1253" t="s">
        <v>9</v>
      </c>
      <c r="B1253" t="s">
        <v>8</v>
      </c>
      <c r="C1253">
        <v>4</v>
      </c>
      <c r="D1253">
        <v>4</v>
      </c>
      <c r="E1253">
        <v>2</v>
      </c>
      <c r="F1253" s="15">
        <v>45922</v>
      </c>
      <c r="G1253" t="s">
        <v>264</v>
      </c>
      <c r="H1253">
        <v>4</v>
      </c>
      <c r="I1253">
        <v>2025</v>
      </c>
      <c r="J1253">
        <v>9</v>
      </c>
      <c r="K1253" t="s">
        <v>87</v>
      </c>
      <c r="L1253" t="s">
        <v>19</v>
      </c>
      <c r="M1253" t="s">
        <v>6</v>
      </c>
      <c r="N1253" t="b">
        <v>0</v>
      </c>
      <c r="O1253">
        <v>1</v>
      </c>
      <c r="P1253">
        <v>0</v>
      </c>
      <c r="Q1253">
        <v>0</v>
      </c>
      <c r="R1253">
        <v>0</v>
      </c>
    </row>
    <row r="1254" spans="1:18" x14ac:dyDescent="0.25">
      <c r="A1254" t="s">
        <v>9</v>
      </c>
      <c r="B1254" t="s">
        <v>8</v>
      </c>
      <c r="C1254">
        <v>4</v>
      </c>
      <c r="D1254">
        <v>4</v>
      </c>
      <c r="E1254">
        <v>2</v>
      </c>
      <c r="F1254" s="15">
        <v>45922</v>
      </c>
      <c r="G1254" t="s">
        <v>264</v>
      </c>
      <c r="H1254">
        <v>4</v>
      </c>
      <c r="I1254">
        <v>2025</v>
      </c>
      <c r="J1254">
        <v>9</v>
      </c>
      <c r="K1254" t="s">
        <v>87</v>
      </c>
      <c r="L1254" t="s">
        <v>28</v>
      </c>
      <c r="M1254" t="s">
        <v>6</v>
      </c>
      <c r="N1254" t="b">
        <v>0</v>
      </c>
      <c r="O1254">
        <v>1</v>
      </c>
      <c r="P1254">
        <v>0</v>
      </c>
      <c r="Q1254">
        <v>0</v>
      </c>
      <c r="R1254">
        <v>0</v>
      </c>
    </row>
    <row r="1255" spans="1:18" x14ac:dyDescent="0.25">
      <c r="A1255" t="s">
        <v>9</v>
      </c>
      <c r="B1255" t="s">
        <v>8</v>
      </c>
      <c r="C1255">
        <v>4</v>
      </c>
      <c r="D1255">
        <v>4</v>
      </c>
      <c r="E1255">
        <v>2</v>
      </c>
      <c r="F1255" s="15">
        <v>45922</v>
      </c>
      <c r="G1255" t="s">
        <v>264</v>
      </c>
      <c r="H1255">
        <v>4</v>
      </c>
      <c r="I1255">
        <v>2025</v>
      </c>
      <c r="J1255">
        <v>9</v>
      </c>
      <c r="K1255" t="s">
        <v>87</v>
      </c>
      <c r="L1255" t="s">
        <v>27</v>
      </c>
      <c r="M1255" t="s">
        <v>6</v>
      </c>
      <c r="N1255" t="b">
        <v>0</v>
      </c>
      <c r="O1255">
        <v>1</v>
      </c>
      <c r="P1255">
        <v>0</v>
      </c>
      <c r="Q1255">
        <v>0</v>
      </c>
      <c r="R1255">
        <v>0</v>
      </c>
    </row>
    <row r="1256" spans="1:18" x14ac:dyDescent="0.25">
      <c r="A1256" t="s">
        <v>19</v>
      </c>
      <c r="B1256" t="s">
        <v>6</v>
      </c>
      <c r="C1256">
        <v>1</v>
      </c>
      <c r="D1256">
        <v>5</v>
      </c>
      <c r="E1256">
        <v>1</v>
      </c>
      <c r="F1256" s="15">
        <v>45964</v>
      </c>
      <c r="G1256" t="s">
        <v>277</v>
      </c>
      <c r="H1256">
        <v>4</v>
      </c>
      <c r="I1256">
        <v>2025</v>
      </c>
      <c r="J1256">
        <v>11</v>
      </c>
      <c r="K1256" t="s">
        <v>87</v>
      </c>
      <c r="L1256" t="s">
        <v>13</v>
      </c>
      <c r="M1256" t="s">
        <v>6</v>
      </c>
      <c r="N1256" t="b">
        <v>0</v>
      </c>
      <c r="O1256">
        <v>0</v>
      </c>
      <c r="P1256">
        <v>1</v>
      </c>
      <c r="Q1256">
        <v>0</v>
      </c>
      <c r="R1256">
        <v>0</v>
      </c>
    </row>
    <row r="1257" spans="1:18" x14ac:dyDescent="0.25">
      <c r="A1257" t="s">
        <v>19</v>
      </c>
      <c r="B1257" t="s">
        <v>6</v>
      </c>
      <c r="C1257">
        <v>1</v>
      </c>
      <c r="D1257">
        <v>5</v>
      </c>
      <c r="E1257">
        <v>1</v>
      </c>
      <c r="F1257" s="15">
        <v>45964</v>
      </c>
      <c r="G1257" t="s">
        <v>277</v>
      </c>
      <c r="H1257">
        <v>4</v>
      </c>
      <c r="I1257">
        <v>2025</v>
      </c>
      <c r="J1257">
        <v>11</v>
      </c>
      <c r="K1257" t="s">
        <v>87</v>
      </c>
      <c r="L1257" t="s">
        <v>20</v>
      </c>
      <c r="M1257" t="s">
        <v>8</v>
      </c>
      <c r="N1257" t="b">
        <v>0</v>
      </c>
      <c r="O1257">
        <v>0</v>
      </c>
      <c r="P1257">
        <v>1</v>
      </c>
      <c r="Q1257">
        <v>0</v>
      </c>
      <c r="R1257">
        <v>1</v>
      </c>
    </row>
    <row r="1258" spans="1:18" x14ac:dyDescent="0.25">
      <c r="A1258" t="s">
        <v>19</v>
      </c>
      <c r="B1258" t="s">
        <v>6</v>
      </c>
      <c r="C1258">
        <v>1</v>
      </c>
      <c r="D1258">
        <v>5</v>
      </c>
      <c r="E1258">
        <v>1</v>
      </c>
      <c r="F1258" s="15">
        <v>45964</v>
      </c>
      <c r="G1258" t="s">
        <v>277</v>
      </c>
      <c r="H1258">
        <v>4</v>
      </c>
      <c r="I1258">
        <v>2025</v>
      </c>
      <c r="J1258">
        <v>11</v>
      </c>
      <c r="K1258" t="s">
        <v>87</v>
      </c>
      <c r="L1258" t="s">
        <v>321</v>
      </c>
      <c r="M1258" t="s">
        <v>6</v>
      </c>
      <c r="N1258" t="b">
        <v>0</v>
      </c>
      <c r="O1258">
        <v>0</v>
      </c>
      <c r="P1258">
        <v>1</v>
      </c>
      <c r="Q1258">
        <v>0</v>
      </c>
      <c r="R1258">
        <v>0</v>
      </c>
    </row>
    <row r="1259" spans="1:18" x14ac:dyDescent="0.25">
      <c r="A1259" t="s">
        <v>13</v>
      </c>
      <c r="B1259" t="s">
        <v>6</v>
      </c>
      <c r="C1259">
        <v>4</v>
      </c>
      <c r="D1259">
        <v>5</v>
      </c>
      <c r="E1259">
        <v>1</v>
      </c>
      <c r="F1259" s="15">
        <v>45964</v>
      </c>
      <c r="G1259" t="s">
        <v>277</v>
      </c>
      <c r="H1259">
        <v>4</v>
      </c>
      <c r="I1259">
        <v>2025</v>
      </c>
      <c r="J1259">
        <v>11</v>
      </c>
      <c r="K1259" t="s">
        <v>87</v>
      </c>
      <c r="L1259" t="s">
        <v>19</v>
      </c>
      <c r="M1259" t="s">
        <v>6</v>
      </c>
      <c r="N1259" t="b">
        <v>0</v>
      </c>
      <c r="O1259">
        <v>0</v>
      </c>
      <c r="P1259">
        <v>1</v>
      </c>
      <c r="Q1259">
        <v>0</v>
      </c>
      <c r="R1259">
        <v>0</v>
      </c>
    </row>
    <row r="1260" spans="1:18" x14ac:dyDescent="0.25">
      <c r="A1260" t="s">
        <v>13</v>
      </c>
      <c r="B1260" t="s">
        <v>6</v>
      </c>
      <c r="C1260">
        <v>4</v>
      </c>
      <c r="D1260">
        <v>5</v>
      </c>
      <c r="E1260">
        <v>1</v>
      </c>
      <c r="F1260" s="15">
        <v>45964</v>
      </c>
      <c r="G1260" t="s">
        <v>277</v>
      </c>
      <c r="H1260">
        <v>4</v>
      </c>
      <c r="I1260">
        <v>2025</v>
      </c>
      <c r="J1260">
        <v>11</v>
      </c>
      <c r="K1260" t="s">
        <v>87</v>
      </c>
      <c r="L1260" t="s">
        <v>20</v>
      </c>
      <c r="M1260" t="s">
        <v>8</v>
      </c>
      <c r="N1260" t="b">
        <v>0</v>
      </c>
      <c r="O1260">
        <v>0</v>
      </c>
      <c r="P1260">
        <v>1</v>
      </c>
      <c r="Q1260">
        <v>0</v>
      </c>
      <c r="R1260">
        <v>1</v>
      </c>
    </row>
    <row r="1261" spans="1:18" x14ac:dyDescent="0.25">
      <c r="A1261" t="s">
        <v>13</v>
      </c>
      <c r="B1261" t="s">
        <v>6</v>
      </c>
      <c r="C1261">
        <v>4</v>
      </c>
      <c r="D1261">
        <v>5</v>
      </c>
      <c r="E1261">
        <v>1</v>
      </c>
      <c r="F1261" s="15">
        <v>45964</v>
      </c>
      <c r="G1261" t="s">
        <v>277</v>
      </c>
      <c r="H1261">
        <v>4</v>
      </c>
      <c r="I1261">
        <v>2025</v>
      </c>
      <c r="J1261">
        <v>11</v>
      </c>
      <c r="K1261" t="s">
        <v>87</v>
      </c>
      <c r="L1261" t="s">
        <v>321</v>
      </c>
      <c r="M1261" t="s">
        <v>6</v>
      </c>
      <c r="N1261" t="b">
        <v>0</v>
      </c>
      <c r="O1261">
        <v>0</v>
      </c>
      <c r="P1261">
        <v>1</v>
      </c>
      <c r="Q1261">
        <v>0</v>
      </c>
      <c r="R1261">
        <v>0</v>
      </c>
    </row>
    <row r="1262" spans="1:18" x14ac:dyDescent="0.25">
      <c r="A1262" t="s">
        <v>20</v>
      </c>
      <c r="B1262" t="s">
        <v>8</v>
      </c>
      <c r="C1262">
        <v>3</v>
      </c>
      <c r="D1262">
        <v>5</v>
      </c>
      <c r="E1262">
        <v>1</v>
      </c>
      <c r="F1262" s="15">
        <v>45964</v>
      </c>
      <c r="G1262" t="s">
        <v>277</v>
      </c>
      <c r="H1262">
        <v>4</v>
      </c>
      <c r="I1262">
        <v>2025</v>
      </c>
      <c r="J1262">
        <v>11</v>
      </c>
      <c r="K1262" t="s">
        <v>87</v>
      </c>
      <c r="L1262" t="s">
        <v>19</v>
      </c>
      <c r="M1262" t="s">
        <v>6</v>
      </c>
      <c r="N1262" t="b">
        <v>0</v>
      </c>
      <c r="O1262">
        <v>1</v>
      </c>
      <c r="P1262">
        <v>0</v>
      </c>
      <c r="Q1262">
        <v>0</v>
      </c>
      <c r="R1262">
        <v>0</v>
      </c>
    </row>
    <row r="1263" spans="1:18" x14ac:dyDescent="0.25">
      <c r="A1263" t="s">
        <v>20</v>
      </c>
      <c r="B1263" t="s">
        <v>8</v>
      </c>
      <c r="C1263">
        <v>3</v>
      </c>
      <c r="D1263">
        <v>5</v>
      </c>
      <c r="E1263">
        <v>1</v>
      </c>
      <c r="F1263" s="15">
        <v>45964</v>
      </c>
      <c r="G1263" t="s">
        <v>277</v>
      </c>
      <c r="H1263">
        <v>4</v>
      </c>
      <c r="I1263">
        <v>2025</v>
      </c>
      <c r="J1263">
        <v>11</v>
      </c>
      <c r="K1263" t="s">
        <v>87</v>
      </c>
      <c r="L1263" t="s">
        <v>13</v>
      </c>
      <c r="M1263" t="s">
        <v>6</v>
      </c>
      <c r="N1263" t="b">
        <v>0</v>
      </c>
      <c r="O1263">
        <v>1</v>
      </c>
      <c r="P1263">
        <v>0</v>
      </c>
      <c r="Q1263">
        <v>0</v>
      </c>
      <c r="R1263">
        <v>0</v>
      </c>
    </row>
    <row r="1264" spans="1:18" x14ac:dyDescent="0.25">
      <c r="A1264" t="s">
        <v>20</v>
      </c>
      <c r="B1264" t="s">
        <v>8</v>
      </c>
      <c r="C1264">
        <v>3</v>
      </c>
      <c r="D1264">
        <v>5</v>
      </c>
      <c r="E1264">
        <v>1</v>
      </c>
      <c r="F1264" s="15">
        <v>45964</v>
      </c>
      <c r="G1264" t="s">
        <v>277</v>
      </c>
      <c r="H1264">
        <v>4</v>
      </c>
      <c r="I1264">
        <v>2025</v>
      </c>
      <c r="J1264">
        <v>11</v>
      </c>
      <c r="K1264" t="s">
        <v>87</v>
      </c>
      <c r="L1264" t="s">
        <v>321</v>
      </c>
      <c r="M1264" t="s">
        <v>6</v>
      </c>
      <c r="N1264" t="b">
        <v>0</v>
      </c>
      <c r="O1264">
        <v>1</v>
      </c>
      <c r="P1264">
        <v>0</v>
      </c>
      <c r="Q1264">
        <v>0</v>
      </c>
      <c r="R1264">
        <v>0</v>
      </c>
    </row>
    <row r="1265" spans="1:18" x14ac:dyDescent="0.25">
      <c r="A1265" t="s">
        <v>321</v>
      </c>
      <c r="B1265" t="s">
        <v>6</v>
      </c>
      <c r="C1265">
        <v>2</v>
      </c>
      <c r="D1265">
        <v>5</v>
      </c>
      <c r="E1265">
        <v>1</v>
      </c>
      <c r="F1265" s="15">
        <v>45964</v>
      </c>
      <c r="G1265" t="s">
        <v>277</v>
      </c>
      <c r="H1265">
        <v>4</v>
      </c>
      <c r="I1265">
        <v>2025</v>
      </c>
      <c r="J1265">
        <v>11</v>
      </c>
      <c r="K1265" t="s">
        <v>87</v>
      </c>
      <c r="L1265" t="s">
        <v>19</v>
      </c>
      <c r="M1265" t="s">
        <v>6</v>
      </c>
      <c r="N1265" t="b">
        <v>0</v>
      </c>
      <c r="O1265">
        <v>0</v>
      </c>
      <c r="P1265">
        <v>1</v>
      </c>
      <c r="Q1265">
        <v>0</v>
      </c>
      <c r="R1265">
        <v>0</v>
      </c>
    </row>
    <row r="1266" spans="1:18" x14ac:dyDescent="0.25">
      <c r="A1266" t="s">
        <v>321</v>
      </c>
      <c r="B1266" t="s">
        <v>6</v>
      </c>
      <c r="C1266">
        <v>2</v>
      </c>
      <c r="D1266">
        <v>5</v>
      </c>
      <c r="E1266">
        <v>1</v>
      </c>
      <c r="F1266" s="15">
        <v>45964</v>
      </c>
      <c r="G1266" t="s">
        <v>277</v>
      </c>
      <c r="H1266">
        <v>4</v>
      </c>
      <c r="I1266">
        <v>2025</v>
      </c>
      <c r="J1266">
        <v>11</v>
      </c>
      <c r="K1266" t="s">
        <v>87</v>
      </c>
      <c r="L1266" t="s">
        <v>13</v>
      </c>
      <c r="M1266" t="s">
        <v>6</v>
      </c>
      <c r="N1266" t="b">
        <v>0</v>
      </c>
      <c r="O1266">
        <v>0</v>
      </c>
      <c r="P1266">
        <v>1</v>
      </c>
      <c r="Q1266">
        <v>0</v>
      </c>
      <c r="R1266">
        <v>0</v>
      </c>
    </row>
    <row r="1267" spans="1:18" x14ac:dyDescent="0.25">
      <c r="A1267" t="s">
        <v>321</v>
      </c>
      <c r="B1267" t="s">
        <v>6</v>
      </c>
      <c r="C1267">
        <v>2</v>
      </c>
      <c r="D1267">
        <v>5</v>
      </c>
      <c r="E1267">
        <v>1</v>
      </c>
      <c r="F1267" s="15">
        <v>45964</v>
      </c>
      <c r="G1267" t="s">
        <v>277</v>
      </c>
      <c r="H1267">
        <v>4</v>
      </c>
      <c r="I1267">
        <v>2025</v>
      </c>
      <c r="J1267">
        <v>11</v>
      </c>
      <c r="K1267" t="s">
        <v>87</v>
      </c>
      <c r="L1267" t="s">
        <v>20</v>
      </c>
      <c r="M1267" t="s">
        <v>8</v>
      </c>
      <c r="N1267" t="b">
        <v>0</v>
      </c>
      <c r="O1267">
        <v>0</v>
      </c>
      <c r="P1267">
        <v>1</v>
      </c>
      <c r="Q1267">
        <v>0</v>
      </c>
      <c r="R1267">
        <v>1</v>
      </c>
    </row>
    <row r="1268" spans="1:18" x14ac:dyDescent="0.25">
      <c r="A1268" t="s">
        <v>19</v>
      </c>
      <c r="B1268" t="s">
        <v>8</v>
      </c>
      <c r="C1268">
        <v>1</v>
      </c>
      <c r="D1268">
        <v>1</v>
      </c>
      <c r="E1268">
        <v>1</v>
      </c>
      <c r="F1268" s="15">
        <v>46020</v>
      </c>
      <c r="G1268" t="s">
        <v>116</v>
      </c>
      <c r="H1268">
        <v>4</v>
      </c>
      <c r="I1268">
        <v>2025</v>
      </c>
      <c r="J1268">
        <v>12</v>
      </c>
      <c r="K1268" t="s">
        <v>87</v>
      </c>
      <c r="L1268" t="s">
        <v>13</v>
      </c>
      <c r="M1268" t="s">
        <v>6</v>
      </c>
      <c r="N1268" t="b">
        <v>0</v>
      </c>
      <c r="O1268">
        <v>1</v>
      </c>
      <c r="P1268">
        <v>0</v>
      </c>
      <c r="Q1268">
        <v>0</v>
      </c>
      <c r="R1268">
        <v>0</v>
      </c>
    </row>
    <row r="1269" spans="1:18" x14ac:dyDescent="0.25">
      <c r="A1269" t="s">
        <v>19</v>
      </c>
      <c r="B1269" t="s">
        <v>8</v>
      </c>
      <c r="C1269">
        <v>1</v>
      </c>
      <c r="D1269">
        <v>1</v>
      </c>
      <c r="E1269">
        <v>1</v>
      </c>
      <c r="F1269" s="15">
        <v>46020</v>
      </c>
      <c r="G1269" t="s">
        <v>116</v>
      </c>
      <c r="H1269">
        <v>4</v>
      </c>
      <c r="I1269">
        <v>2025</v>
      </c>
      <c r="J1269">
        <v>12</v>
      </c>
      <c r="K1269" t="s">
        <v>87</v>
      </c>
      <c r="L1269" t="s">
        <v>436</v>
      </c>
      <c r="M1269" t="s">
        <v>6</v>
      </c>
      <c r="N1269" t="b">
        <v>0</v>
      </c>
      <c r="O1269">
        <v>1</v>
      </c>
      <c r="P1269">
        <v>0</v>
      </c>
      <c r="Q1269">
        <v>0</v>
      </c>
      <c r="R1269">
        <v>0</v>
      </c>
    </row>
    <row r="1270" spans="1:18" x14ac:dyDescent="0.25">
      <c r="A1270" t="s">
        <v>19</v>
      </c>
      <c r="B1270" t="s">
        <v>8</v>
      </c>
      <c r="C1270">
        <v>1</v>
      </c>
      <c r="D1270">
        <v>1</v>
      </c>
      <c r="E1270">
        <v>1</v>
      </c>
      <c r="F1270" s="15">
        <v>46020</v>
      </c>
      <c r="G1270" t="s">
        <v>116</v>
      </c>
      <c r="H1270">
        <v>4</v>
      </c>
      <c r="I1270">
        <v>2025</v>
      </c>
      <c r="J1270">
        <v>12</v>
      </c>
      <c r="K1270" t="s">
        <v>87</v>
      </c>
      <c r="L1270" t="s">
        <v>15</v>
      </c>
      <c r="M1270" t="s">
        <v>6</v>
      </c>
      <c r="N1270" t="b">
        <v>0</v>
      </c>
      <c r="O1270">
        <v>1</v>
      </c>
      <c r="P1270">
        <v>0</v>
      </c>
      <c r="Q1270">
        <v>0</v>
      </c>
      <c r="R1270">
        <v>0</v>
      </c>
    </row>
    <row r="1271" spans="1:18" x14ac:dyDescent="0.25">
      <c r="A1271" t="s">
        <v>13</v>
      </c>
      <c r="B1271" t="s">
        <v>6</v>
      </c>
      <c r="C1271">
        <v>2</v>
      </c>
      <c r="D1271">
        <v>1</v>
      </c>
      <c r="E1271">
        <v>1</v>
      </c>
      <c r="F1271" s="15">
        <v>46020</v>
      </c>
      <c r="G1271" t="s">
        <v>116</v>
      </c>
      <c r="H1271">
        <v>4</v>
      </c>
      <c r="I1271">
        <v>2025</v>
      </c>
      <c r="J1271">
        <v>12</v>
      </c>
      <c r="K1271" t="s">
        <v>87</v>
      </c>
      <c r="L1271" t="s">
        <v>19</v>
      </c>
      <c r="M1271" t="s">
        <v>8</v>
      </c>
      <c r="N1271" t="b">
        <v>0</v>
      </c>
      <c r="O1271">
        <v>0</v>
      </c>
      <c r="P1271">
        <v>1</v>
      </c>
      <c r="Q1271">
        <v>0</v>
      </c>
      <c r="R1271">
        <v>1</v>
      </c>
    </row>
    <row r="1272" spans="1:18" x14ac:dyDescent="0.25">
      <c r="A1272" t="s">
        <v>13</v>
      </c>
      <c r="B1272" t="s">
        <v>6</v>
      </c>
      <c r="C1272">
        <v>2</v>
      </c>
      <c r="D1272">
        <v>1</v>
      </c>
      <c r="E1272">
        <v>1</v>
      </c>
      <c r="F1272" s="15">
        <v>46020</v>
      </c>
      <c r="G1272" t="s">
        <v>116</v>
      </c>
      <c r="H1272">
        <v>4</v>
      </c>
      <c r="I1272">
        <v>2025</v>
      </c>
      <c r="J1272">
        <v>12</v>
      </c>
      <c r="K1272" t="s">
        <v>87</v>
      </c>
      <c r="L1272" t="s">
        <v>436</v>
      </c>
      <c r="M1272" t="s">
        <v>6</v>
      </c>
      <c r="N1272" t="b">
        <v>0</v>
      </c>
      <c r="O1272">
        <v>0</v>
      </c>
      <c r="P1272">
        <v>1</v>
      </c>
      <c r="Q1272">
        <v>0</v>
      </c>
      <c r="R1272">
        <v>0</v>
      </c>
    </row>
    <row r="1273" spans="1:18" x14ac:dyDescent="0.25">
      <c r="A1273" t="s">
        <v>13</v>
      </c>
      <c r="B1273" t="s">
        <v>6</v>
      </c>
      <c r="C1273">
        <v>2</v>
      </c>
      <c r="D1273">
        <v>1</v>
      </c>
      <c r="E1273">
        <v>1</v>
      </c>
      <c r="F1273" s="15">
        <v>46020</v>
      </c>
      <c r="G1273" t="s">
        <v>116</v>
      </c>
      <c r="H1273">
        <v>4</v>
      </c>
      <c r="I1273">
        <v>2025</v>
      </c>
      <c r="J1273">
        <v>12</v>
      </c>
      <c r="K1273" t="s">
        <v>87</v>
      </c>
      <c r="L1273" t="s">
        <v>15</v>
      </c>
      <c r="M1273" t="s">
        <v>6</v>
      </c>
      <c r="N1273" t="b">
        <v>0</v>
      </c>
      <c r="O1273">
        <v>0</v>
      </c>
      <c r="P1273">
        <v>1</v>
      </c>
      <c r="Q1273">
        <v>0</v>
      </c>
      <c r="R1273">
        <v>0</v>
      </c>
    </row>
    <row r="1274" spans="1:18" x14ac:dyDescent="0.25">
      <c r="A1274" t="s">
        <v>436</v>
      </c>
      <c r="B1274" t="s">
        <v>6</v>
      </c>
      <c r="C1274">
        <v>4</v>
      </c>
      <c r="D1274">
        <v>1</v>
      </c>
      <c r="E1274">
        <v>1</v>
      </c>
      <c r="F1274" s="15">
        <v>46020</v>
      </c>
      <c r="G1274" t="s">
        <v>116</v>
      </c>
      <c r="H1274">
        <v>4</v>
      </c>
      <c r="I1274">
        <v>2025</v>
      </c>
      <c r="J1274">
        <v>12</v>
      </c>
      <c r="K1274" t="s">
        <v>87</v>
      </c>
      <c r="L1274" t="s">
        <v>19</v>
      </c>
      <c r="M1274" t="s">
        <v>8</v>
      </c>
      <c r="N1274" t="b">
        <v>0</v>
      </c>
      <c r="O1274">
        <v>0</v>
      </c>
      <c r="P1274">
        <v>1</v>
      </c>
      <c r="Q1274">
        <v>0</v>
      </c>
      <c r="R1274">
        <v>1</v>
      </c>
    </row>
    <row r="1275" spans="1:18" x14ac:dyDescent="0.25">
      <c r="A1275" t="s">
        <v>436</v>
      </c>
      <c r="B1275" t="s">
        <v>6</v>
      </c>
      <c r="C1275">
        <v>4</v>
      </c>
      <c r="D1275">
        <v>1</v>
      </c>
      <c r="E1275">
        <v>1</v>
      </c>
      <c r="F1275" s="15">
        <v>46020</v>
      </c>
      <c r="G1275" t="s">
        <v>116</v>
      </c>
      <c r="H1275">
        <v>4</v>
      </c>
      <c r="I1275">
        <v>2025</v>
      </c>
      <c r="J1275">
        <v>12</v>
      </c>
      <c r="K1275" t="s">
        <v>87</v>
      </c>
      <c r="L1275" t="s">
        <v>13</v>
      </c>
      <c r="M1275" t="s">
        <v>6</v>
      </c>
      <c r="N1275" t="b">
        <v>0</v>
      </c>
      <c r="O1275">
        <v>0</v>
      </c>
      <c r="P1275">
        <v>1</v>
      </c>
      <c r="Q1275">
        <v>0</v>
      </c>
      <c r="R1275">
        <v>0</v>
      </c>
    </row>
    <row r="1276" spans="1:18" x14ac:dyDescent="0.25">
      <c r="A1276" t="s">
        <v>436</v>
      </c>
      <c r="B1276" t="s">
        <v>6</v>
      </c>
      <c r="C1276">
        <v>4</v>
      </c>
      <c r="D1276">
        <v>1</v>
      </c>
      <c r="E1276">
        <v>1</v>
      </c>
      <c r="F1276" s="15">
        <v>46020</v>
      </c>
      <c r="G1276" t="s">
        <v>116</v>
      </c>
      <c r="H1276">
        <v>4</v>
      </c>
      <c r="I1276">
        <v>2025</v>
      </c>
      <c r="J1276">
        <v>12</v>
      </c>
      <c r="K1276" t="s">
        <v>87</v>
      </c>
      <c r="L1276" t="s">
        <v>15</v>
      </c>
      <c r="M1276" t="s">
        <v>6</v>
      </c>
      <c r="N1276" t="b">
        <v>0</v>
      </c>
      <c r="O1276">
        <v>0</v>
      </c>
      <c r="P1276">
        <v>1</v>
      </c>
      <c r="Q1276">
        <v>0</v>
      </c>
      <c r="R1276">
        <v>0</v>
      </c>
    </row>
    <row r="1277" spans="1:18" x14ac:dyDescent="0.25">
      <c r="A1277" t="s">
        <v>15</v>
      </c>
      <c r="B1277" t="s">
        <v>6</v>
      </c>
      <c r="C1277">
        <v>3</v>
      </c>
      <c r="D1277">
        <v>1</v>
      </c>
      <c r="E1277">
        <v>1</v>
      </c>
      <c r="F1277" s="15">
        <v>46020</v>
      </c>
      <c r="G1277" t="s">
        <v>116</v>
      </c>
      <c r="H1277">
        <v>4</v>
      </c>
      <c r="I1277">
        <v>2025</v>
      </c>
      <c r="J1277">
        <v>12</v>
      </c>
      <c r="K1277" t="s">
        <v>87</v>
      </c>
      <c r="L1277" t="s">
        <v>19</v>
      </c>
      <c r="M1277" t="s">
        <v>8</v>
      </c>
      <c r="N1277" t="b">
        <v>0</v>
      </c>
      <c r="O1277">
        <v>0</v>
      </c>
      <c r="P1277">
        <v>1</v>
      </c>
      <c r="Q1277">
        <v>0</v>
      </c>
      <c r="R1277">
        <v>1</v>
      </c>
    </row>
    <row r="1278" spans="1:18" x14ac:dyDescent="0.25">
      <c r="A1278" t="s">
        <v>15</v>
      </c>
      <c r="B1278" t="s">
        <v>6</v>
      </c>
      <c r="C1278">
        <v>3</v>
      </c>
      <c r="D1278">
        <v>1</v>
      </c>
      <c r="E1278">
        <v>1</v>
      </c>
      <c r="F1278" s="15">
        <v>46020</v>
      </c>
      <c r="G1278" t="s">
        <v>116</v>
      </c>
      <c r="H1278">
        <v>4</v>
      </c>
      <c r="I1278">
        <v>2025</v>
      </c>
      <c r="J1278">
        <v>12</v>
      </c>
      <c r="K1278" t="s">
        <v>87</v>
      </c>
      <c r="L1278" t="s">
        <v>13</v>
      </c>
      <c r="M1278" t="s">
        <v>6</v>
      </c>
      <c r="N1278" t="b">
        <v>0</v>
      </c>
      <c r="O1278">
        <v>0</v>
      </c>
      <c r="P1278">
        <v>1</v>
      </c>
      <c r="Q1278">
        <v>0</v>
      </c>
      <c r="R1278">
        <v>0</v>
      </c>
    </row>
    <row r="1279" spans="1:18" x14ac:dyDescent="0.25">
      <c r="A1279" t="s">
        <v>15</v>
      </c>
      <c r="B1279" t="s">
        <v>6</v>
      </c>
      <c r="C1279">
        <v>3</v>
      </c>
      <c r="D1279">
        <v>1</v>
      </c>
      <c r="E1279">
        <v>1</v>
      </c>
      <c r="F1279" s="15">
        <v>46020</v>
      </c>
      <c r="G1279" t="s">
        <v>116</v>
      </c>
      <c r="H1279">
        <v>4</v>
      </c>
      <c r="I1279">
        <v>2025</v>
      </c>
      <c r="J1279">
        <v>12</v>
      </c>
      <c r="K1279" t="s">
        <v>87</v>
      </c>
      <c r="L1279" t="s">
        <v>436</v>
      </c>
      <c r="M1279" t="s">
        <v>6</v>
      </c>
      <c r="N1279" t="b">
        <v>0</v>
      </c>
      <c r="O1279">
        <v>0</v>
      </c>
      <c r="P1279">
        <v>1</v>
      </c>
      <c r="Q1279">
        <v>0</v>
      </c>
      <c r="R1279">
        <v>0</v>
      </c>
    </row>
    <row r="1280" spans="1:18" x14ac:dyDescent="0.25">
      <c r="A1280" t="s">
        <v>19</v>
      </c>
      <c r="B1280" t="s">
        <v>63</v>
      </c>
      <c r="C1280">
        <v>5</v>
      </c>
      <c r="D1280">
        <v>1</v>
      </c>
      <c r="E1280">
        <v>1</v>
      </c>
      <c r="F1280" s="15">
        <v>46027</v>
      </c>
      <c r="G1280" t="s">
        <v>117</v>
      </c>
      <c r="H1280">
        <v>5</v>
      </c>
      <c r="I1280">
        <v>2026</v>
      </c>
      <c r="J1280">
        <v>1</v>
      </c>
      <c r="K1280" t="s">
        <v>87</v>
      </c>
      <c r="L1280" t="s">
        <v>13</v>
      </c>
      <c r="M1280" t="s">
        <v>63</v>
      </c>
      <c r="N1280" t="b">
        <v>0</v>
      </c>
      <c r="O1280">
        <v>0</v>
      </c>
      <c r="P1280">
        <v>0</v>
      </c>
      <c r="Q1280">
        <v>1</v>
      </c>
      <c r="R1280">
        <v>0</v>
      </c>
    </row>
    <row r="1281" spans="1:18" x14ac:dyDescent="0.25">
      <c r="A1281" t="s">
        <v>19</v>
      </c>
      <c r="B1281" t="s">
        <v>63</v>
      </c>
      <c r="C1281">
        <v>5</v>
      </c>
      <c r="D1281">
        <v>1</v>
      </c>
      <c r="E1281">
        <v>1</v>
      </c>
      <c r="F1281" s="15">
        <v>46027</v>
      </c>
      <c r="G1281" t="s">
        <v>117</v>
      </c>
      <c r="H1281">
        <v>5</v>
      </c>
      <c r="I1281">
        <v>2026</v>
      </c>
      <c r="J1281">
        <v>1</v>
      </c>
      <c r="K1281" t="s">
        <v>87</v>
      </c>
      <c r="L1281" t="s">
        <v>436</v>
      </c>
      <c r="M1281" t="s">
        <v>63</v>
      </c>
      <c r="N1281" t="b">
        <v>0</v>
      </c>
      <c r="O1281">
        <v>0</v>
      </c>
      <c r="P1281">
        <v>0</v>
      </c>
      <c r="Q1281">
        <v>1</v>
      </c>
      <c r="R1281">
        <v>0</v>
      </c>
    </row>
    <row r="1282" spans="1:18" x14ac:dyDescent="0.25">
      <c r="A1282" t="s">
        <v>19</v>
      </c>
      <c r="B1282" t="s">
        <v>63</v>
      </c>
      <c r="C1282">
        <v>5</v>
      </c>
      <c r="D1282">
        <v>1</v>
      </c>
      <c r="E1282">
        <v>1</v>
      </c>
      <c r="F1282" s="15">
        <v>46027</v>
      </c>
      <c r="G1282" t="s">
        <v>117</v>
      </c>
      <c r="H1282">
        <v>5</v>
      </c>
      <c r="I1282">
        <v>2026</v>
      </c>
      <c r="J1282">
        <v>1</v>
      </c>
      <c r="K1282" t="s">
        <v>87</v>
      </c>
      <c r="L1282" t="s">
        <v>433</v>
      </c>
      <c r="M1282" t="s">
        <v>63</v>
      </c>
      <c r="N1282" t="b">
        <v>0</v>
      </c>
      <c r="O1282">
        <v>0</v>
      </c>
      <c r="P1282">
        <v>0</v>
      </c>
      <c r="Q1282">
        <v>1</v>
      </c>
      <c r="R1282">
        <v>0</v>
      </c>
    </row>
    <row r="1283" spans="1:18" x14ac:dyDescent="0.25">
      <c r="A1283" t="s">
        <v>19</v>
      </c>
      <c r="B1283" t="s">
        <v>63</v>
      </c>
      <c r="C1283">
        <v>5</v>
      </c>
      <c r="D1283">
        <v>1</v>
      </c>
      <c r="E1283">
        <v>1</v>
      </c>
      <c r="F1283" s="15">
        <v>46027</v>
      </c>
      <c r="G1283" t="s">
        <v>117</v>
      </c>
      <c r="H1283">
        <v>5</v>
      </c>
      <c r="I1283">
        <v>2026</v>
      </c>
      <c r="J1283">
        <v>1</v>
      </c>
      <c r="K1283" t="s">
        <v>87</v>
      </c>
      <c r="L1283" t="s">
        <v>352</v>
      </c>
      <c r="M1283" t="s">
        <v>63</v>
      </c>
      <c r="N1283" t="b">
        <v>0</v>
      </c>
      <c r="O1283">
        <v>0</v>
      </c>
      <c r="P1283">
        <v>0</v>
      </c>
      <c r="Q1283">
        <v>1</v>
      </c>
      <c r="R1283">
        <v>0</v>
      </c>
    </row>
    <row r="1284" spans="1:18" x14ac:dyDescent="0.25">
      <c r="A1284" t="s">
        <v>13</v>
      </c>
      <c r="B1284" t="s">
        <v>63</v>
      </c>
      <c r="C1284">
        <v>1</v>
      </c>
      <c r="D1284">
        <v>1</v>
      </c>
      <c r="E1284">
        <v>1</v>
      </c>
      <c r="F1284" s="15">
        <v>46027</v>
      </c>
      <c r="G1284" t="s">
        <v>117</v>
      </c>
      <c r="H1284">
        <v>5</v>
      </c>
      <c r="I1284">
        <v>2026</v>
      </c>
      <c r="J1284">
        <v>1</v>
      </c>
      <c r="K1284" t="s">
        <v>87</v>
      </c>
      <c r="L1284" t="s">
        <v>19</v>
      </c>
      <c r="M1284" t="s">
        <v>63</v>
      </c>
      <c r="N1284" t="b">
        <v>0</v>
      </c>
      <c r="O1284">
        <v>0</v>
      </c>
      <c r="P1284">
        <v>0</v>
      </c>
      <c r="Q1284">
        <v>1</v>
      </c>
      <c r="R1284">
        <v>0</v>
      </c>
    </row>
    <row r="1285" spans="1:18" x14ac:dyDescent="0.25">
      <c r="A1285" t="s">
        <v>13</v>
      </c>
      <c r="B1285" t="s">
        <v>63</v>
      </c>
      <c r="C1285">
        <v>1</v>
      </c>
      <c r="D1285">
        <v>1</v>
      </c>
      <c r="E1285">
        <v>1</v>
      </c>
      <c r="F1285" s="15">
        <v>46027</v>
      </c>
      <c r="G1285" t="s">
        <v>117</v>
      </c>
      <c r="H1285">
        <v>5</v>
      </c>
      <c r="I1285">
        <v>2026</v>
      </c>
      <c r="J1285">
        <v>1</v>
      </c>
      <c r="K1285" t="s">
        <v>87</v>
      </c>
      <c r="L1285" t="s">
        <v>436</v>
      </c>
      <c r="M1285" t="s">
        <v>63</v>
      </c>
      <c r="N1285" t="b">
        <v>0</v>
      </c>
      <c r="O1285">
        <v>0</v>
      </c>
      <c r="P1285">
        <v>0</v>
      </c>
      <c r="Q1285">
        <v>1</v>
      </c>
      <c r="R1285">
        <v>0</v>
      </c>
    </row>
    <row r="1286" spans="1:18" x14ac:dyDescent="0.25">
      <c r="A1286" t="s">
        <v>13</v>
      </c>
      <c r="B1286" t="s">
        <v>63</v>
      </c>
      <c r="C1286">
        <v>1</v>
      </c>
      <c r="D1286">
        <v>1</v>
      </c>
      <c r="E1286">
        <v>1</v>
      </c>
      <c r="F1286" s="15">
        <v>46027</v>
      </c>
      <c r="G1286" t="s">
        <v>117</v>
      </c>
      <c r="H1286">
        <v>5</v>
      </c>
      <c r="I1286">
        <v>2026</v>
      </c>
      <c r="J1286">
        <v>1</v>
      </c>
      <c r="K1286" t="s">
        <v>87</v>
      </c>
      <c r="L1286" t="s">
        <v>433</v>
      </c>
      <c r="M1286" t="s">
        <v>63</v>
      </c>
      <c r="N1286" t="b">
        <v>0</v>
      </c>
      <c r="O1286">
        <v>0</v>
      </c>
      <c r="P1286">
        <v>0</v>
      </c>
      <c r="Q1286">
        <v>1</v>
      </c>
      <c r="R1286">
        <v>0</v>
      </c>
    </row>
    <row r="1287" spans="1:18" x14ac:dyDescent="0.25">
      <c r="A1287" t="s">
        <v>13</v>
      </c>
      <c r="B1287" t="s">
        <v>63</v>
      </c>
      <c r="C1287">
        <v>1</v>
      </c>
      <c r="D1287">
        <v>1</v>
      </c>
      <c r="E1287">
        <v>1</v>
      </c>
      <c r="F1287" s="15">
        <v>46027</v>
      </c>
      <c r="G1287" t="s">
        <v>117</v>
      </c>
      <c r="H1287">
        <v>5</v>
      </c>
      <c r="I1287">
        <v>2026</v>
      </c>
      <c r="J1287">
        <v>1</v>
      </c>
      <c r="K1287" t="s">
        <v>87</v>
      </c>
      <c r="L1287" t="s">
        <v>352</v>
      </c>
      <c r="M1287" t="s">
        <v>63</v>
      </c>
      <c r="N1287" t="b">
        <v>0</v>
      </c>
      <c r="O1287">
        <v>0</v>
      </c>
      <c r="P1287">
        <v>0</v>
      </c>
      <c r="Q1287">
        <v>1</v>
      </c>
      <c r="R1287">
        <v>0</v>
      </c>
    </row>
    <row r="1288" spans="1:18" x14ac:dyDescent="0.25">
      <c r="A1288" t="s">
        <v>436</v>
      </c>
      <c r="B1288" t="s">
        <v>63</v>
      </c>
      <c r="C1288">
        <v>4</v>
      </c>
      <c r="D1288">
        <v>1</v>
      </c>
      <c r="E1288">
        <v>1</v>
      </c>
      <c r="F1288" s="15">
        <v>46027</v>
      </c>
      <c r="G1288" t="s">
        <v>117</v>
      </c>
      <c r="H1288">
        <v>5</v>
      </c>
      <c r="I1288">
        <v>2026</v>
      </c>
      <c r="J1288">
        <v>1</v>
      </c>
      <c r="K1288" t="s">
        <v>87</v>
      </c>
      <c r="L1288" t="s">
        <v>19</v>
      </c>
      <c r="M1288" t="s">
        <v>63</v>
      </c>
      <c r="N1288" t="b">
        <v>0</v>
      </c>
      <c r="O1288">
        <v>0</v>
      </c>
      <c r="P1288">
        <v>0</v>
      </c>
      <c r="Q1288">
        <v>1</v>
      </c>
      <c r="R1288">
        <v>0</v>
      </c>
    </row>
    <row r="1289" spans="1:18" x14ac:dyDescent="0.25">
      <c r="A1289" t="s">
        <v>436</v>
      </c>
      <c r="B1289" t="s">
        <v>63</v>
      </c>
      <c r="C1289">
        <v>4</v>
      </c>
      <c r="D1289">
        <v>1</v>
      </c>
      <c r="E1289">
        <v>1</v>
      </c>
      <c r="F1289" s="15">
        <v>46027</v>
      </c>
      <c r="G1289" t="s">
        <v>117</v>
      </c>
      <c r="H1289">
        <v>5</v>
      </c>
      <c r="I1289">
        <v>2026</v>
      </c>
      <c r="J1289">
        <v>1</v>
      </c>
      <c r="K1289" t="s">
        <v>87</v>
      </c>
      <c r="L1289" t="s">
        <v>13</v>
      </c>
      <c r="M1289" t="s">
        <v>63</v>
      </c>
      <c r="N1289" t="b">
        <v>0</v>
      </c>
      <c r="O1289">
        <v>0</v>
      </c>
      <c r="P1289">
        <v>0</v>
      </c>
      <c r="Q1289">
        <v>1</v>
      </c>
      <c r="R1289">
        <v>0</v>
      </c>
    </row>
    <row r="1290" spans="1:18" x14ac:dyDescent="0.25">
      <c r="A1290" t="s">
        <v>436</v>
      </c>
      <c r="B1290" t="s">
        <v>63</v>
      </c>
      <c r="C1290">
        <v>4</v>
      </c>
      <c r="D1290">
        <v>1</v>
      </c>
      <c r="E1290">
        <v>1</v>
      </c>
      <c r="F1290" s="15">
        <v>46027</v>
      </c>
      <c r="G1290" t="s">
        <v>117</v>
      </c>
      <c r="H1290">
        <v>5</v>
      </c>
      <c r="I1290">
        <v>2026</v>
      </c>
      <c r="J1290">
        <v>1</v>
      </c>
      <c r="K1290" t="s">
        <v>87</v>
      </c>
      <c r="L1290" t="s">
        <v>433</v>
      </c>
      <c r="M1290" t="s">
        <v>63</v>
      </c>
      <c r="N1290" t="b">
        <v>0</v>
      </c>
      <c r="O1290">
        <v>0</v>
      </c>
      <c r="P1290">
        <v>0</v>
      </c>
      <c r="Q1290">
        <v>1</v>
      </c>
      <c r="R1290">
        <v>0</v>
      </c>
    </row>
    <row r="1291" spans="1:18" x14ac:dyDescent="0.25">
      <c r="A1291" t="s">
        <v>436</v>
      </c>
      <c r="B1291" t="s">
        <v>63</v>
      </c>
      <c r="C1291">
        <v>4</v>
      </c>
      <c r="D1291">
        <v>1</v>
      </c>
      <c r="E1291">
        <v>1</v>
      </c>
      <c r="F1291" s="15">
        <v>46027</v>
      </c>
      <c r="G1291" t="s">
        <v>117</v>
      </c>
      <c r="H1291">
        <v>5</v>
      </c>
      <c r="I1291">
        <v>2026</v>
      </c>
      <c r="J1291">
        <v>1</v>
      </c>
      <c r="K1291" t="s">
        <v>87</v>
      </c>
      <c r="L1291" t="s">
        <v>352</v>
      </c>
      <c r="M1291" t="s">
        <v>63</v>
      </c>
      <c r="N1291" t="b">
        <v>0</v>
      </c>
      <c r="O1291">
        <v>0</v>
      </c>
      <c r="P1291">
        <v>0</v>
      </c>
      <c r="Q1291">
        <v>1</v>
      </c>
      <c r="R1291">
        <v>0</v>
      </c>
    </row>
    <row r="1292" spans="1:18" x14ac:dyDescent="0.25">
      <c r="A1292" t="s">
        <v>433</v>
      </c>
      <c r="B1292" t="s">
        <v>63</v>
      </c>
      <c r="C1292">
        <v>2</v>
      </c>
      <c r="D1292">
        <v>1</v>
      </c>
      <c r="E1292">
        <v>1</v>
      </c>
      <c r="F1292" s="15">
        <v>46027</v>
      </c>
      <c r="G1292" t="s">
        <v>117</v>
      </c>
      <c r="H1292">
        <v>5</v>
      </c>
      <c r="I1292">
        <v>2026</v>
      </c>
      <c r="J1292">
        <v>1</v>
      </c>
      <c r="K1292" t="s">
        <v>87</v>
      </c>
      <c r="L1292" t="s">
        <v>19</v>
      </c>
      <c r="M1292" t="s">
        <v>63</v>
      </c>
      <c r="N1292" t="b">
        <v>0</v>
      </c>
      <c r="O1292">
        <v>0</v>
      </c>
      <c r="P1292">
        <v>0</v>
      </c>
      <c r="Q1292">
        <v>1</v>
      </c>
      <c r="R1292">
        <v>0</v>
      </c>
    </row>
    <row r="1293" spans="1:18" x14ac:dyDescent="0.25">
      <c r="A1293" t="s">
        <v>433</v>
      </c>
      <c r="B1293" t="s">
        <v>63</v>
      </c>
      <c r="C1293">
        <v>2</v>
      </c>
      <c r="D1293">
        <v>1</v>
      </c>
      <c r="E1293">
        <v>1</v>
      </c>
      <c r="F1293" s="15">
        <v>46027</v>
      </c>
      <c r="G1293" t="s">
        <v>117</v>
      </c>
      <c r="H1293">
        <v>5</v>
      </c>
      <c r="I1293">
        <v>2026</v>
      </c>
      <c r="J1293">
        <v>1</v>
      </c>
      <c r="K1293" t="s">
        <v>87</v>
      </c>
      <c r="L1293" t="s">
        <v>13</v>
      </c>
      <c r="M1293" t="s">
        <v>63</v>
      </c>
      <c r="N1293" t="b">
        <v>0</v>
      </c>
      <c r="O1293">
        <v>0</v>
      </c>
      <c r="P1293">
        <v>0</v>
      </c>
      <c r="Q1293">
        <v>1</v>
      </c>
      <c r="R1293">
        <v>0</v>
      </c>
    </row>
    <row r="1294" spans="1:18" x14ac:dyDescent="0.25">
      <c r="A1294" t="s">
        <v>433</v>
      </c>
      <c r="B1294" t="s">
        <v>63</v>
      </c>
      <c r="C1294">
        <v>2</v>
      </c>
      <c r="D1294">
        <v>1</v>
      </c>
      <c r="E1294">
        <v>1</v>
      </c>
      <c r="F1294" s="15">
        <v>46027</v>
      </c>
      <c r="G1294" t="s">
        <v>117</v>
      </c>
      <c r="H1294">
        <v>5</v>
      </c>
      <c r="I1294">
        <v>2026</v>
      </c>
      <c r="J1294">
        <v>1</v>
      </c>
      <c r="K1294" t="s">
        <v>87</v>
      </c>
      <c r="L1294" t="s">
        <v>436</v>
      </c>
      <c r="M1294" t="s">
        <v>63</v>
      </c>
      <c r="N1294" t="b">
        <v>0</v>
      </c>
      <c r="O1294">
        <v>0</v>
      </c>
      <c r="P1294">
        <v>0</v>
      </c>
      <c r="Q1294">
        <v>1</v>
      </c>
      <c r="R1294">
        <v>0</v>
      </c>
    </row>
    <row r="1295" spans="1:18" x14ac:dyDescent="0.25">
      <c r="A1295" t="s">
        <v>433</v>
      </c>
      <c r="B1295" t="s">
        <v>63</v>
      </c>
      <c r="C1295">
        <v>2</v>
      </c>
      <c r="D1295">
        <v>1</v>
      </c>
      <c r="E1295">
        <v>1</v>
      </c>
      <c r="F1295" s="15">
        <v>46027</v>
      </c>
      <c r="G1295" t="s">
        <v>117</v>
      </c>
      <c r="H1295">
        <v>5</v>
      </c>
      <c r="I1295">
        <v>2026</v>
      </c>
      <c r="J1295">
        <v>1</v>
      </c>
      <c r="K1295" t="s">
        <v>87</v>
      </c>
      <c r="L1295" t="s">
        <v>352</v>
      </c>
      <c r="M1295" t="s">
        <v>63</v>
      </c>
      <c r="N1295" t="b">
        <v>0</v>
      </c>
      <c r="O1295">
        <v>0</v>
      </c>
      <c r="P1295">
        <v>0</v>
      </c>
      <c r="Q1295">
        <v>1</v>
      </c>
      <c r="R1295">
        <v>0</v>
      </c>
    </row>
    <row r="1296" spans="1:18" x14ac:dyDescent="0.25">
      <c r="A1296" t="s">
        <v>352</v>
      </c>
      <c r="B1296" t="s">
        <v>63</v>
      </c>
      <c r="C1296">
        <v>3</v>
      </c>
      <c r="D1296">
        <v>1</v>
      </c>
      <c r="E1296">
        <v>1</v>
      </c>
      <c r="F1296" s="15">
        <v>46027</v>
      </c>
      <c r="G1296" t="s">
        <v>117</v>
      </c>
      <c r="H1296">
        <v>5</v>
      </c>
      <c r="I1296">
        <v>2026</v>
      </c>
      <c r="J1296">
        <v>1</v>
      </c>
      <c r="K1296" t="s">
        <v>87</v>
      </c>
      <c r="L1296" t="s">
        <v>19</v>
      </c>
      <c r="M1296" t="s">
        <v>63</v>
      </c>
      <c r="N1296" t="b">
        <v>0</v>
      </c>
      <c r="O1296">
        <v>0</v>
      </c>
      <c r="P1296">
        <v>0</v>
      </c>
      <c r="Q1296">
        <v>1</v>
      </c>
      <c r="R1296">
        <v>0</v>
      </c>
    </row>
    <row r="1297" spans="1:18" x14ac:dyDescent="0.25">
      <c r="A1297" t="s">
        <v>352</v>
      </c>
      <c r="B1297" t="s">
        <v>63</v>
      </c>
      <c r="C1297">
        <v>3</v>
      </c>
      <c r="D1297">
        <v>1</v>
      </c>
      <c r="E1297">
        <v>1</v>
      </c>
      <c r="F1297" s="15">
        <v>46027</v>
      </c>
      <c r="G1297" t="s">
        <v>117</v>
      </c>
      <c r="H1297">
        <v>5</v>
      </c>
      <c r="I1297">
        <v>2026</v>
      </c>
      <c r="J1297">
        <v>1</v>
      </c>
      <c r="K1297" t="s">
        <v>87</v>
      </c>
      <c r="L1297" t="s">
        <v>13</v>
      </c>
      <c r="M1297" t="s">
        <v>63</v>
      </c>
      <c r="N1297" t="b">
        <v>0</v>
      </c>
      <c r="O1297">
        <v>0</v>
      </c>
      <c r="P1297">
        <v>0</v>
      </c>
      <c r="Q1297">
        <v>1</v>
      </c>
      <c r="R1297">
        <v>0</v>
      </c>
    </row>
    <row r="1298" spans="1:18" x14ac:dyDescent="0.25">
      <c r="A1298" t="s">
        <v>352</v>
      </c>
      <c r="B1298" t="s">
        <v>63</v>
      </c>
      <c r="C1298">
        <v>3</v>
      </c>
      <c r="D1298">
        <v>1</v>
      </c>
      <c r="E1298">
        <v>1</v>
      </c>
      <c r="F1298" s="15">
        <v>46027</v>
      </c>
      <c r="G1298" t="s">
        <v>117</v>
      </c>
      <c r="H1298">
        <v>5</v>
      </c>
      <c r="I1298">
        <v>2026</v>
      </c>
      <c r="J1298">
        <v>1</v>
      </c>
      <c r="K1298" t="s">
        <v>87</v>
      </c>
      <c r="L1298" t="s">
        <v>436</v>
      </c>
      <c r="M1298" t="s">
        <v>63</v>
      </c>
      <c r="N1298" t="b">
        <v>0</v>
      </c>
      <c r="O1298">
        <v>0</v>
      </c>
      <c r="P1298">
        <v>0</v>
      </c>
      <c r="Q1298">
        <v>1</v>
      </c>
      <c r="R1298">
        <v>0</v>
      </c>
    </row>
    <row r="1299" spans="1:18" x14ac:dyDescent="0.25">
      <c r="A1299" t="s">
        <v>352</v>
      </c>
      <c r="B1299" t="s">
        <v>63</v>
      </c>
      <c r="C1299">
        <v>3</v>
      </c>
      <c r="D1299">
        <v>1</v>
      </c>
      <c r="E1299">
        <v>1</v>
      </c>
      <c r="F1299" s="15">
        <v>46027</v>
      </c>
      <c r="G1299" t="s">
        <v>117</v>
      </c>
      <c r="H1299">
        <v>5</v>
      </c>
      <c r="I1299">
        <v>2026</v>
      </c>
      <c r="J1299">
        <v>1</v>
      </c>
      <c r="K1299" t="s">
        <v>87</v>
      </c>
      <c r="L1299" t="s">
        <v>433</v>
      </c>
      <c r="M1299" t="s">
        <v>63</v>
      </c>
      <c r="N1299" t="b">
        <v>0</v>
      </c>
      <c r="O1299">
        <v>0</v>
      </c>
      <c r="P1299">
        <v>0</v>
      </c>
      <c r="Q1299">
        <v>1</v>
      </c>
      <c r="R1299">
        <v>0</v>
      </c>
    </row>
    <row r="1300" spans="1:18" x14ac:dyDescent="0.25">
      <c r="A1300" t="s">
        <v>19</v>
      </c>
      <c r="B1300" t="s">
        <v>8</v>
      </c>
      <c r="C1300">
        <v>2</v>
      </c>
      <c r="D1300">
        <v>3</v>
      </c>
      <c r="E1300">
        <v>1</v>
      </c>
      <c r="F1300" s="15">
        <v>46034</v>
      </c>
      <c r="G1300" t="s">
        <v>299</v>
      </c>
      <c r="H1300">
        <v>4</v>
      </c>
      <c r="I1300">
        <v>2026</v>
      </c>
      <c r="J1300">
        <v>1</v>
      </c>
      <c r="K1300" t="s">
        <v>87</v>
      </c>
      <c r="L1300" t="s">
        <v>436</v>
      </c>
      <c r="M1300" t="s">
        <v>6</v>
      </c>
      <c r="N1300" t="b">
        <v>0</v>
      </c>
      <c r="O1300">
        <v>1</v>
      </c>
      <c r="P1300">
        <v>0</v>
      </c>
      <c r="Q1300">
        <v>0</v>
      </c>
      <c r="R1300">
        <v>0</v>
      </c>
    </row>
    <row r="1301" spans="1:18" x14ac:dyDescent="0.25">
      <c r="A1301" t="s">
        <v>19</v>
      </c>
      <c r="B1301" t="s">
        <v>8</v>
      </c>
      <c r="C1301">
        <v>2</v>
      </c>
      <c r="D1301">
        <v>3</v>
      </c>
      <c r="E1301">
        <v>1</v>
      </c>
      <c r="F1301" s="15">
        <v>46034</v>
      </c>
      <c r="G1301" t="s">
        <v>299</v>
      </c>
      <c r="H1301">
        <v>4</v>
      </c>
      <c r="I1301">
        <v>2026</v>
      </c>
      <c r="J1301">
        <v>1</v>
      </c>
      <c r="K1301" t="s">
        <v>87</v>
      </c>
      <c r="L1301" t="s">
        <v>44</v>
      </c>
      <c r="M1301" t="s">
        <v>6</v>
      </c>
      <c r="N1301" t="b">
        <v>0</v>
      </c>
      <c r="O1301">
        <v>1</v>
      </c>
      <c r="P1301">
        <v>0</v>
      </c>
      <c r="Q1301">
        <v>0</v>
      </c>
      <c r="R1301">
        <v>0</v>
      </c>
    </row>
    <row r="1302" spans="1:18" x14ac:dyDescent="0.25">
      <c r="A1302" t="s">
        <v>19</v>
      </c>
      <c r="B1302" t="s">
        <v>8</v>
      </c>
      <c r="C1302">
        <v>2</v>
      </c>
      <c r="D1302">
        <v>3</v>
      </c>
      <c r="E1302">
        <v>1</v>
      </c>
      <c r="F1302" s="15">
        <v>46034</v>
      </c>
      <c r="G1302" t="s">
        <v>299</v>
      </c>
      <c r="H1302">
        <v>4</v>
      </c>
      <c r="I1302">
        <v>2026</v>
      </c>
      <c r="J1302">
        <v>1</v>
      </c>
      <c r="K1302" t="s">
        <v>87</v>
      </c>
      <c r="L1302" t="s">
        <v>22</v>
      </c>
      <c r="M1302" t="s">
        <v>6</v>
      </c>
      <c r="N1302" t="b">
        <v>0</v>
      </c>
      <c r="O1302">
        <v>1</v>
      </c>
      <c r="P1302">
        <v>0</v>
      </c>
      <c r="Q1302">
        <v>0</v>
      </c>
      <c r="R1302">
        <v>0</v>
      </c>
    </row>
    <row r="1303" spans="1:18" x14ac:dyDescent="0.25">
      <c r="A1303" t="s">
        <v>436</v>
      </c>
      <c r="B1303" t="s">
        <v>6</v>
      </c>
      <c r="C1303">
        <v>4</v>
      </c>
      <c r="D1303">
        <v>3</v>
      </c>
      <c r="E1303">
        <v>1</v>
      </c>
      <c r="F1303" s="15">
        <v>46034</v>
      </c>
      <c r="G1303" t="s">
        <v>299</v>
      </c>
      <c r="H1303">
        <v>4</v>
      </c>
      <c r="I1303">
        <v>2026</v>
      </c>
      <c r="J1303">
        <v>1</v>
      </c>
      <c r="K1303" t="s">
        <v>87</v>
      </c>
      <c r="L1303" t="s">
        <v>19</v>
      </c>
      <c r="M1303" t="s">
        <v>8</v>
      </c>
      <c r="N1303" t="b">
        <v>0</v>
      </c>
      <c r="O1303">
        <v>0</v>
      </c>
      <c r="P1303">
        <v>1</v>
      </c>
      <c r="Q1303">
        <v>0</v>
      </c>
      <c r="R1303">
        <v>1</v>
      </c>
    </row>
    <row r="1304" spans="1:18" x14ac:dyDescent="0.25">
      <c r="A1304" t="s">
        <v>436</v>
      </c>
      <c r="B1304" t="s">
        <v>6</v>
      </c>
      <c r="C1304">
        <v>4</v>
      </c>
      <c r="D1304">
        <v>3</v>
      </c>
      <c r="E1304">
        <v>1</v>
      </c>
      <c r="F1304" s="15">
        <v>46034</v>
      </c>
      <c r="G1304" t="s">
        <v>299</v>
      </c>
      <c r="H1304">
        <v>4</v>
      </c>
      <c r="I1304">
        <v>2026</v>
      </c>
      <c r="J1304">
        <v>1</v>
      </c>
      <c r="K1304" t="s">
        <v>87</v>
      </c>
      <c r="L1304" t="s">
        <v>44</v>
      </c>
      <c r="M1304" t="s">
        <v>6</v>
      </c>
      <c r="N1304" t="b">
        <v>0</v>
      </c>
      <c r="O1304">
        <v>0</v>
      </c>
      <c r="P1304">
        <v>1</v>
      </c>
      <c r="Q1304">
        <v>0</v>
      </c>
      <c r="R1304">
        <v>0</v>
      </c>
    </row>
    <row r="1305" spans="1:18" x14ac:dyDescent="0.25">
      <c r="A1305" t="s">
        <v>436</v>
      </c>
      <c r="B1305" t="s">
        <v>6</v>
      </c>
      <c r="C1305">
        <v>4</v>
      </c>
      <c r="D1305">
        <v>3</v>
      </c>
      <c r="E1305">
        <v>1</v>
      </c>
      <c r="F1305" s="15">
        <v>46034</v>
      </c>
      <c r="G1305" t="s">
        <v>299</v>
      </c>
      <c r="H1305">
        <v>4</v>
      </c>
      <c r="I1305">
        <v>2026</v>
      </c>
      <c r="J1305">
        <v>1</v>
      </c>
      <c r="K1305" t="s">
        <v>87</v>
      </c>
      <c r="L1305" t="s">
        <v>22</v>
      </c>
      <c r="M1305" t="s">
        <v>6</v>
      </c>
      <c r="N1305" t="b">
        <v>0</v>
      </c>
      <c r="O1305">
        <v>0</v>
      </c>
      <c r="P1305">
        <v>1</v>
      </c>
      <c r="Q1305">
        <v>0</v>
      </c>
      <c r="R1305">
        <v>0</v>
      </c>
    </row>
    <row r="1306" spans="1:18" x14ac:dyDescent="0.25">
      <c r="A1306" t="s">
        <v>44</v>
      </c>
      <c r="B1306" t="s">
        <v>6</v>
      </c>
      <c r="C1306">
        <v>1</v>
      </c>
      <c r="D1306">
        <v>3</v>
      </c>
      <c r="E1306">
        <v>1</v>
      </c>
      <c r="F1306" s="15">
        <v>46034</v>
      </c>
      <c r="G1306" t="s">
        <v>299</v>
      </c>
      <c r="H1306">
        <v>4</v>
      </c>
      <c r="I1306">
        <v>2026</v>
      </c>
      <c r="J1306">
        <v>1</v>
      </c>
      <c r="K1306" t="s">
        <v>87</v>
      </c>
      <c r="L1306" t="s">
        <v>19</v>
      </c>
      <c r="M1306" t="s">
        <v>8</v>
      </c>
      <c r="N1306" t="b">
        <v>0</v>
      </c>
      <c r="O1306">
        <v>0</v>
      </c>
      <c r="P1306">
        <v>1</v>
      </c>
      <c r="Q1306">
        <v>0</v>
      </c>
      <c r="R1306">
        <v>1</v>
      </c>
    </row>
    <row r="1307" spans="1:18" x14ac:dyDescent="0.25">
      <c r="A1307" t="s">
        <v>44</v>
      </c>
      <c r="B1307" t="s">
        <v>6</v>
      </c>
      <c r="C1307">
        <v>1</v>
      </c>
      <c r="D1307">
        <v>3</v>
      </c>
      <c r="E1307">
        <v>1</v>
      </c>
      <c r="F1307" s="15">
        <v>46034</v>
      </c>
      <c r="G1307" t="s">
        <v>299</v>
      </c>
      <c r="H1307">
        <v>4</v>
      </c>
      <c r="I1307">
        <v>2026</v>
      </c>
      <c r="J1307">
        <v>1</v>
      </c>
      <c r="K1307" t="s">
        <v>87</v>
      </c>
      <c r="L1307" t="s">
        <v>436</v>
      </c>
      <c r="M1307" t="s">
        <v>6</v>
      </c>
      <c r="N1307" t="b">
        <v>0</v>
      </c>
      <c r="O1307">
        <v>0</v>
      </c>
      <c r="P1307">
        <v>1</v>
      </c>
      <c r="Q1307">
        <v>0</v>
      </c>
      <c r="R1307">
        <v>0</v>
      </c>
    </row>
    <row r="1308" spans="1:18" x14ac:dyDescent="0.25">
      <c r="A1308" t="s">
        <v>44</v>
      </c>
      <c r="B1308" t="s">
        <v>6</v>
      </c>
      <c r="C1308">
        <v>1</v>
      </c>
      <c r="D1308">
        <v>3</v>
      </c>
      <c r="E1308">
        <v>1</v>
      </c>
      <c r="F1308" s="15">
        <v>46034</v>
      </c>
      <c r="G1308" t="s">
        <v>299</v>
      </c>
      <c r="H1308">
        <v>4</v>
      </c>
      <c r="I1308">
        <v>2026</v>
      </c>
      <c r="J1308">
        <v>1</v>
      </c>
      <c r="K1308" t="s">
        <v>87</v>
      </c>
      <c r="L1308" t="s">
        <v>22</v>
      </c>
      <c r="M1308" t="s">
        <v>6</v>
      </c>
      <c r="N1308" t="b">
        <v>0</v>
      </c>
      <c r="O1308">
        <v>0</v>
      </c>
      <c r="P1308">
        <v>1</v>
      </c>
      <c r="Q1308">
        <v>0</v>
      </c>
      <c r="R1308">
        <v>0</v>
      </c>
    </row>
    <row r="1309" spans="1:18" x14ac:dyDescent="0.25">
      <c r="A1309" t="s">
        <v>22</v>
      </c>
      <c r="B1309" t="s">
        <v>6</v>
      </c>
      <c r="C1309">
        <v>3</v>
      </c>
      <c r="D1309">
        <v>3</v>
      </c>
      <c r="E1309">
        <v>1</v>
      </c>
      <c r="F1309" s="15">
        <v>46034</v>
      </c>
      <c r="G1309" t="s">
        <v>299</v>
      </c>
      <c r="H1309">
        <v>4</v>
      </c>
      <c r="I1309">
        <v>2026</v>
      </c>
      <c r="J1309">
        <v>1</v>
      </c>
      <c r="K1309" t="s">
        <v>87</v>
      </c>
      <c r="L1309" t="s">
        <v>19</v>
      </c>
      <c r="M1309" t="s">
        <v>8</v>
      </c>
      <c r="N1309" t="b">
        <v>0</v>
      </c>
      <c r="O1309">
        <v>0</v>
      </c>
      <c r="P1309">
        <v>1</v>
      </c>
      <c r="Q1309">
        <v>0</v>
      </c>
      <c r="R1309">
        <v>1</v>
      </c>
    </row>
    <row r="1310" spans="1:18" x14ac:dyDescent="0.25">
      <c r="A1310" t="s">
        <v>22</v>
      </c>
      <c r="B1310" t="s">
        <v>6</v>
      </c>
      <c r="C1310">
        <v>3</v>
      </c>
      <c r="D1310">
        <v>3</v>
      </c>
      <c r="E1310">
        <v>1</v>
      </c>
      <c r="F1310" s="15">
        <v>46034</v>
      </c>
      <c r="G1310" t="s">
        <v>299</v>
      </c>
      <c r="H1310">
        <v>4</v>
      </c>
      <c r="I1310">
        <v>2026</v>
      </c>
      <c r="J1310">
        <v>1</v>
      </c>
      <c r="K1310" t="s">
        <v>87</v>
      </c>
      <c r="L1310" t="s">
        <v>436</v>
      </c>
      <c r="M1310" t="s">
        <v>6</v>
      </c>
      <c r="N1310" t="b">
        <v>0</v>
      </c>
      <c r="O1310">
        <v>0</v>
      </c>
      <c r="P1310">
        <v>1</v>
      </c>
      <c r="Q1310">
        <v>0</v>
      </c>
      <c r="R1310">
        <v>0</v>
      </c>
    </row>
    <row r="1311" spans="1:18" x14ac:dyDescent="0.25">
      <c r="A1311" t="s">
        <v>22</v>
      </c>
      <c r="B1311" t="s">
        <v>6</v>
      </c>
      <c r="C1311">
        <v>3</v>
      </c>
      <c r="D1311">
        <v>3</v>
      </c>
      <c r="E1311">
        <v>1</v>
      </c>
      <c r="F1311" s="15">
        <v>46034</v>
      </c>
      <c r="G1311" t="s">
        <v>299</v>
      </c>
      <c r="H1311">
        <v>4</v>
      </c>
      <c r="I1311">
        <v>2026</v>
      </c>
      <c r="J1311">
        <v>1</v>
      </c>
      <c r="K1311" t="s">
        <v>87</v>
      </c>
      <c r="L1311" t="s">
        <v>44</v>
      </c>
      <c r="M1311" t="s">
        <v>6</v>
      </c>
      <c r="N1311" t="b">
        <v>0</v>
      </c>
      <c r="O1311">
        <v>0</v>
      </c>
      <c r="P1311">
        <v>1</v>
      </c>
      <c r="Q1311">
        <v>0</v>
      </c>
      <c r="R1311">
        <v>0</v>
      </c>
    </row>
    <row r="1312" spans="1:18" x14ac:dyDescent="0.25">
      <c r="A1312" t="s">
        <v>19</v>
      </c>
      <c r="B1312" t="s">
        <v>6</v>
      </c>
      <c r="C1312">
        <v>1</v>
      </c>
      <c r="D1312">
        <v>5</v>
      </c>
      <c r="E1312">
        <v>2</v>
      </c>
      <c r="F1312" s="15">
        <v>46055</v>
      </c>
      <c r="G1312" t="s">
        <v>350</v>
      </c>
      <c r="H1312">
        <v>3</v>
      </c>
      <c r="I1312">
        <v>2026</v>
      </c>
      <c r="J1312">
        <v>2</v>
      </c>
      <c r="K1312" t="s">
        <v>87</v>
      </c>
      <c r="L1312" t="s">
        <v>7</v>
      </c>
      <c r="M1312" t="s">
        <v>8</v>
      </c>
      <c r="N1312" t="b">
        <v>0</v>
      </c>
      <c r="O1312">
        <v>0</v>
      </c>
      <c r="P1312">
        <v>1</v>
      </c>
      <c r="Q1312">
        <v>0</v>
      </c>
      <c r="R1312">
        <v>1</v>
      </c>
    </row>
    <row r="1313" spans="1:18" x14ac:dyDescent="0.25">
      <c r="A1313" t="s">
        <v>19</v>
      </c>
      <c r="B1313" t="s">
        <v>6</v>
      </c>
      <c r="C1313">
        <v>1</v>
      </c>
      <c r="D1313">
        <v>5</v>
      </c>
      <c r="E1313">
        <v>2</v>
      </c>
      <c r="F1313" s="15">
        <v>46055</v>
      </c>
      <c r="G1313" t="s">
        <v>350</v>
      </c>
      <c r="H1313">
        <v>3</v>
      </c>
      <c r="I1313">
        <v>2026</v>
      </c>
      <c r="J1313">
        <v>2</v>
      </c>
      <c r="K1313" t="s">
        <v>87</v>
      </c>
      <c r="L1313" t="s">
        <v>52</v>
      </c>
      <c r="M1313" t="s">
        <v>6</v>
      </c>
      <c r="N1313" t="b">
        <v>0</v>
      </c>
      <c r="O1313">
        <v>0</v>
      </c>
      <c r="P1313">
        <v>1</v>
      </c>
      <c r="Q1313">
        <v>0</v>
      </c>
      <c r="R1313">
        <v>0</v>
      </c>
    </row>
    <row r="1314" spans="1:18" x14ac:dyDescent="0.25">
      <c r="A1314" t="s">
        <v>7</v>
      </c>
      <c r="B1314" t="s">
        <v>8</v>
      </c>
      <c r="C1314">
        <v>3</v>
      </c>
      <c r="D1314">
        <v>5</v>
      </c>
      <c r="E1314">
        <v>2</v>
      </c>
      <c r="F1314" s="15">
        <v>46055</v>
      </c>
      <c r="G1314" t="s">
        <v>350</v>
      </c>
      <c r="H1314">
        <v>3</v>
      </c>
      <c r="I1314">
        <v>2026</v>
      </c>
      <c r="J1314">
        <v>2</v>
      </c>
      <c r="K1314" t="s">
        <v>87</v>
      </c>
      <c r="L1314" t="s">
        <v>19</v>
      </c>
      <c r="M1314" t="s">
        <v>6</v>
      </c>
      <c r="N1314" t="b">
        <v>0</v>
      </c>
      <c r="O1314">
        <v>1</v>
      </c>
      <c r="P1314">
        <v>0</v>
      </c>
      <c r="Q1314">
        <v>0</v>
      </c>
      <c r="R1314">
        <v>0</v>
      </c>
    </row>
    <row r="1315" spans="1:18" x14ac:dyDescent="0.25">
      <c r="A1315" t="s">
        <v>7</v>
      </c>
      <c r="B1315" t="s">
        <v>8</v>
      </c>
      <c r="C1315">
        <v>3</v>
      </c>
      <c r="D1315">
        <v>5</v>
      </c>
      <c r="E1315">
        <v>2</v>
      </c>
      <c r="F1315" s="15">
        <v>46055</v>
      </c>
      <c r="G1315" t="s">
        <v>350</v>
      </c>
      <c r="H1315">
        <v>3</v>
      </c>
      <c r="I1315">
        <v>2026</v>
      </c>
      <c r="J1315">
        <v>2</v>
      </c>
      <c r="K1315" t="s">
        <v>87</v>
      </c>
      <c r="L1315" t="s">
        <v>52</v>
      </c>
      <c r="M1315" t="s">
        <v>6</v>
      </c>
      <c r="N1315" t="b">
        <v>0</v>
      </c>
      <c r="O1315">
        <v>1</v>
      </c>
      <c r="P1315">
        <v>0</v>
      </c>
      <c r="Q1315">
        <v>0</v>
      </c>
      <c r="R1315">
        <v>0</v>
      </c>
    </row>
    <row r="1316" spans="1:18" x14ac:dyDescent="0.25">
      <c r="A1316" t="s">
        <v>52</v>
      </c>
      <c r="B1316" t="s">
        <v>6</v>
      </c>
      <c r="C1316">
        <v>2</v>
      </c>
      <c r="D1316">
        <v>5</v>
      </c>
      <c r="E1316">
        <v>2</v>
      </c>
      <c r="F1316" s="15">
        <v>46055</v>
      </c>
      <c r="G1316" t="s">
        <v>350</v>
      </c>
      <c r="H1316">
        <v>3</v>
      </c>
      <c r="I1316">
        <v>2026</v>
      </c>
      <c r="J1316">
        <v>2</v>
      </c>
      <c r="K1316" t="s">
        <v>87</v>
      </c>
      <c r="L1316" t="s">
        <v>19</v>
      </c>
      <c r="M1316" t="s">
        <v>6</v>
      </c>
      <c r="N1316" t="b">
        <v>0</v>
      </c>
      <c r="O1316">
        <v>0</v>
      </c>
      <c r="P1316">
        <v>1</v>
      </c>
      <c r="Q1316">
        <v>0</v>
      </c>
      <c r="R1316">
        <v>0</v>
      </c>
    </row>
    <row r="1317" spans="1:18" x14ac:dyDescent="0.25">
      <c r="A1317" t="s">
        <v>52</v>
      </c>
      <c r="B1317" t="s">
        <v>6</v>
      </c>
      <c r="C1317">
        <v>2</v>
      </c>
      <c r="D1317">
        <v>5</v>
      </c>
      <c r="E1317">
        <v>2</v>
      </c>
      <c r="F1317" s="15">
        <v>46055</v>
      </c>
      <c r="G1317" t="s">
        <v>350</v>
      </c>
      <c r="H1317">
        <v>3</v>
      </c>
      <c r="I1317">
        <v>2026</v>
      </c>
      <c r="J1317">
        <v>2</v>
      </c>
      <c r="K1317" t="s">
        <v>87</v>
      </c>
      <c r="L1317" t="s">
        <v>7</v>
      </c>
      <c r="M1317" t="s">
        <v>8</v>
      </c>
      <c r="N1317" t="b">
        <v>0</v>
      </c>
      <c r="O1317">
        <v>0</v>
      </c>
      <c r="P1317">
        <v>1</v>
      </c>
      <c r="Q1317">
        <v>0</v>
      </c>
      <c r="R1317">
        <v>1</v>
      </c>
    </row>
    <row r="1318" spans="1:18" x14ac:dyDescent="0.25">
      <c r="A1318" t="s">
        <v>19</v>
      </c>
      <c r="B1318" t="s">
        <v>8</v>
      </c>
      <c r="C1318">
        <v>2</v>
      </c>
      <c r="D1318">
        <v>2</v>
      </c>
      <c r="E1318">
        <v>1</v>
      </c>
      <c r="F1318" s="15">
        <v>46062</v>
      </c>
      <c r="G1318" t="s">
        <v>354</v>
      </c>
      <c r="H1318">
        <v>4</v>
      </c>
      <c r="I1318">
        <v>2026</v>
      </c>
      <c r="J1318">
        <v>2</v>
      </c>
      <c r="K1318" t="s">
        <v>87</v>
      </c>
      <c r="L1318" t="s">
        <v>52</v>
      </c>
      <c r="M1318" t="s">
        <v>6</v>
      </c>
      <c r="N1318" t="b">
        <v>0</v>
      </c>
      <c r="O1318">
        <v>1</v>
      </c>
      <c r="P1318">
        <v>0</v>
      </c>
      <c r="Q1318">
        <v>0</v>
      </c>
      <c r="R1318">
        <v>0</v>
      </c>
    </row>
    <row r="1319" spans="1:18" x14ac:dyDescent="0.25">
      <c r="A1319" t="s">
        <v>19</v>
      </c>
      <c r="B1319" t="s">
        <v>8</v>
      </c>
      <c r="C1319">
        <v>2</v>
      </c>
      <c r="D1319">
        <v>2</v>
      </c>
      <c r="E1319">
        <v>1</v>
      </c>
      <c r="F1319" s="15">
        <v>46062</v>
      </c>
      <c r="G1319" t="s">
        <v>354</v>
      </c>
      <c r="H1319">
        <v>4</v>
      </c>
      <c r="I1319">
        <v>2026</v>
      </c>
      <c r="J1319">
        <v>2</v>
      </c>
      <c r="K1319" t="s">
        <v>87</v>
      </c>
      <c r="L1319" t="s">
        <v>433</v>
      </c>
      <c r="M1319" t="s">
        <v>6</v>
      </c>
      <c r="N1319" t="b">
        <v>0</v>
      </c>
      <c r="O1319">
        <v>1</v>
      </c>
      <c r="P1319">
        <v>0</v>
      </c>
      <c r="Q1319">
        <v>0</v>
      </c>
      <c r="R1319">
        <v>0</v>
      </c>
    </row>
    <row r="1320" spans="1:18" x14ac:dyDescent="0.25">
      <c r="A1320" t="s">
        <v>19</v>
      </c>
      <c r="B1320" t="s">
        <v>8</v>
      </c>
      <c r="C1320">
        <v>2</v>
      </c>
      <c r="D1320">
        <v>2</v>
      </c>
      <c r="E1320">
        <v>1</v>
      </c>
      <c r="F1320" s="15">
        <v>46062</v>
      </c>
      <c r="G1320" t="s">
        <v>354</v>
      </c>
      <c r="H1320">
        <v>4</v>
      </c>
      <c r="I1320">
        <v>2026</v>
      </c>
      <c r="J1320">
        <v>2</v>
      </c>
      <c r="K1320" t="s">
        <v>87</v>
      </c>
      <c r="L1320" t="s">
        <v>352</v>
      </c>
      <c r="M1320" t="s">
        <v>6</v>
      </c>
      <c r="N1320" t="b">
        <v>0</v>
      </c>
      <c r="O1320">
        <v>1</v>
      </c>
      <c r="P1320">
        <v>0</v>
      </c>
      <c r="Q1320">
        <v>0</v>
      </c>
      <c r="R1320">
        <v>0</v>
      </c>
    </row>
    <row r="1321" spans="1:18" x14ac:dyDescent="0.25">
      <c r="A1321" t="s">
        <v>52</v>
      </c>
      <c r="B1321" t="s">
        <v>6</v>
      </c>
      <c r="C1321">
        <v>4</v>
      </c>
      <c r="D1321">
        <v>2</v>
      </c>
      <c r="E1321">
        <v>1</v>
      </c>
      <c r="F1321" s="15">
        <v>46062</v>
      </c>
      <c r="G1321" t="s">
        <v>354</v>
      </c>
      <c r="H1321">
        <v>4</v>
      </c>
      <c r="I1321">
        <v>2026</v>
      </c>
      <c r="J1321">
        <v>2</v>
      </c>
      <c r="K1321" t="s">
        <v>87</v>
      </c>
      <c r="L1321" t="s">
        <v>19</v>
      </c>
      <c r="M1321" t="s">
        <v>8</v>
      </c>
      <c r="N1321" t="b">
        <v>0</v>
      </c>
      <c r="O1321">
        <v>0</v>
      </c>
      <c r="P1321">
        <v>1</v>
      </c>
      <c r="Q1321">
        <v>0</v>
      </c>
      <c r="R1321">
        <v>1</v>
      </c>
    </row>
    <row r="1322" spans="1:18" x14ac:dyDescent="0.25">
      <c r="A1322" t="s">
        <v>52</v>
      </c>
      <c r="B1322" t="s">
        <v>6</v>
      </c>
      <c r="C1322">
        <v>4</v>
      </c>
      <c r="D1322">
        <v>2</v>
      </c>
      <c r="E1322">
        <v>1</v>
      </c>
      <c r="F1322" s="15">
        <v>46062</v>
      </c>
      <c r="G1322" t="s">
        <v>354</v>
      </c>
      <c r="H1322">
        <v>4</v>
      </c>
      <c r="I1322">
        <v>2026</v>
      </c>
      <c r="J1322">
        <v>2</v>
      </c>
      <c r="K1322" t="s">
        <v>87</v>
      </c>
      <c r="L1322" t="s">
        <v>433</v>
      </c>
      <c r="M1322" t="s">
        <v>6</v>
      </c>
      <c r="N1322" t="b">
        <v>0</v>
      </c>
      <c r="O1322">
        <v>0</v>
      </c>
      <c r="P1322">
        <v>1</v>
      </c>
      <c r="Q1322">
        <v>0</v>
      </c>
      <c r="R1322">
        <v>0</v>
      </c>
    </row>
    <row r="1323" spans="1:18" x14ac:dyDescent="0.25">
      <c r="A1323" t="s">
        <v>52</v>
      </c>
      <c r="B1323" t="s">
        <v>6</v>
      </c>
      <c r="C1323">
        <v>4</v>
      </c>
      <c r="D1323">
        <v>2</v>
      </c>
      <c r="E1323">
        <v>1</v>
      </c>
      <c r="F1323" s="15">
        <v>46062</v>
      </c>
      <c r="G1323" t="s">
        <v>354</v>
      </c>
      <c r="H1323">
        <v>4</v>
      </c>
      <c r="I1323">
        <v>2026</v>
      </c>
      <c r="J1323">
        <v>2</v>
      </c>
      <c r="K1323" t="s">
        <v>87</v>
      </c>
      <c r="L1323" t="s">
        <v>352</v>
      </c>
      <c r="M1323" t="s">
        <v>6</v>
      </c>
      <c r="N1323" t="b">
        <v>0</v>
      </c>
      <c r="O1323">
        <v>0</v>
      </c>
      <c r="P1323">
        <v>1</v>
      </c>
      <c r="Q1323">
        <v>0</v>
      </c>
      <c r="R1323">
        <v>0</v>
      </c>
    </row>
    <row r="1324" spans="1:18" x14ac:dyDescent="0.25">
      <c r="A1324" t="s">
        <v>433</v>
      </c>
      <c r="B1324" t="s">
        <v>6</v>
      </c>
      <c r="C1324">
        <v>1</v>
      </c>
      <c r="D1324">
        <v>2</v>
      </c>
      <c r="E1324">
        <v>1</v>
      </c>
      <c r="F1324" s="15">
        <v>46062</v>
      </c>
      <c r="G1324" t="s">
        <v>354</v>
      </c>
      <c r="H1324">
        <v>4</v>
      </c>
      <c r="I1324">
        <v>2026</v>
      </c>
      <c r="J1324">
        <v>2</v>
      </c>
      <c r="K1324" t="s">
        <v>87</v>
      </c>
      <c r="L1324" t="s">
        <v>19</v>
      </c>
      <c r="M1324" t="s">
        <v>8</v>
      </c>
      <c r="N1324" t="b">
        <v>0</v>
      </c>
      <c r="O1324">
        <v>0</v>
      </c>
      <c r="P1324">
        <v>1</v>
      </c>
      <c r="Q1324">
        <v>0</v>
      </c>
      <c r="R1324">
        <v>1</v>
      </c>
    </row>
    <row r="1325" spans="1:18" x14ac:dyDescent="0.25">
      <c r="A1325" t="s">
        <v>433</v>
      </c>
      <c r="B1325" t="s">
        <v>6</v>
      </c>
      <c r="C1325">
        <v>1</v>
      </c>
      <c r="D1325">
        <v>2</v>
      </c>
      <c r="E1325">
        <v>1</v>
      </c>
      <c r="F1325" s="15">
        <v>46062</v>
      </c>
      <c r="G1325" t="s">
        <v>354</v>
      </c>
      <c r="H1325">
        <v>4</v>
      </c>
      <c r="I1325">
        <v>2026</v>
      </c>
      <c r="J1325">
        <v>2</v>
      </c>
      <c r="K1325" t="s">
        <v>87</v>
      </c>
      <c r="L1325" t="s">
        <v>52</v>
      </c>
      <c r="M1325" t="s">
        <v>6</v>
      </c>
      <c r="N1325" t="b">
        <v>0</v>
      </c>
      <c r="O1325">
        <v>0</v>
      </c>
      <c r="P1325">
        <v>1</v>
      </c>
      <c r="Q1325">
        <v>0</v>
      </c>
      <c r="R1325">
        <v>0</v>
      </c>
    </row>
    <row r="1326" spans="1:18" x14ac:dyDescent="0.25">
      <c r="A1326" t="s">
        <v>433</v>
      </c>
      <c r="B1326" t="s">
        <v>6</v>
      </c>
      <c r="C1326">
        <v>1</v>
      </c>
      <c r="D1326">
        <v>2</v>
      </c>
      <c r="E1326">
        <v>1</v>
      </c>
      <c r="F1326" s="15">
        <v>46062</v>
      </c>
      <c r="G1326" t="s">
        <v>354</v>
      </c>
      <c r="H1326">
        <v>4</v>
      </c>
      <c r="I1326">
        <v>2026</v>
      </c>
      <c r="J1326">
        <v>2</v>
      </c>
      <c r="K1326" t="s">
        <v>87</v>
      </c>
      <c r="L1326" t="s">
        <v>352</v>
      </c>
      <c r="M1326" t="s">
        <v>6</v>
      </c>
      <c r="N1326" t="b">
        <v>0</v>
      </c>
      <c r="O1326">
        <v>0</v>
      </c>
      <c r="P1326">
        <v>1</v>
      </c>
      <c r="Q1326">
        <v>0</v>
      </c>
      <c r="R1326">
        <v>0</v>
      </c>
    </row>
    <row r="1327" spans="1:18" x14ac:dyDescent="0.25">
      <c r="A1327" t="s">
        <v>352</v>
      </c>
      <c r="B1327" t="s">
        <v>6</v>
      </c>
      <c r="C1327">
        <v>3</v>
      </c>
      <c r="D1327">
        <v>2</v>
      </c>
      <c r="E1327">
        <v>1</v>
      </c>
      <c r="F1327" s="15">
        <v>46062</v>
      </c>
      <c r="G1327" t="s">
        <v>354</v>
      </c>
      <c r="H1327">
        <v>4</v>
      </c>
      <c r="I1327">
        <v>2026</v>
      </c>
      <c r="J1327">
        <v>2</v>
      </c>
      <c r="K1327" t="s">
        <v>87</v>
      </c>
      <c r="L1327" t="s">
        <v>19</v>
      </c>
      <c r="M1327" t="s">
        <v>8</v>
      </c>
      <c r="N1327" t="b">
        <v>0</v>
      </c>
      <c r="O1327">
        <v>0</v>
      </c>
      <c r="P1327">
        <v>1</v>
      </c>
      <c r="Q1327">
        <v>0</v>
      </c>
      <c r="R1327">
        <v>1</v>
      </c>
    </row>
    <row r="1328" spans="1:18" x14ac:dyDescent="0.25">
      <c r="A1328" t="s">
        <v>352</v>
      </c>
      <c r="B1328" t="s">
        <v>6</v>
      </c>
      <c r="C1328">
        <v>3</v>
      </c>
      <c r="D1328">
        <v>2</v>
      </c>
      <c r="E1328">
        <v>1</v>
      </c>
      <c r="F1328" s="15">
        <v>46062</v>
      </c>
      <c r="G1328" t="s">
        <v>354</v>
      </c>
      <c r="H1328">
        <v>4</v>
      </c>
      <c r="I1328">
        <v>2026</v>
      </c>
      <c r="J1328">
        <v>2</v>
      </c>
      <c r="K1328" t="s">
        <v>87</v>
      </c>
      <c r="L1328" t="s">
        <v>52</v>
      </c>
      <c r="M1328" t="s">
        <v>6</v>
      </c>
      <c r="N1328" t="b">
        <v>0</v>
      </c>
      <c r="O1328">
        <v>0</v>
      </c>
      <c r="P1328">
        <v>1</v>
      </c>
      <c r="Q1328">
        <v>0</v>
      </c>
      <c r="R1328">
        <v>0</v>
      </c>
    </row>
    <row r="1329" spans="1:18" x14ac:dyDescent="0.25">
      <c r="A1329" t="s">
        <v>352</v>
      </c>
      <c r="B1329" t="s">
        <v>6</v>
      </c>
      <c r="C1329">
        <v>3</v>
      </c>
      <c r="D1329">
        <v>2</v>
      </c>
      <c r="E1329">
        <v>1</v>
      </c>
      <c r="F1329" s="15">
        <v>46062</v>
      </c>
      <c r="G1329" t="s">
        <v>354</v>
      </c>
      <c r="H1329">
        <v>4</v>
      </c>
      <c r="I1329">
        <v>2026</v>
      </c>
      <c r="J1329">
        <v>2</v>
      </c>
      <c r="K1329" t="s">
        <v>87</v>
      </c>
      <c r="L1329" t="s">
        <v>433</v>
      </c>
      <c r="M1329" t="s">
        <v>6</v>
      </c>
      <c r="N1329" t="b">
        <v>0</v>
      </c>
      <c r="O1329">
        <v>0</v>
      </c>
      <c r="P1329">
        <v>1</v>
      </c>
      <c r="Q1329">
        <v>0</v>
      </c>
      <c r="R1329">
        <v>0</v>
      </c>
    </row>
    <row r="1330" spans="1:18" x14ac:dyDescent="0.25">
      <c r="A1330" t="s">
        <v>13</v>
      </c>
      <c r="B1330" t="s">
        <v>6</v>
      </c>
      <c r="C1330">
        <v>4</v>
      </c>
      <c r="D1330">
        <v>1</v>
      </c>
      <c r="E1330">
        <v>1</v>
      </c>
      <c r="F1330" s="15">
        <v>45908</v>
      </c>
      <c r="G1330" t="s">
        <v>100</v>
      </c>
      <c r="H1330">
        <v>4</v>
      </c>
      <c r="I1330">
        <v>2025</v>
      </c>
      <c r="J1330">
        <v>9</v>
      </c>
      <c r="K1330" t="s">
        <v>87</v>
      </c>
      <c r="L1330" t="s">
        <v>436</v>
      </c>
      <c r="M1330" t="s">
        <v>6</v>
      </c>
      <c r="N1330" t="b">
        <v>0</v>
      </c>
      <c r="O1330">
        <v>0</v>
      </c>
      <c r="P1330">
        <v>1</v>
      </c>
      <c r="Q1330">
        <v>0</v>
      </c>
      <c r="R1330">
        <v>0</v>
      </c>
    </row>
    <row r="1331" spans="1:18" x14ac:dyDescent="0.25">
      <c r="A1331" t="s">
        <v>13</v>
      </c>
      <c r="B1331" t="s">
        <v>6</v>
      </c>
      <c r="C1331">
        <v>4</v>
      </c>
      <c r="D1331">
        <v>1</v>
      </c>
      <c r="E1331">
        <v>1</v>
      </c>
      <c r="F1331" s="15">
        <v>45908</v>
      </c>
      <c r="G1331" t="s">
        <v>100</v>
      </c>
      <c r="H1331">
        <v>4</v>
      </c>
      <c r="I1331">
        <v>2025</v>
      </c>
      <c r="J1331">
        <v>9</v>
      </c>
      <c r="K1331" t="s">
        <v>87</v>
      </c>
      <c r="L1331" t="s">
        <v>7</v>
      </c>
      <c r="M1331" t="s">
        <v>6</v>
      </c>
      <c r="N1331" t="b">
        <v>0</v>
      </c>
      <c r="O1331">
        <v>0</v>
      </c>
      <c r="P1331">
        <v>1</v>
      </c>
      <c r="Q1331">
        <v>0</v>
      </c>
      <c r="R1331">
        <v>0</v>
      </c>
    </row>
    <row r="1332" spans="1:18" x14ac:dyDescent="0.25">
      <c r="A1332" t="s">
        <v>13</v>
      </c>
      <c r="B1332" t="s">
        <v>6</v>
      </c>
      <c r="C1332">
        <v>4</v>
      </c>
      <c r="D1332">
        <v>1</v>
      </c>
      <c r="E1332">
        <v>1</v>
      </c>
      <c r="F1332" s="15">
        <v>45908</v>
      </c>
      <c r="G1332" t="s">
        <v>100</v>
      </c>
      <c r="H1332">
        <v>4</v>
      </c>
      <c r="I1332">
        <v>2025</v>
      </c>
      <c r="J1332">
        <v>9</v>
      </c>
      <c r="K1332" t="s">
        <v>87</v>
      </c>
      <c r="L1332" t="s">
        <v>41</v>
      </c>
      <c r="M1332" t="s">
        <v>8</v>
      </c>
      <c r="N1332" t="b">
        <v>0</v>
      </c>
      <c r="O1332">
        <v>0</v>
      </c>
      <c r="P1332">
        <v>1</v>
      </c>
      <c r="Q1332">
        <v>0</v>
      </c>
      <c r="R1332">
        <v>1</v>
      </c>
    </row>
    <row r="1333" spans="1:18" x14ac:dyDescent="0.25">
      <c r="A1333" t="s">
        <v>436</v>
      </c>
      <c r="B1333" t="s">
        <v>6</v>
      </c>
      <c r="C1333">
        <v>2</v>
      </c>
      <c r="D1333">
        <v>1</v>
      </c>
      <c r="E1333">
        <v>1</v>
      </c>
      <c r="F1333" s="15">
        <v>45908</v>
      </c>
      <c r="G1333" t="s">
        <v>100</v>
      </c>
      <c r="H1333">
        <v>4</v>
      </c>
      <c r="I1333">
        <v>2025</v>
      </c>
      <c r="J1333">
        <v>9</v>
      </c>
      <c r="K1333" t="s">
        <v>87</v>
      </c>
      <c r="L1333" t="s">
        <v>13</v>
      </c>
      <c r="M1333" t="s">
        <v>6</v>
      </c>
      <c r="N1333" t="b">
        <v>0</v>
      </c>
      <c r="O1333">
        <v>0</v>
      </c>
      <c r="P1333">
        <v>1</v>
      </c>
      <c r="Q1333">
        <v>0</v>
      </c>
      <c r="R1333">
        <v>0</v>
      </c>
    </row>
    <row r="1334" spans="1:18" x14ac:dyDescent="0.25">
      <c r="A1334" t="s">
        <v>436</v>
      </c>
      <c r="B1334" t="s">
        <v>6</v>
      </c>
      <c r="C1334">
        <v>2</v>
      </c>
      <c r="D1334">
        <v>1</v>
      </c>
      <c r="E1334">
        <v>1</v>
      </c>
      <c r="F1334" s="15">
        <v>45908</v>
      </c>
      <c r="G1334" t="s">
        <v>100</v>
      </c>
      <c r="H1334">
        <v>4</v>
      </c>
      <c r="I1334">
        <v>2025</v>
      </c>
      <c r="J1334">
        <v>9</v>
      </c>
      <c r="K1334" t="s">
        <v>87</v>
      </c>
      <c r="L1334" t="s">
        <v>7</v>
      </c>
      <c r="M1334" t="s">
        <v>6</v>
      </c>
      <c r="N1334" t="b">
        <v>0</v>
      </c>
      <c r="O1334">
        <v>0</v>
      </c>
      <c r="P1334">
        <v>1</v>
      </c>
      <c r="Q1334">
        <v>0</v>
      </c>
      <c r="R1334">
        <v>0</v>
      </c>
    </row>
    <row r="1335" spans="1:18" x14ac:dyDescent="0.25">
      <c r="A1335" t="s">
        <v>436</v>
      </c>
      <c r="B1335" t="s">
        <v>6</v>
      </c>
      <c r="C1335">
        <v>2</v>
      </c>
      <c r="D1335">
        <v>1</v>
      </c>
      <c r="E1335">
        <v>1</v>
      </c>
      <c r="F1335" s="15">
        <v>45908</v>
      </c>
      <c r="G1335" t="s">
        <v>100</v>
      </c>
      <c r="H1335">
        <v>4</v>
      </c>
      <c r="I1335">
        <v>2025</v>
      </c>
      <c r="J1335">
        <v>9</v>
      </c>
      <c r="K1335" t="s">
        <v>87</v>
      </c>
      <c r="L1335" t="s">
        <v>41</v>
      </c>
      <c r="M1335" t="s">
        <v>8</v>
      </c>
      <c r="N1335" t="b">
        <v>0</v>
      </c>
      <c r="O1335">
        <v>0</v>
      </c>
      <c r="P1335">
        <v>1</v>
      </c>
      <c r="Q1335">
        <v>0</v>
      </c>
      <c r="R1335">
        <v>1</v>
      </c>
    </row>
    <row r="1336" spans="1:18" x14ac:dyDescent="0.25">
      <c r="A1336" t="s">
        <v>7</v>
      </c>
      <c r="B1336" t="s">
        <v>6</v>
      </c>
      <c r="C1336">
        <v>3</v>
      </c>
      <c r="D1336">
        <v>1</v>
      </c>
      <c r="E1336">
        <v>1</v>
      </c>
      <c r="F1336" s="15">
        <v>45908</v>
      </c>
      <c r="G1336" t="s">
        <v>100</v>
      </c>
      <c r="H1336">
        <v>4</v>
      </c>
      <c r="I1336">
        <v>2025</v>
      </c>
      <c r="J1336">
        <v>9</v>
      </c>
      <c r="K1336" t="s">
        <v>87</v>
      </c>
      <c r="L1336" t="s">
        <v>13</v>
      </c>
      <c r="M1336" t="s">
        <v>6</v>
      </c>
      <c r="N1336" t="b">
        <v>0</v>
      </c>
      <c r="O1336">
        <v>0</v>
      </c>
      <c r="P1336">
        <v>1</v>
      </c>
      <c r="Q1336">
        <v>0</v>
      </c>
      <c r="R1336">
        <v>0</v>
      </c>
    </row>
    <row r="1337" spans="1:18" x14ac:dyDescent="0.25">
      <c r="A1337" t="s">
        <v>7</v>
      </c>
      <c r="B1337" t="s">
        <v>6</v>
      </c>
      <c r="C1337">
        <v>3</v>
      </c>
      <c r="D1337">
        <v>1</v>
      </c>
      <c r="E1337">
        <v>1</v>
      </c>
      <c r="F1337" s="15">
        <v>45908</v>
      </c>
      <c r="G1337" t="s">
        <v>100</v>
      </c>
      <c r="H1337">
        <v>4</v>
      </c>
      <c r="I1337">
        <v>2025</v>
      </c>
      <c r="J1337">
        <v>9</v>
      </c>
      <c r="K1337" t="s">
        <v>87</v>
      </c>
      <c r="L1337" t="s">
        <v>436</v>
      </c>
      <c r="M1337" t="s">
        <v>6</v>
      </c>
      <c r="N1337" t="b">
        <v>0</v>
      </c>
      <c r="O1337">
        <v>0</v>
      </c>
      <c r="P1337">
        <v>1</v>
      </c>
      <c r="Q1337">
        <v>0</v>
      </c>
      <c r="R1337">
        <v>0</v>
      </c>
    </row>
    <row r="1338" spans="1:18" x14ac:dyDescent="0.25">
      <c r="A1338" t="s">
        <v>7</v>
      </c>
      <c r="B1338" t="s">
        <v>6</v>
      </c>
      <c r="C1338">
        <v>3</v>
      </c>
      <c r="D1338">
        <v>1</v>
      </c>
      <c r="E1338">
        <v>1</v>
      </c>
      <c r="F1338" s="15">
        <v>45908</v>
      </c>
      <c r="G1338" t="s">
        <v>100</v>
      </c>
      <c r="H1338">
        <v>4</v>
      </c>
      <c r="I1338">
        <v>2025</v>
      </c>
      <c r="J1338">
        <v>9</v>
      </c>
      <c r="K1338" t="s">
        <v>87</v>
      </c>
      <c r="L1338" t="s">
        <v>41</v>
      </c>
      <c r="M1338" t="s">
        <v>8</v>
      </c>
      <c r="N1338" t="b">
        <v>0</v>
      </c>
      <c r="O1338">
        <v>0</v>
      </c>
      <c r="P1338">
        <v>1</v>
      </c>
      <c r="Q1338">
        <v>0</v>
      </c>
      <c r="R1338">
        <v>1</v>
      </c>
    </row>
    <row r="1339" spans="1:18" x14ac:dyDescent="0.25">
      <c r="A1339" t="s">
        <v>41</v>
      </c>
      <c r="B1339" t="s">
        <v>8</v>
      </c>
      <c r="C1339">
        <v>1</v>
      </c>
      <c r="D1339">
        <v>1</v>
      </c>
      <c r="E1339">
        <v>1</v>
      </c>
      <c r="F1339" s="15">
        <v>45908</v>
      </c>
      <c r="G1339" t="s">
        <v>100</v>
      </c>
      <c r="H1339">
        <v>4</v>
      </c>
      <c r="I1339">
        <v>2025</v>
      </c>
      <c r="J1339">
        <v>9</v>
      </c>
      <c r="K1339" t="s">
        <v>87</v>
      </c>
      <c r="L1339" t="s">
        <v>13</v>
      </c>
      <c r="M1339" t="s">
        <v>6</v>
      </c>
      <c r="N1339" t="b">
        <v>0</v>
      </c>
      <c r="O1339">
        <v>1</v>
      </c>
      <c r="P1339">
        <v>0</v>
      </c>
      <c r="Q1339">
        <v>0</v>
      </c>
      <c r="R1339">
        <v>0</v>
      </c>
    </row>
    <row r="1340" spans="1:18" x14ac:dyDescent="0.25">
      <c r="A1340" t="s">
        <v>41</v>
      </c>
      <c r="B1340" t="s">
        <v>8</v>
      </c>
      <c r="C1340">
        <v>1</v>
      </c>
      <c r="D1340">
        <v>1</v>
      </c>
      <c r="E1340">
        <v>1</v>
      </c>
      <c r="F1340" s="15">
        <v>45908</v>
      </c>
      <c r="G1340" t="s">
        <v>100</v>
      </c>
      <c r="H1340">
        <v>4</v>
      </c>
      <c r="I1340">
        <v>2025</v>
      </c>
      <c r="J1340">
        <v>9</v>
      </c>
      <c r="K1340" t="s">
        <v>87</v>
      </c>
      <c r="L1340" t="s">
        <v>436</v>
      </c>
      <c r="M1340" t="s">
        <v>6</v>
      </c>
      <c r="N1340" t="b">
        <v>0</v>
      </c>
      <c r="O1340">
        <v>1</v>
      </c>
      <c r="P1340">
        <v>0</v>
      </c>
      <c r="Q1340">
        <v>0</v>
      </c>
      <c r="R1340">
        <v>0</v>
      </c>
    </row>
    <row r="1341" spans="1:18" x14ac:dyDescent="0.25">
      <c r="A1341" t="s">
        <v>41</v>
      </c>
      <c r="B1341" t="s">
        <v>8</v>
      </c>
      <c r="C1341">
        <v>1</v>
      </c>
      <c r="D1341">
        <v>1</v>
      </c>
      <c r="E1341">
        <v>1</v>
      </c>
      <c r="F1341" s="15">
        <v>45908</v>
      </c>
      <c r="G1341" t="s">
        <v>100</v>
      </c>
      <c r="H1341">
        <v>4</v>
      </c>
      <c r="I1341">
        <v>2025</v>
      </c>
      <c r="J1341">
        <v>9</v>
      </c>
      <c r="K1341" t="s">
        <v>87</v>
      </c>
      <c r="L1341" t="s">
        <v>7</v>
      </c>
      <c r="M1341" t="s">
        <v>6</v>
      </c>
      <c r="N1341" t="b">
        <v>0</v>
      </c>
      <c r="O1341">
        <v>1</v>
      </c>
      <c r="P1341">
        <v>0</v>
      </c>
      <c r="Q1341">
        <v>0</v>
      </c>
      <c r="R1341">
        <v>0</v>
      </c>
    </row>
    <row r="1342" spans="1:18" x14ac:dyDescent="0.25">
      <c r="A1342" t="s">
        <v>13</v>
      </c>
      <c r="B1342" t="s">
        <v>6</v>
      </c>
      <c r="C1342">
        <v>4</v>
      </c>
      <c r="D1342">
        <v>1</v>
      </c>
      <c r="E1342">
        <v>1</v>
      </c>
      <c r="F1342" s="15">
        <v>45929</v>
      </c>
      <c r="G1342" t="s">
        <v>103</v>
      </c>
      <c r="H1342">
        <v>4</v>
      </c>
      <c r="I1342">
        <v>2025</v>
      </c>
      <c r="J1342">
        <v>9</v>
      </c>
      <c r="K1342" t="s">
        <v>87</v>
      </c>
      <c r="L1342" t="s">
        <v>53</v>
      </c>
      <c r="M1342" t="s">
        <v>6</v>
      </c>
      <c r="N1342" t="b">
        <v>0</v>
      </c>
      <c r="O1342">
        <v>0</v>
      </c>
      <c r="P1342">
        <v>1</v>
      </c>
      <c r="Q1342">
        <v>0</v>
      </c>
      <c r="R1342">
        <v>0</v>
      </c>
    </row>
    <row r="1343" spans="1:18" x14ac:dyDescent="0.25">
      <c r="A1343" t="s">
        <v>13</v>
      </c>
      <c r="B1343" t="s">
        <v>6</v>
      </c>
      <c r="C1343">
        <v>4</v>
      </c>
      <c r="D1343">
        <v>1</v>
      </c>
      <c r="E1343">
        <v>1</v>
      </c>
      <c r="F1343" s="15">
        <v>45929</v>
      </c>
      <c r="G1343" t="s">
        <v>103</v>
      </c>
      <c r="H1343">
        <v>4</v>
      </c>
      <c r="I1343">
        <v>2025</v>
      </c>
      <c r="J1343">
        <v>9</v>
      </c>
      <c r="K1343" t="s">
        <v>87</v>
      </c>
      <c r="L1343" t="s">
        <v>9</v>
      </c>
      <c r="M1343" t="s">
        <v>8</v>
      </c>
      <c r="N1343" t="b">
        <v>0</v>
      </c>
      <c r="O1343">
        <v>0</v>
      </c>
      <c r="P1343">
        <v>1</v>
      </c>
      <c r="Q1343">
        <v>0</v>
      </c>
      <c r="R1343">
        <v>1</v>
      </c>
    </row>
    <row r="1344" spans="1:18" x14ac:dyDescent="0.25">
      <c r="A1344" t="s">
        <v>13</v>
      </c>
      <c r="B1344" t="s">
        <v>6</v>
      </c>
      <c r="C1344">
        <v>4</v>
      </c>
      <c r="D1344">
        <v>1</v>
      </c>
      <c r="E1344">
        <v>1</v>
      </c>
      <c r="F1344" s="15">
        <v>45929</v>
      </c>
      <c r="G1344" t="s">
        <v>103</v>
      </c>
      <c r="H1344">
        <v>4</v>
      </c>
      <c r="I1344">
        <v>2025</v>
      </c>
      <c r="J1344">
        <v>9</v>
      </c>
      <c r="K1344" t="s">
        <v>87</v>
      </c>
      <c r="L1344" t="s">
        <v>17</v>
      </c>
      <c r="M1344" t="s">
        <v>6</v>
      </c>
      <c r="N1344" t="b">
        <v>0</v>
      </c>
      <c r="O1344">
        <v>0</v>
      </c>
      <c r="P1344">
        <v>1</v>
      </c>
      <c r="Q1344">
        <v>0</v>
      </c>
      <c r="R1344">
        <v>0</v>
      </c>
    </row>
    <row r="1345" spans="1:18" x14ac:dyDescent="0.25">
      <c r="A1345" t="s">
        <v>53</v>
      </c>
      <c r="B1345" t="s">
        <v>6</v>
      </c>
      <c r="C1345">
        <v>1</v>
      </c>
      <c r="D1345">
        <v>1</v>
      </c>
      <c r="E1345">
        <v>1</v>
      </c>
      <c r="F1345" s="15">
        <v>45929</v>
      </c>
      <c r="G1345" t="s">
        <v>103</v>
      </c>
      <c r="H1345">
        <v>4</v>
      </c>
      <c r="I1345">
        <v>2025</v>
      </c>
      <c r="J1345">
        <v>9</v>
      </c>
      <c r="K1345" t="s">
        <v>87</v>
      </c>
      <c r="L1345" t="s">
        <v>13</v>
      </c>
      <c r="M1345" t="s">
        <v>6</v>
      </c>
      <c r="N1345" t="b">
        <v>0</v>
      </c>
      <c r="O1345">
        <v>0</v>
      </c>
      <c r="P1345">
        <v>1</v>
      </c>
      <c r="Q1345">
        <v>0</v>
      </c>
      <c r="R1345">
        <v>0</v>
      </c>
    </row>
    <row r="1346" spans="1:18" x14ac:dyDescent="0.25">
      <c r="A1346" t="s">
        <v>53</v>
      </c>
      <c r="B1346" t="s">
        <v>6</v>
      </c>
      <c r="C1346">
        <v>1</v>
      </c>
      <c r="D1346">
        <v>1</v>
      </c>
      <c r="E1346">
        <v>1</v>
      </c>
      <c r="F1346" s="15">
        <v>45929</v>
      </c>
      <c r="G1346" t="s">
        <v>103</v>
      </c>
      <c r="H1346">
        <v>4</v>
      </c>
      <c r="I1346">
        <v>2025</v>
      </c>
      <c r="J1346">
        <v>9</v>
      </c>
      <c r="K1346" t="s">
        <v>87</v>
      </c>
      <c r="L1346" t="s">
        <v>9</v>
      </c>
      <c r="M1346" t="s">
        <v>8</v>
      </c>
      <c r="N1346" t="b">
        <v>0</v>
      </c>
      <c r="O1346">
        <v>0</v>
      </c>
      <c r="P1346">
        <v>1</v>
      </c>
      <c r="Q1346">
        <v>0</v>
      </c>
      <c r="R1346">
        <v>1</v>
      </c>
    </row>
    <row r="1347" spans="1:18" x14ac:dyDescent="0.25">
      <c r="A1347" t="s">
        <v>53</v>
      </c>
      <c r="B1347" t="s">
        <v>6</v>
      </c>
      <c r="C1347">
        <v>1</v>
      </c>
      <c r="D1347">
        <v>1</v>
      </c>
      <c r="E1347">
        <v>1</v>
      </c>
      <c r="F1347" s="15">
        <v>45929</v>
      </c>
      <c r="G1347" t="s">
        <v>103</v>
      </c>
      <c r="H1347">
        <v>4</v>
      </c>
      <c r="I1347">
        <v>2025</v>
      </c>
      <c r="J1347">
        <v>9</v>
      </c>
      <c r="K1347" t="s">
        <v>87</v>
      </c>
      <c r="L1347" t="s">
        <v>17</v>
      </c>
      <c r="M1347" t="s">
        <v>6</v>
      </c>
      <c r="N1347" t="b">
        <v>0</v>
      </c>
      <c r="O1347">
        <v>0</v>
      </c>
      <c r="P1347">
        <v>1</v>
      </c>
      <c r="Q1347">
        <v>0</v>
      </c>
      <c r="R1347">
        <v>0</v>
      </c>
    </row>
    <row r="1348" spans="1:18" x14ac:dyDescent="0.25">
      <c r="A1348" t="s">
        <v>9</v>
      </c>
      <c r="B1348" t="s">
        <v>8</v>
      </c>
      <c r="C1348">
        <v>3</v>
      </c>
      <c r="D1348">
        <v>1</v>
      </c>
      <c r="E1348">
        <v>1</v>
      </c>
      <c r="F1348" s="15">
        <v>45929</v>
      </c>
      <c r="G1348" t="s">
        <v>103</v>
      </c>
      <c r="H1348">
        <v>4</v>
      </c>
      <c r="I1348">
        <v>2025</v>
      </c>
      <c r="J1348">
        <v>9</v>
      </c>
      <c r="K1348" t="s">
        <v>87</v>
      </c>
      <c r="L1348" t="s">
        <v>13</v>
      </c>
      <c r="M1348" t="s">
        <v>6</v>
      </c>
      <c r="N1348" t="b">
        <v>0</v>
      </c>
      <c r="O1348">
        <v>1</v>
      </c>
      <c r="P1348">
        <v>0</v>
      </c>
      <c r="Q1348">
        <v>0</v>
      </c>
      <c r="R1348">
        <v>0</v>
      </c>
    </row>
    <row r="1349" spans="1:18" x14ac:dyDescent="0.25">
      <c r="A1349" t="s">
        <v>9</v>
      </c>
      <c r="B1349" t="s">
        <v>8</v>
      </c>
      <c r="C1349">
        <v>3</v>
      </c>
      <c r="D1349">
        <v>1</v>
      </c>
      <c r="E1349">
        <v>1</v>
      </c>
      <c r="F1349" s="15">
        <v>45929</v>
      </c>
      <c r="G1349" t="s">
        <v>103</v>
      </c>
      <c r="H1349">
        <v>4</v>
      </c>
      <c r="I1349">
        <v>2025</v>
      </c>
      <c r="J1349">
        <v>9</v>
      </c>
      <c r="K1349" t="s">
        <v>87</v>
      </c>
      <c r="L1349" t="s">
        <v>53</v>
      </c>
      <c r="M1349" t="s">
        <v>6</v>
      </c>
      <c r="N1349" t="b">
        <v>0</v>
      </c>
      <c r="O1349">
        <v>1</v>
      </c>
      <c r="P1349">
        <v>0</v>
      </c>
      <c r="Q1349">
        <v>0</v>
      </c>
      <c r="R1349">
        <v>0</v>
      </c>
    </row>
    <row r="1350" spans="1:18" x14ac:dyDescent="0.25">
      <c r="A1350" t="s">
        <v>9</v>
      </c>
      <c r="B1350" t="s">
        <v>8</v>
      </c>
      <c r="C1350">
        <v>3</v>
      </c>
      <c r="D1350">
        <v>1</v>
      </c>
      <c r="E1350">
        <v>1</v>
      </c>
      <c r="F1350" s="15">
        <v>45929</v>
      </c>
      <c r="G1350" t="s">
        <v>103</v>
      </c>
      <c r="H1350">
        <v>4</v>
      </c>
      <c r="I1350">
        <v>2025</v>
      </c>
      <c r="J1350">
        <v>9</v>
      </c>
      <c r="K1350" t="s">
        <v>87</v>
      </c>
      <c r="L1350" t="s">
        <v>17</v>
      </c>
      <c r="M1350" t="s">
        <v>6</v>
      </c>
      <c r="N1350" t="b">
        <v>0</v>
      </c>
      <c r="O1350">
        <v>1</v>
      </c>
      <c r="P1350">
        <v>0</v>
      </c>
      <c r="Q1350">
        <v>0</v>
      </c>
      <c r="R1350">
        <v>0</v>
      </c>
    </row>
    <row r="1351" spans="1:18" x14ac:dyDescent="0.25">
      <c r="A1351" t="s">
        <v>17</v>
      </c>
      <c r="B1351" t="s">
        <v>6</v>
      </c>
      <c r="C1351">
        <v>2</v>
      </c>
      <c r="D1351">
        <v>1</v>
      </c>
      <c r="E1351">
        <v>1</v>
      </c>
      <c r="F1351" s="15">
        <v>45929</v>
      </c>
      <c r="G1351" t="s">
        <v>103</v>
      </c>
      <c r="H1351">
        <v>4</v>
      </c>
      <c r="I1351">
        <v>2025</v>
      </c>
      <c r="J1351">
        <v>9</v>
      </c>
      <c r="K1351" t="s">
        <v>87</v>
      </c>
      <c r="L1351" t="s">
        <v>13</v>
      </c>
      <c r="M1351" t="s">
        <v>6</v>
      </c>
      <c r="N1351" t="b">
        <v>0</v>
      </c>
      <c r="O1351">
        <v>0</v>
      </c>
      <c r="P1351">
        <v>1</v>
      </c>
      <c r="Q1351">
        <v>0</v>
      </c>
      <c r="R1351">
        <v>0</v>
      </c>
    </row>
    <row r="1352" spans="1:18" x14ac:dyDescent="0.25">
      <c r="A1352" t="s">
        <v>17</v>
      </c>
      <c r="B1352" t="s">
        <v>6</v>
      </c>
      <c r="C1352">
        <v>2</v>
      </c>
      <c r="D1352">
        <v>1</v>
      </c>
      <c r="E1352">
        <v>1</v>
      </c>
      <c r="F1352" s="15">
        <v>45929</v>
      </c>
      <c r="G1352" t="s">
        <v>103</v>
      </c>
      <c r="H1352">
        <v>4</v>
      </c>
      <c r="I1352">
        <v>2025</v>
      </c>
      <c r="J1352">
        <v>9</v>
      </c>
      <c r="K1352" t="s">
        <v>87</v>
      </c>
      <c r="L1352" t="s">
        <v>53</v>
      </c>
      <c r="M1352" t="s">
        <v>6</v>
      </c>
      <c r="N1352" t="b">
        <v>0</v>
      </c>
      <c r="O1352">
        <v>0</v>
      </c>
      <c r="P1352">
        <v>1</v>
      </c>
      <c r="Q1352">
        <v>0</v>
      </c>
      <c r="R1352">
        <v>0</v>
      </c>
    </row>
    <row r="1353" spans="1:18" x14ac:dyDescent="0.25">
      <c r="A1353" t="s">
        <v>17</v>
      </c>
      <c r="B1353" t="s">
        <v>6</v>
      </c>
      <c r="C1353">
        <v>2</v>
      </c>
      <c r="D1353">
        <v>1</v>
      </c>
      <c r="E1353">
        <v>1</v>
      </c>
      <c r="F1353" s="15">
        <v>45929</v>
      </c>
      <c r="G1353" t="s">
        <v>103</v>
      </c>
      <c r="H1353">
        <v>4</v>
      </c>
      <c r="I1353">
        <v>2025</v>
      </c>
      <c r="J1353">
        <v>9</v>
      </c>
      <c r="K1353" t="s">
        <v>87</v>
      </c>
      <c r="L1353" t="s">
        <v>9</v>
      </c>
      <c r="M1353" t="s">
        <v>8</v>
      </c>
      <c r="N1353" t="b">
        <v>0</v>
      </c>
      <c r="O1353">
        <v>0</v>
      </c>
      <c r="P1353">
        <v>1</v>
      </c>
      <c r="Q1353">
        <v>0</v>
      </c>
      <c r="R1353">
        <v>1</v>
      </c>
    </row>
    <row r="1354" spans="1:18" x14ac:dyDescent="0.25">
      <c r="A1354" t="s">
        <v>13</v>
      </c>
      <c r="B1354" t="s">
        <v>6</v>
      </c>
      <c r="C1354">
        <v>1</v>
      </c>
      <c r="D1354">
        <v>1</v>
      </c>
      <c r="E1354">
        <v>1</v>
      </c>
      <c r="F1354" s="15">
        <v>45957</v>
      </c>
      <c r="G1354" t="s">
        <v>107</v>
      </c>
      <c r="H1354">
        <v>5</v>
      </c>
      <c r="I1354">
        <v>2025</v>
      </c>
      <c r="J1354">
        <v>10</v>
      </c>
      <c r="K1354" t="s">
        <v>87</v>
      </c>
      <c r="L1354" t="s">
        <v>7</v>
      </c>
      <c r="M1354" t="s">
        <v>6</v>
      </c>
      <c r="N1354" t="b">
        <v>0</v>
      </c>
      <c r="O1354">
        <v>0</v>
      </c>
      <c r="P1354">
        <v>1</v>
      </c>
      <c r="Q1354">
        <v>0</v>
      </c>
      <c r="R1354">
        <v>0</v>
      </c>
    </row>
    <row r="1355" spans="1:18" x14ac:dyDescent="0.25">
      <c r="A1355" t="s">
        <v>13</v>
      </c>
      <c r="B1355" t="s">
        <v>6</v>
      </c>
      <c r="C1355">
        <v>1</v>
      </c>
      <c r="D1355">
        <v>1</v>
      </c>
      <c r="E1355">
        <v>1</v>
      </c>
      <c r="F1355" s="15">
        <v>45957</v>
      </c>
      <c r="G1355" t="s">
        <v>107</v>
      </c>
      <c r="H1355">
        <v>5</v>
      </c>
      <c r="I1355">
        <v>2025</v>
      </c>
      <c r="J1355">
        <v>10</v>
      </c>
      <c r="K1355" t="s">
        <v>87</v>
      </c>
      <c r="L1355" t="s">
        <v>321</v>
      </c>
      <c r="M1355" t="s">
        <v>6</v>
      </c>
      <c r="N1355" t="b">
        <v>0</v>
      </c>
      <c r="O1355">
        <v>0</v>
      </c>
      <c r="P1355">
        <v>1</v>
      </c>
      <c r="Q1355">
        <v>0</v>
      </c>
      <c r="R1355">
        <v>0</v>
      </c>
    </row>
    <row r="1356" spans="1:18" x14ac:dyDescent="0.25">
      <c r="A1356" t="s">
        <v>13</v>
      </c>
      <c r="B1356" t="s">
        <v>6</v>
      </c>
      <c r="C1356">
        <v>1</v>
      </c>
      <c r="D1356">
        <v>1</v>
      </c>
      <c r="E1356">
        <v>1</v>
      </c>
      <c r="F1356" s="15">
        <v>45957</v>
      </c>
      <c r="G1356" t="s">
        <v>107</v>
      </c>
      <c r="H1356">
        <v>5</v>
      </c>
      <c r="I1356">
        <v>2025</v>
      </c>
      <c r="J1356">
        <v>10</v>
      </c>
      <c r="K1356" t="s">
        <v>87</v>
      </c>
      <c r="L1356" t="s">
        <v>9</v>
      </c>
      <c r="M1356" t="s">
        <v>8</v>
      </c>
      <c r="N1356" t="b">
        <v>0</v>
      </c>
      <c r="O1356">
        <v>0</v>
      </c>
      <c r="P1356">
        <v>1</v>
      </c>
      <c r="Q1356">
        <v>0</v>
      </c>
      <c r="R1356">
        <v>1</v>
      </c>
    </row>
    <row r="1357" spans="1:18" x14ac:dyDescent="0.25">
      <c r="A1357" t="s">
        <v>13</v>
      </c>
      <c r="B1357" t="s">
        <v>6</v>
      </c>
      <c r="C1357">
        <v>1</v>
      </c>
      <c r="D1357">
        <v>1</v>
      </c>
      <c r="E1357">
        <v>1</v>
      </c>
      <c r="F1357" s="15">
        <v>45957</v>
      </c>
      <c r="G1357" t="s">
        <v>107</v>
      </c>
      <c r="H1357">
        <v>5</v>
      </c>
      <c r="I1357">
        <v>2025</v>
      </c>
      <c r="J1357">
        <v>10</v>
      </c>
      <c r="K1357" t="s">
        <v>87</v>
      </c>
      <c r="L1357" t="s">
        <v>18</v>
      </c>
      <c r="M1357" t="s">
        <v>6</v>
      </c>
      <c r="N1357" t="b">
        <v>0</v>
      </c>
      <c r="O1357">
        <v>0</v>
      </c>
      <c r="P1357">
        <v>1</v>
      </c>
      <c r="Q1357">
        <v>0</v>
      </c>
      <c r="R1357">
        <v>0</v>
      </c>
    </row>
    <row r="1358" spans="1:18" x14ac:dyDescent="0.25">
      <c r="A1358" t="s">
        <v>7</v>
      </c>
      <c r="B1358" t="s">
        <v>6</v>
      </c>
      <c r="C1358">
        <v>3</v>
      </c>
      <c r="D1358">
        <v>1</v>
      </c>
      <c r="E1358">
        <v>1</v>
      </c>
      <c r="F1358" s="15">
        <v>45957</v>
      </c>
      <c r="G1358" t="s">
        <v>107</v>
      </c>
      <c r="H1358">
        <v>5</v>
      </c>
      <c r="I1358">
        <v>2025</v>
      </c>
      <c r="J1358">
        <v>10</v>
      </c>
      <c r="K1358" t="s">
        <v>87</v>
      </c>
      <c r="L1358" t="s">
        <v>13</v>
      </c>
      <c r="M1358" t="s">
        <v>6</v>
      </c>
      <c r="N1358" t="b">
        <v>0</v>
      </c>
      <c r="O1358">
        <v>0</v>
      </c>
      <c r="P1358">
        <v>1</v>
      </c>
      <c r="Q1358">
        <v>0</v>
      </c>
      <c r="R1358">
        <v>0</v>
      </c>
    </row>
    <row r="1359" spans="1:18" x14ac:dyDescent="0.25">
      <c r="A1359" t="s">
        <v>7</v>
      </c>
      <c r="B1359" t="s">
        <v>6</v>
      </c>
      <c r="C1359">
        <v>3</v>
      </c>
      <c r="D1359">
        <v>1</v>
      </c>
      <c r="E1359">
        <v>1</v>
      </c>
      <c r="F1359" s="15">
        <v>45957</v>
      </c>
      <c r="G1359" t="s">
        <v>107</v>
      </c>
      <c r="H1359">
        <v>5</v>
      </c>
      <c r="I1359">
        <v>2025</v>
      </c>
      <c r="J1359">
        <v>10</v>
      </c>
      <c r="K1359" t="s">
        <v>87</v>
      </c>
      <c r="L1359" t="s">
        <v>321</v>
      </c>
      <c r="M1359" t="s">
        <v>6</v>
      </c>
      <c r="N1359" t="b">
        <v>0</v>
      </c>
      <c r="O1359">
        <v>0</v>
      </c>
      <c r="P1359">
        <v>1</v>
      </c>
      <c r="Q1359">
        <v>0</v>
      </c>
      <c r="R1359">
        <v>0</v>
      </c>
    </row>
    <row r="1360" spans="1:18" x14ac:dyDescent="0.25">
      <c r="A1360" t="s">
        <v>7</v>
      </c>
      <c r="B1360" t="s">
        <v>6</v>
      </c>
      <c r="C1360">
        <v>3</v>
      </c>
      <c r="D1360">
        <v>1</v>
      </c>
      <c r="E1360">
        <v>1</v>
      </c>
      <c r="F1360" s="15">
        <v>45957</v>
      </c>
      <c r="G1360" t="s">
        <v>107</v>
      </c>
      <c r="H1360">
        <v>5</v>
      </c>
      <c r="I1360">
        <v>2025</v>
      </c>
      <c r="J1360">
        <v>10</v>
      </c>
      <c r="K1360" t="s">
        <v>87</v>
      </c>
      <c r="L1360" t="s">
        <v>9</v>
      </c>
      <c r="M1360" t="s">
        <v>8</v>
      </c>
      <c r="N1360" t="b">
        <v>0</v>
      </c>
      <c r="O1360">
        <v>0</v>
      </c>
      <c r="P1360">
        <v>1</v>
      </c>
      <c r="Q1360">
        <v>0</v>
      </c>
      <c r="R1360">
        <v>1</v>
      </c>
    </row>
    <row r="1361" spans="1:18" x14ac:dyDescent="0.25">
      <c r="A1361" t="s">
        <v>7</v>
      </c>
      <c r="B1361" t="s">
        <v>6</v>
      </c>
      <c r="C1361">
        <v>3</v>
      </c>
      <c r="D1361">
        <v>1</v>
      </c>
      <c r="E1361">
        <v>1</v>
      </c>
      <c r="F1361" s="15">
        <v>45957</v>
      </c>
      <c r="G1361" t="s">
        <v>107</v>
      </c>
      <c r="H1361">
        <v>5</v>
      </c>
      <c r="I1361">
        <v>2025</v>
      </c>
      <c r="J1361">
        <v>10</v>
      </c>
      <c r="K1361" t="s">
        <v>87</v>
      </c>
      <c r="L1361" t="s">
        <v>18</v>
      </c>
      <c r="M1361" t="s">
        <v>6</v>
      </c>
      <c r="N1361" t="b">
        <v>0</v>
      </c>
      <c r="O1361">
        <v>0</v>
      </c>
      <c r="P1361">
        <v>1</v>
      </c>
      <c r="Q1361">
        <v>0</v>
      </c>
      <c r="R1361">
        <v>0</v>
      </c>
    </row>
    <row r="1362" spans="1:18" x14ac:dyDescent="0.25">
      <c r="A1362" t="s">
        <v>321</v>
      </c>
      <c r="B1362" t="s">
        <v>6</v>
      </c>
      <c r="C1362">
        <v>2</v>
      </c>
      <c r="D1362">
        <v>1</v>
      </c>
      <c r="E1362">
        <v>1</v>
      </c>
      <c r="F1362" s="15">
        <v>45957</v>
      </c>
      <c r="G1362" t="s">
        <v>107</v>
      </c>
      <c r="H1362">
        <v>5</v>
      </c>
      <c r="I1362">
        <v>2025</v>
      </c>
      <c r="J1362">
        <v>10</v>
      </c>
      <c r="K1362" t="s">
        <v>87</v>
      </c>
      <c r="L1362" t="s">
        <v>13</v>
      </c>
      <c r="M1362" t="s">
        <v>6</v>
      </c>
      <c r="N1362" t="b">
        <v>0</v>
      </c>
      <c r="O1362">
        <v>0</v>
      </c>
      <c r="P1362">
        <v>1</v>
      </c>
      <c r="Q1362">
        <v>0</v>
      </c>
      <c r="R1362">
        <v>0</v>
      </c>
    </row>
    <row r="1363" spans="1:18" x14ac:dyDescent="0.25">
      <c r="A1363" t="s">
        <v>321</v>
      </c>
      <c r="B1363" t="s">
        <v>6</v>
      </c>
      <c r="C1363">
        <v>2</v>
      </c>
      <c r="D1363">
        <v>1</v>
      </c>
      <c r="E1363">
        <v>1</v>
      </c>
      <c r="F1363" s="15">
        <v>45957</v>
      </c>
      <c r="G1363" t="s">
        <v>107</v>
      </c>
      <c r="H1363">
        <v>5</v>
      </c>
      <c r="I1363">
        <v>2025</v>
      </c>
      <c r="J1363">
        <v>10</v>
      </c>
      <c r="K1363" t="s">
        <v>87</v>
      </c>
      <c r="L1363" t="s">
        <v>7</v>
      </c>
      <c r="M1363" t="s">
        <v>6</v>
      </c>
      <c r="N1363" t="b">
        <v>0</v>
      </c>
      <c r="O1363">
        <v>0</v>
      </c>
      <c r="P1363">
        <v>1</v>
      </c>
      <c r="Q1363">
        <v>0</v>
      </c>
      <c r="R1363">
        <v>0</v>
      </c>
    </row>
    <row r="1364" spans="1:18" x14ac:dyDescent="0.25">
      <c r="A1364" t="s">
        <v>321</v>
      </c>
      <c r="B1364" t="s">
        <v>6</v>
      </c>
      <c r="C1364">
        <v>2</v>
      </c>
      <c r="D1364">
        <v>1</v>
      </c>
      <c r="E1364">
        <v>1</v>
      </c>
      <c r="F1364" s="15">
        <v>45957</v>
      </c>
      <c r="G1364" t="s">
        <v>107</v>
      </c>
      <c r="H1364">
        <v>5</v>
      </c>
      <c r="I1364">
        <v>2025</v>
      </c>
      <c r="J1364">
        <v>10</v>
      </c>
      <c r="K1364" t="s">
        <v>87</v>
      </c>
      <c r="L1364" t="s">
        <v>9</v>
      </c>
      <c r="M1364" t="s">
        <v>8</v>
      </c>
      <c r="N1364" t="b">
        <v>0</v>
      </c>
      <c r="O1364">
        <v>0</v>
      </c>
      <c r="P1364">
        <v>1</v>
      </c>
      <c r="Q1364">
        <v>0</v>
      </c>
      <c r="R1364">
        <v>1</v>
      </c>
    </row>
    <row r="1365" spans="1:18" x14ac:dyDescent="0.25">
      <c r="A1365" t="s">
        <v>321</v>
      </c>
      <c r="B1365" t="s">
        <v>6</v>
      </c>
      <c r="C1365">
        <v>2</v>
      </c>
      <c r="D1365">
        <v>1</v>
      </c>
      <c r="E1365">
        <v>1</v>
      </c>
      <c r="F1365" s="15">
        <v>45957</v>
      </c>
      <c r="G1365" t="s">
        <v>107</v>
      </c>
      <c r="H1365">
        <v>5</v>
      </c>
      <c r="I1365">
        <v>2025</v>
      </c>
      <c r="J1365">
        <v>10</v>
      </c>
      <c r="K1365" t="s">
        <v>87</v>
      </c>
      <c r="L1365" t="s">
        <v>18</v>
      </c>
      <c r="M1365" t="s">
        <v>6</v>
      </c>
      <c r="N1365" t="b">
        <v>0</v>
      </c>
      <c r="O1365">
        <v>0</v>
      </c>
      <c r="P1365">
        <v>1</v>
      </c>
      <c r="Q1365">
        <v>0</v>
      </c>
      <c r="R1365">
        <v>0</v>
      </c>
    </row>
    <row r="1366" spans="1:18" x14ac:dyDescent="0.25">
      <c r="A1366" t="s">
        <v>9</v>
      </c>
      <c r="B1366" t="s">
        <v>8</v>
      </c>
      <c r="C1366">
        <v>4</v>
      </c>
      <c r="D1366">
        <v>1</v>
      </c>
      <c r="E1366">
        <v>1</v>
      </c>
      <c r="F1366" s="15">
        <v>45957</v>
      </c>
      <c r="G1366" t="s">
        <v>107</v>
      </c>
      <c r="H1366">
        <v>5</v>
      </c>
      <c r="I1366">
        <v>2025</v>
      </c>
      <c r="J1366">
        <v>10</v>
      </c>
      <c r="K1366" t="s">
        <v>87</v>
      </c>
      <c r="L1366" t="s">
        <v>13</v>
      </c>
      <c r="M1366" t="s">
        <v>6</v>
      </c>
      <c r="N1366" t="b">
        <v>0</v>
      </c>
      <c r="O1366">
        <v>1</v>
      </c>
      <c r="P1366">
        <v>0</v>
      </c>
      <c r="Q1366">
        <v>0</v>
      </c>
      <c r="R1366">
        <v>0</v>
      </c>
    </row>
    <row r="1367" spans="1:18" x14ac:dyDescent="0.25">
      <c r="A1367" t="s">
        <v>9</v>
      </c>
      <c r="B1367" t="s">
        <v>8</v>
      </c>
      <c r="C1367">
        <v>4</v>
      </c>
      <c r="D1367">
        <v>1</v>
      </c>
      <c r="E1367">
        <v>1</v>
      </c>
      <c r="F1367" s="15">
        <v>45957</v>
      </c>
      <c r="G1367" t="s">
        <v>107</v>
      </c>
      <c r="H1367">
        <v>5</v>
      </c>
      <c r="I1367">
        <v>2025</v>
      </c>
      <c r="J1367">
        <v>10</v>
      </c>
      <c r="K1367" t="s">
        <v>87</v>
      </c>
      <c r="L1367" t="s">
        <v>7</v>
      </c>
      <c r="M1367" t="s">
        <v>6</v>
      </c>
      <c r="N1367" t="b">
        <v>0</v>
      </c>
      <c r="O1367">
        <v>1</v>
      </c>
      <c r="P1367">
        <v>0</v>
      </c>
      <c r="Q1367">
        <v>0</v>
      </c>
      <c r="R1367">
        <v>0</v>
      </c>
    </row>
    <row r="1368" spans="1:18" x14ac:dyDescent="0.25">
      <c r="A1368" t="s">
        <v>9</v>
      </c>
      <c r="B1368" t="s">
        <v>8</v>
      </c>
      <c r="C1368">
        <v>4</v>
      </c>
      <c r="D1368">
        <v>1</v>
      </c>
      <c r="E1368">
        <v>1</v>
      </c>
      <c r="F1368" s="15">
        <v>45957</v>
      </c>
      <c r="G1368" t="s">
        <v>107</v>
      </c>
      <c r="H1368">
        <v>5</v>
      </c>
      <c r="I1368">
        <v>2025</v>
      </c>
      <c r="J1368">
        <v>10</v>
      </c>
      <c r="K1368" t="s">
        <v>87</v>
      </c>
      <c r="L1368" t="s">
        <v>321</v>
      </c>
      <c r="M1368" t="s">
        <v>6</v>
      </c>
      <c r="N1368" t="b">
        <v>0</v>
      </c>
      <c r="O1368">
        <v>1</v>
      </c>
      <c r="P1368">
        <v>0</v>
      </c>
      <c r="Q1368">
        <v>0</v>
      </c>
      <c r="R1368">
        <v>0</v>
      </c>
    </row>
    <row r="1369" spans="1:18" x14ac:dyDescent="0.25">
      <c r="A1369" t="s">
        <v>9</v>
      </c>
      <c r="B1369" t="s">
        <v>8</v>
      </c>
      <c r="C1369">
        <v>4</v>
      </c>
      <c r="D1369">
        <v>1</v>
      </c>
      <c r="E1369">
        <v>1</v>
      </c>
      <c r="F1369" s="15">
        <v>45957</v>
      </c>
      <c r="G1369" t="s">
        <v>107</v>
      </c>
      <c r="H1369">
        <v>5</v>
      </c>
      <c r="I1369">
        <v>2025</v>
      </c>
      <c r="J1369">
        <v>10</v>
      </c>
      <c r="K1369" t="s">
        <v>87</v>
      </c>
      <c r="L1369" t="s">
        <v>18</v>
      </c>
      <c r="M1369" t="s">
        <v>6</v>
      </c>
      <c r="N1369" t="b">
        <v>0</v>
      </c>
      <c r="O1369">
        <v>1</v>
      </c>
      <c r="P1369">
        <v>0</v>
      </c>
      <c r="Q1369">
        <v>0</v>
      </c>
      <c r="R1369">
        <v>0</v>
      </c>
    </row>
    <row r="1370" spans="1:18" x14ac:dyDescent="0.25">
      <c r="A1370" t="s">
        <v>18</v>
      </c>
      <c r="B1370" t="s">
        <v>6</v>
      </c>
      <c r="C1370">
        <v>5</v>
      </c>
      <c r="D1370">
        <v>1</v>
      </c>
      <c r="E1370">
        <v>1</v>
      </c>
      <c r="F1370" s="15">
        <v>45957</v>
      </c>
      <c r="G1370" t="s">
        <v>107</v>
      </c>
      <c r="H1370">
        <v>5</v>
      </c>
      <c r="I1370">
        <v>2025</v>
      </c>
      <c r="J1370">
        <v>10</v>
      </c>
      <c r="K1370" t="s">
        <v>87</v>
      </c>
      <c r="L1370" t="s">
        <v>13</v>
      </c>
      <c r="M1370" t="s">
        <v>6</v>
      </c>
      <c r="N1370" t="b">
        <v>0</v>
      </c>
      <c r="O1370">
        <v>0</v>
      </c>
      <c r="P1370">
        <v>1</v>
      </c>
      <c r="Q1370">
        <v>0</v>
      </c>
      <c r="R1370">
        <v>0</v>
      </c>
    </row>
    <row r="1371" spans="1:18" x14ac:dyDescent="0.25">
      <c r="A1371" t="s">
        <v>18</v>
      </c>
      <c r="B1371" t="s">
        <v>6</v>
      </c>
      <c r="C1371">
        <v>5</v>
      </c>
      <c r="D1371">
        <v>1</v>
      </c>
      <c r="E1371">
        <v>1</v>
      </c>
      <c r="F1371" s="15">
        <v>45957</v>
      </c>
      <c r="G1371" t="s">
        <v>107</v>
      </c>
      <c r="H1371">
        <v>5</v>
      </c>
      <c r="I1371">
        <v>2025</v>
      </c>
      <c r="J1371">
        <v>10</v>
      </c>
      <c r="K1371" t="s">
        <v>87</v>
      </c>
      <c r="L1371" t="s">
        <v>7</v>
      </c>
      <c r="M1371" t="s">
        <v>6</v>
      </c>
      <c r="N1371" t="b">
        <v>0</v>
      </c>
      <c r="O1371">
        <v>0</v>
      </c>
      <c r="P1371">
        <v>1</v>
      </c>
      <c r="Q1371">
        <v>0</v>
      </c>
      <c r="R1371">
        <v>0</v>
      </c>
    </row>
    <row r="1372" spans="1:18" x14ac:dyDescent="0.25">
      <c r="A1372" t="s">
        <v>18</v>
      </c>
      <c r="B1372" t="s">
        <v>6</v>
      </c>
      <c r="C1372">
        <v>5</v>
      </c>
      <c r="D1372">
        <v>1</v>
      </c>
      <c r="E1372">
        <v>1</v>
      </c>
      <c r="F1372" s="15">
        <v>45957</v>
      </c>
      <c r="G1372" t="s">
        <v>107</v>
      </c>
      <c r="H1372">
        <v>5</v>
      </c>
      <c r="I1372">
        <v>2025</v>
      </c>
      <c r="J1372">
        <v>10</v>
      </c>
      <c r="K1372" t="s">
        <v>87</v>
      </c>
      <c r="L1372" t="s">
        <v>321</v>
      </c>
      <c r="M1372" t="s">
        <v>6</v>
      </c>
      <c r="N1372" t="b">
        <v>0</v>
      </c>
      <c r="O1372">
        <v>0</v>
      </c>
      <c r="P1372">
        <v>1</v>
      </c>
      <c r="Q1372">
        <v>0</v>
      </c>
      <c r="R1372">
        <v>0</v>
      </c>
    </row>
    <row r="1373" spans="1:18" x14ac:dyDescent="0.25">
      <c r="A1373" t="s">
        <v>18</v>
      </c>
      <c r="B1373" t="s">
        <v>6</v>
      </c>
      <c r="C1373">
        <v>5</v>
      </c>
      <c r="D1373">
        <v>1</v>
      </c>
      <c r="E1373">
        <v>1</v>
      </c>
      <c r="F1373" s="15">
        <v>45957</v>
      </c>
      <c r="G1373" t="s">
        <v>107</v>
      </c>
      <c r="H1373">
        <v>5</v>
      </c>
      <c r="I1373">
        <v>2025</v>
      </c>
      <c r="J1373">
        <v>10</v>
      </c>
      <c r="K1373" t="s">
        <v>87</v>
      </c>
      <c r="L1373" t="s">
        <v>9</v>
      </c>
      <c r="M1373" t="s">
        <v>8</v>
      </c>
      <c r="N1373" t="b">
        <v>0</v>
      </c>
      <c r="O1373">
        <v>0</v>
      </c>
      <c r="P1373">
        <v>1</v>
      </c>
      <c r="Q1373">
        <v>0</v>
      </c>
      <c r="R1373">
        <v>1</v>
      </c>
    </row>
    <row r="1374" spans="1:18" x14ac:dyDescent="0.25">
      <c r="A1374" t="s">
        <v>13</v>
      </c>
      <c r="B1374" t="s">
        <v>6</v>
      </c>
      <c r="C1374">
        <v>1</v>
      </c>
      <c r="D1374">
        <v>1</v>
      </c>
      <c r="E1374">
        <v>1</v>
      </c>
      <c r="F1374" s="15">
        <v>45985</v>
      </c>
      <c r="G1374" t="s">
        <v>111</v>
      </c>
      <c r="H1374">
        <v>4</v>
      </c>
      <c r="I1374">
        <v>2025</v>
      </c>
      <c r="J1374">
        <v>11</v>
      </c>
      <c r="K1374" t="s">
        <v>87</v>
      </c>
      <c r="L1374" t="s">
        <v>27</v>
      </c>
      <c r="M1374" t="s">
        <v>6</v>
      </c>
      <c r="N1374" t="b">
        <v>0</v>
      </c>
      <c r="O1374">
        <v>0</v>
      </c>
      <c r="P1374">
        <v>1</v>
      </c>
      <c r="Q1374">
        <v>0</v>
      </c>
      <c r="R1374">
        <v>0</v>
      </c>
    </row>
    <row r="1375" spans="1:18" x14ac:dyDescent="0.25">
      <c r="A1375" t="s">
        <v>13</v>
      </c>
      <c r="B1375" t="s">
        <v>6</v>
      </c>
      <c r="C1375">
        <v>1</v>
      </c>
      <c r="D1375">
        <v>1</v>
      </c>
      <c r="E1375">
        <v>1</v>
      </c>
      <c r="F1375" s="15">
        <v>45985</v>
      </c>
      <c r="G1375" t="s">
        <v>111</v>
      </c>
      <c r="H1375">
        <v>4</v>
      </c>
      <c r="I1375">
        <v>2025</v>
      </c>
      <c r="J1375">
        <v>11</v>
      </c>
      <c r="K1375" t="s">
        <v>87</v>
      </c>
      <c r="L1375" t="s">
        <v>11</v>
      </c>
      <c r="M1375" t="s">
        <v>8</v>
      </c>
      <c r="N1375" t="b">
        <v>0</v>
      </c>
      <c r="O1375">
        <v>0</v>
      </c>
      <c r="P1375">
        <v>1</v>
      </c>
      <c r="Q1375">
        <v>0</v>
      </c>
      <c r="R1375">
        <v>1</v>
      </c>
    </row>
    <row r="1376" spans="1:18" x14ac:dyDescent="0.25">
      <c r="A1376" t="s">
        <v>13</v>
      </c>
      <c r="B1376" t="s">
        <v>6</v>
      </c>
      <c r="C1376">
        <v>1</v>
      </c>
      <c r="D1376">
        <v>1</v>
      </c>
      <c r="E1376">
        <v>1</v>
      </c>
      <c r="F1376" s="15">
        <v>45985</v>
      </c>
      <c r="G1376" t="s">
        <v>111</v>
      </c>
      <c r="H1376">
        <v>4</v>
      </c>
      <c r="I1376">
        <v>2025</v>
      </c>
      <c r="J1376">
        <v>11</v>
      </c>
      <c r="K1376" t="s">
        <v>87</v>
      </c>
      <c r="L1376" t="s">
        <v>9</v>
      </c>
      <c r="M1376" t="s">
        <v>6</v>
      </c>
      <c r="N1376" t="b">
        <v>0</v>
      </c>
      <c r="O1376">
        <v>0</v>
      </c>
      <c r="P1376">
        <v>1</v>
      </c>
      <c r="Q1376">
        <v>0</v>
      </c>
      <c r="R1376">
        <v>0</v>
      </c>
    </row>
    <row r="1377" spans="1:18" x14ac:dyDescent="0.25">
      <c r="A1377" t="s">
        <v>27</v>
      </c>
      <c r="B1377" t="s">
        <v>6</v>
      </c>
      <c r="C1377">
        <v>4</v>
      </c>
      <c r="D1377">
        <v>1</v>
      </c>
      <c r="E1377">
        <v>1</v>
      </c>
      <c r="F1377" s="15">
        <v>45985</v>
      </c>
      <c r="G1377" t="s">
        <v>111</v>
      </c>
      <c r="H1377">
        <v>4</v>
      </c>
      <c r="I1377">
        <v>2025</v>
      </c>
      <c r="J1377">
        <v>11</v>
      </c>
      <c r="K1377" t="s">
        <v>87</v>
      </c>
      <c r="L1377" t="s">
        <v>13</v>
      </c>
      <c r="M1377" t="s">
        <v>6</v>
      </c>
      <c r="N1377" t="b">
        <v>0</v>
      </c>
      <c r="O1377">
        <v>0</v>
      </c>
      <c r="P1377">
        <v>1</v>
      </c>
      <c r="Q1377">
        <v>0</v>
      </c>
      <c r="R1377">
        <v>0</v>
      </c>
    </row>
    <row r="1378" spans="1:18" x14ac:dyDescent="0.25">
      <c r="A1378" t="s">
        <v>27</v>
      </c>
      <c r="B1378" t="s">
        <v>6</v>
      </c>
      <c r="C1378">
        <v>4</v>
      </c>
      <c r="D1378">
        <v>1</v>
      </c>
      <c r="E1378">
        <v>1</v>
      </c>
      <c r="F1378" s="15">
        <v>45985</v>
      </c>
      <c r="G1378" t="s">
        <v>111</v>
      </c>
      <c r="H1378">
        <v>4</v>
      </c>
      <c r="I1378">
        <v>2025</v>
      </c>
      <c r="J1378">
        <v>11</v>
      </c>
      <c r="K1378" t="s">
        <v>87</v>
      </c>
      <c r="L1378" t="s">
        <v>11</v>
      </c>
      <c r="M1378" t="s">
        <v>8</v>
      </c>
      <c r="N1378" t="b">
        <v>0</v>
      </c>
      <c r="O1378">
        <v>0</v>
      </c>
      <c r="P1378">
        <v>1</v>
      </c>
      <c r="Q1378">
        <v>0</v>
      </c>
      <c r="R1378">
        <v>1</v>
      </c>
    </row>
    <row r="1379" spans="1:18" x14ac:dyDescent="0.25">
      <c r="A1379" t="s">
        <v>27</v>
      </c>
      <c r="B1379" t="s">
        <v>6</v>
      </c>
      <c r="C1379">
        <v>4</v>
      </c>
      <c r="D1379">
        <v>1</v>
      </c>
      <c r="E1379">
        <v>1</v>
      </c>
      <c r="F1379" s="15">
        <v>45985</v>
      </c>
      <c r="G1379" t="s">
        <v>111</v>
      </c>
      <c r="H1379">
        <v>4</v>
      </c>
      <c r="I1379">
        <v>2025</v>
      </c>
      <c r="J1379">
        <v>11</v>
      </c>
      <c r="K1379" t="s">
        <v>87</v>
      </c>
      <c r="L1379" t="s">
        <v>9</v>
      </c>
      <c r="M1379" t="s">
        <v>6</v>
      </c>
      <c r="N1379" t="b">
        <v>0</v>
      </c>
      <c r="O1379">
        <v>0</v>
      </c>
      <c r="P1379">
        <v>1</v>
      </c>
      <c r="Q1379">
        <v>0</v>
      </c>
      <c r="R1379">
        <v>0</v>
      </c>
    </row>
    <row r="1380" spans="1:18" x14ac:dyDescent="0.25">
      <c r="A1380" t="s">
        <v>11</v>
      </c>
      <c r="B1380" t="s">
        <v>8</v>
      </c>
      <c r="C1380">
        <v>3</v>
      </c>
      <c r="D1380">
        <v>1</v>
      </c>
      <c r="E1380">
        <v>1</v>
      </c>
      <c r="F1380" s="15">
        <v>45985</v>
      </c>
      <c r="G1380" t="s">
        <v>111</v>
      </c>
      <c r="H1380">
        <v>4</v>
      </c>
      <c r="I1380">
        <v>2025</v>
      </c>
      <c r="J1380">
        <v>11</v>
      </c>
      <c r="K1380" t="s">
        <v>87</v>
      </c>
      <c r="L1380" t="s">
        <v>13</v>
      </c>
      <c r="M1380" t="s">
        <v>6</v>
      </c>
      <c r="N1380" t="b">
        <v>0</v>
      </c>
      <c r="O1380">
        <v>1</v>
      </c>
      <c r="P1380">
        <v>0</v>
      </c>
      <c r="Q1380">
        <v>0</v>
      </c>
      <c r="R1380">
        <v>0</v>
      </c>
    </row>
    <row r="1381" spans="1:18" x14ac:dyDescent="0.25">
      <c r="A1381" t="s">
        <v>11</v>
      </c>
      <c r="B1381" t="s">
        <v>8</v>
      </c>
      <c r="C1381">
        <v>3</v>
      </c>
      <c r="D1381">
        <v>1</v>
      </c>
      <c r="E1381">
        <v>1</v>
      </c>
      <c r="F1381" s="15">
        <v>45985</v>
      </c>
      <c r="G1381" t="s">
        <v>111</v>
      </c>
      <c r="H1381">
        <v>4</v>
      </c>
      <c r="I1381">
        <v>2025</v>
      </c>
      <c r="J1381">
        <v>11</v>
      </c>
      <c r="K1381" t="s">
        <v>87</v>
      </c>
      <c r="L1381" t="s">
        <v>27</v>
      </c>
      <c r="M1381" t="s">
        <v>6</v>
      </c>
      <c r="N1381" t="b">
        <v>0</v>
      </c>
      <c r="O1381">
        <v>1</v>
      </c>
      <c r="P1381">
        <v>0</v>
      </c>
      <c r="Q1381">
        <v>0</v>
      </c>
      <c r="R1381">
        <v>0</v>
      </c>
    </row>
    <row r="1382" spans="1:18" x14ac:dyDescent="0.25">
      <c r="A1382" t="s">
        <v>11</v>
      </c>
      <c r="B1382" t="s">
        <v>8</v>
      </c>
      <c r="C1382">
        <v>3</v>
      </c>
      <c r="D1382">
        <v>1</v>
      </c>
      <c r="E1382">
        <v>1</v>
      </c>
      <c r="F1382" s="15">
        <v>45985</v>
      </c>
      <c r="G1382" t="s">
        <v>111</v>
      </c>
      <c r="H1382">
        <v>4</v>
      </c>
      <c r="I1382">
        <v>2025</v>
      </c>
      <c r="J1382">
        <v>11</v>
      </c>
      <c r="K1382" t="s">
        <v>87</v>
      </c>
      <c r="L1382" t="s">
        <v>9</v>
      </c>
      <c r="M1382" t="s">
        <v>6</v>
      </c>
      <c r="N1382" t="b">
        <v>0</v>
      </c>
      <c r="O1382">
        <v>1</v>
      </c>
      <c r="P1382">
        <v>0</v>
      </c>
      <c r="Q1382">
        <v>0</v>
      </c>
      <c r="R1382">
        <v>0</v>
      </c>
    </row>
    <row r="1383" spans="1:18" x14ac:dyDescent="0.25">
      <c r="A1383" t="s">
        <v>9</v>
      </c>
      <c r="B1383" t="s">
        <v>6</v>
      </c>
      <c r="C1383">
        <v>2</v>
      </c>
      <c r="D1383">
        <v>1</v>
      </c>
      <c r="E1383">
        <v>1</v>
      </c>
      <c r="F1383" s="15">
        <v>45985</v>
      </c>
      <c r="G1383" t="s">
        <v>111</v>
      </c>
      <c r="H1383">
        <v>4</v>
      </c>
      <c r="I1383">
        <v>2025</v>
      </c>
      <c r="J1383">
        <v>11</v>
      </c>
      <c r="K1383" t="s">
        <v>87</v>
      </c>
      <c r="L1383" t="s">
        <v>13</v>
      </c>
      <c r="M1383" t="s">
        <v>6</v>
      </c>
      <c r="N1383" t="b">
        <v>0</v>
      </c>
      <c r="O1383">
        <v>0</v>
      </c>
      <c r="P1383">
        <v>1</v>
      </c>
      <c r="Q1383">
        <v>0</v>
      </c>
      <c r="R1383">
        <v>0</v>
      </c>
    </row>
    <row r="1384" spans="1:18" x14ac:dyDescent="0.25">
      <c r="A1384" t="s">
        <v>9</v>
      </c>
      <c r="B1384" t="s">
        <v>6</v>
      </c>
      <c r="C1384">
        <v>2</v>
      </c>
      <c r="D1384">
        <v>1</v>
      </c>
      <c r="E1384">
        <v>1</v>
      </c>
      <c r="F1384" s="15">
        <v>45985</v>
      </c>
      <c r="G1384" t="s">
        <v>111</v>
      </c>
      <c r="H1384">
        <v>4</v>
      </c>
      <c r="I1384">
        <v>2025</v>
      </c>
      <c r="J1384">
        <v>11</v>
      </c>
      <c r="K1384" t="s">
        <v>87</v>
      </c>
      <c r="L1384" t="s">
        <v>27</v>
      </c>
      <c r="M1384" t="s">
        <v>6</v>
      </c>
      <c r="N1384" t="b">
        <v>0</v>
      </c>
      <c r="O1384">
        <v>0</v>
      </c>
      <c r="P1384">
        <v>1</v>
      </c>
      <c r="Q1384">
        <v>0</v>
      </c>
      <c r="R1384">
        <v>0</v>
      </c>
    </row>
    <row r="1385" spans="1:18" x14ac:dyDescent="0.25">
      <c r="A1385" t="s">
        <v>9</v>
      </c>
      <c r="B1385" t="s">
        <v>6</v>
      </c>
      <c r="C1385">
        <v>2</v>
      </c>
      <c r="D1385">
        <v>1</v>
      </c>
      <c r="E1385">
        <v>1</v>
      </c>
      <c r="F1385" s="15">
        <v>45985</v>
      </c>
      <c r="G1385" t="s">
        <v>111</v>
      </c>
      <c r="H1385">
        <v>4</v>
      </c>
      <c r="I1385">
        <v>2025</v>
      </c>
      <c r="J1385">
        <v>11</v>
      </c>
      <c r="K1385" t="s">
        <v>87</v>
      </c>
      <c r="L1385" t="s">
        <v>11</v>
      </c>
      <c r="M1385" t="s">
        <v>8</v>
      </c>
      <c r="N1385" t="b">
        <v>0</v>
      </c>
      <c r="O1385">
        <v>0</v>
      </c>
      <c r="P1385">
        <v>1</v>
      </c>
      <c r="Q1385">
        <v>0</v>
      </c>
      <c r="R1385">
        <v>1</v>
      </c>
    </row>
    <row r="1386" spans="1:18" x14ac:dyDescent="0.25">
      <c r="A1386" t="s">
        <v>13</v>
      </c>
      <c r="B1386" t="s">
        <v>6</v>
      </c>
      <c r="C1386">
        <v>3</v>
      </c>
      <c r="D1386">
        <v>1</v>
      </c>
      <c r="E1386">
        <v>1</v>
      </c>
      <c r="F1386" s="15">
        <v>46013</v>
      </c>
      <c r="G1386" t="s">
        <v>115</v>
      </c>
      <c r="H1386">
        <v>4</v>
      </c>
      <c r="I1386">
        <v>2025</v>
      </c>
      <c r="J1386">
        <v>12</v>
      </c>
      <c r="K1386" t="s">
        <v>87</v>
      </c>
      <c r="L1386" t="s">
        <v>436</v>
      </c>
      <c r="M1386" t="s">
        <v>8</v>
      </c>
      <c r="N1386" t="b">
        <v>0</v>
      </c>
      <c r="O1386">
        <v>0</v>
      </c>
      <c r="P1386">
        <v>1</v>
      </c>
      <c r="Q1386">
        <v>0</v>
      </c>
      <c r="R1386">
        <v>1</v>
      </c>
    </row>
    <row r="1387" spans="1:18" x14ac:dyDescent="0.25">
      <c r="A1387" t="s">
        <v>13</v>
      </c>
      <c r="B1387" t="s">
        <v>6</v>
      </c>
      <c r="C1387">
        <v>3</v>
      </c>
      <c r="D1387">
        <v>1</v>
      </c>
      <c r="E1387">
        <v>1</v>
      </c>
      <c r="F1387" s="15">
        <v>46013</v>
      </c>
      <c r="G1387" t="s">
        <v>115</v>
      </c>
      <c r="H1387">
        <v>4</v>
      </c>
      <c r="I1387">
        <v>2025</v>
      </c>
      <c r="J1387">
        <v>12</v>
      </c>
      <c r="K1387" t="s">
        <v>87</v>
      </c>
      <c r="L1387" t="s">
        <v>15</v>
      </c>
      <c r="M1387" t="s">
        <v>6</v>
      </c>
      <c r="N1387" t="b">
        <v>0</v>
      </c>
      <c r="O1387">
        <v>0</v>
      </c>
      <c r="P1387">
        <v>1</v>
      </c>
      <c r="Q1387">
        <v>0</v>
      </c>
      <c r="R1387">
        <v>0</v>
      </c>
    </row>
    <row r="1388" spans="1:18" x14ac:dyDescent="0.25">
      <c r="A1388" t="s">
        <v>13</v>
      </c>
      <c r="B1388" t="s">
        <v>6</v>
      </c>
      <c r="C1388">
        <v>3</v>
      </c>
      <c r="D1388">
        <v>1</v>
      </c>
      <c r="E1388">
        <v>1</v>
      </c>
      <c r="F1388" s="15">
        <v>46013</v>
      </c>
      <c r="G1388" t="s">
        <v>115</v>
      </c>
      <c r="H1388">
        <v>4</v>
      </c>
      <c r="I1388">
        <v>2025</v>
      </c>
      <c r="J1388">
        <v>12</v>
      </c>
      <c r="K1388" t="s">
        <v>87</v>
      </c>
      <c r="L1388" t="s">
        <v>17</v>
      </c>
      <c r="M1388" t="s">
        <v>6</v>
      </c>
      <c r="N1388" t="b">
        <v>0</v>
      </c>
      <c r="O1388">
        <v>0</v>
      </c>
      <c r="P1388">
        <v>1</v>
      </c>
      <c r="Q1388">
        <v>0</v>
      </c>
      <c r="R1388">
        <v>0</v>
      </c>
    </row>
    <row r="1389" spans="1:18" x14ac:dyDescent="0.25">
      <c r="A1389" t="s">
        <v>436</v>
      </c>
      <c r="B1389" t="s">
        <v>8</v>
      </c>
      <c r="C1389">
        <v>4</v>
      </c>
      <c r="D1389">
        <v>1</v>
      </c>
      <c r="E1389">
        <v>1</v>
      </c>
      <c r="F1389" s="15">
        <v>46013</v>
      </c>
      <c r="G1389" t="s">
        <v>115</v>
      </c>
      <c r="H1389">
        <v>4</v>
      </c>
      <c r="I1389">
        <v>2025</v>
      </c>
      <c r="J1389">
        <v>12</v>
      </c>
      <c r="K1389" t="s">
        <v>87</v>
      </c>
      <c r="L1389" t="s">
        <v>13</v>
      </c>
      <c r="M1389" t="s">
        <v>6</v>
      </c>
      <c r="N1389" t="b">
        <v>0</v>
      </c>
      <c r="O1389">
        <v>1</v>
      </c>
      <c r="P1389">
        <v>0</v>
      </c>
      <c r="Q1389">
        <v>0</v>
      </c>
      <c r="R1389">
        <v>0</v>
      </c>
    </row>
    <row r="1390" spans="1:18" x14ac:dyDescent="0.25">
      <c r="A1390" t="s">
        <v>436</v>
      </c>
      <c r="B1390" t="s">
        <v>8</v>
      </c>
      <c r="C1390">
        <v>4</v>
      </c>
      <c r="D1390">
        <v>1</v>
      </c>
      <c r="E1390">
        <v>1</v>
      </c>
      <c r="F1390" s="15">
        <v>46013</v>
      </c>
      <c r="G1390" t="s">
        <v>115</v>
      </c>
      <c r="H1390">
        <v>4</v>
      </c>
      <c r="I1390">
        <v>2025</v>
      </c>
      <c r="J1390">
        <v>12</v>
      </c>
      <c r="K1390" t="s">
        <v>87</v>
      </c>
      <c r="L1390" t="s">
        <v>15</v>
      </c>
      <c r="M1390" t="s">
        <v>6</v>
      </c>
      <c r="N1390" t="b">
        <v>0</v>
      </c>
      <c r="O1390">
        <v>1</v>
      </c>
      <c r="P1390">
        <v>0</v>
      </c>
      <c r="Q1390">
        <v>0</v>
      </c>
      <c r="R1390">
        <v>0</v>
      </c>
    </row>
    <row r="1391" spans="1:18" x14ac:dyDescent="0.25">
      <c r="A1391" t="s">
        <v>436</v>
      </c>
      <c r="B1391" t="s">
        <v>8</v>
      </c>
      <c r="C1391">
        <v>4</v>
      </c>
      <c r="D1391">
        <v>1</v>
      </c>
      <c r="E1391">
        <v>1</v>
      </c>
      <c r="F1391" s="15">
        <v>46013</v>
      </c>
      <c r="G1391" t="s">
        <v>115</v>
      </c>
      <c r="H1391">
        <v>4</v>
      </c>
      <c r="I1391">
        <v>2025</v>
      </c>
      <c r="J1391">
        <v>12</v>
      </c>
      <c r="K1391" t="s">
        <v>87</v>
      </c>
      <c r="L1391" t="s">
        <v>17</v>
      </c>
      <c r="M1391" t="s">
        <v>6</v>
      </c>
      <c r="N1391" t="b">
        <v>0</v>
      </c>
      <c r="O1391">
        <v>1</v>
      </c>
      <c r="P1391">
        <v>0</v>
      </c>
      <c r="Q1391">
        <v>0</v>
      </c>
      <c r="R1391">
        <v>0</v>
      </c>
    </row>
    <row r="1392" spans="1:18" x14ac:dyDescent="0.25">
      <c r="A1392" t="s">
        <v>15</v>
      </c>
      <c r="B1392" t="s">
        <v>6</v>
      </c>
      <c r="C1392">
        <v>1</v>
      </c>
      <c r="D1392">
        <v>1</v>
      </c>
      <c r="E1392">
        <v>1</v>
      </c>
      <c r="F1392" s="15">
        <v>46013</v>
      </c>
      <c r="G1392" t="s">
        <v>115</v>
      </c>
      <c r="H1392">
        <v>4</v>
      </c>
      <c r="I1392">
        <v>2025</v>
      </c>
      <c r="J1392">
        <v>12</v>
      </c>
      <c r="K1392" t="s">
        <v>87</v>
      </c>
      <c r="L1392" t="s">
        <v>13</v>
      </c>
      <c r="M1392" t="s">
        <v>6</v>
      </c>
      <c r="N1392" t="b">
        <v>0</v>
      </c>
      <c r="O1392">
        <v>0</v>
      </c>
      <c r="P1392">
        <v>1</v>
      </c>
      <c r="Q1392">
        <v>0</v>
      </c>
      <c r="R1392">
        <v>0</v>
      </c>
    </row>
    <row r="1393" spans="1:18" x14ac:dyDescent="0.25">
      <c r="A1393" t="s">
        <v>15</v>
      </c>
      <c r="B1393" t="s">
        <v>6</v>
      </c>
      <c r="C1393">
        <v>1</v>
      </c>
      <c r="D1393">
        <v>1</v>
      </c>
      <c r="E1393">
        <v>1</v>
      </c>
      <c r="F1393" s="15">
        <v>46013</v>
      </c>
      <c r="G1393" t="s">
        <v>115</v>
      </c>
      <c r="H1393">
        <v>4</v>
      </c>
      <c r="I1393">
        <v>2025</v>
      </c>
      <c r="J1393">
        <v>12</v>
      </c>
      <c r="K1393" t="s">
        <v>87</v>
      </c>
      <c r="L1393" t="s">
        <v>436</v>
      </c>
      <c r="M1393" t="s">
        <v>8</v>
      </c>
      <c r="N1393" t="b">
        <v>0</v>
      </c>
      <c r="O1393">
        <v>0</v>
      </c>
      <c r="P1393">
        <v>1</v>
      </c>
      <c r="Q1393">
        <v>0</v>
      </c>
      <c r="R1393">
        <v>1</v>
      </c>
    </row>
    <row r="1394" spans="1:18" x14ac:dyDescent="0.25">
      <c r="A1394" t="s">
        <v>15</v>
      </c>
      <c r="B1394" t="s">
        <v>6</v>
      </c>
      <c r="C1394">
        <v>1</v>
      </c>
      <c r="D1394">
        <v>1</v>
      </c>
      <c r="E1394">
        <v>1</v>
      </c>
      <c r="F1394" s="15">
        <v>46013</v>
      </c>
      <c r="G1394" t="s">
        <v>115</v>
      </c>
      <c r="H1394">
        <v>4</v>
      </c>
      <c r="I1394">
        <v>2025</v>
      </c>
      <c r="J1394">
        <v>12</v>
      </c>
      <c r="K1394" t="s">
        <v>87</v>
      </c>
      <c r="L1394" t="s">
        <v>17</v>
      </c>
      <c r="M1394" t="s">
        <v>6</v>
      </c>
      <c r="N1394" t="b">
        <v>0</v>
      </c>
      <c r="O1394">
        <v>0</v>
      </c>
      <c r="P1394">
        <v>1</v>
      </c>
      <c r="Q1394">
        <v>0</v>
      </c>
      <c r="R1394">
        <v>0</v>
      </c>
    </row>
    <row r="1395" spans="1:18" x14ac:dyDescent="0.25">
      <c r="A1395" t="s">
        <v>17</v>
      </c>
      <c r="B1395" t="s">
        <v>6</v>
      </c>
      <c r="C1395">
        <v>2</v>
      </c>
      <c r="D1395">
        <v>1</v>
      </c>
      <c r="E1395">
        <v>1</v>
      </c>
      <c r="F1395" s="15">
        <v>46013</v>
      </c>
      <c r="G1395" t="s">
        <v>115</v>
      </c>
      <c r="H1395">
        <v>4</v>
      </c>
      <c r="I1395">
        <v>2025</v>
      </c>
      <c r="J1395">
        <v>12</v>
      </c>
      <c r="K1395" t="s">
        <v>87</v>
      </c>
      <c r="L1395" t="s">
        <v>13</v>
      </c>
      <c r="M1395" t="s">
        <v>6</v>
      </c>
      <c r="N1395" t="b">
        <v>0</v>
      </c>
      <c r="O1395">
        <v>0</v>
      </c>
      <c r="P1395">
        <v>1</v>
      </c>
      <c r="Q1395">
        <v>0</v>
      </c>
      <c r="R1395">
        <v>0</v>
      </c>
    </row>
    <row r="1396" spans="1:18" x14ac:dyDescent="0.25">
      <c r="A1396" t="s">
        <v>17</v>
      </c>
      <c r="B1396" t="s">
        <v>6</v>
      </c>
      <c r="C1396">
        <v>2</v>
      </c>
      <c r="D1396">
        <v>1</v>
      </c>
      <c r="E1396">
        <v>1</v>
      </c>
      <c r="F1396" s="15">
        <v>46013</v>
      </c>
      <c r="G1396" t="s">
        <v>115</v>
      </c>
      <c r="H1396">
        <v>4</v>
      </c>
      <c r="I1396">
        <v>2025</v>
      </c>
      <c r="J1396">
        <v>12</v>
      </c>
      <c r="K1396" t="s">
        <v>87</v>
      </c>
      <c r="L1396" t="s">
        <v>436</v>
      </c>
      <c r="M1396" t="s">
        <v>8</v>
      </c>
      <c r="N1396" t="b">
        <v>0</v>
      </c>
      <c r="O1396">
        <v>0</v>
      </c>
      <c r="P1396">
        <v>1</v>
      </c>
      <c r="Q1396">
        <v>0</v>
      </c>
      <c r="R1396">
        <v>1</v>
      </c>
    </row>
    <row r="1397" spans="1:18" x14ac:dyDescent="0.25">
      <c r="A1397" t="s">
        <v>17</v>
      </c>
      <c r="B1397" t="s">
        <v>6</v>
      </c>
      <c r="C1397">
        <v>2</v>
      </c>
      <c r="D1397">
        <v>1</v>
      </c>
      <c r="E1397">
        <v>1</v>
      </c>
      <c r="F1397" s="15">
        <v>46013</v>
      </c>
      <c r="G1397" t="s">
        <v>115</v>
      </c>
      <c r="H1397">
        <v>4</v>
      </c>
      <c r="I1397">
        <v>2025</v>
      </c>
      <c r="J1397">
        <v>12</v>
      </c>
      <c r="K1397" t="s">
        <v>87</v>
      </c>
      <c r="L1397" t="s">
        <v>15</v>
      </c>
      <c r="M1397" t="s">
        <v>6</v>
      </c>
      <c r="N1397" t="b">
        <v>0</v>
      </c>
      <c r="O1397">
        <v>0</v>
      </c>
      <c r="P1397">
        <v>1</v>
      </c>
      <c r="Q1397">
        <v>0</v>
      </c>
      <c r="R1397">
        <v>0</v>
      </c>
    </row>
    <row r="1398" spans="1:18" x14ac:dyDescent="0.25">
      <c r="A1398" t="s">
        <v>13</v>
      </c>
      <c r="B1398" t="s">
        <v>6</v>
      </c>
      <c r="C1398">
        <v>2</v>
      </c>
      <c r="D1398">
        <v>1</v>
      </c>
      <c r="E1398">
        <v>2</v>
      </c>
      <c r="F1398" s="15">
        <v>45894</v>
      </c>
      <c r="G1398" t="s">
        <v>123</v>
      </c>
      <c r="H1398">
        <v>4</v>
      </c>
      <c r="I1398">
        <v>2025</v>
      </c>
      <c r="J1398">
        <v>8</v>
      </c>
      <c r="K1398" t="s">
        <v>87</v>
      </c>
      <c r="L1398" t="s">
        <v>7</v>
      </c>
      <c r="M1398" t="s">
        <v>8</v>
      </c>
      <c r="N1398" t="b">
        <v>0</v>
      </c>
      <c r="O1398">
        <v>0</v>
      </c>
      <c r="P1398">
        <v>1</v>
      </c>
      <c r="Q1398">
        <v>0</v>
      </c>
      <c r="R1398">
        <v>1</v>
      </c>
    </row>
    <row r="1399" spans="1:18" x14ac:dyDescent="0.25">
      <c r="A1399" t="s">
        <v>13</v>
      </c>
      <c r="B1399" t="s">
        <v>6</v>
      </c>
      <c r="C1399">
        <v>2</v>
      </c>
      <c r="D1399">
        <v>1</v>
      </c>
      <c r="E1399">
        <v>2</v>
      </c>
      <c r="F1399" s="15">
        <v>45894</v>
      </c>
      <c r="G1399" t="s">
        <v>123</v>
      </c>
      <c r="H1399">
        <v>4</v>
      </c>
      <c r="I1399">
        <v>2025</v>
      </c>
      <c r="J1399">
        <v>8</v>
      </c>
      <c r="K1399" t="s">
        <v>87</v>
      </c>
      <c r="L1399" t="s">
        <v>41</v>
      </c>
      <c r="M1399" t="s">
        <v>6</v>
      </c>
      <c r="N1399" t="b">
        <v>0</v>
      </c>
      <c r="O1399">
        <v>0</v>
      </c>
      <c r="P1399">
        <v>1</v>
      </c>
      <c r="Q1399">
        <v>0</v>
      </c>
      <c r="R1399">
        <v>0</v>
      </c>
    </row>
    <row r="1400" spans="1:18" x14ac:dyDescent="0.25">
      <c r="A1400" t="s">
        <v>13</v>
      </c>
      <c r="B1400" t="s">
        <v>6</v>
      </c>
      <c r="C1400">
        <v>2</v>
      </c>
      <c r="D1400">
        <v>1</v>
      </c>
      <c r="E1400">
        <v>2</v>
      </c>
      <c r="F1400" s="15">
        <v>45894</v>
      </c>
      <c r="G1400" t="s">
        <v>123</v>
      </c>
      <c r="H1400">
        <v>4</v>
      </c>
      <c r="I1400">
        <v>2025</v>
      </c>
      <c r="J1400">
        <v>8</v>
      </c>
      <c r="K1400" t="s">
        <v>87</v>
      </c>
      <c r="L1400" t="s">
        <v>47</v>
      </c>
      <c r="M1400" t="s">
        <v>6</v>
      </c>
      <c r="N1400" t="b">
        <v>0</v>
      </c>
      <c r="O1400">
        <v>0</v>
      </c>
      <c r="P1400">
        <v>1</v>
      </c>
      <c r="Q1400">
        <v>0</v>
      </c>
      <c r="R1400">
        <v>0</v>
      </c>
    </row>
    <row r="1401" spans="1:18" x14ac:dyDescent="0.25">
      <c r="A1401" t="s">
        <v>7</v>
      </c>
      <c r="B1401" t="s">
        <v>8</v>
      </c>
      <c r="C1401">
        <v>1</v>
      </c>
      <c r="D1401">
        <v>1</v>
      </c>
      <c r="E1401">
        <v>2</v>
      </c>
      <c r="F1401" s="15">
        <v>45894</v>
      </c>
      <c r="G1401" t="s">
        <v>123</v>
      </c>
      <c r="H1401">
        <v>4</v>
      </c>
      <c r="I1401">
        <v>2025</v>
      </c>
      <c r="J1401">
        <v>8</v>
      </c>
      <c r="K1401" t="s">
        <v>87</v>
      </c>
      <c r="L1401" t="s">
        <v>13</v>
      </c>
      <c r="M1401" t="s">
        <v>6</v>
      </c>
      <c r="N1401" t="b">
        <v>0</v>
      </c>
      <c r="O1401">
        <v>1</v>
      </c>
      <c r="P1401">
        <v>0</v>
      </c>
      <c r="Q1401">
        <v>0</v>
      </c>
      <c r="R1401">
        <v>0</v>
      </c>
    </row>
    <row r="1402" spans="1:18" x14ac:dyDescent="0.25">
      <c r="A1402" t="s">
        <v>7</v>
      </c>
      <c r="B1402" t="s">
        <v>8</v>
      </c>
      <c r="C1402">
        <v>1</v>
      </c>
      <c r="D1402">
        <v>1</v>
      </c>
      <c r="E1402">
        <v>2</v>
      </c>
      <c r="F1402" s="15">
        <v>45894</v>
      </c>
      <c r="G1402" t="s">
        <v>123</v>
      </c>
      <c r="H1402">
        <v>4</v>
      </c>
      <c r="I1402">
        <v>2025</v>
      </c>
      <c r="J1402">
        <v>8</v>
      </c>
      <c r="K1402" t="s">
        <v>87</v>
      </c>
      <c r="L1402" t="s">
        <v>41</v>
      </c>
      <c r="M1402" t="s">
        <v>6</v>
      </c>
      <c r="N1402" t="b">
        <v>0</v>
      </c>
      <c r="O1402">
        <v>1</v>
      </c>
      <c r="P1402">
        <v>0</v>
      </c>
      <c r="Q1402">
        <v>0</v>
      </c>
      <c r="R1402">
        <v>0</v>
      </c>
    </row>
    <row r="1403" spans="1:18" x14ac:dyDescent="0.25">
      <c r="A1403" t="s">
        <v>7</v>
      </c>
      <c r="B1403" t="s">
        <v>8</v>
      </c>
      <c r="C1403">
        <v>1</v>
      </c>
      <c r="D1403">
        <v>1</v>
      </c>
      <c r="E1403">
        <v>2</v>
      </c>
      <c r="F1403" s="15">
        <v>45894</v>
      </c>
      <c r="G1403" t="s">
        <v>123</v>
      </c>
      <c r="H1403">
        <v>4</v>
      </c>
      <c r="I1403">
        <v>2025</v>
      </c>
      <c r="J1403">
        <v>8</v>
      </c>
      <c r="K1403" t="s">
        <v>87</v>
      </c>
      <c r="L1403" t="s">
        <v>47</v>
      </c>
      <c r="M1403" t="s">
        <v>6</v>
      </c>
      <c r="N1403" t="b">
        <v>0</v>
      </c>
      <c r="O1403">
        <v>1</v>
      </c>
      <c r="P1403">
        <v>0</v>
      </c>
      <c r="Q1403">
        <v>0</v>
      </c>
      <c r="R1403">
        <v>0</v>
      </c>
    </row>
    <row r="1404" spans="1:18" x14ac:dyDescent="0.25">
      <c r="A1404" t="s">
        <v>41</v>
      </c>
      <c r="B1404" t="s">
        <v>6</v>
      </c>
      <c r="C1404">
        <v>3</v>
      </c>
      <c r="D1404">
        <v>1</v>
      </c>
      <c r="E1404">
        <v>2</v>
      </c>
      <c r="F1404" s="15">
        <v>45894</v>
      </c>
      <c r="G1404" t="s">
        <v>123</v>
      </c>
      <c r="H1404">
        <v>4</v>
      </c>
      <c r="I1404">
        <v>2025</v>
      </c>
      <c r="J1404">
        <v>8</v>
      </c>
      <c r="K1404" t="s">
        <v>87</v>
      </c>
      <c r="L1404" t="s">
        <v>13</v>
      </c>
      <c r="M1404" t="s">
        <v>6</v>
      </c>
      <c r="N1404" t="b">
        <v>0</v>
      </c>
      <c r="O1404">
        <v>0</v>
      </c>
      <c r="P1404">
        <v>1</v>
      </c>
      <c r="Q1404">
        <v>0</v>
      </c>
      <c r="R1404">
        <v>0</v>
      </c>
    </row>
    <row r="1405" spans="1:18" x14ac:dyDescent="0.25">
      <c r="A1405" t="s">
        <v>41</v>
      </c>
      <c r="B1405" t="s">
        <v>6</v>
      </c>
      <c r="C1405">
        <v>3</v>
      </c>
      <c r="D1405">
        <v>1</v>
      </c>
      <c r="E1405">
        <v>2</v>
      </c>
      <c r="F1405" s="15">
        <v>45894</v>
      </c>
      <c r="G1405" t="s">
        <v>123</v>
      </c>
      <c r="H1405">
        <v>4</v>
      </c>
      <c r="I1405">
        <v>2025</v>
      </c>
      <c r="J1405">
        <v>8</v>
      </c>
      <c r="K1405" t="s">
        <v>87</v>
      </c>
      <c r="L1405" t="s">
        <v>7</v>
      </c>
      <c r="M1405" t="s">
        <v>8</v>
      </c>
      <c r="N1405" t="b">
        <v>0</v>
      </c>
      <c r="O1405">
        <v>0</v>
      </c>
      <c r="P1405">
        <v>1</v>
      </c>
      <c r="Q1405">
        <v>0</v>
      </c>
      <c r="R1405">
        <v>1</v>
      </c>
    </row>
    <row r="1406" spans="1:18" x14ac:dyDescent="0.25">
      <c r="A1406" t="s">
        <v>41</v>
      </c>
      <c r="B1406" t="s">
        <v>6</v>
      </c>
      <c r="C1406">
        <v>3</v>
      </c>
      <c r="D1406">
        <v>1</v>
      </c>
      <c r="E1406">
        <v>2</v>
      </c>
      <c r="F1406" s="15">
        <v>45894</v>
      </c>
      <c r="G1406" t="s">
        <v>123</v>
      </c>
      <c r="H1406">
        <v>4</v>
      </c>
      <c r="I1406">
        <v>2025</v>
      </c>
      <c r="J1406">
        <v>8</v>
      </c>
      <c r="K1406" t="s">
        <v>87</v>
      </c>
      <c r="L1406" t="s">
        <v>47</v>
      </c>
      <c r="M1406" t="s">
        <v>6</v>
      </c>
      <c r="N1406" t="b">
        <v>0</v>
      </c>
      <c r="O1406">
        <v>0</v>
      </c>
      <c r="P1406">
        <v>1</v>
      </c>
      <c r="Q1406">
        <v>0</v>
      </c>
      <c r="R1406">
        <v>0</v>
      </c>
    </row>
    <row r="1407" spans="1:18" x14ac:dyDescent="0.25">
      <c r="A1407" t="s">
        <v>47</v>
      </c>
      <c r="B1407" t="s">
        <v>6</v>
      </c>
      <c r="C1407">
        <v>4</v>
      </c>
      <c r="D1407">
        <v>1</v>
      </c>
      <c r="E1407">
        <v>2</v>
      </c>
      <c r="F1407" s="15">
        <v>45894</v>
      </c>
      <c r="G1407" t="s">
        <v>123</v>
      </c>
      <c r="H1407">
        <v>4</v>
      </c>
      <c r="I1407">
        <v>2025</v>
      </c>
      <c r="J1407">
        <v>8</v>
      </c>
      <c r="K1407" t="s">
        <v>87</v>
      </c>
      <c r="L1407" t="s">
        <v>13</v>
      </c>
      <c r="M1407" t="s">
        <v>6</v>
      </c>
      <c r="N1407" t="b">
        <v>0</v>
      </c>
      <c r="O1407">
        <v>0</v>
      </c>
      <c r="P1407">
        <v>1</v>
      </c>
      <c r="Q1407">
        <v>0</v>
      </c>
      <c r="R1407">
        <v>0</v>
      </c>
    </row>
    <row r="1408" spans="1:18" x14ac:dyDescent="0.25">
      <c r="A1408" t="s">
        <v>47</v>
      </c>
      <c r="B1408" t="s">
        <v>6</v>
      </c>
      <c r="C1408">
        <v>4</v>
      </c>
      <c r="D1408">
        <v>1</v>
      </c>
      <c r="E1408">
        <v>2</v>
      </c>
      <c r="F1408" s="15">
        <v>45894</v>
      </c>
      <c r="G1408" t="s">
        <v>123</v>
      </c>
      <c r="H1408">
        <v>4</v>
      </c>
      <c r="I1408">
        <v>2025</v>
      </c>
      <c r="J1408">
        <v>8</v>
      </c>
      <c r="K1408" t="s">
        <v>87</v>
      </c>
      <c r="L1408" t="s">
        <v>7</v>
      </c>
      <c r="M1408" t="s">
        <v>8</v>
      </c>
      <c r="N1408" t="b">
        <v>0</v>
      </c>
      <c r="O1408">
        <v>0</v>
      </c>
      <c r="P1408">
        <v>1</v>
      </c>
      <c r="Q1408">
        <v>0</v>
      </c>
      <c r="R1408">
        <v>1</v>
      </c>
    </row>
    <row r="1409" spans="1:18" x14ac:dyDescent="0.25">
      <c r="A1409" t="s">
        <v>47</v>
      </c>
      <c r="B1409" t="s">
        <v>6</v>
      </c>
      <c r="C1409">
        <v>4</v>
      </c>
      <c r="D1409">
        <v>1</v>
      </c>
      <c r="E1409">
        <v>2</v>
      </c>
      <c r="F1409" s="15">
        <v>45894</v>
      </c>
      <c r="G1409" t="s">
        <v>123</v>
      </c>
      <c r="H1409">
        <v>4</v>
      </c>
      <c r="I1409">
        <v>2025</v>
      </c>
      <c r="J1409">
        <v>8</v>
      </c>
      <c r="K1409" t="s">
        <v>87</v>
      </c>
      <c r="L1409" t="s">
        <v>41</v>
      </c>
      <c r="M1409" t="s">
        <v>6</v>
      </c>
      <c r="N1409" t="b">
        <v>0</v>
      </c>
      <c r="O1409">
        <v>0</v>
      </c>
      <c r="P1409">
        <v>1</v>
      </c>
      <c r="Q1409">
        <v>0</v>
      </c>
      <c r="R1409">
        <v>0</v>
      </c>
    </row>
    <row r="1410" spans="1:18" x14ac:dyDescent="0.25">
      <c r="A1410" t="s">
        <v>13</v>
      </c>
      <c r="B1410" t="s">
        <v>6</v>
      </c>
      <c r="C1410">
        <v>4</v>
      </c>
      <c r="D1410">
        <v>2</v>
      </c>
      <c r="E1410">
        <v>1</v>
      </c>
      <c r="F1410" s="15">
        <v>45922</v>
      </c>
      <c r="G1410" t="s">
        <v>150</v>
      </c>
      <c r="H1410">
        <v>4</v>
      </c>
      <c r="I1410">
        <v>2025</v>
      </c>
      <c r="J1410">
        <v>9</v>
      </c>
      <c r="K1410" t="s">
        <v>87</v>
      </c>
      <c r="L1410" t="s">
        <v>436</v>
      </c>
      <c r="M1410" t="s">
        <v>6</v>
      </c>
      <c r="N1410" t="b">
        <v>0</v>
      </c>
      <c r="O1410">
        <v>0</v>
      </c>
      <c r="P1410">
        <v>1</v>
      </c>
      <c r="Q1410">
        <v>0</v>
      </c>
      <c r="R1410">
        <v>0</v>
      </c>
    </row>
    <row r="1411" spans="1:18" x14ac:dyDescent="0.25">
      <c r="A1411" t="s">
        <v>13</v>
      </c>
      <c r="B1411" t="s">
        <v>6</v>
      </c>
      <c r="C1411">
        <v>4</v>
      </c>
      <c r="D1411">
        <v>2</v>
      </c>
      <c r="E1411">
        <v>1</v>
      </c>
      <c r="F1411" s="15">
        <v>45922</v>
      </c>
      <c r="G1411" t="s">
        <v>150</v>
      </c>
      <c r="H1411">
        <v>4</v>
      </c>
      <c r="I1411">
        <v>2025</v>
      </c>
      <c r="J1411">
        <v>9</v>
      </c>
      <c r="K1411" t="s">
        <v>87</v>
      </c>
      <c r="L1411" t="s">
        <v>20</v>
      </c>
      <c r="M1411" t="s">
        <v>8</v>
      </c>
      <c r="N1411" t="b">
        <v>0</v>
      </c>
      <c r="O1411">
        <v>0</v>
      </c>
      <c r="P1411">
        <v>1</v>
      </c>
      <c r="Q1411">
        <v>0</v>
      </c>
      <c r="R1411">
        <v>1</v>
      </c>
    </row>
    <row r="1412" spans="1:18" x14ac:dyDescent="0.25">
      <c r="A1412" t="s">
        <v>13</v>
      </c>
      <c r="B1412" t="s">
        <v>6</v>
      </c>
      <c r="C1412">
        <v>4</v>
      </c>
      <c r="D1412">
        <v>2</v>
      </c>
      <c r="E1412">
        <v>1</v>
      </c>
      <c r="F1412" s="15">
        <v>45922</v>
      </c>
      <c r="G1412" t="s">
        <v>150</v>
      </c>
      <c r="H1412">
        <v>4</v>
      </c>
      <c r="I1412">
        <v>2025</v>
      </c>
      <c r="J1412">
        <v>9</v>
      </c>
      <c r="K1412" t="s">
        <v>87</v>
      </c>
      <c r="L1412" t="s">
        <v>352</v>
      </c>
      <c r="M1412" t="s">
        <v>6</v>
      </c>
      <c r="N1412" t="b">
        <v>0</v>
      </c>
      <c r="O1412">
        <v>0</v>
      </c>
      <c r="P1412">
        <v>1</v>
      </c>
      <c r="Q1412">
        <v>0</v>
      </c>
      <c r="R1412">
        <v>0</v>
      </c>
    </row>
    <row r="1413" spans="1:18" x14ac:dyDescent="0.25">
      <c r="A1413" t="s">
        <v>436</v>
      </c>
      <c r="B1413" t="s">
        <v>6</v>
      </c>
      <c r="C1413">
        <v>2</v>
      </c>
      <c r="D1413">
        <v>2</v>
      </c>
      <c r="E1413">
        <v>1</v>
      </c>
      <c r="F1413" s="15">
        <v>45922</v>
      </c>
      <c r="G1413" t="s">
        <v>150</v>
      </c>
      <c r="H1413">
        <v>4</v>
      </c>
      <c r="I1413">
        <v>2025</v>
      </c>
      <c r="J1413">
        <v>9</v>
      </c>
      <c r="K1413" t="s">
        <v>87</v>
      </c>
      <c r="L1413" t="s">
        <v>13</v>
      </c>
      <c r="M1413" t="s">
        <v>6</v>
      </c>
      <c r="N1413" t="b">
        <v>0</v>
      </c>
      <c r="O1413">
        <v>0</v>
      </c>
      <c r="P1413">
        <v>1</v>
      </c>
      <c r="Q1413">
        <v>0</v>
      </c>
      <c r="R1413">
        <v>0</v>
      </c>
    </row>
    <row r="1414" spans="1:18" x14ac:dyDescent="0.25">
      <c r="A1414" t="s">
        <v>436</v>
      </c>
      <c r="B1414" t="s">
        <v>6</v>
      </c>
      <c r="C1414">
        <v>2</v>
      </c>
      <c r="D1414">
        <v>2</v>
      </c>
      <c r="E1414">
        <v>1</v>
      </c>
      <c r="F1414" s="15">
        <v>45922</v>
      </c>
      <c r="G1414" t="s">
        <v>150</v>
      </c>
      <c r="H1414">
        <v>4</v>
      </c>
      <c r="I1414">
        <v>2025</v>
      </c>
      <c r="J1414">
        <v>9</v>
      </c>
      <c r="K1414" t="s">
        <v>87</v>
      </c>
      <c r="L1414" t="s">
        <v>20</v>
      </c>
      <c r="M1414" t="s">
        <v>8</v>
      </c>
      <c r="N1414" t="b">
        <v>0</v>
      </c>
      <c r="O1414">
        <v>0</v>
      </c>
      <c r="P1414">
        <v>1</v>
      </c>
      <c r="Q1414">
        <v>0</v>
      </c>
      <c r="R1414">
        <v>1</v>
      </c>
    </row>
    <row r="1415" spans="1:18" x14ac:dyDescent="0.25">
      <c r="A1415" t="s">
        <v>436</v>
      </c>
      <c r="B1415" t="s">
        <v>6</v>
      </c>
      <c r="C1415">
        <v>2</v>
      </c>
      <c r="D1415">
        <v>2</v>
      </c>
      <c r="E1415">
        <v>1</v>
      </c>
      <c r="F1415" s="15">
        <v>45922</v>
      </c>
      <c r="G1415" t="s">
        <v>150</v>
      </c>
      <c r="H1415">
        <v>4</v>
      </c>
      <c r="I1415">
        <v>2025</v>
      </c>
      <c r="J1415">
        <v>9</v>
      </c>
      <c r="K1415" t="s">
        <v>87</v>
      </c>
      <c r="L1415" t="s">
        <v>352</v>
      </c>
      <c r="M1415" t="s">
        <v>6</v>
      </c>
      <c r="N1415" t="b">
        <v>0</v>
      </c>
      <c r="O1415">
        <v>0</v>
      </c>
      <c r="P1415">
        <v>1</v>
      </c>
      <c r="Q1415">
        <v>0</v>
      </c>
      <c r="R1415">
        <v>0</v>
      </c>
    </row>
    <row r="1416" spans="1:18" x14ac:dyDescent="0.25">
      <c r="A1416" t="s">
        <v>20</v>
      </c>
      <c r="B1416" t="s">
        <v>8</v>
      </c>
      <c r="C1416">
        <v>1</v>
      </c>
      <c r="D1416">
        <v>2</v>
      </c>
      <c r="E1416">
        <v>1</v>
      </c>
      <c r="F1416" s="15">
        <v>45922</v>
      </c>
      <c r="G1416" t="s">
        <v>150</v>
      </c>
      <c r="H1416">
        <v>4</v>
      </c>
      <c r="I1416">
        <v>2025</v>
      </c>
      <c r="J1416">
        <v>9</v>
      </c>
      <c r="K1416" t="s">
        <v>87</v>
      </c>
      <c r="L1416" t="s">
        <v>13</v>
      </c>
      <c r="M1416" t="s">
        <v>6</v>
      </c>
      <c r="N1416" t="b">
        <v>0</v>
      </c>
      <c r="O1416">
        <v>1</v>
      </c>
      <c r="P1416">
        <v>0</v>
      </c>
      <c r="Q1416">
        <v>0</v>
      </c>
      <c r="R1416">
        <v>0</v>
      </c>
    </row>
    <row r="1417" spans="1:18" x14ac:dyDescent="0.25">
      <c r="A1417" t="s">
        <v>20</v>
      </c>
      <c r="B1417" t="s">
        <v>8</v>
      </c>
      <c r="C1417">
        <v>1</v>
      </c>
      <c r="D1417">
        <v>2</v>
      </c>
      <c r="E1417">
        <v>1</v>
      </c>
      <c r="F1417" s="15">
        <v>45922</v>
      </c>
      <c r="G1417" t="s">
        <v>150</v>
      </c>
      <c r="H1417">
        <v>4</v>
      </c>
      <c r="I1417">
        <v>2025</v>
      </c>
      <c r="J1417">
        <v>9</v>
      </c>
      <c r="K1417" t="s">
        <v>87</v>
      </c>
      <c r="L1417" t="s">
        <v>436</v>
      </c>
      <c r="M1417" t="s">
        <v>6</v>
      </c>
      <c r="N1417" t="b">
        <v>0</v>
      </c>
      <c r="O1417">
        <v>1</v>
      </c>
      <c r="P1417">
        <v>0</v>
      </c>
      <c r="Q1417">
        <v>0</v>
      </c>
      <c r="R1417">
        <v>0</v>
      </c>
    </row>
    <row r="1418" spans="1:18" x14ac:dyDescent="0.25">
      <c r="A1418" t="s">
        <v>20</v>
      </c>
      <c r="B1418" t="s">
        <v>8</v>
      </c>
      <c r="C1418">
        <v>1</v>
      </c>
      <c r="D1418">
        <v>2</v>
      </c>
      <c r="E1418">
        <v>1</v>
      </c>
      <c r="F1418" s="15">
        <v>45922</v>
      </c>
      <c r="G1418" t="s">
        <v>150</v>
      </c>
      <c r="H1418">
        <v>4</v>
      </c>
      <c r="I1418">
        <v>2025</v>
      </c>
      <c r="J1418">
        <v>9</v>
      </c>
      <c r="K1418" t="s">
        <v>87</v>
      </c>
      <c r="L1418" t="s">
        <v>352</v>
      </c>
      <c r="M1418" t="s">
        <v>6</v>
      </c>
      <c r="N1418" t="b">
        <v>0</v>
      </c>
      <c r="O1418">
        <v>1</v>
      </c>
      <c r="P1418">
        <v>0</v>
      </c>
      <c r="Q1418">
        <v>0</v>
      </c>
      <c r="R1418">
        <v>0</v>
      </c>
    </row>
    <row r="1419" spans="1:18" x14ac:dyDescent="0.25">
      <c r="A1419" t="s">
        <v>352</v>
      </c>
      <c r="B1419" t="s">
        <v>6</v>
      </c>
      <c r="C1419">
        <v>3</v>
      </c>
      <c r="D1419">
        <v>2</v>
      </c>
      <c r="E1419">
        <v>1</v>
      </c>
      <c r="F1419" s="15">
        <v>45922</v>
      </c>
      <c r="G1419" t="s">
        <v>150</v>
      </c>
      <c r="H1419">
        <v>4</v>
      </c>
      <c r="I1419">
        <v>2025</v>
      </c>
      <c r="J1419">
        <v>9</v>
      </c>
      <c r="K1419" t="s">
        <v>87</v>
      </c>
      <c r="L1419" t="s">
        <v>13</v>
      </c>
      <c r="M1419" t="s">
        <v>6</v>
      </c>
      <c r="N1419" t="b">
        <v>0</v>
      </c>
      <c r="O1419">
        <v>0</v>
      </c>
      <c r="P1419">
        <v>1</v>
      </c>
      <c r="Q1419">
        <v>0</v>
      </c>
      <c r="R1419">
        <v>0</v>
      </c>
    </row>
    <row r="1420" spans="1:18" x14ac:dyDescent="0.25">
      <c r="A1420" t="s">
        <v>352</v>
      </c>
      <c r="B1420" t="s">
        <v>6</v>
      </c>
      <c r="C1420">
        <v>3</v>
      </c>
      <c r="D1420">
        <v>2</v>
      </c>
      <c r="E1420">
        <v>1</v>
      </c>
      <c r="F1420" s="15">
        <v>45922</v>
      </c>
      <c r="G1420" t="s">
        <v>150</v>
      </c>
      <c r="H1420">
        <v>4</v>
      </c>
      <c r="I1420">
        <v>2025</v>
      </c>
      <c r="J1420">
        <v>9</v>
      </c>
      <c r="K1420" t="s">
        <v>87</v>
      </c>
      <c r="L1420" t="s">
        <v>436</v>
      </c>
      <c r="M1420" t="s">
        <v>6</v>
      </c>
      <c r="N1420" t="b">
        <v>0</v>
      </c>
      <c r="O1420">
        <v>0</v>
      </c>
      <c r="P1420">
        <v>1</v>
      </c>
      <c r="Q1420">
        <v>0</v>
      </c>
      <c r="R1420">
        <v>0</v>
      </c>
    </row>
    <row r="1421" spans="1:18" x14ac:dyDescent="0.25">
      <c r="A1421" t="s">
        <v>352</v>
      </c>
      <c r="B1421" t="s">
        <v>6</v>
      </c>
      <c r="C1421">
        <v>3</v>
      </c>
      <c r="D1421">
        <v>2</v>
      </c>
      <c r="E1421">
        <v>1</v>
      </c>
      <c r="F1421" s="15">
        <v>45922</v>
      </c>
      <c r="G1421" t="s">
        <v>150</v>
      </c>
      <c r="H1421">
        <v>4</v>
      </c>
      <c r="I1421">
        <v>2025</v>
      </c>
      <c r="J1421">
        <v>9</v>
      </c>
      <c r="K1421" t="s">
        <v>87</v>
      </c>
      <c r="L1421" t="s">
        <v>20</v>
      </c>
      <c r="M1421" t="s">
        <v>8</v>
      </c>
      <c r="N1421" t="b">
        <v>0</v>
      </c>
      <c r="O1421">
        <v>0</v>
      </c>
      <c r="P1421">
        <v>1</v>
      </c>
      <c r="Q1421">
        <v>0</v>
      </c>
      <c r="R1421">
        <v>1</v>
      </c>
    </row>
    <row r="1422" spans="1:18" x14ac:dyDescent="0.25">
      <c r="A1422" t="s">
        <v>13</v>
      </c>
      <c r="B1422" t="s">
        <v>6</v>
      </c>
      <c r="C1422">
        <v>3</v>
      </c>
      <c r="D1422">
        <v>2</v>
      </c>
      <c r="E1422">
        <v>1</v>
      </c>
      <c r="F1422" s="15">
        <v>46006</v>
      </c>
      <c r="G1422" t="s">
        <v>162</v>
      </c>
      <c r="H1422">
        <v>4</v>
      </c>
      <c r="I1422">
        <v>2025</v>
      </c>
      <c r="J1422">
        <v>12</v>
      </c>
      <c r="K1422" t="s">
        <v>87</v>
      </c>
      <c r="L1422" t="s">
        <v>11</v>
      </c>
      <c r="M1422" t="s">
        <v>8</v>
      </c>
      <c r="N1422" t="b">
        <v>0</v>
      </c>
      <c r="O1422">
        <v>0</v>
      </c>
      <c r="P1422">
        <v>1</v>
      </c>
      <c r="Q1422">
        <v>0</v>
      </c>
      <c r="R1422">
        <v>1</v>
      </c>
    </row>
    <row r="1423" spans="1:18" x14ac:dyDescent="0.25">
      <c r="A1423" t="s">
        <v>13</v>
      </c>
      <c r="B1423" t="s">
        <v>6</v>
      </c>
      <c r="C1423">
        <v>3</v>
      </c>
      <c r="D1423">
        <v>2</v>
      </c>
      <c r="E1423">
        <v>1</v>
      </c>
      <c r="F1423" s="15">
        <v>46006</v>
      </c>
      <c r="G1423" t="s">
        <v>162</v>
      </c>
      <c r="H1423">
        <v>4</v>
      </c>
      <c r="I1423">
        <v>2025</v>
      </c>
      <c r="J1423">
        <v>12</v>
      </c>
      <c r="K1423" t="s">
        <v>87</v>
      </c>
      <c r="L1423" t="s">
        <v>12</v>
      </c>
      <c r="M1423" t="s">
        <v>6</v>
      </c>
      <c r="N1423" t="b">
        <v>0</v>
      </c>
      <c r="O1423">
        <v>0</v>
      </c>
      <c r="P1423">
        <v>1</v>
      </c>
      <c r="Q1423">
        <v>0</v>
      </c>
      <c r="R1423">
        <v>0</v>
      </c>
    </row>
    <row r="1424" spans="1:18" x14ac:dyDescent="0.25">
      <c r="A1424" t="s">
        <v>13</v>
      </c>
      <c r="B1424" t="s">
        <v>6</v>
      </c>
      <c r="C1424">
        <v>3</v>
      </c>
      <c r="D1424">
        <v>2</v>
      </c>
      <c r="E1424">
        <v>1</v>
      </c>
      <c r="F1424" s="15">
        <v>46006</v>
      </c>
      <c r="G1424" t="s">
        <v>162</v>
      </c>
      <c r="H1424">
        <v>4</v>
      </c>
      <c r="I1424">
        <v>2025</v>
      </c>
      <c r="J1424">
        <v>12</v>
      </c>
      <c r="K1424" t="s">
        <v>87</v>
      </c>
      <c r="L1424" t="s">
        <v>65</v>
      </c>
      <c r="M1424" t="s">
        <v>6</v>
      </c>
      <c r="N1424" t="b">
        <v>0</v>
      </c>
      <c r="O1424">
        <v>0</v>
      </c>
      <c r="P1424">
        <v>1</v>
      </c>
      <c r="Q1424">
        <v>0</v>
      </c>
      <c r="R1424">
        <v>0</v>
      </c>
    </row>
    <row r="1425" spans="1:18" x14ac:dyDescent="0.25">
      <c r="A1425" t="s">
        <v>11</v>
      </c>
      <c r="B1425" t="s">
        <v>8</v>
      </c>
      <c r="C1425">
        <v>1</v>
      </c>
      <c r="D1425">
        <v>2</v>
      </c>
      <c r="E1425">
        <v>1</v>
      </c>
      <c r="F1425" s="15">
        <v>46006</v>
      </c>
      <c r="G1425" t="s">
        <v>162</v>
      </c>
      <c r="H1425">
        <v>4</v>
      </c>
      <c r="I1425">
        <v>2025</v>
      </c>
      <c r="J1425">
        <v>12</v>
      </c>
      <c r="K1425" t="s">
        <v>87</v>
      </c>
      <c r="L1425" t="s">
        <v>13</v>
      </c>
      <c r="M1425" t="s">
        <v>6</v>
      </c>
      <c r="N1425" t="b">
        <v>0</v>
      </c>
      <c r="O1425">
        <v>1</v>
      </c>
      <c r="P1425">
        <v>0</v>
      </c>
      <c r="Q1425">
        <v>0</v>
      </c>
      <c r="R1425">
        <v>0</v>
      </c>
    </row>
    <row r="1426" spans="1:18" x14ac:dyDescent="0.25">
      <c r="A1426" t="s">
        <v>11</v>
      </c>
      <c r="B1426" t="s">
        <v>8</v>
      </c>
      <c r="C1426">
        <v>1</v>
      </c>
      <c r="D1426">
        <v>2</v>
      </c>
      <c r="E1426">
        <v>1</v>
      </c>
      <c r="F1426" s="15">
        <v>46006</v>
      </c>
      <c r="G1426" t="s">
        <v>162</v>
      </c>
      <c r="H1426">
        <v>4</v>
      </c>
      <c r="I1426">
        <v>2025</v>
      </c>
      <c r="J1426">
        <v>12</v>
      </c>
      <c r="K1426" t="s">
        <v>87</v>
      </c>
      <c r="L1426" t="s">
        <v>12</v>
      </c>
      <c r="M1426" t="s">
        <v>6</v>
      </c>
      <c r="N1426" t="b">
        <v>0</v>
      </c>
      <c r="O1426">
        <v>1</v>
      </c>
      <c r="P1426">
        <v>0</v>
      </c>
      <c r="Q1426">
        <v>0</v>
      </c>
      <c r="R1426">
        <v>0</v>
      </c>
    </row>
    <row r="1427" spans="1:18" x14ac:dyDescent="0.25">
      <c r="A1427" t="s">
        <v>11</v>
      </c>
      <c r="B1427" t="s">
        <v>8</v>
      </c>
      <c r="C1427">
        <v>1</v>
      </c>
      <c r="D1427">
        <v>2</v>
      </c>
      <c r="E1427">
        <v>1</v>
      </c>
      <c r="F1427" s="15">
        <v>46006</v>
      </c>
      <c r="G1427" t="s">
        <v>162</v>
      </c>
      <c r="H1427">
        <v>4</v>
      </c>
      <c r="I1427">
        <v>2025</v>
      </c>
      <c r="J1427">
        <v>12</v>
      </c>
      <c r="K1427" t="s">
        <v>87</v>
      </c>
      <c r="L1427" t="s">
        <v>65</v>
      </c>
      <c r="M1427" t="s">
        <v>6</v>
      </c>
      <c r="N1427" t="b">
        <v>0</v>
      </c>
      <c r="O1427">
        <v>1</v>
      </c>
      <c r="P1427">
        <v>0</v>
      </c>
      <c r="Q1427">
        <v>0</v>
      </c>
      <c r="R1427">
        <v>0</v>
      </c>
    </row>
    <row r="1428" spans="1:18" x14ac:dyDescent="0.25">
      <c r="A1428" t="s">
        <v>12</v>
      </c>
      <c r="B1428" t="s">
        <v>6</v>
      </c>
      <c r="C1428">
        <v>2</v>
      </c>
      <c r="D1428">
        <v>2</v>
      </c>
      <c r="E1428">
        <v>1</v>
      </c>
      <c r="F1428" s="15">
        <v>46006</v>
      </c>
      <c r="G1428" t="s">
        <v>162</v>
      </c>
      <c r="H1428">
        <v>4</v>
      </c>
      <c r="I1428">
        <v>2025</v>
      </c>
      <c r="J1428">
        <v>12</v>
      </c>
      <c r="K1428" t="s">
        <v>87</v>
      </c>
      <c r="L1428" t="s">
        <v>13</v>
      </c>
      <c r="M1428" t="s">
        <v>6</v>
      </c>
      <c r="N1428" t="b">
        <v>0</v>
      </c>
      <c r="O1428">
        <v>0</v>
      </c>
      <c r="P1428">
        <v>1</v>
      </c>
      <c r="Q1428">
        <v>0</v>
      </c>
      <c r="R1428">
        <v>0</v>
      </c>
    </row>
    <row r="1429" spans="1:18" x14ac:dyDescent="0.25">
      <c r="A1429" t="s">
        <v>12</v>
      </c>
      <c r="B1429" t="s">
        <v>6</v>
      </c>
      <c r="C1429">
        <v>2</v>
      </c>
      <c r="D1429">
        <v>2</v>
      </c>
      <c r="E1429">
        <v>1</v>
      </c>
      <c r="F1429" s="15">
        <v>46006</v>
      </c>
      <c r="G1429" t="s">
        <v>162</v>
      </c>
      <c r="H1429">
        <v>4</v>
      </c>
      <c r="I1429">
        <v>2025</v>
      </c>
      <c r="J1429">
        <v>12</v>
      </c>
      <c r="K1429" t="s">
        <v>87</v>
      </c>
      <c r="L1429" t="s">
        <v>11</v>
      </c>
      <c r="M1429" t="s">
        <v>8</v>
      </c>
      <c r="N1429" t="b">
        <v>0</v>
      </c>
      <c r="O1429">
        <v>0</v>
      </c>
      <c r="P1429">
        <v>1</v>
      </c>
      <c r="Q1429">
        <v>0</v>
      </c>
      <c r="R1429">
        <v>1</v>
      </c>
    </row>
    <row r="1430" spans="1:18" x14ac:dyDescent="0.25">
      <c r="A1430" t="s">
        <v>12</v>
      </c>
      <c r="B1430" t="s">
        <v>6</v>
      </c>
      <c r="C1430">
        <v>2</v>
      </c>
      <c r="D1430">
        <v>2</v>
      </c>
      <c r="E1430">
        <v>1</v>
      </c>
      <c r="F1430" s="15">
        <v>46006</v>
      </c>
      <c r="G1430" t="s">
        <v>162</v>
      </c>
      <c r="H1430">
        <v>4</v>
      </c>
      <c r="I1430">
        <v>2025</v>
      </c>
      <c r="J1430">
        <v>12</v>
      </c>
      <c r="K1430" t="s">
        <v>87</v>
      </c>
      <c r="L1430" t="s">
        <v>65</v>
      </c>
      <c r="M1430" t="s">
        <v>6</v>
      </c>
      <c r="N1430" t="b">
        <v>0</v>
      </c>
      <c r="O1430">
        <v>0</v>
      </c>
      <c r="P1430">
        <v>1</v>
      </c>
      <c r="Q1430">
        <v>0</v>
      </c>
      <c r="R1430">
        <v>0</v>
      </c>
    </row>
    <row r="1431" spans="1:18" x14ac:dyDescent="0.25">
      <c r="A1431" t="s">
        <v>65</v>
      </c>
      <c r="B1431" t="s">
        <v>6</v>
      </c>
      <c r="C1431">
        <v>4</v>
      </c>
      <c r="D1431">
        <v>2</v>
      </c>
      <c r="E1431">
        <v>1</v>
      </c>
      <c r="F1431" s="15">
        <v>46006</v>
      </c>
      <c r="G1431" t="s">
        <v>162</v>
      </c>
      <c r="H1431">
        <v>4</v>
      </c>
      <c r="I1431">
        <v>2025</v>
      </c>
      <c r="J1431">
        <v>12</v>
      </c>
      <c r="K1431" t="s">
        <v>87</v>
      </c>
      <c r="L1431" t="s">
        <v>13</v>
      </c>
      <c r="M1431" t="s">
        <v>6</v>
      </c>
      <c r="N1431" t="b">
        <v>0</v>
      </c>
      <c r="O1431">
        <v>0</v>
      </c>
      <c r="P1431">
        <v>1</v>
      </c>
      <c r="Q1431">
        <v>0</v>
      </c>
      <c r="R1431">
        <v>0</v>
      </c>
    </row>
    <row r="1432" spans="1:18" x14ac:dyDescent="0.25">
      <c r="A1432" t="s">
        <v>65</v>
      </c>
      <c r="B1432" t="s">
        <v>6</v>
      </c>
      <c r="C1432">
        <v>4</v>
      </c>
      <c r="D1432">
        <v>2</v>
      </c>
      <c r="E1432">
        <v>1</v>
      </c>
      <c r="F1432" s="15">
        <v>46006</v>
      </c>
      <c r="G1432" t="s">
        <v>162</v>
      </c>
      <c r="H1432">
        <v>4</v>
      </c>
      <c r="I1432">
        <v>2025</v>
      </c>
      <c r="J1432">
        <v>12</v>
      </c>
      <c r="K1432" t="s">
        <v>87</v>
      </c>
      <c r="L1432" t="s">
        <v>11</v>
      </c>
      <c r="M1432" t="s">
        <v>8</v>
      </c>
      <c r="N1432" t="b">
        <v>0</v>
      </c>
      <c r="O1432">
        <v>0</v>
      </c>
      <c r="P1432">
        <v>1</v>
      </c>
      <c r="Q1432">
        <v>0</v>
      </c>
      <c r="R1432">
        <v>1</v>
      </c>
    </row>
    <row r="1433" spans="1:18" x14ac:dyDescent="0.25">
      <c r="A1433" t="s">
        <v>65</v>
      </c>
      <c r="B1433" t="s">
        <v>6</v>
      </c>
      <c r="C1433">
        <v>4</v>
      </c>
      <c r="D1433">
        <v>2</v>
      </c>
      <c r="E1433">
        <v>1</v>
      </c>
      <c r="F1433" s="15">
        <v>46006</v>
      </c>
      <c r="G1433" t="s">
        <v>162</v>
      </c>
      <c r="H1433">
        <v>4</v>
      </c>
      <c r="I1433">
        <v>2025</v>
      </c>
      <c r="J1433">
        <v>12</v>
      </c>
      <c r="K1433" t="s">
        <v>87</v>
      </c>
      <c r="L1433" t="s">
        <v>12</v>
      </c>
      <c r="M1433" t="s">
        <v>6</v>
      </c>
      <c r="N1433" t="b">
        <v>0</v>
      </c>
      <c r="O1433">
        <v>0</v>
      </c>
      <c r="P1433">
        <v>1</v>
      </c>
      <c r="Q1433">
        <v>0</v>
      </c>
      <c r="R1433">
        <v>0</v>
      </c>
    </row>
    <row r="1434" spans="1:18" x14ac:dyDescent="0.25">
      <c r="A1434" t="s">
        <v>13</v>
      </c>
      <c r="B1434" t="s">
        <v>6</v>
      </c>
      <c r="C1434">
        <v>3</v>
      </c>
      <c r="D1434">
        <v>2</v>
      </c>
      <c r="E1434">
        <v>2</v>
      </c>
      <c r="F1434" s="15">
        <v>45943</v>
      </c>
      <c r="G1434" t="s">
        <v>177</v>
      </c>
      <c r="H1434">
        <v>4</v>
      </c>
      <c r="I1434">
        <v>2025</v>
      </c>
      <c r="J1434">
        <v>10</v>
      </c>
      <c r="K1434" t="s">
        <v>87</v>
      </c>
      <c r="L1434" t="s">
        <v>7</v>
      </c>
      <c r="M1434" t="s">
        <v>6</v>
      </c>
      <c r="N1434" t="b">
        <v>0</v>
      </c>
      <c r="O1434">
        <v>0</v>
      </c>
      <c r="P1434">
        <v>1</v>
      </c>
      <c r="Q1434">
        <v>0</v>
      </c>
      <c r="R1434">
        <v>0</v>
      </c>
    </row>
    <row r="1435" spans="1:18" x14ac:dyDescent="0.25">
      <c r="A1435" t="s">
        <v>13</v>
      </c>
      <c r="B1435" t="s">
        <v>6</v>
      </c>
      <c r="C1435">
        <v>3</v>
      </c>
      <c r="D1435">
        <v>2</v>
      </c>
      <c r="E1435">
        <v>2</v>
      </c>
      <c r="F1435" s="15">
        <v>45943</v>
      </c>
      <c r="G1435" t="s">
        <v>177</v>
      </c>
      <c r="H1435">
        <v>4</v>
      </c>
      <c r="I1435">
        <v>2025</v>
      </c>
      <c r="J1435">
        <v>10</v>
      </c>
      <c r="K1435" t="s">
        <v>87</v>
      </c>
      <c r="L1435" t="s">
        <v>22</v>
      </c>
      <c r="M1435" t="s">
        <v>8</v>
      </c>
      <c r="N1435" t="b">
        <v>0</v>
      </c>
      <c r="O1435">
        <v>0</v>
      </c>
      <c r="P1435">
        <v>1</v>
      </c>
      <c r="Q1435">
        <v>0</v>
      </c>
      <c r="R1435">
        <v>1</v>
      </c>
    </row>
    <row r="1436" spans="1:18" x14ac:dyDescent="0.25">
      <c r="A1436" t="s">
        <v>13</v>
      </c>
      <c r="B1436" t="s">
        <v>6</v>
      </c>
      <c r="C1436">
        <v>3</v>
      </c>
      <c r="D1436">
        <v>2</v>
      </c>
      <c r="E1436">
        <v>2</v>
      </c>
      <c r="F1436" s="15">
        <v>45943</v>
      </c>
      <c r="G1436" t="s">
        <v>177</v>
      </c>
      <c r="H1436">
        <v>4</v>
      </c>
      <c r="I1436">
        <v>2025</v>
      </c>
      <c r="J1436">
        <v>10</v>
      </c>
      <c r="K1436" t="s">
        <v>87</v>
      </c>
      <c r="L1436" t="s">
        <v>18</v>
      </c>
      <c r="M1436" t="s">
        <v>6</v>
      </c>
      <c r="N1436" t="b">
        <v>0</v>
      </c>
      <c r="O1436">
        <v>0</v>
      </c>
      <c r="P1436">
        <v>1</v>
      </c>
      <c r="Q1436">
        <v>0</v>
      </c>
      <c r="R1436">
        <v>0</v>
      </c>
    </row>
    <row r="1437" spans="1:18" x14ac:dyDescent="0.25">
      <c r="A1437" t="s">
        <v>7</v>
      </c>
      <c r="B1437" t="s">
        <v>6</v>
      </c>
      <c r="C1437">
        <v>2</v>
      </c>
      <c r="D1437">
        <v>2</v>
      </c>
      <c r="E1437">
        <v>2</v>
      </c>
      <c r="F1437" s="15">
        <v>45943</v>
      </c>
      <c r="G1437" t="s">
        <v>177</v>
      </c>
      <c r="H1437">
        <v>4</v>
      </c>
      <c r="I1437">
        <v>2025</v>
      </c>
      <c r="J1437">
        <v>10</v>
      </c>
      <c r="K1437" t="s">
        <v>87</v>
      </c>
      <c r="L1437" t="s">
        <v>13</v>
      </c>
      <c r="M1437" t="s">
        <v>6</v>
      </c>
      <c r="N1437" t="b">
        <v>0</v>
      </c>
      <c r="O1437">
        <v>0</v>
      </c>
      <c r="P1437">
        <v>1</v>
      </c>
      <c r="Q1437">
        <v>0</v>
      </c>
      <c r="R1437">
        <v>0</v>
      </c>
    </row>
    <row r="1438" spans="1:18" x14ac:dyDescent="0.25">
      <c r="A1438" t="s">
        <v>7</v>
      </c>
      <c r="B1438" t="s">
        <v>6</v>
      </c>
      <c r="C1438">
        <v>2</v>
      </c>
      <c r="D1438">
        <v>2</v>
      </c>
      <c r="E1438">
        <v>2</v>
      </c>
      <c r="F1438" s="15">
        <v>45943</v>
      </c>
      <c r="G1438" t="s">
        <v>177</v>
      </c>
      <c r="H1438">
        <v>4</v>
      </c>
      <c r="I1438">
        <v>2025</v>
      </c>
      <c r="J1438">
        <v>10</v>
      </c>
      <c r="K1438" t="s">
        <v>87</v>
      </c>
      <c r="L1438" t="s">
        <v>22</v>
      </c>
      <c r="M1438" t="s">
        <v>8</v>
      </c>
      <c r="N1438" t="b">
        <v>0</v>
      </c>
      <c r="O1438">
        <v>0</v>
      </c>
      <c r="P1438">
        <v>1</v>
      </c>
      <c r="Q1438">
        <v>0</v>
      </c>
      <c r="R1438">
        <v>1</v>
      </c>
    </row>
    <row r="1439" spans="1:18" x14ac:dyDescent="0.25">
      <c r="A1439" t="s">
        <v>7</v>
      </c>
      <c r="B1439" t="s">
        <v>6</v>
      </c>
      <c r="C1439">
        <v>2</v>
      </c>
      <c r="D1439">
        <v>2</v>
      </c>
      <c r="E1439">
        <v>2</v>
      </c>
      <c r="F1439" s="15">
        <v>45943</v>
      </c>
      <c r="G1439" t="s">
        <v>177</v>
      </c>
      <c r="H1439">
        <v>4</v>
      </c>
      <c r="I1439">
        <v>2025</v>
      </c>
      <c r="J1439">
        <v>10</v>
      </c>
      <c r="K1439" t="s">
        <v>87</v>
      </c>
      <c r="L1439" t="s">
        <v>18</v>
      </c>
      <c r="M1439" t="s">
        <v>6</v>
      </c>
      <c r="N1439" t="b">
        <v>0</v>
      </c>
      <c r="O1439">
        <v>0</v>
      </c>
      <c r="P1439">
        <v>1</v>
      </c>
      <c r="Q1439">
        <v>0</v>
      </c>
      <c r="R1439">
        <v>0</v>
      </c>
    </row>
    <row r="1440" spans="1:18" x14ac:dyDescent="0.25">
      <c r="A1440" t="s">
        <v>22</v>
      </c>
      <c r="B1440" t="s">
        <v>8</v>
      </c>
      <c r="C1440">
        <v>1</v>
      </c>
      <c r="D1440">
        <v>2</v>
      </c>
      <c r="E1440">
        <v>2</v>
      </c>
      <c r="F1440" s="15">
        <v>45943</v>
      </c>
      <c r="G1440" t="s">
        <v>177</v>
      </c>
      <c r="H1440">
        <v>4</v>
      </c>
      <c r="I1440">
        <v>2025</v>
      </c>
      <c r="J1440">
        <v>10</v>
      </c>
      <c r="K1440" t="s">
        <v>87</v>
      </c>
      <c r="L1440" t="s">
        <v>13</v>
      </c>
      <c r="M1440" t="s">
        <v>6</v>
      </c>
      <c r="N1440" t="b">
        <v>0</v>
      </c>
      <c r="O1440">
        <v>1</v>
      </c>
      <c r="P1440">
        <v>0</v>
      </c>
      <c r="Q1440">
        <v>0</v>
      </c>
      <c r="R1440">
        <v>0</v>
      </c>
    </row>
    <row r="1441" spans="1:18" x14ac:dyDescent="0.25">
      <c r="A1441" t="s">
        <v>22</v>
      </c>
      <c r="B1441" t="s">
        <v>8</v>
      </c>
      <c r="C1441">
        <v>1</v>
      </c>
      <c r="D1441">
        <v>2</v>
      </c>
      <c r="E1441">
        <v>2</v>
      </c>
      <c r="F1441" s="15">
        <v>45943</v>
      </c>
      <c r="G1441" t="s">
        <v>177</v>
      </c>
      <c r="H1441">
        <v>4</v>
      </c>
      <c r="I1441">
        <v>2025</v>
      </c>
      <c r="J1441">
        <v>10</v>
      </c>
      <c r="K1441" t="s">
        <v>87</v>
      </c>
      <c r="L1441" t="s">
        <v>7</v>
      </c>
      <c r="M1441" t="s">
        <v>6</v>
      </c>
      <c r="N1441" t="b">
        <v>0</v>
      </c>
      <c r="O1441">
        <v>1</v>
      </c>
      <c r="P1441">
        <v>0</v>
      </c>
      <c r="Q1441">
        <v>0</v>
      </c>
      <c r="R1441">
        <v>0</v>
      </c>
    </row>
    <row r="1442" spans="1:18" x14ac:dyDescent="0.25">
      <c r="A1442" t="s">
        <v>22</v>
      </c>
      <c r="B1442" t="s">
        <v>8</v>
      </c>
      <c r="C1442">
        <v>1</v>
      </c>
      <c r="D1442">
        <v>2</v>
      </c>
      <c r="E1442">
        <v>2</v>
      </c>
      <c r="F1442" s="15">
        <v>45943</v>
      </c>
      <c r="G1442" t="s">
        <v>177</v>
      </c>
      <c r="H1442">
        <v>4</v>
      </c>
      <c r="I1442">
        <v>2025</v>
      </c>
      <c r="J1442">
        <v>10</v>
      </c>
      <c r="K1442" t="s">
        <v>87</v>
      </c>
      <c r="L1442" t="s">
        <v>18</v>
      </c>
      <c r="M1442" t="s">
        <v>6</v>
      </c>
      <c r="N1442" t="b">
        <v>0</v>
      </c>
      <c r="O1442">
        <v>1</v>
      </c>
      <c r="P1442">
        <v>0</v>
      </c>
      <c r="Q1442">
        <v>0</v>
      </c>
      <c r="R1442">
        <v>0</v>
      </c>
    </row>
    <row r="1443" spans="1:18" x14ac:dyDescent="0.25">
      <c r="A1443" t="s">
        <v>18</v>
      </c>
      <c r="B1443" t="s">
        <v>6</v>
      </c>
      <c r="C1443">
        <v>4</v>
      </c>
      <c r="D1443">
        <v>2</v>
      </c>
      <c r="E1443">
        <v>2</v>
      </c>
      <c r="F1443" s="15">
        <v>45943</v>
      </c>
      <c r="G1443" t="s">
        <v>177</v>
      </c>
      <c r="H1443">
        <v>4</v>
      </c>
      <c r="I1443">
        <v>2025</v>
      </c>
      <c r="J1443">
        <v>10</v>
      </c>
      <c r="K1443" t="s">
        <v>87</v>
      </c>
      <c r="L1443" t="s">
        <v>13</v>
      </c>
      <c r="M1443" t="s">
        <v>6</v>
      </c>
      <c r="N1443" t="b">
        <v>0</v>
      </c>
      <c r="O1443">
        <v>0</v>
      </c>
      <c r="P1443">
        <v>1</v>
      </c>
      <c r="Q1443">
        <v>0</v>
      </c>
      <c r="R1443">
        <v>0</v>
      </c>
    </row>
    <row r="1444" spans="1:18" x14ac:dyDescent="0.25">
      <c r="A1444" t="s">
        <v>18</v>
      </c>
      <c r="B1444" t="s">
        <v>6</v>
      </c>
      <c r="C1444">
        <v>4</v>
      </c>
      <c r="D1444">
        <v>2</v>
      </c>
      <c r="E1444">
        <v>2</v>
      </c>
      <c r="F1444" s="15">
        <v>45943</v>
      </c>
      <c r="G1444" t="s">
        <v>177</v>
      </c>
      <c r="H1444">
        <v>4</v>
      </c>
      <c r="I1444">
        <v>2025</v>
      </c>
      <c r="J1444">
        <v>10</v>
      </c>
      <c r="K1444" t="s">
        <v>87</v>
      </c>
      <c r="L1444" t="s">
        <v>7</v>
      </c>
      <c r="M1444" t="s">
        <v>6</v>
      </c>
      <c r="N1444" t="b">
        <v>0</v>
      </c>
      <c r="O1444">
        <v>0</v>
      </c>
      <c r="P1444">
        <v>1</v>
      </c>
      <c r="Q1444">
        <v>0</v>
      </c>
      <c r="R1444">
        <v>0</v>
      </c>
    </row>
    <row r="1445" spans="1:18" x14ac:dyDescent="0.25">
      <c r="A1445" t="s">
        <v>18</v>
      </c>
      <c r="B1445" t="s">
        <v>6</v>
      </c>
      <c r="C1445">
        <v>4</v>
      </c>
      <c r="D1445">
        <v>2</v>
      </c>
      <c r="E1445">
        <v>2</v>
      </c>
      <c r="F1445" s="15">
        <v>45943</v>
      </c>
      <c r="G1445" t="s">
        <v>177</v>
      </c>
      <c r="H1445">
        <v>4</v>
      </c>
      <c r="I1445">
        <v>2025</v>
      </c>
      <c r="J1445">
        <v>10</v>
      </c>
      <c r="K1445" t="s">
        <v>87</v>
      </c>
      <c r="L1445" t="s">
        <v>22</v>
      </c>
      <c r="M1445" t="s">
        <v>8</v>
      </c>
      <c r="N1445" t="b">
        <v>0</v>
      </c>
      <c r="O1445">
        <v>0</v>
      </c>
      <c r="P1445">
        <v>1</v>
      </c>
      <c r="Q1445">
        <v>0</v>
      </c>
      <c r="R1445">
        <v>1</v>
      </c>
    </row>
    <row r="1446" spans="1:18" x14ac:dyDescent="0.25">
      <c r="A1446" t="s">
        <v>13</v>
      </c>
      <c r="B1446" t="s">
        <v>6</v>
      </c>
      <c r="C1446">
        <v>1</v>
      </c>
      <c r="D1446">
        <v>2</v>
      </c>
      <c r="E1446">
        <v>2</v>
      </c>
      <c r="F1446" s="15">
        <v>45978</v>
      </c>
      <c r="G1446" t="s">
        <v>182</v>
      </c>
      <c r="H1446">
        <v>4</v>
      </c>
      <c r="I1446">
        <v>2025</v>
      </c>
      <c r="J1446">
        <v>11</v>
      </c>
      <c r="K1446" t="s">
        <v>87</v>
      </c>
      <c r="L1446" t="s">
        <v>7</v>
      </c>
      <c r="M1446" t="s">
        <v>8</v>
      </c>
      <c r="N1446" t="b">
        <v>0</v>
      </c>
      <c r="O1446">
        <v>0</v>
      </c>
      <c r="P1446">
        <v>1</v>
      </c>
      <c r="Q1446">
        <v>0</v>
      </c>
      <c r="R1446">
        <v>1</v>
      </c>
    </row>
    <row r="1447" spans="1:18" x14ac:dyDescent="0.25">
      <c r="A1447" t="s">
        <v>13</v>
      </c>
      <c r="B1447" t="s">
        <v>6</v>
      </c>
      <c r="C1447">
        <v>1</v>
      </c>
      <c r="D1447">
        <v>2</v>
      </c>
      <c r="E1447">
        <v>2</v>
      </c>
      <c r="F1447" s="15">
        <v>45978</v>
      </c>
      <c r="G1447" t="s">
        <v>182</v>
      </c>
      <c r="H1447">
        <v>4</v>
      </c>
      <c r="I1447">
        <v>2025</v>
      </c>
      <c r="J1447">
        <v>11</v>
      </c>
      <c r="K1447" t="s">
        <v>87</v>
      </c>
      <c r="L1447" t="s">
        <v>56</v>
      </c>
      <c r="M1447" t="s">
        <v>6</v>
      </c>
      <c r="N1447" t="b">
        <v>0</v>
      </c>
      <c r="O1447">
        <v>0</v>
      </c>
      <c r="P1447">
        <v>1</v>
      </c>
      <c r="Q1447">
        <v>0</v>
      </c>
      <c r="R1447">
        <v>0</v>
      </c>
    </row>
    <row r="1448" spans="1:18" x14ac:dyDescent="0.25">
      <c r="A1448" t="s">
        <v>13</v>
      </c>
      <c r="B1448" t="s">
        <v>6</v>
      </c>
      <c r="C1448">
        <v>1</v>
      </c>
      <c r="D1448">
        <v>2</v>
      </c>
      <c r="E1448">
        <v>2</v>
      </c>
      <c r="F1448" s="15">
        <v>45978</v>
      </c>
      <c r="G1448" t="s">
        <v>182</v>
      </c>
      <c r="H1448">
        <v>4</v>
      </c>
      <c r="I1448">
        <v>2025</v>
      </c>
      <c r="J1448">
        <v>11</v>
      </c>
      <c r="K1448" t="s">
        <v>87</v>
      </c>
      <c r="L1448" t="s">
        <v>29</v>
      </c>
      <c r="M1448" t="s">
        <v>6</v>
      </c>
      <c r="N1448" t="b">
        <v>0</v>
      </c>
      <c r="O1448">
        <v>0</v>
      </c>
      <c r="P1448">
        <v>1</v>
      </c>
      <c r="Q1448">
        <v>0</v>
      </c>
      <c r="R1448">
        <v>0</v>
      </c>
    </row>
    <row r="1449" spans="1:18" x14ac:dyDescent="0.25">
      <c r="A1449" t="s">
        <v>7</v>
      </c>
      <c r="B1449" t="s">
        <v>8</v>
      </c>
      <c r="C1449">
        <v>3</v>
      </c>
      <c r="D1449">
        <v>2</v>
      </c>
      <c r="E1449">
        <v>2</v>
      </c>
      <c r="F1449" s="15">
        <v>45978</v>
      </c>
      <c r="G1449" t="s">
        <v>182</v>
      </c>
      <c r="H1449">
        <v>4</v>
      </c>
      <c r="I1449">
        <v>2025</v>
      </c>
      <c r="J1449">
        <v>11</v>
      </c>
      <c r="K1449" t="s">
        <v>87</v>
      </c>
      <c r="L1449" t="s">
        <v>13</v>
      </c>
      <c r="M1449" t="s">
        <v>6</v>
      </c>
      <c r="N1449" t="b">
        <v>0</v>
      </c>
      <c r="O1449">
        <v>1</v>
      </c>
      <c r="P1449">
        <v>0</v>
      </c>
      <c r="Q1449">
        <v>0</v>
      </c>
      <c r="R1449">
        <v>0</v>
      </c>
    </row>
    <row r="1450" spans="1:18" x14ac:dyDescent="0.25">
      <c r="A1450" t="s">
        <v>7</v>
      </c>
      <c r="B1450" t="s">
        <v>8</v>
      </c>
      <c r="C1450">
        <v>3</v>
      </c>
      <c r="D1450">
        <v>2</v>
      </c>
      <c r="E1450">
        <v>2</v>
      </c>
      <c r="F1450" s="15">
        <v>45978</v>
      </c>
      <c r="G1450" t="s">
        <v>182</v>
      </c>
      <c r="H1450">
        <v>4</v>
      </c>
      <c r="I1450">
        <v>2025</v>
      </c>
      <c r="J1450">
        <v>11</v>
      </c>
      <c r="K1450" t="s">
        <v>87</v>
      </c>
      <c r="L1450" t="s">
        <v>56</v>
      </c>
      <c r="M1450" t="s">
        <v>6</v>
      </c>
      <c r="N1450" t="b">
        <v>0</v>
      </c>
      <c r="O1450">
        <v>1</v>
      </c>
      <c r="P1450">
        <v>0</v>
      </c>
      <c r="Q1450">
        <v>0</v>
      </c>
      <c r="R1450">
        <v>0</v>
      </c>
    </row>
    <row r="1451" spans="1:18" x14ac:dyDescent="0.25">
      <c r="A1451" t="s">
        <v>7</v>
      </c>
      <c r="B1451" t="s">
        <v>8</v>
      </c>
      <c r="C1451">
        <v>3</v>
      </c>
      <c r="D1451">
        <v>2</v>
      </c>
      <c r="E1451">
        <v>2</v>
      </c>
      <c r="F1451" s="15">
        <v>45978</v>
      </c>
      <c r="G1451" t="s">
        <v>182</v>
      </c>
      <c r="H1451">
        <v>4</v>
      </c>
      <c r="I1451">
        <v>2025</v>
      </c>
      <c r="J1451">
        <v>11</v>
      </c>
      <c r="K1451" t="s">
        <v>87</v>
      </c>
      <c r="L1451" t="s">
        <v>29</v>
      </c>
      <c r="M1451" t="s">
        <v>6</v>
      </c>
      <c r="N1451" t="b">
        <v>0</v>
      </c>
      <c r="O1451">
        <v>1</v>
      </c>
      <c r="P1451">
        <v>0</v>
      </c>
      <c r="Q1451">
        <v>0</v>
      </c>
      <c r="R1451">
        <v>0</v>
      </c>
    </row>
    <row r="1452" spans="1:18" x14ac:dyDescent="0.25">
      <c r="A1452" t="s">
        <v>56</v>
      </c>
      <c r="B1452" t="s">
        <v>6</v>
      </c>
      <c r="C1452">
        <v>2</v>
      </c>
      <c r="D1452">
        <v>2</v>
      </c>
      <c r="E1452">
        <v>2</v>
      </c>
      <c r="F1452" s="15">
        <v>45978</v>
      </c>
      <c r="G1452" t="s">
        <v>182</v>
      </c>
      <c r="H1452">
        <v>4</v>
      </c>
      <c r="I1452">
        <v>2025</v>
      </c>
      <c r="J1452">
        <v>11</v>
      </c>
      <c r="K1452" t="s">
        <v>87</v>
      </c>
      <c r="L1452" t="s">
        <v>13</v>
      </c>
      <c r="M1452" t="s">
        <v>6</v>
      </c>
      <c r="N1452" t="b">
        <v>0</v>
      </c>
      <c r="O1452">
        <v>0</v>
      </c>
      <c r="P1452">
        <v>1</v>
      </c>
      <c r="Q1452">
        <v>0</v>
      </c>
      <c r="R1452">
        <v>0</v>
      </c>
    </row>
    <row r="1453" spans="1:18" x14ac:dyDescent="0.25">
      <c r="A1453" t="s">
        <v>56</v>
      </c>
      <c r="B1453" t="s">
        <v>6</v>
      </c>
      <c r="C1453">
        <v>2</v>
      </c>
      <c r="D1453">
        <v>2</v>
      </c>
      <c r="E1453">
        <v>2</v>
      </c>
      <c r="F1453" s="15">
        <v>45978</v>
      </c>
      <c r="G1453" t="s">
        <v>182</v>
      </c>
      <c r="H1453">
        <v>4</v>
      </c>
      <c r="I1453">
        <v>2025</v>
      </c>
      <c r="J1453">
        <v>11</v>
      </c>
      <c r="K1453" t="s">
        <v>87</v>
      </c>
      <c r="L1453" t="s">
        <v>7</v>
      </c>
      <c r="M1453" t="s">
        <v>8</v>
      </c>
      <c r="N1453" t="b">
        <v>0</v>
      </c>
      <c r="O1453">
        <v>0</v>
      </c>
      <c r="P1453">
        <v>1</v>
      </c>
      <c r="Q1453">
        <v>0</v>
      </c>
      <c r="R1453">
        <v>1</v>
      </c>
    </row>
    <row r="1454" spans="1:18" x14ac:dyDescent="0.25">
      <c r="A1454" t="s">
        <v>56</v>
      </c>
      <c r="B1454" t="s">
        <v>6</v>
      </c>
      <c r="C1454">
        <v>2</v>
      </c>
      <c r="D1454">
        <v>2</v>
      </c>
      <c r="E1454">
        <v>2</v>
      </c>
      <c r="F1454" s="15">
        <v>45978</v>
      </c>
      <c r="G1454" t="s">
        <v>182</v>
      </c>
      <c r="H1454">
        <v>4</v>
      </c>
      <c r="I1454">
        <v>2025</v>
      </c>
      <c r="J1454">
        <v>11</v>
      </c>
      <c r="K1454" t="s">
        <v>87</v>
      </c>
      <c r="L1454" t="s">
        <v>29</v>
      </c>
      <c r="M1454" t="s">
        <v>6</v>
      </c>
      <c r="N1454" t="b">
        <v>0</v>
      </c>
      <c r="O1454">
        <v>0</v>
      </c>
      <c r="P1454">
        <v>1</v>
      </c>
      <c r="Q1454">
        <v>0</v>
      </c>
      <c r="R1454">
        <v>0</v>
      </c>
    </row>
    <row r="1455" spans="1:18" x14ac:dyDescent="0.25">
      <c r="A1455" t="s">
        <v>29</v>
      </c>
      <c r="B1455" t="s">
        <v>6</v>
      </c>
      <c r="C1455">
        <v>4</v>
      </c>
      <c r="D1455">
        <v>2</v>
      </c>
      <c r="E1455">
        <v>2</v>
      </c>
      <c r="F1455" s="15">
        <v>45978</v>
      </c>
      <c r="G1455" t="s">
        <v>182</v>
      </c>
      <c r="H1455">
        <v>4</v>
      </c>
      <c r="I1455">
        <v>2025</v>
      </c>
      <c r="J1455">
        <v>11</v>
      </c>
      <c r="K1455" t="s">
        <v>87</v>
      </c>
      <c r="L1455" t="s">
        <v>13</v>
      </c>
      <c r="M1455" t="s">
        <v>6</v>
      </c>
      <c r="N1455" t="b">
        <v>0</v>
      </c>
      <c r="O1455">
        <v>0</v>
      </c>
      <c r="P1455">
        <v>1</v>
      </c>
      <c r="Q1455">
        <v>0</v>
      </c>
      <c r="R1455">
        <v>0</v>
      </c>
    </row>
    <row r="1456" spans="1:18" x14ac:dyDescent="0.25">
      <c r="A1456" t="s">
        <v>29</v>
      </c>
      <c r="B1456" t="s">
        <v>6</v>
      </c>
      <c r="C1456">
        <v>4</v>
      </c>
      <c r="D1456">
        <v>2</v>
      </c>
      <c r="E1456">
        <v>2</v>
      </c>
      <c r="F1456" s="15">
        <v>45978</v>
      </c>
      <c r="G1456" t="s">
        <v>182</v>
      </c>
      <c r="H1456">
        <v>4</v>
      </c>
      <c r="I1456">
        <v>2025</v>
      </c>
      <c r="J1456">
        <v>11</v>
      </c>
      <c r="K1456" t="s">
        <v>87</v>
      </c>
      <c r="L1456" t="s">
        <v>7</v>
      </c>
      <c r="M1456" t="s">
        <v>8</v>
      </c>
      <c r="N1456" t="b">
        <v>0</v>
      </c>
      <c r="O1456">
        <v>0</v>
      </c>
      <c r="P1456">
        <v>1</v>
      </c>
      <c r="Q1456">
        <v>0</v>
      </c>
      <c r="R1456">
        <v>1</v>
      </c>
    </row>
    <row r="1457" spans="1:18" x14ac:dyDescent="0.25">
      <c r="A1457" t="s">
        <v>29</v>
      </c>
      <c r="B1457" t="s">
        <v>6</v>
      </c>
      <c r="C1457">
        <v>4</v>
      </c>
      <c r="D1457">
        <v>2</v>
      </c>
      <c r="E1457">
        <v>2</v>
      </c>
      <c r="F1457" s="15">
        <v>45978</v>
      </c>
      <c r="G1457" t="s">
        <v>182</v>
      </c>
      <c r="H1457">
        <v>4</v>
      </c>
      <c r="I1457">
        <v>2025</v>
      </c>
      <c r="J1457">
        <v>11</v>
      </c>
      <c r="K1457" t="s">
        <v>87</v>
      </c>
      <c r="L1457" t="s">
        <v>56</v>
      </c>
      <c r="M1457" t="s">
        <v>6</v>
      </c>
      <c r="N1457" t="b">
        <v>0</v>
      </c>
      <c r="O1457">
        <v>0</v>
      </c>
      <c r="P1457">
        <v>1</v>
      </c>
      <c r="Q1457">
        <v>0</v>
      </c>
      <c r="R1457">
        <v>0</v>
      </c>
    </row>
    <row r="1458" spans="1:18" x14ac:dyDescent="0.25">
      <c r="A1458" t="s">
        <v>13</v>
      </c>
      <c r="B1458" t="s">
        <v>6</v>
      </c>
      <c r="C1458">
        <v>2</v>
      </c>
      <c r="D1458">
        <v>2</v>
      </c>
      <c r="E1458">
        <v>2</v>
      </c>
      <c r="F1458" s="15">
        <v>46013</v>
      </c>
      <c r="G1458" t="s">
        <v>187</v>
      </c>
      <c r="H1458">
        <v>4</v>
      </c>
      <c r="I1458">
        <v>2025</v>
      </c>
      <c r="J1458">
        <v>12</v>
      </c>
      <c r="K1458" t="s">
        <v>87</v>
      </c>
      <c r="L1458" t="s">
        <v>28</v>
      </c>
      <c r="M1458" t="s">
        <v>8</v>
      </c>
      <c r="N1458" t="b">
        <v>0</v>
      </c>
      <c r="O1458">
        <v>0</v>
      </c>
      <c r="P1458">
        <v>1</v>
      </c>
      <c r="Q1458">
        <v>0</v>
      </c>
      <c r="R1458">
        <v>1</v>
      </c>
    </row>
    <row r="1459" spans="1:18" x14ac:dyDescent="0.25">
      <c r="A1459" t="s">
        <v>13</v>
      </c>
      <c r="B1459" t="s">
        <v>6</v>
      </c>
      <c r="C1459">
        <v>2</v>
      </c>
      <c r="D1459">
        <v>2</v>
      </c>
      <c r="E1459">
        <v>2</v>
      </c>
      <c r="F1459" s="15">
        <v>46013</v>
      </c>
      <c r="G1459" t="s">
        <v>187</v>
      </c>
      <c r="H1459">
        <v>4</v>
      </c>
      <c r="I1459">
        <v>2025</v>
      </c>
      <c r="J1459">
        <v>12</v>
      </c>
      <c r="K1459" t="s">
        <v>87</v>
      </c>
      <c r="L1459" t="s">
        <v>22</v>
      </c>
      <c r="M1459" t="s">
        <v>6</v>
      </c>
      <c r="N1459" t="b">
        <v>0</v>
      </c>
      <c r="O1459">
        <v>0</v>
      </c>
      <c r="P1459">
        <v>1</v>
      </c>
      <c r="Q1459">
        <v>0</v>
      </c>
      <c r="R1459">
        <v>0</v>
      </c>
    </row>
    <row r="1460" spans="1:18" x14ac:dyDescent="0.25">
      <c r="A1460" t="s">
        <v>13</v>
      </c>
      <c r="B1460" t="s">
        <v>6</v>
      </c>
      <c r="C1460">
        <v>2</v>
      </c>
      <c r="D1460">
        <v>2</v>
      </c>
      <c r="E1460">
        <v>2</v>
      </c>
      <c r="F1460" s="15">
        <v>46013</v>
      </c>
      <c r="G1460" t="s">
        <v>187</v>
      </c>
      <c r="H1460">
        <v>4</v>
      </c>
      <c r="I1460">
        <v>2025</v>
      </c>
      <c r="J1460">
        <v>12</v>
      </c>
      <c r="K1460" t="s">
        <v>87</v>
      </c>
      <c r="L1460" t="s">
        <v>17</v>
      </c>
      <c r="M1460" t="s">
        <v>6</v>
      </c>
      <c r="N1460" t="b">
        <v>0</v>
      </c>
      <c r="O1460">
        <v>0</v>
      </c>
      <c r="P1460">
        <v>1</v>
      </c>
      <c r="Q1460">
        <v>0</v>
      </c>
      <c r="R1460">
        <v>0</v>
      </c>
    </row>
    <row r="1461" spans="1:18" x14ac:dyDescent="0.25">
      <c r="A1461" t="s">
        <v>28</v>
      </c>
      <c r="B1461" t="s">
        <v>8</v>
      </c>
      <c r="C1461">
        <v>1</v>
      </c>
      <c r="D1461">
        <v>2</v>
      </c>
      <c r="E1461">
        <v>2</v>
      </c>
      <c r="F1461" s="15">
        <v>46013</v>
      </c>
      <c r="G1461" t="s">
        <v>187</v>
      </c>
      <c r="H1461">
        <v>4</v>
      </c>
      <c r="I1461">
        <v>2025</v>
      </c>
      <c r="J1461">
        <v>12</v>
      </c>
      <c r="K1461" t="s">
        <v>87</v>
      </c>
      <c r="L1461" t="s">
        <v>13</v>
      </c>
      <c r="M1461" t="s">
        <v>6</v>
      </c>
      <c r="N1461" t="b">
        <v>0</v>
      </c>
      <c r="O1461">
        <v>1</v>
      </c>
      <c r="P1461">
        <v>0</v>
      </c>
      <c r="Q1461">
        <v>0</v>
      </c>
      <c r="R1461">
        <v>0</v>
      </c>
    </row>
    <row r="1462" spans="1:18" x14ac:dyDescent="0.25">
      <c r="A1462" t="s">
        <v>28</v>
      </c>
      <c r="B1462" t="s">
        <v>8</v>
      </c>
      <c r="C1462">
        <v>1</v>
      </c>
      <c r="D1462">
        <v>2</v>
      </c>
      <c r="E1462">
        <v>2</v>
      </c>
      <c r="F1462" s="15">
        <v>46013</v>
      </c>
      <c r="G1462" t="s">
        <v>187</v>
      </c>
      <c r="H1462">
        <v>4</v>
      </c>
      <c r="I1462">
        <v>2025</v>
      </c>
      <c r="J1462">
        <v>12</v>
      </c>
      <c r="K1462" t="s">
        <v>87</v>
      </c>
      <c r="L1462" t="s">
        <v>22</v>
      </c>
      <c r="M1462" t="s">
        <v>6</v>
      </c>
      <c r="N1462" t="b">
        <v>0</v>
      </c>
      <c r="O1462">
        <v>1</v>
      </c>
      <c r="P1462">
        <v>0</v>
      </c>
      <c r="Q1462">
        <v>0</v>
      </c>
      <c r="R1462">
        <v>0</v>
      </c>
    </row>
    <row r="1463" spans="1:18" x14ac:dyDescent="0.25">
      <c r="A1463" t="s">
        <v>28</v>
      </c>
      <c r="B1463" t="s">
        <v>8</v>
      </c>
      <c r="C1463">
        <v>1</v>
      </c>
      <c r="D1463">
        <v>2</v>
      </c>
      <c r="E1463">
        <v>2</v>
      </c>
      <c r="F1463" s="15">
        <v>46013</v>
      </c>
      <c r="G1463" t="s">
        <v>187</v>
      </c>
      <c r="H1463">
        <v>4</v>
      </c>
      <c r="I1463">
        <v>2025</v>
      </c>
      <c r="J1463">
        <v>12</v>
      </c>
      <c r="K1463" t="s">
        <v>87</v>
      </c>
      <c r="L1463" t="s">
        <v>17</v>
      </c>
      <c r="M1463" t="s">
        <v>6</v>
      </c>
      <c r="N1463" t="b">
        <v>0</v>
      </c>
      <c r="O1463">
        <v>1</v>
      </c>
      <c r="P1463">
        <v>0</v>
      </c>
      <c r="Q1463">
        <v>0</v>
      </c>
      <c r="R1463">
        <v>0</v>
      </c>
    </row>
    <row r="1464" spans="1:18" x14ac:dyDescent="0.25">
      <c r="A1464" t="s">
        <v>22</v>
      </c>
      <c r="B1464" t="s">
        <v>6</v>
      </c>
      <c r="C1464">
        <v>3</v>
      </c>
      <c r="D1464">
        <v>2</v>
      </c>
      <c r="E1464">
        <v>2</v>
      </c>
      <c r="F1464" s="15">
        <v>46013</v>
      </c>
      <c r="G1464" t="s">
        <v>187</v>
      </c>
      <c r="H1464">
        <v>4</v>
      </c>
      <c r="I1464">
        <v>2025</v>
      </c>
      <c r="J1464">
        <v>12</v>
      </c>
      <c r="K1464" t="s">
        <v>87</v>
      </c>
      <c r="L1464" t="s">
        <v>13</v>
      </c>
      <c r="M1464" t="s">
        <v>6</v>
      </c>
      <c r="N1464" t="b">
        <v>0</v>
      </c>
      <c r="O1464">
        <v>0</v>
      </c>
      <c r="P1464">
        <v>1</v>
      </c>
      <c r="Q1464">
        <v>0</v>
      </c>
      <c r="R1464">
        <v>0</v>
      </c>
    </row>
    <row r="1465" spans="1:18" x14ac:dyDescent="0.25">
      <c r="A1465" t="s">
        <v>22</v>
      </c>
      <c r="B1465" t="s">
        <v>6</v>
      </c>
      <c r="C1465">
        <v>3</v>
      </c>
      <c r="D1465">
        <v>2</v>
      </c>
      <c r="E1465">
        <v>2</v>
      </c>
      <c r="F1465" s="15">
        <v>46013</v>
      </c>
      <c r="G1465" t="s">
        <v>187</v>
      </c>
      <c r="H1465">
        <v>4</v>
      </c>
      <c r="I1465">
        <v>2025</v>
      </c>
      <c r="J1465">
        <v>12</v>
      </c>
      <c r="K1465" t="s">
        <v>87</v>
      </c>
      <c r="L1465" t="s">
        <v>28</v>
      </c>
      <c r="M1465" t="s">
        <v>8</v>
      </c>
      <c r="N1465" t="b">
        <v>0</v>
      </c>
      <c r="O1465">
        <v>0</v>
      </c>
      <c r="P1465">
        <v>1</v>
      </c>
      <c r="Q1465">
        <v>0</v>
      </c>
      <c r="R1465">
        <v>1</v>
      </c>
    </row>
    <row r="1466" spans="1:18" x14ac:dyDescent="0.25">
      <c r="A1466" t="s">
        <v>22</v>
      </c>
      <c r="B1466" t="s">
        <v>6</v>
      </c>
      <c r="C1466">
        <v>3</v>
      </c>
      <c r="D1466">
        <v>2</v>
      </c>
      <c r="E1466">
        <v>2</v>
      </c>
      <c r="F1466" s="15">
        <v>46013</v>
      </c>
      <c r="G1466" t="s">
        <v>187</v>
      </c>
      <c r="H1466">
        <v>4</v>
      </c>
      <c r="I1466">
        <v>2025</v>
      </c>
      <c r="J1466">
        <v>12</v>
      </c>
      <c r="K1466" t="s">
        <v>87</v>
      </c>
      <c r="L1466" t="s">
        <v>17</v>
      </c>
      <c r="M1466" t="s">
        <v>6</v>
      </c>
      <c r="N1466" t="b">
        <v>0</v>
      </c>
      <c r="O1466">
        <v>0</v>
      </c>
      <c r="P1466">
        <v>1</v>
      </c>
      <c r="Q1466">
        <v>0</v>
      </c>
      <c r="R1466">
        <v>0</v>
      </c>
    </row>
    <row r="1467" spans="1:18" x14ac:dyDescent="0.25">
      <c r="A1467" t="s">
        <v>17</v>
      </c>
      <c r="B1467" t="s">
        <v>6</v>
      </c>
      <c r="C1467">
        <v>4</v>
      </c>
      <c r="D1467">
        <v>2</v>
      </c>
      <c r="E1467">
        <v>2</v>
      </c>
      <c r="F1467" s="15">
        <v>46013</v>
      </c>
      <c r="G1467" t="s">
        <v>187</v>
      </c>
      <c r="H1467">
        <v>4</v>
      </c>
      <c r="I1467">
        <v>2025</v>
      </c>
      <c r="J1467">
        <v>12</v>
      </c>
      <c r="K1467" t="s">
        <v>87</v>
      </c>
      <c r="L1467" t="s">
        <v>13</v>
      </c>
      <c r="M1467" t="s">
        <v>6</v>
      </c>
      <c r="N1467" t="b">
        <v>0</v>
      </c>
      <c r="O1467">
        <v>0</v>
      </c>
      <c r="P1467">
        <v>1</v>
      </c>
      <c r="Q1467">
        <v>0</v>
      </c>
      <c r="R1467">
        <v>0</v>
      </c>
    </row>
    <row r="1468" spans="1:18" x14ac:dyDescent="0.25">
      <c r="A1468" t="s">
        <v>17</v>
      </c>
      <c r="B1468" t="s">
        <v>6</v>
      </c>
      <c r="C1468">
        <v>4</v>
      </c>
      <c r="D1468">
        <v>2</v>
      </c>
      <c r="E1468">
        <v>2</v>
      </c>
      <c r="F1468" s="15">
        <v>46013</v>
      </c>
      <c r="G1468" t="s">
        <v>187</v>
      </c>
      <c r="H1468">
        <v>4</v>
      </c>
      <c r="I1468">
        <v>2025</v>
      </c>
      <c r="J1468">
        <v>12</v>
      </c>
      <c r="K1468" t="s">
        <v>87</v>
      </c>
      <c r="L1468" t="s">
        <v>28</v>
      </c>
      <c r="M1468" t="s">
        <v>8</v>
      </c>
      <c r="N1468" t="b">
        <v>0</v>
      </c>
      <c r="O1468">
        <v>0</v>
      </c>
      <c r="P1468">
        <v>1</v>
      </c>
      <c r="Q1468">
        <v>0</v>
      </c>
      <c r="R1468">
        <v>1</v>
      </c>
    </row>
    <row r="1469" spans="1:18" x14ac:dyDescent="0.25">
      <c r="A1469" t="s">
        <v>17</v>
      </c>
      <c r="B1469" t="s">
        <v>6</v>
      </c>
      <c r="C1469">
        <v>4</v>
      </c>
      <c r="D1469">
        <v>2</v>
      </c>
      <c r="E1469">
        <v>2</v>
      </c>
      <c r="F1469" s="15">
        <v>46013</v>
      </c>
      <c r="G1469" t="s">
        <v>187</v>
      </c>
      <c r="H1469">
        <v>4</v>
      </c>
      <c r="I1469">
        <v>2025</v>
      </c>
      <c r="J1469">
        <v>12</v>
      </c>
      <c r="K1469" t="s">
        <v>87</v>
      </c>
      <c r="L1469" t="s">
        <v>22</v>
      </c>
      <c r="M1469" t="s">
        <v>6</v>
      </c>
      <c r="N1469" t="b">
        <v>0</v>
      </c>
      <c r="O1469">
        <v>0</v>
      </c>
      <c r="P1469">
        <v>1</v>
      </c>
      <c r="Q1469">
        <v>0</v>
      </c>
      <c r="R1469">
        <v>0</v>
      </c>
    </row>
    <row r="1470" spans="1:18" x14ac:dyDescent="0.25">
      <c r="A1470" t="s">
        <v>13</v>
      </c>
      <c r="B1470" t="s">
        <v>6</v>
      </c>
      <c r="C1470">
        <v>1</v>
      </c>
      <c r="D1470">
        <v>3</v>
      </c>
      <c r="E1470">
        <v>2</v>
      </c>
      <c r="F1470" s="15">
        <v>45922</v>
      </c>
      <c r="G1470" t="s">
        <v>222</v>
      </c>
      <c r="H1470">
        <v>4</v>
      </c>
      <c r="I1470">
        <v>2025</v>
      </c>
      <c r="J1470">
        <v>9</v>
      </c>
      <c r="K1470" t="s">
        <v>87</v>
      </c>
      <c r="L1470" t="s">
        <v>10</v>
      </c>
      <c r="M1470" t="s">
        <v>6</v>
      </c>
      <c r="N1470" t="b">
        <v>0</v>
      </c>
      <c r="O1470">
        <v>0</v>
      </c>
      <c r="P1470">
        <v>1</v>
      </c>
      <c r="Q1470">
        <v>0</v>
      </c>
      <c r="R1470">
        <v>0</v>
      </c>
    </row>
    <row r="1471" spans="1:18" x14ac:dyDescent="0.25">
      <c r="A1471" t="s">
        <v>13</v>
      </c>
      <c r="B1471" t="s">
        <v>6</v>
      </c>
      <c r="C1471">
        <v>1</v>
      </c>
      <c r="D1471">
        <v>3</v>
      </c>
      <c r="E1471">
        <v>2</v>
      </c>
      <c r="F1471" s="15">
        <v>45922</v>
      </c>
      <c r="G1471" t="s">
        <v>222</v>
      </c>
      <c r="H1471">
        <v>4</v>
      </c>
      <c r="I1471">
        <v>2025</v>
      </c>
      <c r="J1471">
        <v>9</v>
      </c>
      <c r="K1471" t="s">
        <v>87</v>
      </c>
      <c r="L1471" t="s">
        <v>52</v>
      </c>
      <c r="M1471" t="s">
        <v>6</v>
      </c>
      <c r="N1471" t="b">
        <v>0</v>
      </c>
      <c r="O1471">
        <v>0</v>
      </c>
      <c r="P1471">
        <v>1</v>
      </c>
      <c r="Q1471">
        <v>0</v>
      </c>
      <c r="R1471">
        <v>0</v>
      </c>
    </row>
    <row r="1472" spans="1:18" x14ac:dyDescent="0.25">
      <c r="A1472" t="s">
        <v>13</v>
      </c>
      <c r="B1472" t="s">
        <v>6</v>
      </c>
      <c r="C1472">
        <v>1</v>
      </c>
      <c r="D1472">
        <v>3</v>
      </c>
      <c r="E1472">
        <v>2</v>
      </c>
      <c r="F1472" s="15">
        <v>45922</v>
      </c>
      <c r="G1472" t="s">
        <v>222</v>
      </c>
      <c r="H1472">
        <v>4</v>
      </c>
      <c r="I1472">
        <v>2025</v>
      </c>
      <c r="J1472">
        <v>9</v>
      </c>
      <c r="K1472" t="s">
        <v>87</v>
      </c>
      <c r="L1472" t="s">
        <v>11</v>
      </c>
      <c r="M1472" t="s">
        <v>8</v>
      </c>
      <c r="N1472" t="b">
        <v>0</v>
      </c>
      <c r="O1472">
        <v>0</v>
      </c>
      <c r="P1472">
        <v>1</v>
      </c>
      <c r="Q1472">
        <v>0</v>
      </c>
      <c r="R1472">
        <v>1</v>
      </c>
    </row>
    <row r="1473" spans="1:18" x14ac:dyDescent="0.25">
      <c r="A1473" t="s">
        <v>10</v>
      </c>
      <c r="B1473" t="s">
        <v>6</v>
      </c>
      <c r="C1473">
        <v>2</v>
      </c>
      <c r="D1473">
        <v>3</v>
      </c>
      <c r="E1473">
        <v>2</v>
      </c>
      <c r="F1473" s="15">
        <v>45922</v>
      </c>
      <c r="G1473" t="s">
        <v>222</v>
      </c>
      <c r="H1473">
        <v>4</v>
      </c>
      <c r="I1473">
        <v>2025</v>
      </c>
      <c r="J1473">
        <v>9</v>
      </c>
      <c r="K1473" t="s">
        <v>87</v>
      </c>
      <c r="L1473" t="s">
        <v>13</v>
      </c>
      <c r="M1473" t="s">
        <v>6</v>
      </c>
      <c r="N1473" t="b">
        <v>0</v>
      </c>
      <c r="O1473">
        <v>0</v>
      </c>
      <c r="P1473">
        <v>1</v>
      </c>
      <c r="Q1473">
        <v>0</v>
      </c>
      <c r="R1473">
        <v>0</v>
      </c>
    </row>
    <row r="1474" spans="1:18" x14ac:dyDescent="0.25">
      <c r="A1474" t="s">
        <v>10</v>
      </c>
      <c r="B1474" t="s">
        <v>6</v>
      </c>
      <c r="C1474">
        <v>2</v>
      </c>
      <c r="D1474">
        <v>3</v>
      </c>
      <c r="E1474">
        <v>2</v>
      </c>
      <c r="F1474" s="15">
        <v>45922</v>
      </c>
      <c r="G1474" t="s">
        <v>222</v>
      </c>
      <c r="H1474">
        <v>4</v>
      </c>
      <c r="I1474">
        <v>2025</v>
      </c>
      <c r="J1474">
        <v>9</v>
      </c>
      <c r="K1474" t="s">
        <v>87</v>
      </c>
      <c r="L1474" t="s">
        <v>52</v>
      </c>
      <c r="M1474" t="s">
        <v>6</v>
      </c>
      <c r="N1474" t="b">
        <v>0</v>
      </c>
      <c r="O1474">
        <v>0</v>
      </c>
      <c r="P1474">
        <v>1</v>
      </c>
      <c r="Q1474">
        <v>0</v>
      </c>
      <c r="R1474">
        <v>0</v>
      </c>
    </row>
    <row r="1475" spans="1:18" x14ac:dyDescent="0.25">
      <c r="A1475" t="s">
        <v>10</v>
      </c>
      <c r="B1475" t="s">
        <v>6</v>
      </c>
      <c r="C1475">
        <v>2</v>
      </c>
      <c r="D1475">
        <v>3</v>
      </c>
      <c r="E1475">
        <v>2</v>
      </c>
      <c r="F1475" s="15">
        <v>45922</v>
      </c>
      <c r="G1475" t="s">
        <v>222</v>
      </c>
      <c r="H1475">
        <v>4</v>
      </c>
      <c r="I1475">
        <v>2025</v>
      </c>
      <c r="J1475">
        <v>9</v>
      </c>
      <c r="K1475" t="s">
        <v>87</v>
      </c>
      <c r="L1475" t="s">
        <v>11</v>
      </c>
      <c r="M1475" t="s">
        <v>8</v>
      </c>
      <c r="N1475" t="b">
        <v>0</v>
      </c>
      <c r="O1475">
        <v>0</v>
      </c>
      <c r="P1475">
        <v>1</v>
      </c>
      <c r="Q1475">
        <v>0</v>
      </c>
      <c r="R1475">
        <v>1</v>
      </c>
    </row>
    <row r="1476" spans="1:18" x14ac:dyDescent="0.25">
      <c r="A1476" t="s">
        <v>52</v>
      </c>
      <c r="B1476" t="s">
        <v>6</v>
      </c>
      <c r="C1476">
        <v>4</v>
      </c>
      <c r="D1476">
        <v>3</v>
      </c>
      <c r="E1476">
        <v>2</v>
      </c>
      <c r="F1476" s="15">
        <v>45922</v>
      </c>
      <c r="G1476" t="s">
        <v>222</v>
      </c>
      <c r="H1476">
        <v>4</v>
      </c>
      <c r="I1476">
        <v>2025</v>
      </c>
      <c r="J1476">
        <v>9</v>
      </c>
      <c r="K1476" t="s">
        <v>87</v>
      </c>
      <c r="L1476" t="s">
        <v>13</v>
      </c>
      <c r="M1476" t="s">
        <v>6</v>
      </c>
      <c r="N1476" t="b">
        <v>0</v>
      </c>
      <c r="O1476">
        <v>0</v>
      </c>
      <c r="P1476">
        <v>1</v>
      </c>
      <c r="Q1476">
        <v>0</v>
      </c>
      <c r="R1476">
        <v>0</v>
      </c>
    </row>
    <row r="1477" spans="1:18" x14ac:dyDescent="0.25">
      <c r="A1477" t="s">
        <v>52</v>
      </c>
      <c r="B1477" t="s">
        <v>6</v>
      </c>
      <c r="C1477">
        <v>4</v>
      </c>
      <c r="D1477">
        <v>3</v>
      </c>
      <c r="E1477">
        <v>2</v>
      </c>
      <c r="F1477" s="15">
        <v>45922</v>
      </c>
      <c r="G1477" t="s">
        <v>222</v>
      </c>
      <c r="H1477">
        <v>4</v>
      </c>
      <c r="I1477">
        <v>2025</v>
      </c>
      <c r="J1477">
        <v>9</v>
      </c>
      <c r="K1477" t="s">
        <v>87</v>
      </c>
      <c r="L1477" t="s">
        <v>10</v>
      </c>
      <c r="M1477" t="s">
        <v>6</v>
      </c>
      <c r="N1477" t="b">
        <v>0</v>
      </c>
      <c r="O1477">
        <v>0</v>
      </c>
      <c r="P1477">
        <v>1</v>
      </c>
      <c r="Q1477">
        <v>0</v>
      </c>
      <c r="R1477">
        <v>0</v>
      </c>
    </row>
    <row r="1478" spans="1:18" x14ac:dyDescent="0.25">
      <c r="A1478" t="s">
        <v>52</v>
      </c>
      <c r="B1478" t="s">
        <v>6</v>
      </c>
      <c r="C1478">
        <v>4</v>
      </c>
      <c r="D1478">
        <v>3</v>
      </c>
      <c r="E1478">
        <v>2</v>
      </c>
      <c r="F1478" s="15">
        <v>45922</v>
      </c>
      <c r="G1478" t="s">
        <v>222</v>
      </c>
      <c r="H1478">
        <v>4</v>
      </c>
      <c r="I1478">
        <v>2025</v>
      </c>
      <c r="J1478">
        <v>9</v>
      </c>
      <c r="K1478" t="s">
        <v>87</v>
      </c>
      <c r="L1478" t="s">
        <v>11</v>
      </c>
      <c r="M1478" t="s">
        <v>8</v>
      </c>
      <c r="N1478" t="b">
        <v>0</v>
      </c>
      <c r="O1478">
        <v>0</v>
      </c>
      <c r="P1478">
        <v>1</v>
      </c>
      <c r="Q1478">
        <v>0</v>
      </c>
      <c r="R1478">
        <v>1</v>
      </c>
    </row>
    <row r="1479" spans="1:18" x14ac:dyDescent="0.25">
      <c r="A1479" t="s">
        <v>11</v>
      </c>
      <c r="B1479" t="s">
        <v>8</v>
      </c>
      <c r="C1479">
        <v>3</v>
      </c>
      <c r="D1479">
        <v>3</v>
      </c>
      <c r="E1479">
        <v>2</v>
      </c>
      <c r="F1479" s="15">
        <v>45922</v>
      </c>
      <c r="G1479" t="s">
        <v>222</v>
      </c>
      <c r="H1479">
        <v>4</v>
      </c>
      <c r="I1479">
        <v>2025</v>
      </c>
      <c r="J1479">
        <v>9</v>
      </c>
      <c r="K1479" t="s">
        <v>87</v>
      </c>
      <c r="L1479" t="s">
        <v>13</v>
      </c>
      <c r="M1479" t="s">
        <v>6</v>
      </c>
      <c r="N1479" t="b">
        <v>0</v>
      </c>
      <c r="O1479">
        <v>1</v>
      </c>
      <c r="P1479">
        <v>0</v>
      </c>
      <c r="Q1479">
        <v>0</v>
      </c>
      <c r="R1479">
        <v>0</v>
      </c>
    </row>
    <row r="1480" spans="1:18" x14ac:dyDescent="0.25">
      <c r="A1480" t="s">
        <v>11</v>
      </c>
      <c r="B1480" t="s">
        <v>8</v>
      </c>
      <c r="C1480">
        <v>3</v>
      </c>
      <c r="D1480">
        <v>3</v>
      </c>
      <c r="E1480">
        <v>2</v>
      </c>
      <c r="F1480" s="15">
        <v>45922</v>
      </c>
      <c r="G1480" t="s">
        <v>222</v>
      </c>
      <c r="H1480">
        <v>4</v>
      </c>
      <c r="I1480">
        <v>2025</v>
      </c>
      <c r="J1480">
        <v>9</v>
      </c>
      <c r="K1480" t="s">
        <v>87</v>
      </c>
      <c r="L1480" t="s">
        <v>10</v>
      </c>
      <c r="M1480" t="s">
        <v>6</v>
      </c>
      <c r="N1480" t="b">
        <v>0</v>
      </c>
      <c r="O1480">
        <v>1</v>
      </c>
      <c r="P1480">
        <v>0</v>
      </c>
      <c r="Q1480">
        <v>0</v>
      </c>
      <c r="R1480">
        <v>0</v>
      </c>
    </row>
    <row r="1481" spans="1:18" x14ac:dyDescent="0.25">
      <c r="A1481" t="s">
        <v>11</v>
      </c>
      <c r="B1481" t="s">
        <v>8</v>
      </c>
      <c r="C1481">
        <v>3</v>
      </c>
      <c r="D1481">
        <v>3</v>
      </c>
      <c r="E1481">
        <v>2</v>
      </c>
      <c r="F1481" s="15">
        <v>45922</v>
      </c>
      <c r="G1481" t="s">
        <v>222</v>
      </c>
      <c r="H1481">
        <v>4</v>
      </c>
      <c r="I1481">
        <v>2025</v>
      </c>
      <c r="J1481">
        <v>9</v>
      </c>
      <c r="K1481" t="s">
        <v>87</v>
      </c>
      <c r="L1481" t="s">
        <v>52</v>
      </c>
      <c r="M1481" t="s">
        <v>6</v>
      </c>
      <c r="N1481" t="b">
        <v>0</v>
      </c>
      <c r="O1481">
        <v>1</v>
      </c>
      <c r="P1481">
        <v>0</v>
      </c>
      <c r="Q1481">
        <v>0</v>
      </c>
      <c r="R1481">
        <v>0</v>
      </c>
    </row>
    <row r="1482" spans="1:18" x14ac:dyDescent="0.25">
      <c r="A1482" t="s">
        <v>13</v>
      </c>
      <c r="B1482" t="s">
        <v>6</v>
      </c>
      <c r="C1482">
        <v>5</v>
      </c>
      <c r="D1482">
        <v>3</v>
      </c>
      <c r="E1482">
        <v>2</v>
      </c>
      <c r="F1482" s="15">
        <v>45957</v>
      </c>
      <c r="G1482" t="s">
        <v>227</v>
      </c>
      <c r="H1482">
        <v>5</v>
      </c>
      <c r="I1482">
        <v>2025</v>
      </c>
      <c r="J1482">
        <v>10</v>
      </c>
      <c r="K1482" t="s">
        <v>87</v>
      </c>
      <c r="L1482" t="s">
        <v>10</v>
      </c>
      <c r="M1482" t="s">
        <v>6</v>
      </c>
      <c r="N1482" t="b">
        <v>0</v>
      </c>
      <c r="O1482">
        <v>0</v>
      </c>
      <c r="P1482">
        <v>1</v>
      </c>
      <c r="Q1482">
        <v>0</v>
      </c>
      <c r="R1482">
        <v>0</v>
      </c>
    </row>
    <row r="1483" spans="1:18" x14ac:dyDescent="0.25">
      <c r="A1483" t="s">
        <v>13</v>
      </c>
      <c r="B1483" t="s">
        <v>6</v>
      </c>
      <c r="C1483">
        <v>5</v>
      </c>
      <c r="D1483">
        <v>3</v>
      </c>
      <c r="E1483">
        <v>2</v>
      </c>
      <c r="F1483" s="15">
        <v>45957</v>
      </c>
      <c r="G1483" t="s">
        <v>227</v>
      </c>
      <c r="H1483">
        <v>5</v>
      </c>
      <c r="I1483">
        <v>2025</v>
      </c>
      <c r="J1483">
        <v>10</v>
      </c>
      <c r="K1483" t="s">
        <v>87</v>
      </c>
      <c r="L1483" t="s">
        <v>60</v>
      </c>
      <c r="M1483" t="s">
        <v>6</v>
      </c>
      <c r="N1483" t="b">
        <v>0</v>
      </c>
      <c r="O1483">
        <v>0</v>
      </c>
      <c r="P1483">
        <v>1</v>
      </c>
      <c r="Q1483">
        <v>0</v>
      </c>
      <c r="R1483">
        <v>0</v>
      </c>
    </row>
    <row r="1484" spans="1:18" x14ac:dyDescent="0.25">
      <c r="A1484" t="s">
        <v>13</v>
      </c>
      <c r="B1484" t="s">
        <v>6</v>
      </c>
      <c r="C1484">
        <v>5</v>
      </c>
      <c r="D1484">
        <v>3</v>
      </c>
      <c r="E1484">
        <v>2</v>
      </c>
      <c r="F1484" s="15">
        <v>45957</v>
      </c>
      <c r="G1484" t="s">
        <v>227</v>
      </c>
      <c r="H1484">
        <v>5</v>
      </c>
      <c r="I1484">
        <v>2025</v>
      </c>
      <c r="J1484">
        <v>10</v>
      </c>
      <c r="K1484" t="s">
        <v>87</v>
      </c>
      <c r="L1484" t="s">
        <v>42</v>
      </c>
      <c r="M1484" t="s">
        <v>8</v>
      </c>
      <c r="N1484" t="b">
        <v>0</v>
      </c>
      <c r="O1484">
        <v>0</v>
      </c>
      <c r="P1484">
        <v>1</v>
      </c>
      <c r="Q1484">
        <v>0</v>
      </c>
      <c r="R1484">
        <v>1</v>
      </c>
    </row>
    <row r="1485" spans="1:18" x14ac:dyDescent="0.25">
      <c r="A1485" t="s">
        <v>13</v>
      </c>
      <c r="B1485" t="s">
        <v>6</v>
      </c>
      <c r="C1485">
        <v>5</v>
      </c>
      <c r="D1485">
        <v>3</v>
      </c>
      <c r="E1485">
        <v>2</v>
      </c>
      <c r="F1485" s="15">
        <v>45957</v>
      </c>
      <c r="G1485" t="s">
        <v>227</v>
      </c>
      <c r="H1485">
        <v>5</v>
      </c>
      <c r="I1485">
        <v>2025</v>
      </c>
      <c r="J1485">
        <v>10</v>
      </c>
      <c r="K1485" t="s">
        <v>87</v>
      </c>
      <c r="L1485" t="s">
        <v>18</v>
      </c>
      <c r="M1485" t="s">
        <v>6</v>
      </c>
      <c r="N1485" t="b">
        <v>0</v>
      </c>
      <c r="O1485">
        <v>0</v>
      </c>
      <c r="P1485">
        <v>1</v>
      </c>
      <c r="Q1485">
        <v>0</v>
      </c>
      <c r="R1485">
        <v>0</v>
      </c>
    </row>
    <row r="1486" spans="1:18" x14ac:dyDescent="0.25">
      <c r="A1486" t="s">
        <v>10</v>
      </c>
      <c r="B1486" t="s">
        <v>6</v>
      </c>
      <c r="C1486">
        <v>2</v>
      </c>
      <c r="D1486">
        <v>3</v>
      </c>
      <c r="E1486">
        <v>2</v>
      </c>
      <c r="F1486" s="15">
        <v>45957</v>
      </c>
      <c r="G1486" t="s">
        <v>227</v>
      </c>
      <c r="H1486">
        <v>5</v>
      </c>
      <c r="I1486">
        <v>2025</v>
      </c>
      <c r="J1486">
        <v>10</v>
      </c>
      <c r="K1486" t="s">
        <v>87</v>
      </c>
      <c r="L1486" t="s">
        <v>13</v>
      </c>
      <c r="M1486" t="s">
        <v>6</v>
      </c>
      <c r="N1486" t="b">
        <v>0</v>
      </c>
      <c r="O1486">
        <v>0</v>
      </c>
      <c r="P1486">
        <v>1</v>
      </c>
      <c r="Q1486">
        <v>0</v>
      </c>
      <c r="R1486">
        <v>0</v>
      </c>
    </row>
    <row r="1487" spans="1:18" x14ac:dyDescent="0.25">
      <c r="A1487" t="s">
        <v>10</v>
      </c>
      <c r="B1487" t="s">
        <v>6</v>
      </c>
      <c r="C1487">
        <v>2</v>
      </c>
      <c r="D1487">
        <v>3</v>
      </c>
      <c r="E1487">
        <v>2</v>
      </c>
      <c r="F1487" s="15">
        <v>45957</v>
      </c>
      <c r="G1487" t="s">
        <v>227</v>
      </c>
      <c r="H1487">
        <v>5</v>
      </c>
      <c r="I1487">
        <v>2025</v>
      </c>
      <c r="J1487">
        <v>10</v>
      </c>
      <c r="K1487" t="s">
        <v>87</v>
      </c>
      <c r="L1487" t="s">
        <v>60</v>
      </c>
      <c r="M1487" t="s">
        <v>6</v>
      </c>
      <c r="N1487" t="b">
        <v>0</v>
      </c>
      <c r="O1487">
        <v>0</v>
      </c>
      <c r="P1487">
        <v>1</v>
      </c>
      <c r="Q1487">
        <v>0</v>
      </c>
      <c r="R1487">
        <v>0</v>
      </c>
    </row>
    <row r="1488" spans="1:18" x14ac:dyDescent="0.25">
      <c r="A1488" t="s">
        <v>10</v>
      </c>
      <c r="B1488" t="s">
        <v>6</v>
      </c>
      <c r="C1488">
        <v>2</v>
      </c>
      <c r="D1488">
        <v>3</v>
      </c>
      <c r="E1488">
        <v>2</v>
      </c>
      <c r="F1488" s="15">
        <v>45957</v>
      </c>
      <c r="G1488" t="s">
        <v>227</v>
      </c>
      <c r="H1488">
        <v>5</v>
      </c>
      <c r="I1488">
        <v>2025</v>
      </c>
      <c r="J1488">
        <v>10</v>
      </c>
      <c r="K1488" t="s">
        <v>87</v>
      </c>
      <c r="L1488" t="s">
        <v>42</v>
      </c>
      <c r="M1488" t="s">
        <v>8</v>
      </c>
      <c r="N1488" t="b">
        <v>0</v>
      </c>
      <c r="O1488">
        <v>0</v>
      </c>
      <c r="P1488">
        <v>1</v>
      </c>
      <c r="Q1488">
        <v>0</v>
      </c>
      <c r="R1488">
        <v>1</v>
      </c>
    </row>
    <row r="1489" spans="1:18" x14ac:dyDescent="0.25">
      <c r="A1489" t="s">
        <v>10</v>
      </c>
      <c r="B1489" t="s">
        <v>6</v>
      </c>
      <c r="C1489">
        <v>2</v>
      </c>
      <c r="D1489">
        <v>3</v>
      </c>
      <c r="E1489">
        <v>2</v>
      </c>
      <c r="F1489" s="15">
        <v>45957</v>
      </c>
      <c r="G1489" t="s">
        <v>227</v>
      </c>
      <c r="H1489">
        <v>5</v>
      </c>
      <c r="I1489">
        <v>2025</v>
      </c>
      <c r="J1489">
        <v>10</v>
      </c>
      <c r="K1489" t="s">
        <v>87</v>
      </c>
      <c r="L1489" t="s">
        <v>18</v>
      </c>
      <c r="M1489" t="s">
        <v>6</v>
      </c>
      <c r="N1489" t="b">
        <v>0</v>
      </c>
      <c r="O1489">
        <v>0</v>
      </c>
      <c r="P1489">
        <v>1</v>
      </c>
      <c r="Q1489">
        <v>0</v>
      </c>
      <c r="R1489">
        <v>0</v>
      </c>
    </row>
    <row r="1490" spans="1:18" x14ac:dyDescent="0.25">
      <c r="A1490" t="s">
        <v>60</v>
      </c>
      <c r="B1490" t="s">
        <v>6</v>
      </c>
      <c r="C1490">
        <v>3</v>
      </c>
      <c r="D1490">
        <v>3</v>
      </c>
      <c r="E1490">
        <v>2</v>
      </c>
      <c r="F1490" s="15">
        <v>45957</v>
      </c>
      <c r="G1490" t="s">
        <v>227</v>
      </c>
      <c r="H1490">
        <v>5</v>
      </c>
      <c r="I1490">
        <v>2025</v>
      </c>
      <c r="J1490">
        <v>10</v>
      </c>
      <c r="K1490" t="s">
        <v>87</v>
      </c>
      <c r="L1490" t="s">
        <v>13</v>
      </c>
      <c r="M1490" t="s">
        <v>6</v>
      </c>
      <c r="N1490" t="b">
        <v>0</v>
      </c>
      <c r="O1490">
        <v>0</v>
      </c>
      <c r="P1490">
        <v>1</v>
      </c>
      <c r="Q1490">
        <v>0</v>
      </c>
      <c r="R1490">
        <v>0</v>
      </c>
    </row>
    <row r="1491" spans="1:18" x14ac:dyDescent="0.25">
      <c r="A1491" t="s">
        <v>60</v>
      </c>
      <c r="B1491" t="s">
        <v>6</v>
      </c>
      <c r="C1491">
        <v>3</v>
      </c>
      <c r="D1491">
        <v>3</v>
      </c>
      <c r="E1491">
        <v>2</v>
      </c>
      <c r="F1491" s="15">
        <v>45957</v>
      </c>
      <c r="G1491" t="s">
        <v>227</v>
      </c>
      <c r="H1491">
        <v>5</v>
      </c>
      <c r="I1491">
        <v>2025</v>
      </c>
      <c r="J1491">
        <v>10</v>
      </c>
      <c r="K1491" t="s">
        <v>87</v>
      </c>
      <c r="L1491" t="s">
        <v>10</v>
      </c>
      <c r="M1491" t="s">
        <v>6</v>
      </c>
      <c r="N1491" t="b">
        <v>0</v>
      </c>
      <c r="O1491">
        <v>0</v>
      </c>
      <c r="P1491">
        <v>1</v>
      </c>
      <c r="Q1491">
        <v>0</v>
      </c>
      <c r="R1491">
        <v>0</v>
      </c>
    </row>
    <row r="1492" spans="1:18" x14ac:dyDescent="0.25">
      <c r="A1492" t="s">
        <v>60</v>
      </c>
      <c r="B1492" t="s">
        <v>6</v>
      </c>
      <c r="C1492">
        <v>3</v>
      </c>
      <c r="D1492">
        <v>3</v>
      </c>
      <c r="E1492">
        <v>2</v>
      </c>
      <c r="F1492" s="15">
        <v>45957</v>
      </c>
      <c r="G1492" t="s">
        <v>227</v>
      </c>
      <c r="H1492">
        <v>5</v>
      </c>
      <c r="I1492">
        <v>2025</v>
      </c>
      <c r="J1492">
        <v>10</v>
      </c>
      <c r="K1492" t="s">
        <v>87</v>
      </c>
      <c r="L1492" t="s">
        <v>42</v>
      </c>
      <c r="M1492" t="s">
        <v>8</v>
      </c>
      <c r="N1492" t="b">
        <v>0</v>
      </c>
      <c r="O1492">
        <v>0</v>
      </c>
      <c r="P1492">
        <v>1</v>
      </c>
      <c r="Q1492">
        <v>0</v>
      </c>
      <c r="R1492">
        <v>1</v>
      </c>
    </row>
    <row r="1493" spans="1:18" x14ac:dyDescent="0.25">
      <c r="A1493" t="s">
        <v>60</v>
      </c>
      <c r="B1493" t="s">
        <v>6</v>
      </c>
      <c r="C1493">
        <v>3</v>
      </c>
      <c r="D1493">
        <v>3</v>
      </c>
      <c r="E1493">
        <v>2</v>
      </c>
      <c r="F1493" s="15">
        <v>45957</v>
      </c>
      <c r="G1493" t="s">
        <v>227</v>
      </c>
      <c r="H1493">
        <v>5</v>
      </c>
      <c r="I1493">
        <v>2025</v>
      </c>
      <c r="J1493">
        <v>10</v>
      </c>
      <c r="K1493" t="s">
        <v>87</v>
      </c>
      <c r="L1493" t="s">
        <v>18</v>
      </c>
      <c r="M1493" t="s">
        <v>6</v>
      </c>
      <c r="N1493" t="b">
        <v>0</v>
      </c>
      <c r="O1493">
        <v>0</v>
      </c>
      <c r="P1493">
        <v>1</v>
      </c>
      <c r="Q1493">
        <v>0</v>
      </c>
      <c r="R1493">
        <v>0</v>
      </c>
    </row>
    <row r="1494" spans="1:18" x14ac:dyDescent="0.25">
      <c r="A1494" t="s">
        <v>42</v>
      </c>
      <c r="B1494" t="s">
        <v>8</v>
      </c>
      <c r="C1494">
        <v>1</v>
      </c>
      <c r="D1494">
        <v>3</v>
      </c>
      <c r="E1494">
        <v>2</v>
      </c>
      <c r="F1494" s="15">
        <v>45957</v>
      </c>
      <c r="G1494" t="s">
        <v>227</v>
      </c>
      <c r="H1494">
        <v>5</v>
      </c>
      <c r="I1494">
        <v>2025</v>
      </c>
      <c r="J1494">
        <v>10</v>
      </c>
      <c r="K1494" t="s">
        <v>87</v>
      </c>
      <c r="L1494" t="s">
        <v>13</v>
      </c>
      <c r="M1494" t="s">
        <v>6</v>
      </c>
      <c r="N1494" t="b">
        <v>0</v>
      </c>
      <c r="O1494">
        <v>1</v>
      </c>
      <c r="P1494">
        <v>0</v>
      </c>
      <c r="Q1494">
        <v>0</v>
      </c>
      <c r="R1494">
        <v>0</v>
      </c>
    </row>
    <row r="1495" spans="1:18" x14ac:dyDescent="0.25">
      <c r="A1495" t="s">
        <v>42</v>
      </c>
      <c r="B1495" t="s">
        <v>8</v>
      </c>
      <c r="C1495">
        <v>1</v>
      </c>
      <c r="D1495">
        <v>3</v>
      </c>
      <c r="E1495">
        <v>2</v>
      </c>
      <c r="F1495" s="15">
        <v>45957</v>
      </c>
      <c r="G1495" t="s">
        <v>227</v>
      </c>
      <c r="H1495">
        <v>5</v>
      </c>
      <c r="I1495">
        <v>2025</v>
      </c>
      <c r="J1495">
        <v>10</v>
      </c>
      <c r="K1495" t="s">
        <v>87</v>
      </c>
      <c r="L1495" t="s">
        <v>10</v>
      </c>
      <c r="M1495" t="s">
        <v>6</v>
      </c>
      <c r="N1495" t="b">
        <v>0</v>
      </c>
      <c r="O1495">
        <v>1</v>
      </c>
      <c r="P1495">
        <v>0</v>
      </c>
      <c r="Q1495">
        <v>0</v>
      </c>
      <c r="R1495">
        <v>0</v>
      </c>
    </row>
    <row r="1496" spans="1:18" x14ac:dyDescent="0.25">
      <c r="A1496" t="s">
        <v>42</v>
      </c>
      <c r="B1496" t="s">
        <v>8</v>
      </c>
      <c r="C1496">
        <v>1</v>
      </c>
      <c r="D1496">
        <v>3</v>
      </c>
      <c r="E1496">
        <v>2</v>
      </c>
      <c r="F1496" s="15">
        <v>45957</v>
      </c>
      <c r="G1496" t="s">
        <v>227</v>
      </c>
      <c r="H1496">
        <v>5</v>
      </c>
      <c r="I1496">
        <v>2025</v>
      </c>
      <c r="J1496">
        <v>10</v>
      </c>
      <c r="K1496" t="s">
        <v>87</v>
      </c>
      <c r="L1496" t="s">
        <v>60</v>
      </c>
      <c r="M1496" t="s">
        <v>6</v>
      </c>
      <c r="N1496" t="b">
        <v>0</v>
      </c>
      <c r="O1496">
        <v>1</v>
      </c>
      <c r="P1496">
        <v>0</v>
      </c>
      <c r="Q1496">
        <v>0</v>
      </c>
      <c r="R1496">
        <v>0</v>
      </c>
    </row>
    <row r="1497" spans="1:18" x14ac:dyDescent="0.25">
      <c r="A1497" t="s">
        <v>42</v>
      </c>
      <c r="B1497" t="s">
        <v>8</v>
      </c>
      <c r="C1497">
        <v>1</v>
      </c>
      <c r="D1497">
        <v>3</v>
      </c>
      <c r="E1497">
        <v>2</v>
      </c>
      <c r="F1497" s="15">
        <v>45957</v>
      </c>
      <c r="G1497" t="s">
        <v>227</v>
      </c>
      <c r="H1497">
        <v>5</v>
      </c>
      <c r="I1497">
        <v>2025</v>
      </c>
      <c r="J1497">
        <v>10</v>
      </c>
      <c r="K1497" t="s">
        <v>87</v>
      </c>
      <c r="L1497" t="s">
        <v>18</v>
      </c>
      <c r="M1497" t="s">
        <v>6</v>
      </c>
      <c r="N1497" t="b">
        <v>0</v>
      </c>
      <c r="O1497">
        <v>1</v>
      </c>
      <c r="P1497">
        <v>0</v>
      </c>
      <c r="Q1497">
        <v>0</v>
      </c>
      <c r="R1497">
        <v>0</v>
      </c>
    </row>
    <row r="1498" spans="1:18" x14ac:dyDescent="0.25">
      <c r="A1498" t="s">
        <v>18</v>
      </c>
      <c r="B1498" t="s">
        <v>6</v>
      </c>
      <c r="C1498">
        <v>4</v>
      </c>
      <c r="D1498">
        <v>3</v>
      </c>
      <c r="E1498">
        <v>2</v>
      </c>
      <c r="F1498" s="15">
        <v>45957</v>
      </c>
      <c r="G1498" t="s">
        <v>227</v>
      </c>
      <c r="H1498">
        <v>5</v>
      </c>
      <c r="I1498">
        <v>2025</v>
      </c>
      <c r="J1498">
        <v>10</v>
      </c>
      <c r="K1498" t="s">
        <v>87</v>
      </c>
      <c r="L1498" t="s">
        <v>13</v>
      </c>
      <c r="M1498" t="s">
        <v>6</v>
      </c>
      <c r="N1498" t="b">
        <v>0</v>
      </c>
      <c r="O1498">
        <v>0</v>
      </c>
      <c r="P1498">
        <v>1</v>
      </c>
      <c r="Q1498">
        <v>0</v>
      </c>
      <c r="R1498">
        <v>0</v>
      </c>
    </row>
    <row r="1499" spans="1:18" x14ac:dyDescent="0.25">
      <c r="A1499" t="s">
        <v>18</v>
      </c>
      <c r="B1499" t="s">
        <v>6</v>
      </c>
      <c r="C1499">
        <v>4</v>
      </c>
      <c r="D1499">
        <v>3</v>
      </c>
      <c r="E1499">
        <v>2</v>
      </c>
      <c r="F1499" s="15">
        <v>45957</v>
      </c>
      <c r="G1499" t="s">
        <v>227</v>
      </c>
      <c r="H1499">
        <v>5</v>
      </c>
      <c r="I1499">
        <v>2025</v>
      </c>
      <c r="J1499">
        <v>10</v>
      </c>
      <c r="K1499" t="s">
        <v>87</v>
      </c>
      <c r="L1499" t="s">
        <v>10</v>
      </c>
      <c r="M1499" t="s">
        <v>6</v>
      </c>
      <c r="N1499" t="b">
        <v>0</v>
      </c>
      <c r="O1499">
        <v>0</v>
      </c>
      <c r="P1499">
        <v>1</v>
      </c>
      <c r="Q1499">
        <v>0</v>
      </c>
      <c r="R1499">
        <v>0</v>
      </c>
    </row>
    <row r="1500" spans="1:18" x14ac:dyDescent="0.25">
      <c r="A1500" t="s">
        <v>18</v>
      </c>
      <c r="B1500" t="s">
        <v>6</v>
      </c>
      <c r="C1500">
        <v>4</v>
      </c>
      <c r="D1500">
        <v>3</v>
      </c>
      <c r="E1500">
        <v>2</v>
      </c>
      <c r="F1500" s="15">
        <v>45957</v>
      </c>
      <c r="G1500" t="s">
        <v>227</v>
      </c>
      <c r="H1500">
        <v>5</v>
      </c>
      <c r="I1500">
        <v>2025</v>
      </c>
      <c r="J1500">
        <v>10</v>
      </c>
      <c r="K1500" t="s">
        <v>87</v>
      </c>
      <c r="L1500" t="s">
        <v>60</v>
      </c>
      <c r="M1500" t="s">
        <v>6</v>
      </c>
      <c r="N1500" t="b">
        <v>0</v>
      </c>
      <c r="O1500">
        <v>0</v>
      </c>
      <c r="P1500">
        <v>1</v>
      </c>
      <c r="Q1500">
        <v>0</v>
      </c>
      <c r="R1500">
        <v>0</v>
      </c>
    </row>
    <row r="1501" spans="1:18" x14ac:dyDescent="0.25">
      <c r="A1501" t="s">
        <v>18</v>
      </c>
      <c r="B1501" t="s">
        <v>6</v>
      </c>
      <c r="C1501">
        <v>4</v>
      </c>
      <c r="D1501">
        <v>3</v>
      </c>
      <c r="E1501">
        <v>2</v>
      </c>
      <c r="F1501" s="15">
        <v>45957</v>
      </c>
      <c r="G1501" t="s">
        <v>227</v>
      </c>
      <c r="H1501">
        <v>5</v>
      </c>
      <c r="I1501">
        <v>2025</v>
      </c>
      <c r="J1501">
        <v>10</v>
      </c>
      <c r="K1501" t="s">
        <v>87</v>
      </c>
      <c r="L1501" t="s">
        <v>42</v>
      </c>
      <c r="M1501" t="s">
        <v>8</v>
      </c>
      <c r="N1501" t="b">
        <v>0</v>
      </c>
      <c r="O1501">
        <v>0</v>
      </c>
      <c r="P1501">
        <v>1</v>
      </c>
      <c r="Q1501">
        <v>0</v>
      </c>
      <c r="R1501">
        <v>1</v>
      </c>
    </row>
    <row r="1502" spans="1:18" x14ac:dyDescent="0.25">
      <c r="A1502" t="s">
        <v>13</v>
      </c>
      <c r="B1502" t="s">
        <v>6</v>
      </c>
      <c r="C1502">
        <v>3</v>
      </c>
      <c r="D1502">
        <v>3</v>
      </c>
      <c r="E1502">
        <v>2</v>
      </c>
      <c r="F1502" s="15">
        <v>45992</v>
      </c>
      <c r="G1502" t="s">
        <v>232</v>
      </c>
      <c r="H1502">
        <v>3</v>
      </c>
      <c r="I1502">
        <v>2025</v>
      </c>
      <c r="J1502">
        <v>12</v>
      </c>
      <c r="K1502" t="s">
        <v>87</v>
      </c>
      <c r="L1502" t="s">
        <v>57</v>
      </c>
      <c r="M1502" t="s">
        <v>6</v>
      </c>
      <c r="N1502" t="b">
        <v>0</v>
      </c>
      <c r="O1502">
        <v>0</v>
      </c>
      <c r="P1502">
        <v>1</v>
      </c>
      <c r="Q1502">
        <v>0</v>
      </c>
      <c r="R1502">
        <v>0</v>
      </c>
    </row>
    <row r="1503" spans="1:18" x14ac:dyDescent="0.25">
      <c r="A1503" t="s">
        <v>13</v>
      </c>
      <c r="B1503" t="s">
        <v>6</v>
      </c>
      <c r="C1503">
        <v>3</v>
      </c>
      <c r="D1503">
        <v>3</v>
      </c>
      <c r="E1503">
        <v>2</v>
      </c>
      <c r="F1503" s="15">
        <v>45992</v>
      </c>
      <c r="G1503" t="s">
        <v>232</v>
      </c>
      <c r="H1503">
        <v>3</v>
      </c>
      <c r="I1503">
        <v>2025</v>
      </c>
      <c r="J1503">
        <v>12</v>
      </c>
      <c r="K1503" t="s">
        <v>87</v>
      </c>
      <c r="L1503" t="s">
        <v>15</v>
      </c>
      <c r="M1503" t="s">
        <v>8</v>
      </c>
      <c r="N1503" t="b">
        <v>0</v>
      </c>
      <c r="O1503">
        <v>0</v>
      </c>
      <c r="P1503">
        <v>1</v>
      </c>
      <c r="Q1503">
        <v>0</v>
      </c>
      <c r="R1503">
        <v>1</v>
      </c>
    </row>
    <row r="1504" spans="1:18" x14ac:dyDescent="0.25">
      <c r="A1504" t="s">
        <v>57</v>
      </c>
      <c r="B1504" t="s">
        <v>6</v>
      </c>
      <c r="C1504">
        <v>1</v>
      </c>
      <c r="D1504">
        <v>3</v>
      </c>
      <c r="E1504">
        <v>2</v>
      </c>
      <c r="F1504" s="15">
        <v>45992</v>
      </c>
      <c r="G1504" t="s">
        <v>232</v>
      </c>
      <c r="H1504">
        <v>3</v>
      </c>
      <c r="I1504">
        <v>2025</v>
      </c>
      <c r="J1504">
        <v>12</v>
      </c>
      <c r="K1504" t="s">
        <v>87</v>
      </c>
      <c r="L1504" t="s">
        <v>13</v>
      </c>
      <c r="M1504" t="s">
        <v>6</v>
      </c>
      <c r="N1504" t="b">
        <v>0</v>
      </c>
      <c r="O1504">
        <v>0</v>
      </c>
      <c r="P1504">
        <v>1</v>
      </c>
      <c r="Q1504">
        <v>0</v>
      </c>
      <c r="R1504">
        <v>0</v>
      </c>
    </row>
    <row r="1505" spans="1:18" x14ac:dyDescent="0.25">
      <c r="A1505" t="s">
        <v>57</v>
      </c>
      <c r="B1505" t="s">
        <v>6</v>
      </c>
      <c r="C1505">
        <v>1</v>
      </c>
      <c r="D1505">
        <v>3</v>
      </c>
      <c r="E1505">
        <v>2</v>
      </c>
      <c r="F1505" s="15">
        <v>45992</v>
      </c>
      <c r="G1505" t="s">
        <v>232</v>
      </c>
      <c r="H1505">
        <v>3</v>
      </c>
      <c r="I1505">
        <v>2025</v>
      </c>
      <c r="J1505">
        <v>12</v>
      </c>
      <c r="K1505" t="s">
        <v>87</v>
      </c>
      <c r="L1505" t="s">
        <v>15</v>
      </c>
      <c r="M1505" t="s">
        <v>8</v>
      </c>
      <c r="N1505" t="b">
        <v>0</v>
      </c>
      <c r="O1505">
        <v>0</v>
      </c>
      <c r="P1505">
        <v>1</v>
      </c>
      <c r="Q1505">
        <v>0</v>
      </c>
      <c r="R1505">
        <v>1</v>
      </c>
    </row>
    <row r="1506" spans="1:18" x14ac:dyDescent="0.25">
      <c r="A1506" t="s">
        <v>15</v>
      </c>
      <c r="B1506" t="s">
        <v>8</v>
      </c>
      <c r="C1506">
        <v>2</v>
      </c>
      <c r="D1506">
        <v>3</v>
      </c>
      <c r="E1506">
        <v>2</v>
      </c>
      <c r="F1506" s="15">
        <v>45992</v>
      </c>
      <c r="G1506" t="s">
        <v>232</v>
      </c>
      <c r="H1506">
        <v>3</v>
      </c>
      <c r="I1506">
        <v>2025</v>
      </c>
      <c r="J1506">
        <v>12</v>
      </c>
      <c r="K1506" t="s">
        <v>87</v>
      </c>
      <c r="L1506" t="s">
        <v>13</v>
      </c>
      <c r="M1506" t="s">
        <v>6</v>
      </c>
      <c r="N1506" t="b">
        <v>0</v>
      </c>
      <c r="O1506">
        <v>1</v>
      </c>
      <c r="P1506">
        <v>0</v>
      </c>
      <c r="Q1506">
        <v>0</v>
      </c>
      <c r="R1506">
        <v>0</v>
      </c>
    </row>
    <row r="1507" spans="1:18" x14ac:dyDescent="0.25">
      <c r="A1507" t="s">
        <v>15</v>
      </c>
      <c r="B1507" t="s">
        <v>8</v>
      </c>
      <c r="C1507">
        <v>2</v>
      </c>
      <c r="D1507">
        <v>3</v>
      </c>
      <c r="E1507">
        <v>2</v>
      </c>
      <c r="F1507" s="15">
        <v>45992</v>
      </c>
      <c r="G1507" t="s">
        <v>232</v>
      </c>
      <c r="H1507">
        <v>3</v>
      </c>
      <c r="I1507">
        <v>2025</v>
      </c>
      <c r="J1507">
        <v>12</v>
      </c>
      <c r="K1507" t="s">
        <v>87</v>
      </c>
      <c r="L1507" t="s">
        <v>57</v>
      </c>
      <c r="M1507" t="s">
        <v>6</v>
      </c>
      <c r="N1507" t="b">
        <v>0</v>
      </c>
      <c r="O1507">
        <v>1</v>
      </c>
      <c r="P1507">
        <v>0</v>
      </c>
      <c r="Q1507">
        <v>0</v>
      </c>
      <c r="R1507">
        <v>0</v>
      </c>
    </row>
    <row r="1508" spans="1:18" x14ac:dyDescent="0.25">
      <c r="A1508" t="s">
        <v>13</v>
      </c>
      <c r="B1508" t="s">
        <v>6</v>
      </c>
      <c r="C1508">
        <v>3</v>
      </c>
      <c r="D1508">
        <v>4</v>
      </c>
      <c r="E1508">
        <v>1</v>
      </c>
      <c r="F1508" s="15">
        <v>45978</v>
      </c>
      <c r="G1508" t="s">
        <v>252</v>
      </c>
      <c r="H1508">
        <v>3</v>
      </c>
      <c r="I1508">
        <v>2025</v>
      </c>
      <c r="J1508">
        <v>11</v>
      </c>
      <c r="K1508" t="s">
        <v>87</v>
      </c>
      <c r="L1508" t="s">
        <v>11</v>
      </c>
      <c r="M1508" t="s">
        <v>8</v>
      </c>
      <c r="N1508" t="b">
        <v>0</v>
      </c>
      <c r="O1508">
        <v>0</v>
      </c>
      <c r="P1508">
        <v>1</v>
      </c>
      <c r="Q1508">
        <v>0</v>
      </c>
      <c r="R1508">
        <v>1</v>
      </c>
    </row>
    <row r="1509" spans="1:18" x14ac:dyDescent="0.25">
      <c r="A1509" t="s">
        <v>13</v>
      </c>
      <c r="B1509" t="s">
        <v>6</v>
      </c>
      <c r="C1509">
        <v>3</v>
      </c>
      <c r="D1509">
        <v>4</v>
      </c>
      <c r="E1509">
        <v>1</v>
      </c>
      <c r="F1509" s="15">
        <v>45978</v>
      </c>
      <c r="G1509" t="s">
        <v>252</v>
      </c>
      <c r="H1509">
        <v>3</v>
      </c>
      <c r="I1509">
        <v>2025</v>
      </c>
      <c r="J1509">
        <v>11</v>
      </c>
      <c r="K1509" t="s">
        <v>87</v>
      </c>
      <c r="L1509" t="s">
        <v>352</v>
      </c>
      <c r="M1509" t="s">
        <v>6</v>
      </c>
      <c r="N1509" t="b">
        <v>0</v>
      </c>
      <c r="O1509">
        <v>0</v>
      </c>
      <c r="P1509">
        <v>1</v>
      </c>
      <c r="Q1509">
        <v>0</v>
      </c>
      <c r="R1509">
        <v>0</v>
      </c>
    </row>
    <row r="1510" spans="1:18" x14ac:dyDescent="0.25">
      <c r="A1510" t="s">
        <v>11</v>
      </c>
      <c r="B1510" t="s">
        <v>8</v>
      </c>
      <c r="C1510">
        <v>2</v>
      </c>
      <c r="D1510">
        <v>4</v>
      </c>
      <c r="E1510">
        <v>1</v>
      </c>
      <c r="F1510" s="15">
        <v>45978</v>
      </c>
      <c r="G1510" t="s">
        <v>252</v>
      </c>
      <c r="H1510">
        <v>3</v>
      </c>
      <c r="I1510">
        <v>2025</v>
      </c>
      <c r="J1510">
        <v>11</v>
      </c>
      <c r="K1510" t="s">
        <v>87</v>
      </c>
      <c r="L1510" t="s">
        <v>13</v>
      </c>
      <c r="M1510" t="s">
        <v>6</v>
      </c>
      <c r="N1510" t="b">
        <v>0</v>
      </c>
      <c r="O1510">
        <v>1</v>
      </c>
      <c r="P1510">
        <v>0</v>
      </c>
      <c r="Q1510">
        <v>0</v>
      </c>
      <c r="R1510">
        <v>0</v>
      </c>
    </row>
    <row r="1511" spans="1:18" x14ac:dyDescent="0.25">
      <c r="A1511" t="s">
        <v>11</v>
      </c>
      <c r="B1511" t="s">
        <v>8</v>
      </c>
      <c r="C1511">
        <v>2</v>
      </c>
      <c r="D1511">
        <v>4</v>
      </c>
      <c r="E1511">
        <v>1</v>
      </c>
      <c r="F1511" s="15">
        <v>45978</v>
      </c>
      <c r="G1511" t="s">
        <v>252</v>
      </c>
      <c r="H1511">
        <v>3</v>
      </c>
      <c r="I1511">
        <v>2025</v>
      </c>
      <c r="J1511">
        <v>11</v>
      </c>
      <c r="K1511" t="s">
        <v>87</v>
      </c>
      <c r="L1511" t="s">
        <v>352</v>
      </c>
      <c r="M1511" t="s">
        <v>6</v>
      </c>
      <c r="N1511" t="b">
        <v>0</v>
      </c>
      <c r="O1511">
        <v>1</v>
      </c>
      <c r="P1511">
        <v>0</v>
      </c>
      <c r="Q1511">
        <v>0</v>
      </c>
      <c r="R1511">
        <v>0</v>
      </c>
    </row>
    <row r="1512" spans="1:18" x14ac:dyDescent="0.25">
      <c r="A1512" t="s">
        <v>352</v>
      </c>
      <c r="B1512" t="s">
        <v>6</v>
      </c>
      <c r="C1512">
        <v>1</v>
      </c>
      <c r="D1512">
        <v>4</v>
      </c>
      <c r="E1512">
        <v>1</v>
      </c>
      <c r="F1512" s="15">
        <v>45978</v>
      </c>
      <c r="G1512" t="s">
        <v>252</v>
      </c>
      <c r="H1512">
        <v>3</v>
      </c>
      <c r="I1512">
        <v>2025</v>
      </c>
      <c r="J1512">
        <v>11</v>
      </c>
      <c r="K1512" t="s">
        <v>87</v>
      </c>
      <c r="L1512" t="s">
        <v>13</v>
      </c>
      <c r="M1512" t="s">
        <v>6</v>
      </c>
      <c r="N1512" t="b">
        <v>0</v>
      </c>
      <c r="O1512">
        <v>0</v>
      </c>
      <c r="P1512">
        <v>1</v>
      </c>
      <c r="Q1512">
        <v>0</v>
      </c>
      <c r="R1512">
        <v>0</v>
      </c>
    </row>
    <row r="1513" spans="1:18" x14ac:dyDescent="0.25">
      <c r="A1513" t="s">
        <v>352</v>
      </c>
      <c r="B1513" t="s">
        <v>6</v>
      </c>
      <c r="C1513">
        <v>1</v>
      </c>
      <c r="D1513">
        <v>4</v>
      </c>
      <c r="E1513">
        <v>1</v>
      </c>
      <c r="F1513" s="15">
        <v>45978</v>
      </c>
      <c r="G1513" t="s">
        <v>252</v>
      </c>
      <c r="H1513">
        <v>3</v>
      </c>
      <c r="I1513">
        <v>2025</v>
      </c>
      <c r="J1513">
        <v>11</v>
      </c>
      <c r="K1513" t="s">
        <v>87</v>
      </c>
      <c r="L1513" t="s">
        <v>11</v>
      </c>
      <c r="M1513" t="s">
        <v>8</v>
      </c>
      <c r="N1513" t="b">
        <v>0</v>
      </c>
      <c r="O1513">
        <v>0</v>
      </c>
      <c r="P1513">
        <v>1</v>
      </c>
      <c r="Q1513">
        <v>0</v>
      </c>
      <c r="R1513">
        <v>1</v>
      </c>
    </row>
    <row r="1514" spans="1:18" x14ac:dyDescent="0.25">
      <c r="A1514" t="s">
        <v>13</v>
      </c>
      <c r="B1514" t="s">
        <v>6</v>
      </c>
      <c r="C1514">
        <v>1</v>
      </c>
      <c r="D1514">
        <v>4</v>
      </c>
      <c r="E1514">
        <v>2</v>
      </c>
      <c r="F1514" s="15">
        <v>45908</v>
      </c>
      <c r="G1514" t="s">
        <v>262</v>
      </c>
      <c r="H1514">
        <v>3</v>
      </c>
      <c r="I1514">
        <v>2025</v>
      </c>
      <c r="J1514">
        <v>9</v>
      </c>
      <c r="K1514" t="s">
        <v>87</v>
      </c>
      <c r="L1514" t="s">
        <v>20</v>
      </c>
      <c r="M1514" t="s">
        <v>8</v>
      </c>
      <c r="N1514" t="b">
        <v>0</v>
      </c>
      <c r="O1514">
        <v>0</v>
      </c>
      <c r="P1514">
        <v>1</v>
      </c>
      <c r="Q1514">
        <v>0</v>
      </c>
      <c r="R1514">
        <v>1</v>
      </c>
    </row>
    <row r="1515" spans="1:18" x14ac:dyDescent="0.25">
      <c r="A1515" t="s">
        <v>13</v>
      </c>
      <c r="B1515" t="s">
        <v>6</v>
      </c>
      <c r="C1515">
        <v>1</v>
      </c>
      <c r="D1515">
        <v>4</v>
      </c>
      <c r="E1515">
        <v>2</v>
      </c>
      <c r="F1515" s="15">
        <v>45908</v>
      </c>
      <c r="G1515" t="s">
        <v>262</v>
      </c>
      <c r="H1515">
        <v>3</v>
      </c>
      <c r="I1515">
        <v>2025</v>
      </c>
      <c r="J1515">
        <v>9</v>
      </c>
      <c r="K1515" t="s">
        <v>87</v>
      </c>
      <c r="L1515" t="s">
        <v>28</v>
      </c>
      <c r="M1515" t="s">
        <v>6</v>
      </c>
      <c r="N1515" t="b">
        <v>0</v>
      </c>
      <c r="O1515">
        <v>0</v>
      </c>
      <c r="P1515">
        <v>1</v>
      </c>
      <c r="Q1515">
        <v>0</v>
      </c>
      <c r="R1515">
        <v>0</v>
      </c>
    </row>
    <row r="1516" spans="1:18" x14ac:dyDescent="0.25">
      <c r="A1516" t="s">
        <v>20</v>
      </c>
      <c r="B1516" t="s">
        <v>8</v>
      </c>
      <c r="C1516">
        <v>3</v>
      </c>
      <c r="D1516">
        <v>4</v>
      </c>
      <c r="E1516">
        <v>2</v>
      </c>
      <c r="F1516" s="15">
        <v>45908</v>
      </c>
      <c r="G1516" t="s">
        <v>262</v>
      </c>
      <c r="H1516">
        <v>3</v>
      </c>
      <c r="I1516">
        <v>2025</v>
      </c>
      <c r="J1516">
        <v>9</v>
      </c>
      <c r="K1516" t="s">
        <v>87</v>
      </c>
      <c r="L1516" t="s">
        <v>13</v>
      </c>
      <c r="M1516" t="s">
        <v>6</v>
      </c>
      <c r="N1516" t="b">
        <v>0</v>
      </c>
      <c r="O1516">
        <v>1</v>
      </c>
      <c r="P1516">
        <v>0</v>
      </c>
      <c r="Q1516">
        <v>0</v>
      </c>
      <c r="R1516">
        <v>0</v>
      </c>
    </row>
    <row r="1517" spans="1:18" x14ac:dyDescent="0.25">
      <c r="A1517" t="s">
        <v>20</v>
      </c>
      <c r="B1517" t="s">
        <v>8</v>
      </c>
      <c r="C1517">
        <v>3</v>
      </c>
      <c r="D1517">
        <v>4</v>
      </c>
      <c r="E1517">
        <v>2</v>
      </c>
      <c r="F1517" s="15">
        <v>45908</v>
      </c>
      <c r="G1517" t="s">
        <v>262</v>
      </c>
      <c r="H1517">
        <v>3</v>
      </c>
      <c r="I1517">
        <v>2025</v>
      </c>
      <c r="J1517">
        <v>9</v>
      </c>
      <c r="K1517" t="s">
        <v>87</v>
      </c>
      <c r="L1517" t="s">
        <v>28</v>
      </c>
      <c r="M1517" t="s">
        <v>6</v>
      </c>
      <c r="N1517" t="b">
        <v>0</v>
      </c>
      <c r="O1517">
        <v>1</v>
      </c>
      <c r="P1517">
        <v>0</v>
      </c>
      <c r="Q1517">
        <v>0</v>
      </c>
      <c r="R1517">
        <v>0</v>
      </c>
    </row>
    <row r="1518" spans="1:18" x14ac:dyDescent="0.25">
      <c r="A1518" t="s">
        <v>28</v>
      </c>
      <c r="B1518" t="s">
        <v>6</v>
      </c>
      <c r="C1518">
        <v>2</v>
      </c>
      <c r="D1518">
        <v>4</v>
      </c>
      <c r="E1518">
        <v>2</v>
      </c>
      <c r="F1518" s="15">
        <v>45908</v>
      </c>
      <c r="G1518" t="s">
        <v>262</v>
      </c>
      <c r="H1518">
        <v>3</v>
      </c>
      <c r="I1518">
        <v>2025</v>
      </c>
      <c r="J1518">
        <v>9</v>
      </c>
      <c r="K1518" t="s">
        <v>87</v>
      </c>
      <c r="L1518" t="s">
        <v>13</v>
      </c>
      <c r="M1518" t="s">
        <v>6</v>
      </c>
      <c r="N1518" t="b">
        <v>0</v>
      </c>
      <c r="O1518">
        <v>0</v>
      </c>
      <c r="P1518">
        <v>1</v>
      </c>
      <c r="Q1518">
        <v>0</v>
      </c>
      <c r="R1518">
        <v>0</v>
      </c>
    </row>
    <row r="1519" spans="1:18" x14ac:dyDescent="0.25">
      <c r="A1519" t="s">
        <v>28</v>
      </c>
      <c r="B1519" t="s">
        <v>6</v>
      </c>
      <c r="C1519">
        <v>2</v>
      </c>
      <c r="D1519">
        <v>4</v>
      </c>
      <c r="E1519">
        <v>2</v>
      </c>
      <c r="F1519" s="15">
        <v>45908</v>
      </c>
      <c r="G1519" t="s">
        <v>262</v>
      </c>
      <c r="H1519">
        <v>3</v>
      </c>
      <c r="I1519">
        <v>2025</v>
      </c>
      <c r="J1519">
        <v>9</v>
      </c>
      <c r="K1519" t="s">
        <v>87</v>
      </c>
      <c r="L1519" t="s">
        <v>20</v>
      </c>
      <c r="M1519" t="s">
        <v>8</v>
      </c>
      <c r="N1519" t="b">
        <v>0</v>
      </c>
      <c r="O1519">
        <v>0</v>
      </c>
      <c r="P1519">
        <v>1</v>
      </c>
      <c r="Q1519">
        <v>0</v>
      </c>
      <c r="R1519">
        <v>1</v>
      </c>
    </row>
    <row r="1520" spans="1:18" x14ac:dyDescent="0.25">
      <c r="A1520" t="s">
        <v>13</v>
      </c>
      <c r="B1520" t="s">
        <v>8</v>
      </c>
      <c r="C1520">
        <v>2</v>
      </c>
      <c r="D1520">
        <v>4</v>
      </c>
      <c r="E1520">
        <v>2</v>
      </c>
      <c r="F1520" s="15">
        <v>46006</v>
      </c>
      <c r="G1520" t="s">
        <v>274</v>
      </c>
      <c r="H1520">
        <v>4</v>
      </c>
      <c r="I1520">
        <v>2025</v>
      </c>
      <c r="J1520">
        <v>12</v>
      </c>
      <c r="K1520" t="s">
        <v>87</v>
      </c>
      <c r="L1520" t="s">
        <v>16</v>
      </c>
      <c r="M1520" t="s">
        <v>6</v>
      </c>
      <c r="N1520" t="b">
        <v>0</v>
      </c>
      <c r="O1520">
        <v>1</v>
      </c>
      <c r="P1520">
        <v>0</v>
      </c>
      <c r="Q1520">
        <v>0</v>
      </c>
      <c r="R1520">
        <v>0</v>
      </c>
    </row>
    <row r="1521" spans="1:18" x14ac:dyDescent="0.25">
      <c r="A1521" t="s">
        <v>13</v>
      </c>
      <c r="B1521" t="s">
        <v>8</v>
      </c>
      <c r="C1521">
        <v>2</v>
      </c>
      <c r="D1521">
        <v>4</v>
      </c>
      <c r="E1521">
        <v>2</v>
      </c>
      <c r="F1521" s="15">
        <v>46006</v>
      </c>
      <c r="G1521" t="s">
        <v>274</v>
      </c>
      <c r="H1521">
        <v>4</v>
      </c>
      <c r="I1521">
        <v>2025</v>
      </c>
      <c r="J1521">
        <v>12</v>
      </c>
      <c r="K1521" t="s">
        <v>87</v>
      </c>
      <c r="L1521" t="s">
        <v>21</v>
      </c>
      <c r="M1521" t="s">
        <v>6</v>
      </c>
      <c r="N1521" t="b">
        <v>0</v>
      </c>
      <c r="O1521">
        <v>1</v>
      </c>
      <c r="P1521">
        <v>0</v>
      </c>
      <c r="Q1521">
        <v>0</v>
      </c>
      <c r="R1521">
        <v>0</v>
      </c>
    </row>
    <row r="1522" spans="1:18" x14ac:dyDescent="0.25">
      <c r="A1522" t="s">
        <v>13</v>
      </c>
      <c r="B1522" t="s">
        <v>8</v>
      </c>
      <c r="C1522">
        <v>2</v>
      </c>
      <c r="D1522">
        <v>4</v>
      </c>
      <c r="E1522">
        <v>2</v>
      </c>
      <c r="F1522" s="15">
        <v>46006</v>
      </c>
      <c r="G1522" t="s">
        <v>274</v>
      </c>
      <c r="H1522">
        <v>4</v>
      </c>
      <c r="I1522">
        <v>2025</v>
      </c>
      <c r="J1522">
        <v>12</v>
      </c>
      <c r="K1522" t="s">
        <v>87</v>
      </c>
      <c r="L1522" t="s">
        <v>9</v>
      </c>
      <c r="M1522" t="s">
        <v>6</v>
      </c>
      <c r="N1522" t="b">
        <v>0</v>
      </c>
      <c r="O1522">
        <v>1</v>
      </c>
      <c r="P1522">
        <v>0</v>
      </c>
      <c r="Q1522">
        <v>0</v>
      </c>
      <c r="R1522">
        <v>0</v>
      </c>
    </row>
    <row r="1523" spans="1:18" x14ac:dyDescent="0.25">
      <c r="A1523" t="s">
        <v>16</v>
      </c>
      <c r="B1523" t="s">
        <v>6</v>
      </c>
      <c r="C1523">
        <v>4</v>
      </c>
      <c r="D1523">
        <v>4</v>
      </c>
      <c r="E1523">
        <v>2</v>
      </c>
      <c r="F1523" s="15">
        <v>46006</v>
      </c>
      <c r="G1523" t="s">
        <v>274</v>
      </c>
      <c r="H1523">
        <v>4</v>
      </c>
      <c r="I1523">
        <v>2025</v>
      </c>
      <c r="J1523">
        <v>12</v>
      </c>
      <c r="K1523" t="s">
        <v>87</v>
      </c>
      <c r="L1523" t="s">
        <v>13</v>
      </c>
      <c r="M1523" t="s">
        <v>8</v>
      </c>
      <c r="N1523" t="b">
        <v>0</v>
      </c>
      <c r="O1523">
        <v>0</v>
      </c>
      <c r="P1523">
        <v>1</v>
      </c>
      <c r="Q1523">
        <v>0</v>
      </c>
      <c r="R1523">
        <v>1</v>
      </c>
    </row>
    <row r="1524" spans="1:18" x14ac:dyDescent="0.25">
      <c r="A1524" t="s">
        <v>16</v>
      </c>
      <c r="B1524" t="s">
        <v>6</v>
      </c>
      <c r="C1524">
        <v>4</v>
      </c>
      <c r="D1524">
        <v>4</v>
      </c>
      <c r="E1524">
        <v>2</v>
      </c>
      <c r="F1524" s="15">
        <v>46006</v>
      </c>
      <c r="G1524" t="s">
        <v>274</v>
      </c>
      <c r="H1524">
        <v>4</v>
      </c>
      <c r="I1524">
        <v>2025</v>
      </c>
      <c r="J1524">
        <v>12</v>
      </c>
      <c r="K1524" t="s">
        <v>87</v>
      </c>
      <c r="L1524" t="s">
        <v>21</v>
      </c>
      <c r="M1524" t="s">
        <v>6</v>
      </c>
      <c r="N1524" t="b">
        <v>0</v>
      </c>
      <c r="O1524">
        <v>0</v>
      </c>
      <c r="P1524">
        <v>1</v>
      </c>
      <c r="Q1524">
        <v>0</v>
      </c>
      <c r="R1524">
        <v>0</v>
      </c>
    </row>
    <row r="1525" spans="1:18" x14ac:dyDescent="0.25">
      <c r="A1525" t="s">
        <v>16</v>
      </c>
      <c r="B1525" t="s">
        <v>6</v>
      </c>
      <c r="C1525">
        <v>4</v>
      </c>
      <c r="D1525">
        <v>4</v>
      </c>
      <c r="E1525">
        <v>2</v>
      </c>
      <c r="F1525" s="15">
        <v>46006</v>
      </c>
      <c r="G1525" t="s">
        <v>274</v>
      </c>
      <c r="H1525">
        <v>4</v>
      </c>
      <c r="I1525">
        <v>2025</v>
      </c>
      <c r="J1525">
        <v>12</v>
      </c>
      <c r="K1525" t="s">
        <v>87</v>
      </c>
      <c r="L1525" t="s">
        <v>9</v>
      </c>
      <c r="M1525" t="s">
        <v>6</v>
      </c>
      <c r="N1525" t="b">
        <v>0</v>
      </c>
      <c r="O1525">
        <v>0</v>
      </c>
      <c r="P1525">
        <v>1</v>
      </c>
      <c r="Q1525">
        <v>0</v>
      </c>
      <c r="R1525">
        <v>0</v>
      </c>
    </row>
    <row r="1526" spans="1:18" x14ac:dyDescent="0.25">
      <c r="A1526" t="s">
        <v>21</v>
      </c>
      <c r="B1526" t="s">
        <v>6</v>
      </c>
      <c r="C1526">
        <v>1</v>
      </c>
      <c r="D1526">
        <v>4</v>
      </c>
      <c r="E1526">
        <v>2</v>
      </c>
      <c r="F1526" s="15">
        <v>46006</v>
      </c>
      <c r="G1526" t="s">
        <v>274</v>
      </c>
      <c r="H1526">
        <v>4</v>
      </c>
      <c r="I1526">
        <v>2025</v>
      </c>
      <c r="J1526">
        <v>12</v>
      </c>
      <c r="K1526" t="s">
        <v>87</v>
      </c>
      <c r="L1526" t="s">
        <v>13</v>
      </c>
      <c r="M1526" t="s">
        <v>8</v>
      </c>
      <c r="N1526" t="b">
        <v>0</v>
      </c>
      <c r="O1526">
        <v>0</v>
      </c>
      <c r="P1526">
        <v>1</v>
      </c>
      <c r="Q1526">
        <v>0</v>
      </c>
      <c r="R1526">
        <v>1</v>
      </c>
    </row>
    <row r="1527" spans="1:18" x14ac:dyDescent="0.25">
      <c r="A1527" t="s">
        <v>21</v>
      </c>
      <c r="B1527" t="s">
        <v>6</v>
      </c>
      <c r="C1527">
        <v>1</v>
      </c>
      <c r="D1527">
        <v>4</v>
      </c>
      <c r="E1527">
        <v>2</v>
      </c>
      <c r="F1527" s="15">
        <v>46006</v>
      </c>
      <c r="G1527" t="s">
        <v>274</v>
      </c>
      <c r="H1527">
        <v>4</v>
      </c>
      <c r="I1527">
        <v>2025</v>
      </c>
      <c r="J1527">
        <v>12</v>
      </c>
      <c r="K1527" t="s">
        <v>87</v>
      </c>
      <c r="L1527" t="s">
        <v>16</v>
      </c>
      <c r="M1527" t="s">
        <v>6</v>
      </c>
      <c r="N1527" t="b">
        <v>0</v>
      </c>
      <c r="O1527">
        <v>0</v>
      </c>
      <c r="P1527">
        <v>1</v>
      </c>
      <c r="Q1527">
        <v>0</v>
      </c>
      <c r="R1527">
        <v>0</v>
      </c>
    </row>
    <row r="1528" spans="1:18" x14ac:dyDescent="0.25">
      <c r="A1528" t="s">
        <v>21</v>
      </c>
      <c r="B1528" t="s">
        <v>6</v>
      </c>
      <c r="C1528">
        <v>1</v>
      </c>
      <c r="D1528">
        <v>4</v>
      </c>
      <c r="E1528">
        <v>2</v>
      </c>
      <c r="F1528" s="15">
        <v>46006</v>
      </c>
      <c r="G1528" t="s">
        <v>274</v>
      </c>
      <c r="H1528">
        <v>4</v>
      </c>
      <c r="I1528">
        <v>2025</v>
      </c>
      <c r="J1528">
        <v>12</v>
      </c>
      <c r="K1528" t="s">
        <v>87</v>
      </c>
      <c r="L1528" t="s">
        <v>9</v>
      </c>
      <c r="M1528" t="s">
        <v>6</v>
      </c>
      <c r="N1528" t="b">
        <v>0</v>
      </c>
      <c r="O1528">
        <v>0</v>
      </c>
      <c r="P1528">
        <v>1</v>
      </c>
      <c r="Q1528">
        <v>0</v>
      </c>
      <c r="R1528">
        <v>0</v>
      </c>
    </row>
    <row r="1529" spans="1:18" x14ac:dyDescent="0.25">
      <c r="A1529" t="s">
        <v>9</v>
      </c>
      <c r="B1529" t="s">
        <v>6</v>
      </c>
      <c r="C1529">
        <v>3</v>
      </c>
      <c r="D1529">
        <v>4</v>
      </c>
      <c r="E1529">
        <v>2</v>
      </c>
      <c r="F1529" s="15">
        <v>46006</v>
      </c>
      <c r="G1529" t="s">
        <v>274</v>
      </c>
      <c r="H1529">
        <v>4</v>
      </c>
      <c r="I1529">
        <v>2025</v>
      </c>
      <c r="J1529">
        <v>12</v>
      </c>
      <c r="K1529" t="s">
        <v>87</v>
      </c>
      <c r="L1529" t="s">
        <v>13</v>
      </c>
      <c r="M1529" t="s">
        <v>8</v>
      </c>
      <c r="N1529" t="b">
        <v>0</v>
      </c>
      <c r="O1529">
        <v>0</v>
      </c>
      <c r="P1529">
        <v>1</v>
      </c>
      <c r="Q1529">
        <v>0</v>
      </c>
      <c r="R1529">
        <v>1</v>
      </c>
    </row>
    <row r="1530" spans="1:18" x14ac:dyDescent="0.25">
      <c r="A1530" t="s">
        <v>9</v>
      </c>
      <c r="B1530" t="s">
        <v>6</v>
      </c>
      <c r="C1530">
        <v>3</v>
      </c>
      <c r="D1530">
        <v>4</v>
      </c>
      <c r="E1530">
        <v>2</v>
      </c>
      <c r="F1530" s="15">
        <v>46006</v>
      </c>
      <c r="G1530" t="s">
        <v>274</v>
      </c>
      <c r="H1530">
        <v>4</v>
      </c>
      <c r="I1530">
        <v>2025</v>
      </c>
      <c r="J1530">
        <v>12</v>
      </c>
      <c r="K1530" t="s">
        <v>87</v>
      </c>
      <c r="L1530" t="s">
        <v>16</v>
      </c>
      <c r="M1530" t="s">
        <v>6</v>
      </c>
      <c r="N1530" t="b">
        <v>0</v>
      </c>
      <c r="O1530">
        <v>0</v>
      </c>
      <c r="P1530">
        <v>1</v>
      </c>
      <c r="Q1530">
        <v>0</v>
      </c>
      <c r="R1530">
        <v>0</v>
      </c>
    </row>
    <row r="1531" spans="1:18" x14ac:dyDescent="0.25">
      <c r="A1531" t="s">
        <v>9</v>
      </c>
      <c r="B1531" t="s">
        <v>6</v>
      </c>
      <c r="C1531">
        <v>3</v>
      </c>
      <c r="D1531">
        <v>4</v>
      </c>
      <c r="E1531">
        <v>2</v>
      </c>
      <c r="F1531" s="15">
        <v>46006</v>
      </c>
      <c r="G1531" t="s">
        <v>274</v>
      </c>
      <c r="H1531">
        <v>4</v>
      </c>
      <c r="I1531">
        <v>2025</v>
      </c>
      <c r="J1531">
        <v>12</v>
      </c>
      <c r="K1531" t="s">
        <v>87</v>
      </c>
      <c r="L1531" t="s">
        <v>21</v>
      </c>
      <c r="M1531" t="s">
        <v>6</v>
      </c>
      <c r="N1531" t="b">
        <v>0</v>
      </c>
      <c r="O1531">
        <v>0</v>
      </c>
      <c r="P1531">
        <v>1</v>
      </c>
      <c r="Q1531">
        <v>0</v>
      </c>
      <c r="R1531">
        <v>0</v>
      </c>
    </row>
    <row r="1532" spans="1:18" x14ac:dyDescent="0.25">
      <c r="A1532" t="s">
        <v>13</v>
      </c>
      <c r="B1532" t="s">
        <v>6</v>
      </c>
      <c r="C1532">
        <v>4</v>
      </c>
      <c r="D1532">
        <v>2</v>
      </c>
      <c r="E1532">
        <v>2</v>
      </c>
      <c r="F1532" s="15">
        <v>46020</v>
      </c>
      <c r="G1532" t="s">
        <v>188</v>
      </c>
      <c r="H1532">
        <v>4</v>
      </c>
      <c r="I1532">
        <v>2025</v>
      </c>
      <c r="J1532">
        <v>12</v>
      </c>
      <c r="K1532" t="s">
        <v>87</v>
      </c>
      <c r="L1532" t="s">
        <v>10</v>
      </c>
      <c r="M1532" t="s">
        <v>6</v>
      </c>
      <c r="N1532" t="b">
        <v>0</v>
      </c>
      <c r="O1532">
        <v>0</v>
      </c>
      <c r="P1532">
        <v>1</v>
      </c>
      <c r="Q1532">
        <v>0</v>
      </c>
      <c r="R1532">
        <v>0</v>
      </c>
    </row>
    <row r="1533" spans="1:18" x14ac:dyDescent="0.25">
      <c r="A1533" t="s">
        <v>13</v>
      </c>
      <c r="B1533" t="s">
        <v>6</v>
      </c>
      <c r="C1533">
        <v>4</v>
      </c>
      <c r="D1533">
        <v>2</v>
      </c>
      <c r="E1533">
        <v>2</v>
      </c>
      <c r="F1533" s="15">
        <v>46020</v>
      </c>
      <c r="G1533" t="s">
        <v>188</v>
      </c>
      <c r="H1533">
        <v>4</v>
      </c>
      <c r="I1533">
        <v>2025</v>
      </c>
      <c r="J1533">
        <v>12</v>
      </c>
      <c r="K1533" t="s">
        <v>87</v>
      </c>
      <c r="L1533" t="s">
        <v>28</v>
      </c>
      <c r="M1533" t="s">
        <v>8</v>
      </c>
      <c r="N1533" t="b">
        <v>0</v>
      </c>
      <c r="O1533">
        <v>0</v>
      </c>
      <c r="P1533">
        <v>1</v>
      </c>
      <c r="Q1533">
        <v>0</v>
      </c>
      <c r="R1533">
        <v>1</v>
      </c>
    </row>
    <row r="1534" spans="1:18" x14ac:dyDescent="0.25">
      <c r="A1534" t="s">
        <v>13</v>
      </c>
      <c r="B1534" t="s">
        <v>6</v>
      </c>
      <c r="C1534">
        <v>4</v>
      </c>
      <c r="D1534">
        <v>2</v>
      </c>
      <c r="E1534">
        <v>2</v>
      </c>
      <c r="F1534" s="15">
        <v>46020</v>
      </c>
      <c r="G1534" t="s">
        <v>188</v>
      </c>
      <c r="H1534">
        <v>4</v>
      </c>
      <c r="I1534">
        <v>2025</v>
      </c>
      <c r="J1534">
        <v>12</v>
      </c>
      <c r="K1534" t="s">
        <v>87</v>
      </c>
      <c r="L1534" t="s">
        <v>27</v>
      </c>
      <c r="M1534" t="s">
        <v>6</v>
      </c>
      <c r="N1534" t="b">
        <v>0</v>
      </c>
      <c r="O1534">
        <v>0</v>
      </c>
      <c r="P1534">
        <v>1</v>
      </c>
      <c r="Q1534">
        <v>0</v>
      </c>
      <c r="R1534">
        <v>0</v>
      </c>
    </row>
    <row r="1535" spans="1:18" x14ac:dyDescent="0.25">
      <c r="A1535" t="s">
        <v>10</v>
      </c>
      <c r="B1535" t="s">
        <v>6</v>
      </c>
      <c r="C1535">
        <v>3</v>
      </c>
      <c r="D1535">
        <v>2</v>
      </c>
      <c r="E1535">
        <v>2</v>
      </c>
      <c r="F1535" s="15">
        <v>46020</v>
      </c>
      <c r="G1535" t="s">
        <v>188</v>
      </c>
      <c r="H1535">
        <v>4</v>
      </c>
      <c r="I1535">
        <v>2025</v>
      </c>
      <c r="J1535">
        <v>12</v>
      </c>
      <c r="K1535" t="s">
        <v>87</v>
      </c>
      <c r="L1535" t="s">
        <v>13</v>
      </c>
      <c r="M1535" t="s">
        <v>6</v>
      </c>
      <c r="N1535" t="b">
        <v>0</v>
      </c>
      <c r="O1535">
        <v>0</v>
      </c>
      <c r="P1535">
        <v>1</v>
      </c>
      <c r="Q1535">
        <v>0</v>
      </c>
      <c r="R1535">
        <v>0</v>
      </c>
    </row>
    <row r="1536" spans="1:18" x14ac:dyDescent="0.25">
      <c r="A1536" t="s">
        <v>10</v>
      </c>
      <c r="B1536" t="s">
        <v>6</v>
      </c>
      <c r="C1536">
        <v>3</v>
      </c>
      <c r="D1536">
        <v>2</v>
      </c>
      <c r="E1536">
        <v>2</v>
      </c>
      <c r="F1536" s="15">
        <v>46020</v>
      </c>
      <c r="G1536" t="s">
        <v>188</v>
      </c>
      <c r="H1536">
        <v>4</v>
      </c>
      <c r="I1536">
        <v>2025</v>
      </c>
      <c r="J1536">
        <v>12</v>
      </c>
      <c r="K1536" t="s">
        <v>87</v>
      </c>
      <c r="L1536" t="s">
        <v>28</v>
      </c>
      <c r="M1536" t="s">
        <v>8</v>
      </c>
      <c r="N1536" t="b">
        <v>0</v>
      </c>
      <c r="O1536">
        <v>0</v>
      </c>
      <c r="P1536">
        <v>1</v>
      </c>
      <c r="Q1536">
        <v>0</v>
      </c>
      <c r="R1536">
        <v>1</v>
      </c>
    </row>
    <row r="1537" spans="1:18" x14ac:dyDescent="0.25">
      <c r="A1537" t="s">
        <v>10</v>
      </c>
      <c r="B1537" t="s">
        <v>6</v>
      </c>
      <c r="C1537">
        <v>3</v>
      </c>
      <c r="D1537">
        <v>2</v>
      </c>
      <c r="E1537">
        <v>2</v>
      </c>
      <c r="F1537" s="15">
        <v>46020</v>
      </c>
      <c r="G1537" t="s">
        <v>188</v>
      </c>
      <c r="H1537">
        <v>4</v>
      </c>
      <c r="I1537">
        <v>2025</v>
      </c>
      <c r="J1537">
        <v>12</v>
      </c>
      <c r="K1537" t="s">
        <v>87</v>
      </c>
      <c r="L1537" t="s">
        <v>27</v>
      </c>
      <c r="M1537" t="s">
        <v>6</v>
      </c>
      <c r="N1537" t="b">
        <v>0</v>
      </c>
      <c r="O1537">
        <v>0</v>
      </c>
      <c r="P1537">
        <v>1</v>
      </c>
      <c r="Q1537">
        <v>0</v>
      </c>
      <c r="R1537">
        <v>0</v>
      </c>
    </row>
    <row r="1538" spans="1:18" x14ac:dyDescent="0.25">
      <c r="A1538" t="s">
        <v>28</v>
      </c>
      <c r="B1538" t="s">
        <v>8</v>
      </c>
      <c r="C1538">
        <v>2</v>
      </c>
      <c r="D1538">
        <v>2</v>
      </c>
      <c r="E1538">
        <v>2</v>
      </c>
      <c r="F1538" s="15">
        <v>46020</v>
      </c>
      <c r="G1538" t="s">
        <v>188</v>
      </c>
      <c r="H1538">
        <v>4</v>
      </c>
      <c r="I1538">
        <v>2025</v>
      </c>
      <c r="J1538">
        <v>12</v>
      </c>
      <c r="K1538" t="s">
        <v>87</v>
      </c>
      <c r="L1538" t="s">
        <v>13</v>
      </c>
      <c r="M1538" t="s">
        <v>6</v>
      </c>
      <c r="N1538" t="b">
        <v>0</v>
      </c>
      <c r="O1538">
        <v>1</v>
      </c>
      <c r="P1538">
        <v>0</v>
      </c>
      <c r="Q1538">
        <v>0</v>
      </c>
      <c r="R1538">
        <v>0</v>
      </c>
    </row>
    <row r="1539" spans="1:18" x14ac:dyDescent="0.25">
      <c r="A1539" t="s">
        <v>28</v>
      </c>
      <c r="B1539" t="s">
        <v>8</v>
      </c>
      <c r="C1539">
        <v>2</v>
      </c>
      <c r="D1539">
        <v>2</v>
      </c>
      <c r="E1539">
        <v>2</v>
      </c>
      <c r="F1539" s="15">
        <v>46020</v>
      </c>
      <c r="G1539" t="s">
        <v>188</v>
      </c>
      <c r="H1539">
        <v>4</v>
      </c>
      <c r="I1539">
        <v>2025</v>
      </c>
      <c r="J1539">
        <v>12</v>
      </c>
      <c r="K1539" t="s">
        <v>87</v>
      </c>
      <c r="L1539" t="s">
        <v>10</v>
      </c>
      <c r="M1539" t="s">
        <v>6</v>
      </c>
      <c r="N1539" t="b">
        <v>0</v>
      </c>
      <c r="O1539">
        <v>1</v>
      </c>
      <c r="P1539">
        <v>0</v>
      </c>
      <c r="Q1539">
        <v>0</v>
      </c>
      <c r="R1539">
        <v>0</v>
      </c>
    </row>
    <row r="1540" spans="1:18" x14ac:dyDescent="0.25">
      <c r="A1540" t="s">
        <v>28</v>
      </c>
      <c r="B1540" t="s">
        <v>8</v>
      </c>
      <c r="C1540">
        <v>2</v>
      </c>
      <c r="D1540">
        <v>2</v>
      </c>
      <c r="E1540">
        <v>2</v>
      </c>
      <c r="F1540" s="15">
        <v>46020</v>
      </c>
      <c r="G1540" t="s">
        <v>188</v>
      </c>
      <c r="H1540">
        <v>4</v>
      </c>
      <c r="I1540">
        <v>2025</v>
      </c>
      <c r="J1540">
        <v>12</v>
      </c>
      <c r="K1540" t="s">
        <v>87</v>
      </c>
      <c r="L1540" t="s">
        <v>27</v>
      </c>
      <c r="M1540" t="s">
        <v>6</v>
      </c>
      <c r="N1540" t="b">
        <v>0</v>
      </c>
      <c r="O1540">
        <v>1</v>
      </c>
      <c r="P1540">
        <v>0</v>
      </c>
      <c r="Q1540">
        <v>0</v>
      </c>
      <c r="R1540">
        <v>0</v>
      </c>
    </row>
    <row r="1541" spans="1:18" x14ac:dyDescent="0.25">
      <c r="A1541" t="s">
        <v>27</v>
      </c>
      <c r="B1541" t="s">
        <v>6</v>
      </c>
      <c r="C1541">
        <v>1</v>
      </c>
      <c r="D1541">
        <v>2</v>
      </c>
      <c r="E1541">
        <v>2</v>
      </c>
      <c r="F1541" s="15">
        <v>46020</v>
      </c>
      <c r="G1541" t="s">
        <v>188</v>
      </c>
      <c r="H1541">
        <v>4</v>
      </c>
      <c r="I1541">
        <v>2025</v>
      </c>
      <c r="J1541">
        <v>12</v>
      </c>
      <c r="K1541" t="s">
        <v>87</v>
      </c>
      <c r="L1541" t="s">
        <v>13</v>
      </c>
      <c r="M1541" t="s">
        <v>6</v>
      </c>
      <c r="N1541" t="b">
        <v>0</v>
      </c>
      <c r="O1541">
        <v>0</v>
      </c>
      <c r="P1541">
        <v>1</v>
      </c>
      <c r="Q1541">
        <v>0</v>
      </c>
      <c r="R1541">
        <v>0</v>
      </c>
    </row>
    <row r="1542" spans="1:18" x14ac:dyDescent="0.25">
      <c r="A1542" t="s">
        <v>27</v>
      </c>
      <c r="B1542" t="s">
        <v>6</v>
      </c>
      <c r="C1542">
        <v>1</v>
      </c>
      <c r="D1542">
        <v>2</v>
      </c>
      <c r="E1542">
        <v>2</v>
      </c>
      <c r="F1542" s="15">
        <v>46020</v>
      </c>
      <c r="G1542" t="s">
        <v>188</v>
      </c>
      <c r="H1542">
        <v>4</v>
      </c>
      <c r="I1542">
        <v>2025</v>
      </c>
      <c r="J1542">
        <v>12</v>
      </c>
      <c r="K1542" t="s">
        <v>87</v>
      </c>
      <c r="L1542" t="s">
        <v>10</v>
      </c>
      <c r="M1542" t="s">
        <v>6</v>
      </c>
      <c r="N1542" t="b">
        <v>0</v>
      </c>
      <c r="O1542">
        <v>0</v>
      </c>
      <c r="P1542">
        <v>1</v>
      </c>
      <c r="Q1542">
        <v>0</v>
      </c>
      <c r="R1542">
        <v>0</v>
      </c>
    </row>
    <row r="1543" spans="1:18" x14ac:dyDescent="0.25">
      <c r="A1543" t="s">
        <v>27</v>
      </c>
      <c r="B1543" t="s">
        <v>6</v>
      </c>
      <c r="C1543">
        <v>1</v>
      </c>
      <c r="D1543">
        <v>2</v>
      </c>
      <c r="E1543">
        <v>2</v>
      </c>
      <c r="F1543" s="15">
        <v>46020</v>
      </c>
      <c r="G1543" t="s">
        <v>188</v>
      </c>
      <c r="H1543">
        <v>4</v>
      </c>
      <c r="I1543">
        <v>2025</v>
      </c>
      <c r="J1543">
        <v>12</v>
      </c>
      <c r="K1543" t="s">
        <v>87</v>
      </c>
      <c r="L1543" t="s">
        <v>28</v>
      </c>
      <c r="M1543" t="s">
        <v>8</v>
      </c>
      <c r="N1543" t="b">
        <v>0</v>
      </c>
      <c r="O1543">
        <v>0</v>
      </c>
      <c r="P1543">
        <v>1</v>
      </c>
      <c r="Q1543">
        <v>0</v>
      </c>
      <c r="R1543">
        <v>1</v>
      </c>
    </row>
    <row r="1544" spans="1:18" x14ac:dyDescent="0.25">
      <c r="A1544" t="s">
        <v>13</v>
      </c>
      <c r="B1544" t="s">
        <v>6</v>
      </c>
      <c r="C1544">
        <v>5</v>
      </c>
      <c r="D1544">
        <v>2</v>
      </c>
      <c r="E1544">
        <v>2</v>
      </c>
      <c r="F1544" s="15">
        <v>46027</v>
      </c>
      <c r="G1544" t="s">
        <v>189</v>
      </c>
      <c r="H1544">
        <v>5</v>
      </c>
      <c r="I1544">
        <v>2026</v>
      </c>
      <c r="J1544">
        <v>1</v>
      </c>
      <c r="K1544" t="s">
        <v>87</v>
      </c>
      <c r="L1544" t="s">
        <v>436</v>
      </c>
      <c r="M1544" t="s">
        <v>6</v>
      </c>
      <c r="N1544" t="b">
        <v>0</v>
      </c>
      <c r="O1544">
        <v>0</v>
      </c>
      <c r="P1544">
        <v>1</v>
      </c>
      <c r="Q1544">
        <v>0</v>
      </c>
      <c r="R1544">
        <v>0</v>
      </c>
    </row>
    <row r="1545" spans="1:18" x14ac:dyDescent="0.25">
      <c r="A1545" t="s">
        <v>13</v>
      </c>
      <c r="B1545" t="s">
        <v>6</v>
      </c>
      <c r="C1545">
        <v>5</v>
      </c>
      <c r="D1545">
        <v>2</v>
      </c>
      <c r="E1545">
        <v>2</v>
      </c>
      <c r="F1545" s="15">
        <v>46027</v>
      </c>
      <c r="G1545" t="s">
        <v>189</v>
      </c>
      <c r="H1545">
        <v>5</v>
      </c>
      <c r="I1545">
        <v>2026</v>
      </c>
      <c r="J1545">
        <v>1</v>
      </c>
      <c r="K1545" t="s">
        <v>87</v>
      </c>
      <c r="L1545" t="s">
        <v>28</v>
      </c>
      <c r="M1545" t="s">
        <v>6</v>
      </c>
      <c r="N1545" t="b">
        <v>0</v>
      </c>
      <c r="O1545">
        <v>0</v>
      </c>
      <c r="P1545">
        <v>1</v>
      </c>
      <c r="Q1545">
        <v>0</v>
      </c>
      <c r="R1545">
        <v>0</v>
      </c>
    </row>
    <row r="1546" spans="1:18" x14ac:dyDescent="0.25">
      <c r="A1546" t="s">
        <v>13</v>
      </c>
      <c r="B1546" t="s">
        <v>6</v>
      </c>
      <c r="C1546">
        <v>5</v>
      </c>
      <c r="D1546">
        <v>2</v>
      </c>
      <c r="E1546">
        <v>2</v>
      </c>
      <c r="F1546" s="15">
        <v>46027</v>
      </c>
      <c r="G1546" t="s">
        <v>189</v>
      </c>
      <c r="H1546">
        <v>5</v>
      </c>
      <c r="I1546">
        <v>2026</v>
      </c>
      <c r="J1546">
        <v>1</v>
      </c>
      <c r="K1546" t="s">
        <v>87</v>
      </c>
      <c r="L1546" t="s">
        <v>12</v>
      </c>
      <c r="M1546" t="s">
        <v>6</v>
      </c>
      <c r="N1546" t="b">
        <v>0</v>
      </c>
      <c r="O1546">
        <v>0</v>
      </c>
      <c r="P1546">
        <v>1</v>
      </c>
      <c r="Q1546">
        <v>0</v>
      </c>
      <c r="R1546">
        <v>0</v>
      </c>
    </row>
    <row r="1547" spans="1:18" x14ac:dyDescent="0.25">
      <c r="A1547" t="s">
        <v>13</v>
      </c>
      <c r="B1547" t="s">
        <v>6</v>
      </c>
      <c r="C1547">
        <v>5</v>
      </c>
      <c r="D1547">
        <v>2</v>
      </c>
      <c r="E1547">
        <v>2</v>
      </c>
      <c r="F1547" s="15">
        <v>46027</v>
      </c>
      <c r="G1547" t="s">
        <v>189</v>
      </c>
      <c r="H1547">
        <v>5</v>
      </c>
      <c r="I1547">
        <v>2026</v>
      </c>
      <c r="J1547">
        <v>1</v>
      </c>
      <c r="K1547" t="s">
        <v>87</v>
      </c>
      <c r="L1547" t="s">
        <v>17</v>
      </c>
      <c r="M1547" t="s">
        <v>8</v>
      </c>
      <c r="N1547" t="b">
        <v>0</v>
      </c>
      <c r="O1547">
        <v>0</v>
      </c>
      <c r="P1547">
        <v>1</v>
      </c>
      <c r="Q1547">
        <v>0</v>
      </c>
      <c r="R1547">
        <v>1</v>
      </c>
    </row>
    <row r="1548" spans="1:18" x14ac:dyDescent="0.25">
      <c r="A1548" t="s">
        <v>436</v>
      </c>
      <c r="B1548" t="s">
        <v>6</v>
      </c>
      <c r="C1548">
        <v>3</v>
      </c>
      <c r="D1548">
        <v>2</v>
      </c>
      <c r="E1548">
        <v>2</v>
      </c>
      <c r="F1548" s="15">
        <v>46027</v>
      </c>
      <c r="G1548" t="s">
        <v>189</v>
      </c>
      <c r="H1548">
        <v>5</v>
      </c>
      <c r="I1548">
        <v>2026</v>
      </c>
      <c r="J1548">
        <v>1</v>
      </c>
      <c r="K1548" t="s">
        <v>87</v>
      </c>
      <c r="L1548" t="s">
        <v>13</v>
      </c>
      <c r="M1548" t="s">
        <v>6</v>
      </c>
      <c r="N1548" t="b">
        <v>0</v>
      </c>
      <c r="O1548">
        <v>0</v>
      </c>
      <c r="P1548">
        <v>1</v>
      </c>
      <c r="Q1548">
        <v>0</v>
      </c>
      <c r="R1548">
        <v>0</v>
      </c>
    </row>
    <row r="1549" spans="1:18" x14ac:dyDescent="0.25">
      <c r="A1549" t="s">
        <v>436</v>
      </c>
      <c r="B1549" t="s">
        <v>6</v>
      </c>
      <c r="C1549">
        <v>3</v>
      </c>
      <c r="D1549">
        <v>2</v>
      </c>
      <c r="E1549">
        <v>2</v>
      </c>
      <c r="F1549" s="15">
        <v>46027</v>
      </c>
      <c r="G1549" t="s">
        <v>189</v>
      </c>
      <c r="H1549">
        <v>5</v>
      </c>
      <c r="I1549">
        <v>2026</v>
      </c>
      <c r="J1549">
        <v>1</v>
      </c>
      <c r="K1549" t="s">
        <v>87</v>
      </c>
      <c r="L1549" t="s">
        <v>28</v>
      </c>
      <c r="M1549" t="s">
        <v>6</v>
      </c>
      <c r="N1549" t="b">
        <v>0</v>
      </c>
      <c r="O1549">
        <v>0</v>
      </c>
      <c r="P1549">
        <v>1</v>
      </c>
      <c r="Q1549">
        <v>0</v>
      </c>
      <c r="R1549">
        <v>0</v>
      </c>
    </row>
    <row r="1550" spans="1:18" x14ac:dyDescent="0.25">
      <c r="A1550" t="s">
        <v>436</v>
      </c>
      <c r="B1550" t="s">
        <v>6</v>
      </c>
      <c r="C1550">
        <v>3</v>
      </c>
      <c r="D1550">
        <v>2</v>
      </c>
      <c r="E1550">
        <v>2</v>
      </c>
      <c r="F1550" s="15">
        <v>46027</v>
      </c>
      <c r="G1550" t="s">
        <v>189</v>
      </c>
      <c r="H1550">
        <v>5</v>
      </c>
      <c r="I1550">
        <v>2026</v>
      </c>
      <c r="J1550">
        <v>1</v>
      </c>
      <c r="K1550" t="s">
        <v>87</v>
      </c>
      <c r="L1550" t="s">
        <v>12</v>
      </c>
      <c r="M1550" t="s">
        <v>6</v>
      </c>
      <c r="N1550" t="b">
        <v>0</v>
      </c>
      <c r="O1550">
        <v>0</v>
      </c>
      <c r="P1550">
        <v>1</v>
      </c>
      <c r="Q1550">
        <v>0</v>
      </c>
      <c r="R1550">
        <v>0</v>
      </c>
    </row>
    <row r="1551" spans="1:18" x14ac:dyDescent="0.25">
      <c r="A1551" t="s">
        <v>436</v>
      </c>
      <c r="B1551" t="s">
        <v>6</v>
      </c>
      <c r="C1551">
        <v>3</v>
      </c>
      <c r="D1551">
        <v>2</v>
      </c>
      <c r="E1551">
        <v>2</v>
      </c>
      <c r="F1551" s="15">
        <v>46027</v>
      </c>
      <c r="G1551" t="s">
        <v>189</v>
      </c>
      <c r="H1551">
        <v>5</v>
      </c>
      <c r="I1551">
        <v>2026</v>
      </c>
      <c r="J1551">
        <v>1</v>
      </c>
      <c r="K1551" t="s">
        <v>87</v>
      </c>
      <c r="L1551" t="s">
        <v>17</v>
      </c>
      <c r="M1551" t="s">
        <v>8</v>
      </c>
      <c r="N1551" t="b">
        <v>0</v>
      </c>
      <c r="O1551">
        <v>0</v>
      </c>
      <c r="P1551">
        <v>1</v>
      </c>
      <c r="Q1551">
        <v>0</v>
      </c>
      <c r="R1551">
        <v>1</v>
      </c>
    </row>
    <row r="1552" spans="1:18" x14ac:dyDescent="0.25">
      <c r="A1552" t="s">
        <v>28</v>
      </c>
      <c r="B1552" t="s">
        <v>6</v>
      </c>
      <c r="C1552">
        <v>4</v>
      </c>
      <c r="D1552">
        <v>2</v>
      </c>
      <c r="E1552">
        <v>2</v>
      </c>
      <c r="F1552" s="15">
        <v>46027</v>
      </c>
      <c r="G1552" t="s">
        <v>189</v>
      </c>
      <c r="H1552">
        <v>5</v>
      </c>
      <c r="I1552">
        <v>2026</v>
      </c>
      <c r="J1552">
        <v>1</v>
      </c>
      <c r="K1552" t="s">
        <v>87</v>
      </c>
      <c r="L1552" t="s">
        <v>13</v>
      </c>
      <c r="M1552" t="s">
        <v>6</v>
      </c>
      <c r="N1552" t="b">
        <v>0</v>
      </c>
      <c r="O1552">
        <v>0</v>
      </c>
      <c r="P1552">
        <v>1</v>
      </c>
      <c r="Q1552">
        <v>0</v>
      </c>
      <c r="R1552">
        <v>0</v>
      </c>
    </row>
    <row r="1553" spans="1:18" x14ac:dyDescent="0.25">
      <c r="A1553" t="s">
        <v>28</v>
      </c>
      <c r="B1553" t="s">
        <v>6</v>
      </c>
      <c r="C1553">
        <v>4</v>
      </c>
      <c r="D1553">
        <v>2</v>
      </c>
      <c r="E1553">
        <v>2</v>
      </c>
      <c r="F1553" s="15">
        <v>46027</v>
      </c>
      <c r="G1553" t="s">
        <v>189</v>
      </c>
      <c r="H1553">
        <v>5</v>
      </c>
      <c r="I1553">
        <v>2026</v>
      </c>
      <c r="J1553">
        <v>1</v>
      </c>
      <c r="K1553" t="s">
        <v>87</v>
      </c>
      <c r="L1553" t="s">
        <v>436</v>
      </c>
      <c r="M1553" t="s">
        <v>6</v>
      </c>
      <c r="N1553" t="b">
        <v>0</v>
      </c>
      <c r="O1553">
        <v>0</v>
      </c>
      <c r="P1553">
        <v>1</v>
      </c>
      <c r="Q1553">
        <v>0</v>
      </c>
      <c r="R1553">
        <v>0</v>
      </c>
    </row>
    <row r="1554" spans="1:18" x14ac:dyDescent="0.25">
      <c r="A1554" t="s">
        <v>28</v>
      </c>
      <c r="B1554" t="s">
        <v>6</v>
      </c>
      <c r="C1554">
        <v>4</v>
      </c>
      <c r="D1554">
        <v>2</v>
      </c>
      <c r="E1554">
        <v>2</v>
      </c>
      <c r="F1554" s="15">
        <v>46027</v>
      </c>
      <c r="G1554" t="s">
        <v>189</v>
      </c>
      <c r="H1554">
        <v>5</v>
      </c>
      <c r="I1554">
        <v>2026</v>
      </c>
      <c r="J1554">
        <v>1</v>
      </c>
      <c r="K1554" t="s">
        <v>87</v>
      </c>
      <c r="L1554" t="s">
        <v>12</v>
      </c>
      <c r="M1554" t="s">
        <v>6</v>
      </c>
      <c r="N1554" t="b">
        <v>0</v>
      </c>
      <c r="O1554">
        <v>0</v>
      </c>
      <c r="P1554">
        <v>1</v>
      </c>
      <c r="Q1554">
        <v>0</v>
      </c>
      <c r="R1554">
        <v>0</v>
      </c>
    </row>
    <row r="1555" spans="1:18" x14ac:dyDescent="0.25">
      <c r="A1555" t="s">
        <v>28</v>
      </c>
      <c r="B1555" t="s">
        <v>6</v>
      </c>
      <c r="C1555">
        <v>4</v>
      </c>
      <c r="D1555">
        <v>2</v>
      </c>
      <c r="E1555">
        <v>2</v>
      </c>
      <c r="F1555" s="15">
        <v>46027</v>
      </c>
      <c r="G1555" t="s">
        <v>189</v>
      </c>
      <c r="H1555">
        <v>5</v>
      </c>
      <c r="I1555">
        <v>2026</v>
      </c>
      <c r="J1555">
        <v>1</v>
      </c>
      <c r="K1555" t="s">
        <v>87</v>
      </c>
      <c r="L1555" t="s">
        <v>17</v>
      </c>
      <c r="M1555" t="s">
        <v>8</v>
      </c>
      <c r="N1555" t="b">
        <v>0</v>
      </c>
      <c r="O1555">
        <v>0</v>
      </c>
      <c r="P1555">
        <v>1</v>
      </c>
      <c r="Q1555">
        <v>0</v>
      </c>
      <c r="R1555">
        <v>1</v>
      </c>
    </row>
    <row r="1556" spans="1:18" x14ac:dyDescent="0.25">
      <c r="A1556" t="s">
        <v>12</v>
      </c>
      <c r="B1556" t="s">
        <v>6</v>
      </c>
      <c r="C1556">
        <v>2</v>
      </c>
      <c r="D1556">
        <v>2</v>
      </c>
      <c r="E1556">
        <v>2</v>
      </c>
      <c r="F1556" s="15">
        <v>46027</v>
      </c>
      <c r="G1556" t="s">
        <v>189</v>
      </c>
      <c r="H1556">
        <v>5</v>
      </c>
      <c r="I1556">
        <v>2026</v>
      </c>
      <c r="J1556">
        <v>1</v>
      </c>
      <c r="K1556" t="s">
        <v>87</v>
      </c>
      <c r="L1556" t="s">
        <v>13</v>
      </c>
      <c r="M1556" t="s">
        <v>6</v>
      </c>
      <c r="N1556" t="b">
        <v>0</v>
      </c>
      <c r="O1556">
        <v>0</v>
      </c>
      <c r="P1556">
        <v>1</v>
      </c>
      <c r="Q1556">
        <v>0</v>
      </c>
      <c r="R1556">
        <v>0</v>
      </c>
    </row>
    <row r="1557" spans="1:18" x14ac:dyDescent="0.25">
      <c r="A1557" t="s">
        <v>12</v>
      </c>
      <c r="B1557" t="s">
        <v>6</v>
      </c>
      <c r="C1557">
        <v>2</v>
      </c>
      <c r="D1557">
        <v>2</v>
      </c>
      <c r="E1557">
        <v>2</v>
      </c>
      <c r="F1557" s="15">
        <v>46027</v>
      </c>
      <c r="G1557" t="s">
        <v>189</v>
      </c>
      <c r="H1557">
        <v>5</v>
      </c>
      <c r="I1557">
        <v>2026</v>
      </c>
      <c r="J1557">
        <v>1</v>
      </c>
      <c r="K1557" t="s">
        <v>87</v>
      </c>
      <c r="L1557" t="s">
        <v>436</v>
      </c>
      <c r="M1557" t="s">
        <v>6</v>
      </c>
      <c r="N1557" t="b">
        <v>0</v>
      </c>
      <c r="O1557">
        <v>0</v>
      </c>
      <c r="P1557">
        <v>1</v>
      </c>
      <c r="Q1557">
        <v>0</v>
      </c>
      <c r="R1557">
        <v>0</v>
      </c>
    </row>
    <row r="1558" spans="1:18" x14ac:dyDescent="0.25">
      <c r="A1558" t="s">
        <v>12</v>
      </c>
      <c r="B1558" t="s">
        <v>6</v>
      </c>
      <c r="C1558">
        <v>2</v>
      </c>
      <c r="D1558">
        <v>2</v>
      </c>
      <c r="E1558">
        <v>2</v>
      </c>
      <c r="F1558" s="15">
        <v>46027</v>
      </c>
      <c r="G1558" t="s">
        <v>189</v>
      </c>
      <c r="H1558">
        <v>5</v>
      </c>
      <c r="I1558">
        <v>2026</v>
      </c>
      <c r="J1558">
        <v>1</v>
      </c>
      <c r="K1558" t="s">
        <v>87</v>
      </c>
      <c r="L1558" t="s">
        <v>28</v>
      </c>
      <c r="M1558" t="s">
        <v>6</v>
      </c>
      <c r="N1558" t="b">
        <v>0</v>
      </c>
      <c r="O1558">
        <v>0</v>
      </c>
      <c r="P1558">
        <v>1</v>
      </c>
      <c r="Q1558">
        <v>0</v>
      </c>
      <c r="R1558">
        <v>0</v>
      </c>
    </row>
    <row r="1559" spans="1:18" x14ac:dyDescent="0.25">
      <c r="A1559" t="s">
        <v>12</v>
      </c>
      <c r="B1559" t="s">
        <v>6</v>
      </c>
      <c r="C1559">
        <v>2</v>
      </c>
      <c r="D1559">
        <v>2</v>
      </c>
      <c r="E1559">
        <v>2</v>
      </c>
      <c r="F1559" s="15">
        <v>46027</v>
      </c>
      <c r="G1559" t="s">
        <v>189</v>
      </c>
      <c r="H1559">
        <v>5</v>
      </c>
      <c r="I1559">
        <v>2026</v>
      </c>
      <c r="J1559">
        <v>1</v>
      </c>
      <c r="K1559" t="s">
        <v>87</v>
      </c>
      <c r="L1559" t="s">
        <v>17</v>
      </c>
      <c r="M1559" t="s">
        <v>8</v>
      </c>
      <c r="N1559" t="b">
        <v>0</v>
      </c>
      <c r="O1559">
        <v>0</v>
      </c>
      <c r="P1559">
        <v>1</v>
      </c>
      <c r="Q1559">
        <v>0</v>
      </c>
      <c r="R1559">
        <v>1</v>
      </c>
    </row>
    <row r="1560" spans="1:18" x14ac:dyDescent="0.25">
      <c r="A1560" t="s">
        <v>17</v>
      </c>
      <c r="B1560" t="s">
        <v>8</v>
      </c>
      <c r="C1560">
        <v>1</v>
      </c>
      <c r="D1560">
        <v>2</v>
      </c>
      <c r="E1560">
        <v>2</v>
      </c>
      <c r="F1560" s="15">
        <v>46027</v>
      </c>
      <c r="G1560" t="s">
        <v>189</v>
      </c>
      <c r="H1560">
        <v>5</v>
      </c>
      <c r="I1560">
        <v>2026</v>
      </c>
      <c r="J1560">
        <v>1</v>
      </c>
      <c r="K1560" t="s">
        <v>87</v>
      </c>
      <c r="L1560" t="s">
        <v>13</v>
      </c>
      <c r="M1560" t="s">
        <v>6</v>
      </c>
      <c r="N1560" t="b">
        <v>0</v>
      </c>
      <c r="O1560">
        <v>1</v>
      </c>
      <c r="P1560">
        <v>0</v>
      </c>
      <c r="Q1560">
        <v>0</v>
      </c>
      <c r="R1560">
        <v>0</v>
      </c>
    </row>
    <row r="1561" spans="1:18" x14ac:dyDescent="0.25">
      <c r="A1561" t="s">
        <v>17</v>
      </c>
      <c r="B1561" t="s">
        <v>8</v>
      </c>
      <c r="C1561">
        <v>1</v>
      </c>
      <c r="D1561">
        <v>2</v>
      </c>
      <c r="E1561">
        <v>2</v>
      </c>
      <c r="F1561" s="15">
        <v>46027</v>
      </c>
      <c r="G1561" t="s">
        <v>189</v>
      </c>
      <c r="H1561">
        <v>5</v>
      </c>
      <c r="I1561">
        <v>2026</v>
      </c>
      <c r="J1561">
        <v>1</v>
      </c>
      <c r="K1561" t="s">
        <v>87</v>
      </c>
      <c r="L1561" t="s">
        <v>436</v>
      </c>
      <c r="M1561" t="s">
        <v>6</v>
      </c>
      <c r="N1561" t="b">
        <v>0</v>
      </c>
      <c r="O1561">
        <v>1</v>
      </c>
      <c r="P1561">
        <v>0</v>
      </c>
      <c r="Q1561">
        <v>0</v>
      </c>
      <c r="R1561">
        <v>0</v>
      </c>
    </row>
    <row r="1562" spans="1:18" x14ac:dyDescent="0.25">
      <c r="A1562" t="s">
        <v>17</v>
      </c>
      <c r="B1562" t="s">
        <v>8</v>
      </c>
      <c r="C1562">
        <v>1</v>
      </c>
      <c r="D1562">
        <v>2</v>
      </c>
      <c r="E1562">
        <v>2</v>
      </c>
      <c r="F1562" s="15">
        <v>46027</v>
      </c>
      <c r="G1562" t="s">
        <v>189</v>
      </c>
      <c r="H1562">
        <v>5</v>
      </c>
      <c r="I1562">
        <v>2026</v>
      </c>
      <c r="J1562">
        <v>1</v>
      </c>
      <c r="K1562" t="s">
        <v>87</v>
      </c>
      <c r="L1562" t="s">
        <v>28</v>
      </c>
      <c r="M1562" t="s">
        <v>6</v>
      </c>
      <c r="N1562" t="b">
        <v>0</v>
      </c>
      <c r="O1562">
        <v>1</v>
      </c>
      <c r="P1562">
        <v>0</v>
      </c>
      <c r="Q1562">
        <v>0</v>
      </c>
      <c r="R1562">
        <v>0</v>
      </c>
    </row>
    <row r="1563" spans="1:18" x14ac:dyDescent="0.25">
      <c r="A1563" t="s">
        <v>17</v>
      </c>
      <c r="B1563" t="s">
        <v>8</v>
      </c>
      <c r="C1563">
        <v>1</v>
      </c>
      <c r="D1563">
        <v>2</v>
      </c>
      <c r="E1563">
        <v>2</v>
      </c>
      <c r="F1563" s="15">
        <v>46027</v>
      </c>
      <c r="G1563" t="s">
        <v>189</v>
      </c>
      <c r="H1563">
        <v>5</v>
      </c>
      <c r="I1563">
        <v>2026</v>
      </c>
      <c r="J1563">
        <v>1</v>
      </c>
      <c r="K1563" t="s">
        <v>87</v>
      </c>
      <c r="L1563" t="s">
        <v>12</v>
      </c>
      <c r="M1563" t="s">
        <v>6</v>
      </c>
      <c r="N1563" t="b">
        <v>0</v>
      </c>
      <c r="O1563">
        <v>1</v>
      </c>
      <c r="P1563">
        <v>0</v>
      </c>
      <c r="Q1563">
        <v>0</v>
      </c>
      <c r="R1563">
        <v>0</v>
      </c>
    </row>
    <row r="1564" spans="1:18" x14ac:dyDescent="0.25">
      <c r="A1564" t="s">
        <v>13</v>
      </c>
      <c r="B1564" t="s">
        <v>6</v>
      </c>
      <c r="C1564">
        <v>3</v>
      </c>
      <c r="D1564">
        <v>4</v>
      </c>
      <c r="E1564">
        <v>1</v>
      </c>
      <c r="F1564" s="15">
        <v>46034</v>
      </c>
      <c r="G1564" t="s">
        <v>300</v>
      </c>
      <c r="H1564">
        <v>3</v>
      </c>
      <c r="I1564">
        <v>2026</v>
      </c>
      <c r="J1564">
        <v>1</v>
      </c>
      <c r="K1564" t="s">
        <v>87</v>
      </c>
      <c r="L1564" t="s">
        <v>326</v>
      </c>
      <c r="M1564" t="s">
        <v>8</v>
      </c>
      <c r="N1564" t="b">
        <v>0</v>
      </c>
      <c r="O1564">
        <v>0</v>
      </c>
      <c r="P1564">
        <v>1</v>
      </c>
      <c r="Q1564">
        <v>0</v>
      </c>
      <c r="R1564">
        <v>1</v>
      </c>
    </row>
    <row r="1565" spans="1:18" x14ac:dyDescent="0.25">
      <c r="A1565" t="s">
        <v>13</v>
      </c>
      <c r="B1565" t="s">
        <v>6</v>
      </c>
      <c r="C1565">
        <v>3</v>
      </c>
      <c r="D1565">
        <v>4</v>
      </c>
      <c r="E1565">
        <v>1</v>
      </c>
      <c r="F1565" s="15">
        <v>46034</v>
      </c>
      <c r="G1565" t="s">
        <v>300</v>
      </c>
      <c r="H1565">
        <v>3</v>
      </c>
      <c r="I1565">
        <v>2026</v>
      </c>
      <c r="J1565">
        <v>1</v>
      </c>
      <c r="K1565" t="s">
        <v>87</v>
      </c>
      <c r="L1565" t="s">
        <v>17</v>
      </c>
      <c r="M1565" t="s">
        <v>6</v>
      </c>
      <c r="N1565" t="b">
        <v>0</v>
      </c>
      <c r="O1565">
        <v>0</v>
      </c>
      <c r="P1565">
        <v>1</v>
      </c>
      <c r="Q1565">
        <v>0</v>
      </c>
      <c r="R1565">
        <v>0</v>
      </c>
    </row>
    <row r="1566" spans="1:18" x14ac:dyDescent="0.25">
      <c r="A1566" t="s">
        <v>326</v>
      </c>
      <c r="B1566" t="s">
        <v>8</v>
      </c>
      <c r="C1566">
        <v>2</v>
      </c>
      <c r="D1566">
        <v>4</v>
      </c>
      <c r="E1566">
        <v>1</v>
      </c>
      <c r="F1566" s="15">
        <v>46034</v>
      </c>
      <c r="G1566" t="s">
        <v>300</v>
      </c>
      <c r="H1566">
        <v>3</v>
      </c>
      <c r="I1566">
        <v>2026</v>
      </c>
      <c r="J1566">
        <v>1</v>
      </c>
      <c r="K1566" t="s">
        <v>87</v>
      </c>
      <c r="L1566" t="s">
        <v>13</v>
      </c>
      <c r="M1566" t="s">
        <v>6</v>
      </c>
      <c r="N1566" t="b">
        <v>0</v>
      </c>
      <c r="O1566">
        <v>1</v>
      </c>
      <c r="P1566">
        <v>0</v>
      </c>
      <c r="Q1566">
        <v>0</v>
      </c>
      <c r="R1566">
        <v>0</v>
      </c>
    </row>
    <row r="1567" spans="1:18" x14ac:dyDescent="0.25">
      <c r="A1567" t="s">
        <v>326</v>
      </c>
      <c r="B1567" t="s">
        <v>8</v>
      </c>
      <c r="C1567">
        <v>2</v>
      </c>
      <c r="D1567">
        <v>4</v>
      </c>
      <c r="E1567">
        <v>1</v>
      </c>
      <c r="F1567" s="15">
        <v>46034</v>
      </c>
      <c r="G1567" t="s">
        <v>300</v>
      </c>
      <c r="H1567">
        <v>3</v>
      </c>
      <c r="I1567">
        <v>2026</v>
      </c>
      <c r="J1567">
        <v>1</v>
      </c>
      <c r="K1567" t="s">
        <v>87</v>
      </c>
      <c r="L1567" t="s">
        <v>17</v>
      </c>
      <c r="M1567" t="s">
        <v>6</v>
      </c>
      <c r="N1567" t="b">
        <v>0</v>
      </c>
      <c r="O1567">
        <v>1</v>
      </c>
      <c r="P1567">
        <v>0</v>
      </c>
      <c r="Q1567">
        <v>0</v>
      </c>
      <c r="R1567">
        <v>0</v>
      </c>
    </row>
    <row r="1568" spans="1:18" x14ac:dyDescent="0.25">
      <c r="A1568" t="s">
        <v>17</v>
      </c>
      <c r="B1568" t="s">
        <v>6</v>
      </c>
      <c r="C1568">
        <v>1</v>
      </c>
      <c r="D1568">
        <v>4</v>
      </c>
      <c r="E1568">
        <v>1</v>
      </c>
      <c r="F1568" s="15">
        <v>46034</v>
      </c>
      <c r="G1568" t="s">
        <v>300</v>
      </c>
      <c r="H1568">
        <v>3</v>
      </c>
      <c r="I1568">
        <v>2026</v>
      </c>
      <c r="J1568">
        <v>1</v>
      </c>
      <c r="K1568" t="s">
        <v>87</v>
      </c>
      <c r="L1568" t="s">
        <v>13</v>
      </c>
      <c r="M1568" t="s">
        <v>6</v>
      </c>
      <c r="N1568" t="b">
        <v>0</v>
      </c>
      <c r="O1568">
        <v>0</v>
      </c>
      <c r="P1568">
        <v>1</v>
      </c>
      <c r="Q1568">
        <v>0</v>
      </c>
      <c r="R1568">
        <v>0</v>
      </c>
    </row>
    <row r="1569" spans="1:18" x14ac:dyDescent="0.25">
      <c r="A1569" t="s">
        <v>17</v>
      </c>
      <c r="B1569" t="s">
        <v>6</v>
      </c>
      <c r="C1569">
        <v>1</v>
      </c>
      <c r="D1569">
        <v>4</v>
      </c>
      <c r="E1569">
        <v>1</v>
      </c>
      <c r="F1569" s="15">
        <v>46034</v>
      </c>
      <c r="G1569" t="s">
        <v>300</v>
      </c>
      <c r="H1569">
        <v>3</v>
      </c>
      <c r="I1569">
        <v>2026</v>
      </c>
      <c r="J1569">
        <v>1</v>
      </c>
      <c r="K1569" t="s">
        <v>87</v>
      </c>
      <c r="L1569" t="s">
        <v>326</v>
      </c>
      <c r="M1569" t="s">
        <v>8</v>
      </c>
      <c r="N1569" t="b">
        <v>0</v>
      </c>
      <c r="O1569">
        <v>0</v>
      </c>
      <c r="P1569">
        <v>1</v>
      </c>
      <c r="Q1569">
        <v>0</v>
      </c>
      <c r="R1569">
        <v>1</v>
      </c>
    </row>
    <row r="1570" spans="1:18" x14ac:dyDescent="0.25">
      <c r="A1570" t="s">
        <v>13</v>
      </c>
      <c r="B1570" t="s">
        <v>6</v>
      </c>
      <c r="C1570">
        <v>3</v>
      </c>
      <c r="D1570">
        <v>2</v>
      </c>
      <c r="E1570">
        <v>2</v>
      </c>
      <c r="F1570" s="15">
        <v>46034</v>
      </c>
      <c r="G1570" t="s">
        <v>305</v>
      </c>
      <c r="H1570">
        <v>4</v>
      </c>
      <c r="I1570">
        <v>2026</v>
      </c>
      <c r="J1570">
        <v>1</v>
      </c>
      <c r="K1570" t="s">
        <v>87</v>
      </c>
      <c r="L1570" t="s">
        <v>27</v>
      </c>
      <c r="M1570" t="s">
        <v>6</v>
      </c>
      <c r="N1570" t="b">
        <v>0</v>
      </c>
      <c r="O1570">
        <v>0</v>
      </c>
      <c r="P1570">
        <v>1</v>
      </c>
      <c r="Q1570">
        <v>0</v>
      </c>
      <c r="R1570">
        <v>0</v>
      </c>
    </row>
    <row r="1571" spans="1:18" x14ac:dyDescent="0.25">
      <c r="A1571" t="s">
        <v>13</v>
      </c>
      <c r="B1571" t="s">
        <v>6</v>
      </c>
      <c r="C1571">
        <v>3</v>
      </c>
      <c r="D1571">
        <v>2</v>
      </c>
      <c r="E1571">
        <v>2</v>
      </c>
      <c r="F1571" s="15">
        <v>46034</v>
      </c>
      <c r="G1571" t="s">
        <v>305</v>
      </c>
      <c r="H1571">
        <v>4</v>
      </c>
      <c r="I1571">
        <v>2026</v>
      </c>
      <c r="J1571">
        <v>1</v>
      </c>
      <c r="K1571" t="s">
        <v>87</v>
      </c>
      <c r="L1571" t="s">
        <v>11</v>
      </c>
      <c r="M1571" t="s">
        <v>8</v>
      </c>
      <c r="N1571" t="b">
        <v>0</v>
      </c>
      <c r="O1571">
        <v>0</v>
      </c>
      <c r="P1571">
        <v>1</v>
      </c>
      <c r="Q1571">
        <v>0</v>
      </c>
      <c r="R1571">
        <v>1</v>
      </c>
    </row>
    <row r="1572" spans="1:18" x14ac:dyDescent="0.25">
      <c r="A1572" t="s">
        <v>13</v>
      </c>
      <c r="B1572" t="s">
        <v>6</v>
      </c>
      <c r="C1572">
        <v>3</v>
      </c>
      <c r="D1572">
        <v>2</v>
      </c>
      <c r="E1572">
        <v>2</v>
      </c>
      <c r="F1572" s="15">
        <v>46034</v>
      </c>
      <c r="G1572" t="s">
        <v>305</v>
      </c>
      <c r="H1572">
        <v>4</v>
      </c>
      <c r="I1572">
        <v>2026</v>
      </c>
      <c r="J1572">
        <v>1</v>
      </c>
      <c r="K1572" t="s">
        <v>87</v>
      </c>
      <c r="L1572" t="s">
        <v>12</v>
      </c>
      <c r="M1572" t="s">
        <v>6</v>
      </c>
      <c r="N1572" t="b">
        <v>0</v>
      </c>
      <c r="O1572">
        <v>0</v>
      </c>
      <c r="P1572">
        <v>1</v>
      </c>
      <c r="Q1572">
        <v>0</v>
      </c>
      <c r="R1572">
        <v>0</v>
      </c>
    </row>
    <row r="1573" spans="1:18" x14ac:dyDescent="0.25">
      <c r="A1573" t="s">
        <v>27</v>
      </c>
      <c r="B1573" t="s">
        <v>6</v>
      </c>
      <c r="C1573">
        <v>1</v>
      </c>
      <c r="D1573">
        <v>2</v>
      </c>
      <c r="E1573">
        <v>2</v>
      </c>
      <c r="F1573" s="15">
        <v>46034</v>
      </c>
      <c r="G1573" t="s">
        <v>305</v>
      </c>
      <c r="H1573">
        <v>4</v>
      </c>
      <c r="I1573">
        <v>2026</v>
      </c>
      <c r="J1573">
        <v>1</v>
      </c>
      <c r="K1573" t="s">
        <v>87</v>
      </c>
      <c r="L1573" t="s">
        <v>13</v>
      </c>
      <c r="M1573" t="s">
        <v>6</v>
      </c>
      <c r="N1573" t="b">
        <v>0</v>
      </c>
      <c r="O1573">
        <v>0</v>
      </c>
      <c r="P1573">
        <v>1</v>
      </c>
      <c r="Q1573">
        <v>0</v>
      </c>
      <c r="R1573">
        <v>0</v>
      </c>
    </row>
    <row r="1574" spans="1:18" x14ac:dyDescent="0.25">
      <c r="A1574" t="s">
        <v>27</v>
      </c>
      <c r="B1574" t="s">
        <v>6</v>
      </c>
      <c r="C1574">
        <v>1</v>
      </c>
      <c r="D1574">
        <v>2</v>
      </c>
      <c r="E1574">
        <v>2</v>
      </c>
      <c r="F1574" s="15">
        <v>46034</v>
      </c>
      <c r="G1574" t="s">
        <v>305</v>
      </c>
      <c r="H1574">
        <v>4</v>
      </c>
      <c r="I1574">
        <v>2026</v>
      </c>
      <c r="J1574">
        <v>1</v>
      </c>
      <c r="K1574" t="s">
        <v>87</v>
      </c>
      <c r="L1574" t="s">
        <v>11</v>
      </c>
      <c r="M1574" t="s">
        <v>8</v>
      </c>
      <c r="N1574" t="b">
        <v>0</v>
      </c>
      <c r="O1574">
        <v>0</v>
      </c>
      <c r="P1574">
        <v>1</v>
      </c>
      <c r="Q1574">
        <v>0</v>
      </c>
      <c r="R1574">
        <v>1</v>
      </c>
    </row>
    <row r="1575" spans="1:18" x14ac:dyDescent="0.25">
      <c r="A1575" t="s">
        <v>27</v>
      </c>
      <c r="B1575" t="s">
        <v>6</v>
      </c>
      <c r="C1575">
        <v>1</v>
      </c>
      <c r="D1575">
        <v>2</v>
      </c>
      <c r="E1575">
        <v>2</v>
      </c>
      <c r="F1575" s="15">
        <v>46034</v>
      </c>
      <c r="G1575" t="s">
        <v>305</v>
      </c>
      <c r="H1575">
        <v>4</v>
      </c>
      <c r="I1575">
        <v>2026</v>
      </c>
      <c r="J1575">
        <v>1</v>
      </c>
      <c r="K1575" t="s">
        <v>87</v>
      </c>
      <c r="L1575" t="s">
        <v>12</v>
      </c>
      <c r="M1575" t="s">
        <v>6</v>
      </c>
      <c r="N1575" t="b">
        <v>0</v>
      </c>
      <c r="O1575">
        <v>0</v>
      </c>
      <c r="P1575">
        <v>1</v>
      </c>
      <c r="Q1575">
        <v>0</v>
      </c>
      <c r="R1575">
        <v>0</v>
      </c>
    </row>
    <row r="1576" spans="1:18" x14ac:dyDescent="0.25">
      <c r="A1576" t="s">
        <v>11</v>
      </c>
      <c r="B1576" t="s">
        <v>8</v>
      </c>
      <c r="C1576">
        <v>4</v>
      </c>
      <c r="D1576">
        <v>2</v>
      </c>
      <c r="E1576">
        <v>2</v>
      </c>
      <c r="F1576" s="15">
        <v>46034</v>
      </c>
      <c r="G1576" t="s">
        <v>305</v>
      </c>
      <c r="H1576">
        <v>4</v>
      </c>
      <c r="I1576">
        <v>2026</v>
      </c>
      <c r="J1576">
        <v>1</v>
      </c>
      <c r="K1576" t="s">
        <v>87</v>
      </c>
      <c r="L1576" t="s">
        <v>13</v>
      </c>
      <c r="M1576" t="s">
        <v>6</v>
      </c>
      <c r="N1576" t="b">
        <v>0</v>
      </c>
      <c r="O1576">
        <v>1</v>
      </c>
      <c r="P1576">
        <v>0</v>
      </c>
      <c r="Q1576">
        <v>0</v>
      </c>
      <c r="R1576">
        <v>0</v>
      </c>
    </row>
    <row r="1577" spans="1:18" x14ac:dyDescent="0.25">
      <c r="A1577" t="s">
        <v>11</v>
      </c>
      <c r="B1577" t="s">
        <v>8</v>
      </c>
      <c r="C1577">
        <v>4</v>
      </c>
      <c r="D1577">
        <v>2</v>
      </c>
      <c r="E1577">
        <v>2</v>
      </c>
      <c r="F1577" s="15">
        <v>46034</v>
      </c>
      <c r="G1577" t="s">
        <v>305</v>
      </c>
      <c r="H1577">
        <v>4</v>
      </c>
      <c r="I1577">
        <v>2026</v>
      </c>
      <c r="J1577">
        <v>1</v>
      </c>
      <c r="K1577" t="s">
        <v>87</v>
      </c>
      <c r="L1577" t="s">
        <v>27</v>
      </c>
      <c r="M1577" t="s">
        <v>6</v>
      </c>
      <c r="N1577" t="b">
        <v>0</v>
      </c>
      <c r="O1577">
        <v>1</v>
      </c>
      <c r="P1577">
        <v>0</v>
      </c>
      <c r="Q1577">
        <v>0</v>
      </c>
      <c r="R1577">
        <v>0</v>
      </c>
    </row>
    <row r="1578" spans="1:18" x14ac:dyDescent="0.25">
      <c r="A1578" t="s">
        <v>11</v>
      </c>
      <c r="B1578" t="s">
        <v>8</v>
      </c>
      <c r="C1578">
        <v>4</v>
      </c>
      <c r="D1578">
        <v>2</v>
      </c>
      <c r="E1578">
        <v>2</v>
      </c>
      <c r="F1578" s="15">
        <v>46034</v>
      </c>
      <c r="G1578" t="s">
        <v>305</v>
      </c>
      <c r="H1578">
        <v>4</v>
      </c>
      <c r="I1578">
        <v>2026</v>
      </c>
      <c r="J1578">
        <v>1</v>
      </c>
      <c r="K1578" t="s">
        <v>87</v>
      </c>
      <c r="L1578" t="s">
        <v>12</v>
      </c>
      <c r="M1578" t="s">
        <v>6</v>
      </c>
      <c r="N1578" t="b">
        <v>0</v>
      </c>
      <c r="O1578">
        <v>1</v>
      </c>
      <c r="P1578">
        <v>0</v>
      </c>
      <c r="Q1578">
        <v>0</v>
      </c>
      <c r="R1578">
        <v>0</v>
      </c>
    </row>
    <row r="1579" spans="1:18" x14ac:dyDescent="0.25">
      <c r="A1579" t="s">
        <v>12</v>
      </c>
      <c r="B1579" t="s">
        <v>6</v>
      </c>
      <c r="C1579">
        <v>2</v>
      </c>
      <c r="D1579">
        <v>2</v>
      </c>
      <c r="E1579">
        <v>2</v>
      </c>
      <c r="F1579" s="15">
        <v>46034</v>
      </c>
      <c r="G1579" t="s">
        <v>305</v>
      </c>
      <c r="H1579">
        <v>4</v>
      </c>
      <c r="I1579">
        <v>2026</v>
      </c>
      <c r="J1579">
        <v>1</v>
      </c>
      <c r="K1579" t="s">
        <v>87</v>
      </c>
      <c r="L1579" t="s">
        <v>13</v>
      </c>
      <c r="M1579" t="s">
        <v>6</v>
      </c>
      <c r="N1579" t="b">
        <v>0</v>
      </c>
      <c r="O1579">
        <v>0</v>
      </c>
      <c r="P1579">
        <v>1</v>
      </c>
      <c r="Q1579">
        <v>0</v>
      </c>
      <c r="R1579">
        <v>0</v>
      </c>
    </row>
    <row r="1580" spans="1:18" x14ac:dyDescent="0.25">
      <c r="A1580" t="s">
        <v>12</v>
      </c>
      <c r="B1580" t="s">
        <v>6</v>
      </c>
      <c r="C1580">
        <v>2</v>
      </c>
      <c r="D1580">
        <v>2</v>
      </c>
      <c r="E1580">
        <v>2</v>
      </c>
      <c r="F1580" s="15">
        <v>46034</v>
      </c>
      <c r="G1580" t="s">
        <v>305</v>
      </c>
      <c r="H1580">
        <v>4</v>
      </c>
      <c r="I1580">
        <v>2026</v>
      </c>
      <c r="J1580">
        <v>1</v>
      </c>
      <c r="K1580" t="s">
        <v>87</v>
      </c>
      <c r="L1580" t="s">
        <v>27</v>
      </c>
      <c r="M1580" t="s">
        <v>6</v>
      </c>
      <c r="N1580" t="b">
        <v>0</v>
      </c>
      <c r="O1580">
        <v>0</v>
      </c>
      <c r="P1580">
        <v>1</v>
      </c>
      <c r="Q1580">
        <v>0</v>
      </c>
      <c r="R1580">
        <v>0</v>
      </c>
    </row>
    <row r="1581" spans="1:18" x14ac:dyDescent="0.25">
      <c r="A1581" t="s">
        <v>12</v>
      </c>
      <c r="B1581" t="s">
        <v>6</v>
      </c>
      <c r="C1581">
        <v>2</v>
      </c>
      <c r="D1581">
        <v>2</v>
      </c>
      <c r="E1581">
        <v>2</v>
      </c>
      <c r="F1581" s="15">
        <v>46034</v>
      </c>
      <c r="G1581" t="s">
        <v>305</v>
      </c>
      <c r="H1581">
        <v>4</v>
      </c>
      <c r="I1581">
        <v>2026</v>
      </c>
      <c r="J1581">
        <v>1</v>
      </c>
      <c r="K1581" t="s">
        <v>87</v>
      </c>
      <c r="L1581" t="s">
        <v>11</v>
      </c>
      <c r="M1581" t="s">
        <v>8</v>
      </c>
      <c r="N1581" t="b">
        <v>0</v>
      </c>
      <c r="O1581">
        <v>0</v>
      </c>
      <c r="P1581">
        <v>1</v>
      </c>
      <c r="Q1581">
        <v>0</v>
      </c>
      <c r="R1581">
        <v>1</v>
      </c>
    </row>
    <row r="1582" spans="1:18" x14ac:dyDescent="0.25">
      <c r="A1582" t="s">
        <v>13</v>
      </c>
      <c r="B1582" t="s">
        <v>6</v>
      </c>
      <c r="C1582">
        <v>4</v>
      </c>
      <c r="D1582">
        <v>2</v>
      </c>
      <c r="E1582">
        <v>1</v>
      </c>
      <c r="F1582" s="15">
        <v>46041</v>
      </c>
      <c r="G1582" t="s">
        <v>312</v>
      </c>
      <c r="H1582">
        <v>4</v>
      </c>
      <c r="I1582">
        <v>2026</v>
      </c>
      <c r="J1582">
        <v>1</v>
      </c>
      <c r="K1582" t="s">
        <v>87</v>
      </c>
      <c r="L1582" t="s">
        <v>28</v>
      </c>
      <c r="M1582" t="s">
        <v>6</v>
      </c>
      <c r="N1582" t="b">
        <v>0</v>
      </c>
      <c r="O1582">
        <v>0</v>
      </c>
      <c r="P1582">
        <v>1</v>
      </c>
      <c r="Q1582">
        <v>0</v>
      </c>
      <c r="R1582">
        <v>0</v>
      </c>
    </row>
    <row r="1583" spans="1:18" x14ac:dyDescent="0.25">
      <c r="A1583" t="s">
        <v>13</v>
      </c>
      <c r="B1583" t="s">
        <v>6</v>
      </c>
      <c r="C1583">
        <v>4</v>
      </c>
      <c r="D1583">
        <v>2</v>
      </c>
      <c r="E1583">
        <v>1</v>
      </c>
      <c r="F1583" s="15">
        <v>46041</v>
      </c>
      <c r="G1583" t="s">
        <v>312</v>
      </c>
      <c r="H1583">
        <v>4</v>
      </c>
      <c r="I1583">
        <v>2026</v>
      </c>
      <c r="J1583">
        <v>1</v>
      </c>
      <c r="K1583" t="s">
        <v>87</v>
      </c>
      <c r="L1583" t="s">
        <v>44</v>
      </c>
      <c r="M1583" t="s">
        <v>6</v>
      </c>
      <c r="N1583" t="b">
        <v>0</v>
      </c>
      <c r="O1583">
        <v>0</v>
      </c>
      <c r="P1583">
        <v>1</v>
      </c>
      <c r="Q1583">
        <v>0</v>
      </c>
      <c r="R1583">
        <v>0</v>
      </c>
    </row>
    <row r="1584" spans="1:18" x14ac:dyDescent="0.25">
      <c r="A1584" t="s">
        <v>13</v>
      </c>
      <c r="B1584" t="s">
        <v>6</v>
      </c>
      <c r="C1584">
        <v>4</v>
      </c>
      <c r="D1584">
        <v>2</v>
      </c>
      <c r="E1584">
        <v>1</v>
      </c>
      <c r="F1584" s="15">
        <v>46041</v>
      </c>
      <c r="G1584" t="s">
        <v>312</v>
      </c>
      <c r="H1584">
        <v>4</v>
      </c>
      <c r="I1584">
        <v>2026</v>
      </c>
      <c r="J1584">
        <v>1</v>
      </c>
      <c r="K1584" t="s">
        <v>87</v>
      </c>
      <c r="L1584" t="s">
        <v>17</v>
      </c>
      <c r="M1584" t="s">
        <v>8</v>
      </c>
      <c r="N1584" t="b">
        <v>0</v>
      </c>
      <c r="O1584">
        <v>0</v>
      </c>
      <c r="P1584">
        <v>1</v>
      </c>
      <c r="Q1584">
        <v>0</v>
      </c>
      <c r="R1584">
        <v>1</v>
      </c>
    </row>
    <row r="1585" spans="1:18" x14ac:dyDescent="0.25">
      <c r="A1585" t="s">
        <v>28</v>
      </c>
      <c r="B1585" t="s">
        <v>6</v>
      </c>
      <c r="C1585">
        <v>3</v>
      </c>
      <c r="D1585">
        <v>2</v>
      </c>
      <c r="E1585">
        <v>1</v>
      </c>
      <c r="F1585" s="15">
        <v>46041</v>
      </c>
      <c r="G1585" t="s">
        <v>312</v>
      </c>
      <c r="H1585">
        <v>4</v>
      </c>
      <c r="I1585">
        <v>2026</v>
      </c>
      <c r="J1585">
        <v>1</v>
      </c>
      <c r="K1585" t="s">
        <v>87</v>
      </c>
      <c r="L1585" t="s">
        <v>13</v>
      </c>
      <c r="M1585" t="s">
        <v>6</v>
      </c>
      <c r="N1585" t="b">
        <v>0</v>
      </c>
      <c r="O1585">
        <v>0</v>
      </c>
      <c r="P1585">
        <v>1</v>
      </c>
      <c r="Q1585">
        <v>0</v>
      </c>
      <c r="R1585">
        <v>0</v>
      </c>
    </row>
    <row r="1586" spans="1:18" x14ac:dyDescent="0.25">
      <c r="A1586" t="s">
        <v>28</v>
      </c>
      <c r="B1586" t="s">
        <v>6</v>
      </c>
      <c r="C1586">
        <v>3</v>
      </c>
      <c r="D1586">
        <v>2</v>
      </c>
      <c r="E1586">
        <v>1</v>
      </c>
      <c r="F1586" s="15">
        <v>46041</v>
      </c>
      <c r="G1586" t="s">
        <v>312</v>
      </c>
      <c r="H1586">
        <v>4</v>
      </c>
      <c r="I1586">
        <v>2026</v>
      </c>
      <c r="J1586">
        <v>1</v>
      </c>
      <c r="K1586" t="s">
        <v>87</v>
      </c>
      <c r="L1586" t="s">
        <v>44</v>
      </c>
      <c r="M1586" t="s">
        <v>6</v>
      </c>
      <c r="N1586" t="b">
        <v>0</v>
      </c>
      <c r="O1586">
        <v>0</v>
      </c>
      <c r="P1586">
        <v>1</v>
      </c>
      <c r="Q1586">
        <v>0</v>
      </c>
      <c r="R1586">
        <v>0</v>
      </c>
    </row>
    <row r="1587" spans="1:18" x14ac:dyDescent="0.25">
      <c r="A1587" t="s">
        <v>28</v>
      </c>
      <c r="B1587" t="s">
        <v>6</v>
      </c>
      <c r="C1587">
        <v>3</v>
      </c>
      <c r="D1587">
        <v>2</v>
      </c>
      <c r="E1587">
        <v>1</v>
      </c>
      <c r="F1587" s="15">
        <v>46041</v>
      </c>
      <c r="G1587" t="s">
        <v>312</v>
      </c>
      <c r="H1587">
        <v>4</v>
      </c>
      <c r="I1587">
        <v>2026</v>
      </c>
      <c r="J1587">
        <v>1</v>
      </c>
      <c r="K1587" t="s">
        <v>87</v>
      </c>
      <c r="L1587" t="s">
        <v>17</v>
      </c>
      <c r="M1587" t="s">
        <v>8</v>
      </c>
      <c r="N1587" t="b">
        <v>0</v>
      </c>
      <c r="O1587">
        <v>0</v>
      </c>
      <c r="P1587">
        <v>1</v>
      </c>
      <c r="Q1587">
        <v>0</v>
      </c>
      <c r="R1587">
        <v>1</v>
      </c>
    </row>
    <row r="1588" spans="1:18" x14ac:dyDescent="0.25">
      <c r="A1588" t="s">
        <v>44</v>
      </c>
      <c r="B1588" t="s">
        <v>6</v>
      </c>
      <c r="C1588">
        <v>1</v>
      </c>
      <c r="D1588">
        <v>2</v>
      </c>
      <c r="E1588">
        <v>1</v>
      </c>
      <c r="F1588" s="15">
        <v>46041</v>
      </c>
      <c r="G1588" t="s">
        <v>312</v>
      </c>
      <c r="H1588">
        <v>4</v>
      </c>
      <c r="I1588">
        <v>2026</v>
      </c>
      <c r="J1588">
        <v>1</v>
      </c>
      <c r="K1588" t="s">
        <v>87</v>
      </c>
      <c r="L1588" t="s">
        <v>13</v>
      </c>
      <c r="M1588" t="s">
        <v>6</v>
      </c>
      <c r="N1588" t="b">
        <v>0</v>
      </c>
      <c r="O1588">
        <v>0</v>
      </c>
      <c r="P1588">
        <v>1</v>
      </c>
      <c r="Q1588">
        <v>0</v>
      </c>
      <c r="R1588">
        <v>0</v>
      </c>
    </row>
    <row r="1589" spans="1:18" x14ac:dyDescent="0.25">
      <c r="A1589" t="s">
        <v>44</v>
      </c>
      <c r="B1589" t="s">
        <v>6</v>
      </c>
      <c r="C1589">
        <v>1</v>
      </c>
      <c r="D1589">
        <v>2</v>
      </c>
      <c r="E1589">
        <v>1</v>
      </c>
      <c r="F1589" s="15">
        <v>46041</v>
      </c>
      <c r="G1589" t="s">
        <v>312</v>
      </c>
      <c r="H1589">
        <v>4</v>
      </c>
      <c r="I1589">
        <v>2026</v>
      </c>
      <c r="J1589">
        <v>1</v>
      </c>
      <c r="K1589" t="s">
        <v>87</v>
      </c>
      <c r="L1589" t="s">
        <v>28</v>
      </c>
      <c r="M1589" t="s">
        <v>6</v>
      </c>
      <c r="N1589" t="b">
        <v>0</v>
      </c>
      <c r="O1589">
        <v>0</v>
      </c>
      <c r="P1589">
        <v>1</v>
      </c>
      <c r="Q1589">
        <v>0</v>
      </c>
      <c r="R1589">
        <v>0</v>
      </c>
    </row>
    <row r="1590" spans="1:18" x14ac:dyDescent="0.25">
      <c r="A1590" t="s">
        <v>44</v>
      </c>
      <c r="B1590" t="s">
        <v>6</v>
      </c>
      <c r="C1590">
        <v>1</v>
      </c>
      <c r="D1590">
        <v>2</v>
      </c>
      <c r="E1590">
        <v>1</v>
      </c>
      <c r="F1590" s="15">
        <v>46041</v>
      </c>
      <c r="G1590" t="s">
        <v>312</v>
      </c>
      <c r="H1590">
        <v>4</v>
      </c>
      <c r="I1590">
        <v>2026</v>
      </c>
      <c r="J1590">
        <v>1</v>
      </c>
      <c r="K1590" t="s">
        <v>87</v>
      </c>
      <c r="L1590" t="s">
        <v>17</v>
      </c>
      <c r="M1590" t="s">
        <v>8</v>
      </c>
      <c r="N1590" t="b">
        <v>0</v>
      </c>
      <c r="O1590">
        <v>0</v>
      </c>
      <c r="P1590">
        <v>1</v>
      </c>
      <c r="Q1590">
        <v>0</v>
      </c>
      <c r="R1590">
        <v>1</v>
      </c>
    </row>
    <row r="1591" spans="1:18" x14ac:dyDescent="0.25">
      <c r="A1591" t="s">
        <v>17</v>
      </c>
      <c r="B1591" t="s">
        <v>8</v>
      </c>
      <c r="C1591">
        <v>2</v>
      </c>
      <c r="D1591">
        <v>2</v>
      </c>
      <c r="E1591">
        <v>1</v>
      </c>
      <c r="F1591" s="15">
        <v>46041</v>
      </c>
      <c r="G1591" t="s">
        <v>312</v>
      </c>
      <c r="H1591">
        <v>4</v>
      </c>
      <c r="I1591">
        <v>2026</v>
      </c>
      <c r="J1591">
        <v>1</v>
      </c>
      <c r="K1591" t="s">
        <v>87</v>
      </c>
      <c r="L1591" t="s">
        <v>13</v>
      </c>
      <c r="M1591" t="s">
        <v>6</v>
      </c>
      <c r="N1591" t="b">
        <v>0</v>
      </c>
      <c r="O1591">
        <v>1</v>
      </c>
      <c r="P1591">
        <v>0</v>
      </c>
      <c r="Q1591">
        <v>0</v>
      </c>
      <c r="R1591">
        <v>0</v>
      </c>
    </row>
    <row r="1592" spans="1:18" x14ac:dyDescent="0.25">
      <c r="A1592" t="s">
        <v>17</v>
      </c>
      <c r="B1592" t="s">
        <v>8</v>
      </c>
      <c r="C1592">
        <v>2</v>
      </c>
      <c r="D1592">
        <v>2</v>
      </c>
      <c r="E1592">
        <v>1</v>
      </c>
      <c r="F1592" s="15">
        <v>46041</v>
      </c>
      <c r="G1592" t="s">
        <v>312</v>
      </c>
      <c r="H1592">
        <v>4</v>
      </c>
      <c r="I1592">
        <v>2026</v>
      </c>
      <c r="J1592">
        <v>1</v>
      </c>
      <c r="K1592" t="s">
        <v>87</v>
      </c>
      <c r="L1592" t="s">
        <v>28</v>
      </c>
      <c r="M1592" t="s">
        <v>6</v>
      </c>
      <c r="N1592" t="b">
        <v>0</v>
      </c>
      <c r="O1592">
        <v>1</v>
      </c>
      <c r="P1592">
        <v>0</v>
      </c>
      <c r="Q1592">
        <v>0</v>
      </c>
      <c r="R1592">
        <v>0</v>
      </c>
    </row>
    <row r="1593" spans="1:18" x14ac:dyDescent="0.25">
      <c r="A1593" t="s">
        <v>17</v>
      </c>
      <c r="B1593" t="s">
        <v>8</v>
      </c>
      <c r="C1593">
        <v>2</v>
      </c>
      <c r="D1593">
        <v>2</v>
      </c>
      <c r="E1593">
        <v>1</v>
      </c>
      <c r="F1593" s="15">
        <v>46041</v>
      </c>
      <c r="G1593" t="s">
        <v>312</v>
      </c>
      <c r="H1593">
        <v>4</v>
      </c>
      <c r="I1593">
        <v>2026</v>
      </c>
      <c r="J1593">
        <v>1</v>
      </c>
      <c r="K1593" t="s">
        <v>87</v>
      </c>
      <c r="L1593" t="s">
        <v>44</v>
      </c>
      <c r="M1593" t="s">
        <v>6</v>
      </c>
      <c r="N1593" t="b">
        <v>0</v>
      </c>
      <c r="O1593">
        <v>1</v>
      </c>
      <c r="P1593">
        <v>0</v>
      </c>
      <c r="Q1593">
        <v>0</v>
      </c>
      <c r="R1593">
        <v>0</v>
      </c>
    </row>
    <row r="1594" spans="1:18" x14ac:dyDescent="0.25">
      <c r="A1594" t="s">
        <v>13</v>
      </c>
      <c r="B1594" t="s">
        <v>6</v>
      </c>
      <c r="C1594">
        <v>1</v>
      </c>
      <c r="D1594">
        <v>3</v>
      </c>
      <c r="E1594">
        <v>2</v>
      </c>
      <c r="F1594" s="15">
        <v>46048</v>
      </c>
      <c r="G1594" t="s">
        <v>336</v>
      </c>
      <c r="H1594">
        <v>3</v>
      </c>
      <c r="I1594">
        <v>2026</v>
      </c>
      <c r="J1594">
        <v>1</v>
      </c>
      <c r="K1594" t="s">
        <v>87</v>
      </c>
      <c r="L1594" t="s">
        <v>52</v>
      </c>
      <c r="M1594" t="s">
        <v>8</v>
      </c>
      <c r="N1594" t="b">
        <v>0</v>
      </c>
      <c r="O1594">
        <v>0</v>
      </c>
      <c r="P1594">
        <v>1</v>
      </c>
      <c r="Q1594">
        <v>0</v>
      </c>
      <c r="R1594">
        <v>1</v>
      </c>
    </row>
    <row r="1595" spans="1:18" x14ac:dyDescent="0.25">
      <c r="A1595" t="s">
        <v>13</v>
      </c>
      <c r="B1595" t="s">
        <v>6</v>
      </c>
      <c r="C1595">
        <v>1</v>
      </c>
      <c r="D1595">
        <v>3</v>
      </c>
      <c r="E1595">
        <v>2</v>
      </c>
      <c r="F1595" s="15">
        <v>46048</v>
      </c>
      <c r="G1595" t="s">
        <v>336</v>
      </c>
      <c r="H1595">
        <v>3</v>
      </c>
      <c r="I1595">
        <v>2026</v>
      </c>
      <c r="J1595">
        <v>1</v>
      </c>
      <c r="K1595" t="s">
        <v>87</v>
      </c>
      <c r="L1595" t="s">
        <v>16</v>
      </c>
      <c r="M1595" t="s">
        <v>6</v>
      </c>
      <c r="N1595" t="b">
        <v>0</v>
      </c>
      <c r="O1595">
        <v>0</v>
      </c>
      <c r="P1595">
        <v>1</v>
      </c>
      <c r="Q1595">
        <v>0</v>
      </c>
      <c r="R1595">
        <v>0</v>
      </c>
    </row>
    <row r="1596" spans="1:18" x14ac:dyDescent="0.25">
      <c r="A1596" t="s">
        <v>52</v>
      </c>
      <c r="B1596" t="s">
        <v>8</v>
      </c>
      <c r="C1596">
        <v>2</v>
      </c>
      <c r="D1596">
        <v>3</v>
      </c>
      <c r="E1596">
        <v>2</v>
      </c>
      <c r="F1596" s="15">
        <v>46048</v>
      </c>
      <c r="G1596" t="s">
        <v>336</v>
      </c>
      <c r="H1596">
        <v>3</v>
      </c>
      <c r="I1596">
        <v>2026</v>
      </c>
      <c r="J1596">
        <v>1</v>
      </c>
      <c r="K1596" t="s">
        <v>87</v>
      </c>
      <c r="L1596" t="s">
        <v>13</v>
      </c>
      <c r="M1596" t="s">
        <v>6</v>
      </c>
      <c r="N1596" t="b">
        <v>0</v>
      </c>
      <c r="O1596">
        <v>1</v>
      </c>
      <c r="P1596">
        <v>0</v>
      </c>
      <c r="Q1596">
        <v>0</v>
      </c>
      <c r="R1596">
        <v>0</v>
      </c>
    </row>
    <row r="1597" spans="1:18" x14ac:dyDescent="0.25">
      <c r="A1597" t="s">
        <v>52</v>
      </c>
      <c r="B1597" t="s">
        <v>8</v>
      </c>
      <c r="C1597">
        <v>2</v>
      </c>
      <c r="D1597">
        <v>3</v>
      </c>
      <c r="E1597">
        <v>2</v>
      </c>
      <c r="F1597" s="15">
        <v>46048</v>
      </c>
      <c r="G1597" t="s">
        <v>336</v>
      </c>
      <c r="H1597">
        <v>3</v>
      </c>
      <c r="I1597">
        <v>2026</v>
      </c>
      <c r="J1597">
        <v>1</v>
      </c>
      <c r="K1597" t="s">
        <v>87</v>
      </c>
      <c r="L1597" t="s">
        <v>16</v>
      </c>
      <c r="M1597" t="s">
        <v>6</v>
      </c>
      <c r="N1597" t="b">
        <v>0</v>
      </c>
      <c r="O1597">
        <v>1</v>
      </c>
      <c r="P1597">
        <v>0</v>
      </c>
      <c r="Q1597">
        <v>0</v>
      </c>
      <c r="R1597">
        <v>0</v>
      </c>
    </row>
    <row r="1598" spans="1:18" x14ac:dyDescent="0.25">
      <c r="A1598" t="s">
        <v>16</v>
      </c>
      <c r="B1598" t="s">
        <v>6</v>
      </c>
      <c r="C1598">
        <v>3</v>
      </c>
      <c r="D1598">
        <v>3</v>
      </c>
      <c r="E1598">
        <v>2</v>
      </c>
      <c r="F1598" s="15">
        <v>46048</v>
      </c>
      <c r="G1598" t="s">
        <v>336</v>
      </c>
      <c r="H1598">
        <v>3</v>
      </c>
      <c r="I1598">
        <v>2026</v>
      </c>
      <c r="J1598">
        <v>1</v>
      </c>
      <c r="K1598" t="s">
        <v>87</v>
      </c>
      <c r="L1598" t="s">
        <v>13</v>
      </c>
      <c r="M1598" t="s">
        <v>6</v>
      </c>
      <c r="N1598" t="b">
        <v>0</v>
      </c>
      <c r="O1598">
        <v>0</v>
      </c>
      <c r="P1598">
        <v>1</v>
      </c>
      <c r="Q1598">
        <v>0</v>
      </c>
      <c r="R1598">
        <v>0</v>
      </c>
    </row>
    <row r="1599" spans="1:18" x14ac:dyDescent="0.25">
      <c r="A1599" t="s">
        <v>16</v>
      </c>
      <c r="B1599" t="s">
        <v>6</v>
      </c>
      <c r="C1599">
        <v>3</v>
      </c>
      <c r="D1599">
        <v>3</v>
      </c>
      <c r="E1599">
        <v>2</v>
      </c>
      <c r="F1599" s="15">
        <v>46048</v>
      </c>
      <c r="G1599" t="s">
        <v>336</v>
      </c>
      <c r="H1599">
        <v>3</v>
      </c>
      <c r="I1599">
        <v>2026</v>
      </c>
      <c r="J1599">
        <v>1</v>
      </c>
      <c r="K1599" t="s">
        <v>87</v>
      </c>
      <c r="L1599" t="s">
        <v>52</v>
      </c>
      <c r="M1599" t="s">
        <v>8</v>
      </c>
      <c r="N1599" t="b">
        <v>0</v>
      </c>
      <c r="O1599">
        <v>0</v>
      </c>
      <c r="P1599">
        <v>1</v>
      </c>
      <c r="Q1599">
        <v>0</v>
      </c>
      <c r="R1599">
        <v>1</v>
      </c>
    </row>
    <row r="1600" spans="1:18" x14ac:dyDescent="0.25">
      <c r="A1600" t="s">
        <v>13</v>
      </c>
      <c r="B1600" t="s">
        <v>63</v>
      </c>
      <c r="C1600">
        <v>2</v>
      </c>
      <c r="D1600">
        <v>1</v>
      </c>
      <c r="E1600">
        <v>1</v>
      </c>
      <c r="F1600" s="15">
        <v>46055</v>
      </c>
      <c r="G1600" t="s">
        <v>341</v>
      </c>
      <c r="H1600">
        <v>4</v>
      </c>
      <c r="I1600">
        <v>2026</v>
      </c>
      <c r="J1600">
        <v>2</v>
      </c>
      <c r="K1600" t="s">
        <v>87</v>
      </c>
      <c r="L1600" t="s">
        <v>325</v>
      </c>
      <c r="M1600" t="s">
        <v>63</v>
      </c>
      <c r="N1600" t="b">
        <v>0</v>
      </c>
      <c r="O1600">
        <v>0</v>
      </c>
      <c r="P1600">
        <v>0</v>
      </c>
      <c r="Q1600">
        <v>1</v>
      </c>
      <c r="R1600">
        <v>0</v>
      </c>
    </row>
    <row r="1601" spans="1:18" x14ac:dyDescent="0.25">
      <c r="A1601" t="s">
        <v>13</v>
      </c>
      <c r="B1601" t="s">
        <v>63</v>
      </c>
      <c r="C1601">
        <v>2</v>
      </c>
      <c r="D1601">
        <v>1</v>
      </c>
      <c r="E1601">
        <v>1</v>
      </c>
      <c r="F1601" s="15">
        <v>46055</v>
      </c>
      <c r="G1601" t="s">
        <v>341</v>
      </c>
      <c r="H1601">
        <v>4</v>
      </c>
      <c r="I1601">
        <v>2026</v>
      </c>
      <c r="J1601">
        <v>2</v>
      </c>
      <c r="K1601" t="s">
        <v>87</v>
      </c>
      <c r="L1601" t="s">
        <v>52</v>
      </c>
      <c r="M1601" t="s">
        <v>63</v>
      </c>
      <c r="N1601" t="b">
        <v>0</v>
      </c>
      <c r="O1601">
        <v>0</v>
      </c>
      <c r="P1601">
        <v>0</v>
      </c>
      <c r="Q1601">
        <v>1</v>
      </c>
      <c r="R1601">
        <v>0</v>
      </c>
    </row>
    <row r="1602" spans="1:18" x14ac:dyDescent="0.25">
      <c r="A1602" t="s">
        <v>13</v>
      </c>
      <c r="B1602" t="s">
        <v>63</v>
      </c>
      <c r="C1602">
        <v>2</v>
      </c>
      <c r="D1602">
        <v>1</v>
      </c>
      <c r="E1602">
        <v>1</v>
      </c>
      <c r="F1602" s="15">
        <v>46055</v>
      </c>
      <c r="G1602" t="s">
        <v>341</v>
      </c>
      <c r="H1602">
        <v>4</v>
      </c>
      <c r="I1602">
        <v>2026</v>
      </c>
      <c r="J1602">
        <v>2</v>
      </c>
      <c r="K1602" t="s">
        <v>87</v>
      </c>
      <c r="L1602" t="s">
        <v>11</v>
      </c>
      <c r="M1602" t="s">
        <v>63</v>
      </c>
      <c r="N1602" t="b">
        <v>0</v>
      </c>
      <c r="O1602">
        <v>0</v>
      </c>
      <c r="P1602">
        <v>0</v>
      </c>
      <c r="Q1602">
        <v>1</v>
      </c>
      <c r="R1602">
        <v>0</v>
      </c>
    </row>
    <row r="1603" spans="1:18" x14ac:dyDescent="0.25">
      <c r="A1603" t="s">
        <v>325</v>
      </c>
      <c r="B1603" t="s">
        <v>63</v>
      </c>
      <c r="C1603">
        <v>1</v>
      </c>
      <c r="D1603">
        <v>1</v>
      </c>
      <c r="E1603">
        <v>1</v>
      </c>
      <c r="F1603" s="15">
        <v>46055</v>
      </c>
      <c r="G1603" t="s">
        <v>341</v>
      </c>
      <c r="H1603">
        <v>4</v>
      </c>
      <c r="I1603">
        <v>2026</v>
      </c>
      <c r="J1603">
        <v>2</v>
      </c>
      <c r="K1603" t="s">
        <v>87</v>
      </c>
      <c r="L1603" t="s">
        <v>13</v>
      </c>
      <c r="M1603" t="s">
        <v>63</v>
      </c>
      <c r="N1603" t="b">
        <v>0</v>
      </c>
      <c r="O1603">
        <v>0</v>
      </c>
      <c r="P1603">
        <v>0</v>
      </c>
      <c r="Q1603">
        <v>1</v>
      </c>
      <c r="R1603">
        <v>0</v>
      </c>
    </row>
    <row r="1604" spans="1:18" x14ac:dyDescent="0.25">
      <c r="A1604" t="s">
        <v>325</v>
      </c>
      <c r="B1604" t="s">
        <v>63</v>
      </c>
      <c r="C1604">
        <v>1</v>
      </c>
      <c r="D1604">
        <v>1</v>
      </c>
      <c r="E1604">
        <v>1</v>
      </c>
      <c r="F1604" s="15">
        <v>46055</v>
      </c>
      <c r="G1604" t="s">
        <v>341</v>
      </c>
      <c r="H1604">
        <v>4</v>
      </c>
      <c r="I1604">
        <v>2026</v>
      </c>
      <c r="J1604">
        <v>2</v>
      </c>
      <c r="K1604" t="s">
        <v>87</v>
      </c>
      <c r="L1604" t="s">
        <v>52</v>
      </c>
      <c r="M1604" t="s">
        <v>63</v>
      </c>
      <c r="N1604" t="b">
        <v>0</v>
      </c>
      <c r="O1604">
        <v>0</v>
      </c>
      <c r="P1604">
        <v>0</v>
      </c>
      <c r="Q1604">
        <v>1</v>
      </c>
      <c r="R1604">
        <v>0</v>
      </c>
    </row>
    <row r="1605" spans="1:18" x14ac:dyDescent="0.25">
      <c r="A1605" t="s">
        <v>325</v>
      </c>
      <c r="B1605" t="s">
        <v>63</v>
      </c>
      <c r="C1605">
        <v>1</v>
      </c>
      <c r="D1605">
        <v>1</v>
      </c>
      <c r="E1605">
        <v>1</v>
      </c>
      <c r="F1605" s="15">
        <v>46055</v>
      </c>
      <c r="G1605" t="s">
        <v>341</v>
      </c>
      <c r="H1605">
        <v>4</v>
      </c>
      <c r="I1605">
        <v>2026</v>
      </c>
      <c r="J1605">
        <v>2</v>
      </c>
      <c r="K1605" t="s">
        <v>87</v>
      </c>
      <c r="L1605" t="s">
        <v>11</v>
      </c>
      <c r="M1605" t="s">
        <v>63</v>
      </c>
      <c r="N1605" t="b">
        <v>0</v>
      </c>
      <c r="O1605">
        <v>0</v>
      </c>
      <c r="P1605">
        <v>0</v>
      </c>
      <c r="Q1605">
        <v>1</v>
      </c>
      <c r="R1605">
        <v>0</v>
      </c>
    </row>
    <row r="1606" spans="1:18" x14ac:dyDescent="0.25">
      <c r="A1606" t="s">
        <v>52</v>
      </c>
      <c r="B1606" t="s">
        <v>63</v>
      </c>
      <c r="C1606">
        <v>3</v>
      </c>
      <c r="D1606">
        <v>1</v>
      </c>
      <c r="E1606">
        <v>1</v>
      </c>
      <c r="F1606" s="15">
        <v>46055</v>
      </c>
      <c r="G1606" t="s">
        <v>341</v>
      </c>
      <c r="H1606">
        <v>4</v>
      </c>
      <c r="I1606">
        <v>2026</v>
      </c>
      <c r="J1606">
        <v>2</v>
      </c>
      <c r="K1606" t="s">
        <v>87</v>
      </c>
      <c r="L1606" t="s">
        <v>13</v>
      </c>
      <c r="M1606" t="s">
        <v>63</v>
      </c>
      <c r="N1606" t="b">
        <v>0</v>
      </c>
      <c r="O1606">
        <v>0</v>
      </c>
      <c r="P1606">
        <v>0</v>
      </c>
      <c r="Q1606">
        <v>1</v>
      </c>
      <c r="R1606">
        <v>0</v>
      </c>
    </row>
    <row r="1607" spans="1:18" x14ac:dyDescent="0.25">
      <c r="A1607" t="s">
        <v>52</v>
      </c>
      <c r="B1607" t="s">
        <v>63</v>
      </c>
      <c r="C1607">
        <v>3</v>
      </c>
      <c r="D1607">
        <v>1</v>
      </c>
      <c r="E1607">
        <v>1</v>
      </c>
      <c r="F1607" s="15">
        <v>46055</v>
      </c>
      <c r="G1607" t="s">
        <v>341</v>
      </c>
      <c r="H1607">
        <v>4</v>
      </c>
      <c r="I1607">
        <v>2026</v>
      </c>
      <c r="J1607">
        <v>2</v>
      </c>
      <c r="K1607" t="s">
        <v>87</v>
      </c>
      <c r="L1607" t="s">
        <v>325</v>
      </c>
      <c r="M1607" t="s">
        <v>63</v>
      </c>
      <c r="N1607" t="b">
        <v>0</v>
      </c>
      <c r="O1607">
        <v>0</v>
      </c>
      <c r="P1607">
        <v>0</v>
      </c>
      <c r="Q1607">
        <v>1</v>
      </c>
      <c r="R1607">
        <v>0</v>
      </c>
    </row>
    <row r="1608" spans="1:18" x14ac:dyDescent="0.25">
      <c r="A1608" t="s">
        <v>52</v>
      </c>
      <c r="B1608" t="s">
        <v>63</v>
      </c>
      <c r="C1608">
        <v>3</v>
      </c>
      <c r="D1608">
        <v>1</v>
      </c>
      <c r="E1608">
        <v>1</v>
      </c>
      <c r="F1608" s="15">
        <v>46055</v>
      </c>
      <c r="G1608" t="s">
        <v>341</v>
      </c>
      <c r="H1608">
        <v>4</v>
      </c>
      <c r="I1608">
        <v>2026</v>
      </c>
      <c r="J1608">
        <v>2</v>
      </c>
      <c r="K1608" t="s">
        <v>87</v>
      </c>
      <c r="L1608" t="s">
        <v>11</v>
      </c>
      <c r="M1608" t="s">
        <v>63</v>
      </c>
      <c r="N1608" t="b">
        <v>0</v>
      </c>
      <c r="O1608">
        <v>0</v>
      </c>
      <c r="P1608">
        <v>0</v>
      </c>
      <c r="Q1608">
        <v>1</v>
      </c>
      <c r="R1608">
        <v>0</v>
      </c>
    </row>
    <row r="1609" spans="1:18" x14ac:dyDescent="0.25">
      <c r="A1609" t="s">
        <v>11</v>
      </c>
      <c r="B1609" t="s">
        <v>63</v>
      </c>
      <c r="C1609">
        <v>4</v>
      </c>
      <c r="D1609">
        <v>1</v>
      </c>
      <c r="E1609">
        <v>1</v>
      </c>
      <c r="F1609" s="15">
        <v>46055</v>
      </c>
      <c r="G1609" t="s">
        <v>341</v>
      </c>
      <c r="H1609">
        <v>4</v>
      </c>
      <c r="I1609">
        <v>2026</v>
      </c>
      <c r="J1609">
        <v>2</v>
      </c>
      <c r="K1609" t="s">
        <v>87</v>
      </c>
      <c r="L1609" t="s">
        <v>13</v>
      </c>
      <c r="M1609" t="s">
        <v>63</v>
      </c>
      <c r="N1609" t="b">
        <v>0</v>
      </c>
      <c r="O1609">
        <v>0</v>
      </c>
      <c r="P1609">
        <v>0</v>
      </c>
      <c r="Q1609">
        <v>1</v>
      </c>
      <c r="R1609">
        <v>0</v>
      </c>
    </row>
    <row r="1610" spans="1:18" x14ac:dyDescent="0.25">
      <c r="A1610" t="s">
        <v>11</v>
      </c>
      <c r="B1610" t="s">
        <v>63</v>
      </c>
      <c r="C1610">
        <v>4</v>
      </c>
      <c r="D1610">
        <v>1</v>
      </c>
      <c r="E1610">
        <v>1</v>
      </c>
      <c r="F1610" s="15">
        <v>46055</v>
      </c>
      <c r="G1610" t="s">
        <v>341</v>
      </c>
      <c r="H1610">
        <v>4</v>
      </c>
      <c r="I1610">
        <v>2026</v>
      </c>
      <c r="J1610">
        <v>2</v>
      </c>
      <c r="K1610" t="s">
        <v>87</v>
      </c>
      <c r="L1610" t="s">
        <v>325</v>
      </c>
      <c r="M1610" t="s">
        <v>63</v>
      </c>
      <c r="N1610" t="b">
        <v>0</v>
      </c>
      <c r="O1610">
        <v>0</v>
      </c>
      <c r="P1610">
        <v>0</v>
      </c>
      <c r="Q1610">
        <v>1</v>
      </c>
      <c r="R1610">
        <v>0</v>
      </c>
    </row>
    <row r="1611" spans="1:18" x14ac:dyDescent="0.25">
      <c r="A1611" t="s">
        <v>11</v>
      </c>
      <c r="B1611" t="s">
        <v>63</v>
      </c>
      <c r="C1611">
        <v>4</v>
      </c>
      <c r="D1611">
        <v>1</v>
      </c>
      <c r="E1611">
        <v>1</v>
      </c>
      <c r="F1611" s="15">
        <v>46055</v>
      </c>
      <c r="G1611" t="s">
        <v>341</v>
      </c>
      <c r="H1611">
        <v>4</v>
      </c>
      <c r="I1611">
        <v>2026</v>
      </c>
      <c r="J1611">
        <v>2</v>
      </c>
      <c r="K1611" t="s">
        <v>87</v>
      </c>
      <c r="L1611" t="s">
        <v>52</v>
      </c>
      <c r="M1611" t="s">
        <v>63</v>
      </c>
      <c r="N1611" t="b">
        <v>0</v>
      </c>
      <c r="O1611">
        <v>0</v>
      </c>
      <c r="P1611">
        <v>0</v>
      </c>
      <c r="Q1611">
        <v>1</v>
      </c>
      <c r="R1611">
        <v>0</v>
      </c>
    </row>
    <row r="1612" spans="1:18" x14ac:dyDescent="0.25">
      <c r="A1612" t="s">
        <v>13</v>
      </c>
      <c r="B1612" t="s">
        <v>6</v>
      </c>
      <c r="C1612">
        <v>3</v>
      </c>
      <c r="D1612">
        <v>2</v>
      </c>
      <c r="E1612">
        <v>2</v>
      </c>
      <c r="F1612" s="15">
        <v>46055</v>
      </c>
      <c r="G1612" t="s">
        <v>347</v>
      </c>
      <c r="H1612">
        <v>4</v>
      </c>
      <c r="I1612">
        <v>2026</v>
      </c>
      <c r="J1612">
        <v>2</v>
      </c>
      <c r="K1612" t="s">
        <v>87</v>
      </c>
      <c r="L1612" t="s">
        <v>364</v>
      </c>
      <c r="M1612" t="s">
        <v>8</v>
      </c>
      <c r="N1612" t="b">
        <v>0</v>
      </c>
      <c r="O1612">
        <v>0</v>
      </c>
      <c r="P1612">
        <v>1</v>
      </c>
      <c r="Q1612">
        <v>0</v>
      </c>
      <c r="R1612">
        <v>1</v>
      </c>
    </row>
    <row r="1613" spans="1:18" x14ac:dyDescent="0.25">
      <c r="A1613" t="s">
        <v>13</v>
      </c>
      <c r="B1613" t="s">
        <v>6</v>
      </c>
      <c r="C1613">
        <v>3</v>
      </c>
      <c r="D1613">
        <v>2</v>
      </c>
      <c r="E1613">
        <v>2</v>
      </c>
      <c r="F1613" s="15">
        <v>46055</v>
      </c>
      <c r="G1613" t="s">
        <v>347</v>
      </c>
      <c r="H1613">
        <v>4</v>
      </c>
      <c r="I1613">
        <v>2026</v>
      </c>
      <c r="J1613">
        <v>2</v>
      </c>
      <c r="K1613" t="s">
        <v>87</v>
      </c>
      <c r="L1613" t="s">
        <v>41</v>
      </c>
      <c r="M1613" t="s">
        <v>6</v>
      </c>
      <c r="N1613" t="b">
        <v>0</v>
      </c>
      <c r="O1613">
        <v>0</v>
      </c>
      <c r="P1613">
        <v>1</v>
      </c>
      <c r="Q1613">
        <v>0</v>
      </c>
      <c r="R1613">
        <v>0</v>
      </c>
    </row>
    <row r="1614" spans="1:18" x14ac:dyDescent="0.25">
      <c r="A1614" t="s">
        <v>13</v>
      </c>
      <c r="B1614" t="s">
        <v>6</v>
      </c>
      <c r="C1614">
        <v>3</v>
      </c>
      <c r="D1614">
        <v>2</v>
      </c>
      <c r="E1614">
        <v>2</v>
      </c>
      <c r="F1614" s="15">
        <v>46055</v>
      </c>
      <c r="G1614" t="s">
        <v>347</v>
      </c>
      <c r="H1614">
        <v>4</v>
      </c>
      <c r="I1614">
        <v>2026</v>
      </c>
      <c r="J1614">
        <v>2</v>
      </c>
      <c r="K1614" t="s">
        <v>87</v>
      </c>
      <c r="L1614" t="s">
        <v>42</v>
      </c>
      <c r="M1614" t="s">
        <v>6</v>
      </c>
      <c r="N1614" t="b">
        <v>0</v>
      </c>
      <c r="O1614">
        <v>0</v>
      </c>
      <c r="P1614">
        <v>1</v>
      </c>
      <c r="Q1614">
        <v>0</v>
      </c>
      <c r="R1614">
        <v>0</v>
      </c>
    </row>
    <row r="1615" spans="1:18" x14ac:dyDescent="0.25">
      <c r="A1615" t="s">
        <v>364</v>
      </c>
      <c r="B1615" t="s">
        <v>8</v>
      </c>
      <c r="C1615">
        <v>1</v>
      </c>
      <c r="D1615">
        <v>2</v>
      </c>
      <c r="E1615">
        <v>2</v>
      </c>
      <c r="F1615" s="15">
        <v>46055</v>
      </c>
      <c r="G1615" t="s">
        <v>347</v>
      </c>
      <c r="H1615">
        <v>4</v>
      </c>
      <c r="I1615">
        <v>2026</v>
      </c>
      <c r="J1615">
        <v>2</v>
      </c>
      <c r="K1615" t="s">
        <v>87</v>
      </c>
      <c r="L1615" t="s">
        <v>13</v>
      </c>
      <c r="M1615" t="s">
        <v>6</v>
      </c>
      <c r="N1615" t="b">
        <v>0</v>
      </c>
      <c r="O1615">
        <v>1</v>
      </c>
      <c r="P1615">
        <v>0</v>
      </c>
      <c r="Q1615">
        <v>0</v>
      </c>
      <c r="R1615">
        <v>0</v>
      </c>
    </row>
    <row r="1616" spans="1:18" x14ac:dyDescent="0.25">
      <c r="A1616" t="s">
        <v>364</v>
      </c>
      <c r="B1616" t="s">
        <v>8</v>
      </c>
      <c r="C1616">
        <v>1</v>
      </c>
      <c r="D1616">
        <v>2</v>
      </c>
      <c r="E1616">
        <v>2</v>
      </c>
      <c r="F1616" s="15">
        <v>46055</v>
      </c>
      <c r="G1616" t="s">
        <v>347</v>
      </c>
      <c r="H1616">
        <v>4</v>
      </c>
      <c r="I1616">
        <v>2026</v>
      </c>
      <c r="J1616">
        <v>2</v>
      </c>
      <c r="K1616" t="s">
        <v>87</v>
      </c>
      <c r="L1616" t="s">
        <v>41</v>
      </c>
      <c r="M1616" t="s">
        <v>6</v>
      </c>
      <c r="N1616" t="b">
        <v>0</v>
      </c>
      <c r="O1616">
        <v>1</v>
      </c>
      <c r="P1616">
        <v>0</v>
      </c>
      <c r="Q1616">
        <v>0</v>
      </c>
      <c r="R1616">
        <v>0</v>
      </c>
    </row>
    <row r="1617" spans="1:18" x14ac:dyDescent="0.25">
      <c r="A1617" t="s">
        <v>364</v>
      </c>
      <c r="B1617" t="s">
        <v>8</v>
      </c>
      <c r="C1617">
        <v>1</v>
      </c>
      <c r="D1617">
        <v>2</v>
      </c>
      <c r="E1617">
        <v>2</v>
      </c>
      <c r="F1617" s="15">
        <v>46055</v>
      </c>
      <c r="G1617" t="s">
        <v>347</v>
      </c>
      <c r="H1617">
        <v>4</v>
      </c>
      <c r="I1617">
        <v>2026</v>
      </c>
      <c r="J1617">
        <v>2</v>
      </c>
      <c r="K1617" t="s">
        <v>87</v>
      </c>
      <c r="L1617" t="s">
        <v>42</v>
      </c>
      <c r="M1617" t="s">
        <v>6</v>
      </c>
      <c r="N1617" t="b">
        <v>0</v>
      </c>
      <c r="O1617">
        <v>1</v>
      </c>
      <c r="P1617">
        <v>0</v>
      </c>
      <c r="Q1617">
        <v>0</v>
      </c>
      <c r="R1617">
        <v>0</v>
      </c>
    </row>
    <row r="1618" spans="1:18" x14ac:dyDescent="0.25">
      <c r="A1618" t="s">
        <v>41</v>
      </c>
      <c r="B1618" t="s">
        <v>6</v>
      </c>
      <c r="C1618">
        <v>4</v>
      </c>
      <c r="D1618">
        <v>2</v>
      </c>
      <c r="E1618">
        <v>2</v>
      </c>
      <c r="F1618" s="15">
        <v>46055</v>
      </c>
      <c r="G1618" t="s">
        <v>347</v>
      </c>
      <c r="H1618">
        <v>4</v>
      </c>
      <c r="I1618">
        <v>2026</v>
      </c>
      <c r="J1618">
        <v>2</v>
      </c>
      <c r="K1618" t="s">
        <v>87</v>
      </c>
      <c r="L1618" t="s">
        <v>13</v>
      </c>
      <c r="M1618" t="s">
        <v>6</v>
      </c>
      <c r="N1618" t="b">
        <v>0</v>
      </c>
      <c r="O1618">
        <v>0</v>
      </c>
      <c r="P1618">
        <v>1</v>
      </c>
      <c r="Q1618">
        <v>0</v>
      </c>
      <c r="R1618">
        <v>0</v>
      </c>
    </row>
    <row r="1619" spans="1:18" x14ac:dyDescent="0.25">
      <c r="A1619" t="s">
        <v>41</v>
      </c>
      <c r="B1619" t="s">
        <v>6</v>
      </c>
      <c r="C1619">
        <v>4</v>
      </c>
      <c r="D1619">
        <v>2</v>
      </c>
      <c r="E1619">
        <v>2</v>
      </c>
      <c r="F1619" s="15">
        <v>46055</v>
      </c>
      <c r="G1619" t="s">
        <v>347</v>
      </c>
      <c r="H1619">
        <v>4</v>
      </c>
      <c r="I1619">
        <v>2026</v>
      </c>
      <c r="J1619">
        <v>2</v>
      </c>
      <c r="K1619" t="s">
        <v>87</v>
      </c>
      <c r="L1619" t="s">
        <v>364</v>
      </c>
      <c r="M1619" t="s">
        <v>8</v>
      </c>
      <c r="N1619" t="b">
        <v>0</v>
      </c>
      <c r="O1619">
        <v>0</v>
      </c>
      <c r="P1619">
        <v>1</v>
      </c>
      <c r="Q1619">
        <v>0</v>
      </c>
      <c r="R1619">
        <v>1</v>
      </c>
    </row>
    <row r="1620" spans="1:18" x14ac:dyDescent="0.25">
      <c r="A1620" t="s">
        <v>41</v>
      </c>
      <c r="B1620" t="s">
        <v>6</v>
      </c>
      <c r="C1620">
        <v>4</v>
      </c>
      <c r="D1620">
        <v>2</v>
      </c>
      <c r="E1620">
        <v>2</v>
      </c>
      <c r="F1620" s="15">
        <v>46055</v>
      </c>
      <c r="G1620" t="s">
        <v>347</v>
      </c>
      <c r="H1620">
        <v>4</v>
      </c>
      <c r="I1620">
        <v>2026</v>
      </c>
      <c r="J1620">
        <v>2</v>
      </c>
      <c r="K1620" t="s">
        <v>87</v>
      </c>
      <c r="L1620" t="s">
        <v>42</v>
      </c>
      <c r="M1620" t="s">
        <v>6</v>
      </c>
      <c r="N1620" t="b">
        <v>0</v>
      </c>
      <c r="O1620">
        <v>0</v>
      </c>
      <c r="P1620">
        <v>1</v>
      </c>
      <c r="Q1620">
        <v>0</v>
      </c>
      <c r="R1620">
        <v>0</v>
      </c>
    </row>
    <row r="1621" spans="1:18" x14ac:dyDescent="0.25">
      <c r="A1621" t="s">
        <v>42</v>
      </c>
      <c r="B1621" t="s">
        <v>6</v>
      </c>
      <c r="C1621">
        <v>2</v>
      </c>
      <c r="D1621">
        <v>2</v>
      </c>
      <c r="E1621">
        <v>2</v>
      </c>
      <c r="F1621" s="15">
        <v>46055</v>
      </c>
      <c r="G1621" t="s">
        <v>347</v>
      </c>
      <c r="H1621">
        <v>4</v>
      </c>
      <c r="I1621">
        <v>2026</v>
      </c>
      <c r="J1621">
        <v>2</v>
      </c>
      <c r="K1621" t="s">
        <v>87</v>
      </c>
      <c r="L1621" t="s">
        <v>13</v>
      </c>
      <c r="M1621" t="s">
        <v>6</v>
      </c>
      <c r="N1621" t="b">
        <v>0</v>
      </c>
      <c r="O1621">
        <v>0</v>
      </c>
      <c r="P1621">
        <v>1</v>
      </c>
      <c r="Q1621">
        <v>0</v>
      </c>
      <c r="R1621">
        <v>0</v>
      </c>
    </row>
    <row r="1622" spans="1:18" x14ac:dyDescent="0.25">
      <c r="A1622" t="s">
        <v>42</v>
      </c>
      <c r="B1622" t="s">
        <v>6</v>
      </c>
      <c r="C1622">
        <v>2</v>
      </c>
      <c r="D1622">
        <v>2</v>
      </c>
      <c r="E1622">
        <v>2</v>
      </c>
      <c r="F1622" s="15">
        <v>46055</v>
      </c>
      <c r="G1622" t="s">
        <v>347</v>
      </c>
      <c r="H1622">
        <v>4</v>
      </c>
      <c r="I1622">
        <v>2026</v>
      </c>
      <c r="J1622">
        <v>2</v>
      </c>
      <c r="K1622" t="s">
        <v>87</v>
      </c>
      <c r="L1622" t="s">
        <v>364</v>
      </c>
      <c r="M1622" t="s">
        <v>8</v>
      </c>
      <c r="N1622" t="b">
        <v>0</v>
      </c>
      <c r="O1622">
        <v>0</v>
      </c>
      <c r="P1622">
        <v>1</v>
      </c>
      <c r="Q1622">
        <v>0</v>
      </c>
      <c r="R1622">
        <v>1</v>
      </c>
    </row>
    <row r="1623" spans="1:18" x14ac:dyDescent="0.25">
      <c r="A1623" t="s">
        <v>42</v>
      </c>
      <c r="B1623" t="s">
        <v>6</v>
      </c>
      <c r="C1623">
        <v>2</v>
      </c>
      <c r="D1623">
        <v>2</v>
      </c>
      <c r="E1623">
        <v>2</v>
      </c>
      <c r="F1623" s="15">
        <v>46055</v>
      </c>
      <c r="G1623" t="s">
        <v>347</v>
      </c>
      <c r="H1623">
        <v>4</v>
      </c>
      <c r="I1623">
        <v>2026</v>
      </c>
      <c r="J1623">
        <v>2</v>
      </c>
      <c r="K1623" t="s">
        <v>87</v>
      </c>
      <c r="L1623" t="s">
        <v>41</v>
      </c>
      <c r="M1623" t="s">
        <v>6</v>
      </c>
      <c r="N1623" t="b">
        <v>0</v>
      </c>
      <c r="O1623">
        <v>0</v>
      </c>
      <c r="P1623">
        <v>1</v>
      </c>
      <c r="Q1623">
        <v>0</v>
      </c>
      <c r="R1623">
        <v>0</v>
      </c>
    </row>
    <row r="1624" spans="1:18" x14ac:dyDescent="0.25">
      <c r="A1624" t="s">
        <v>13</v>
      </c>
      <c r="B1624" t="s">
        <v>6</v>
      </c>
      <c r="C1624">
        <v>4</v>
      </c>
      <c r="D1624">
        <v>4</v>
      </c>
      <c r="E1624">
        <v>1</v>
      </c>
      <c r="F1624" s="15">
        <v>46062</v>
      </c>
      <c r="G1624" t="s">
        <v>356</v>
      </c>
      <c r="H1624">
        <v>4</v>
      </c>
      <c r="I1624">
        <v>2026</v>
      </c>
      <c r="J1624">
        <v>2</v>
      </c>
      <c r="K1624" t="s">
        <v>87</v>
      </c>
      <c r="L1624" t="s">
        <v>28</v>
      </c>
      <c r="M1624" t="s">
        <v>6</v>
      </c>
      <c r="N1624" t="b">
        <v>0</v>
      </c>
      <c r="O1624">
        <v>0</v>
      </c>
      <c r="P1624">
        <v>1</v>
      </c>
      <c r="Q1624">
        <v>0</v>
      </c>
      <c r="R1624">
        <v>0</v>
      </c>
    </row>
    <row r="1625" spans="1:18" x14ac:dyDescent="0.25">
      <c r="A1625" t="s">
        <v>13</v>
      </c>
      <c r="B1625" t="s">
        <v>6</v>
      </c>
      <c r="C1625">
        <v>4</v>
      </c>
      <c r="D1625">
        <v>4</v>
      </c>
      <c r="E1625">
        <v>1</v>
      </c>
      <c r="F1625" s="15">
        <v>46062</v>
      </c>
      <c r="G1625" t="s">
        <v>356</v>
      </c>
      <c r="H1625">
        <v>4</v>
      </c>
      <c r="I1625">
        <v>2026</v>
      </c>
      <c r="J1625">
        <v>2</v>
      </c>
      <c r="K1625" t="s">
        <v>87</v>
      </c>
      <c r="L1625" t="s">
        <v>41</v>
      </c>
      <c r="M1625" t="s">
        <v>8</v>
      </c>
      <c r="N1625" t="b">
        <v>0</v>
      </c>
      <c r="O1625">
        <v>0</v>
      </c>
      <c r="P1625">
        <v>1</v>
      </c>
      <c r="Q1625">
        <v>0</v>
      </c>
      <c r="R1625">
        <v>1</v>
      </c>
    </row>
    <row r="1626" spans="1:18" x14ac:dyDescent="0.25">
      <c r="A1626" t="s">
        <v>13</v>
      </c>
      <c r="B1626" t="s">
        <v>6</v>
      </c>
      <c r="C1626">
        <v>4</v>
      </c>
      <c r="D1626">
        <v>4</v>
      </c>
      <c r="E1626">
        <v>1</v>
      </c>
      <c r="F1626" s="15">
        <v>46062</v>
      </c>
      <c r="G1626" t="s">
        <v>356</v>
      </c>
      <c r="H1626">
        <v>4</v>
      </c>
      <c r="I1626">
        <v>2026</v>
      </c>
      <c r="J1626">
        <v>2</v>
      </c>
      <c r="K1626" t="s">
        <v>87</v>
      </c>
      <c r="L1626" t="s">
        <v>12</v>
      </c>
      <c r="M1626" t="s">
        <v>6</v>
      </c>
      <c r="N1626" t="b">
        <v>0</v>
      </c>
      <c r="O1626">
        <v>0</v>
      </c>
      <c r="P1626">
        <v>1</v>
      </c>
      <c r="Q1626">
        <v>0</v>
      </c>
      <c r="R1626">
        <v>0</v>
      </c>
    </row>
    <row r="1627" spans="1:18" x14ac:dyDescent="0.25">
      <c r="A1627" t="s">
        <v>28</v>
      </c>
      <c r="B1627" t="s">
        <v>6</v>
      </c>
      <c r="C1627">
        <v>2</v>
      </c>
      <c r="D1627">
        <v>4</v>
      </c>
      <c r="E1627">
        <v>1</v>
      </c>
      <c r="F1627" s="15">
        <v>46062</v>
      </c>
      <c r="G1627" t="s">
        <v>356</v>
      </c>
      <c r="H1627">
        <v>4</v>
      </c>
      <c r="I1627">
        <v>2026</v>
      </c>
      <c r="J1627">
        <v>2</v>
      </c>
      <c r="K1627" t="s">
        <v>87</v>
      </c>
      <c r="L1627" t="s">
        <v>13</v>
      </c>
      <c r="M1627" t="s">
        <v>6</v>
      </c>
      <c r="N1627" t="b">
        <v>0</v>
      </c>
      <c r="O1627">
        <v>0</v>
      </c>
      <c r="P1627">
        <v>1</v>
      </c>
      <c r="Q1627">
        <v>0</v>
      </c>
      <c r="R1627">
        <v>0</v>
      </c>
    </row>
    <row r="1628" spans="1:18" x14ac:dyDescent="0.25">
      <c r="A1628" t="s">
        <v>28</v>
      </c>
      <c r="B1628" t="s">
        <v>6</v>
      </c>
      <c r="C1628">
        <v>2</v>
      </c>
      <c r="D1628">
        <v>4</v>
      </c>
      <c r="E1628">
        <v>1</v>
      </c>
      <c r="F1628" s="15">
        <v>46062</v>
      </c>
      <c r="G1628" t="s">
        <v>356</v>
      </c>
      <c r="H1628">
        <v>4</v>
      </c>
      <c r="I1628">
        <v>2026</v>
      </c>
      <c r="J1628">
        <v>2</v>
      </c>
      <c r="K1628" t="s">
        <v>87</v>
      </c>
      <c r="L1628" t="s">
        <v>41</v>
      </c>
      <c r="M1628" t="s">
        <v>8</v>
      </c>
      <c r="N1628" t="b">
        <v>0</v>
      </c>
      <c r="O1628">
        <v>0</v>
      </c>
      <c r="P1628">
        <v>1</v>
      </c>
      <c r="Q1628">
        <v>0</v>
      </c>
      <c r="R1628">
        <v>1</v>
      </c>
    </row>
    <row r="1629" spans="1:18" x14ac:dyDescent="0.25">
      <c r="A1629" t="s">
        <v>28</v>
      </c>
      <c r="B1629" t="s">
        <v>6</v>
      </c>
      <c r="C1629">
        <v>2</v>
      </c>
      <c r="D1629">
        <v>4</v>
      </c>
      <c r="E1629">
        <v>1</v>
      </c>
      <c r="F1629" s="15">
        <v>46062</v>
      </c>
      <c r="G1629" t="s">
        <v>356</v>
      </c>
      <c r="H1629">
        <v>4</v>
      </c>
      <c r="I1629">
        <v>2026</v>
      </c>
      <c r="J1629">
        <v>2</v>
      </c>
      <c r="K1629" t="s">
        <v>87</v>
      </c>
      <c r="L1629" t="s">
        <v>12</v>
      </c>
      <c r="M1629" t="s">
        <v>6</v>
      </c>
      <c r="N1629" t="b">
        <v>0</v>
      </c>
      <c r="O1629">
        <v>0</v>
      </c>
      <c r="P1629">
        <v>1</v>
      </c>
      <c r="Q1629">
        <v>0</v>
      </c>
      <c r="R1629">
        <v>0</v>
      </c>
    </row>
    <row r="1630" spans="1:18" x14ac:dyDescent="0.25">
      <c r="A1630" t="s">
        <v>41</v>
      </c>
      <c r="B1630" t="s">
        <v>8</v>
      </c>
      <c r="C1630">
        <v>1</v>
      </c>
      <c r="D1630">
        <v>4</v>
      </c>
      <c r="E1630">
        <v>1</v>
      </c>
      <c r="F1630" s="15">
        <v>46062</v>
      </c>
      <c r="G1630" t="s">
        <v>356</v>
      </c>
      <c r="H1630">
        <v>4</v>
      </c>
      <c r="I1630">
        <v>2026</v>
      </c>
      <c r="J1630">
        <v>2</v>
      </c>
      <c r="K1630" t="s">
        <v>87</v>
      </c>
      <c r="L1630" t="s">
        <v>13</v>
      </c>
      <c r="M1630" t="s">
        <v>6</v>
      </c>
      <c r="N1630" t="b">
        <v>0</v>
      </c>
      <c r="O1630">
        <v>1</v>
      </c>
      <c r="P1630">
        <v>0</v>
      </c>
      <c r="Q1630">
        <v>0</v>
      </c>
      <c r="R1630">
        <v>0</v>
      </c>
    </row>
    <row r="1631" spans="1:18" x14ac:dyDescent="0.25">
      <c r="A1631" t="s">
        <v>41</v>
      </c>
      <c r="B1631" t="s">
        <v>8</v>
      </c>
      <c r="C1631">
        <v>1</v>
      </c>
      <c r="D1631">
        <v>4</v>
      </c>
      <c r="E1631">
        <v>1</v>
      </c>
      <c r="F1631" s="15">
        <v>46062</v>
      </c>
      <c r="G1631" t="s">
        <v>356</v>
      </c>
      <c r="H1631">
        <v>4</v>
      </c>
      <c r="I1631">
        <v>2026</v>
      </c>
      <c r="J1631">
        <v>2</v>
      </c>
      <c r="K1631" t="s">
        <v>87</v>
      </c>
      <c r="L1631" t="s">
        <v>28</v>
      </c>
      <c r="M1631" t="s">
        <v>6</v>
      </c>
      <c r="N1631" t="b">
        <v>0</v>
      </c>
      <c r="O1631">
        <v>1</v>
      </c>
      <c r="P1631">
        <v>0</v>
      </c>
      <c r="Q1631">
        <v>0</v>
      </c>
      <c r="R1631">
        <v>0</v>
      </c>
    </row>
    <row r="1632" spans="1:18" x14ac:dyDescent="0.25">
      <c r="A1632" t="s">
        <v>41</v>
      </c>
      <c r="B1632" t="s">
        <v>8</v>
      </c>
      <c r="C1632">
        <v>1</v>
      </c>
      <c r="D1632">
        <v>4</v>
      </c>
      <c r="E1632">
        <v>1</v>
      </c>
      <c r="F1632" s="15">
        <v>46062</v>
      </c>
      <c r="G1632" t="s">
        <v>356</v>
      </c>
      <c r="H1632">
        <v>4</v>
      </c>
      <c r="I1632">
        <v>2026</v>
      </c>
      <c r="J1632">
        <v>2</v>
      </c>
      <c r="K1632" t="s">
        <v>87</v>
      </c>
      <c r="L1632" t="s">
        <v>12</v>
      </c>
      <c r="M1632" t="s">
        <v>6</v>
      </c>
      <c r="N1632" t="b">
        <v>0</v>
      </c>
      <c r="O1632">
        <v>1</v>
      </c>
      <c r="P1632">
        <v>0</v>
      </c>
      <c r="Q1632">
        <v>0</v>
      </c>
      <c r="R1632">
        <v>0</v>
      </c>
    </row>
    <row r="1633" spans="1:18" x14ac:dyDescent="0.25">
      <c r="A1633" t="s">
        <v>12</v>
      </c>
      <c r="B1633" t="s">
        <v>6</v>
      </c>
      <c r="C1633">
        <v>3</v>
      </c>
      <c r="D1633">
        <v>4</v>
      </c>
      <c r="E1633">
        <v>1</v>
      </c>
      <c r="F1633" s="15">
        <v>46062</v>
      </c>
      <c r="G1633" t="s">
        <v>356</v>
      </c>
      <c r="H1633">
        <v>4</v>
      </c>
      <c r="I1633">
        <v>2026</v>
      </c>
      <c r="J1633">
        <v>2</v>
      </c>
      <c r="K1633" t="s">
        <v>87</v>
      </c>
      <c r="L1633" t="s">
        <v>13</v>
      </c>
      <c r="M1633" t="s">
        <v>6</v>
      </c>
      <c r="N1633" t="b">
        <v>0</v>
      </c>
      <c r="O1633">
        <v>0</v>
      </c>
      <c r="P1633">
        <v>1</v>
      </c>
      <c r="Q1633">
        <v>0</v>
      </c>
      <c r="R1633">
        <v>0</v>
      </c>
    </row>
    <row r="1634" spans="1:18" x14ac:dyDescent="0.25">
      <c r="A1634" t="s">
        <v>12</v>
      </c>
      <c r="B1634" t="s">
        <v>6</v>
      </c>
      <c r="C1634">
        <v>3</v>
      </c>
      <c r="D1634">
        <v>4</v>
      </c>
      <c r="E1634">
        <v>1</v>
      </c>
      <c r="F1634" s="15">
        <v>46062</v>
      </c>
      <c r="G1634" t="s">
        <v>356</v>
      </c>
      <c r="H1634">
        <v>4</v>
      </c>
      <c r="I1634">
        <v>2026</v>
      </c>
      <c r="J1634">
        <v>2</v>
      </c>
      <c r="K1634" t="s">
        <v>87</v>
      </c>
      <c r="L1634" t="s">
        <v>28</v>
      </c>
      <c r="M1634" t="s">
        <v>6</v>
      </c>
      <c r="N1634" t="b">
        <v>0</v>
      </c>
      <c r="O1634">
        <v>0</v>
      </c>
      <c r="P1634">
        <v>1</v>
      </c>
      <c r="Q1634">
        <v>0</v>
      </c>
      <c r="R1634">
        <v>0</v>
      </c>
    </row>
    <row r="1635" spans="1:18" x14ac:dyDescent="0.25">
      <c r="A1635" t="s">
        <v>12</v>
      </c>
      <c r="B1635" t="s">
        <v>6</v>
      </c>
      <c r="C1635">
        <v>3</v>
      </c>
      <c r="D1635">
        <v>4</v>
      </c>
      <c r="E1635">
        <v>1</v>
      </c>
      <c r="F1635" s="15">
        <v>46062</v>
      </c>
      <c r="G1635" t="s">
        <v>356</v>
      </c>
      <c r="H1635">
        <v>4</v>
      </c>
      <c r="I1635">
        <v>2026</v>
      </c>
      <c r="J1635">
        <v>2</v>
      </c>
      <c r="K1635" t="s">
        <v>87</v>
      </c>
      <c r="L1635" t="s">
        <v>41</v>
      </c>
      <c r="M1635" t="s">
        <v>8</v>
      </c>
      <c r="N1635" t="b">
        <v>0</v>
      </c>
      <c r="O1635">
        <v>0</v>
      </c>
      <c r="P1635">
        <v>1</v>
      </c>
      <c r="Q1635">
        <v>0</v>
      </c>
      <c r="R1635">
        <v>1</v>
      </c>
    </row>
    <row r="1636" spans="1:18" x14ac:dyDescent="0.25">
      <c r="A1636" t="s">
        <v>325</v>
      </c>
      <c r="B1636" t="s">
        <v>8</v>
      </c>
      <c r="C1636">
        <v>1</v>
      </c>
      <c r="D1636">
        <v>4</v>
      </c>
      <c r="E1636">
        <v>1</v>
      </c>
      <c r="F1636" s="15">
        <v>46048</v>
      </c>
      <c r="G1636" t="s">
        <v>330</v>
      </c>
      <c r="H1636">
        <v>3</v>
      </c>
      <c r="I1636">
        <v>2026</v>
      </c>
      <c r="J1636">
        <v>1</v>
      </c>
      <c r="K1636" t="s">
        <v>87</v>
      </c>
      <c r="L1636" t="s">
        <v>20</v>
      </c>
      <c r="M1636" t="s">
        <v>6</v>
      </c>
      <c r="N1636" t="b">
        <v>0</v>
      </c>
      <c r="O1636">
        <v>1</v>
      </c>
      <c r="P1636">
        <v>0</v>
      </c>
      <c r="Q1636">
        <v>0</v>
      </c>
      <c r="R1636">
        <v>0</v>
      </c>
    </row>
    <row r="1637" spans="1:18" x14ac:dyDescent="0.25">
      <c r="A1637" t="s">
        <v>325</v>
      </c>
      <c r="B1637" t="s">
        <v>8</v>
      </c>
      <c r="C1637">
        <v>1</v>
      </c>
      <c r="D1637">
        <v>4</v>
      </c>
      <c r="E1637">
        <v>1</v>
      </c>
      <c r="F1637" s="15">
        <v>46048</v>
      </c>
      <c r="G1637" t="s">
        <v>330</v>
      </c>
      <c r="H1637">
        <v>3</v>
      </c>
      <c r="I1637">
        <v>2026</v>
      </c>
      <c r="J1637">
        <v>1</v>
      </c>
      <c r="K1637" t="s">
        <v>87</v>
      </c>
      <c r="L1637" t="s">
        <v>27</v>
      </c>
      <c r="M1637" t="s">
        <v>6</v>
      </c>
      <c r="N1637" t="b">
        <v>0</v>
      </c>
      <c r="O1637">
        <v>1</v>
      </c>
      <c r="P1637">
        <v>0</v>
      </c>
      <c r="Q1637">
        <v>0</v>
      </c>
      <c r="R1637">
        <v>0</v>
      </c>
    </row>
    <row r="1638" spans="1:18" x14ac:dyDescent="0.25">
      <c r="A1638" t="s">
        <v>20</v>
      </c>
      <c r="B1638" t="s">
        <v>6</v>
      </c>
      <c r="C1638">
        <v>3</v>
      </c>
      <c r="D1638">
        <v>4</v>
      </c>
      <c r="E1638">
        <v>1</v>
      </c>
      <c r="F1638" s="15">
        <v>46048</v>
      </c>
      <c r="G1638" t="s">
        <v>330</v>
      </c>
      <c r="H1638">
        <v>3</v>
      </c>
      <c r="I1638">
        <v>2026</v>
      </c>
      <c r="J1638">
        <v>1</v>
      </c>
      <c r="K1638" t="s">
        <v>87</v>
      </c>
      <c r="L1638" t="s">
        <v>325</v>
      </c>
      <c r="M1638" t="s">
        <v>8</v>
      </c>
      <c r="N1638" t="b">
        <v>0</v>
      </c>
      <c r="O1638">
        <v>0</v>
      </c>
      <c r="P1638">
        <v>1</v>
      </c>
      <c r="Q1638">
        <v>0</v>
      </c>
      <c r="R1638">
        <v>1</v>
      </c>
    </row>
    <row r="1639" spans="1:18" x14ac:dyDescent="0.25">
      <c r="A1639" t="s">
        <v>20</v>
      </c>
      <c r="B1639" t="s">
        <v>6</v>
      </c>
      <c r="C1639">
        <v>3</v>
      </c>
      <c r="D1639">
        <v>4</v>
      </c>
      <c r="E1639">
        <v>1</v>
      </c>
      <c r="F1639" s="15">
        <v>46048</v>
      </c>
      <c r="G1639" t="s">
        <v>330</v>
      </c>
      <c r="H1639">
        <v>3</v>
      </c>
      <c r="I1639">
        <v>2026</v>
      </c>
      <c r="J1639">
        <v>1</v>
      </c>
      <c r="K1639" t="s">
        <v>87</v>
      </c>
      <c r="L1639" t="s">
        <v>27</v>
      </c>
      <c r="M1639" t="s">
        <v>6</v>
      </c>
      <c r="N1639" t="b">
        <v>0</v>
      </c>
      <c r="O1639">
        <v>0</v>
      </c>
      <c r="P1639">
        <v>1</v>
      </c>
      <c r="Q1639">
        <v>0</v>
      </c>
      <c r="R1639">
        <v>0</v>
      </c>
    </row>
    <row r="1640" spans="1:18" x14ac:dyDescent="0.25">
      <c r="A1640" t="s">
        <v>27</v>
      </c>
      <c r="B1640" t="s">
        <v>6</v>
      </c>
      <c r="C1640">
        <v>2</v>
      </c>
      <c r="D1640">
        <v>4</v>
      </c>
      <c r="E1640">
        <v>1</v>
      </c>
      <c r="F1640" s="15">
        <v>46048</v>
      </c>
      <c r="G1640" t="s">
        <v>330</v>
      </c>
      <c r="H1640">
        <v>3</v>
      </c>
      <c r="I1640">
        <v>2026</v>
      </c>
      <c r="J1640">
        <v>1</v>
      </c>
      <c r="K1640" t="s">
        <v>87</v>
      </c>
      <c r="L1640" t="s">
        <v>325</v>
      </c>
      <c r="M1640" t="s">
        <v>8</v>
      </c>
      <c r="N1640" t="b">
        <v>0</v>
      </c>
      <c r="O1640">
        <v>0</v>
      </c>
      <c r="P1640">
        <v>1</v>
      </c>
      <c r="Q1640">
        <v>0</v>
      </c>
      <c r="R1640">
        <v>1</v>
      </c>
    </row>
    <row r="1641" spans="1:18" x14ac:dyDescent="0.25">
      <c r="A1641" t="s">
        <v>27</v>
      </c>
      <c r="B1641" t="s">
        <v>6</v>
      </c>
      <c r="C1641">
        <v>2</v>
      </c>
      <c r="D1641">
        <v>4</v>
      </c>
      <c r="E1641">
        <v>1</v>
      </c>
      <c r="F1641" s="15">
        <v>46048</v>
      </c>
      <c r="G1641" t="s">
        <v>330</v>
      </c>
      <c r="H1641">
        <v>3</v>
      </c>
      <c r="I1641">
        <v>2026</v>
      </c>
      <c r="J1641">
        <v>1</v>
      </c>
      <c r="K1641" t="s">
        <v>87</v>
      </c>
      <c r="L1641" t="s">
        <v>20</v>
      </c>
      <c r="M1641" t="s">
        <v>6</v>
      </c>
      <c r="N1641" t="b">
        <v>0</v>
      </c>
      <c r="O1641">
        <v>0</v>
      </c>
      <c r="P1641">
        <v>1</v>
      </c>
      <c r="Q1641">
        <v>0</v>
      </c>
      <c r="R1641">
        <v>0</v>
      </c>
    </row>
    <row r="1642" spans="1:18" x14ac:dyDescent="0.25">
      <c r="A1642" t="s">
        <v>325</v>
      </c>
      <c r="B1642" t="s">
        <v>6</v>
      </c>
      <c r="C1642">
        <v>3</v>
      </c>
      <c r="D1642">
        <v>1</v>
      </c>
      <c r="E1642">
        <v>2</v>
      </c>
      <c r="F1642" s="15">
        <v>46048</v>
      </c>
      <c r="G1642" t="s">
        <v>334</v>
      </c>
      <c r="H1642">
        <v>4</v>
      </c>
      <c r="I1642">
        <v>2026</v>
      </c>
      <c r="J1642">
        <v>1</v>
      </c>
      <c r="K1642" t="s">
        <v>87</v>
      </c>
      <c r="L1642" t="s">
        <v>436</v>
      </c>
      <c r="M1642" t="s">
        <v>8</v>
      </c>
      <c r="N1642" t="b">
        <v>0</v>
      </c>
      <c r="O1642">
        <v>0</v>
      </c>
      <c r="P1642">
        <v>1</v>
      </c>
      <c r="Q1642">
        <v>0</v>
      </c>
      <c r="R1642">
        <v>1</v>
      </c>
    </row>
    <row r="1643" spans="1:18" x14ac:dyDescent="0.25">
      <c r="A1643" t="s">
        <v>325</v>
      </c>
      <c r="B1643" t="s">
        <v>6</v>
      </c>
      <c r="C1643">
        <v>3</v>
      </c>
      <c r="D1643">
        <v>1</v>
      </c>
      <c r="E1643">
        <v>2</v>
      </c>
      <c r="F1643" s="15">
        <v>46048</v>
      </c>
      <c r="G1643" t="s">
        <v>334</v>
      </c>
      <c r="H1643">
        <v>4</v>
      </c>
      <c r="I1643">
        <v>2026</v>
      </c>
      <c r="J1643">
        <v>1</v>
      </c>
      <c r="K1643" t="s">
        <v>87</v>
      </c>
      <c r="L1643" t="s">
        <v>324</v>
      </c>
      <c r="M1643" t="s">
        <v>6</v>
      </c>
      <c r="N1643" t="b">
        <v>0</v>
      </c>
      <c r="O1643">
        <v>0</v>
      </c>
      <c r="P1643">
        <v>1</v>
      </c>
      <c r="Q1643">
        <v>0</v>
      </c>
      <c r="R1643">
        <v>0</v>
      </c>
    </row>
    <row r="1644" spans="1:18" x14ac:dyDescent="0.25">
      <c r="A1644" t="s">
        <v>325</v>
      </c>
      <c r="B1644" t="s">
        <v>6</v>
      </c>
      <c r="C1644">
        <v>3</v>
      </c>
      <c r="D1644">
        <v>1</v>
      </c>
      <c r="E1644">
        <v>2</v>
      </c>
      <c r="F1644" s="15">
        <v>46048</v>
      </c>
      <c r="G1644" t="s">
        <v>334</v>
      </c>
      <c r="H1644">
        <v>4</v>
      </c>
      <c r="I1644">
        <v>2026</v>
      </c>
      <c r="J1644">
        <v>1</v>
      </c>
      <c r="K1644" t="s">
        <v>87</v>
      </c>
      <c r="L1644" t="s">
        <v>11</v>
      </c>
      <c r="M1644" t="s">
        <v>6</v>
      </c>
      <c r="N1644" t="b">
        <v>0</v>
      </c>
      <c r="O1644">
        <v>0</v>
      </c>
      <c r="P1644">
        <v>1</v>
      </c>
      <c r="Q1644">
        <v>0</v>
      </c>
      <c r="R1644">
        <v>0</v>
      </c>
    </row>
    <row r="1645" spans="1:18" x14ac:dyDescent="0.25">
      <c r="A1645" t="s">
        <v>436</v>
      </c>
      <c r="B1645" t="s">
        <v>8</v>
      </c>
      <c r="C1645">
        <v>2</v>
      </c>
      <c r="D1645">
        <v>1</v>
      </c>
      <c r="E1645">
        <v>2</v>
      </c>
      <c r="F1645" s="15">
        <v>46048</v>
      </c>
      <c r="G1645" t="s">
        <v>334</v>
      </c>
      <c r="H1645">
        <v>4</v>
      </c>
      <c r="I1645">
        <v>2026</v>
      </c>
      <c r="J1645">
        <v>1</v>
      </c>
      <c r="K1645" t="s">
        <v>87</v>
      </c>
      <c r="L1645" t="s">
        <v>325</v>
      </c>
      <c r="M1645" t="s">
        <v>6</v>
      </c>
      <c r="N1645" t="b">
        <v>0</v>
      </c>
      <c r="O1645">
        <v>1</v>
      </c>
      <c r="P1645">
        <v>0</v>
      </c>
      <c r="Q1645">
        <v>0</v>
      </c>
      <c r="R1645">
        <v>0</v>
      </c>
    </row>
    <row r="1646" spans="1:18" x14ac:dyDescent="0.25">
      <c r="A1646" t="s">
        <v>436</v>
      </c>
      <c r="B1646" t="s">
        <v>8</v>
      </c>
      <c r="C1646">
        <v>2</v>
      </c>
      <c r="D1646">
        <v>1</v>
      </c>
      <c r="E1646">
        <v>2</v>
      </c>
      <c r="F1646" s="15">
        <v>46048</v>
      </c>
      <c r="G1646" t="s">
        <v>334</v>
      </c>
      <c r="H1646">
        <v>4</v>
      </c>
      <c r="I1646">
        <v>2026</v>
      </c>
      <c r="J1646">
        <v>1</v>
      </c>
      <c r="K1646" t="s">
        <v>87</v>
      </c>
      <c r="L1646" t="s">
        <v>324</v>
      </c>
      <c r="M1646" t="s">
        <v>6</v>
      </c>
      <c r="N1646" t="b">
        <v>0</v>
      </c>
      <c r="O1646">
        <v>1</v>
      </c>
      <c r="P1646">
        <v>0</v>
      </c>
      <c r="Q1646">
        <v>0</v>
      </c>
      <c r="R1646">
        <v>0</v>
      </c>
    </row>
    <row r="1647" spans="1:18" x14ac:dyDescent="0.25">
      <c r="A1647" t="s">
        <v>436</v>
      </c>
      <c r="B1647" t="s">
        <v>8</v>
      </c>
      <c r="C1647">
        <v>2</v>
      </c>
      <c r="D1647">
        <v>1</v>
      </c>
      <c r="E1647">
        <v>2</v>
      </c>
      <c r="F1647" s="15">
        <v>46048</v>
      </c>
      <c r="G1647" t="s">
        <v>334</v>
      </c>
      <c r="H1647">
        <v>4</v>
      </c>
      <c r="I1647">
        <v>2026</v>
      </c>
      <c r="J1647">
        <v>1</v>
      </c>
      <c r="K1647" t="s">
        <v>87</v>
      </c>
      <c r="L1647" t="s">
        <v>11</v>
      </c>
      <c r="M1647" t="s">
        <v>6</v>
      </c>
      <c r="N1647" t="b">
        <v>0</v>
      </c>
      <c r="O1647">
        <v>1</v>
      </c>
      <c r="P1647">
        <v>0</v>
      </c>
      <c r="Q1647">
        <v>0</v>
      </c>
      <c r="R1647">
        <v>0</v>
      </c>
    </row>
    <row r="1648" spans="1:18" x14ac:dyDescent="0.25">
      <c r="A1648" t="s">
        <v>324</v>
      </c>
      <c r="B1648" t="s">
        <v>6</v>
      </c>
      <c r="C1648">
        <v>4</v>
      </c>
      <c r="D1648">
        <v>1</v>
      </c>
      <c r="E1648">
        <v>2</v>
      </c>
      <c r="F1648" s="15">
        <v>46048</v>
      </c>
      <c r="G1648" t="s">
        <v>334</v>
      </c>
      <c r="H1648">
        <v>4</v>
      </c>
      <c r="I1648">
        <v>2026</v>
      </c>
      <c r="J1648">
        <v>1</v>
      </c>
      <c r="K1648" t="s">
        <v>87</v>
      </c>
      <c r="L1648" t="s">
        <v>325</v>
      </c>
      <c r="M1648" t="s">
        <v>6</v>
      </c>
      <c r="N1648" t="b">
        <v>0</v>
      </c>
      <c r="O1648">
        <v>0</v>
      </c>
      <c r="P1648">
        <v>1</v>
      </c>
      <c r="Q1648">
        <v>0</v>
      </c>
      <c r="R1648">
        <v>0</v>
      </c>
    </row>
    <row r="1649" spans="1:18" x14ac:dyDescent="0.25">
      <c r="A1649" t="s">
        <v>324</v>
      </c>
      <c r="B1649" t="s">
        <v>6</v>
      </c>
      <c r="C1649">
        <v>4</v>
      </c>
      <c r="D1649">
        <v>1</v>
      </c>
      <c r="E1649">
        <v>2</v>
      </c>
      <c r="F1649" s="15">
        <v>46048</v>
      </c>
      <c r="G1649" t="s">
        <v>334</v>
      </c>
      <c r="H1649">
        <v>4</v>
      </c>
      <c r="I1649">
        <v>2026</v>
      </c>
      <c r="J1649">
        <v>1</v>
      </c>
      <c r="K1649" t="s">
        <v>87</v>
      </c>
      <c r="L1649" t="s">
        <v>436</v>
      </c>
      <c r="M1649" t="s">
        <v>8</v>
      </c>
      <c r="N1649" t="b">
        <v>0</v>
      </c>
      <c r="O1649">
        <v>0</v>
      </c>
      <c r="P1649">
        <v>1</v>
      </c>
      <c r="Q1649">
        <v>0</v>
      </c>
      <c r="R1649">
        <v>1</v>
      </c>
    </row>
    <row r="1650" spans="1:18" x14ac:dyDescent="0.25">
      <c r="A1650" t="s">
        <v>324</v>
      </c>
      <c r="B1650" t="s">
        <v>6</v>
      </c>
      <c r="C1650">
        <v>4</v>
      </c>
      <c r="D1650">
        <v>1</v>
      </c>
      <c r="E1650">
        <v>2</v>
      </c>
      <c r="F1650" s="15">
        <v>46048</v>
      </c>
      <c r="G1650" t="s">
        <v>334</v>
      </c>
      <c r="H1650">
        <v>4</v>
      </c>
      <c r="I1650">
        <v>2026</v>
      </c>
      <c r="J1650">
        <v>1</v>
      </c>
      <c r="K1650" t="s">
        <v>87</v>
      </c>
      <c r="L1650" t="s">
        <v>11</v>
      </c>
      <c r="M1650" t="s">
        <v>6</v>
      </c>
      <c r="N1650" t="b">
        <v>0</v>
      </c>
      <c r="O1650">
        <v>0</v>
      </c>
      <c r="P1650">
        <v>1</v>
      </c>
      <c r="Q1650">
        <v>0</v>
      </c>
      <c r="R1650">
        <v>0</v>
      </c>
    </row>
    <row r="1651" spans="1:18" x14ac:dyDescent="0.25">
      <c r="A1651" t="s">
        <v>11</v>
      </c>
      <c r="B1651" t="s">
        <v>6</v>
      </c>
      <c r="C1651">
        <v>1</v>
      </c>
      <c r="D1651">
        <v>1</v>
      </c>
      <c r="E1651">
        <v>2</v>
      </c>
      <c r="F1651" s="15">
        <v>46048</v>
      </c>
      <c r="G1651" t="s">
        <v>334</v>
      </c>
      <c r="H1651">
        <v>4</v>
      </c>
      <c r="I1651">
        <v>2026</v>
      </c>
      <c r="J1651">
        <v>1</v>
      </c>
      <c r="K1651" t="s">
        <v>87</v>
      </c>
      <c r="L1651" t="s">
        <v>325</v>
      </c>
      <c r="M1651" t="s">
        <v>6</v>
      </c>
      <c r="N1651" t="b">
        <v>0</v>
      </c>
      <c r="O1651">
        <v>0</v>
      </c>
      <c r="P1651">
        <v>1</v>
      </c>
      <c r="Q1651">
        <v>0</v>
      </c>
      <c r="R1651">
        <v>0</v>
      </c>
    </row>
    <row r="1652" spans="1:18" x14ac:dyDescent="0.25">
      <c r="A1652" t="s">
        <v>11</v>
      </c>
      <c r="B1652" t="s">
        <v>6</v>
      </c>
      <c r="C1652">
        <v>1</v>
      </c>
      <c r="D1652">
        <v>1</v>
      </c>
      <c r="E1652">
        <v>2</v>
      </c>
      <c r="F1652" s="15">
        <v>46048</v>
      </c>
      <c r="G1652" t="s">
        <v>334</v>
      </c>
      <c r="H1652">
        <v>4</v>
      </c>
      <c r="I1652">
        <v>2026</v>
      </c>
      <c r="J1652">
        <v>1</v>
      </c>
      <c r="K1652" t="s">
        <v>87</v>
      </c>
      <c r="L1652" t="s">
        <v>436</v>
      </c>
      <c r="M1652" t="s">
        <v>8</v>
      </c>
      <c r="N1652" t="b">
        <v>0</v>
      </c>
      <c r="O1652">
        <v>0</v>
      </c>
      <c r="P1652">
        <v>1</v>
      </c>
      <c r="Q1652">
        <v>0</v>
      </c>
      <c r="R1652">
        <v>1</v>
      </c>
    </row>
    <row r="1653" spans="1:18" x14ac:dyDescent="0.25">
      <c r="A1653" t="s">
        <v>11</v>
      </c>
      <c r="B1653" t="s">
        <v>6</v>
      </c>
      <c r="C1653">
        <v>1</v>
      </c>
      <c r="D1653">
        <v>1</v>
      </c>
      <c r="E1653">
        <v>2</v>
      </c>
      <c r="F1653" s="15">
        <v>46048</v>
      </c>
      <c r="G1653" t="s">
        <v>334</v>
      </c>
      <c r="H1653">
        <v>4</v>
      </c>
      <c r="I1653">
        <v>2026</v>
      </c>
      <c r="J1653">
        <v>1</v>
      </c>
      <c r="K1653" t="s">
        <v>87</v>
      </c>
      <c r="L1653" t="s">
        <v>324</v>
      </c>
      <c r="M1653" t="s">
        <v>6</v>
      </c>
      <c r="N1653" t="b">
        <v>0</v>
      </c>
      <c r="O1653">
        <v>0</v>
      </c>
      <c r="P1653">
        <v>1</v>
      </c>
      <c r="Q1653">
        <v>0</v>
      </c>
      <c r="R1653">
        <v>0</v>
      </c>
    </row>
    <row r="1654" spans="1:18" x14ac:dyDescent="0.25">
      <c r="A1654" t="s">
        <v>325</v>
      </c>
      <c r="B1654" t="s">
        <v>8</v>
      </c>
      <c r="C1654">
        <v>1</v>
      </c>
      <c r="D1654">
        <v>4</v>
      </c>
      <c r="E1654">
        <v>2</v>
      </c>
      <c r="F1654" s="15">
        <v>46055</v>
      </c>
      <c r="G1654" t="s">
        <v>349</v>
      </c>
      <c r="H1654">
        <v>4</v>
      </c>
      <c r="I1654">
        <v>2026</v>
      </c>
      <c r="J1654">
        <v>2</v>
      </c>
      <c r="K1654" t="s">
        <v>87</v>
      </c>
      <c r="L1654" t="s">
        <v>28</v>
      </c>
      <c r="M1654" t="s">
        <v>6</v>
      </c>
      <c r="N1654" t="b">
        <v>0</v>
      </c>
      <c r="O1654">
        <v>1</v>
      </c>
      <c r="P1654">
        <v>0</v>
      </c>
      <c r="Q1654">
        <v>0</v>
      </c>
      <c r="R1654">
        <v>0</v>
      </c>
    </row>
    <row r="1655" spans="1:18" x14ac:dyDescent="0.25">
      <c r="A1655" t="s">
        <v>325</v>
      </c>
      <c r="B1655" t="s">
        <v>8</v>
      </c>
      <c r="C1655">
        <v>1</v>
      </c>
      <c r="D1655">
        <v>4</v>
      </c>
      <c r="E1655">
        <v>2</v>
      </c>
      <c r="F1655" s="15">
        <v>46055</v>
      </c>
      <c r="G1655" t="s">
        <v>349</v>
      </c>
      <c r="H1655">
        <v>4</v>
      </c>
      <c r="I1655">
        <v>2026</v>
      </c>
      <c r="J1655">
        <v>2</v>
      </c>
      <c r="K1655" t="s">
        <v>87</v>
      </c>
      <c r="L1655" t="s">
        <v>433</v>
      </c>
      <c r="M1655" t="s">
        <v>6</v>
      </c>
      <c r="N1655" t="b">
        <v>0</v>
      </c>
      <c r="O1655">
        <v>1</v>
      </c>
      <c r="P1655">
        <v>0</v>
      </c>
      <c r="Q1655">
        <v>0</v>
      </c>
      <c r="R1655">
        <v>0</v>
      </c>
    </row>
    <row r="1656" spans="1:18" x14ac:dyDescent="0.25">
      <c r="A1656" t="s">
        <v>325</v>
      </c>
      <c r="B1656" t="s">
        <v>8</v>
      </c>
      <c r="C1656">
        <v>1</v>
      </c>
      <c r="D1656">
        <v>4</v>
      </c>
      <c r="E1656">
        <v>2</v>
      </c>
      <c r="F1656" s="15">
        <v>46055</v>
      </c>
      <c r="G1656" t="s">
        <v>349</v>
      </c>
      <c r="H1656">
        <v>4</v>
      </c>
      <c r="I1656">
        <v>2026</v>
      </c>
      <c r="J1656">
        <v>2</v>
      </c>
      <c r="K1656" t="s">
        <v>87</v>
      </c>
      <c r="L1656" t="s">
        <v>16</v>
      </c>
      <c r="M1656" t="s">
        <v>6</v>
      </c>
      <c r="N1656" t="b">
        <v>0</v>
      </c>
      <c r="O1656">
        <v>1</v>
      </c>
      <c r="P1656">
        <v>0</v>
      </c>
      <c r="Q1656">
        <v>0</v>
      </c>
      <c r="R1656">
        <v>0</v>
      </c>
    </row>
    <row r="1657" spans="1:18" x14ac:dyDescent="0.25">
      <c r="A1657" t="s">
        <v>28</v>
      </c>
      <c r="B1657" t="s">
        <v>6</v>
      </c>
      <c r="C1657">
        <v>3</v>
      </c>
      <c r="D1657">
        <v>4</v>
      </c>
      <c r="E1657">
        <v>2</v>
      </c>
      <c r="F1657" s="15">
        <v>46055</v>
      </c>
      <c r="G1657" t="s">
        <v>349</v>
      </c>
      <c r="H1657">
        <v>4</v>
      </c>
      <c r="I1657">
        <v>2026</v>
      </c>
      <c r="J1657">
        <v>2</v>
      </c>
      <c r="K1657" t="s">
        <v>87</v>
      </c>
      <c r="L1657" t="s">
        <v>325</v>
      </c>
      <c r="M1657" t="s">
        <v>8</v>
      </c>
      <c r="N1657" t="b">
        <v>0</v>
      </c>
      <c r="O1657">
        <v>0</v>
      </c>
      <c r="P1657">
        <v>1</v>
      </c>
      <c r="Q1657">
        <v>0</v>
      </c>
      <c r="R1657">
        <v>1</v>
      </c>
    </row>
    <row r="1658" spans="1:18" x14ac:dyDescent="0.25">
      <c r="A1658" t="s">
        <v>28</v>
      </c>
      <c r="B1658" t="s">
        <v>6</v>
      </c>
      <c r="C1658">
        <v>3</v>
      </c>
      <c r="D1658">
        <v>4</v>
      </c>
      <c r="E1658">
        <v>2</v>
      </c>
      <c r="F1658" s="15">
        <v>46055</v>
      </c>
      <c r="G1658" t="s">
        <v>349</v>
      </c>
      <c r="H1658">
        <v>4</v>
      </c>
      <c r="I1658">
        <v>2026</v>
      </c>
      <c r="J1658">
        <v>2</v>
      </c>
      <c r="K1658" t="s">
        <v>87</v>
      </c>
      <c r="L1658" t="s">
        <v>433</v>
      </c>
      <c r="M1658" t="s">
        <v>6</v>
      </c>
      <c r="N1658" t="b">
        <v>0</v>
      </c>
      <c r="O1658">
        <v>0</v>
      </c>
      <c r="P1658">
        <v>1</v>
      </c>
      <c r="Q1658">
        <v>0</v>
      </c>
      <c r="R1658">
        <v>0</v>
      </c>
    </row>
    <row r="1659" spans="1:18" x14ac:dyDescent="0.25">
      <c r="A1659" t="s">
        <v>28</v>
      </c>
      <c r="B1659" t="s">
        <v>6</v>
      </c>
      <c r="C1659">
        <v>3</v>
      </c>
      <c r="D1659">
        <v>4</v>
      </c>
      <c r="E1659">
        <v>2</v>
      </c>
      <c r="F1659" s="15">
        <v>46055</v>
      </c>
      <c r="G1659" t="s">
        <v>349</v>
      </c>
      <c r="H1659">
        <v>4</v>
      </c>
      <c r="I1659">
        <v>2026</v>
      </c>
      <c r="J1659">
        <v>2</v>
      </c>
      <c r="K1659" t="s">
        <v>87</v>
      </c>
      <c r="L1659" t="s">
        <v>16</v>
      </c>
      <c r="M1659" t="s">
        <v>6</v>
      </c>
      <c r="N1659" t="b">
        <v>0</v>
      </c>
      <c r="O1659">
        <v>0</v>
      </c>
      <c r="P1659">
        <v>1</v>
      </c>
      <c r="Q1659">
        <v>0</v>
      </c>
      <c r="R1659">
        <v>0</v>
      </c>
    </row>
    <row r="1660" spans="1:18" x14ac:dyDescent="0.25">
      <c r="A1660" t="s">
        <v>433</v>
      </c>
      <c r="B1660" t="s">
        <v>6</v>
      </c>
      <c r="C1660">
        <v>4</v>
      </c>
      <c r="D1660">
        <v>4</v>
      </c>
      <c r="E1660">
        <v>2</v>
      </c>
      <c r="F1660" s="15">
        <v>46055</v>
      </c>
      <c r="G1660" t="s">
        <v>349</v>
      </c>
      <c r="H1660">
        <v>4</v>
      </c>
      <c r="I1660">
        <v>2026</v>
      </c>
      <c r="J1660">
        <v>2</v>
      </c>
      <c r="K1660" t="s">
        <v>87</v>
      </c>
      <c r="L1660" t="s">
        <v>325</v>
      </c>
      <c r="M1660" t="s">
        <v>8</v>
      </c>
      <c r="N1660" t="b">
        <v>0</v>
      </c>
      <c r="O1660">
        <v>0</v>
      </c>
      <c r="P1660">
        <v>1</v>
      </c>
      <c r="Q1660">
        <v>0</v>
      </c>
      <c r="R1660">
        <v>1</v>
      </c>
    </row>
    <row r="1661" spans="1:18" x14ac:dyDescent="0.25">
      <c r="A1661" t="s">
        <v>433</v>
      </c>
      <c r="B1661" t="s">
        <v>6</v>
      </c>
      <c r="C1661">
        <v>4</v>
      </c>
      <c r="D1661">
        <v>4</v>
      </c>
      <c r="E1661">
        <v>2</v>
      </c>
      <c r="F1661" s="15">
        <v>46055</v>
      </c>
      <c r="G1661" t="s">
        <v>349</v>
      </c>
      <c r="H1661">
        <v>4</v>
      </c>
      <c r="I1661">
        <v>2026</v>
      </c>
      <c r="J1661">
        <v>2</v>
      </c>
      <c r="K1661" t="s">
        <v>87</v>
      </c>
      <c r="L1661" t="s">
        <v>28</v>
      </c>
      <c r="M1661" t="s">
        <v>6</v>
      </c>
      <c r="N1661" t="b">
        <v>0</v>
      </c>
      <c r="O1661">
        <v>0</v>
      </c>
      <c r="P1661">
        <v>1</v>
      </c>
      <c r="Q1661">
        <v>0</v>
      </c>
      <c r="R1661">
        <v>0</v>
      </c>
    </row>
    <row r="1662" spans="1:18" x14ac:dyDescent="0.25">
      <c r="A1662" t="s">
        <v>433</v>
      </c>
      <c r="B1662" t="s">
        <v>6</v>
      </c>
      <c r="C1662">
        <v>4</v>
      </c>
      <c r="D1662">
        <v>4</v>
      </c>
      <c r="E1662">
        <v>2</v>
      </c>
      <c r="F1662" s="15">
        <v>46055</v>
      </c>
      <c r="G1662" t="s">
        <v>349</v>
      </c>
      <c r="H1662">
        <v>4</v>
      </c>
      <c r="I1662">
        <v>2026</v>
      </c>
      <c r="J1662">
        <v>2</v>
      </c>
      <c r="K1662" t="s">
        <v>87</v>
      </c>
      <c r="L1662" t="s">
        <v>16</v>
      </c>
      <c r="M1662" t="s">
        <v>6</v>
      </c>
      <c r="N1662" t="b">
        <v>0</v>
      </c>
      <c r="O1662">
        <v>0</v>
      </c>
      <c r="P1662">
        <v>1</v>
      </c>
      <c r="Q1662">
        <v>0</v>
      </c>
      <c r="R1662">
        <v>0</v>
      </c>
    </row>
    <row r="1663" spans="1:18" x14ac:dyDescent="0.25">
      <c r="A1663" t="s">
        <v>16</v>
      </c>
      <c r="B1663" t="s">
        <v>6</v>
      </c>
      <c r="C1663">
        <v>2</v>
      </c>
      <c r="D1663">
        <v>4</v>
      </c>
      <c r="E1663">
        <v>2</v>
      </c>
      <c r="F1663" s="15">
        <v>46055</v>
      </c>
      <c r="G1663" t="s">
        <v>349</v>
      </c>
      <c r="H1663">
        <v>4</v>
      </c>
      <c r="I1663">
        <v>2026</v>
      </c>
      <c r="J1663">
        <v>2</v>
      </c>
      <c r="K1663" t="s">
        <v>87</v>
      </c>
      <c r="L1663" t="s">
        <v>325</v>
      </c>
      <c r="M1663" t="s">
        <v>8</v>
      </c>
      <c r="N1663" t="b">
        <v>0</v>
      </c>
      <c r="O1663">
        <v>0</v>
      </c>
      <c r="P1663">
        <v>1</v>
      </c>
      <c r="Q1663">
        <v>0</v>
      </c>
      <c r="R1663">
        <v>1</v>
      </c>
    </row>
    <row r="1664" spans="1:18" x14ac:dyDescent="0.25">
      <c r="A1664" t="s">
        <v>16</v>
      </c>
      <c r="B1664" t="s">
        <v>6</v>
      </c>
      <c r="C1664">
        <v>2</v>
      </c>
      <c r="D1664">
        <v>4</v>
      </c>
      <c r="E1664">
        <v>2</v>
      </c>
      <c r="F1664" s="15">
        <v>46055</v>
      </c>
      <c r="G1664" t="s">
        <v>349</v>
      </c>
      <c r="H1664">
        <v>4</v>
      </c>
      <c r="I1664">
        <v>2026</v>
      </c>
      <c r="J1664">
        <v>2</v>
      </c>
      <c r="K1664" t="s">
        <v>87</v>
      </c>
      <c r="L1664" t="s">
        <v>28</v>
      </c>
      <c r="M1664" t="s">
        <v>6</v>
      </c>
      <c r="N1664" t="b">
        <v>0</v>
      </c>
      <c r="O1664">
        <v>0</v>
      </c>
      <c r="P1664">
        <v>1</v>
      </c>
      <c r="Q1664">
        <v>0</v>
      </c>
      <c r="R1664">
        <v>0</v>
      </c>
    </row>
    <row r="1665" spans="1:18" x14ac:dyDescent="0.25">
      <c r="A1665" t="s">
        <v>16</v>
      </c>
      <c r="B1665" t="s">
        <v>6</v>
      </c>
      <c r="C1665">
        <v>2</v>
      </c>
      <c r="D1665">
        <v>4</v>
      </c>
      <c r="E1665">
        <v>2</v>
      </c>
      <c r="F1665" s="15">
        <v>46055</v>
      </c>
      <c r="G1665" t="s">
        <v>349</v>
      </c>
      <c r="H1665">
        <v>4</v>
      </c>
      <c r="I1665">
        <v>2026</v>
      </c>
      <c r="J1665">
        <v>2</v>
      </c>
      <c r="K1665" t="s">
        <v>87</v>
      </c>
      <c r="L1665" t="s">
        <v>433</v>
      </c>
      <c r="M1665" t="s">
        <v>6</v>
      </c>
      <c r="N1665" t="b">
        <v>0</v>
      </c>
      <c r="O1665">
        <v>0</v>
      </c>
      <c r="P1665">
        <v>1</v>
      </c>
      <c r="Q1665">
        <v>0</v>
      </c>
      <c r="R1665">
        <v>0</v>
      </c>
    </row>
    <row r="1666" spans="1:18" x14ac:dyDescent="0.25">
      <c r="A1666" t="s">
        <v>325</v>
      </c>
      <c r="B1666" t="s">
        <v>6</v>
      </c>
      <c r="C1666">
        <v>3</v>
      </c>
      <c r="D1666">
        <v>5</v>
      </c>
      <c r="E1666">
        <v>1</v>
      </c>
      <c r="F1666" s="15">
        <v>46069</v>
      </c>
      <c r="G1666" t="s">
        <v>370</v>
      </c>
      <c r="H1666">
        <v>3</v>
      </c>
      <c r="I1666">
        <v>2026</v>
      </c>
      <c r="J1666">
        <v>2</v>
      </c>
      <c r="K1666" t="s">
        <v>87</v>
      </c>
      <c r="L1666" t="s">
        <v>364</v>
      </c>
      <c r="M1666" t="s">
        <v>6</v>
      </c>
      <c r="N1666" t="b">
        <v>0</v>
      </c>
      <c r="O1666">
        <v>0</v>
      </c>
      <c r="P1666">
        <v>1</v>
      </c>
      <c r="Q1666">
        <v>0</v>
      </c>
      <c r="R1666">
        <v>0</v>
      </c>
    </row>
    <row r="1667" spans="1:18" x14ac:dyDescent="0.25">
      <c r="A1667" t="s">
        <v>325</v>
      </c>
      <c r="B1667" t="s">
        <v>6</v>
      </c>
      <c r="C1667">
        <v>3</v>
      </c>
      <c r="D1667">
        <v>5</v>
      </c>
      <c r="E1667">
        <v>1</v>
      </c>
      <c r="F1667" s="15">
        <v>46069</v>
      </c>
      <c r="G1667" t="s">
        <v>370</v>
      </c>
      <c r="H1667">
        <v>3</v>
      </c>
      <c r="I1667">
        <v>2026</v>
      </c>
      <c r="J1667">
        <v>2</v>
      </c>
      <c r="K1667" t="s">
        <v>87</v>
      </c>
      <c r="L1667" t="s">
        <v>365</v>
      </c>
      <c r="M1667" t="s">
        <v>8</v>
      </c>
      <c r="N1667" t="b">
        <v>0</v>
      </c>
      <c r="O1667">
        <v>0</v>
      </c>
      <c r="P1667">
        <v>1</v>
      </c>
      <c r="Q1667">
        <v>0</v>
      </c>
      <c r="R1667">
        <v>1</v>
      </c>
    </row>
    <row r="1668" spans="1:18" x14ac:dyDescent="0.25">
      <c r="A1668" t="s">
        <v>364</v>
      </c>
      <c r="B1668" t="s">
        <v>6</v>
      </c>
      <c r="C1668">
        <v>1</v>
      </c>
      <c r="D1668">
        <v>5</v>
      </c>
      <c r="E1668">
        <v>1</v>
      </c>
      <c r="F1668" s="15">
        <v>46069</v>
      </c>
      <c r="G1668" t="s">
        <v>370</v>
      </c>
      <c r="H1668">
        <v>3</v>
      </c>
      <c r="I1668">
        <v>2026</v>
      </c>
      <c r="J1668">
        <v>2</v>
      </c>
      <c r="K1668" t="s">
        <v>87</v>
      </c>
      <c r="L1668" t="s">
        <v>325</v>
      </c>
      <c r="M1668" t="s">
        <v>6</v>
      </c>
      <c r="N1668" t="b">
        <v>0</v>
      </c>
      <c r="O1668">
        <v>0</v>
      </c>
      <c r="P1668">
        <v>1</v>
      </c>
      <c r="Q1668">
        <v>0</v>
      </c>
      <c r="R1668">
        <v>0</v>
      </c>
    </row>
    <row r="1669" spans="1:18" x14ac:dyDescent="0.25">
      <c r="A1669" t="s">
        <v>364</v>
      </c>
      <c r="B1669" t="s">
        <v>6</v>
      </c>
      <c r="C1669">
        <v>1</v>
      </c>
      <c r="D1669">
        <v>5</v>
      </c>
      <c r="E1669">
        <v>1</v>
      </c>
      <c r="F1669" s="15">
        <v>46069</v>
      </c>
      <c r="G1669" t="s">
        <v>370</v>
      </c>
      <c r="H1669">
        <v>3</v>
      </c>
      <c r="I1669">
        <v>2026</v>
      </c>
      <c r="J1669">
        <v>2</v>
      </c>
      <c r="K1669" t="s">
        <v>87</v>
      </c>
      <c r="L1669" t="s">
        <v>365</v>
      </c>
      <c r="M1669" t="s">
        <v>8</v>
      </c>
      <c r="N1669" t="b">
        <v>0</v>
      </c>
      <c r="O1669">
        <v>0</v>
      </c>
      <c r="P1669">
        <v>1</v>
      </c>
      <c r="Q1669">
        <v>0</v>
      </c>
      <c r="R1669">
        <v>1</v>
      </c>
    </row>
    <row r="1670" spans="1:18" x14ac:dyDescent="0.25">
      <c r="A1670" t="s">
        <v>365</v>
      </c>
      <c r="B1670" t="s">
        <v>8</v>
      </c>
      <c r="C1670">
        <v>2</v>
      </c>
      <c r="D1670">
        <v>5</v>
      </c>
      <c r="E1670">
        <v>1</v>
      </c>
      <c r="F1670" s="15">
        <v>46069</v>
      </c>
      <c r="G1670" t="s">
        <v>370</v>
      </c>
      <c r="H1670">
        <v>3</v>
      </c>
      <c r="I1670">
        <v>2026</v>
      </c>
      <c r="J1670">
        <v>2</v>
      </c>
      <c r="K1670" t="s">
        <v>87</v>
      </c>
      <c r="L1670" t="s">
        <v>325</v>
      </c>
      <c r="M1670" t="s">
        <v>6</v>
      </c>
      <c r="N1670" t="b">
        <v>0</v>
      </c>
      <c r="O1670">
        <v>1</v>
      </c>
      <c r="P1670">
        <v>0</v>
      </c>
      <c r="Q1670">
        <v>0</v>
      </c>
      <c r="R1670">
        <v>0</v>
      </c>
    </row>
    <row r="1671" spans="1:18" x14ac:dyDescent="0.25">
      <c r="A1671" t="s">
        <v>365</v>
      </c>
      <c r="B1671" t="s">
        <v>8</v>
      </c>
      <c r="C1671">
        <v>2</v>
      </c>
      <c r="D1671">
        <v>5</v>
      </c>
      <c r="E1671">
        <v>1</v>
      </c>
      <c r="F1671" s="15">
        <v>46069</v>
      </c>
      <c r="G1671" t="s">
        <v>370</v>
      </c>
      <c r="H1671">
        <v>3</v>
      </c>
      <c r="I1671">
        <v>2026</v>
      </c>
      <c r="J1671">
        <v>2</v>
      </c>
      <c r="K1671" t="s">
        <v>87</v>
      </c>
      <c r="L1671" t="s">
        <v>364</v>
      </c>
      <c r="M1671" t="s">
        <v>6</v>
      </c>
      <c r="N1671" t="b">
        <v>0</v>
      </c>
      <c r="O1671">
        <v>1</v>
      </c>
      <c r="P1671">
        <v>0</v>
      </c>
      <c r="Q1671">
        <v>0</v>
      </c>
      <c r="R1671">
        <v>0</v>
      </c>
    </row>
    <row r="1672" spans="1:18" x14ac:dyDescent="0.25">
      <c r="A1672" t="s">
        <v>10</v>
      </c>
      <c r="B1672" t="s">
        <v>8</v>
      </c>
      <c r="D1672">
        <v>1</v>
      </c>
      <c r="E1672">
        <v>1</v>
      </c>
      <c r="F1672" s="15">
        <v>45859</v>
      </c>
      <c r="G1672" t="s">
        <v>94</v>
      </c>
      <c r="H1672">
        <v>4</v>
      </c>
      <c r="I1672">
        <v>2025</v>
      </c>
      <c r="J1672">
        <v>7</v>
      </c>
      <c r="K1672" t="s">
        <v>87</v>
      </c>
      <c r="L1672" t="s">
        <v>76</v>
      </c>
      <c r="M1672" t="s">
        <v>6</v>
      </c>
      <c r="N1672" t="b">
        <v>0</v>
      </c>
      <c r="O1672">
        <v>1</v>
      </c>
      <c r="P1672">
        <v>0</v>
      </c>
      <c r="Q1672">
        <v>0</v>
      </c>
      <c r="R1672">
        <v>0</v>
      </c>
    </row>
    <row r="1673" spans="1:18" x14ac:dyDescent="0.25">
      <c r="A1673" t="s">
        <v>10</v>
      </c>
      <c r="B1673" t="s">
        <v>8</v>
      </c>
      <c r="D1673">
        <v>1</v>
      </c>
      <c r="E1673">
        <v>1</v>
      </c>
      <c r="F1673" s="15">
        <v>45859</v>
      </c>
      <c r="G1673" t="s">
        <v>94</v>
      </c>
      <c r="H1673">
        <v>4</v>
      </c>
      <c r="I1673">
        <v>2025</v>
      </c>
      <c r="J1673">
        <v>7</v>
      </c>
      <c r="K1673" t="s">
        <v>87</v>
      </c>
      <c r="L1673" t="s">
        <v>76</v>
      </c>
      <c r="M1673" t="s">
        <v>6</v>
      </c>
      <c r="N1673" t="b">
        <v>0</v>
      </c>
      <c r="O1673">
        <v>1</v>
      </c>
      <c r="P1673">
        <v>0</v>
      </c>
      <c r="Q1673">
        <v>0</v>
      </c>
      <c r="R1673">
        <v>0</v>
      </c>
    </row>
    <row r="1674" spans="1:18" x14ac:dyDescent="0.25">
      <c r="A1674" t="s">
        <v>10</v>
      </c>
      <c r="B1674" t="s">
        <v>8</v>
      </c>
      <c r="D1674">
        <v>1</v>
      </c>
      <c r="E1674">
        <v>1</v>
      </c>
      <c r="F1674" s="15">
        <v>45859</v>
      </c>
      <c r="G1674" t="s">
        <v>94</v>
      </c>
      <c r="H1674">
        <v>4</v>
      </c>
      <c r="I1674">
        <v>2025</v>
      </c>
      <c r="J1674">
        <v>7</v>
      </c>
      <c r="K1674" t="s">
        <v>87</v>
      </c>
      <c r="L1674" t="s">
        <v>39</v>
      </c>
      <c r="M1674" t="s">
        <v>6</v>
      </c>
      <c r="N1674" t="b">
        <v>0</v>
      </c>
      <c r="O1674">
        <v>1</v>
      </c>
      <c r="P1674">
        <v>0</v>
      </c>
      <c r="Q1674">
        <v>0</v>
      </c>
      <c r="R1674">
        <v>0</v>
      </c>
    </row>
    <row r="1675" spans="1:18" x14ac:dyDescent="0.25">
      <c r="A1675" t="s">
        <v>76</v>
      </c>
      <c r="B1675" t="s">
        <v>6</v>
      </c>
      <c r="D1675">
        <v>1</v>
      </c>
      <c r="E1675">
        <v>1</v>
      </c>
      <c r="F1675" s="15">
        <v>45859</v>
      </c>
      <c r="G1675" t="s">
        <v>94</v>
      </c>
      <c r="H1675">
        <v>4</v>
      </c>
      <c r="I1675">
        <v>2025</v>
      </c>
      <c r="J1675">
        <v>7</v>
      </c>
      <c r="K1675" t="s">
        <v>87</v>
      </c>
      <c r="L1675" t="s">
        <v>10</v>
      </c>
      <c r="M1675" t="s">
        <v>8</v>
      </c>
      <c r="N1675" t="b">
        <v>0</v>
      </c>
      <c r="O1675">
        <v>0</v>
      </c>
      <c r="P1675">
        <v>1</v>
      </c>
      <c r="Q1675">
        <v>0</v>
      </c>
      <c r="R1675">
        <v>1</v>
      </c>
    </row>
    <row r="1676" spans="1:18" x14ac:dyDescent="0.25">
      <c r="A1676" t="s">
        <v>76</v>
      </c>
      <c r="B1676" t="s">
        <v>6</v>
      </c>
      <c r="D1676">
        <v>1</v>
      </c>
      <c r="E1676">
        <v>1</v>
      </c>
      <c r="F1676" s="15">
        <v>45859</v>
      </c>
      <c r="G1676" t="s">
        <v>94</v>
      </c>
      <c r="H1676">
        <v>4</v>
      </c>
      <c r="I1676">
        <v>2025</v>
      </c>
      <c r="J1676">
        <v>7</v>
      </c>
      <c r="K1676" t="s">
        <v>87</v>
      </c>
      <c r="L1676" t="s">
        <v>39</v>
      </c>
      <c r="M1676" t="s">
        <v>6</v>
      </c>
      <c r="N1676" t="b">
        <v>0</v>
      </c>
      <c r="O1676">
        <v>0</v>
      </c>
      <c r="P1676">
        <v>1</v>
      </c>
      <c r="Q1676">
        <v>0</v>
      </c>
      <c r="R1676">
        <v>0</v>
      </c>
    </row>
    <row r="1677" spans="1:18" x14ac:dyDescent="0.25">
      <c r="A1677" t="s">
        <v>76</v>
      </c>
      <c r="B1677" t="s">
        <v>6</v>
      </c>
      <c r="D1677">
        <v>1</v>
      </c>
      <c r="E1677">
        <v>1</v>
      </c>
      <c r="F1677" s="15">
        <v>45859</v>
      </c>
      <c r="G1677" t="s">
        <v>94</v>
      </c>
      <c r="H1677">
        <v>4</v>
      </c>
      <c r="I1677">
        <v>2025</v>
      </c>
      <c r="J1677">
        <v>7</v>
      </c>
      <c r="K1677" t="s">
        <v>87</v>
      </c>
      <c r="L1677" t="s">
        <v>10</v>
      </c>
      <c r="M1677" t="s">
        <v>8</v>
      </c>
      <c r="N1677" t="b">
        <v>0</v>
      </c>
      <c r="O1677">
        <v>0</v>
      </c>
      <c r="P1677">
        <v>1</v>
      </c>
      <c r="Q1677">
        <v>0</v>
      </c>
      <c r="R1677">
        <v>1</v>
      </c>
    </row>
    <row r="1678" spans="1:18" x14ac:dyDescent="0.25">
      <c r="A1678" t="s">
        <v>76</v>
      </c>
      <c r="B1678" t="s">
        <v>6</v>
      </c>
      <c r="D1678">
        <v>1</v>
      </c>
      <c r="E1678">
        <v>1</v>
      </c>
      <c r="F1678" s="15">
        <v>45859</v>
      </c>
      <c r="G1678" t="s">
        <v>94</v>
      </c>
      <c r="H1678">
        <v>4</v>
      </c>
      <c r="I1678">
        <v>2025</v>
      </c>
      <c r="J1678">
        <v>7</v>
      </c>
      <c r="K1678" t="s">
        <v>87</v>
      </c>
      <c r="L1678" t="s">
        <v>39</v>
      </c>
      <c r="M1678" t="s">
        <v>6</v>
      </c>
      <c r="N1678" t="b">
        <v>0</v>
      </c>
      <c r="O1678">
        <v>0</v>
      </c>
      <c r="P1678">
        <v>1</v>
      </c>
      <c r="Q1678">
        <v>0</v>
      </c>
      <c r="R1678">
        <v>0</v>
      </c>
    </row>
    <row r="1679" spans="1:18" x14ac:dyDescent="0.25">
      <c r="A1679" t="s">
        <v>39</v>
      </c>
      <c r="B1679" t="s">
        <v>6</v>
      </c>
      <c r="D1679">
        <v>1</v>
      </c>
      <c r="E1679">
        <v>1</v>
      </c>
      <c r="F1679" s="15">
        <v>45859</v>
      </c>
      <c r="G1679" t="s">
        <v>94</v>
      </c>
      <c r="H1679">
        <v>4</v>
      </c>
      <c r="I1679">
        <v>2025</v>
      </c>
      <c r="J1679">
        <v>7</v>
      </c>
      <c r="K1679" t="s">
        <v>87</v>
      </c>
      <c r="L1679" t="s">
        <v>10</v>
      </c>
      <c r="M1679" t="s">
        <v>8</v>
      </c>
      <c r="N1679" t="b">
        <v>0</v>
      </c>
      <c r="O1679">
        <v>0</v>
      </c>
      <c r="P1679">
        <v>1</v>
      </c>
      <c r="Q1679">
        <v>0</v>
      </c>
      <c r="R1679">
        <v>1</v>
      </c>
    </row>
    <row r="1680" spans="1:18" x14ac:dyDescent="0.25">
      <c r="A1680" t="s">
        <v>39</v>
      </c>
      <c r="B1680" t="s">
        <v>6</v>
      </c>
      <c r="D1680">
        <v>1</v>
      </c>
      <c r="E1680">
        <v>1</v>
      </c>
      <c r="F1680" s="15">
        <v>45859</v>
      </c>
      <c r="G1680" t="s">
        <v>94</v>
      </c>
      <c r="H1680">
        <v>4</v>
      </c>
      <c r="I1680">
        <v>2025</v>
      </c>
      <c r="J1680">
        <v>7</v>
      </c>
      <c r="K1680" t="s">
        <v>87</v>
      </c>
      <c r="L1680" t="s">
        <v>76</v>
      </c>
      <c r="M1680" t="s">
        <v>6</v>
      </c>
      <c r="N1680" t="b">
        <v>0</v>
      </c>
      <c r="O1680">
        <v>0</v>
      </c>
      <c r="P1680">
        <v>1</v>
      </c>
      <c r="Q1680">
        <v>0</v>
      </c>
      <c r="R1680">
        <v>0</v>
      </c>
    </row>
    <row r="1681" spans="1:18" x14ac:dyDescent="0.25">
      <c r="A1681" t="s">
        <v>39</v>
      </c>
      <c r="B1681" t="s">
        <v>6</v>
      </c>
      <c r="D1681">
        <v>1</v>
      </c>
      <c r="E1681">
        <v>1</v>
      </c>
      <c r="F1681" s="15">
        <v>45859</v>
      </c>
      <c r="G1681" t="s">
        <v>94</v>
      </c>
      <c r="H1681">
        <v>4</v>
      </c>
      <c r="I1681">
        <v>2025</v>
      </c>
      <c r="J1681">
        <v>7</v>
      </c>
      <c r="K1681" t="s">
        <v>87</v>
      </c>
      <c r="L1681" t="s">
        <v>76</v>
      </c>
      <c r="M1681" t="s">
        <v>6</v>
      </c>
      <c r="N1681" t="b">
        <v>0</v>
      </c>
      <c r="O1681">
        <v>0</v>
      </c>
      <c r="P1681">
        <v>1</v>
      </c>
      <c r="Q1681">
        <v>0</v>
      </c>
      <c r="R1681">
        <v>0</v>
      </c>
    </row>
    <row r="1682" spans="1:18" x14ac:dyDescent="0.25">
      <c r="A1682" t="s">
        <v>10</v>
      </c>
      <c r="B1682" t="s">
        <v>6</v>
      </c>
      <c r="C1682">
        <v>2</v>
      </c>
      <c r="D1682">
        <v>1</v>
      </c>
      <c r="E1682">
        <v>1</v>
      </c>
      <c r="F1682" s="15">
        <v>45873</v>
      </c>
      <c r="G1682" t="s">
        <v>96</v>
      </c>
      <c r="H1682">
        <v>3</v>
      </c>
      <c r="I1682">
        <v>2025</v>
      </c>
      <c r="J1682">
        <v>8</v>
      </c>
      <c r="K1682" t="s">
        <v>87</v>
      </c>
      <c r="L1682" t="s">
        <v>43</v>
      </c>
      <c r="M1682" t="s">
        <v>8</v>
      </c>
      <c r="N1682" t="b">
        <v>0</v>
      </c>
      <c r="O1682">
        <v>0</v>
      </c>
      <c r="P1682">
        <v>1</v>
      </c>
      <c r="Q1682">
        <v>0</v>
      </c>
      <c r="R1682">
        <v>1</v>
      </c>
    </row>
    <row r="1683" spans="1:18" x14ac:dyDescent="0.25">
      <c r="A1683" t="s">
        <v>10</v>
      </c>
      <c r="B1683" t="s">
        <v>6</v>
      </c>
      <c r="C1683">
        <v>2</v>
      </c>
      <c r="D1683">
        <v>1</v>
      </c>
      <c r="E1683">
        <v>1</v>
      </c>
      <c r="F1683" s="15">
        <v>45873</v>
      </c>
      <c r="G1683" t="s">
        <v>96</v>
      </c>
      <c r="H1683">
        <v>3</v>
      </c>
      <c r="I1683">
        <v>2025</v>
      </c>
      <c r="J1683">
        <v>8</v>
      </c>
      <c r="K1683" t="s">
        <v>87</v>
      </c>
      <c r="L1683" t="s">
        <v>9</v>
      </c>
      <c r="M1683" t="s">
        <v>6</v>
      </c>
      <c r="N1683" t="b">
        <v>0</v>
      </c>
      <c r="O1683">
        <v>0</v>
      </c>
      <c r="P1683">
        <v>1</v>
      </c>
      <c r="Q1683">
        <v>0</v>
      </c>
      <c r="R1683">
        <v>0</v>
      </c>
    </row>
    <row r="1684" spans="1:18" x14ac:dyDescent="0.25">
      <c r="A1684" t="s">
        <v>43</v>
      </c>
      <c r="B1684" t="s">
        <v>8</v>
      </c>
      <c r="C1684">
        <v>1</v>
      </c>
      <c r="D1684">
        <v>1</v>
      </c>
      <c r="E1684">
        <v>1</v>
      </c>
      <c r="F1684" s="15">
        <v>45873</v>
      </c>
      <c r="G1684" t="s">
        <v>96</v>
      </c>
      <c r="H1684">
        <v>3</v>
      </c>
      <c r="I1684">
        <v>2025</v>
      </c>
      <c r="J1684">
        <v>8</v>
      </c>
      <c r="K1684" t="s">
        <v>87</v>
      </c>
      <c r="L1684" t="s">
        <v>10</v>
      </c>
      <c r="M1684" t="s">
        <v>6</v>
      </c>
      <c r="N1684" t="b">
        <v>0</v>
      </c>
      <c r="O1684">
        <v>1</v>
      </c>
      <c r="P1684">
        <v>0</v>
      </c>
      <c r="Q1684">
        <v>0</v>
      </c>
      <c r="R1684">
        <v>0</v>
      </c>
    </row>
    <row r="1685" spans="1:18" x14ac:dyDescent="0.25">
      <c r="A1685" t="s">
        <v>43</v>
      </c>
      <c r="B1685" t="s">
        <v>8</v>
      </c>
      <c r="C1685">
        <v>1</v>
      </c>
      <c r="D1685">
        <v>1</v>
      </c>
      <c r="E1685">
        <v>1</v>
      </c>
      <c r="F1685" s="15">
        <v>45873</v>
      </c>
      <c r="G1685" t="s">
        <v>96</v>
      </c>
      <c r="H1685">
        <v>3</v>
      </c>
      <c r="I1685">
        <v>2025</v>
      </c>
      <c r="J1685">
        <v>8</v>
      </c>
      <c r="K1685" t="s">
        <v>87</v>
      </c>
      <c r="L1685" t="s">
        <v>9</v>
      </c>
      <c r="M1685" t="s">
        <v>6</v>
      </c>
      <c r="N1685" t="b">
        <v>0</v>
      </c>
      <c r="O1685">
        <v>1</v>
      </c>
      <c r="P1685">
        <v>0</v>
      </c>
      <c r="Q1685">
        <v>0</v>
      </c>
      <c r="R1685">
        <v>0</v>
      </c>
    </row>
    <row r="1686" spans="1:18" x14ac:dyDescent="0.25">
      <c r="A1686" t="s">
        <v>9</v>
      </c>
      <c r="B1686" t="s">
        <v>6</v>
      </c>
      <c r="C1686">
        <v>3</v>
      </c>
      <c r="D1686">
        <v>1</v>
      </c>
      <c r="E1686">
        <v>1</v>
      </c>
      <c r="F1686" s="15">
        <v>45873</v>
      </c>
      <c r="G1686" t="s">
        <v>96</v>
      </c>
      <c r="H1686">
        <v>3</v>
      </c>
      <c r="I1686">
        <v>2025</v>
      </c>
      <c r="J1686">
        <v>8</v>
      </c>
      <c r="K1686" t="s">
        <v>87</v>
      </c>
      <c r="L1686" t="s">
        <v>10</v>
      </c>
      <c r="M1686" t="s">
        <v>6</v>
      </c>
      <c r="N1686" t="b">
        <v>0</v>
      </c>
      <c r="O1686">
        <v>0</v>
      </c>
      <c r="P1686">
        <v>1</v>
      </c>
      <c r="Q1686">
        <v>0</v>
      </c>
      <c r="R1686">
        <v>0</v>
      </c>
    </row>
    <row r="1687" spans="1:18" x14ac:dyDescent="0.25">
      <c r="A1687" t="s">
        <v>9</v>
      </c>
      <c r="B1687" t="s">
        <v>6</v>
      </c>
      <c r="C1687">
        <v>3</v>
      </c>
      <c r="D1687">
        <v>1</v>
      </c>
      <c r="E1687">
        <v>1</v>
      </c>
      <c r="F1687" s="15">
        <v>45873</v>
      </c>
      <c r="G1687" t="s">
        <v>96</v>
      </c>
      <c r="H1687">
        <v>3</v>
      </c>
      <c r="I1687">
        <v>2025</v>
      </c>
      <c r="J1687">
        <v>8</v>
      </c>
      <c r="K1687" t="s">
        <v>87</v>
      </c>
      <c r="L1687" t="s">
        <v>43</v>
      </c>
      <c r="M1687" t="s">
        <v>8</v>
      </c>
      <c r="N1687" t="b">
        <v>0</v>
      </c>
      <c r="O1687">
        <v>0</v>
      </c>
      <c r="P1687">
        <v>1</v>
      </c>
      <c r="Q1687">
        <v>0</v>
      </c>
      <c r="R1687">
        <v>1</v>
      </c>
    </row>
    <row r="1688" spans="1:18" x14ac:dyDescent="0.25">
      <c r="A1688" t="s">
        <v>10</v>
      </c>
      <c r="B1688" t="s">
        <v>6</v>
      </c>
      <c r="C1688">
        <v>3</v>
      </c>
      <c r="D1688">
        <v>1</v>
      </c>
      <c r="E1688">
        <v>1</v>
      </c>
      <c r="F1688" s="15">
        <v>45943</v>
      </c>
      <c r="G1688" t="s">
        <v>105</v>
      </c>
      <c r="H1688">
        <v>5</v>
      </c>
      <c r="I1688">
        <v>2025</v>
      </c>
      <c r="J1688">
        <v>10</v>
      </c>
      <c r="K1688" t="s">
        <v>87</v>
      </c>
      <c r="L1688" t="s">
        <v>436</v>
      </c>
      <c r="M1688" t="s">
        <v>6</v>
      </c>
      <c r="N1688" t="b">
        <v>0</v>
      </c>
      <c r="O1688">
        <v>0</v>
      </c>
      <c r="P1688">
        <v>1</v>
      </c>
      <c r="Q1688">
        <v>0</v>
      </c>
      <c r="R1688">
        <v>0</v>
      </c>
    </row>
    <row r="1689" spans="1:18" x14ac:dyDescent="0.25">
      <c r="A1689" t="s">
        <v>10</v>
      </c>
      <c r="B1689" t="s">
        <v>6</v>
      </c>
      <c r="C1689">
        <v>3</v>
      </c>
      <c r="D1689">
        <v>1</v>
      </c>
      <c r="E1689">
        <v>1</v>
      </c>
      <c r="F1689" s="15">
        <v>45943</v>
      </c>
      <c r="G1689" t="s">
        <v>105</v>
      </c>
      <c r="H1689">
        <v>5</v>
      </c>
      <c r="I1689">
        <v>2025</v>
      </c>
      <c r="J1689">
        <v>10</v>
      </c>
      <c r="K1689" t="s">
        <v>87</v>
      </c>
      <c r="L1689" t="s">
        <v>28</v>
      </c>
      <c r="M1689" t="s">
        <v>8</v>
      </c>
      <c r="N1689" t="b">
        <v>0</v>
      </c>
      <c r="O1689">
        <v>0</v>
      </c>
      <c r="P1689">
        <v>1</v>
      </c>
      <c r="Q1689">
        <v>0</v>
      </c>
      <c r="R1689">
        <v>1</v>
      </c>
    </row>
    <row r="1690" spans="1:18" x14ac:dyDescent="0.25">
      <c r="A1690" t="s">
        <v>10</v>
      </c>
      <c r="B1690" t="s">
        <v>6</v>
      </c>
      <c r="C1690">
        <v>3</v>
      </c>
      <c r="D1690">
        <v>1</v>
      </c>
      <c r="E1690">
        <v>1</v>
      </c>
      <c r="F1690" s="15">
        <v>45943</v>
      </c>
      <c r="G1690" t="s">
        <v>105</v>
      </c>
      <c r="H1690">
        <v>5</v>
      </c>
      <c r="I1690">
        <v>2025</v>
      </c>
      <c r="J1690">
        <v>10</v>
      </c>
      <c r="K1690" t="s">
        <v>87</v>
      </c>
      <c r="L1690" t="s">
        <v>56</v>
      </c>
      <c r="M1690" t="s">
        <v>6</v>
      </c>
      <c r="N1690" t="b">
        <v>0</v>
      </c>
      <c r="O1690">
        <v>0</v>
      </c>
      <c r="P1690">
        <v>1</v>
      </c>
      <c r="Q1690">
        <v>0</v>
      </c>
      <c r="R1690">
        <v>0</v>
      </c>
    </row>
    <row r="1691" spans="1:18" x14ac:dyDescent="0.25">
      <c r="A1691" t="s">
        <v>10</v>
      </c>
      <c r="B1691" t="s">
        <v>6</v>
      </c>
      <c r="C1691">
        <v>3</v>
      </c>
      <c r="D1691">
        <v>1</v>
      </c>
      <c r="E1691">
        <v>1</v>
      </c>
      <c r="F1691" s="15">
        <v>45943</v>
      </c>
      <c r="G1691" t="s">
        <v>105</v>
      </c>
      <c r="H1691">
        <v>5</v>
      </c>
      <c r="I1691">
        <v>2025</v>
      </c>
      <c r="J1691">
        <v>10</v>
      </c>
      <c r="K1691" t="s">
        <v>87</v>
      </c>
      <c r="L1691" t="s">
        <v>18</v>
      </c>
      <c r="M1691" t="s">
        <v>6</v>
      </c>
      <c r="N1691" t="b">
        <v>0</v>
      </c>
      <c r="O1691">
        <v>0</v>
      </c>
      <c r="P1691">
        <v>1</v>
      </c>
      <c r="Q1691">
        <v>0</v>
      </c>
      <c r="R1691">
        <v>0</v>
      </c>
    </row>
    <row r="1692" spans="1:18" x14ac:dyDescent="0.25">
      <c r="A1692" t="s">
        <v>436</v>
      </c>
      <c r="B1692" t="s">
        <v>6</v>
      </c>
      <c r="C1692">
        <v>1</v>
      </c>
      <c r="D1692">
        <v>1</v>
      </c>
      <c r="E1692">
        <v>1</v>
      </c>
      <c r="F1692" s="15">
        <v>45943</v>
      </c>
      <c r="G1692" t="s">
        <v>105</v>
      </c>
      <c r="H1692">
        <v>5</v>
      </c>
      <c r="I1692">
        <v>2025</v>
      </c>
      <c r="J1692">
        <v>10</v>
      </c>
      <c r="K1692" t="s">
        <v>87</v>
      </c>
      <c r="L1692" t="s">
        <v>10</v>
      </c>
      <c r="M1692" t="s">
        <v>6</v>
      </c>
      <c r="N1692" t="b">
        <v>0</v>
      </c>
      <c r="O1692">
        <v>0</v>
      </c>
      <c r="P1692">
        <v>1</v>
      </c>
      <c r="Q1692">
        <v>0</v>
      </c>
      <c r="R1692">
        <v>0</v>
      </c>
    </row>
    <row r="1693" spans="1:18" x14ac:dyDescent="0.25">
      <c r="A1693" t="s">
        <v>436</v>
      </c>
      <c r="B1693" t="s">
        <v>6</v>
      </c>
      <c r="C1693">
        <v>1</v>
      </c>
      <c r="D1693">
        <v>1</v>
      </c>
      <c r="E1693">
        <v>1</v>
      </c>
      <c r="F1693" s="15">
        <v>45943</v>
      </c>
      <c r="G1693" t="s">
        <v>105</v>
      </c>
      <c r="H1693">
        <v>5</v>
      </c>
      <c r="I1693">
        <v>2025</v>
      </c>
      <c r="J1693">
        <v>10</v>
      </c>
      <c r="K1693" t="s">
        <v>87</v>
      </c>
      <c r="L1693" t="s">
        <v>28</v>
      </c>
      <c r="M1693" t="s">
        <v>8</v>
      </c>
      <c r="N1693" t="b">
        <v>0</v>
      </c>
      <c r="O1693">
        <v>0</v>
      </c>
      <c r="P1693">
        <v>1</v>
      </c>
      <c r="Q1693">
        <v>0</v>
      </c>
      <c r="R1693">
        <v>1</v>
      </c>
    </row>
    <row r="1694" spans="1:18" x14ac:dyDescent="0.25">
      <c r="A1694" t="s">
        <v>436</v>
      </c>
      <c r="B1694" t="s">
        <v>6</v>
      </c>
      <c r="C1694">
        <v>1</v>
      </c>
      <c r="D1694">
        <v>1</v>
      </c>
      <c r="E1694">
        <v>1</v>
      </c>
      <c r="F1694" s="15">
        <v>45943</v>
      </c>
      <c r="G1694" t="s">
        <v>105</v>
      </c>
      <c r="H1694">
        <v>5</v>
      </c>
      <c r="I1694">
        <v>2025</v>
      </c>
      <c r="J1694">
        <v>10</v>
      </c>
      <c r="K1694" t="s">
        <v>87</v>
      </c>
      <c r="L1694" t="s">
        <v>56</v>
      </c>
      <c r="M1694" t="s">
        <v>6</v>
      </c>
      <c r="N1694" t="b">
        <v>0</v>
      </c>
      <c r="O1694">
        <v>0</v>
      </c>
      <c r="P1694">
        <v>1</v>
      </c>
      <c r="Q1694">
        <v>0</v>
      </c>
      <c r="R1694">
        <v>0</v>
      </c>
    </row>
    <row r="1695" spans="1:18" x14ac:dyDescent="0.25">
      <c r="A1695" t="s">
        <v>436</v>
      </c>
      <c r="B1695" t="s">
        <v>6</v>
      </c>
      <c r="C1695">
        <v>1</v>
      </c>
      <c r="D1695">
        <v>1</v>
      </c>
      <c r="E1695">
        <v>1</v>
      </c>
      <c r="F1695" s="15">
        <v>45943</v>
      </c>
      <c r="G1695" t="s">
        <v>105</v>
      </c>
      <c r="H1695">
        <v>5</v>
      </c>
      <c r="I1695">
        <v>2025</v>
      </c>
      <c r="J1695">
        <v>10</v>
      </c>
      <c r="K1695" t="s">
        <v>87</v>
      </c>
      <c r="L1695" t="s">
        <v>18</v>
      </c>
      <c r="M1695" t="s">
        <v>6</v>
      </c>
      <c r="N1695" t="b">
        <v>0</v>
      </c>
      <c r="O1695">
        <v>0</v>
      </c>
      <c r="P1695">
        <v>1</v>
      </c>
      <c r="Q1695">
        <v>0</v>
      </c>
      <c r="R1695">
        <v>0</v>
      </c>
    </row>
    <row r="1696" spans="1:18" x14ac:dyDescent="0.25">
      <c r="A1696" t="s">
        <v>28</v>
      </c>
      <c r="B1696" t="s">
        <v>8</v>
      </c>
      <c r="C1696">
        <v>4</v>
      </c>
      <c r="D1696">
        <v>1</v>
      </c>
      <c r="E1696">
        <v>1</v>
      </c>
      <c r="F1696" s="15">
        <v>45943</v>
      </c>
      <c r="G1696" t="s">
        <v>105</v>
      </c>
      <c r="H1696">
        <v>5</v>
      </c>
      <c r="I1696">
        <v>2025</v>
      </c>
      <c r="J1696">
        <v>10</v>
      </c>
      <c r="K1696" t="s">
        <v>87</v>
      </c>
      <c r="L1696" t="s">
        <v>10</v>
      </c>
      <c r="M1696" t="s">
        <v>6</v>
      </c>
      <c r="N1696" t="b">
        <v>0</v>
      </c>
      <c r="O1696">
        <v>1</v>
      </c>
      <c r="P1696">
        <v>0</v>
      </c>
      <c r="Q1696">
        <v>0</v>
      </c>
      <c r="R1696">
        <v>0</v>
      </c>
    </row>
    <row r="1697" spans="1:18" x14ac:dyDescent="0.25">
      <c r="A1697" t="s">
        <v>28</v>
      </c>
      <c r="B1697" t="s">
        <v>8</v>
      </c>
      <c r="C1697">
        <v>4</v>
      </c>
      <c r="D1697">
        <v>1</v>
      </c>
      <c r="E1697">
        <v>1</v>
      </c>
      <c r="F1697" s="15">
        <v>45943</v>
      </c>
      <c r="G1697" t="s">
        <v>105</v>
      </c>
      <c r="H1697">
        <v>5</v>
      </c>
      <c r="I1697">
        <v>2025</v>
      </c>
      <c r="J1697">
        <v>10</v>
      </c>
      <c r="K1697" t="s">
        <v>87</v>
      </c>
      <c r="L1697" t="s">
        <v>436</v>
      </c>
      <c r="M1697" t="s">
        <v>6</v>
      </c>
      <c r="N1697" t="b">
        <v>0</v>
      </c>
      <c r="O1697">
        <v>1</v>
      </c>
      <c r="P1697">
        <v>0</v>
      </c>
      <c r="Q1697">
        <v>0</v>
      </c>
      <c r="R1697">
        <v>0</v>
      </c>
    </row>
    <row r="1698" spans="1:18" x14ac:dyDescent="0.25">
      <c r="A1698" t="s">
        <v>28</v>
      </c>
      <c r="B1698" t="s">
        <v>8</v>
      </c>
      <c r="C1698">
        <v>4</v>
      </c>
      <c r="D1698">
        <v>1</v>
      </c>
      <c r="E1698">
        <v>1</v>
      </c>
      <c r="F1698" s="15">
        <v>45943</v>
      </c>
      <c r="G1698" t="s">
        <v>105</v>
      </c>
      <c r="H1698">
        <v>5</v>
      </c>
      <c r="I1698">
        <v>2025</v>
      </c>
      <c r="J1698">
        <v>10</v>
      </c>
      <c r="K1698" t="s">
        <v>87</v>
      </c>
      <c r="L1698" t="s">
        <v>56</v>
      </c>
      <c r="M1698" t="s">
        <v>6</v>
      </c>
      <c r="N1698" t="b">
        <v>0</v>
      </c>
      <c r="O1698">
        <v>1</v>
      </c>
      <c r="P1698">
        <v>0</v>
      </c>
      <c r="Q1698">
        <v>0</v>
      </c>
      <c r="R1698">
        <v>0</v>
      </c>
    </row>
    <row r="1699" spans="1:18" x14ac:dyDescent="0.25">
      <c r="A1699" t="s">
        <v>28</v>
      </c>
      <c r="B1699" t="s">
        <v>8</v>
      </c>
      <c r="C1699">
        <v>4</v>
      </c>
      <c r="D1699">
        <v>1</v>
      </c>
      <c r="E1699">
        <v>1</v>
      </c>
      <c r="F1699" s="15">
        <v>45943</v>
      </c>
      <c r="G1699" t="s">
        <v>105</v>
      </c>
      <c r="H1699">
        <v>5</v>
      </c>
      <c r="I1699">
        <v>2025</v>
      </c>
      <c r="J1699">
        <v>10</v>
      </c>
      <c r="K1699" t="s">
        <v>87</v>
      </c>
      <c r="L1699" t="s">
        <v>18</v>
      </c>
      <c r="M1699" t="s">
        <v>6</v>
      </c>
      <c r="N1699" t="b">
        <v>0</v>
      </c>
      <c r="O1699">
        <v>1</v>
      </c>
      <c r="P1699">
        <v>0</v>
      </c>
      <c r="Q1699">
        <v>0</v>
      </c>
      <c r="R1699">
        <v>0</v>
      </c>
    </row>
    <row r="1700" spans="1:18" x14ac:dyDescent="0.25">
      <c r="A1700" t="s">
        <v>56</v>
      </c>
      <c r="B1700" t="s">
        <v>6</v>
      </c>
      <c r="C1700">
        <v>5</v>
      </c>
      <c r="D1700">
        <v>1</v>
      </c>
      <c r="E1700">
        <v>1</v>
      </c>
      <c r="F1700" s="15">
        <v>45943</v>
      </c>
      <c r="G1700" t="s">
        <v>105</v>
      </c>
      <c r="H1700">
        <v>5</v>
      </c>
      <c r="I1700">
        <v>2025</v>
      </c>
      <c r="J1700">
        <v>10</v>
      </c>
      <c r="K1700" t="s">
        <v>87</v>
      </c>
      <c r="L1700" t="s">
        <v>10</v>
      </c>
      <c r="M1700" t="s">
        <v>6</v>
      </c>
      <c r="N1700" t="b">
        <v>0</v>
      </c>
      <c r="O1700">
        <v>0</v>
      </c>
      <c r="P1700">
        <v>1</v>
      </c>
      <c r="Q1700">
        <v>0</v>
      </c>
      <c r="R1700">
        <v>0</v>
      </c>
    </row>
    <row r="1701" spans="1:18" x14ac:dyDescent="0.25">
      <c r="A1701" t="s">
        <v>56</v>
      </c>
      <c r="B1701" t="s">
        <v>6</v>
      </c>
      <c r="C1701">
        <v>5</v>
      </c>
      <c r="D1701">
        <v>1</v>
      </c>
      <c r="E1701">
        <v>1</v>
      </c>
      <c r="F1701" s="15">
        <v>45943</v>
      </c>
      <c r="G1701" t="s">
        <v>105</v>
      </c>
      <c r="H1701">
        <v>5</v>
      </c>
      <c r="I1701">
        <v>2025</v>
      </c>
      <c r="J1701">
        <v>10</v>
      </c>
      <c r="K1701" t="s">
        <v>87</v>
      </c>
      <c r="L1701" t="s">
        <v>436</v>
      </c>
      <c r="M1701" t="s">
        <v>6</v>
      </c>
      <c r="N1701" t="b">
        <v>0</v>
      </c>
      <c r="O1701">
        <v>0</v>
      </c>
      <c r="P1701">
        <v>1</v>
      </c>
      <c r="Q1701">
        <v>0</v>
      </c>
      <c r="R1701">
        <v>0</v>
      </c>
    </row>
    <row r="1702" spans="1:18" x14ac:dyDescent="0.25">
      <c r="A1702" t="s">
        <v>56</v>
      </c>
      <c r="B1702" t="s">
        <v>6</v>
      </c>
      <c r="C1702">
        <v>5</v>
      </c>
      <c r="D1702">
        <v>1</v>
      </c>
      <c r="E1702">
        <v>1</v>
      </c>
      <c r="F1702" s="15">
        <v>45943</v>
      </c>
      <c r="G1702" t="s">
        <v>105</v>
      </c>
      <c r="H1702">
        <v>5</v>
      </c>
      <c r="I1702">
        <v>2025</v>
      </c>
      <c r="J1702">
        <v>10</v>
      </c>
      <c r="K1702" t="s">
        <v>87</v>
      </c>
      <c r="L1702" t="s">
        <v>28</v>
      </c>
      <c r="M1702" t="s">
        <v>8</v>
      </c>
      <c r="N1702" t="b">
        <v>0</v>
      </c>
      <c r="O1702">
        <v>0</v>
      </c>
      <c r="P1702">
        <v>1</v>
      </c>
      <c r="Q1702">
        <v>0</v>
      </c>
      <c r="R1702">
        <v>1</v>
      </c>
    </row>
    <row r="1703" spans="1:18" x14ac:dyDescent="0.25">
      <c r="A1703" t="s">
        <v>56</v>
      </c>
      <c r="B1703" t="s">
        <v>6</v>
      </c>
      <c r="C1703">
        <v>5</v>
      </c>
      <c r="D1703">
        <v>1</v>
      </c>
      <c r="E1703">
        <v>1</v>
      </c>
      <c r="F1703" s="15">
        <v>45943</v>
      </c>
      <c r="G1703" t="s">
        <v>105</v>
      </c>
      <c r="H1703">
        <v>5</v>
      </c>
      <c r="I1703">
        <v>2025</v>
      </c>
      <c r="J1703">
        <v>10</v>
      </c>
      <c r="K1703" t="s">
        <v>87</v>
      </c>
      <c r="L1703" t="s">
        <v>18</v>
      </c>
      <c r="M1703" t="s">
        <v>6</v>
      </c>
      <c r="N1703" t="b">
        <v>0</v>
      </c>
      <c r="O1703">
        <v>0</v>
      </c>
      <c r="P1703">
        <v>1</v>
      </c>
      <c r="Q1703">
        <v>0</v>
      </c>
      <c r="R1703">
        <v>0</v>
      </c>
    </row>
    <row r="1704" spans="1:18" x14ac:dyDescent="0.25">
      <c r="A1704" t="s">
        <v>18</v>
      </c>
      <c r="B1704" t="s">
        <v>6</v>
      </c>
      <c r="C1704">
        <v>2</v>
      </c>
      <c r="D1704">
        <v>1</v>
      </c>
      <c r="E1704">
        <v>1</v>
      </c>
      <c r="F1704" s="15">
        <v>45943</v>
      </c>
      <c r="G1704" t="s">
        <v>105</v>
      </c>
      <c r="H1704">
        <v>5</v>
      </c>
      <c r="I1704">
        <v>2025</v>
      </c>
      <c r="J1704">
        <v>10</v>
      </c>
      <c r="K1704" t="s">
        <v>87</v>
      </c>
      <c r="L1704" t="s">
        <v>10</v>
      </c>
      <c r="M1704" t="s">
        <v>6</v>
      </c>
      <c r="N1704" t="b">
        <v>0</v>
      </c>
      <c r="O1704">
        <v>0</v>
      </c>
      <c r="P1704">
        <v>1</v>
      </c>
      <c r="Q1704">
        <v>0</v>
      </c>
      <c r="R1704">
        <v>0</v>
      </c>
    </row>
    <row r="1705" spans="1:18" x14ac:dyDescent="0.25">
      <c r="A1705" t="s">
        <v>18</v>
      </c>
      <c r="B1705" t="s">
        <v>6</v>
      </c>
      <c r="C1705">
        <v>2</v>
      </c>
      <c r="D1705">
        <v>1</v>
      </c>
      <c r="E1705">
        <v>1</v>
      </c>
      <c r="F1705" s="15">
        <v>45943</v>
      </c>
      <c r="G1705" t="s">
        <v>105</v>
      </c>
      <c r="H1705">
        <v>5</v>
      </c>
      <c r="I1705">
        <v>2025</v>
      </c>
      <c r="J1705">
        <v>10</v>
      </c>
      <c r="K1705" t="s">
        <v>87</v>
      </c>
      <c r="L1705" t="s">
        <v>436</v>
      </c>
      <c r="M1705" t="s">
        <v>6</v>
      </c>
      <c r="N1705" t="b">
        <v>0</v>
      </c>
      <c r="O1705">
        <v>0</v>
      </c>
      <c r="P1705">
        <v>1</v>
      </c>
      <c r="Q1705">
        <v>0</v>
      </c>
      <c r="R1705">
        <v>0</v>
      </c>
    </row>
    <row r="1706" spans="1:18" x14ac:dyDescent="0.25">
      <c r="A1706" t="s">
        <v>18</v>
      </c>
      <c r="B1706" t="s">
        <v>6</v>
      </c>
      <c r="C1706">
        <v>2</v>
      </c>
      <c r="D1706">
        <v>1</v>
      </c>
      <c r="E1706">
        <v>1</v>
      </c>
      <c r="F1706" s="15">
        <v>45943</v>
      </c>
      <c r="G1706" t="s">
        <v>105</v>
      </c>
      <c r="H1706">
        <v>5</v>
      </c>
      <c r="I1706">
        <v>2025</v>
      </c>
      <c r="J1706">
        <v>10</v>
      </c>
      <c r="K1706" t="s">
        <v>87</v>
      </c>
      <c r="L1706" t="s">
        <v>28</v>
      </c>
      <c r="M1706" t="s">
        <v>8</v>
      </c>
      <c r="N1706" t="b">
        <v>0</v>
      </c>
      <c r="O1706">
        <v>0</v>
      </c>
      <c r="P1706">
        <v>1</v>
      </c>
      <c r="Q1706">
        <v>0</v>
      </c>
      <c r="R1706">
        <v>1</v>
      </c>
    </row>
    <row r="1707" spans="1:18" x14ac:dyDescent="0.25">
      <c r="A1707" t="s">
        <v>18</v>
      </c>
      <c r="B1707" t="s">
        <v>6</v>
      </c>
      <c r="C1707">
        <v>2</v>
      </c>
      <c r="D1707">
        <v>1</v>
      </c>
      <c r="E1707">
        <v>1</v>
      </c>
      <c r="F1707" s="15">
        <v>45943</v>
      </c>
      <c r="G1707" t="s">
        <v>105</v>
      </c>
      <c r="H1707">
        <v>5</v>
      </c>
      <c r="I1707">
        <v>2025</v>
      </c>
      <c r="J1707">
        <v>10</v>
      </c>
      <c r="K1707" t="s">
        <v>87</v>
      </c>
      <c r="L1707" t="s">
        <v>56</v>
      </c>
      <c r="M1707" t="s">
        <v>6</v>
      </c>
      <c r="N1707" t="b">
        <v>0</v>
      </c>
      <c r="O1707">
        <v>0</v>
      </c>
      <c r="P1707">
        <v>1</v>
      </c>
      <c r="Q1707">
        <v>0</v>
      </c>
      <c r="R1707">
        <v>0</v>
      </c>
    </row>
    <row r="1708" spans="1:18" x14ac:dyDescent="0.25">
      <c r="A1708" t="s">
        <v>10</v>
      </c>
      <c r="B1708" t="s">
        <v>6</v>
      </c>
      <c r="C1708">
        <v>3</v>
      </c>
      <c r="D1708">
        <v>1</v>
      </c>
      <c r="E1708">
        <v>1</v>
      </c>
      <c r="F1708" s="15">
        <v>45964</v>
      </c>
      <c r="G1708" t="s">
        <v>108</v>
      </c>
      <c r="H1708">
        <v>5</v>
      </c>
      <c r="I1708">
        <v>2025</v>
      </c>
      <c r="J1708">
        <v>11</v>
      </c>
      <c r="K1708" t="s">
        <v>87</v>
      </c>
      <c r="L1708" t="s">
        <v>436</v>
      </c>
      <c r="M1708" t="s">
        <v>6</v>
      </c>
      <c r="N1708" t="b">
        <v>0</v>
      </c>
      <c r="O1708">
        <v>0</v>
      </c>
      <c r="P1708">
        <v>1</v>
      </c>
      <c r="Q1708">
        <v>0</v>
      </c>
      <c r="R1708">
        <v>0</v>
      </c>
    </row>
    <row r="1709" spans="1:18" x14ac:dyDescent="0.25">
      <c r="A1709" t="s">
        <v>10</v>
      </c>
      <c r="B1709" t="s">
        <v>6</v>
      </c>
      <c r="C1709">
        <v>3</v>
      </c>
      <c r="D1709">
        <v>1</v>
      </c>
      <c r="E1709">
        <v>1</v>
      </c>
      <c r="F1709" s="15">
        <v>45964</v>
      </c>
      <c r="G1709" t="s">
        <v>108</v>
      </c>
      <c r="H1709">
        <v>5</v>
      </c>
      <c r="I1709">
        <v>2025</v>
      </c>
      <c r="J1709">
        <v>11</v>
      </c>
      <c r="K1709" t="s">
        <v>87</v>
      </c>
      <c r="L1709" t="s">
        <v>7</v>
      </c>
      <c r="M1709" t="s">
        <v>8</v>
      </c>
      <c r="N1709" t="b">
        <v>0</v>
      </c>
      <c r="O1709">
        <v>0</v>
      </c>
      <c r="P1709">
        <v>1</v>
      </c>
      <c r="Q1709">
        <v>0</v>
      </c>
      <c r="R1709">
        <v>1</v>
      </c>
    </row>
    <row r="1710" spans="1:18" x14ac:dyDescent="0.25">
      <c r="A1710" t="s">
        <v>10</v>
      </c>
      <c r="B1710" t="s">
        <v>6</v>
      </c>
      <c r="C1710">
        <v>3</v>
      </c>
      <c r="D1710">
        <v>1</v>
      </c>
      <c r="E1710">
        <v>1</v>
      </c>
      <c r="F1710" s="15">
        <v>45964</v>
      </c>
      <c r="G1710" t="s">
        <v>108</v>
      </c>
      <c r="H1710">
        <v>5</v>
      </c>
      <c r="I1710">
        <v>2025</v>
      </c>
      <c r="J1710">
        <v>11</v>
      </c>
      <c r="K1710" t="s">
        <v>87</v>
      </c>
      <c r="L1710" t="s">
        <v>27</v>
      </c>
      <c r="M1710" t="s">
        <v>6</v>
      </c>
      <c r="N1710" t="b">
        <v>0</v>
      </c>
      <c r="O1710">
        <v>0</v>
      </c>
      <c r="P1710">
        <v>1</v>
      </c>
      <c r="Q1710">
        <v>0</v>
      </c>
      <c r="R1710">
        <v>0</v>
      </c>
    </row>
    <row r="1711" spans="1:18" x14ac:dyDescent="0.25">
      <c r="A1711" t="s">
        <v>10</v>
      </c>
      <c r="B1711" t="s">
        <v>6</v>
      </c>
      <c r="C1711">
        <v>3</v>
      </c>
      <c r="D1711">
        <v>1</v>
      </c>
      <c r="E1711">
        <v>1</v>
      </c>
      <c r="F1711" s="15">
        <v>45964</v>
      </c>
      <c r="G1711" t="s">
        <v>108</v>
      </c>
      <c r="H1711">
        <v>5</v>
      </c>
      <c r="I1711">
        <v>2025</v>
      </c>
      <c r="J1711">
        <v>11</v>
      </c>
      <c r="K1711" t="s">
        <v>87</v>
      </c>
      <c r="L1711" t="s">
        <v>9</v>
      </c>
      <c r="M1711" t="s">
        <v>6</v>
      </c>
      <c r="N1711" t="b">
        <v>0</v>
      </c>
      <c r="O1711">
        <v>0</v>
      </c>
      <c r="P1711">
        <v>1</v>
      </c>
      <c r="Q1711">
        <v>0</v>
      </c>
      <c r="R1711">
        <v>0</v>
      </c>
    </row>
    <row r="1712" spans="1:18" x14ac:dyDescent="0.25">
      <c r="A1712" t="s">
        <v>436</v>
      </c>
      <c r="B1712" t="s">
        <v>6</v>
      </c>
      <c r="C1712">
        <v>4</v>
      </c>
      <c r="D1712">
        <v>1</v>
      </c>
      <c r="E1712">
        <v>1</v>
      </c>
      <c r="F1712" s="15">
        <v>45964</v>
      </c>
      <c r="G1712" t="s">
        <v>108</v>
      </c>
      <c r="H1712">
        <v>5</v>
      </c>
      <c r="I1712">
        <v>2025</v>
      </c>
      <c r="J1712">
        <v>11</v>
      </c>
      <c r="K1712" t="s">
        <v>87</v>
      </c>
      <c r="L1712" t="s">
        <v>10</v>
      </c>
      <c r="M1712" t="s">
        <v>6</v>
      </c>
      <c r="N1712" t="b">
        <v>0</v>
      </c>
      <c r="O1712">
        <v>0</v>
      </c>
      <c r="P1712">
        <v>1</v>
      </c>
      <c r="Q1712">
        <v>0</v>
      </c>
      <c r="R1712">
        <v>0</v>
      </c>
    </row>
    <row r="1713" spans="1:18" x14ac:dyDescent="0.25">
      <c r="A1713" t="s">
        <v>436</v>
      </c>
      <c r="B1713" t="s">
        <v>6</v>
      </c>
      <c r="C1713">
        <v>4</v>
      </c>
      <c r="D1713">
        <v>1</v>
      </c>
      <c r="E1713">
        <v>1</v>
      </c>
      <c r="F1713" s="15">
        <v>45964</v>
      </c>
      <c r="G1713" t="s">
        <v>108</v>
      </c>
      <c r="H1713">
        <v>5</v>
      </c>
      <c r="I1713">
        <v>2025</v>
      </c>
      <c r="J1713">
        <v>11</v>
      </c>
      <c r="K1713" t="s">
        <v>87</v>
      </c>
      <c r="L1713" t="s">
        <v>7</v>
      </c>
      <c r="M1713" t="s">
        <v>8</v>
      </c>
      <c r="N1713" t="b">
        <v>0</v>
      </c>
      <c r="O1713">
        <v>0</v>
      </c>
      <c r="P1713">
        <v>1</v>
      </c>
      <c r="Q1713">
        <v>0</v>
      </c>
      <c r="R1713">
        <v>1</v>
      </c>
    </row>
    <row r="1714" spans="1:18" x14ac:dyDescent="0.25">
      <c r="A1714" t="s">
        <v>436</v>
      </c>
      <c r="B1714" t="s">
        <v>6</v>
      </c>
      <c r="C1714">
        <v>4</v>
      </c>
      <c r="D1714">
        <v>1</v>
      </c>
      <c r="E1714">
        <v>1</v>
      </c>
      <c r="F1714" s="15">
        <v>45964</v>
      </c>
      <c r="G1714" t="s">
        <v>108</v>
      </c>
      <c r="H1714">
        <v>5</v>
      </c>
      <c r="I1714">
        <v>2025</v>
      </c>
      <c r="J1714">
        <v>11</v>
      </c>
      <c r="K1714" t="s">
        <v>87</v>
      </c>
      <c r="L1714" t="s">
        <v>27</v>
      </c>
      <c r="M1714" t="s">
        <v>6</v>
      </c>
      <c r="N1714" t="b">
        <v>0</v>
      </c>
      <c r="O1714">
        <v>0</v>
      </c>
      <c r="P1714">
        <v>1</v>
      </c>
      <c r="Q1714">
        <v>0</v>
      </c>
      <c r="R1714">
        <v>0</v>
      </c>
    </row>
    <row r="1715" spans="1:18" x14ac:dyDescent="0.25">
      <c r="A1715" t="s">
        <v>436</v>
      </c>
      <c r="B1715" t="s">
        <v>6</v>
      </c>
      <c r="C1715">
        <v>4</v>
      </c>
      <c r="D1715">
        <v>1</v>
      </c>
      <c r="E1715">
        <v>1</v>
      </c>
      <c r="F1715" s="15">
        <v>45964</v>
      </c>
      <c r="G1715" t="s">
        <v>108</v>
      </c>
      <c r="H1715">
        <v>5</v>
      </c>
      <c r="I1715">
        <v>2025</v>
      </c>
      <c r="J1715">
        <v>11</v>
      </c>
      <c r="K1715" t="s">
        <v>87</v>
      </c>
      <c r="L1715" t="s">
        <v>9</v>
      </c>
      <c r="M1715" t="s">
        <v>6</v>
      </c>
      <c r="N1715" t="b">
        <v>0</v>
      </c>
      <c r="O1715">
        <v>0</v>
      </c>
      <c r="P1715">
        <v>1</v>
      </c>
      <c r="Q1715">
        <v>0</v>
      </c>
      <c r="R1715">
        <v>0</v>
      </c>
    </row>
    <row r="1716" spans="1:18" x14ac:dyDescent="0.25">
      <c r="A1716" t="s">
        <v>7</v>
      </c>
      <c r="B1716" t="s">
        <v>8</v>
      </c>
      <c r="C1716">
        <v>1</v>
      </c>
      <c r="D1716">
        <v>1</v>
      </c>
      <c r="E1716">
        <v>1</v>
      </c>
      <c r="F1716" s="15">
        <v>45964</v>
      </c>
      <c r="G1716" t="s">
        <v>108</v>
      </c>
      <c r="H1716">
        <v>5</v>
      </c>
      <c r="I1716">
        <v>2025</v>
      </c>
      <c r="J1716">
        <v>11</v>
      </c>
      <c r="K1716" t="s">
        <v>87</v>
      </c>
      <c r="L1716" t="s">
        <v>10</v>
      </c>
      <c r="M1716" t="s">
        <v>6</v>
      </c>
      <c r="N1716" t="b">
        <v>0</v>
      </c>
      <c r="O1716">
        <v>1</v>
      </c>
      <c r="P1716">
        <v>0</v>
      </c>
      <c r="Q1716">
        <v>0</v>
      </c>
      <c r="R1716">
        <v>0</v>
      </c>
    </row>
    <row r="1717" spans="1:18" x14ac:dyDescent="0.25">
      <c r="A1717" t="s">
        <v>7</v>
      </c>
      <c r="B1717" t="s">
        <v>8</v>
      </c>
      <c r="C1717">
        <v>1</v>
      </c>
      <c r="D1717">
        <v>1</v>
      </c>
      <c r="E1717">
        <v>1</v>
      </c>
      <c r="F1717" s="15">
        <v>45964</v>
      </c>
      <c r="G1717" t="s">
        <v>108</v>
      </c>
      <c r="H1717">
        <v>5</v>
      </c>
      <c r="I1717">
        <v>2025</v>
      </c>
      <c r="J1717">
        <v>11</v>
      </c>
      <c r="K1717" t="s">
        <v>87</v>
      </c>
      <c r="L1717" t="s">
        <v>436</v>
      </c>
      <c r="M1717" t="s">
        <v>6</v>
      </c>
      <c r="N1717" t="b">
        <v>0</v>
      </c>
      <c r="O1717">
        <v>1</v>
      </c>
      <c r="P1717">
        <v>0</v>
      </c>
      <c r="Q1717">
        <v>0</v>
      </c>
      <c r="R1717">
        <v>0</v>
      </c>
    </row>
    <row r="1718" spans="1:18" x14ac:dyDescent="0.25">
      <c r="A1718" t="s">
        <v>7</v>
      </c>
      <c r="B1718" t="s">
        <v>8</v>
      </c>
      <c r="C1718">
        <v>1</v>
      </c>
      <c r="D1718">
        <v>1</v>
      </c>
      <c r="E1718">
        <v>1</v>
      </c>
      <c r="F1718" s="15">
        <v>45964</v>
      </c>
      <c r="G1718" t="s">
        <v>108</v>
      </c>
      <c r="H1718">
        <v>5</v>
      </c>
      <c r="I1718">
        <v>2025</v>
      </c>
      <c r="J1718">
        <v>11</v>
      </c>
      <c r="K1718" t="s">
        <v>87</v>
      </c>
      <c r="L1718" t="s">
        <v>27</v>
      </c>
      <c r="M1718" t="s">
        <v>6</v>
      </c>
      <c r="N1718" t="b">
        <v>0</v>
      </c>
      <c r="O1718">
        <v>1</v>
      </c>
      <c r="P1718">
        <v>0</v>
      </c>
      <c r="Q1718">
        <v>0</v>
      </c>
      <c r="R1718">
        <v>0</v>
      </c>
    </row>
    <row r="1719" spans="1:18" x14ac:dyDescent="0.25">
      <c r="A1719" t="s">
        <v>7</v>
      </c>
      <c r="B1719" t="s">
        <v>8</v>
      </c>
      <c r="C1719">
        <v>1</v>
      </c>
      <c r="D1719">
        <v>1</v>
      </c>
      <c r="E1719">
        <v>1</v>
      </c>
      <c r="F1719" s="15">
        <v>45964</v>
      </c>
      <c r="G1719" t="s">
        <v>108</v>
      </c>
      <c r="H1719">
        <v>5</v>
      </c>
      <c r="I1719">
        <v>2025</v>
      </c>
      <c r="J1719">
        <v>11</v>
      </c>
      <c r="K1719" t="s">
        <v>87</v>
      </c>
      <c r="L1719" t="s">
        <v>9</v>
      </c>
      <c r="M1719" t="s">
        <v>6</v>
      </c>
      <c r="N1719" t="b">
        <v>0</v>
      </c>
      <c r="O1719">
        <v>1</v>
      </c>
      <c r="P1719">
        <v>0</v>
      </c>
      <c r="Q1719">
        <v>0</v>
      </c>
      <c r="R1719">
        <v>0</v>
      </c>
    </row>
    <row r="1720" spans="1:18" x14ac:dyDescent="0.25">
      <c r="A1720" t="s">
        <v>27</v>
      </c>
      <c r="B1720" t="s">
        <v>6</v>
      </c>
      <c r="C1720">
        <v>5</v>
      </c>
      <c r="D1720">
        <v>1</v>
      </c>
      <c r="E1720">
        <v>1</v>
      </c>
      <c r="F1720" s="15">
        <v>45964</v>
      </c>
      <c r="G1720" t="s">
        <v>108</v>
      </c>
      <c r="H1720">
        <v>5</v>
      </c>
      <c r="I1720">
        <v>2025</v>
      </c>
      <c r="J1720">
        <v>11</v>
      </c>
      <c r="K1720" t="s">
        <v>87</v>
      </c>
      <c r="L1720" t="s">
        <v>10</v>
      </c>
      <c r="M1720" t="s">
        <v>6</v>
      </c>
      <c r="N1720" t="b">
        <v>0</v>
      </c>
      <c r="O1720">
        <v>0</v>
      </c>
      <c r="P1720">
        <v>1</v>
      </c>
      <c r="Q1720">
        <v>0</v>
      </c>
      <c r="R1720">
        <v>0</v>
      </c>
    </row>
    <row r="1721" spans="1:18" x14ac:dyDescent="0.25">
      <c r="A1721" t="s">
        <v>27</v>
      </c>
      <c r="B1721" t="s">
        <v>6</v>
      </c>
      <c r="C1721">
        <v>5</v>
      </c>
      <c r="D1721">
        <v>1</v>
      </c>
      <c r="E1721">
        <v>1</v>
      </c>
      <c r="F1721" s="15">
        <v>45964</v>
      </c>
      <c r="G1721" t="s">
        <v>108</v>
      </c>
      <c r="H1721">
        <v>5</v>
      </c>
      <c r="I1721">
        <v>2025</v>
      </c>
      <c r="J1721">
        <v>11</v>
      </c>
      <c r="K1721" t="s">
        <v>87</v>
      </c>
      <c r="L1721" t="s">
        <v>436</v>
      </c>
      <c r="M1721" t="s">
        <v>6</v>
      </c>
      <c r="N1721" t="b">
        <v>0</v>
      </c>
      <c r="O1721">
        <v>0</v>
      </c>
      <c r="P1721">
        <v>1</v>
      </c>
      <c r="Q1721">
        <v>0</v>
      </c>
      <c r="R1721">
        <v>0</v>
      </c>
    </row>
    <row r="1722" spans="1:18" x14ac:dyDescent="0.25">
      <c r="A1722" t="s">
        <v>27</v>
      </c>
      <c r="B1722" t="s">
        <v>6</v>
      </c>
      <c r="C1722">
        <v>5</v>
      </c>
      <c r="D1722">
        <v>1</v>
      </c>
      <c r="E1722">
        <v>1</v>
      </c>
      <c r="F1722" s="15">
        <v>45964</v>
      </c>
      <c r="G1722" t="s">
        <v>108</v>
      </c>
      <c r="H1722">
        <v>5</v>
      </c>
      <c r="I1722">
        <v>2025</v>
      </c>
      <c r="J1722">
        <v>11</v>
      </c>
      <c r="K1722" t="s">
        <v>87</v>
      </c>
      <c r="L1722" t="s">
        <v>7</v>
      </c>
      <c r="M1722" t="s">
        <v>8</v>
      </c>
      <c r="N1722" t="b">
        <v>0</v>
      </c>
      <c r="O1722">
        <v>0</v>
      </c>
      <c r="P1722">
        <v>1</v>
      </c>
      <c r="Q1722">
        <v>0</v>
      </c>
      <c r="R1722">
        <v>1</v>
      </c>
    </row>
    <row r="1723" spans="1:18" x14ac:dyDescent="0.25">
      <c r="A1723" t="s">
        <v>27</v>
      </c>
      <c r="B1723" t="s">
        <v>6</v>
      </c>
      <c r="C1723">
        <v>5</v>
      </c>
      <c r="D1723">
        <v>1</v>
      </c>
      <c r="E1723">
        <v>1</v>
      </c>
      <c r="F1723" s="15">
        <v>45964</v>
      </c>
      <c r="G1723" t="s">
        <v>108</v>
      </c>
      <c r="H1723">
        <v>5</v>
      </c>
      <c r="I1723">
        <v>2025</v>
      </c>
      <c r="J1723">
        <v>11</v>
      </c>
      <c r="K1723" t="s">
        <v>87</v>
      </c>
      <c r="L1723" t="s">
        <v>9</v>
      </c>
      <c r="M1723" t="s">
        <v>6</v>
      </c>
      <c r="N1723" t="b">
        <v>0</v>
      </c>
      <c r="O1723">
        <v>0</v>
      </c>
      <c r="P1723">
        <v>1</v>
      </c>
      <c r="Q1723">
        <v>0</v>
      </c>
      <c r="R1723">
        <v>0</v>
      </c>
    </row>
    <row r="1724" spans="1:18" x14ac:dyDescent="0.25">
      <c r="A1724" t="s">
        <v>9</v>
      </c>
      <c r="B1724" t="s">
        <v>6</v>
      </c>
      <c r="C1724">
        <v>2</v>
      </c>
      <c r="D1724">
        <v>1</v>
      </c>
      <c r="E1724">
        <v>1</v>
      </c>
      <c r="F1724" s="15">
        <v>45964</v>
      </c>
      <c r="G1724" t="s">
        <v>108</v>
      </c>
      <c r="H1724">
        <v>5</v>
      </c>
      <c r="I1724">
        <v>2025</v>
      </c>
      <c r="J1724">
        <v>11</v>
      </c>
      <c r="K1724" t="s">
        <v>87</v>
      </c>
      <c r="L1724" t="s">
        <v>10</v>
      </c>
      <c r="M1724" t="s">
        <v>6</v>
      </c>
      <c r="N1724" t="b">
        <v>0</v>
      </c>
      <c r="O1724">
        <v>0</v>
      </c>
      <c r="P1724">
        <v>1</v>
      </c>
      <c r="Q1724">
        <v>0</v>
      </c>
      <c r="R1724">
        <v>0</v>
      </c>
    </row>
    <row r="1725" spans="1:18" x14ac:dyDescent="0.25">
      <c r="A1725" t="s">
        <v>9</v>
      </c>
      <c r="B1725" t="s">
        <v>6</v>
      </c>
      <c r="C1725">
        <v>2</v>
      </c>
      <c r="D1725">
        <v>1</v>
      </c>
      <c r="E1725">
        <v>1</v>
      </c>
      <c r="F1725" s="15">
        <v>45964</v>
      </c>
      <c r="G1725" t="s">
        <v>108</v>
      </c>
      <c r="H1725">
        <v>5</v>
      </c>
      <c r="I1725">
        <v>2025</v>
      </c>
      <c r="J1725">
        <v>11</v>
      </c>
      <c r="K1725" t="s">
        <v>87</v>
      </c>
      <c r="L1725" t="s">
        <v>436</v>
      </c>
      <c r="M1725" t="s">
        <v>6</v>
      </c>
      <c r="N1725" t="b">
        <v>0</v>
      </c>
      <c r="O1725">
        <v>0</v>
      </c>
      <c r="P1725">
        <v>1</v>
      </c>
      <c r="Q1725">
        <v>0</v>
      </c>
      <c r="R1725">
        <v>0</v>
      </c>
    </row>
    <row r="1726" spans="1:18" x14ac:dyDescent="0.25">
      <c r="A1726" t="s">
        <v>9</v>
      </c>
      <c r="B1726" t="s">
        <v>6</v>
      </c>
      <c r="C1726">
        <v>2</v>
      </c>
      <c r="D1726">
        <v>1</v>
      </c>
      <c r="E1726">
        <v>1</v>
      </c>
      <c r="F1726" s="15">
        <v>45964</v>
      </c>
      <c r="G1726" t="s">
        <v>108</v>
      </c>
      <c r="H1726">
        <v>5</v>
      </c>
      <c r="I1726">
        <v>2025</v>
      </c>
      <c r="J1726">
        <v>11</v>
      </c>
      <c r="K1726" t="s">
        <v>87</v>
      </c>
      <c r="L1726" t="s">
        <v>7</v>
      </c>
      <c r="M1726" t="s">
        <v>8</v>
      </c>
      <c r="N1726" t="b">
        <v>0</v>
      </c>
      <c r="O1726">
        <v>0</v>
      </c>
      <c r="P1726">
        <v>1</v>
      </c>
      <c r="Q1726">
        <v>0</v>
      </c>
      <c r="R1726">
        <v>1</v>
      </c>
    </row>
    <row r="1727" spans="1:18" x14ac:dyDescent="0.25">
      <c r="A1727" t="s">
        <v>9</v>
      </c>
      <c r="B1727" t="s">
        <v>6</v>
      </c>
      <c r="C1727">
        <v>2</v>
      </c>
      <c r="D1727">
        <v>1</v>
      </c>
      <c r="E1727">
        <v>1</v>
      </c>
      <c r="F1727" s="15">
        <v>45964</v>
      </c>
      <c r="G1727" t="s">
        <v>108</v>
      </c>
      <c r="H1727">
        <v>5</v>
      </c>
      <c r="I1727">
        <v>2025</v>
      </c>
      <c r="J1727">
        <v>11</v>
      </c>
      <c r="K1727" t="s">
        <v>87</v>
      </c>
      <c r="L1727" t="s">
        <v>27</v>
      </c>
      <c r="M1727" t="s">
        <v>6</v>
      </c>
      <c r="N1727" t="b">
        <v>0</v>
      </c>
      <c r="O1727">
        <v>0</v>
      </c>
      <c r="P1727">
        <v>1</v>
      </c>
      <c r="Q1727">
        <v>0</v>
      </c>
      <c r="R1727">
        <v>0</v>
      </c>
    </row>
    <row r="1728" spans="1:18" x14ac:dyDescent="0.25">
      <c r="A1728" t="s">
        <v>10</v>
      </c>
      <c r="B1728" t="s">
        <v>6</v>
      </c>
      <c r="C1728">
        <v>2</v>
      </c>
      <c r="D1728">
        <v>1</v>
      </c>
      <c r="E1728">
        <v>1</v>
      </c>
      <c r="F1728" s="15">
        <v>46006</v>
      </c>
      <c r="G1728" t="s">
        <v>114</v>
      </c>
      <c r="H1728">
        <v>4</v>
      </c>
      <c r="I1728">
        <v>2025</v>
      </c>
      <c r="J1728">
        <v>12</v>
      </c>
      <c r="K1728" t="s">
        <v>87</v>
      </c>
      <c r="L1728" t="s">
        <v>7</v>
      </c>
      <c r="M1728" t="s">
        <v>8</v>
      </c>
      <c r="N1728" t="b">
        <v>0</v>
      </c>
      <c r="O1728">
        <v>0</v>
      </c>
      <c r="P1728">
        <v>1</v>
      </c>
      <c r="Q1728">
        <v>0</v>
      </c>
      <c r="R1728">
        <v>1</v>
      </c>
    </row>
    <row r="1729" spans="1:18" x14ac:dyDescent="0.25">
      <c r="A1729" t="s">
        <v>10</v>
      </c>
      <c r="B1729" t="s">
        <v>6</v>
      </c>
      <c r="C1729">
        <v>2</v>
      </c>
      <c r="D1729">
        <v>1</v>
      </c>
      <c r="E1729">
        <v>1</v>
      </c>
      <c r="F1729" s="15">
        <v>46006</v>
      </c>
      <c r="G1729" t="s">
        <v>114</v>
      </c>
      <c r="H1729">
        <v>4</v>
      </c>
      <c r="I1729">
        <v>2025</v>
      </c>
      <c r="J1729">
        <v>12</v>
      </c>
      <c r="K1729" t="s">
        <v>87</v>
      </c>
      <c r="L1729" t="s">
        <v>321</v>
      </c>
      <c r="M1729" t="s">
        <v>6</v>
      </c>
      <c r="N1729" t="b">
        <v>0</v>
      </c>
      <c r="O1729">
        <v>0</v>
      </c>
      <c r="P1729">
        <v>1</v>
      </c>
      <c r="Q1729">
        <v>0</v>
      </c>
      <c r="R1729">
        <v>0</v>
      </c>
    </row>
    <row r="1730" spans="1:18" x14ac:dyDescent="0.25">
      <c r="A1730" t="s">
        <v>10</v>
      </c>
      <c r="B1730" t="s">
        <v>6</v>
      </c>
      <c r="C1730">
        <v>2</v>
      </c>
      <c r="D1730">
        <v>1</v>
      </c>
      <c r="E1730">
        <v>1</v>
      </c>
      <c r="F1730" s="15">
        <v>46006</v>
      </c>
      <c r="G1730" t="s">
        <v>114</v>
      </c>
      <c r="H1730">
        <v>4</v>
      </c>
      <c r="I1730">
        <v>2025</v>
      </c>
      <c r="J1730">
        <v>12</v>
      </c>
      <c r="K1730" t="s">
        <v>87</v>
      </c>
      <c r="L1730" t="s">
        <v>9</v>
      </c>
      <c r="M1730" t="s">
        <v>6</v>
      </c>
      <c r="N1730" t="b">
        <v>0</v>
      </c>
      <c r="O1730">
        <v>0</v>
      </c>
      <c r="P1730">
        <v>1</v>
      </c>
      <c r="Q1730">
        <v>0</v>
      </c>
      <c r="R1730">
        <v>0</v>
      </c>
    </row>
    <row r="1731" spans="1:18" x14ac:dyDescent="0.25">
      <c r="A1731" t="s">
        <v>7</v>
      </c>
      <c r="B1731" t="s">
        <v>8</v>
      </c>
      <c r="C1731">
        <v>3</v>
      </c>
      <c r="D1731">
        <v>1</v>
      </c>
      <c r="E1731">
        <v>1</v>
      </c>
      <c r="F1731" s="15">
        <v>46006</v>
      </c>
      <c r="G1731" t="s">
        <v>114</v>
      </c>
      <c r="H1731">
        <v>4</v>
      </c>
      <c r="I1731">
        <v>2025</v>
      </c>
      <c r="J1731">
        <v>12</v>
      </c>
      <c r="K1731" t="s">
        <v>87</v>
      </c>
      <c r="L1731" t="s">
        <v>10</v>
      </c>
      <c r="M1731" t="s">
        <v>6</v>
      </c>
      <c r="N1731" t="b">
        <v>0</v>
      </c>
      <c r="O1731">
        <v>1</v>
      </c>
      <c r="P1731">
        <v>0</v>
      </c>
      <c r="Q1731">
        <v>0</v>
      </c>
      <c r="R1731">
        <v>0</v>
      </c>
    </row>
    <row r="1732" spans="1:18" x14ac:dyDescent="0.25">
      <c r="A1732" t="s">
        <v>7</v>
      </c>
      <c r="B1732" t="s">
        <v>8</v>
      </c>
      <c r="C1732">
        <v>3</v>
      </c>
      <c r="D1732">
        <v>1</v>
      </c>
      <c r="E1732">
        <v>1</v>
      </c>
      <c r="F1732" s="15">
        <v>46006</v>
      </c>
      <c r="G1732" t="s">
        <v>114</v>
      </c>
      <c r="H1732">
        <v>4</v>
      </c>
      <c r="I1732">
        <v>2025</v>
      </c>
      <c r="J1732">
        <v>12</v>
      </c>
      <c r="K1732" t="s">
        <v>87</v>
      </c>
      <c r="L1732" t="s">
        <v>321</v>
      </c>
      <c r="M1732" t="s">
        <v>6</v>
      </c>
      <c r="N1732" t="b">
        <v>0</v>
      </c>
      <c r="O1732">
        <v>1</v>
      </c>
      <c r="P1732">
        <v>0</v>
      </c>
      <c r="Q1732">
        <v>0</v>
      </c>
      <c r="R1732">
        <v>0</v>
      </c>
    </row>
    <row r="1733" spans="1:18" x14ac:dyDescent="0.25">
      <c r="A1733" t="s">
        <v>7</v>
      </c>
      <c r="B1733" t="s">
        <v>8</v>
      </c>
      <c r="C1733">
        <v>3</v>
      </c>
      <c r="D1733">
        <v>1</v>
      </c>
      <c r="E1733">
        <v>1</v>
      </c>
      <c r="F1733" s="15">
        <v>46006</v>
      </c>
      <c r="G1733" t="s">
        <v>114</v>
      </c>
      <c r="H1733">
        <v>4</v>
      </c>
      <c r="I1733">
        <v>2025</v>
      </c>
      <c r="J1733">
        <v>12</v>
      </c>
      <c r="K1733" t="s">
        <v>87</v>
      </c>
      <c r="L1733" t="s">
        <v>9</v>
      </c>
      <c r="M1733" t="s">
        <v>6</v>
      </c>
      <c r="N1733" t="b">
        <v>0</v>
      </c>
      <c r="O1733">
        <v>1</v>
      </c>
      <c r="P1733">
        <v>0</v>
      </c>
      <c r="Q1733">
        <v>0</v>
      </c>
      <c r="R1733">
        <v>0</v>
      </c>
    </row>
    <row r="1734" spans="1:18" x14ac:dyDescent="0.25">
      <c r="A1734" t="s">
        <v>321</v>
      </c>
      <c r="B1734" t="s">
        <v>6</v>
      </c>
      <c r="C1734">
        <v>4</v>
      </c>
      <c r="D1734">
        <v>1</v>
      </c>
      <c r="E1734">
        <v>1</v>
      </c>
      <c r="F1734" s="15">
        <v>46006</v>
      </c>
      <c r="G1734" t="s">
        <v>114</v>
      </c>
      <c r="H1734">
        <v>4</v>
      </c>
      <c r="I1734">
        <v>2025</v>
      </c>
      <c r="J1734">
        <v>12</v>
      </c>
      <c r="K1734" t="s">
        <v>87</v>
      </c>
      <c r="L1734" t="s">
        <v>10</v>
      </c>
      <c r="M1734" t="s">
        <v>6</v>
      </c>
      <c r="N1734" t="b">
        <v>0</v>
      </c>
      <c r="O1734">
        <v>0</v>
      </c>
      <c r="P1734">
        <v>1</v>
      </c>
      <c r="Q1734">
        <v>0</v>
      </c>
      <c r="R1734">
        <v>0</v>
      </c>
    </row>
    <row r="1735" spans="1:18" x14ac:dyDescent="0.25">
      <c r="A1735" t="s">
        <v>321</v>
      </c>
      <c r="B1735" t="s">
        <v>6</v>
      </c>
      <c r="C1735">
        <v>4</v>
      </c>
      <c r="D1735">
        <v>1</v>
      </c>
      <c r="E1735">
        <v>1</v>
      </c>
      <c r="F1735" s="15">
        <v>46006</v>
      </c>
      <c r="G1735" t="s">
        <v>114</v>
      </c>
      <c r="H1735">
        <v>4</v>
      </c>
      <c r="I1735">
        <v>2025</v>
      </c>
      <c r="J1735">
        <v>12</v>
      </c>
      <c r="K1735" t="s">
        <v>87</v>
      </c>
      <c r="L1735" t="s">
        <v>7</v>
      </c>
      <c r="M1735" t="s">
        <v>8</v>
      </c>
      <c r="N1735" t="b">
        <v>0</v>
      </c>
      <c r="O1735">
        <v>0</v>
      </c>
      <c r="P1735">
        <v>1</v>
      </c>
      <c r="Q1735">
        <v>0</v>
      </c>
      <c r="R1735">
        <v>1</v>
      </c>
    </row>
    <row r="1736" spans="1:18" x14ac:dyDescent="0.25">
      <c r="A1736" t="s">
        <v>321</v>
      </c>
      <c r="B1736" t="s">
        <v>6</v>
      </c>
      <c r="C1736">
        <v>4</v>
      </c>
      <c r="D1736">
        <v>1</v>
      </c>
      <c r="E1736">
        <v>1</v>
      </c>
      <c r="F1736" s="15">
        <v>46006</v>
      </c>
      <c r="G1736" t="s">
        <v>114</v>
      </c>
      <c r="H1736">
        <v>4</v>
      </c>
      <c r="I1736">
        <v>2025</v>
      </c>
      <c r="J1736">
        <v>12</v>
      </c>
      <c r="K1736" t="s">
        <v>87</v>
      </c>
      <c r="L1736" t="s">
        <v>9</v>
      </c>
      <c r="M1736" t="s">
        <v>6</v>
      </c>
      <c r="N1736" t="b">
        <v>0</v>
      </c>
      <c r="O1736">
        <v>0</v>
      </c>
      <c r="P1736">
        <v>1</v>
      </c>
      <c r="Q1736">
        <v>0</v>
      </c>
      <c r="R1736">
        <v>0</v>
      </c>
    </row>
    <row r="1737" spans="1:18" x14ac:dyDescent="0.25">
      <c r="A1737" t="s">
        <v>9</v>
      </c>
      <c r="B1737" t="s">
        <v>6</v>
      </c>
      <c r="C1737">
        <v>1</v>
      </c>
      <c r="D1737">
        <v>1</v>
      </c>
      <c r="E1737">
        <v>1</v>
      </c>
      <c r="F1737" s="15">
        <v>46006</v>
      </c>
      <c r="G1737" t="s">
        <v>114</v>
      </c>
      <c r="H1737">
        <v>4</v>
      </c>
      <c r="I1737">
        <v>2025</v>
      </c>
      <c r="J1737">
        <v>12</v>
      </c>
      <c r="K1737" t="s">
        <v>87</v>
      </c>
      <c r="L1737" t="s">
        <v>10</v>
      </c>
      <c r="M1737" t="s">
        <v>6</v>
      </c>
      <c r="N1737" t="b">
        <v>0</v>
      </c>
      <c r="O1737">
        <v>0</v>
      </c>
      <c r="P1737">
        <v>1</v>
      </c>
      <c r="Q1737">
        <v>0</v>
      </c>
      <c r="R1737">
        <v>0</v>
      </c>
    </row>
    <row r="1738" spans="1:18" x14ac:dyDescent="0.25">
      <c r="A1738" t="s">
        <v>9</v>
      </c>
      <c r="B1738" t="s">
        <v>6</v>
      </c>
      <c r="C1738">
        <v>1</v>
      </c>
      <c r="D1738">
        <v>1</v>
      </c>
      <c r="E1738">
        <v>1</v>
      </c>
      <c r="F1738" s="15">
        <v>46006</v>
      </c>
      <c r="G1738" t="s">
        <v>114</v>
      </c>
      <c r="H1738">
        <v>4</v>
      </c>
      <c r="I1738">
        <v>2025</v>
      </c>
      <c r="J1738">
        <v>12</v>
      </c>
      <c r="K1738" t="s">
        <v>87</v>
      </c>
      <c r="L1738" t="s">
        <v>7</v>
      </c>
      <c r="M1738" t="s">
        <v>8</v>
      </c>
      <c r="N1738" t="b">
        <v>0</v>
      </c>
      <c r="O1738">
        <v>0</v>
      </c>
      <c r="P1738">
        <v>1</v>
      </c>
      <c r="Q1738">
        <v>0</v>
      </c>
      <c r="R1738">
        <v>1</v>
      </c>
    </row>
    <row r="1739" spans="1:18" x14ac:dyDescent="0.25">
      <c r="A1739" t="s">
        <v>9</v>
      </c>
      <c r="B1739" t="s">
        <v>6</v>
      </c>
      <c r="C1739">
        <v>1</v>
      </c>
      <c r="D1739">
        <v>1</v>
      </c>
      <c r="E1739">
        <v>1</v>
      </c>
      <c r="F1739" s="15">
        <v>46006</v>
      </c>
      <c r="G1739" t="s">
        <v>114</v>
      </c>
      <c r="H1739">
        <v>4</v>
      </c>
      <c r="I1739">
        <v>2025</v>
      </c>
      <c r="J1739">
        <v>12</v>
      </c>
      <c r="K1739" t="s">
        <v>87</v>
      </c>
      <c r="L1739" t="s">
        <v>321</v>
      </c>
      <c r="M1739" t="s">
        <v>6</v>
      </c>
      <c r="N1739" t="b">
        <v>0</v>
      </c>
      <c r="O1739">
        <v>0</v>
      </c>
      <c r="P1739">
        <v>1</v>
      </c>
      <c r="Q1739">
        <v>0</v>
      </c>
      <c r="R1739">
        <v>0</v>
      </c>
    </row>
    <row r="1740" spans="1:18" x14ac:dyDescent="0.25">
      <c r="A1740" t="s">
        <v>10</v>
      </c>
      <c r="B1740" t="s">
        <v>6</v>
      </c>
      <c r="C1740">
        <v>4</v>
      </c>
      <c r="D1740">
        <v>1</v>
      </c>
      <c r="E1740">
        <v>2</v>
      </c>
      <c r="F1740" s="15">
        <v>45936</v>
      </c>
      <c r="G1740" t="s">
        <v>128</v>
      </c>
      <c r="H1740">
        <v>4</v>
      </c>
      <c r="I1740">
        <v>2025</v>
      </c>
      <c r="J1740">
        <v>10</v>
      </c>
      <c r="K1740" t="s">
        <v>87</v>
      </c>
      <c r="L1740" t="s">
        <v>7</v>
      </c>
      <c r="M1740" t="s">
        <v>6</v>
      </c>
      <c r="N1740" t="b">
        <v>0</v>
      </c>
      <c r="O1740">
        <v>0</v>
      </c>
      <c r="P1740">
        <v>1</v>
      </c>
      <c r="Q1740">
        <v>0</v>
      </c>
      <c r="R1740">
        <v>0</v>
      </c>
    </row>
    <row r="1741" spans="1:18" x14ac:dyDescent="0.25">
      <c r="A1741" t="s">
        <v>10</v>
      </c>
      <c r="B1741" t="s">
        <v>6</v>
      </c>
      <c r="C1741">
        <v>4</v>
      </c>
      <c r="D1741">
        <v>1</v>
      </c>
      <c r="E1741">
        <v>2</v>
      </c>
      <c r="F1741" s="15">
        <v>45936</v>
      </c>
      <c r="G1741" t="s">
        <v>128</v>
      </c>
      <c r="H1741">
        <v>4</v>
      </c>
      <c r="I1741">
        <v>2025</v>
      </c>
      <c r="J1741">
        <v>10</v>
      </c>
      <c r="K1741" t="s">
        <v>87</v>
      </c>
      <c r="L1741" t="s">
        <v>9</v>
      </c>
      <c r="M1741" t="s">
        <v>6</v>
      </c>
      <c r="N1741" t="b">
        <v>0</v>
      </c>
      <c r="O1741">
        <v>0</v>
      </c>
      <c r="P1741">
        <v>1</v>
      </c>
      <c r="Q1741">
        <v>0</v>
      </c>
      <c r="R1741">
        <v>0</v>
      </c>
    </row>
    <row r="1742" spans="1:18" x14ac:dyDescent="0.25">
      <c r="A1742" t="s">
        <v>10</v>
      </c>
      <c r="B1742" t="s">
        <v>6</v>
      </c>
      <c r="C1742">
        <v>4</v>
      </c>
      <c r="D1742">
        <v>1</v>
      </c>
      <c r="E1742">
        <v>2</v>
      </c>
      <c r="F1742" s="15">
        <v>45936</v>
      </c>
      <c r="G1742" t="s">
        <v>128</v>
      </c>
      <c r="H1742">
        <v>4</v>
      </c>
      <c r="I1742">
        <v>2025</v>
      </c>
      <c r="J1742">
        <v>10</v>
      </c>
      <c r="K1742" t="s">
        <v>87</v>
      </c>
      <c r="L1742" t="s">
        <v>352</v>
      </c>
      <c r="M1742" t="s">
        <v>8</v>
      </c>
      <c r="N1742" t="b">
        <v>0</v>
      </c>
      <c r="O1742">
        <v>0</v>
      </c>
      <c r="P1742">
        <v>1</v>
      </c>
      <c r="Q1742">
        <v>0</v>
      </c>
      <c r="R1742">
        <v>1</v>
      </c>
    </row>
    <row r="1743" spans="1:18" x14ac:dyDescent="0.25">
      <c r="A1743" t="s">
        <v>7</v>
      </c>
      <c r="B1743" t="s">
        <v>6</v>
      </c>
      <c r="C1743">
        <v>3</v>
      </c>
      <c r="D1743">
        <v>1</v>
      </c>
      <c r="E1743">
        <v>2</v>
      </c>
      <c r="F1743" s="15">
        <v>45936</v>
      </c>
      <c r="G1743" t="s">
        <v>128</v>
      </c>
      <c r="H1743">
        <v>4</v>
      </c>
      <c r="I1743">
        <v>2025</v>
      </c>
      <c r="J1743">
        <v>10</v>
      </c>
      <c r="K1743" t="s">
        <v>87</v>
      </c>
      <c r="L1743" t="s">
        <v>10</v>
      </c>
      <c r="M1743" t="s">
        <v>6</v>
      </c>
      <c r="N1743" t="b">
        <v>0</v>
      </c>
      <c r="O1743">
        <v>0</v>
      </c>
      <c r="P1743">
        <v>1</v>
      </c>
      <c r="Q1743">
        <v>0</v>
      </c>
      <c r="R1743">
        <v>0</v>
      </c>
    </row>
    <row r="1744" spans="1:18" x14ac:dyDescent="0.25">
      <c r="A1744" t="s">
        <v>7</v>
      </c>
      <c r="B1744" t="s">
        <v>6</v>
      </c>
      <c r="C1744">
        <v>3</v>
      </c>
      <c r="D1744">
        <v>1</v>
      </c>
      <c r="E1744">
        <v>2</v>
      </c>
      <c r="F1744" s="15">
        <v>45936</v>
      </c>
      <c r="G1744" t="s">
        <v>128</v>
      </c>
      <c r="H1744">
        <v>4</v>
      </c>
      <c r="I1744">
        <v>2025</v>
      </c>
      <c r="J1744">
        <v>10</v>
      </c>
      <c r="K1744" t="s">
        <v>87</v>
      </c>
      <c r="L1744" t="s">
        <v>9</v>
      </c>
      <c r="M1744" t="s">
        <v>6</v>
      </c>
      <c r="N1744" t="b">
        <v>0</v>
      </c>
      <c r="O1744">
        <v>0</v>
      </c>
      <c r="P1744">
        <v>1</v>
      </c>
      <c r="Q1744">
        <v>0</v>
      </c>
      <c r="R1744">
        <v>0</v>
      </c>
    </row>
    <row r="1745" spans="1:18" x14ac:dyDescent="0.25">
      <c r="A1745" t="s">
        <v>7</v>
      </c>
      <c r="B1745" t="s">
        <v>6</v>
      </c>
      <c r="C1745">
        <v>3</v>
      </c>
      <c r="D1745">
        <v>1</v>
      </c>
      <c r="E1745">
        <v>2</v>
      </c>
      <c r="F1745" s="15">
        <v>45936</v>
      </c>
      <c r="G1745" t="s">
        <v>128</v>
      </c>
      <c r="H1745">
        <v>4</v>
      </c>
      <c r="I1745">
        <v>2025</v>
      </c>
      <c r="J1745">
        <v>10</v>
      </c>
      <c r="K1745" t="s">
        <v>87</v>
      </c>
      <c r="L1745" t="s">
        <v>352</v>
      </c>
      <c r="M1745" t="s">
        <v>8</v>
      </c>
      <c r="N1745" t="b">
        <v>0</v>
      </c>
      <c r="O1745">
        <v>0</v>
      </c>
      <c r="P1745">
        <v>1</v>
      </c>
      <c r="Q1745">
        <v>0</v>
      </c>
      <c r="R1745">
        <v>1</v>
      </c>
    </row>
    <row r="1746" spans="1:18" x14ac:dyDescent="0.25">
      <c r="A1746" t="s">
        <v>9</v>
      </c>
      <c r="B1746" t="s">
        <v>6</v>
      </c>
      <c r="C1746">
        <v>2</v>
      </c>
      <c r="D1746">
        <v>1</v>
      </c>
      <c r="E1746">
        <v>2</v>
      </c>
      <c r="F1746" s="15">
        <v>45936</v>
      </c>
      <c r="G1746" t="s">
        <v>128</v>
      </c>
      <c r="H1746">
        <v>4</v>
      </c>
      <c r="I1746">
        <v>2025</v>
      </c>
      <c r="J1746">
        <v>10</v>
      </c>
      <c r="K1746" t="s">
        <v>87</v>
      </c>
      <c r="L1746" t="s">
        <v>10</v>
      </c>
      <c r="M1746" t="s">
        <v>6</v>
      </c>
      <c r="N1746" t="b">
        <v>0</v>
      </c>
      <c r="O1746">
        <v>0</v>
      </c>
      <c r="P1746">
        <v>1</v>
      </c>
      <c r="Q1746">
        <v>0</v>
      </c>
      <c r="R1746">
        <v>0</v>
      </c>
    </row>
    <row r="1747" spans="1:18" x14ac:dyDescent="0.25">
      <c r="A1747" t="s">
        <v>9</v>
      </c>
      <c r="B1747" t="s">
        <v>6</v>
      </c>
      <c r="C1747">
        <v>2</v>
      </c>
      <c r="D1747">
        <v>1</v>
      </c>
      <c r="E1747">
        <v>2</v>
      </c>
      <c r="F1747" s="15">
        <v>45936</v>
      </c>
      <c r="G1747" t="s">
        <v>128</v>
      </c>
      <c r="H1747">
        <v>4</v>
      </c>
      <c r="I1747">
        <v>2025</v>
      </c>
      <c r="J1747">
        <v>10</v>
      </c>
      <c r="K1747" t="s">
        <v>87</v>
      </c>
      <c r="L1747" t="s">
        <v>7</v>
      </c>
      <c r="M1747" t="s">
        <v>6</v>
      </c>
      <c r="N1747" t="b">
        <v>0</v>
      </c>
      <c r="O1747">
        <v>0</v>
      </c>
      <c r="P1747">
        <v>1</v>
      </c>
      <c r="Q1747">
        <v>0</v>
      </c>
      <c r="R1747">
        <v>0</v>
      </c>
    </row>
    <row r="1748" spans="1:18" x14ac:dyDescent="0.25">
      <c r="A1748" t="s">
        <v>9</v>
      </c>
      <c r="B1748" t="s">
        <v>6</v>
      </c>
      <c r="C1748">
        <v>2</v>
      </c>
      <c r="D1748">
        <v>1</v>
      </c>
      <c r="E1748">
        <v>2</v>
      </c>
      <c r="F1748" s="15">
        <v>45936</v>
      </c>
      <c r="G1748" t="s">
        <v>128</v>
      </c>
      <c r="H1748">
        <v>4</v>
      </c>
      <c r="I1748">
        <v>2025</v>
      </c>
      <c r="J1748">
        <v>10</v>
      </c>
      <c r="K1748" t="s">
        <v>87</v>
      </c>
      <c r="L1748" t="s">
        <v>352</v>
      </c>
      <c r="M1748" t="s">
        <v>8</v>
      </c>
      <c r="N1748" t="b">
        <v>0</v>
      </c>
      <c r="O1748">
        <v>0</v>
      </c>
      <c r="P1748">
        <v>1</v>
      </c>
      <c r="Q1748">
        <v>0</v>
      </c>
      <c r="R1748">
        <v>1</v>
      </c>
    </row>
    <row r="1749" spans="1:18" x14ac:dyDescent="0.25">
      <c r="A1749" t="s">
        <v>352</v>
      </c>
      <c r="B1749" t="s">
        <v>8</v>
      </c>
      <c r="C1749">
        <v>1</v>
      </c>
      <c r="D1749">
        <v>1</v>
      </c>
      <c r="E1749">
        <v>2</v>
      </c>
      <c r="F1749" s="15">
        <v>45936</v>
      </c>
      <c r="G1749" t="s">
        <v>128</v>
      </c>
      <c r="H1749">
        <v>4</v>
      </c>
      <c r="I1749">
        <v>2025</v>
      </c>
      <c r="J1749">
        <v>10</v>
      </c>
      <c r="K1749" t="s">
        <v>87</v>
      </c>
      <c r="L1749" t="s">
        <v>10</v>
      </c>
      <c r="M1749" t="s">
        <v>6</v>
      </c>
      <c r="N1749" t="b">
        <v>0</v>
      </c>
      <c r="O1749">
        <v>1</v>
      </c>
      <c r="P1749">
        <v>0</v>
      </c>
      <c r="Q1749">
        <v>0</v>
      </c>
      <c r="R1749">
        <v>0</v>
      </c>
    </row>
    <row r="1750" spans="1:18" x14ac:dyDescent="0.25">
      <c r="A1750" t="s">
        <v>352</v>
      </c>
      <c r="B1750" t="s">
        <v>8</v>
      </c>
      <c r="C1750">
        <v>1</v>
      </c>
      <c r="D1750">
        <v>1</v>
      </c>
      <c r="E1750">
        <v>2</v>
      </c>
      <c r="F1750" s="15">
        <v>45936</v>
      </c>
      <c r="G1750" t="s">
        <v>128</v>
      </c>
      <c r="H1750">
        <v>4</v>
      </c>
      <c r="I1750">
        <v>2025</v>
      </c>
      <c r="J1750">
        <v>10</v>
      </c>
      <c r="K1750" t="s">
        <v>87</v>
      </c>
      <c r="L1750" t="s">
        <v>7</v>
      </c>
      <c r="M1750" t="s">
        <v>6</v>
      </c>
      <c r="N1750" t="b">
        <v>0</v>
      </c>
      <c r="O1750">
        <v>1</v>
      </c>
      <c r="P1750">
        <v>0</v>
      </c>
      <c r="Q1750">
        <v>0</v>
      </c>
      <c r="R1750">
        <v>0</v>
      </c>
    </row>
    <row r="1751" spans="1:18" x14ac:dyDescent="0.25">
      <c r="A1751" t="s">
        <v>352</v>
      </c>
      <c r="B1751" t="s">
        <v>8</v>
      </c>
      <c r="C1751">
        <v>1</v>
      </c>
      <c r="D1751">
        <v>1</v>
      </c>
      <c r="E1751">
        <v>2</v>
      </c>
      <c r="F1751" s="15">
        <v>45936</v>
      </c>
      <c r="G1751" t="s">
        <v>128</v>
      </c>
      <c r="H1751">
        <v>4</v>
      </c>
      <c r="I1751">
        <v>2025</v>
      </c>
      <c r="J1751">
        <v>10</v>
      </c>
      <c r="K1751" t="s">
        <v>87</v>
      </c>
      <c r="L1751" t="s">
        <v>9</v>
      </c>
      <c r="M1751" t="s">
        <v>6</v>
      </c>
      <c r="N1751" t="b">
        <v>0</v>
      </c>
      <c r="O1751">
        <v>1</v>
      </c>
      <c r="P1751">
        <v>0</v>
      </c>
      <c r="Q1751">
        <v>0</v>
      </c>
      <c r="R1751">
        <v>0</v>
      </c>
    </row>
    <row r="1752" spans="1:18" x14ac:dyDescent="0.25">
      <c r="A1752" t="s">
        <v>10</v>
      </c>
      <c r="B1752" t="s">
        <v>6</v>
      </c>
      <c r="C1752">
        <v>3</v>
      </c>
      <c r="D1752">
        <v>2</v>
      </c>
      <c r="E1752">
        <v>1</v>
      </c>
      <c r="F1752" s="15">
        <v>45880</v>
      </c>
      <c r="G1752" t="s">
        <v>145</v>
      </c>
      <c r="H1752">
        <v>4</v>
      </c>
      <c r="I1752">
        <v>2025</v>
      </c>
      <c r="J1752">
        <v>8</v>
      </c>
      <c r="K1752" t="s">
        <v>87</v>
      </c>
      <c r="L1752" t="s">
        <v>28</v>
      </c>
      <c r="M1752" t="s">
        <v>6</v>
      </c>
      <c r="N1752" t="b">
        <v>0</v>
      </c>
      <c r="O1752">
        <v>0</v>
      </c>
      <c r="P1752">
        <v>1</v>
      </c>
      <c r="Q1752">
        <v>0</v>
      </c>
      <c r="R1752">
        <v>0</v>
      </c>
    </row>
    <row r="1753" spans="1:18" x14ac:dyDescent="0.25">
      <c r="A1753" t="s">
        <v>10</v>
      </c>
      <c r="B1753" t="s">
        <v>6</v>
      </c>
      <c r="C1753">
        <v>3</v>
      </c>
      <c r="D1753">
        <v>2</v>
      </c>
      <c r="E1753">
        <v>1</v>
      </c>
      <c r="F1753" s="15">
        <v>45880</v>
      </c>
      <c r="G1753" t="s">
        <v>145</v>
      </c>
      <c r="H1753">
        <v>4</v>
      </c>
      <c r="I1753">
        <v>2025</v>
      </c>
      <c r="J1753">
        <v>8</v>
      </c>
      <c r="K1753" t="s">
        <v>87</v>
      </c>
      <c r="L1753" t="s">
        <v>40</v>
      </c>
      <c r="M1753" t="s">
        <v>8</v>
      </c>
      <c r="N1753" t="b">
        <v>0</v>
      </c>
      <c r="O1753">
        <v>0</v>
      </c>
      <c r="P1753">
        <v>1</v>
      </c>
      <c r="Q1753">
        <v>0</v>
      </c>
      <c r="R1753">
        <v>1</v>
      </c>
    </row>
    <row r="1754" spans="1:18" x14ac:dyDescent="0.25">
      <c r="A1754" t="s">
        <v>10</v>
      </c>
      <c r="B1754" t="s">
        <v>6</v>
      </c>
      <c r="C1754">
        <v>3</v>
      </c>
      <c r="D1754">
        <v>2</v>
      </c>
      <c r="E1754">
        <v>1</v>
      </c>
      <c r="F1754" s="15">
        <v>45880</v>
      </c>
      <c r="G1754" t="s">
        <v>145</v>
      </c>
      <c r="H1754">
        <v>4</v>
      </c>
      <c r="I1754">
        <v>2025</v>
      </c>
      <c r="J1754">
        <v>8</v>
      </c>
      <c r="K1754" t="s">
        <v>87</v>
      </c>
      <c r="L1754" t="s">
        <v>9</v>
      </c>
      <c r="M1754" t="s">
        <v>6</v>
      </c>
      <c r="N1754" t="b">
        <v>0</v>
      </c>
      <c r="O1754">
        <v>0</v>
      </c>
      <c r="P1754">
        <v>1</v>
      </c>
      <c r="Q1754">
        <v>0</v>
      </c>
      <c r="R1754">
        <v>0</v>
      </c>
    </row>
    <row r="1755" spans="1:18" x14ac:dyDescent="0.25">
      <c r="A1755" t="s">
        <v>28</v>
      </c>
      <c r="B1755" t="s">
        <v>6</v>
      </c>
      <c r="C1755">
        <v>1</v>
      </c>
      <c r="D1755">
        <v>2</v>
      </c>
      <c r="E1755">
        <v>1</v>
      </c>
      <c r="F1755" s="15">
        <v>45880</v>
      </c>
      <c r="G1755" t="s">
        <v>145</v>
      </c>
      <c r="H1755">
        <v>4</v>
      </c>
      <c r="I1755">
        <v>2025</v>
      </c>
      <c r="J1755">
        <v>8</v>
      </c>
      <c r="K1755" t="s">
        <v>87</v>
      </c>
      <c r="L1755" t="s">
        <v>10</v>
      </c>
      <c r="M1755" t="s">
        <v>6</v>
      </c>
      <c r="N1755" t="b">
        <v>0</v>
      </c>
      <c r="O1755">
        <v>0</v>
      </c>
      <c r="P1755">
        <v>1</v>
      </c>
      <c r="Q1755">
        <v>0</v>
      </c>
      <c r="R1755">
        <v>0</v>
      </c>
    </row>
    <row r="1756" spans="1:18" x14ac:dyDescent="0.25">
      <c r="A1756" t="s">
        <v>28</v>
      </c>
      <c r="B1756" t="s">
        <v>6</v>
      </c>
      <c r="C1756">
        <v>1</v>
      </c>
      <c r="D1756">
        <v>2</v>
      </c>
      <c r="E1756">
        <v>1</v>
      </c>
      <c r="F1756" s="15">
        <v>45880</v>
      </c>
      <c r="G1756" t="s">
        <v>145</v>
      </c>
      <c r="H1756">
        <v>4</v>
      </c>
      <c r="I1756">
        <v>2025</v>
      </c>
      <c r="J1756">
        <v>8</v>
      </c>
      <c r="K1756" t="s">
        <v>87</v>
      </c>
      <c r="L1756" t="s">
        <v>40</v>
      </c>
      <c r="M1756" t="s">
        <v>8</v>
      </c>
      <c r="N1756" t="b">
        <v>0</v>
      </c>
      <c r="O1756">
        <v>0</v>
      </c>
      <c r="P1756">
        <v>1</v>
      </c>
      <c r="Q1756">
        <v>0</v>
      </c>
      <c r="R1756">
        <v>1</v>
      </c>
    </row>
    <row r="1757" spans="1:18" x14ac:dyDescent="0.25">
      <c r="A1757" t="s">
        <v>28</v>
      </c>
      <c r="B1757" t="s">
        <v>6</v>
      </c>
      <c r="C1757">
        <v>1</v>
      </c>
      <c r="D1757">
        <v>2</v>
      </c>
      <c r="E1757">
        <v>1</v>
      </c>
      <c r="F1757" s="15">
        <v>45880</v>
      </c>
      <c r="G1757" t="s">
        <v>145</v>
      </c>
      <c r="H1757">
        <v>4</v>
      </c>
      <c r="I1757">
        <v>2025</v>
      </c>
      <c r="J1757">
        <v>8</v>
      </c>
      <c r="K1757" t="s">
        <v>87</v>
      </c>
      <c r="L1757" t="s">
        <v>9</v>
      </c>
      <c r="M1757" t="s">
        <v>6</v>
      </c>
      <c r="N1757" t="b">
        <v>0</v>
      </c>
      <c r="O1757">
        <v>0</v>
      </c>
      <c r="P1757">
        <v>1</v>
      </c>
      <c r="Q1757">
        <v>0</v>
      </c>
      <c r="R1757">
        <v>0</v>
      </c>
    </row>
    <row r="1758" spans="1:18" x14ac:dyDescent="0.25">
      <c r="A1758" t="s">
        <v>40</v>
      </c>
      <c r="B1758" t="s">
        <v>8</v>
      </c>
      <c r="C1758">
        <v>4</v>
      </c>
      <c r="D1758">
        <v>2</v>
      </c>
      <c r="E1758">
        <v>1</v>
      </c>
      <c r="F1758" s="15">
        <v>45880</v>
      </c>
      <c r="G1758" t="s">
        <v>145</v>
      </c>
      <c r="H1758">
        <v>4</v>
      </c>
      <c r="I1758">
        <v>2025</v>
      </c>
      <c r="J1758">
        <v>8</v>
      </c>
      <c r="K1758" t="s">
        <v>87</v>
      </c>
      <c r="L1758" t="s">
        <v>10</v>
      </c>
      <c r="M1758" t="s">
        <v>6</v>
      </c>
      <c r="N1758" t="b">
        <v>0</v>
      </c>
      <c r="O1758">
        <v>1</v>
      </c>
      <c r="P1758">
        <v>0</v>
      </c>
      <c r="Q1758">
        <v>0</v>
      </c>
      <c r="R1758">
        <v>0</v>
      </c>
    </row>
    <row r="1759" spans="1:18" x14ac:dyDescent="0.25">
      <c r="A1759" t="s">
        <v>40</v>
      </c>
      <c r="B1759" t="s">
        <v>8</v>
      </c>
      <c r="C1759">
        <v>4</v>
      </c>
      <c r="D1759">
        <v>2</v>
      </c>
      <c r="E1759">
        <v>1</v>
      </c>
      <c r="F1759" s="15">
        <v>45880</v>
      </c>
      <c r="G1759" t="s">
        <v>145</v>
      </c>
      <c r="H1759">
        <v>4</v>
      </c>
      <c r="I1759">
        <v>2025</v>
      </c>
      <c r="J1759">
        <v>8</v>
      </c>
      <c r="K1759" t="s">
        <v>87</v>
      </c>
      <c r="L1759" t="s">
        <v>28</v>
      </c>
      <c r="M1759" t="s">
        <v>6</v>
      </c>
      <c r="N1759" t="b">
        <v>0</v>
      </c>
      <c r="O1759">
        <v>1</v>
      </c>
      <c r="P1759">
        <v>0</v>
      </c>
      <c r="Q1759">
        <v>0</v>
      </c>
      <c r="R1759">
        <v>0</v>
      </c>
    </row>
    <row r="1760" spans="1:18" x14ac:dyDescent="0.25">
      <c r="A1760" t="s">
        <v>40</v>
      </c>
      <c r="B1760" t="s">
        <v>8</v>
      </c>
      <c r="C1760">
        <v>4</v>
      </c>
      <c r="D1760">
        <v>2</v>
      </c>
      <c r="E1760">
        <v>1</v>
      </c>
      <c r="F1760" s="15">
        <v>45880</v>
      </c>
      <c r="G1760" t="s">
        <v>145</v>
      </c>
      <c r="H1760">
        <v>4</v>
      </c>
      <c r="I1760">
        <v>2025</v>
      </c>
      <c r="J1760">
        <v>8</v>
      </c>
      <c r="K1760" t="s">
        <v>87</v>
      </c>
      <c r="L1760" t="s">
        <v>9</v>
      </c>
      <c r="M1760" t="s">
        <v>6</v>
      </c>
      <c r="N1760" t="b">
        <v>0</v>
      </c>
      <c r="O1760">
        <v>1</v>
      </c>
      <c r="P1760">
        <v>0</v>
      </c>
      <c r="Q1760">
        <v>0</v>
      </c>
      <c r="R1760">
        <v>0</v>
      </c>
    </row>
    <row r="1761" spans="1:18" x14ac:dyDescent="0.25">
      <c r="A1761" t="s">
        <v>9</v>
      </c>
      <c r="B1761" t="s">
        <v>6</v>
      </c>
      <c r="C1761">
        <v>2</v>
      </c>
      <c r="D1761">
        <v>2</v>
      </c>
      <c r="E1761">
        <v>1</v>
      </c>
      <c r="F1761" s="15">
        <v>45880</v>
      </c>
      <c r="G1761" t="s">
        <v>145</v>
      </c>
      <c r="H1761">
        <v>4</v>
      </c>
      <c r="I1761">
        <v>2025</v>
      </c>
      <c r="J1761">
        <v>8</v>
      </c>
      <c r="K1761" t="s">
        <v>87</v>
      </c>
      <c r="L1761" t="s">
        <v>10</v>
      </c>
      <c r="M1761" t="s">
        <v>6</v>
      </c>
      <c r="N1761" t="b">
        <v>0</v>
      </c>
      <c r="O1761">
        <v>0</v>
      </c>
      <c r="P1761">
        <v>1</v>
      </c>
      <c r="Q1761">
        <v>0</v>
      </c>
      <c r="R1761">
        <v>0</v>
      </c>
    </row>
    <row r="1762" spans="1:18" x14ac:dyDescent="0.25">
      <c r="A1762" t="s">
        <v>9</v>
      </c>
      <c r="B1762" t="s">
        <v>6</v>
      </c>
      <c r="C1762">
        <v>2</v>
      </c>
      <c r="D1762">
        <v>2</v>
      </c>
      <c r="E1762">
        <v>1</v>
      </c>
      <c r="F1762" s="15">
        <v>45880</v>
      </c>
      <c r="G1762" t="s">
        <v>145</v>
      </c>
      <c r="H1762">
        <v>4</v>
      </c>
      <c r="I1762">
        <v>2025</v>
      </c>
      <c r="J1762">
        <v>8</v>
      </c>
      <c r="K1762" t="s">
        <v>87</v>
      </c>
      <c r="L1762" t="s">
        <v>28</v>
      </c>
      <c r="M1762" t="s">
        <v>6</v>
      </c>
      <c r="N1762" t="b">
        <v>0</v>
      </c>
      <c r="O1762">
        <v>0</v>
      </c>
      <c r="P1762">
        <v>1</v>
      </c>
      <c r="Q1762">
        <v>0</v>
      </c>
      <c r="R1762">
        <v>0</v>
      </c>
    </row>
    <row r="1763" spans="1:18" x14ac:dyDescent="0.25">
      <c r="A1763" t="s">
        <v>9</v>
      </c>
      <c r="B1763" t="s">
        <v>6</v>
      </c>
      <c r="C1763">
        <v>2</v>
      </c>
      <c r="D1763">
        <v>2</v>
      </c>
      <c r="E1763">
        <v>1</v>
      </c>
      <c r="F1763" s="15">
        <v>45880</v>
      </c>
      <c r="G1763" t="s">
        <v>145</v>
      </c>
      <c r="H1763">
        <v>4</v>
      </c>
      <c r="I1763">
        <v>2025</v>
      </c>
      <c r="J1763">
        <v>8</v>
      </c>
      <c r="K1763" t="s">
        <v>87</v>
      </c>
      <c r="L1763" t="s">
        <v>40</v>
      </c>
      <c r="M1763" t="s">
        <v>8</v>
      </c>
      <c r="N1763" t="b">
        <v>0</v>
      </c>
      <c r="O1763">
        <v>0</v>
      </c>
      <c r="P1763">
        <v>1</v>
      </c>
      <c r="Q1763">
        <v>0</v>
      </c>
      <c r="R1763">
        <v>1</v>
      </c>
    </row>
    <row r="1764" spans="1:18" x14ac:dyDescent="0.25">
      <c r="A1764" t="s">
        <v>10</v>
      </c>
      <c r="B1764" t="s">
        <v>6</v>
      </c>
      <c r="C1764">
        <v>1</v>
      </c>
      <c r="D1764">
        <v>2</v>
      </c>
      <c r="E1764">
        <v>1</v>
      </c>
      <c r="F1764" s="15">
        <v>45957</v>
      </c>
      <c r="G1764" t="s">
        <v>155</v>
      </c>
      <c r="H1764">
        <v>4</v>
      </c>
      <c r="I1764">
        <v>2025</v>
      </c>
      <c r="J1764">
        <v>10</v>
      </c>
      <c r="K1764" t="s">
        <v>87</v>
      </c>
      <c r="L1764" t="s">
        <v>57</v>
      </c>
      <c r="M1764" t="s">
        <v>8</v>
      </c>
      <c r="N1764" t="b">
        <v>0</v>
      </c>
      <c r="O1764">
        <v>0</v>
      </c>
      <c r="P1764">
        <v>1</v>
      </c>
      <c r="Q1764">
        <v>0</v>
      </c>
      <c r="R1764">
        <v>1</v>
      </c>
    </row>
    <row r="1765" spans="1:18" x14ac:dyDescent="0.25">
      <c r="A1765" t="s">
        <v>10</v>
      </c>
      <c r="B1765" t="s">
        <v>6</v>
      </c>
      <c r="C1765">
        <v>1</v>
      </c>
      <c r="D1765">
        <v>2</v>
      </c>
      <c r="E1765">
        <v>1</v>
      </c>
      <c r="F1765" s="15">
        <v>45957</v>
      </c>
      <c r="G1765" t="s">
        <v>155</v>
      </c>
      <c r="H1765">
        <v>4</v>
      </c>
      <c r="I1765">
        <v>2025</v>
      </c>
      <c r="J1765">
        <v>10</v>
      </c>
      <c r="K1765" t="s">
        <v>87</v>
      </c>
      <c r="L1765" t="s">
        <v>12</v>
      </c>
      <c r="M1765" t="s">
        <v>6</v>
      </c>
      <c r="N1765" t="b">
        <v>0</v>
      </c>
      <c r="O1765">
        <v>0</v>
      </c>
      <c r="P1765">
        <v>1</v>
      </c>
      <c r="Q1765">
        <v>0</v>
      </c>
      <c r="R1765">
        <v>0</v>
      </c>
    </row>
    <row r="1766" spans="1:18" x14ac:dyDescent="0.25">
      <c r="A1766" t="s">
        <v>10</v>
      </c>
      <c r="B1766" t="s">
        <v>6</v>
      </c>
      <c r="C1766">
        <v>1</v>
      </c>
      <c r="D1766">
        <v>2</v>
      </c>
      <c r="E1766">
        <v>1</v>
      </c>
      <c r="F1766" s="15">
        <v>45957</v>
      </c>
      <c r="G1766" t="s">
        <v>155</v>
      </c>
      <c r="H1766">
        <v>4</v>
      </c>
      <c r="I1766">
        <v>2025</v>
      </c>
      <c r="J1766">
        <v>10</v>
      </c>
      <c r="K1766" t="s">
        <v>87</v>
      </c>
      <c r="L1766" t="s">
        <v>17</v>
      </c>
      <c r="M1766" t="s">
        <v>6</v>
      </c>
      <c r="N1766" t="b">
        <v>0</v>
      </c>
      <c r="O1766">
        <v>0</v>
      </c>
      <c r="P1766">
        <v>1</v>
      </c>
      <c r="Q1766">
        <v>0</v>
      </c>
      <c r="R1766">
        <v>0</v>
      </c>
    </row>
    <row r="1767" spans="1:18" x14ac:dyDescent="0.25">
      <c r="A1767" t="s">
        <v>57</v>
      </c>
      <c r="B1767" t="s">
        <v>8</v>
      </c>
      <c r="C1767">
        <v>2</v>
      </c>
      <c r="D1767">
        <v>2</v>
      </c>
      <c r="E1767">
        <v>1</v>
      </c>
      <c r="F1767" s="15">
        <v>45957</v>
      </c>
      <c r="G1767" t="s">
        <v>155</v>
      </c>
      <c r="H1767">
        <v>4</v>
      </c>
      <c r="I1767">
        <v>2025</v>
      </c>
      <c r="J1767">
        <v>10</v>
      </c>
      <c r="K1767" t="s">
        <v>87</v>
      </c>
      <c r="L1767" t="s">
        <v>10</v>
      </c>
      <c r="M1767" t="s">
        <v>6</v>
      </c>
      <c r="N1767" t="b">
        <v>0</v>
      </c>
      <c r="O1767">
        <v>1</v>
      </c>
      <c r="P1767">
        <v>0</v>
      </c>
      <c r="Q1767">
        <v>0</v>
      </c>
      <c r="R1767">
        <v>0</v>
      </c>
    </row>
    <row r="1768" spans="1:18" x14ac:dyDescent="0.25">
      <c r="A1768" t="s">
        <v>57</v>
      </c>
      <c r="B1768" t="s">
        <v>8</v>
      </c>
      <c r="C1768">
        <v>2</v>
      </c>
      <c r="D1768">
        <v>2</v>
      </c>
      <c r="E1768">
        <v>1</v>
      </c>
      <c r="F1768" s="15">
        <v>45957</v>
      </c>
      <c r="G1768" t="s">
        <v>155</v>
      </c>
      <c r="H1768">
        <v>4</v>
      </c>
      <c r="I1768">
        <v>2025</v>
      </c>
      <c r="J1768">
        <v>10</v>
      </c>
      <c r="K1768" t="s">
        <v>87</v>
      </c>
      <c r="L1768" t="s">
        <v>12</v>
      </c>
      <c r="M1768" t="s">
        <v>6</v>
      </c>
      <c r="N1768" t="b">
        <v>0</v>
      </c>
      <c r="O1768">
        <v>1</v>
      </c>
      <c r="P1768">
        <v>0</v>
      </c>
      <c r="Q1768">
        <v>0</v>
      </c>
      <c r="R1768">
        <v>0</v>
      </c>
    </row>
    <row r="1769" spans="1:18" x14ac:dyDescent="0.25">
      <c r="A1769" t="s">
        <v>57</v>
      </c>
      <c r="B1769" t="s">
        <v>8</v>
      </c>
      <c r="C1769">
        <v>2</v>
      </c>
      <c r="D1769">
        <v>2</v>
      </c>
      <c r="E1769">
        <v>1</v>
      </c>
      <c r="F1769" s="15">
        <v>45957</v>
      </c>
      <c r="G1769" t="s">
        <v>155</v>
      </c>
      <c r="H1769">
        <v>4</v>
      </c>
      <c r="I1769">
        <v>2025</v>
      </c>
      <c r="J1769">
        <v>10</v>
      </c>
      <c r="K1769" t="s">
        <v>87</v>
      </c>
      <c r="L1769" t="s">
        <v>17</v>
      </c>
      <c r="M1769" t="s">
        <v>6</v>
      </c>
      <c r="N1769" t="b">
        <v>0</v>
      </c>
      <c r="O1769">
        <v>1</v>
      </c>
      <c r="P1769">
        <v>0</v>
      </c>
      <c r="Q1769">
        <v>0</v>
      </c>
      <c r="R1769">
        <v>0</v>
      </c>
    </row>
    <row r="1770" spans="1:18" x14ac:dyDescent="0.25">
      <c r="A1770" t="s">
        <v>12</v>
      </c>
      <c r="B1770" t="s">
        <v>6</v>
      </c>
      <c r="C1770">
        <v>4</v>
      </c>
      <c r="D1770">
        <v>2</v>
      </c>
      <c r="E1770">
        <v>1</v>
      </c>
      <c r="F1770" s="15">
        <v>45957</v>
      </c>
      <c r="G1770" t="s">
        <v>155</v>
      </c>
      <c r="H1770">
        <v>4</v>
      </c>
      <c r="I1770">
        <v>2025</v>
      </c>
      <c r="J1770">
        <v>10</v>
      </c>
      <c r="K1770" t="s">
        <v>87</v>
      </c>
      <c r="L1770" t="s">
        <v>10</v>
      </c>
      <c r="M1770" t="s">
        <v>6</v>
      </c>
      <c r="N1770" t="b">
        <v>0</v>
      </c>
      <c r="O1770">
        <v>0</v>
      </c>
      <c r="P1770">
        <v>1</v>
      </c>
      <c r="Q1770">
        <v>0</v>
      </c>
      <c r="R1770">
        <v>0</v>
      </c>
    </row>
    <row r="1771" spans="1:18" x14ac:dyDescent="0.25">
      <c r="A1771" t="s">
        <v>12</v>
      </c>
      <c r="B1771" t="s">
        <v>6</v>
      </c>
      <c r="C1771">
        <v>4</v>
      </c>
      <c r="D1771">
        <v>2</v>
      </c>
      <c r="E1771">
        <v>1</v>
      </c>
      <c r="F1771" s="15">
        <v>45957</v>
      </c>
      <c r="G1771" t="s">
        <v>155</v>
      </c>
      <c r="H1771">
        <v>4</v>
      </c>
      <c r="I1771">
        <v>2025</v>
      </c>
      <c r="J1771">
        <v>10</v>
      </c>
      <c r="K1771" t="s">
        <v>87</v>
      </c>
      <c r="L1771" t="s">
        <v>57</v>
      </c>
      <c r="M1771" t="s">
        <v>8</v>
      </c>
      <c r="N1771" t="b">
        <v>0</v>
      </c>
      <c r="O1771">
        <v>0</v>
      </c>
      <c r="P1771">
        <v>1</v>
      </c>
      <c r="Q1771">
        <v>0</v>
      </c>
      <c r="R1771">
        <v>1</v>
      </c>
    </row>
    <row r="1772" spans="1:18" x14ac:dyDescent="0.25">
      <c r="A1772" t="s">
        <v>12</v>
      </c>
      <c r="B1772" t="s">
        <v>6</v>
      </c>
      <c r="C1772">
        <v>4</v>
      </c>
      <c r="D1772">
        <v>2</v>
      </c>
      <c r="E1772">
        <v>1</v>
      </c>
      <c r="F1772" s="15">
        <v>45957</v>
      </c>
      <c r="G1772" t="s">
        <v>155</v>
      </c>
      <c r="H1772">
        <v>4</v>
      </c>
      <c r="I1772">
        <v>2025</v>
      </c>
      <c r="J1772">
        <v>10</v>
      </c>
      <c r="K1772" t="s">
        <v>87</v>
      </c>
      <c r="L1772" t="s">
        <v>17</v>
      </c>
      <c r="M1772" t="s">
        <v>6</v>
      </c>
      <c r="N1772" t="b">
        <v>0</v>
      </c>
      <c r="O1772">
        <v>0</v>
      </c>
      <c r="P1772">
        <v>1</v>
      </c>
      <c r="Q1772">
        <v>0</v>
      </c>
      <c r="R1772">
        <v>0</v>
      </c>
    </row>
    <row r="1773" spans="1:18" x14ac:dyDescent="0.25">
      <c r="A1773" t="s">
        <v>17</v>
      </c>
      <c r="B1773" t="s">
        <v>6</v>
      </c>
      <c r="C1773">
        <v>3</v>
      </c>
      <c r="D1773">
        <v>2</v>
      </c>
      <c r="E1773">
        <v>1</v>
      </c>
      <c r="F1773" s="15">
        <v>45957</v>
      </c>
      <c r="G1773" t="s">
        <v>155</v>
      </c>
      <c r="H1773">
        <v>4</v>
      </c>
      <c r="I1773">
        <v>2025</v>
      </c>
      <c r="J1773">
        <v>10</v>
      </c>
      <c r="K1773" t="s">
        <v>87</v>
      </c>
      <c r="L1773" t="s">
        <v>10</v>
      </c>
      <c r="M1773" t="s">
        <v>6</v>
      </c>
      <c r="N1773" t="b">
        <v>0</v>
      </c>
      <c r="O1773">
        <v>0</v>
      </c>
      <c r="P1773">
        <v>1</v>
      </c>
      <c r="Q1773">
        <v>0</v>
      </c>
      <c r="R1773">
        <v>0</v>
      </c>
    </row>
    <row r="1774" spans="1:18" x14ac:dyDescent="0.25">
      <c r="A1774" t="s">
        <v>17</v>
      </c>
      <c r="B1774" t="s">
        <v>6</v>
      </c>
      <c r="C1774">
        <v>3</v>
      </c>
      <c r="D1774">
        <v>2</v>
      </c>
      <c r="E1774">
        <v>1</v>
      </c>
      <c r="F1774" s="15">
        <v>45957</v>
      </c>
      <c r="G1774" t="s">
        <v>155</v>
      </c>
      <c r="H1774">
        <v>4</v>
      </c>
      <c r="I1774">
        <v>2025</v>
      </c>
      <c r="J1774">
        <v>10</v>
      </c>
      <c r="K1774" t="s">
        <v>87</v>
      </c>
      <c r="L1774" t="s">
        <v>57</v>
      </c>
      <c r="M1774" t="s">
        <v>8</v>
      </c>
      <c r="N1774" t="b">
        <v>0</v>
      </c>
      <c r="O1774">
        <v>0</v>
      </c>
      <c r="P1774">
        <v>1</v>
      </c>
      <c r="Q1774">
        <v>0</v>
      </c>
      <c r="R1774">
        <v>1</v>
      </c>
    </row>
    <row r="1775" spans="1:18" x14ac:dyDescent="0.25">
      <c r="A1775" t="s">
        <v>17</v>
      </c>
      <c r="B1775" t="s">
        <v>6</v>
      </c>
      <c r="C1775">
        <v>3</v>
      </c>
      <c r="D1775">
        <v>2</v>
      </c>
      <c r="E1775">
        <v>1</v>
      </c>
      <c r="F1775" s="15">
        <v>45957</v>
      </c>
      <c r="G1775" t="s">
        <v>155</v>
      </c>
      <c r="H1775">
        <v>4</v>
      </c>
      <c r="I1775">
        <v>2025</v>
      </c>
      <c r="J1775">
        <v>10</v>
      </c>
      <c r="K1775" t="s">
        <v>87</v>
      </c>
      <c r="L1775" t="s">
        <v>12</v>
      </c>
      <c r="M1775" t="s">
        <v>6</v>
      </c>
      <c r="N1775" t="b">
        <v>0</v>
      </c>
      <c r="O1775">
        <v>0</v>
      </c>
      <c r="P1775">
        <v>1</v>
      </c>
      <c r="Q1775">
        <v>0</v>
      </c>
      <c r="R1775">
        <v>0</v>
      </c>
    </row>
    <row r="1776" spans="1:18" x14ac:dyDescent="0.25">
      <c r="A1776" t="s">
        <v>10</v>
      </c>
      <c r="B1776" t="s">
        <v>6</v>
      </c>
      <c r="C1776">
        <v>3</v>
      </c>
      <c r="D1776">
        <v>2</v>
      </c>
      <c r="E1776">
        <v>1</v>
      </c>
      <c r="F1776" s="15">
        <v>45971</v>
      </c>
      <c r="G1776" t="s">
        <v>157</v>
      </c>
      <c r="H1776">
        <v>4</v>
      </c>
      <c r="I1776">
        <v>2025</v>
      </c>
      <c r="J1776">
        <v>11</v>
      </c>
      <c r="K1776" t="s">
        <v>87</v>
      </c>
      <c r="L1776" t="s">
        <v>27</v>
      </c>
      <c r="M1776" t="s">
        <v>8</v>
      </c>
      <c r="N1776" t="b">
        <v>0</v>
      </c>
      <c r="O1776">
        <v>0</v>
      </c>
      <c r="P1776">
        <v>1</v>
      </c>
      <c r="Q1776">
        <v>0</v>
      </c>
      <c r="R1776">
        <v>1</v>
      </c>
    </row>
    <row r="1777" spans="1:18" x14ac:dyDescent="0.25">
      <c r="A1777" t="s">
        <v>10</v>
      </c>
      <c r="B1777" t="s">
        <v>6</v>
      </c>
      <c r="C1777">
        <v>3</v>
      </c>
      <c r="D1777">
        <v>2</v>
      </c>
      <c r="E1777">
        <v>1</v>
      </c>
      <c r="F1777" s="15">
        <v>45971</v>
      </c>
      <c r="G1777" t="s">
        <v>157</v>
      </c>
      <c r="H1777">
        <v>4</v>
      </c>
      <c r="I1777">
        <v>2025</v>
      </c>
      <c r="J1777">
        <v>11</v>
      </c>
      <c r="K1777" t="s">
        <v>87</v>
      </c>
      <c r="L1777" t="s">
        <v>16</v>
      </c>
      <c r="M1777" t="s">
        <v>6</v>
      </c>
      <c r="N1777" t="b">
        <v>0</v>
      </c>
      <c r="O1777">
        <v>0</v>
      </c>
      <c r="P1777">
        <v>1</v>
      </c>
      <c r="Q1777">
        <v>0</v>
      </c>
      <c r="R1777">
        <v>0</v>
      </c>
    </row>
    <row r="1778" spans="1:18" x14ac:dyDescent="0.25">
      <c r="A1778" t="s">
        <v>10</v>
      </c>
      <c r="B1778" t="s">
        <v>6</v>
      </c>
      <c r="C1778">
        <v>3</v>
      </c>
      <c r="D1778">
        <v>2</v>
      </c>
      <c r="E1778">
        <v>1</v>
      </c>
      <c r="F1778" s="15">
        <v>45971</v>
      </c>
      <c r="G1778" t="s">
        <v>157</v>
      </c>
      <c r="H1778">
        <v>4</v>
      </c>
      <c r="I1778">
        <v>2025</v>
      </c>
      <c r="J1778">
        <v>11</v>
      </c>
      <c r="K1778" t="s">
        <v>87</v>
      </c>
      <c r="L1778" t="s">
        <v>18</v>
      </c>
      <c r="M1778" t="s">
        <v>6</v>
      </c>
      <c r="N1778" t="b">
        <v>0</v>
      </c>
      <c r="O1778">
        <v>0</v>
      </c>
      <c r="P1778">
        <v>1</v>
      </c>
      <c r="Q1778">
        <v>0</v>
      </c>
      <c r="R1778">
        <v>0</v>
      </c>
    </row>
    <row r="1779" spans="1:18" x14ac:dyDescent="0.25">
      <c r="A1779" t="s">
        <v>27</v>
      </c>
      <c r="B1779" t="s">
        <v>8</v>
      </c>
      <c r="C1779">
        <v>2</v>
      </c>
      <c r="D1779">
        <v>2</v>
      </c>
      <c r="E1779">
        <v>1</v>
      </c>
      <c r="F1779" s="15">
        <v>45971</v>
      </c>
      <c r="G1779" t="s">
        <v>157</v>
      </c>
      <c r="H1779">
        <v>4</v>
      </c>
      <c r="I1779">
        <v>2025</v>
      </c>
      <c r="J1779">
        <v>11</v>
      </c>
      <c r="K1779" t="s">
        <v>87</v>
      </c>
      <c r="L1779" t="s">
        <v>10</v>
      </c>
      <c r="M1779" t="s">
        <v>6</v>
      </c>
      <c r="N1779" t="b">
        <v>0</v>
      </c>
      <c r="O1779">
        <v>1</v>
      </c>
      <c r="P1779">
        <v>0</v>
      </c>
      <c r="Q1779">
        <v>0</v>
      </c>
      <c r="R1779">
        <v>0</v>
      </c>
    </row>
    <row r="1780" spans="1:18" x14ac:dyDescent="0.25">
      <c r="A1780" t="s">
        <v>27</v>
      </c>
      <c r="B1780" t="s">
        <v>8</v>
      </c>
      <c r="C1780">
        <v>2</v>
      </c>
      <c r="D1780">
        <v>2</v>
      </c>
      <c r="E1780">
        <v>1</v>
      </c>
      <c r="F1780" s="15">
        <v>45971</v>
      </c>
      <c r="G1780" t="s">
        <v>157</v>
      </c>
      <c r="H1780">
        <v>4</v>
      </c>
      <c r="I1780">
        <v>2025</v>
      </c>
      <c r="J1780">
        <v>11</v>
      </c>
      <c r="K1780" t="s">
        <v>87</v>
      </c>
      <c r="L1780" t="s">
        <v>16</v>
      </c>
      <c r="M1780" t="s">
        <v>6</v>
      </c>
      <c r="N1780" t="b">
        <v>0</v>
      </c>
      <c r="O1780">
        <v>1</v>
      </c>
      <c r="P1780">
        <v>0</v>
      </c>
      <c r="Q1780">
        <v>0</v>
      </c>
      <c r="R1780">
        <v>0</v>
      </c>
    </row>
    <row r="1781" spans="1:18" x14ac:dyDescent="0.25">
      <c r="A1781" t="s">
        <v>27</v>
      </c>
      <c r="B1781" t="s">
        <v>8</v>
      </c>
      <c r="C1781">
        <v>2</v>
      </c>
      <c r="D1781">
        <v>2</v>
      </c>
      <c r="E1781">
        <v>1</v>
      </c>
      <c r="F1781" s="15">
        <v>45971</v>
      </c>
      <c r="G1781" t="s">
        <v>157</v>
      </c>
      <c r="H1781">
        <v>4</v>
      </c>
      <c r="I1781">
        <v>2025</v>
      </c>
      <c r="J1781">
        <v>11</v>
      </c>
      <c r="K1781" t="s">
        <v>87</v>
      </c>
      <c r="L1781" t="s">
        <v>18</v>
      </c>
      <c r="M1781" t="s">
        <v>6</v>
      </c>
      <c r="N1781" t="b">
        <v>0</v>
      </c>
      <c r="O1781">
        <v>1</v>
      </c>
      <c r="P1781">
        <v>0</v>
      </c>
      <c r="Q1781">
        <v>0</v>
      </c>
      <c r="R1781">
        <v>0</v>
      </c>
    </row>
    <row r="1782" spans="1:18" x14ac:dyDescent="0.25">
      <c r="A1782" t="s">
        <v>16</v>
      </c>
      <c r="B1782" t="s">
        <v>6</v>
      </c>
      <c r="C1782">
        <v>1</v>
      </c>
      <c r="D1782">
        <v>2</v>
      </c>
      <c r="E1782">
        <v>1</v>
      </c>
      <c r="F1782" s="15">
        <v>45971</v>
      </c>
      <c r="G1782" t="s">
        <v>157</v>
      </c>
      <c r="H1782">
        <v>4</v>
      </c>
      <c r="I1782">
        <v>2025</v>
      </c>
      <c r="J1782">
        <v>11</v>
      </c>
      <c r="K1782" t="s">
        <v>87</v>
      </c>
      <c r="L1782" t="s">
        <v>10</v>
      </c>
      <c r="M1782" t="s">
        <v>6</v>
      </c>
      <c r="N1782" t="b">
        <v>0</v>
      </c>
      <c r="O1782">
        <v>0</v>
      </c>
      <c r="P1782">
        <v>1</v>
      </c>
      <c r="Q1782">
        <v>0</v>
      </c>
      <c r="R1782">
        <v>0</v>
      </c>
    </row>
    <row r="1783" spans="1:18" x14ac:dyDescent="0.25">
      <c r="A1783" t="s">
        <v>16</v>
      </c>
      <c r="B1783" t="s">
        <v>6</v>
      </c>
      <c r="C1783">
        <v>1</v>
      </c>
      <c r="D1783">
        <v>2</v>
      </c>
      <c r="E1783">
        <v>1</v>
      </c>
      <c r="F1783" s="15">
        <v>45971</v>
      </c>
      <c r="G1783" t="s">
        <v>157</v>
      </c>
      <c r="H1783">
        <v>4</v>
      </c>
      <c r="I1783">
        <v>2025</v>
      </c>
      <c r="J1783">
        <v>11</v>
      </c>
      <c r="K1783" t="s">
        <v>87</v>
      </c>
      <c r="L1783" t="s">
        <v>27</v>
      </c>
      <c r="M1783" t="s">
        <v>8</v>
      </c>
      <c r="N1783" t="b">
        <v>0</v>
      </c>
      <c r="O1783">
        <v>0</v>
      </c>
      <c r="P1783">
        <v>1</v>
      </c>
      <c r="Q1783">
        <v>0</v>
      </c>
      <c r="R1783">
        <v>1</v>
      </c>
    </row>
    <row r="1784" spans="1:18" x14ac:dyDescent="0.25">
      <c r="A1784" t="s">
        <v>16</v>
      </c>
      <c r="B1784" t="s">
        <v>6</v>
      </c>
      <c r="C1784">
        <v>1</v>
      </c>
      <c r="D1784">
        <v>2</v>
      </c>
      <c r="E1784">
        <v>1</v>
      </c>
      <c r="F1784" s="15">
        <v>45971</v>
      </c>
      <c r="G1784" t="s">
        <v>157</v>
      </c>
      <c r="H1784">
        <v>4</v>
      </c>
      <c r="I1784">
        <v>2025</v>
      </c>
      <c r="J1784">
        <v>11</v>
      </c>
      <c r="K1784" t="s">
        <v>87</v>
      </c>
      <c r="L1784" t="s">
        <v>18</v>
      </c>
      <c r="M1784" t="s">
        <v>6</v>
      </c>
      <c r="N1784" t="b">
        <v>0</v>
      </c>
      <c r="O1784">
        <v>0</v>
      </c>
      <c r="P1784">
        <v>1</v>
      </c>
      <c r="Q1784">
        <v>0</v>
      </c>
      <c r="R1784">
        <v>0</v>
      </c>
    </row>
    <row r="1785" spans="1:18" x14ac:dyDescent="0.25">
      <c r="A1785" t="s">
        <v>18</v>
      </c>
      <c r="B1785" t="s">
        <v>6</v>
      </c>
      <c r="C1785">
        <v>4</v>
      </c>
      <c r="D1785">
        <v>2</v>
      </c>
      <c r="E1785">
        <v>1</v>
      </c>
      <c r="F1785" s="15">
        <v>45971</v>
      </c>
      <c r="G1785" t="s">
        <v>157</v>
      </c>
      <c r="H1785">
        <v>4</v>
      </c>
      <c r="I1785">
        <v>2025</v>
      </c>
      <c r="J1785">
        <v>11</v>
      </c>
      <c r="K1785" t="s">
        <v>87</v>
      </c>
      <c r="L1785" t="s">
        <v>10</v>
      </c>
      <c r="M1785" t="s">
        <v>6</v>
      </c>
      <c r="N1785" t="b">
        <v>0</v>
      </c>
      <c r="O1785">
        <v>0</v>
      </c>
      <c r="P1785">
        <v>1</v>
      </c>
      <c r="Q1785">
        <v>0</v>
      </c>
      <c r="R1785">
        <v>0</v>
      </c>
    </row>
    <row r="1786" spans="1:18" x14ac:dyDescent="0.25">
      <c r="A1786" t="s">
        <v>18</v>
      </c>
      <c r="B1786" t="s">
        <v>6</v>
      </c>
      <c r="C1786">
        <v>4</v>
      </c>
      <c r="D1786">
        <v>2</v>
      </c>
      <c r="E1786">
        <v>1</v>
      </c>
      <c r="F1786" s="15">
        <v>45971</v>
      </c>
      <c r="G1786" t="s">
        <v>157</v>
      </c>
      <c r="H1786">
        <v>4</v>
      </c>
      <c r="I1786">
        <v>2025</v>
      </c>
      <c r="J1786">
        <v>11</v>
      </c>
      <c r="K1786" t="s">
        <v>87</v>
      </c>
      <c r="L1786" t="s">
        <v>27</v>
      </c>
      <c r="M1786" t="s">
        <v>8</v>
      </c>
      <c r="N1786" t="b">
        <v>0</v>
      </c>
      <c r="O1786">
        <v>0</v>
      </c>
      <c r="P1786">
        <v>1</v>
      </c>
      <c r="Q1786">
        <v>0</v>
      </c>
      <c r="R1786">
        <v>1</v>
      </c>
    </row>
    <row r="1787" spans="1:18" x14ac:dyDescent="0.25">
      <c r="A1787" t="s">
        <v>18</v>
      </c>
      <c r="B1787" t="s">
        <v>6</v>
      </c>
      <c r="C1787">
        <v>4</v>
      </c>
      <c r="D1787">
        <v>2</v>
      </c>
      <c r="E1787">
        <v>1</v>
      </c>
      <c r="F1787" s="15">
        <v>45971</v>
      </c>
      <c r="G1787" t="s">
        <v>157</v>
      </c>
      <c r="H1787">
        <v>4</v>
      </c>
      <c r="I1787">
        <v>2025</v>
      </c>
      <c r="J1787">
        <v>11</v>
      </c>
      <c r="K1787" t="s">
        <v>87</v>
      </c>
      <c r="L1787" t="s">
        <v>16</v>
      </c>
      <c r="M1787" t="s">
        <v>6</v>
      </c>
      <c r="N1787" t="b">
        <v>0</v>
      </c>
      <c r="O1787">
        <v>0</v>
      </c>
      <c r="P1787">
        <v>1</v>
      </c>
      <c r="Q1787">
        <v>0</v>
      </c>
      <c r="R1787">
        <v>0</v>
      </c>
    </row>
    <row r="1788" spans="1:18" x14ac:dyDescent="0.25">
      <c r="A1788" t="s">
        <v>10</v>
      </c>
      <c r="B1788" t="s">
        <v>8</v>
      </c>
      <c r="C1788">
        <v>2</v>
      </c>
      <c r="D1788">
        <v>2</v>
      </c>
      <c r="E1788">
        <v>2</v>
      </c>
      <c r="F1788" s="15">
        <v>45873</v>
      </c>
      <c r="G1788" t="s">
        <v>168</v>
      </c>
      <c r="H1788">
        <v>4</v>
      </c>
      <c r="I1788">
        <v>2025</v>
      </c>
      <c r="J1788">
        <v>8</v>
      </c>
      <c r="K1788" t="s">
        <v>87</v>
      </c>
      <c r="L1788" t="s">
        <v>41</v>
      </c>
      <c r="M1788" t="s">
        <v>6</v>
      </c>
      <c r="N1788" t="b">
        <v>0</v>
      </c>
      <c r="O1788">
        <v>1</v>
      </c>
      <c r="P1788">
        <v>0</v>
      </c>
      <c r="Q1788">
        <v>0</v>
      </c>
      <c r="R1788">
        <v>0</v>
      </c>
    </row>
    <row r="1789" spans="1:18" x14ac:dyDescent="0.25">
      <c r="A1789" t="s">
        <v>10</v>
      </c>
      <c r="B1789" t="s">
        <v>8</v>
      </c>
      <c r="C1789">
        <v>2</v>
      </c>
      <c r="D1789">
        <v>2</v>
      </c>
      <c r="E1789">
        <v>2</v>
      </c>
      <c r="F1789" s="15">
        <v>45873</v>
      </c>
      <c r="G1789" t="s">
        <v>168</v>
      </c>
      <c r="H1789">
        <v>4</v>
      </c>
      <c r="I1789">
        <v>2025</v>
      </c>
      <c r="J1789">
        <v>8</v>
      </c>
      <c r="K1789" t="s">
        <v>87</v>
      </c>
      <c r="L1789" t="s">
        <v>44</v>
      </c>
      <c r="M1789" t="s">
        <v>6</v>
      </c>
      <c r="N1789" t="b">
        <v>0</v>
      </c>
      <c r="O1789">
        <v>1</v>
      </c>
      <c r="P1789">
        <v>0</v>
      </c>
      <c r="Q1789">
        <v>0</v>
      </c>
      <c r="R1789">
        <v>0</v>
      </c>
    </row>
    <row r="1790" spans="1:18" x14ac:dyDescent="0.25">
      <c r="A1790" t="s">
        <v>10</v>
      </c>
      <c r="B1790" t="s">
        <v>8</v>
      </c>
      <c r="C1790">
        <v>2</v>
      </c>
      <c r="D1790">
        <v>2</v>
      </c>
      <c r="E1790">
        <v>2</v>
      </c>
      <c r="F1790" s="15">
        <v>45873</v>
      </c>
      <c r="G1790" t="s">
        <v>168</v>
      </c>
      <c r="H1790">
        <v>4</v>
      </c>
      <c r="I1790">
        <v>2025</v>
      </c>
      <c r="J1790">
        <v>8</v>
      </c>
      <c r="K1790" t="s">
        <v>87</v>
      </c>
      <c r="L1790" t="s">
        <v>17</v>
      </c>
      <c r="M1790" t="s">
        <v>6</v>
      </c>
      <c r="N1790" t="b">
        <v>0</v>
      </c>
      <c r="O1790">
        <v>1</v>
      </c>
      <c r="P1790">
        <v>0</v>
      </c>
      <c r="Q1790">
        <v>0</v>
      </c>
      <c r="R1790">
        <v>0</v>
      </c>
    </row>
    <row r="1791" spans="1:18" x14ac:dyDescent="0.25">
      <c r="A1791" t="s">
        <v>41</v>
      </c>
      <c r="B1791" t="s">
        <v>6</v>
      </c>
      <c r="C1791">
        <v>3</v>
      </c>
      <c r="D1791">
        <v>2</v>
      </c>
      <c r="E1791">
        <v>2</v>
      </c>
      <c r="F1791" s="15">
        <v>45873</v>
      </c>
      <c r="G1791" t="s">
        <v>168</v>
      </c>
      <c r="H1791">
        <v>4</v>
      </c>
      <c r="I1791">
        <v>2025</v>
      </c>
      <c r="J1791">
        <v>8</v>
      </c>
      <c r="K1791" t="s">
        <v>87</v>
      </c>
      <c r="L1791" t="s">
        <v>10</v>
      </c>
      <c r="M1791" t="s">
        <v>8</v>
      </c>
      <c r="N1791" t="b">
        <v>0</v>
      </c>
      <c r="O1791">
        <v>0</v>
      </c>
      <c r="P1791">
        <v>1</v>
      </c>
      <c r="Q1791">
        <v>0</v>
      </c>
      <c r="R1791">
        <v>1</v>
      </c>
    </row>
    <row r="1792" spans="1:18" x14ac:dyDescent="0.25">
      <c r="A1792" t="s">
        <v>41</v>
      </c>
      <c r="B1792" t="s">
        <v>6</v>
      </c>
      <c r="C1792">
        <v>3</v>
      </c>
      <c r="D1792">
        <v>2</v>
      </c>
      <c r="E1792">
        <v>2</v>
      </c>
      <c r="F1792" s="15">
        <v>45873</v>
      </c>
      <c r="G1792" t="s">
        <v>168</v>
      </c>
      <c r="H1792">
        <v>4</v>
      </c>
      <c r="I1792">
        <v>2025</v>
      </c>
      <c r="J1792">
        <v>8</v>
      </c>
      <c r="K1792" t="s">
        <v>87</v>
      </c>
      <c r="L1792" t="s">
        <v>44</v>
      </c>
      <c r="M1792" t="s">
        <v>6</v>
      </c>
      <c r="N1792" t="b">
        <v>0</v>
      </c>
      <c r="O1792">
        <v>0</v>
      </c>
      <c r="P1792">
        <v>1</v>
      </c>
      <c r="Q1792">
        <v>0</v>
      </c>
      <c r="R1792">
        <v>0</v>
      </c>
    </row>
    <row r="1793" spans="1:18" x14ac:dyDescent="0.25">
      <c r="A1793" t="s">
        <v>41</v>
      </c>
      <c r="B1793" t="s">
        <v>6</v>
      </c>
      <c r="C1793">
        <v>3</v>
      </c>
      <c r="D1793">
        <v>2</v>
      </c>
      <c r="E1793">
        <v>2</v>
      </c>
      <c r="F1793" s="15">
        <v>45873</v>
      </c>
      <c r="G1793" t="s">
        <v>168</v>
      </c>
      <c r="H1793">
        <v>4</v>
      </c>
      <c r="I1793">
        <v>2025</v>
      </c>
      <c r="J1793">
        <v>8</v>
      </c>
      <c r="K1793" t="s">
        <v>87</v>
      </c>
      <c r="L1793" t="s">
        <v>17</v>
      </c>
      <c r="M1793" t="s">
        <v>6</v>
      </c>
      <c r="N1793" t="b">
        <v>0</v>
      </c>
      <c r="O1793">
        <v>0</v>
      </c>
      <c r="P1793">
        <v>1</v>
      </c>
      <c r="Q1793">
        <v>0</v>
      </c>
      <c r="R1793">
        <v>0</v>
      </c>
    </row>
    <row r="1794" spans="1:18" x14ac:dyDescent="0.25">
      <c r="A1794" t="s">
        <v>44</v>
      </c>
      <c r="B1794" t="s">
        <v>6</v>
      </c>
      <c r="C1794">
        <v>1</v>
      </c>
      <c r="D1794">
        <v>2</v>
      </c>
      <c r="E1794">
        <v>2</v>
      </c>
      <c r="F1794" s="15">
        <v>45873</v>
      </c>
      <c r="G1794" t="s">
        <v>168</v>
      </c>
      <c r="H1794">
        <v>4</v>
      </c>
      <c r="I1794">
        <v>2025</v>
      </c>
      <c r="J1794">
        <v>8</v>
      </c>
      <c r="K1794" t="s">
        <v>87</v>
      </c>
      <c r="L1794" t="s">
        <v>10</v>
      </c>
      <c r="M1794" t="s">
        <v>8</v>
      </c>
      <c r="N1794" t="b">
        <v>0</v>
      </c>
      <c r="O1794">
        <v>0</v>
      </c>
      <c r="P1794">
        <v>1</v>
      </c>
      <c r="Q1794">
        <v>0</v>
      </c>
      <c r="R1794">
        <v>1</v>
      </c>
    </row>
    <row r="1795" spans="1:18" x14ac:dyDescent="0.25">
      <c r="A1795" t="s">
        <v>44</v>
      </c>
      <c r="B1795" t="s">
        <v>6</v>
      </c>
      <c r="C1795">
        <v>1</v>
      </c>
      <c r="D1795">
        <v>2</v>
      </c>
      <c r="E1795">
        <v>2</v>
      </c>
      <c r="F1795" s="15">
        <v>45873</v>
      </c>
      <c r="G1795" t="s">
        <v>168</v>
      </c>
      <c r="H1795">
        <v>4</v>
      </c>
      <c r="I1795">
        <v>2025</v>
      </c>
      <c r="J1795">
        <v>8</v>
      </c>
      <c r="K1795" t="s">
        <v>87</v>
      </c>
      <c r="L1795" t="s">
        <v>41</v>
      </c>
      <c r="M1795" t="s">
        <v>6</v>
      </c>
      <c r="N1795" t="b">
        <v>0</v>
      </c>
      <c r="O1795">
        <v>0</v>
      </c>
      <c r="P1795">
        <v>1</v>
      </c>
      <c r="Q1795">
        <v>0</v>
      </c>
      <c r="R1795">
        <v>0</v>
      </c>
    </row>
    <row r="1796" spans="1:18" x14ac:dyDescent="0.25">
      <c r="A1796" t="s">
        <v>44</v>
      </c>
      <c r="B1796" t="s">
        <v>6</v>
      </c>
      <c r="C1796">
        <v>1</v>
      </c>
      <c r="D1796">
        <v>2</v>
      </c>
      <c r="E1796">
        <v>2</v>
      </c>
      <c r="F1796" s="15">
        <v>45873</v>
      </c>
      <c r="G1796" t="s">
        <v>168</v>
      </c>
      <c r="H1796">
        <v>4</v>
      </c>
      <c r="I1796">
        <v>2025</v>
      </c>
      <c r="J1796">
        <v>8</v>
      </c>
      <c r="K1796" t="s">
        <v>87</v>
      </c>
      <c r="L1796" t="s">
        <v>17</v>
      </c>
      <c r="M1796" t="s">
        <v>6</v>
      </c>
      <c r="N1796" t="b">
        <v>0</v>
      </c>
      <c r="O1796">
        <v>0</v>
      </c>
      <c r="P1796">
        <v>1</v>
      </c>
      <c r="Q1796">
        <v>0</v>
      </c>
      <c r="R1796">
        <v>0</v>
      </c>
    </row>
    <row r="1797" spans="1:18" x14ac:dyDescent="0.25">
      <c r="A1797" t="s">
        <v>17</v>
      </c>
      <c r="B1797" t="s">
        <v>6</v>
      </c>
      <c r="C1797">
        <v>4</v>
      </c>
      <c r="D1797">
        <v>2</v>
      </c>
      <c r="E1797">
        <v>2</v>
      </c>
      <c r="F1797" s="15">
        <v>45873</v>
      </c>
      <c r="G1797" t="s">
        <v>168</v>
      </c>
      <c r="H1797">
        <v>4</v>
      </c>
      <c r="I1797">
        <v>2025</v>
      </c>
      <c r="J1797">
        <v>8</v>
      </c>
      <c r="K1797" t="s">
        <v>87</v>
      </c>
      <c r="L1797" t="s">
        <v>10</v>
      </c>
      <c r="M1797" t="s">
        <v>8</v>
      </c>
      <c r="N1797" t="b">
        <v>0</v>
      </c>
      <c r="O1797">
        <v>0</v>
      </c>
      <c r="P1797">
        <v>1</v>
      </c>
      <c r="Q1797">
        <v>0</v>
      </c>
      <c r="R1797">
        <v>1</v>
      </c>
    </row>
    <row r="1798" spans="1:18" x14ac:dyDescent="0.25">
      <c r="A1798" t="s">
        <v>17</v>
      </c>
      <c r="B1798" t="s">
        <v>6</v>
      </c>
      <c r="C1798">
        <v>4</v>
      </c>
      <c r="D1798">
        <v>2</v>
      </c>
      <c r="E1798">
        <v>2</v>
      </c>
      <c r="F1798" s="15">
        <v>45873</v>
      </c>
      <c r="G1798" t="s">
        <v>168</v>
      </c>
      <c r="H1798">
        <v>4</v>
      </c>
      <c r="I1798">
        <v>2025</v>
      </c>
      <c r="J1798">
        <v>8</v>
      </c>
      <c r="K1798" t="s">
        <v>87</v>
      </c>
      <c r="L1798" t="s">
        <v>41</v>
      </c>
      <c r="M1798" t="s">
        <v>6</v>
      </c>
      <c r="N1798" t="b">
        <v>0</v>
      </c>
      <c r="O1798">
        <v>0</v>
      </c>
      <c r="P1798">
        <v>1</v>
      </c>
      <c r="Q1798">
        <v>0</v>
      </c>
      <c r="R1798">
        <v>0</v>
      </c>
    </row>
    <row r="1799" spans="1:18" x14ac:dyDescent="0.25">
      <c r="A1799" t="s">
        <v>17</v>
      </c>
      <c r="B1799" t="s">
        <v>6</v>
      </c>
      <c r="C1799">
        <v>4</v>
      </c>
      <c r="D1799">
        <v>2</v>
      </c>
      <c r="E1799">
        <v>2</v>
      </c>
      <c r="F1799" s="15">
        <v>45873</v>
      </c>
      <c r="G1799" t="s">
        <v>168</v>
      </c>
      <c r="H1799">
        <v>4</v>
      </c>
      <c r="I1799">
        <v>2025</v>
      </c>
      <c r="J1799">
        <v>8</v>
      </c>
      <c r="K1799" t="s">
        <v>87</v>
      </c>
      <c r="L1799" t="s">
        <v>44</v>
      </c>
      <c r="M1799" t="s">
        <v>6</v>
      </c>
      <c r="N1799" t="b">
        <v>0</v>
      </c>
      <c r="O1799">
        <v>0</v>
      </c>
      <c r="P1799">
        <v>1</v>
      </c>
      <c r="Q1799">
        <v>0</v>
      </c>
      <c r="R1799">
        <v>0</v>
      </c>
    </row>
    <row r="1800" spans="1:18" x14ac:dyDescent="0.25">
      <c r="A1800" t="s">
        <v>10</v>
      </c>
      <c r="B1800" t="s">
        <v>6</v>
      </c>
      <c r="C1800">
        <v>3</v>
      </c>
      <c r="D1800">
        <v>2</v>
      </c>
      <c r="E1800">
        <v>2</v>
      </c>
      <c r="F1800" s="15">
        <v>45894</v>
      </c>
      <c r="G1800" t="s">
        <v>171</v>
      </c>
      <c r="H1800">
        <v>4</v>
      </c>
      <c r="I1800">
        <v>2025</v>
      </c>
      <c r="J1800">
        <v>8</v>
      </c>
      <c r="K1800" t="s">
        <v>87</v>
      </c>
      <c r="L1800" t="s">
        <v>28</v>
      </c>
      <c r="M1800" t="s">
        <v>8</v>
      </c>
      <c r="N1800" t="b">
        <v>0</v>
      </c>
      <c r="O1800">
        <v>0</v>
      </c>
      <c r="P1800">
        <v>1</v>
      </c>
      <c r="Q1800">
        <v>0</v>
      </c>
      <c r="R1800">
        <v>1</v>
      </c>
    </row>
    <row r="1801" spans="1:18" x14ac:dyDescent="0.25">
      <c r="A1801" t="s">
        <v>10</v>
      </c>
      <c r="B1801" t="s">
        <v>6</v>
      </c>
      <c r="C1801">
        <v>3</v>
      </c>
      <c r="D1801">
        <v>2</v>
      </c>
      <c r="E1801">
        <v>2</v>
      </c>
      <c r="F1801" s="15">
        <v>45894</v>
      </c>
      <c r="G1801" t="s">
        <v>171</v>
      </c>
      <c r="H1801">
        <v>4</v>
      </c>
      <c r="I1801">
        <v>2025</v>
      </c>
      <c r="J1801">
        <v>8</v>
      </c>
      <c r="K1801" t="s">
        <v>87</v>
      </c>
      <c r="L1801" t="s">
        <v>48</v>
      </c>
      <c r="M1801" t="s">
        <v>6</v>
      </c>
      <c r="N1801" t="b">
        <v>0</v>
      </c>
      <c r="O1801">
        <v>0</v>
      </c>
      <c r="P1801">
        <v>1</v>
      </c>
      <c r="Q1801">
        <v>0</v>
      </c>
      <c r="R1801">
        <v>0</v>
      </c>
    </row>
    <row r="1802" spans="1:18" x14ac:dyDescent="0.25">
      <c r="A1802" t="s">
        <v>10</v>
      </c>
      <c r="B1802" t="s">
        <v>6</v>
      </c>
      <c r="C1802">
        <v>3</v>
      </c>
      <c r="D1802">
        <v>2</v>
      </c>
      <c r="E1802">
        <v>2</v>
      </c>
      <c r="F1802" s="15">
        <v>45894</v>
      </c>
      <c r="G1802" t="s">
        <v>171</v>
      </c>
      <c r="H1802">
        <v>4</v>
      </c>
      <c r="I1802">
        <v>2025</v>
      </c>
      <c r="J1802">
        <v>8</v>
      </c>
      <c r="K1802" t="s">
        <v>87</v>
      </c>
      <c r="L1802" t="s">
        <v>49</v>
      </c>
      <c r="M1802" t="s">
        <v>6</v>
      </c>
      <c r="N1802" t="b">
        <v>0</v>
      </c>
      <c r="O1802">
        <v>0</v>
      </c>
      <c r="P1802">
        <v>1</v>
      </c>
      <c r="Q1802">
        <v>0</v>
      </c>
      <c r="R1802">
        <v>0</v>
      </c>
    </row>
    <row r="1803" spans="1:18" x14ac:dyDescent="0.25">
      <c r="A1803" t="s">
        <v>28</v>
      </c>
      <c r="B1803" t="s">
        <v>8</v>
      </c>
      <c r="C1803">
        <v>2</v>
      </c>
      <c r="D1803">
        <v>2</v>
      </c>
      <c r="E1803">
        <v>2</v>
      </c>
      <c r="F1803" s="15">
        <v>45894</v>
      </c>
      <c r="G1803" t="s">
        <v>171</v>
      </c>
      <c r="H1803">
        <v>4</v>
      </c>
      <c r="I1803">
        <v>2025</v>
      </c>
      <c r="J1803">
        <v>8</v>
      </c>
      <c r="K1803" t="s">
        <v>87</v>
      </c>
      <c r="L1803" t="s">
        <v>10</v>
      </c>
      <c r="M1803" t="s">
        <v>6</v>
      </c>
      <c r="N1803" t="b">
        <v>0</v>
      </c>
      <c r="O1803">
        <v>1</v>
      </c>
      <c r="P1803">
        <v>0</v>
      </c>
      <c r="Q1803">
        <v>0</v>
      </c>
      <c r="R1803">
        <v>0</v>
      </c>
    </row>
    <row r="1804" spans="1:18" x14ac:dyDescent="0.25">
      <c r="A1804" t="s">
        <v>28</v>
      </c>
      <c r="B1804" t="s">
        <v>8</v>
      </c>
      <c r="C1804">
        <v>2</v>
      </c>
      <c r="D1804">
        <v>2</v>
      </c>
      <c r="E1804">
        <v>2</v>
      </c>
      <c r="F1804" s="15">
        <v>45894</v>
      </c>
      <c r="G1804" t="s">
        <v>171</v>
      </c>
      <c r="H1804">
        <v>4</v>
      </c>
      <c r="I1804">
        <v>2025</v>
      </c>
      <c r="J1804">
        <v>8</v>
      </c>
      <c r="K1804" t="s">
        <v>87</v>
      </c>
      <c r="L1804" t="s">
        <v>48</v>
      </c>
      <c r="M1804" t="s">
        <v>6</v>
      </c>
      <c r="N1804" t="b">
        <v>0</v>
      </c>
      <c r="O1804">
        <v>1</v>
      </c>
      <c r="P1804">
        <v>0</v>
      </c>
      <c r="Q1804">
        <v>0</v>
      </c>
      <c r="R1804">
        <v>0</v>
      </c>
    </row>
    <row r="1805" spans="1:18" x14ac:dyDescent="0.25">
      <c r="A1805" t="s">
        <v>28</v>
      </c>
      <c r="B1805" t="s">
        <v>8</v>
      </c>
      <c r="C1805">
        <v>2</v>
      </c>
      <c r="D1805">
        <v>2</v>
      </c>
      <c r="E1805">
        <v>2</v>
      </c>
      <c r="F1805" s="15">
        <v>45894</v>
      </c>
      <c r="G1805" t="s">
        <v>171</v>
      </c>
      <c r="H1805">
        <v>4</v>
      </c>
      <c r="I1805">
        <v>2025</v>
      </c>
      <c r="J1805">
        <v>8</v>
      </c>
      <c r="K1805" t="s">
        <v>87</v>
      </c>
      <c r="L1805" t="s">
        <v>49</v>
      </c>
      <c r="M1805" t="s">
        <v>6</v>
      </c>
      <c r="N1805" t="b">
        <v>0</v>
      </c>
      <c r="O1805">
        <v>1</v>
      </c>
      <c r="P1805">
        <v>0</v>
      </c>
      <c r="Q1805">
        <v>0</v>
      </c>
      <c r="R1805">
        <v>0</v>
      </c>
    </row>
    <row r="1806" spans="1:18" x14ac:dyDescent="0.25">
      <c r="A1806" t="s">
        <v>48</v>
      </c>
      <c r="B1806" t="s">
        <v>6</v>
      </c>
      <c r="C1806">
        <v>1</v>
      </c>
      <c r="D1806">
        <v>2</v>
      </c>
      <c r="E1806">
        <v>2</v>
      </c>
      <c r="F1806" s="15">
        <v>45894</v>
      </c>
      <c r="G1806" t="s">
        <v>171</v>
      </c>
      <c r="H1806">
        <v>4</v>
      </c>
      <c r="I1806">
        <v>2025</v>
      </c>
      <c r="J1806">
        <v>8</v>
      </c>
      <c r="K1806" t="s">
        <v>87</v>
      </c>
      <c r="L1806" t="s">
        <v>10</v>
      </c>
      <c r="M1806" t="s">
        <v>6</v>
      </c>
      <c r="N1806" t="b">
        <v>0</v>
      </c>
      <c r="O1806">
        <v>0</v>
      </c>
      <c r="P1806">
        <v>1</v>
      </c>
      <c r="Q1806">
        <v>0</v>
      </c>
      <c r="R1806">
        <v>0</v>
      </c>
    </row>
    <row r="1807" spans="1:18" x14ac:dyDescent="0.25">
      <c r="A1807" t="s">
        <v>48</v>
      </c>
      <c r="B1807" t="s">
        <v>6</v>
      </c>
      <c r="C1807">
        <v>1</v>
      </c>
      <c r="D1807">
        <v>2</v>
      </c>
      <c r="E1807">
        <v>2</v>
      </c>
      <c r="F1807" s="15">
        <v>45894</v>
      </c>
      <c r="G1807" t="s">
        <v>171</v>
      </c>
      <c r="H1807">
        <v>4</v>
      </c>
      <c r="I1807">
        <v>2025</v>
      </c>
      <c r="J1807">
        <v>8</v>
      </c>
      <c r="K1807" t="s">
        <v>87</v>
      </c>
      <c r="L1807" t="s">
        <v>28</v>
      </c>
      <c r="M1807" t="s">
        <v>8</v>
      </c>
      <c r="N1807" t="b">
        <v>0</v>
      </c>
      <c r="O1807">
        <v>0</v>
      </c>
      <c r="P1807">
        <v>1</v>
      </c>
      <c r="Q1807">
        <v>0</v>
      </c>
      <c r="R1807">
        <v>1</v>
      </c>
    </row>
    <row r="1808" spans="1:18" x14ac:dyDescent="0.25">
      <c r="A1808" t="s">
        <v>48</v>
      </c>
      <c r="B1808" t="s">
        <v>6</v>
      </c>
      <c r="C1808">
        <v>1</v>
      </c>
      <c r="D1808">
        <v>2</v>
      </c>
      <c r="E1808">
        <v>2</v>
      </c>
      <c r="F1808" s="15">
        <v>45894</v>
      </c>
      <c r="G1808" t="s">
        <v>171</v>
      </c>
      <c r="H1808">
        <v>4</v>
      </c>
      <c r="I1808">
        <v>2025</v>
      </c>
      <c r="J1808">
        <v>8</v>
      </c>
      <c r="K1808" t="s">
        <v>87</v>
      </c>
      <c r="L1808" t="s">
        <v>49</v>
      </c>
      <c r="M1808" t="s">
        <v>6</v>
      </c>
      <c r="N1808" t="b">
        <v>0</v>
      </c>
      <c r="O1808">
        <v>0</v>
      </c>
      <c r="P1808">
        <v>1</v>
      </c>
      <c r="Q1808">
        <v>0</v>
      </c>
      <c r="R1808">
        <v>0</v>
      </c>
    </row>
    <row r="1809" spans="1:18" x14ac:dyDescent="0.25">
      <c r="A1809" t="s">
        <v>49</v>
      </c>
      <c r="B1809" t="s">
        <v>6</v>
      </c>
      <c r="C1809">
        <v>4</v>
      </c>
      <c r="D1809">
        <v>2</v>
      </c>
      <c r="E1809">
        <v>2</v>
      </c>
      <c r="F1809" s="15">
        <v>45894</v>
      </c>
      <c r="G1809" t="s">
        <v>171</v>
      </c>
      <c r="H1809">
        <v>4</v>
      </c>
      <c r="I1809">
        <v>2025</v>
      </c>
      <c r="J1809">
        <v>8</v>
      </c>
      <c r="K1809" t="s">
        <v>87</v>
      </c>
      <c r="L1809" t="s">
        <v>10</v>
      </c>
      <c r="M1809" t="s">
        <v>6</v>
      </c>
      <c r="N1809" t="b">
        <v>0</v>
      </c>
      <c r="O1809">
        <v>0</v>
      </c>
      <c r="P1809">
        <v>1</v>
      </c>
      <c r="Q1809">
        <v>0</v>
      </c>
      <c r="R1809">
        <v>0</v>
      </c>
    </row>
    <row r="1810" spans="1:18" x14ac:dyDescent="0.25">
      <c r="A1810" t="s">
        <v>49</v>
      </c>
      <c r="B1810" t="s">
        <v>6</v>
      </c>
      <c r="C1810">
        <v>4</v>
      </c>
      <c r="D1810">
        <v>2</v>
      </c>
      <c r="E1810">
        <v>2</v>
      </c>
      <c r="F1810" s="15">
        <v>45894</v>
      </c>
      <c r="G1810" t="s">
        <v>171</v>
      </c>
      <c r="H1810">
        <v>4</v>
      </c>
      <c r="I1810">
        <v>2025</v>
      </c>
      <c r="J1810">
        <v>8</v>
      </c>
      <c r="K1810" t="s">
        <v>87</v>
      </c>
      <c r="L1810" t="s">
        <v>28</v>
      </c>
      <c r="M1810" t="s">
        <v>8</v>
      </c>
      <c r="N1810" t="b">
        <v>0</v>
      </c>
      <c r="O1810">
        <v>0</v>
      </c>
      <c r="P1810">
        <v>1</v>
      </c>
      <c r="Q1810">
        <v>0</v>
      </c>
      <c r="R1810">
        <v>1</v>
      </c>
    </row>
    <row r="1811" spans="1:18" x14ac:dyDescent="0.25">
      <c r="A1811" t="s">
        <v>49</v>
      </c>
      <c r="B1811" t="s">
        <v>6</v>
      </c>
      <c r="C1811">
        <v>4</v>
      </c>
      <c r="D1811">
        <v>2</v>
      </c>
      <c r="E1811">
        <v>2</v>
      </c>
      <c r="F1811" s="15">
        <v>45894</v>
      </c>
      <c r="G1811" t="s">
        <v>171</v>
      </c>
      <c r="H1811">
        <v>4</v>
      </c>
      <c r="I1811">
        <v>2025</v>
      </c>
      <c r="J1811">
        <v>8</v>
      </c>
      <c r="K1811" t="s">
        <v>87</v>
      </c>
      <c r="L1811" t="s">
        <v>48</v>
      </c>
      <c r="M1811" t="s">
        <v>6</v>
      </c>
      <c r="N1811" t="b">
        <v>0</v>
      </c>
      <c r="O1811">
        <v>0</v>
      </c>
      <c r="P1811">
        <v>1</v>
      </c>
      <c r="Q1811">
        <v>0</v>
      </c>
      <c r="R1811">
        <v>0</v>
      </c>
    </row>
    <row r="1812" spans="1:18" x14ac:dyDescent="0.25">
      <c r="A1812" t="s">
        <v>10</v>
      </c>
      <c r="B1812" t="s">
        <v>6</v>
      </c>
      <c r="C1812">
        <v>3</v>
      </c>
      <c r="D1812">
        <v>3</v>
      </c>
      <c r="E1812">
        <v>1</v>
      </c>
      <c r="F1812" s="15">
        <v>45867</v>
      </c>
      <c r="G1812" t="s">
        <v>191</v>
      </c>
      <c r="H1812">
        <v>3</v>
      </c>
      <c r="I1812">
        <v>2025</v>
      </c>
      <c r="J1812">
        <v>7</v>
      </c>
      <c r="K1812" t="s">
        <v>87</v>
      </c>
      <c r="L1812" t="s">
        <v>7</v>
      </c>
      <c r="M1812" t="s">
        <v>8</v>
      </c>
      <c r="N1812" t="b">
        <v>0</v>
      </c>
      <c r="O1812">
        <v>0</v>
      </c>
      <c r="P1812">
        <v>1</v>
      </c>
      <c r="Q1812">
        <v>0</v>
      </c>
      <c r="R1812">
        <v>1</v>
      </c>
    </row>
    <row r="1813" spans="1:18" x14ac:dyDescent="0.25">
      <c r="A1813" t="s">
        <v>10</v>
      </c>
      <c r="B1813" t="s">
        <v>6</v>
      </c>
      <c r="C1813">
        <v>3</v>
      </c>
      <c r="D1813">
        <v>3</v>
      </c>
      <c r="E1813">
        <v>1</v>
      </c>
      <c r="F1813" s="15">
        <v>45867</v>
      </c>
      <c r="G1813" t="s">
        <v>191</v>
      </c>
      <c r="H1813">
        <v>3</v>
      </c>
      <c r="I1813">
        <v>2025</v>
      </c>
      <c r="J1813">
        <v>7</v>
      </c>
      <c r="K1813" t="s">
        <v>87</v>
      </c>
      <c r="L1813" t="s">
        <v>41</v>
      </c>
      <c r="M1813" t="s">
        <v>6</v>
      </c>
      <c r="N1813" t="b">
        <v>0</v>
      </c>
      <c r="O1813">
        <v>0</v>
      </c>
      <c r="P1813">
        <v>1</v>
      </c>
      <c r="Q1813">
        <v>0</v>
      </c>
      <c r="R1813">
        <v>0</v>
      </c>
    </row>
    <row r="1814" spans="1:18" x14ac:dyDescent="0.25">
      <c r="A1814" t="s">
        <v>7</v>
      </c>
      <c r="B1814" t="s">
        <v>8</v>
      </c>
      <c r="C1814">
        <v>1</v>
      </c>
      <c r="D1814">
        <v>3</v>
      </c>
      <c r="E1814">
        <v>1</v>
      </c>
      <c r="F1814" s="15">
        <v>45867</v>
      </c>
      <c r="G1814" t="s">
        <v>191</v>
      </c>
      <c r="H1814">
        <v>3</v>
      </c>
      <c r="I1814">
        <v>2025</v>
      </c>
      <c r="J1814">
        <v>7</v>
      </c>
      <c r="K1814" t="s">
        <v>87</v>
      </c>
      <c r="L1814" t="s">
        <v>10</v>
      </c>
      <c r="M1814" t="s">
        <v>6</v>
      </c>
      <c r="N1814" t="b">
        <v>0</v>
      </c>
      <c r="O1814">
        <v>1</v>
      </c>
      <c r="P1814">
        <v>0</v>
      </c>
      <c r="Q1814">
        <v>0</v>
      </c>
      <c r="R1814">
        <v>0</v>
      </c>
    </row>
    <row r="1815" spans="1:18" x14ac:dyDescent="0.25">
      <c r="A1815" t="s">
        <v>7</v>
      </c>
      <c r="B1815" t="s">
        <v>8</v>
      </c>
      <c r="C1815">
        <v>1</v>
      </c>
      <c r="D1815">
        <v>3</v>
      </c>
      <c r="E1815">
        <v>1</v>
      </c>
      <c r="F1815" s="15">
        <v>45867</v>
      </c>
      <c r="G1815" t="s">
        <v>191</v>
      </c>
      <c r="H1815">
        <v>3</v>
      </c>
      <c r="I1815">
        <v>2025</v>
      </c>
      <c r="J1815">
        <v>7</v>
      </c>
      <c r="K1815" t="s">
        <v>87</v>
      </c>
      <c r="L1815" t="s">
        <v>41</v>
      </c>
      <c r="M1815" t="s">
        <v>6</v>
      </c>
      <c r="N1815" t="b">
        <v>0</v>
      </c>
      <c r="O1815">
        <v>1</v>
      </c>
      <c r="P1815">
        <v>0</v>
      </c>
      <c r="Q1815">
        <v>0</v>
      </c>
      <c r="R1815">
        <v>0</v>
      </c>
    </row>
    <row r="1816" spans="1:18" x14ac:dyDescent="0.25">
      <c r="A1816" t="s">
        <v>41</v>
      </c>
      <c r="B1816" t="s">
        <v>6</v>
      </c>
      <c r="C1816">
        <v>2</v>
      </c>
      <c r="D1816">
        <v>3</v>
      </c>
      <c r="E1816">
        <v>1</v>
      </c>
      <c r="F1816" s="15">
        <v>45867</v>
      </c>
      <c r="G1816" t="s">
        <v>191</v>
      </c>
      <c r="H1816">
        <v>3</v>
      </c>
      <c r="I1816">
        <v>2025</v>
      </c>
      <c r="J1816">
        <v>7</v>
      </c>
      <c r="K1816" t="s">
        <v>87</v>
      </c>
      <c r="L1816" t="s">
        <v>10</v>
      </c>
      <c r="M1816" t="s">
        <v>6</v>
      </c>
      <c r="N1816" t="b">
        <v>0</v>
      </c>
      <c r="O1816">
        <v>0</v>
      </c>
      <c r="P1816">
        <v>1</v>
      </c>
      <c r="Q1816">
        <v>0</v>
      </c>
      <c r="R1816">
        <v>0</v>
      </c>
    </row>
    <row r="1817" spans="1:18" x14ac:dyDescent="0.25">
      <c r="A1817" t="s">
        <v>41</v>
      </c>
      <c r="B1817" t="s">
        <v>6</v>
      </c>
      <c r="C1817">
        <v>2</v>
      </c>
      <c r="D1817">
        <v>3</v>
      </c>
      <c r="E1817">
        <v>1</v>
      </c>
      <c r="F1817" s="15">
        <v>45867</v>
      </c>
      <c r="G1817" t="s">
        <v>191</v>
      </c>
      <c r="H1817">
        <v>3</v>
      </c>
      <c r="I1817">
        <v>2025</v>
      </c>
      <c r="J1817">
        <v>7</v>
      </c>
      <c r="K1817" t="s">
        <v>87</v>
      </c>
      <c r="L1817" t="s">
        <v>7</v>
      </c>
      <c r="M1817" t="s">
        <v>8</v>
      </c>
      <c r="N1817" t="b">
        <v>0</v>
      </c>
      <c r="O1817">
        <v>0</v>
      </c>
      <c r="P1817">
        <v>1</v>
      </c>
      <c r="Q1817">
        <v>0</v>
      </c>
      <c r="R1817">
        <v>1</v>
      </c>
    </row>
    <row r="1818" spans="1:18" x14ac:dyDescent="0.25">
      <c r="A1818" t="s">
        <v>10</v>
      </c>
      <c r="B1818" t="s">
        <v>6</v>
      </c>
      <c r="C1818">
        <v>2</v>
      </c>
      <c r="D1818">
        <v>3</v>
      </c>
      <c r="E1818">
        <v>1</v>
      </c>
      <c r="F1818" s="15">
        <v>45985</v>
      </c>
      <c r="G1818" t="s">
        <v>207</v>
      </c>
      <c r="H1818">
        <v>3</v>
      </c>
      <c r="I1818">
        <v>2025</v>
      </c>
      <c r="J1818">
        <v>11</v>
      </c>
      <c r="K1818" t="s">
        <v>87</v>
      </c>
      <c r="L1818" t="s">
        <v>28</v>
      </c>
      <c r="M1818" t="s">
        <v>6</v>
      </c>
      <c r="N1818" t="b">
        <v>0</v>
      </c>
      <c r="O1818">
        <v>0</v>
      </c>
      <c r="P1818">
        <v>1</v>
      </c>
      <c r="Q1818">
        <v>0</v>
      </c>
      <c r="R1818">
        <v>0</v>
      </c>
    </row>
    <row r="1819" spans="1:18" x14ac:dyDescent="0.25">
      <c r="A1819" t="s">
        <v>10</v>
      </c>
      <c r="B1819" t="s">
        <v>6</v>
      </c>
      <c r="C1819">
        <v>2</v>
      </c>
      <c r="D1819">
        <v>3</v>
      </c>
      <c r="E1819">
        <v>1</v>
      </c>
      <c r="F1819" s="15">
        <v>45985</v>
      </c>
      <c r="G1819" t="s">
        <v>207</v>
      </c>
      <c r="H1819">
        <v>3</v>
      </c>
      <c r="I1819">
        <v>2025</v>
      </c>
      <c r="J1819">
        <v>11</v>
      </c>
      <c r="K1819" t="s">
        <v>87</v>
      </c>
      <c r="L1819" t="s">
        <v>352</v>
      </c>
      <c r="M1819" t="s">
        <v>8</v>
      </c>
      <c r="N1819" t="b">
        <v>0</v>
      </c>
      <c r="O1819">
        <v>0</v>
      </c>
      <c r="P1819">
        <v>1</v>
      </c>
      <c r="Q1819">
        <v>0</v>
      </c>
      <c r="R1819">
        <v>1</v>
      </c>
    </row>
    <row r="1820" spans="1:18" x14ac:dyDescent="0.25">
      <c r="A1820" t="s">
        <v>28</v>
      </c>
      <c r="B1820" t="s">
        <v>6</v>
      </c>
      <c r="C1820">
        <v>3</v>
      </c>
      <c r="D1820">
        <v>3</v>
      </c>
      <c r="E1820">
        <v>1</v>
      </c>
      <c r="F1820" s="15">
        <v>45985</v>
      </c>
      <c r="G1820" t="s">
        <v>207</v>
      </c>
      <c r="H1820">
        <v>3</v>
      </c>
      <c r="I1820">
        <v>2025</v>
      </c>
      <c r="J1820">
        <v>11</v>
      </c>
      <c r="K1820" t="s">
        <v>87</v>
      </c>
      <c r="L1820" t="s">
        <v>10</v>
      </c>
      <c r="M1820" t="s">
        <v>6</v>
      </c>
      <c r="N1820" t="b">
        <v>0</v>
      </c>
      <c r="O1820">
        <v>0</v>
      </c>
      <c r="P1820">
        <v>1</v>
      </c>
      <c r="Q1820">
        <v>0</v>
      </c>
      <c r="R1820">
        <v>0</v>
      </c>
    </row>
    <row r="1821" spans="1:18" x14ac:dyDescent="0.25">
      <c r="A1821" t="s">
        <v>28</v>
      </c>
      <c r="B1821" t="s">
        <v>6</v>
      </c>
      <c r="C1821">
        <v>3</v>
      </c>
      <c r="D1821">
        <v>3</v>
      </c>
      <c r="E1821">
        <v>1</v>
      </c>
      <c r="F1821" s="15">
        <v>45985</v>
      </c>
      <c r="G1821" t="s">
        <v>207</v>
      </c>
      <c r="H1821">
        <v>3</v>
      </c>
      <c r="I1821">
        <v>2025</v>
      </c>
      <c r="J1821">
        <v>11</v>
      </c>
      <c r="K1821" t="s">
        <v>87</v>
      </c>
      <c r="L1821" t="s">
        <v>352</v>
      </c>
      <c r="M1821" t="s">
        <v>8</v>
      </c>
      <c r="N1821" t="b">
        <v>0</v>
      </c>
      <c r="O1821">
        <v>0</v>
      </c>
      <c r="P1821">
        <v>1</v>
      </c>
      <c r="Q1821">
        <v>0</v>
      </c>
      <c r="R1821">
        <v>1</v>
      </c>
    </row>
    <row r="1822" spans="1:18" x14ac:dyDescent="0.25">
      <c r="A1822" t="s">
        <v>352</v>
      </c>
      <c r="B1822" t="s">
        <v>8</v>
      </c>
      <c r="C1822">
        <v>1</v>
      </c>
      <c r="D1822">
        <v>3</v>
      </c>
      <c r="E1822">
        <v>1</v>
      </c>
      <c r="F1822" s="15">
        <v>45985</v>
      </c>
      <c r="G1822" t="s">
        <v>207</v>
      </c>
      <c r="H1822">
        <v>3</v>
      </c>
      <c r="I1822">
        <v>2025</v>
      </c>
      <c r="J1822">
        <v>11</v>
      </c>
      <c r="K1822" t="s">
        <v>87</v>
      </c>
      <c r="L1822" t="s">
        <v>10</v>
      </c>
      <c r="M1822" t="s">
        <v>6</v>
      </c>
      <c r="N1822" t="b">
        <v>0</v>
      </c>
      <c r="O1822">
        <v>1</v>
      </c>
      <c r="P1822">
        <v>0</v>
      </c>
      <c r="Q1822">
        <v>0</v>
      </c>
      <c r="R1822">
        <v>0</v>
      </c>
    </row>
    <row r="1823" spans="1:18" x14ac:dyDescent="0.25">
      <c r="A1823" t="s">
        <v>352</v>
      </c>
      <c r="B1823" t="s">
        <v>8</v>
      </c>
      <c r="C1823">
        <v>1</v>
      </c>
      <c r="D1823">
        <v>3</v>
      </c>
      <c r="E1823">
        <v>1</v>
      </c>
      <c r="F1823" s="15">
        <v>45985</v>
      </c>
      <c r="G1823" t="s">
        <v>207</v>
      </c>
      <c r="H1823">
        <v>3</v>
      </c>
      <c r="I1823">
        <v>2025</v>
      </c>
      <c r="J1823">
        <v>11</v>
      </c>
      <c r="K1823" t="s">
        <v>87</v>
      </c>
      <c r="L1823" t="s">
        <v>28</v>
      </c>
      <c r="M1823" t="s">
        <v>6</v>
      </c>
      <c r="N1823" t="b">
        <v>0</v>
      </c>
      <c r="O1823">
        <v>1</v>
      </c>
      <c r="P1823">
        <v>0</v>
      </c>
      <c r="Q1823">
        <v>0</v>
      </c>
      <c r="R1823">
        <v>0</v>
      </c>
    </row>
    <row r="1824" spans="1:18" x14ac:dyDescent="0.25">
      <c r="A1824" t="s">
        <v>10</v>
      </c>
      <c r="B1824" t="s">
        <v>6</v>
      </c>
      <c r="C1824">
        <v>2</v>
      </c>
      <c r="D1824">
        <v>3</v>
      </c>
      <c r="E1824">
        <v>2</v>
      </c>
      <c r="F1824" s="15">
        <v>45908</v>
      </c>
      <c r="G1824" t="s">
        <v>220</v>
      </c>
      <c r="H1824">
        <v>4</v>
      </c>
      <c r="I1824">
        <v>2025</v>
      </c>
      <c r="J1824">
        <v>9</v>
      </c>
      <c r="K1824" t="s">
        <v>87</v>
      </c>
      <c r="L1824" t="s">
        <v>436</v>
      </c>
      <c r="M1824" t="s">
        <v>8</v>
      </c>
      <c r="N1824" t="b">
        <v>0</v>
      </c>
      <c r="O1824">
        <v>0</v>
      </c>
      <c r="P1824">
        <v>1</v>
      </c>
      <c r="Q1824">
        <v>0</v>
      </c>
      <c r="R1824">
        <v>1</v>
      </c>
    </row>
    <row r="1825" spans="1:18" x14ac:dyDescent="0.25">
      <c r="A1825" t="s">
        <v>10</v>
      </c>
      <c r="B1825" t="s">
        <v>6</v>
      </c>
      <c r="C1825">
        <v>2</v>
      </c>
      <c r="D1825">
        <v>3</v>
      </c>
      <c r="E1825">
        <v>2</v>
      </c>
      <c r="F1825" s="15">
        <v>45908</v>
      </c>
      <c r="G1825" t="s">
        <v>220</v>
      </c>
      <c r="H1825">
        <v>4</v>
      </c>
      <c r="I1825">
        <v>2025</v>
      </c>
      <c r="J1825">
        <v>9</v>
      </c>
      <c r="K1825" t="s">
        <v>87</v>
      </c>
      <c r="L1825" t="s">
        <v>9</v>
      </c>
      <c r="M1825" t="s">
        <v>6</v>
      </c>
      <c r="N1825" t="b">
        <v>0</v>
      </c>
      <c r="O1825">
        <v>0</v>
      </c>
      <c r="P1825">
        <v>1</v>
      </c>
      <c r="Q1825">
        <v>0</v>
      </c>
      <c r="R1825">
        <v>0</v>
      </c>
    </row>
    <row r="1826" spans="1:18" x14ac:dyDescent="0.25">
      <c r="A1826" t="s">
        <v>10</v>
      </c>
      <c r="B1826" t="s">
        <v>6</v>
      </c>
      <c r="C1826">
        <v>2</v>
      </c>
      <c r="D1826">
        <v>3</v>
      </c>
      <c r="E1826">
        <v>2</v>
      </c>
      <c r="F1826" s="15">
        <v>45908</v>
      </c>
      <c r="G1826" t="s">
        <v>220</v>
      </c>
      <c r="H1826">
        <v>4</v>
      </c>
      <c r="I1826">
        <v>2025</v>
      </c>
      <c r="J1826">
        <v>9</v>
      </c>
      <c r="K1826" t="s">
        <v>87</v>
      </c>
      <c r="L1826" t="s">
        <v>17</v>
      </c>
      <c r="M1826" t="s">
        <v>6</v>
      </c>
      <c r="N1826" t="b">
        <v>0</v>
      </c>
      <c r="O1826">
        <v>0</v>
      </c>
      <c r="P1826">
        <v>1</v>
      </c>
      <c r="Q1826">
        <v>0</v>
      </c>
      <c r="R1826">
        <v>0</v>
      </c>
    </row>
    <row r="1827" spans="1:18" x14ac:dyDescent="0.25">
      <c r="A1827" t="s">
        <v>436</v>
      </c>
      <c r="B1827" t="s">
        <v>8</v>
      </c>
      <c r="C1827">
        <v>4</v>
      </c>
      <c r="D1827">
        <v>3</v>
      </c>
      <c r="E1827">
        <v>2</v>
      </c>
      <c r="F1827" s="15">
        <v>45908</v>
      </c>
      <c r="G1827" t="s">
        <v>220</v>
      </c>
      <c r="H1827">
        <v>4</v>
      </c>
      <c r="I1827">
        <v>2025</v>
      </c>
      <c r="J1827">
        <v>9</v>
      </c>
      <c r="K1827" t="s">
        <v>87</v>
      </c>
      <c r="L1827" t="s">
        <v>10</v>
      </c>
      <c r="M1827" t="s">
        <v>6</v>
      </c>
      <c r="N1827" t="b">
        <v>0</v>
      </c>
      <c r="O1827">
        <v>1</v>
      </c>
      <c r="P1827">
        <v>0</v>
      </c>
      <c r="Q1827">
        <v>0</v>
      </c>
      <c r="R1827">
        <v>0</v>
      </c>
    </row>
    <row r="1828" spans="1:18" x14ac:dyDescent="0.25">
      <c r="A1828" t="s">
        <v>436</v>
      </c>
      <c r="B1828" t="s">
        <v>8</v>
      </c>
      <c r="C1828">
        <v>4</v>
      </c>
      <c r="D1828">
        <v>3</v>
      </c>
      <c r="E1828">
        <v>2</v>
      </c>
      <c r="F1828" s="15">
        <v>45908</v>
      </c>
      <c r="G1828" t="s">
        <v>220</v>
      </c>
      <c r="H1828">
        <v>4</v>
      </c>
      <c r="I1828">
        <v>2025</v>
      </c>
      <c r="J1828">
        <v>9</v>
      </c>
      <c r="K1828" t="s">
        <v>87</v>
      </c>
      <c r="L1828" t="s">
        <v>9</v>
      </c>
      <c r="M1828" t="s">
        <v>6</v>
      </c>
      <c r="N1828" t="b">
        <v>0</v>
      </c>
      <c r="O1828">
        <v>1</v>
      </c>
      <c r="P1828">
        <v>0</v>
      </c>
      <c r="Q1828">
        <v>0</v>
      </c>
      <c r="R1828">
        <v>0</v>
      </c>
    </row>
    <row r="1829" spans="1:18" x14ac:dyDescent="0.25">
      <c r="A1829" t="s">
        <v>436</v>
      </c>
      <c r="B1829" t="s">
        <v>8</v>
      </c>
      <c r="C1829">
        <v>4</v>
      </c>
      <c r="D1829">
        <v>3</v>
      </c>
      <c r="E1829">
        <v>2</v>
      </c>
      <c r="F1829" s="15">
        <v>45908</v>
      </c>
      <c r="G1829" t="s">
        <v>220</v>
      </c>
      <c r="H1829">
        <v>4</v>
      </c>
      <c r="I1829">
        <v>2025</v>
      </c>
      <c r="J1829">
        <v>9</v>
      </c>
      <c r="K1829" t="s">
        <v>87</v>
      </c>
      <c r="L1829" t="s">
        <v>17</v>
      </c>
      <c r="M1829" t="s">
        <v>6</v>
      </c>
      <c r="N1829" t="b">
        <v>0</v>
      </c>
      <c r="O1829">
        <v>1</v>
      </c>
      <c r="P1829">
        <v>0</v>
      </c>
      <c r="Q1829">
        <v>0</v>
      </c>
      <c r="R1829">
        <v>0</v>
      </c>
    </row>
    <row r="1830" spans="1:18" x14ac:dyDescent="0.25">
      <c r="A1830" t="s">
        <v>9</v>
      </c>
      <c r="B1830" t="s">
        <v>6</v>
      </c>
      <c r="C1830">
        <v>1</v>
      </c>
      <c r="D1830">
        <v>3</v>
      </c>
      <c r="E1830">
        <v>2</v>
      </c>
      <c r="F1830" s="15">
        <v>45908</v>
      </c>
      <c r="G1830" t="s">
        <v>220</v>
      </c>
      <c r="H1830">
        <v>4</v>
      </c>
      <c r="I1830">
        <v>2025</v>
      </c>
      <c r="J1830">
        <v>9</v>
      </c>
      <c r="K1830" t="s">
        <v>87</v>
      </c>
      <c r="L1830" t="s">
        <v>10</v>
      </c>
      <c r="M1830" t="s">
        <v>6</v>
      </c>
      <c r="N1830" t="b">
        <v>0</v>
      </c>
      <c r="O1830">
        <v>0</v>
      </c>
      <c r="P1830">
        <v>1</v>
      </c>
      <c r="Q1830">
        <v>0</v>
      </c>
      <c r="R1830">
        <v>0</v>
      </c>
    </row>
    <row r="1831" spans="1:18" x14ac:dyDescent="0.25">
      <c r="A1831" t="s">
        <v>9</v>
      </c>
      <c r="B1831" t="s">
        <v>6</v>
      </c>
      <c r="C1831">
        <v>1</v>
      </c>
      <c r="D1831">
        <v>3</v>
      </c>
      <c r="E1831">
        <v>2</v>
      </c>
      <c r="F1831" s="15">
        <v>45908</v>
      </c>
      <c r="G1831" t="s">
        <v>220</v>
      </c>
      <c r="H1831">
        <v>4</v>
      </c>
      <c r="I1831">
        <v>2025</v>
      </c>
      <c r="J1831">
        <v>9</v>
      </c>
      <c r="K1831" t="s">
        <v>87</v>
      </c>
      <c r="L1831" t="s">
        <v>436</v>
      </c>
      <c r="M1831" t="s">
        <v>8</v>
      </c>
      <c r="N1831" t="b">
        <v>0</v>
      </c>
      <c r="O1831">
        <v>0</v>
      </c>
      <c r="P1831">
        <v>1</v>
      </c>
      <c r="Q1831">
        <v>0</v>
      </c>
      <c r="R1831">
        <v>1</v>
      </c>
    </row>
    <row r="1832" spans="1:18" x14ac:dyDescent="0.25">
      <c r="A1832" t="s">
        <v>9</v>
      </c>
      <c r="B1832" t="s">
        <v>6</v>
      </c>
      <c r="C1832">
        <v>1</v>
      </c>
      <c r="D1832">
        <v>3</v>
      </c>
      <c r="E1832">
        <v>2</v>
      </c>
      <c r="F1832" s="15">
        <v>45908</v>
      </c>
      <c r="G1832" t="s">
        <v>220</v>
      </c>
      <c r="H1832">
        <v>4</v>
      </c>
      <c r="I1832">
        <v>2025</v>
      </c>
      <c r="J1832">
        <v>9</v>
      </c>
      <c r="K1832" t="s">
        <v>87</v>
      </c>
      <c r="L1832" t="s">
        <v>17</v>
      </c>
      <c r="M1832" t="s">
        <v>6</v>
      </c>
      <c r="N1832" t="b">
        <v>0</v>
      </c>
      <c r="O1832">
        <v>0</v>
      </c>
      <c r="P1832">
        <v>1</v>
      </c>
      <c r="Q1832">
        <v>0</v>
      </c>
      <c r="R1832">
        <v>0</v>
      </c>
    </row>
    <row r="1833" spans="1:18" x14ac:dyDescent="0.25">
      <c r="A1833" t="s">
        <v>17</v>
      </c>
      <c r="B1833" t="s">
        <v>6</v>
      </c>
      <c r="C1833">
        <v>3</v>
      </c>
      <c r="D1833">
        <v>3</v>
      </c>
      <c r="E1833">
        <v>2</v>
      </c>
      <c r="F1833" s="15">
        <v>45908</v>
      </c>
      <c r="G1833" t="s">
        <v>220</v>
      </c>
      <c r="H1833">
        <v>4</v>
      </c>
      <c r="I1833">
        <v>2025</v>
      </c>
      <c r="J1833">
        <v>9</v>
      </c>
      <c r="K1833" t="s">
        <v>87</v>
      </c>
      <c r="L1833" t="s">
        <v>10</v>
      </c>
      <c r="M1833" t="s">
        <v>6</v>
      </c>
      <c r="N1833" t="b">
        <v>0</v>
      </c>
      <c r="O1833">
        <v>0</v>
      </c>
      <c r="P1833">
        <v>1</v>
      </c>
      <c r="Q1833">
        <v>0</v>
      </c>
      <c r="R1833">
        <v>0</v>
      </c>
    </row>
    <row r="1834" spans="1:18" x14ac:dyDescent="0.25">
      <c r="A1834" t="s">
        <v>17</v>
      </c>
      <c r="B1834" t="s">
        <v>6</v>
      </c>
      <c r="C1834">
        <v>3</v>
      </c>
      <c r="D1834">
        <v>3</v>
      </c>
      <c r="E1834">
        <v>2</v>
      </c>
      <c r="F1834" s="15">
        <v>45908</v>
      </c>
      <c r="G1834" t="s">
        <v>220</v>
      </c>
      <c r="H1834">
        <v>4</v>
      </c>
      <c r="I1834">
        <v>2025</v>
      </c>
      <c r="J1834">
        <v>9</v>
      </c>
      <c r="K1834" t="s">
        <v>87</v>
      </c>
      <c r="L1834" t="s">
        <v>436</v>
      </c>
      <c r="M1834" t="s">
        <v>8</v>
      </c>
      <c r="N1834" t="b">
        <v>0</v>
      </c>
      <c r="O1834">
        <v>0</v>
      </c>
      <c r="P1834">
        <v>1</v>
      </c>
      <c r="Q1834">
        <v>0</v>
      </c>
      <c r="R1834">
        <v>1</v>
      </c>
    </row>
    <row r="1835" spans="1:18" x14ac:dyDescent="0.25">
      <c r="A1835" t="s">
        <v>17</v>
      </c>
      <c r="B1835" t="s">
        <v>6</v>
      </c>
      <c r="C1835">
        <v>3</v>
      </c>
      <c r="D1835">
        <v>3</v>
      </c>
      <c r="E1835">
        <v>2</v>
      </c>
      <c r="F1835" s="15">
        <v>45908</v>
      </c>
      <c r="G1835" t="s">
        <v>220</v>
      </c>
      <c r="H1835">
        <v>4</v>
      </c>
      <c r="I1835">
        <v>2025</v>
      </c>
      <c r="J1835">
        <v>9</v>
      </c>
      <c r="K1835" t="s">
        <v>87</v>
      </c>
      <c r="L1835" t="s">
        <v>9</v>
      </c>
      <c r="M1835" t="s">
        <v>6</v>
      </c>
      <c r="N1835" t="b">
        <v>0</v>
      </c>
      <c r="O1835">
        <v>0</v>
      </c>
      <c r="P1835">
        <v>1</v>
      </c>
      <c r="Q1835">
        <v>0</v>
      </c>
      <c r="R1835">
        <v>0</v>
      </c>
    </row>
    <row r="1836" spans="1:18" x14ac:dyDescent="0.25">
      <c r="A1836" t="s">
        <v>10</v>
      </c>
      <c r="B1836" t="s">
        <v>8</v>
      </c>
      <c r="C1836">
        <v>2</v>
      </c>
      <c r="D1836">
        <v>3</v>
      </c>
      <c r="E1836">
        <v>2</v>
      </c>
      <c r="F1836" s="15">
        <v>45915</v>
      </c>
      <c r="G1836" t="s">
        <v>221</v>
      </c>
      <c r="H1836">
        <v>3</v>
      </c>
      <c r="I1836">
        <v>2025</v>
      </c>
      <c r="J1836">
        <v>9</v>
      </c>
      <c r="K1836" t="s">
        <v>87</v>
      </c>
      <c r="L1836" t="s">
        <v>52</v>
      </c>
      <c r="M1836" t="s">
        <v>6</v>
      </c>
      <c r="N1836" t="b">
        <v>0</v>
      </c>
      <c r="O1836">
        <v>1</v>
      </c>
      <c r="P1836">
        <v>0</v>
      </c>
      <c r="Q1836">
        <v>0</v>
      </c>
      <c r="R1836">
        <v>0</v>
      </c>
    </row>
    <row r="1837" spans="1:18" x14ac:dyDescent="0.25">
      <c r="A1837" t="s">
        <v>10</v>
      </c>
      <c r="B1837" t="s">
        <v>8</v>
      </c>
      <c r="C1837">
        <v>2</v>
      </c>
      <c r="D1837">
        <v>3</v>
      </c>
      <c r="E1837">
        <v>2</v>
      </c>
      <c r="F1837" s="15">
        <v>45915</v>
      </c>
      <c r="G1837" t="s">
        <v>221</v>
      </c>
      <c r="H1837">
        <v>3</v>
      </c>
      <c r="I1837">
        <v>2025</v>
      </c>
      <c r="J1837">
        <v>9</v>
      </c>
      <c r="K1837" t="s">
        <v>87</v>
      </c>
      <c r="L1837" t="s">
        <v>17</v>
      </c>
      <c r="M1837" t="s">
        <v>6</v>
      </c>
      <c r="N1837" t="b">
        <v>0</v>
      </c>
      <c r="O1837">
        <v>1</v>
      </c>
      <c r="P1837">
        <v>0</v>
      </c>
      <c r="Q1837">
        <v>0</v>
      </c>
      <c r="R1837">
        <v>0</v>
      </c>
    </row>
    <row r="1838" spans="1:18" x14ac:dyDescent="0.25">
      <c r="A1838" t="s">
        <v>52</v>
      </c>
      <c r="B1838" t="s">
        <v>6</v>
      </c>
      <c r="C1838">
        <v>1</v>
      </c>
      <c r="D1838">
        <v>3</v>
      </c>
      <c r="E1838">
        <v>2</v>
      </c>
      <c r="F1838" s="15">
        <v>45915</v>
      </c>
      <c r="G1838" t="s">
        <v>221</v>
      </c>
      <c r="H1838">
        <v>3</v>
      </c>
      <c r="I1838">
        <v>2025</v>
      </c>
      <c r="J1838">
        <v>9</v>
      </c>
      <c r="K1838" t="s">
        <v>87</v>
      </c>
      <c r="L1838" t="s">
        <v>10</v>
      </c>
      <c r="M1838" t="s">
        <v>8</v>
      </c>
      <c r="N1838" t="b">
        <v>0</v>
      </c>
      <c r="O1838">
        <v>0</v>
      </c>
      <c r="P1838">
        <v>1</v>
      </c>
      <c r="Q1838">
        <v>0</v>
      </c>
      <c r="R1838">
        <v>1</v>
      </c>
    </row>
    <row r="1839" spans="1:18" x14ac:dyDescent="0.25">
      <c r="A1839" t="s">
        <v>52</v>
      </c>
      <c r="B1839" t="s">
        <v>6</v>
      </c>
      <c r="C1839">
        <v>1</v>
      </c>
      <c r="D1839">
        <v>3</v>
      </c>
      <c r="E1839">
        <v>2</v>
      </c>
      <c r="F1839" s="15">
        <v>45915</v>
      </c>
      <c r="G1839" t="s">
        <v>221</v>
      </c>
      <c r="H1839">
        <v>3</v>
      </c>
      <c r="I1839">
        <v>2025</v>
      </c>
      <c r="J1839">
        <v>9</v>
      </c>
      <c r="K1839" t="s">
        <v>87</v>
      </c>
      <c r="L1839" t="s">
        <v>17</v>
      </c>
      <c r="M1839" t="s">
        <v>6</v>
      </c>
      <c r="N1839" t="b">
        <v>0</v>
      </c>
      <c r="O1839">
        <v>0</v>
      </c>
      <c r="P1839">
        <v>1</v>
      </c>
      <c r="Q1839">
        <v>0</v>
      </c>
      <c r="R1839">
        <v>0</v>
      </c>
    </row>
    <row r="1840" spans="1:18" x14ac:dyDescent="0.25">
      <c r="A1840" t="s">
        <v>17</v>
      </c>
      <c r="B1840" t="s">
        <v>6</v>
      </c>
      <c r="C1840">
        <v>3</v>
      </c>
      <c r="D1840">
        <v>3</v>
      </c>
      <c r="E1840">
        <v>2</v>
      </c>
      <c r="F1840" s="15">
        <v>45915</v>
      </c>
      <c r="G1840" t="s">
        <v>221</v>
      </c>
      <c r="H1840">
        <v>3</v>
      </c>
      <c r="I1840">
        <v>2025</v>
      </c>
      <c r="J1840">
        <v>9</v>
      </c>
      <c r="K1840" t="s">
        <v>87</v>
      </c>
      <c r="L1840" t="s">
        <v>10</v>
      </c>
      <c r="M1840" t="s">
        <v>8</v>
      </c>
      <c r="N1840" t="b">
        <v>0</v>
      </c>
      <c r="O1840">
        <v>0</v>
      </c>
      <c r="P1840">
        <v>1</v>
      </c>
      <c r="Q1840">
        <v>0</v>
      </c>
      <c r="R1840">
        <v>1</v>
      </c>
    </row>
    <row r="1841" spans="1:18" x14ac:dyDescent="0.25">
      <c r="A1841" t="s">
        <v>17</v>
      </c>
      <c r="B1841" t="s">
        <v>6</v>
      </c>
      <c r="C1841">
        <v>3</v>
      </c>
      <c r="D1841">
        <v>3</v>
      </c>
      <c r="E1841">
        <v>2</v>
      </c>
      <c r="F1841" s="15">
        <v>45915</v>
      </c>
      <c r="G1841" t="s">
        <v>221</v>
      </c>
      <c r="H1841">
        <v>3</v>
      </c>
      <c r="I1841">
        <v>2025</v>
      </c>
      <c r="J1841">
        <v>9</v>
      </c>
      <c r="K1841" t="s">
        <v>87</v>
      </c>
      <c r="L1841" t="s">
        <v>52</v>
      </c>
      <c r="M1841" t="s">
        <v>6</v>
      </c>
      <c r="N1841" t="b">
        <v>0</v>
      </c>
      <c r="O1841">
        <v>0</v>
      </c>
      <c r="P1841">
        <v>1</v>
      </c>
      <c r="Q1841">
        <v>0</v>
      </c>
      <c r="R1841">
        <v>0</v>
      </c>
    </row>
    <row r="1842" spans="1:18" x14ac:dyDescent="0.25">
      <c r="A1842" t="s">
        <v>10</v>
      </c>
      <c r="B1842" t="s">
        <v>6</v>
      </c>
      <c r="C1842">
        <v>2</v>
      </c>
      <c r="D1842">
        <v>4</v>
      </c>
      <c r="E1842">
        <v>1</v>
      </c>
      <c r="F1842" s="15">
        <v>45992</v>
      </c>
      <c r="G1842" t="s">
        <v>254</v>
      </c>
      <c r="H1842">
        <v>3</v>
      </c>
      <c r="I1842">
        <v>2025</v>
      </c>
      <c r="J1842">
        <v>12</v>
      </c>
      <c r="K1842" t="s">
        <v>87</v>
      </c>
      <c r="L1842" t="s">
        <v>41</v>
      </c>
      <c r="M1842" t="s">
        <v>6</v>
      </c>
      <c r="N1842" t="b">
        <v>0</v>
      </c>
      <c r="O1842">
        <v>0</v>
      </c>
      <c r="P1842">
        <v>1</v>
      </c>
      <c r="Q1842">
        <v>0</v>
      </c>
      <c r="R1842">
        <v>0</v>
      </c>
    </row>
    <row r="1843" spans="1:18" x14ac:dyDescent="0.25">
      <c r="A1843" t="s">
        <v>10</v>
      </c>
      <c r="B1843" t="s">
        <v>6</v>
      </c>
      <c r="C1843">
        <v>2</v>
      </c>
      <c r="D1843">
        <v>4</v>
      </c>
      <c r="E1843">
        <v>1</v>
      </c>
      <c r="F1843" s="15">
        <v>45992</v>
      </c>
      <c r="G1843" t="s">
        <v>254</v>
      </c>
      <c r="H1843">
        <v>3</v>
      </c>
      <c r="I1843">
        <v>2025</v>
      </c>
      <c r="J1843">
        <v>12</v>
      </c>
      <c r="K1843" t="s">
        <v>87</v>
      </c>
      <c r="L1843" t="s">
        <v>22</v>
      </c>
      <c r="M1843" t="s">
        <v>8</v>
      </c>
      <c r="N1843" t="b">
        <v>0</v>
      </c>
      <c r="O1843">
        <v>0</v>
      </c>
      <c r="P1843">
        <v>1</v>
      </c>
      <c r="Q1843">
        <v>0</v>
      </c>
      <c r="R1843">
        <v>1</v>
      </c>
    </row>
    <row r="1844" spans="1:18" x14ac:dyDescent="0.25">
      <c r="A1844" t="s">
        <v>41</v>
      </c>
      <c r="B1844" t="s">
        <v>6</v>
      </c>
      <c r="C1844">
        <v>1</v>
      </c>
      <c r="D1844">
        <v>4</v>
      </c>
      <c r="E1844">
        <v>1</v>
      </c>
      <c r="F1844" s="15">
        <v>45992</v>
      </c>
      <c r="G1844" t="s">
        <v>254</v>
      </c>
      <c r="H1844">
        <v>3</v>
      </c>
      <c r="I1844">
        <v>2025</v>
      </c>
      <c r="J1844">
        <v>12</v>
      </c>
      <c r="K1844" t="s">
        <v>87</v>
      </c>
      <c r="L1844" t="s">
        <v>10</v>
      </c>
      <c r="M1844" t="s">
        <v>6</v>
      </c>
      <c r="N1844" t="b">
        <v>0</v>
      </c>
      <c r="O1844">
        <v>0</v>
      </c>
      <c r="P1844">
        <v>1</v>
      </c>
      <c r="Q1844">
        <v>0</v>
      </c>
      <c r="R1844">
        <v>0</v>
      </c>
    </row>
    <row r="1845" spans="1:18" x14ac:dyDescent="0.25">
      <c r="A1845" t="s">
        <v>41</v>
      </c>
      <c r="B1845" t="s">
        <v>6</v>
      </c>
      <c r="C1845">
        <v>1</v>
      </c>
      <c r="D1845">
        <v>4</v>
      </c>
      <c r="E1845">
        <v>1</v>
      </c>
      <c r="F1845" s="15">
        <v>45992</v>
      </c>
      <c r="G1845" t="s">
        <v>254</v>
      </c>
      <c r="H1845">
        <v>3</v>
      </c>
      <c r="I1845">
        <v>2025</v>
      </c>
      <c r="J1845">
        <v>12</v>
      </c>
      <c r="K1845" t="s">
        <v>87</v>
      </c>
      <c r="L1845" t="s">
        <v>22</v>
      </c>
      <c r="M1845" t="s">
        <v>8</v>
      </c>
      <c r="N1845" t="b">
        <v>0</v>
      </c>
      <c r="O1845">
        <v>0</v>
      </c>
      <c r="P1845">
        <v>1</v>
      </c>
      <c r="Q1845">
        <v>0</v>
      </c>
      <c r="R1845">
        <v>1</v>
      </c>
    </row>
    <row r="1846" spans="1:18" x14ac:dyDescent="0.25">
      <c r="A1846" t="s">
        <v>22</v>
      </c>
      <c r="B1846" t="s">
        <v>8</v>
      </c>
      <c r="C1846">
        <v>3</v>
      </c>
      <c r="D1846">
        <v>4</v>
      </c>
      <c r="E1846">
        <v>1</v>
      </c>
      <c r="F1846" s="15">
        <v>45992</v>
      </c>
      <c r="G1846" t="s">
        <v>254</v>
      </c>
      <c r="H1846">
        <v>3</v>
      </c>
      <c r="I1846">
        <v>2025</v>
      </c>
      <c r="J1846">
        <v>12</v>
      </c>
      <c r="K1846" t="s">
        <v>87</v>
      </c>
      <c r="L1846" t="s">
        <v>10</v>
      </c>
      <c r="M1846" t="s">
        <v>6</v>
      </c>
      <c r="N1846" t="b">
        <v>0</v>
      </c>
      <c r="O1846">
        <v>1</v>
      </c>
      <c r="P1846">
        <v>0</v>
      </c>
      <c r="Q1846">
        <v>0</v>
      </c>
      <c r="R1846">
        <v>0</v>
      </c>
    </row>
    <row r="1847" spans="1:18" x14ac:dyDescent="0.25">
      <c r="A1847" t="s">
        <v>22</v>
      </c>
      <c r="B1847" t="s">
        <v>8</v>
      </c>
      <c r="C1847">
        <v>3</v>
      </c>
      <c r="D1847">
        <v>4</v>
      </c>
      <c r="E1847">
        <v>1</v>
      </c>
      <c r="F1847" s="15">
        <v>45992</v>
      </c>
      <c r="G1847" t="s">
        <v>254</v>
      </c>
      <c r="H1847">
        <v>3</v>
      </c>
      <c r="I1847">
        <v>2025</v>
      </c>
      <c r="J1847">
        <v>12</v>
      </c>
      <c r="K1847" t="s">
        <v>87</v>
      </c>
      <c r="L1847" t="s">
        <v>41</v>
      </c>
      <c r="M1847" t="s">
        <v>6</v>
      </c>
      <c r="N1847" t="b">
        <v>0</v>
      </c>
      <c r="O1847">
        <v>1</v>
      </c>
      <c r="P1847">
        <v>0</v>
      </c>
      <c r="Q1847">
        <v>0</v>
      </c>
      <c r="R1847">
        <v>0</v>
      </c>
    </row>
    <row r="1848" spans="1:18" x14ac:dyDescent="0.25">
      <c r="A1848" t="s">
        <v>10</v>
      </c>
      <c r="B1848" t="s">
        <v>6</v>
      </c>
      <c r="C1848">
        <v>2</v>
      </c>
      <c r="D1848">
        <v>4</v>
      </c>
      <c r="E1848">
        <v>2</v>
      </c>
      <c r="F1848" s="15">
        <v>45880</v>
      </c>
      <c r="G1848" t="s">
        <v>260</v>
      </c>
      <c r="H1848">
        <v>4</v>
      </c>
      <c r="I1848">
        <v>2025</v>
      </c>
      <c r="J1848">
        <v>8</v>
      </c>
      <c r="K1848" t="s">
        <v>87</v>
      </c>
      <c r="L1848" t="s">
        <v>436</v>
      </c>
      <c r="M1848" t="s">
        <v>8</v>
      </c>
      <c r="N1848" t="b">
        <v>0</v>
      </c>
      <c r="O1848">
        <v>0</v>
      </c>
      <c r="P1848">
        <v>1</v>
      </c>
      <c r="Q1848">
        <v>0</v>
      </c>
      <c r="R1848">
        <v>1</v>
      </c>
    </row>
    <row r="1849" spans="1:18" x14ac:dyDescent="0.25">
      <c r="A1849" t="s">
        <v>10</v>
      </c>
      <c r="B1849" t="s">
        <v>6</v>
      </c>
      <c r="C1849">
        <v>2</v>
      </c>
      <c r="D1849">
        <v>4</v>
      </c>
      <c r="E1849">
        <v>2</v>
      </c>
      <c r="F1849" s="15">
        <v>45880</v>
      </c>
      <c r="G1849" t="s">
        <v>260</v>
      </c>
      <c r="H1849">
        <v>4</v>
      </c>
      <c r="I1849">
        <v>2025</v>
      </c>
      <c r="J1849">
        <v>8</v>
      </c>
      <c r="K1849" t="s">
        <v>87</v>
      </c>
      <c r="L1849" t="s">
        <v>42</v>
      </c>
      <c r="M1849" t="s">
        <v>6</v>
      </c>
      <c r="N1849" t="b">
        <v>0</v>
      </c>
      <c r="O1849">
        <v>0</v>
      </c>
      <c r="P1849">
        <v>1</v>
      </c>
      <c r="Q1849">
        <v>0</v>
      </c>
      <c r="R1849">
        <v>0</v>
      </c>
    </row>
    <row r="1850" spans="1:18" x14ac:dyDescent="0.25">
      <c r="A1850" t="s">
        <v>10</v>
      </c>
      <c r="B1850" t="s">
        <v>6</v>
      </c>
      <c r="C1850">
        <v>2</v>
      </c>
      <c r="D1850">
        <v>4</v>
      </c>
      <c r="E1850">
        <v>2</v>
      </c>
      <c r="F1850" s="15">
        <v>45880</v>
      </c>
      <c r="G1850" t="s">
        <v>260</v>
      </c>
      <c r="H1850">
        <v>4</v>
      </c>
      <c r="I1850">
        <v>2025</v>
      </c>
      <c r="J1850">
        <v>8</v>
      </c>
      <c r="K1850" t="s">
        <v>87</v>
      </c>
      <c r="L1850" t="s">
        <v>17</v>
      </c>
      <c r="M1850" t="s">
        <v>6</v>
      </c>
      <c r="N1850" t="b">
        <v>0</v>
      </c>
      <c r="O1850">
        <v>0</v>
      </c>
      <c r="P1850">
        <v>1</v>
      </c>
      <c r="Q1850">
        <v>0</v>
      </c>
      <c r="R1850">
        <v>0</v>
      </c>
    </row>
    <row r="1851" spans="1:18" x14ac:dyDescent="0.25">
      <c r="A1851" t="s">
        <v>436</v>
      </c>
      <c r="B1851" t="s">
        <v>8</v>
      </c>
      <c r="C1851">
        <v>1</v>
      </c>
      <c r="D1851">
        <v>4</v>
      </c>
      <c r="E1851">
        <v>2</v>
      </c>
      <c r="F1851" s="15">
        <v>45880</v>
      </c>
      <c r="G1851" t="s">
        <v>260</v>
      </c>
      <c r="H1851">
        <v>4</v>
      </c>
      <c r="I1851">
        <v>2025</v>
      </c>
      <c r="J1851">
        <v>8</v>
      </c>
      <c r="K1851" t="s">
        <v>87</v>
      </c>
      <c r="L1851" t="s">
        <v>10</v>
      </c>
      <c r="M1851" t="s">
        <v>6</v>
      </c>
      <c r="N1851" t="b">
        <v>0</v>
      </c>
      <c r="O1851">
        <v>1</v>
      </c>
      <c r="P1851">
        <v>0</v>
      </c>
      <c r="Q1851">
        <v>0</v>
      </c>
      <c r="R1851">
        <v>0</v>
      </c>
    </row>
    <row r="1852" spans="1:18" x14ac:dyDescent="0.25">
      <c r="A1852" t="s">
        <v>436</v>
      </c>
      <c r="B1852" t="s">
        <v>8</v>
      </c>
      <c r="C1852">
        <v>1</v>
      </c>
      <c r="D1852">
        <v>4</v>
      </c>
      <c r="E1852">
        <v>2</v>
      </c>
      <c r="F1852" s="15">
        <v>45880</v>
      </c>
      <c r="G1852" t="s">
        <v>260</v>
      </c>
      <c r="H1852">
        <v>4</v>
      </c>
      <c r="I1852">
        <v>2025</v>
      </c>
      <c r="J1852">
        <v>8</v>
      </c>
      <c r="K1852" t="s">
        <v>87</v>
      </c>
      <c r="L1852" t="s">
        <v>42</v>
      </c>
      <c r="M1852" t="s">
        <v>6</v>
      </c>
      <c r="N1852" t="b">
        <v>0</v>
      </c>
      <c r="O1852">
        <v>1</v>
      </c>
      <c r="P1852">
        <v>0</v>
      </c>
      <c r="Q1852">
        <v>0</v>
      </c>
      <c r="R1852">
        <v>0</v>
      </c>
    </row>
    <row r="1853" spans="1:18" x14ac:dyDescent="0.25">
      <c r="A1853" t="s">
        <v>436</v>
      </c>
      <c r="B1853" t="s">
        <v>8</v>
      </c>
      <c r="C1853">
        <v>1</v>
      </c>
      <c r="D1853">
        <v>4</v>
      </c>
      <c r="E1853">
        <v>2</v>
      </c>
      <c r="F1853" s="15">
        <v>45880</v>
      </c>
      <c r="G1853" t="s">
        <v>260</v>
      </c>
      <c r="H1853">
        <v>4</v>
      </c>
      <c r="I1853">
        <v>2025</v>
      </c>
      <c r="J1853">
        <v>8</v>
      </c>
      <c r="K1853" t="s">
        <v>87</v>
      </c>
      <c r="L1853" t="s">
        <v>17</v>
      </c>
      <c r="M1853" t="s">
        <v>6</v>
      </c>
      <c r="N1853" t="b">
        <v>0</v>
      </c>
      <c r="O1853">
        <v>1</v>
      </c>
      <c r="P1853">
        <v>0</v>
      </c>
      <c r="Q1853">
        <v>0</v>
      </c>
      <c r="R1853">
        <v>0</v>
      </c>
    </row>
    <row r="1854" spans="1:18" x14ac:dyDescent="0.25">
      <c r="A1854" t="s">
        <v>42</v>
      </c>
      <c r="B1854" t="s">
        <v>6</v>
      </c>
      <c r="C1854">
        <v>3</v>
      </c>
      <c r="D1854">
        <v>4</v>
      </c>
      <c r="E1854">
        <v>2</v>
      </c>
      <c r="F1854" s="15">
        <v>45880</v>
      </c>
      <c r="G1854" t="s">
        <v>260</v>
      </c>
      <c r="H1854">
        <v>4</v>
      </c>
      <c r="I1854">
        <v>2025</v>
      </c>
      <c r="J1854">
        <v>8</v>
      </c>
      <c r="K1854" t="s">
        <v>87</v>
      </c>
      <c r="L1854" t="s">
        <v>10</v>
      </c>
      <c r="M1854" t="s">
        <v>6</v>
      </c>
      <c r="N1854" t="b">
        <v>0</v>
      </c>
      <c r="O1854">
        <v>0</v>
      </c>
      <c r="P1854">
        <v>1</v>
      </c>
      <c r="Q1854">
        <v>0</v>
      </c>
      <c r="R1854">
        <v>0</v>
      </c>
    </row>
    <row r="1855" spans="1:18" x14ac:dyDescent="0.25">
      <c r="A1855" t="s">
        <v>42</v>
      </c>
      <c r="B1855" t="s">
        <v>6</v>
      </c>
      <c r="C1855">
        <v>3</v>
      </c>
      <c r="D1855">
        <v>4</v>
      </c>
      <c r="E1855">
        <v>2</v>
      </c>
      <c r="F1855" s="15">
        <v>45880</v>
      </c>
      <c r="G1855" t="s">
        <v>260</v>
      </c>
      <c r="H1855">
        <v>4</v>
      </c>
      <c r="I1855">
        <v>2025</v>
      </c>
      <c r="J1855">
        <v>8</v>
      </c>
      <c r="K1855" t="s">
        <v>87</v>
      </c>
      <c r="L1855" t="s">
        <v>436</v>
      </c>
      <c r="M1855" t="s">
        <v>8</v>
      </c>
      <c r="N1855" t="b">
        <v>0</v>
      </c>
      <c r="O1855">
        <v>0</v>
      </c>
      <c r="P1855">
        <v>1</v>
      </c>
      <c r="Q1855">
        <v>0</v>
      </c>
      <c r="R1855">
        <v>1</v>
      </c>
    </row>
    <row r="1856" spans="1:18" x14ac:dyDescent="0.25">
      <c r="A1856" t="s">
        <v>42</v>
      </c>
      <c r="B1856" t="s">
        <v>6</v>
      </c>
      <c r="C1856">
        <v>3</v>
      </c>
      <c r="D1856">
        <v>4</v>
      </c>
      <c r="E1856">
        <v>2</v>
      </c>
      <c r="F1856" s="15">
        <v>45880</v>
      </c>
      <c r="G1856" t="s">
        <v>260</v>
      </c>
      <c r="H1856">
        <v>4</v>
      </c>
      <c r="I1856">
        <v>2025</v>
      </c>
      <c r="J1856">
        <v>8</v>
      </c>
      <c r="K1856" t="s">
        <v>87</v>
      </c>
      <c r="L1856" t="s">
        <v>17</v>
      </c>
      <c r="M1856" t="s">
        <v>6</v>
      </c>
      <c r="N1856" t="b">
        <v>0</v>
      </c>
      <c r="O1856">
        <v>0</v>
      </c>
      <c r="P1856">
        <v>1</v>
      </c>
      <c r="Q1856">
        <v>0</v>
      </c>
      <c r="R1856">
        <v>0</v>
      </c>
    </row>
    <row r="1857" spans="1:18" x14ac:dyDescent="0.25">
      <c r="A1857" t="s">
        <v>17</v>
      </c>
      <c r="B1857" t="s">
        <v>6</v>
      </c>
      <c r="C1857">
        <v>4</v>
      </c>
      <c r="D1857">
        <v>4</v>
      </c>
      <c r="E1857">
        <v>2</v>
      </c>
      <c r="F1857" s="15">
        <v>45880</v>
      </c>
      <c r="G1857" t="s">
        <v>260</v>
      </c>
      <c r="H1857">
        <v>4</v>
      </c>
      <c r="I1857">
        <v>2025</v>
      </c>
      <c r="J1857">
        <v>8</v>
      </c>
      <c r="K1857" t="s">
        <v>87</v>
      </c>
      <c r="L1857" t="s">
        <v>10</v>
      </c>
      <c r="M1857" t="s">
        <v>6</v>
      </c>
      <c r="N1857" t="b">
        <v>0</v>
      </c>
      <c r="O1857">
        <v>0</v>
      </c>
      <c r="P1857">
        <v>1</v>
      </c>
      <c r="Q1857">
        <v>0</v>
      </c>
      <c r="R1857">
        <v>0</v>
      </c>
    </row>
    <row r="1858" spans="1:18" x14ac:dyDescent="0.25">
      <c r="A1858" t="s">
        <v>17</v>
      </c>
      <c r="B1858" t="s">
        <v>6</v>
      </c>
      <c r="C1858">
        <v>4</v>
      </c>
      <c r="D1858">
        <v>4</v>
      </c>
      <c r="E1858">
        <v>2</v>
      </c>
      <c r="F1858" s="15">
        <v>45880</v>
      </c>
      <c r="G1858" t="s">
        <v>260</v>
      </c>
      <c r="H1858">
        <v>4</v>
      </c>
      <c r="I1858">
        <v>2025</v>
      </c>
      <c r="J1858">
        <v>8</v>
      </c>
      <c r="K1858" t="s">
        <v>87</v>
      </c>
      <c r="L1858" t="s">
        <v>436</v>
      </c>
      <c r="M1858" t="s">
        <v>8</v>
      </c>
      <c r="N1858" t="b">
        <v>0</v>
      </c>
      <c r="O1858">
        <v>0</v>
      </c>
      <c r="P1858">
        <v>1</v>
      </c>
      <c r="Q1858">
        <v>0</v>
      </c>
      <c r="R1858">
        <v>1</v>
      </c>
    </row>
    <row r="1859" spans="1:18" x14ac:dyDescent="0.25">
      <c r="A1859" t="s">
        <v>17</v>
      </c>
      <c r="B1859" t="s">
        <v>6</v>
      </c>
      <c r="C1859">
        <v>4</v>
      </c>
      <c r="D1859">
        <v>4</v>
      </c>
      <c r="E1859">
        <v>2</v>
      </c>
      <c r="F1859" s="15">
        <v>45880</v>
      </c>
      <c r="G1859" t="s">
        <v>260</v>
      </c>
      <c r="H1859">
        <v>4</v>
      </c>
      <c r="I1859">
        <v>2025</v>
      </c>
      <c r="J1859">
        <v>8</v>
      </c>
      <c r="K1859" t="s">
        <v>87</v>
      </c>
      <c r="L1859" t="s">
        <v>42</v>
      </c>
      <c r="M1859" t="s">
        <v>6</v>
      </c>
      <c r="N1859" t="b">
        <v>0</v>
      </c>
      <c r="O1859">
        <v>0</v>
      </c>
      <c r="P1859">
        <v>1</v>
      </c>
      <c r="Q1859">
        <v>0</v>
      </c>
      <c r="R1859">
        <v>0</v>
      </c>
    </row>
    <row r="1860" spans="1:18" x14ac:dyDescent="0.25">
      <c r="A1860" t="s">
        <v>10</v>
      </c>
      <c r="B1860" t="s">
        <v>6</v>
      </c>
      <c r="C1860">
        <v>2</v>
      </c>
      <c r="D1860">
        <v>4</v>
      </c>
      <c r="E1860">
        <v>2</v>
      </c>
      <c r="F1860" s="15">
        <v>45992</v>
      </c>
      <c r="G1860" t="s">
        <v>272</v>
      </c>
      <c r="H1860">
        <v>3</v>
      </c>
      <c r="I1860">
        <v>2025</v>
      </c>
      <c r="J1860">
        <v>12</v>
      </c>
      <c r="K1860" t="s">
        <v>87</v>
      </c>
      <c r="L1860" t="s">
        <v>20</v>
      </c>
      <c r="M1860" t="s">
        <v>6</v>
      </c>
      <c r="N1860" t="b">
        <v>0</v>
      </c>
      <c r="O1860">
        <v>0</v>
      </c>
      <c r="P1860">
        <v>1</v>
      </c>
      <c r="Q1860">
        <v>0</v>
      </c>
      <c r="R1860">
        <v>0</v>
      </c>
    </row>
    <row r="1861" spans="1:18" x14ac:dyDescent="0.25">
      <c r="A1861" t="s">
        <v>10</v>
      </c>
      <c r="B1861" t="s">
        <v>6</v>
      </c>
      <c r="C1861">
        <v>2</v>
      </c>
      <c r="D1861">
        <v>4</v>
      </c>
      <c r="E1861">
        <v>2</v>
      </c>
      <c r="F1861" s="15">
        <v>45992</v>
      </c>
      <c r="G1861" t="s">
        <v>272</v>
      </c>
      <c r="H1861">
        <v>3</v>
      </c>
      <c r="I1861">
        <v>2025</v>
      </c>
      <c r="J1861">
        <v>12</v>
      </c>
      <c r="K1861" t="s">
        <v>87</v>
      </c>
      <c r="L1861" t="s">
        <v>17</v>
      </c>
      <c r="M1861" t="s">
        <v>8</v>
      </c>
      <c r="N1861" t="b">
        <v>0</v>
      </c>
      <c r="O1861">
        <v>0</v>
      </c>
      <c r="P1861">
        <v>1</v>
      </c>
      <c r="Q1861">
        <v>0</v>
      </c>
      <c r="R1861">
        <v>1</v>
      </c>
    </row>
    <row r="1862" spans="1:18" x14ac:dyDescent="0.25">
      <c r="A1862" t="s">
        <v>20</v>
      </c>
      <c r="B1862" t="s">
        <v>6</v>
      </c>
      <c r="C1862">
        <v>3</v>
      </c>
      <c r="D1862">
        <v>4</v>
      </c>
      <c r="E1862">
        <v>2</v>
      </c>
      <c r="F1862" s="15">
        <v>45992</v>
      </c>
      <c r="G1862" t="s">
        <v>272</v>
      </c>
      <c r="H1862">
        <v>3</v>
      </c>
      <c r="I1862">
        <v>2025</v>
      </c>
      <c r="J1862">
        <v>12</v>
      </c>
      <c r="K1862" t="s">
        <v>87</v>
      </c>
      <c r="L1862" t="s">
        <v>10</v>
      </c>
      <c r="M1862" t="s">
        <v>6</v>
      </c>
      <c r="N1862" t="b">
        <v>0</v>
      </c>
      <c r="O1862">
        <v>0</v>
      </c>
      <c r="P1862">
        <v>1</v>
      </c>
      <c r="Q1862">
        <v>0</v>
      </c>
      <c r="R1862">
        <v>0</v>
      </c>
    </row>
    <row r="1863" spans="1:18" x14ac:dyDescent="0.25">
      <c r="A1863" t="s">
        <v>20</v>
      </c>
      <c r="B1863" t="s">
        <v>6</v>
      </c>
      <c r="C1863">
        <v>3</v>
      </c>
      <c r="D1863">
        <v>4</v>
      </c>
      <c r="E1863">
        <v>2</v>
      </c>
      <c r="F1863" s="15">
        <v>45992</v>
      </c>
      <c r="G1863" t="s">
        <v>272</v>
      </c>
      <c r="H1863">
        <v>3</v>
      </c>
      <c r="I1863">
        <v>2025</v>
      </c>
      <c r="J1863">
        <v>12</v>
      </c>
      <c r="K1863" t="s">
        <v>87</v>
      </c>
      <c r="L1863" t="s">
        <v>17</v>
      </c>
      <c r="M1863" t="s">
        <v>8</v>
      </c>
      <c r="N1863" t="b">
        <v>0</v>
      </c>
      <c r="O1863">
        <v>0</v>
      </c>
      <c r="P1863">
        <v>1</v>
      </c>
      <c r="Q1863">
        <v>0</v>
      </c>
      <c r="R1863">
        <v>1</v>
      </c>
    </row>
    <row r="1864" spans="1:18" x14ac:dyDescent="0.25">
      <c r="A1864" t="s">
        <v>17</v>
      </c>
      <c r="B1864" t="s">
        <v>8</v>
      </c>
      <c r="C1864">
        <v>1</v>
      </c>
      <c r="D1864">
        <v>4</v>
      </c>
      <c r="E1864">
        <v>2</v>
      </c>
      <c r="F1864" s="15">
        <v>45992</v>
      </c>
      <c r="G1864" t="s">
        <v>272</v>
      </c>
      <c r="H1864">
        <v>3</v>
      </c>
      <c r="I1864">
        <v>2025</v>
      </c>
      <c r="J1864">
        <v>12</v>
      </c>
      <c r="K1864" t="s">
        <v>87</v>
      </c>
      <c r="L1864" t="s">
        <v>10</v>
      </c>
      <c r="M1864" t="s">
        <v>6</v>
      </c>
      <c r="N1864" t="b">
        <v>0</v>
      </c>
      <c r="O1864">
        <v>1</v>
      </c>
      <c r="P1864">
        <v>0</v>
      </c>
      <c r="Q1864">
        <v>0</v>
      </c>
      <c r="R1864">
        <v>0</v>
      </c>
    </row>
    <row r="1865" spans="1:18" x14ac:dyDescent="0.25">
      <c r="A1865" t="s">
        <v>17</v>
      </c>
      <c r="B1865" t="s">
        <v>8</v>
      </c>
      <c r="C1865">
        <v>1</v>
      </c>
      <c r="D1865">
        <v>4</v>
      </c>
      <c r="E1865">
        <v>2</v>
      </c>
      <c r="F1865" s="15">
        <v>45992</v>
      </c>
      <c r="G1865" t="s">
        <v>272</v>
      </c>
      <c r="H1865">
        <v>3</v>
      </c>
      <c r="I1865">
        <v>2025</v>
      </c>
      <c r="J1865">
        <v>12</v>
      </c>
      <c r="K1865" t="s">
        <v>87</v>
      </c>
      <c r="L1865" t="s">
        <v>20</v>
      </c>
      <c r="M1865" t="s">
        <v>6</v>
      </c>
      <c r="N1865" t="b">
        <v>0</v>
      </c>
      <c r="O1865">
        <v>1</v>
      </c>
      <c r="P1865">
        <v>0</v>
      </c>
      <c r="Q1865">
        <v>0</v>
      </c>
      <c r="R1865">
        <v>0</v>
      </c>
    </row>
    <row r="1866" spans="1:18" x14ac:dyDescent="0.25">
      <c r="A1866" t="s">
        <v>10</v>
      </c>
      <c r="B1866" t="s">
        <v>6</v>
      </c>
      <c r="C1866">
        <v>2</v>
      </c>
      <c r="D1866">
        <v>4</v>
      </c>
      <c r="E1866">
        <v>2</v>
      </c>
      <c r="F1866" s="15">
        <v>45999</v>
      </c>
      <c r="G1866" t="s">
        <v>273</v>
      </c>
      <c r="H1866">
        <v>3</v>
      </c>
      <c r="I1866">
        <v>2025</v>
      </c>
      <c r="J1866">
        <v>12</v>
      </c>
      <c r="K1866" t="s">
        <v>87</v>
      </c>
      <c r="L1866" t="s">
        <v>57</v>
      </c>
      <c r="M1866" t="s">
        <v>6</v>
      </c>
      <c r="N1866" t="b">
        <v>0</v>
      </c>
      <c r="O1866">
        <v>0</v>
      </c>
      <c r="P1866">
        <v>1</v>
      </c>
      <c r="Q1866">
        <v>0</v>
      </c>
      <c r="R1866">
        <v>0</v>
      </c>
    </row>
    <row r="1867" spans="1:18" x14ac:dyDescent="0.25">
      <c r="A1867" t="s">
        <v>10</v>
      </c>
      <c r="B1867" t="s">
        <v>6</v>
      </c>
      <c r="C1867">
        <v>2</v>
      </c>
      <c r="D1867">
        <v>4</v>
      </c>
      <c r="E1867">
        <v>2</v>
      </c>
      <c r="F1867" s="15">
        <v>45999</v>
      </c>
      <c r="G1867" t="s">
        <v>273</v>
      </c>
      <c r="H1867">
        <v>3</v>
      </c>
      <c r="I1867">
        <v>2025</v>
      </c>
      <c r="J1867">
        <v>12</v>
      </c>
      <c r="K1867" t="s">
        <v>87</v>
      </c>
      <c r="L1867" t="s">
        <v>17</v>
      </c>
      <c r="M1867" t="s">
        <v>8</v>
      </c>
      <c r="N1867" t="b">
        <v>0</v>
      </c>
      <c r="O1867">
        <v>0</v>
      </c>
      <c r="P1867">
        <v>1</v>
      </c>
      <c r="Q1867">
        <v>0</v>
      </c>
      <c r="R1867">
        <v>1</v>
      </c>
    </row>
    <row r="1868" spans="1:18" x14ac:dyDescent="0.25">
      <c r="A1868" t="s">
        <v>57</v>
      </c>
      <c r="B1868" t="s">
        <v>6</v>
      </c>
      <c r="C1868">
        <v>1</v>
      </c>
      <c r="D1868">
        <v>4</v>
      </c>
      <c r="E1868">
        <v>2</v>
      </c>
      <c r="F1868" s="15">
        <v>45999</v>
      </c>
      <c r="G1868" t="s">
        <v>273</v>
      </c>
      <c r="H1868">
        <v>3</v>
      </c>
      <c r="I1868">
        <v>2025</v>
      </c>
      <c r="J1868">
        <v>12</v>
      </c>
      <c r="K1868" t="s">
        <v>87</v>
      </c>
      <c r="L1868" t="s">
        <v>10</v>
      </c>
      <c r="M1868" t="s">
        <v>6</v>
      </c>
      <c r="N1868" t="b">
        <v>0</v>
      </c>
      <c r="O1868">
        <v>0</v>
      </c>
      <c r="P1868">
        <v>1</v>
      </c>
      <c r="Q1868">
        <v>0</v>
      </c>
      <c r="R1868">
        <v>0</v>
      </c>
    </row>
    <row r="1869" spans="1:18" x14ac:dyDescent="0.25">
      <c r="A1869" t="s">
        <v>57</v>
      </c>
      <c r="B1869" t="s">
        <v>6</v>
      </c>
      <c r="C1869">
        <v>1</v>
      </c>
      <c r="D1869">
        <v>4</v>
      </c>
      <c r="E1869">
        <v>2</v>
      </c>
      <c r="F1869" s="15">
        <v>45999</v>
      </c>
      <c r="G1869" t="s">
        <v>273</v>
      </c>
      <c r="H1869">
        <v>3</v>
      </c>
      <c r="I1869">
        <v>2025</v>
      </c>
      <c r="J1869">
        <v>12</v>
      </c>
      <c r="K1869" t="s">
        <v>87</v>
      </c>
      <c r="L1869" t="s">
        <v>17</v>
      </c>
      <c r="M1869" t="s">
        <v>8</v>
      </c>
      <c r="N1869" t="b">
        <v>0</v>
      </c>
      <c r="O1869">
        <v>0</v>
      </c>
      <c r="P1869">
        <v>1</v>
      </c>
      <c r="Q1869">
        <v>0</v>
      </c>
      <c r="R1869">
        <v>1</v>
      </c>
    </row>
    <row r="1870" spans="1:18" x14ac:dyDescent="0.25">
      <c r="A1870" t="s">
        <v>17</v>
      </c>
      <c r="B1870" t="s">
        <v>8</v>
      </c>
      <c r="C1870">
        <v>3</v>
      </c>
      <c r="D1870">
        <v>4</v>
      </c>
      <c r="E1870">
        <v>2</v>
      </c>
      <c r="F1870" s="15">
        <v>45999</v>
      </c>
      <c r="G1870" t="s">
        <v>273</v>
      </c>
      <c r="H1870">
        <v>3</v>
      </c>
      <c r="I1870">
        <v>2025</v>
      </c>
      <c r="J1870">
        <v>12</v>
      </c>
      <c r="K1870" t="s">
        <v>87</v>
      </c>
      <c r="L1870" t="s">
        <v>10</v>
      </c>
      <c r="M1870" t="s">
        <v>6</v>
      </c>
      <c r="N1870" t="b">
        <v>0</v>
      </c>
      <c r="O1870">
        <v>1</v>
      </c>
      <c r="P1870">
        <v>0</v>
      </c>
      <c r="Q1870">
        <v>0</v>
      </c>
      <c r="R1870">
        <v>0</v>
      </c>
    </row>
    <row r="1871" spans="1:18" x14ac:dyDescent="0.25">
      <c r="A1871" t="s">
        <v>17</v>
      </c>
      <c r="B1871" t="s">
        <v>8</v>
      </c>
      <c r="C1871">
        <v>3</v>
      </c>
      <c r="D1871">
        <v>4</v>
      </c>
      <c r="E1871">
        <v>2</v>
      </c>
      <c r="F1871" s="15">
        <v>45999</v>
      </c>
      <c r="G1871" t="s">
        <v>273</v>
      </c>
      <c r="H1871">
        <v>3</v>
      </c>
      <c r="I1871">
        <v>2025</v>
      </c>
      <c r="J1871">
        <v>12</v>
      </c>
      <c r="K1871" t="s">
        <v>87</v>
      </c>
      <c r="L1871" t="s">
        <v>57</v>
      </c>
      <c r="M1871" t="s">
        <v>6</v>
      </c>
      <c r="N1871" t="b">
        <v>0</v>
      </c>
      <c r="O1871">
        <v>1</v>
      </c>
      <c r="P1871">
        <v>0</v>
      </c>
      <c r="Q1871">
        <v>0</v>
      </c>
      <c r="R1871">
        <v>0</v>
      </c>
    </row>
    <row r="1872" spans="1:18" x14ac:dyDescent="0.25">
      <c r="A1872" t="s">
        <v>10</v>
      </c>
      <c r="B1872" t="s">
        <v>63</v>
      </c>
      <c r="C1872">
        <v>3</v>
      </c>
      <c r="D1872">
        <v>5</v>
      </c>
      <c r="E1872">
        <v>2</v>
      </c>
      <c r="F1872" s="15">
        <v>45964</v>
      </c>
      <c r="G1872" t="s">
        <v>280</v>
      </c>
      <c r="H1872">
        <v>4</v>
      </c>
      <c r="I1872">
        <v>2025</v>
      </c>
      <c r="J1872">
        <v>11</v>
      </c>
      <c r="K1872" t="s">
        <v>87</v>
      </c>
      <c r="L1872" t="s">
        <v>27</v>
      </c>
      <c r="M1872" t="s">
        <v>63</v>
      </c>
      <c r="N1872" t="b">
        <v>0</v>
      </c>
      <c r="O1872">
        <v>0</v>
      </c>
      <c r="P1872">
        <v>0</v>
      </c>
      <c r="Q1872">
        <v>1</v>
      </c>
      <c r="R1872">
        <v>0</v>
      </c>
    </row>
    <row r="1873" spans="1:18" x14ac:dyDescent="0.25">
      <c r="A1873" t="s">
        <v>10</v>
      </c>
      <c r="B1873" t="s">
        <v>63</v>
      </c>
      <c r="C1873">
        <v>3</v>
      </c>
      <c r="D1873">
        <v>5</v>
      </c>
      <c r="E1873">
        <v>2</v>
      </c>
      <c r="F1873" s="15">
        <v>45964</v>
      </c>
      <c r="G1873" t="s">
        <v>280</v>
      </c>
      <c r="H1873">
        <v>4</v>
      </c>
      <c r="I1873">
        <v>2025</v>
      </c>
      <c r="J1873">
        <v>11</v>
      </c>
      <c r="K1873" t="s">
        <v>87</v>
      </c>
      <c r="L1873" t="s">
        <v>22</v>
      </c>
      <c r="M1873" t="s">
        <v>63</v>
      </c>
      <c r="N1873" t="b">
        <v>0</v>
      </c>
      <c r="O1873">
        <v>0</v>
      </c>
      <c r="P1873">
        <v>0</v>
      </c>
      <c r="Q1873">
        <v>1</v>
      </c>
      <c r="R1873">
        <v>0</v>
      </c>
    </row>
    <row r="1874" spans="1:18" x14ac:dyDescent="0.25">
      <c r="A1874" t="s">
        <v>10</v>
      </c>
      <c r="B1874" t="s">
        <v>63</v>
      </c>
      <c r="C1874">
        <v>3</v>
      </c>
      <c r="D1874">
        <v>5</v>
      </c>
      <c r="E1874">
        <v>2</v>
      </c>
      <c r="F1874" s="15">
        <v>45964</v>
      </c>
      <c r="G1874" t="s">
        <v>280</v>
      </c>
      <c r="H1874">
        <v>4</v>
      </c>
      <c r="I1874">
        <v>2025</v>
      </c>
      <c r="J1874">
        <v>11</v>
      </c>
      <c r="K1874" t="s">
        <v>87</v>
      </c>
      <c r="L1874" t="s">
        <v>9</v>
      </c>
      <c r="M1874" t="s">
        <v>63</v>
      </c>
      <c r="N1874" t="b">
        <v>0</v>
      </c>
      <c r="O1874">
        <v>0</v>
      </c>
      <c r="P1874">
        <v>0</v>
      </c>
      <c r="Q1874">
        <v>1</v>
      </c>
      <c r="R1874">
        <v>0</v>
      </c>
    </row>
    <row r="1875" spans="1:18" x14ac:dyDescent="0.25">
      <c r="A1875" t="s">
        <v>27</v>
      </c>
      <c r="B1875" t="s">
        <v>63</v>
      </c>
      <c r="C1875">
        <v>1</v>
      </c>
      <c r="D1875">
        <v>5</v>
      </c>
      <c r="E1875">
        <v>2</v>
      </c>
      <c r="F1875" s="15">
        <v>45964</v>
      </c>
      <c r="G1875" t="s">
        <v>280</v>
      </c>
      <c r="H1875">
        <v>4</v>
      </c>
      <c r="I1875">
        <v>2025</v>
      </c>
      <c r="J1875">
        <v>11</v>
      </c>
      <c r="K1875" t="s">
        <v>87</v>
      </c>
      <c r="L1875" t="s">
        <v>10</v>
      </c>
      <c r="M1875" t="s">
        <v>63</v>
      </c>
      <c r="N1875" t="b">
        <v>0</v>
      </c>
      <c r="O1875">
        <v>0</v>
      </c>
      <c r="P1875">
        <v>0</v>
      </c>
      <c r="Q1875">
        <v>1</v>
      </c>
      <c r="R1875">
        <v>0</v>
      </c>
    </row>
    <row r="1876" spans="1:18" x14ac:dyDescent="0.25">
      <c r="A1876" t="s">
        <v>27</v>
      </c>
      <c r="B1876" t="s">
        <v>63</v>
      </c>
      <c r="C1876">
        <v>1</v>
      </c>
      <c r="D1876">
        <v>5</v>
      </c>
      <c r="E1876">
        <v>2</v>
      </c>
      <c r="F1876" s="15">
        <v>45964</v>
      </c>
      <c r="G1876" t="s">
        <v>280</v>
      </c>
      <c r="H1876">
        <v>4</v>
      </c>
      <c r="I1876">
        <v>2025</v>
      </c>
      <c r="J1876">
        <v>11</v>
      </c>
      <c r="K1876" t="s">
        <v>87</v>
      </c>
      <c r="L1876" t="s">
        <v>22</v>
      </c>
      <c r="M1876" t="s">
        <v>63</v>
      </c>
      <c r="N1876" t="b">
        <v>0</v>
      </c>
      <c r="O1876">
        <v>0</v>
      </c>
      <c r="P1876">
        <v>0</v>
      </c>
      <c r="Q1876">
        <v>1</v>
      </c>
      <c r="R1876">
        <v>0</v>
      </c>
    </row>
    <row r="1877" spans="1:18" x14ac:dyDescent="0.25">
      <c r="A1877" t="s">
        <v>27</v>
      </c>
      <c r="B1877" t="s">
        <v>63</v>
      </c>
      <c r="C1877">
        <v>1</v>
      </c>
      <c r="D1877">
        <v>5</v>
      </c>
      <c r="E1877">
        <v>2</v>
      </c>
      <c r="F1877" s="15">
        <v>45964</v>
      </c>
      <c r="G1877" t="s">
        <v>280</v>
      </c>
      <c r="H1877">
        <v>4</v>
      </c>
      <c r="I1877">
        <v>2025</v>
      </c>
      <c r="J1877">
        <v>11</v>
      </c>
      <c r="K1877" t="s">
        <v>87</v>
      </c>
      <c r="L1877" t="s">
        <v>9</v>
      </c>
      <c r="M1877" t="s">
        <v>63</v>
      </c>
      <c r="N1877" t="b">
        <v>0</v>
      </c>
      <c r="O1877">
        <v>0</v>
      </c>
      <c r="P1877">
        <v>0</v>
      </c>
      <c r="Q1877">
        <v>1</v>
      </c>
      <c r="R1877">
        <v>0</v>
      </c>
    </row>
    <row r="1878" spans="1:18" x14ac:dyDescent="0.25">
      <c r="A1878" t="s">
        <v>22</v>
      </c>
      <c r="B1878" t="s">
        <v>63</v>
      </c>
      <c r="C1878">
        <v>2</v>
      </c>
      <c r="D1878">
        <v>5</v>
      </c>
      <c r="E1878">
        <v>2</v>
      </c>
      <c r="F1878" s="15">
        <v>45964</v>
      </c>
      <c r="G1878" t="s">
        <v>280</v>
      </c>
      <c r="H1878">
        <v>4</v>
      </c>
      <c r="I1878">
        <v>2025</v>
      </c>
      <c r="J1878">
        <v>11</v>
      </c>
      <c r="K1878" t="s">
        <v>87</v>
      </c>
      <c r="L1878" t="s">
        <v>10</v>
      </c>
      <c r="M1878" t="s">
        <v>63</v>
      </c>
      <c r="N1878" t="b">
        <v>0</v>
      </c>
      <c r="O1878">
        <v>0</v>
      </c>
      <c r="P1878">
        <v>0</v>
      </c>
      <c r="Q1878">
        <v>1</v>
      </c>
      <c r="R1878">
        <v>0</v>
      </c>
    </row>
    <row r="1879" spans="1:18" x14ac:dyDescent="0.25">
      <c r="A1879" t="s">
        <v>22</v>
      </c>
      <c r="B1879" t="s">
        <v>63</v>
      </c>
      <c r="C1879">
        <v>2</v>
      </c>
      <c r="D1879">
        <v>5</v>
      </c>
      <c r="E1879">
        <v>2</v>
      </c>
      <c r="F1879" s="15">
        <v>45964</v>
      </c>
      <c r="G1879" t="s">
        <v>280</v>
      </c>
      <c r="H1879">
        <v>4</v>
      </c>
      <c r="I1879">
        <v>2025</v>
      </c>
      <c r="J1879">
        <v>11</v>
      </c>
      <c r="K1879" t="s">
        <v>87</v>
      </c>
      <c r="L1879" t="s">
        <v>27</v>
      </c>
      <c r="M1879" t="s">
        <v>63</v>
      </c>
      <c r="N1879" t="b">
        <v>0</v>
      </c>
      <c r="O1879">
        <v>0</v>
      </c>
      <c r="P1879">
        <v>0</v>
      </c>
      <c r="Q1879">
        <v>1</v>
      </c>
      <c r="R1879">
        <v>0</v>
      </c>
    </row>
    <row r="1880" spans="1:18" x14ac:dyDescent="0.25">
      <c r="A1880" t="s">
        <v>22</v>
      </c>
      <c r="B1880" t="s">
        <v>63</v>
      </c>
      <c r="C1880">
        <v>2</v>
      </c>
      <c r="D1880">
        <v>5</v>
      </c>
      <c r="E1880">
        <v>2</v>
      </c>
      <c r="F1880" s="15">
        <v>45964</v>
      </c>
      <c r="G1880" t="s">
        <v>280</v>
      </c>
      <c r="H1880">
        <v>4</v>
      </c>
      <c r="I1880">
        <v>2025</v>
      </c>
      <c r="J1880">
        <v>11</v>
      </c>
      <c r="K1880" t="s">
        <v>87</v>
      </c>
      <c r="L1880" t="s">
        <v>9</v>
      </c>
      <c r="M1880" t="s">
        <v>63</v>
      </c>
      <c r="N1880" t="b">
        <v>0</v>
      </c>
      <c r="O1880">
        <v>0</v>
      </c>
      <c r="P1880">
        <v>0</v>
      </c>
      <c r="Q1880">
        <v>1</v>
      </c>
      <c r="R1880">
        <v>0</v>
      </c>
    </row>
    <row r="1881" spans="1:18" x14ac:dyDescent="0.25">
      <c r="A1881" t="s">
        <v>9</v>
      </c>
      <c r="B1881" t="s">
        <v>63</v>
      </c>
      <c r="C1881">
        <v>4</v>
      </c>
      <c r="D1881">
        <v>5</v>
      </c>
      <c r="E1881">
        <v>2</v>
      </c>
      <c r="F1881" s="15">
        <v>45964</v>
      </c>
      <c r="G1881" t="s">
        <v>280</v>
      </c>
      <c r="H1881">
        <v>4</v>
      </c>
      <c r="I1881">
        <v>2025</v>
      </c>
      <c r="J1881">
        <v>11</v>
      </c>
      <c r="K1881" t="s">
        <v>87</v>
      </c>
      <c r="L1881" t="s">
        <v>10</v>
      </c>
      <c r="M1881" t="s">
        <v>63</v>
      </c>
      <c r="N1881" t="b">
        <v>0</v>
      </c>
      <c r="O1881">
        <v>0</v>
      </c>
      <c r="P1881">
        <v>0</v>
      </c>
      <c r="Q1881">
        <v>1</v>
      </c>
      <c r="R1881">
        <v>0</v>
      </c>
    </row>
    <row r="1882" spans="1:18" x14ac:dyDescent="0.25">
      <c r="A1882" t="s">
        <v>9</v>
      </c>
      <c r="B1882" t="s">
        <v>63</v>
      </c>
      <c r="C1882">
        <v>4</v>
      </c>
      <c r="D1882">
        <v>5</v>
      </c>
      <c r="E1882">
        <v>2</v>
      </c>
      <c r="F1882" s="15">
        <v>45964</v>
      </c>
      <c r="G1882" t="s">
        <v>280</v>
      </c>
      <c r="H1882">
        <v>4</v>
      </c>
      <c r="I1882">
        <v>2025</v>
      </c>
      <c r="J1882">
        <v>11</v>
      </c>
      <c r="K1882" t="s">
        <v>87</v>
      </c>
      <c r="L1882" t="s">
        <v>27</v>
      </c>
      <c r="M1882" t="s">
        <v>63</v>
      </c>
      <c r="N1882" t="b">
        <v>0</v>
      </c>
      <c r="O1882">
        <v>0</v>
      </c>
      <c r="P1882">
        <v>0</v>
      </c>
      <c r="Q1882">
        <v>1</v>
      </c>
      <c r="R1882">
        <v>0</v>
      </c>
    </row>
    <row r="1883" spans="1:18" x14ac:dyDescent="0.25">
      <c r="A1883" t="s">
        <v>9</v>
      </c>
      <c r="B1883" t="s">
        <v>63</v>
      </c>
      <c r="C1883">
        <v>4</v>
      </c>
      <c r="D1883">
        <v>5</v>
      </c>
      <c r="E1883">
        <v>2</v>
      </c>
      <c r="F1883" s="15">
        <v>45964</v>
      </c>
      <c r="G1883" t="s">
        <v>280</v>
      </c>
      <c r="H1883">
        <v>4</v>
      </c>
      <c r="I1883">
        <v>2025</v>
      </c>
      <c r="J1883">
        <v>11</v>
      </c>
      <c r="K1883" t="s">
        <v>87</v>
      </c>
      <c r="L1883" t="s">
        <v>22</v>
      </c>
      <c r="M1883" t="s">
        <v>63</v>
      </c>
      <c r="N1883" t="b">
        <v>0</v>
      </c>
      <c r="O1883">
        <v>0</v>
      </c>
      <c r="P1883">
        <v>0</v>
      </c>
      <c r="Q1883">
        <v>1</v>
      </c>
      <c r="R1883">
        <v>0</v>
      </c>
    </row>
    <row r="1884" spans="1:18" x14ac:dyDescent="0.25">
      <c r="A1884" t="s">
        <v>10</v>
      </c>
      <c r="B1884" t="s">
        <v>6</v>
      </c>
      <c r="C1884">
        <v>2</v>
      </c>
      <c r="D1884">
        <v>4</v>
      </c>
      <c r="E1884">
        <v>1</v>
      </c>
      <c r="F1884" s="15">
        <v>46020</v>
      </c>
      <c r="G1884" t="s">
        <v>257</v>
      </c>
      <c r="H1884">
        <v>4</v>
      </c>
      <c r="I1884">
        <v>2025</v>
      </c>
      <c r="J1884">
        <v>12</v>
      </c>
      <c r="K1884" t="s">
        <v>87</v>
      </c>
      <c r="L1884" t="s">
        <v>20</v>
      </c>
      <c r="M1884" t="s">
        <v>8</v>
      </c>
      <c r="N1884" t="b">
        <v>0</v>
      </c>
      <c r="O1884">
        <v>0</v>
      </c>
      <c r="P1884">
        <v>1</v>
      </c>
      <c r="Q1884">
        <v>0</v>
      </c>
      <c r="R1884">
        <v>1</v>
      </c>
    </row>
    <row r="1885" spans="1:18" x14ac:dyDescent="0.25">
      <c r="A1885" t="s">
        <v>10</v>
      </c>
      <c r="B1885" t="s">
        <v>6</v>
      </c>
      <c r="C1885">
        <v>2</v>
      </c>
      <c r="D1885">
        <v>4</v>
      </c>
      <c r="E1885">
        <v>1</v>
      </c>
      <c r="F1885" s="15">
        <v>46020</v>
      </c>
      <c r="G1885" t="s">
        <v>257</v>
      </c>
      <c r="H1885">
        <v>4</v>
      </c>
      <c r="I1885">
        <v>2025</v>
      </c>
      <c r="J1885">
        <v>12</v>
      </c>
      <c r="K1885" t="s">
        <v>87</v>
      </c>
      <c r="L1885" t="s">
        <v>11</v>
      </c>
      <c r="M1885" t="s">
        <v>6</v>
      </c>
      <c r="N1885" t="b">
        <v>0</v>
      </c>
      <c r="O1885">
        <v>0</v>
      </c>
      <c r="P1885">
        <v>1</v>
      </c>
      <c r="Q1885">
        <v>0</v>
      </c>
      <c r="R1885">
        <v>0</v>
      </c>
    </row>
    <row r="1886" spans="1:18" x14ac:dyDescent="0.25">
      <c r="A1886" t="s">
        <v>10</v>
      </c>
      <c r="B1886" t="s">
        <v>6</v>
      </c>
      <c r="C1886">
        <v>2</v>
      </c>
      <c r="D1886">
        <v>4</v>
      </c>
      <c r="E1886">
        <v>1</v>
      </c>
      <c r="F1886" s="15">
        <v>46020</v>
      </c>
      <c r="G1886" t="s">
        <v>257</v>
      </c>
      <c r="H1886">
        <v>4</v>
      </c>
      <c r="I1886">
        <v>2025</v>
      </c>
      <c r="J1886">
        <v>12</v>
      </c>
      <c r="K1886" t="s">
        <v>87</v>
      </c>
      <c r="L1886" t="s">
        <v>22</v>
      </c>
      <c r="M1886" t="s">
        <v>6</v>
      </c>
      <c r="N1886" t="b">
        <v>0</v>
      </c>
      <c r="O1886">
        <v>0</v>
      </c>
      <c r="P1886">
        <v>1</v>
      </c>
      <c r="Q1886">
        <v>0</v>
      </c>
      <c r="R1886">
        <v>0</v>
      </c>
    </row>
    <row r="1887" spans="1:18" x14ac:dyDescent="0.25">
      <c r="A1887" t="s">
        <v>20</v>
      </c>
      <c r="B1887" t="s">
        <v>8</v>
      </c>
      <c r="C1887">
        <v>1</v>
      </c>
      <c r="D1887">
        <v>4</v>
      </c>
      <c r="E1887">
        <v>1</v>
      </c>
      <c r="F1887" s="15">
        <v>46020</v>
      </c>
      <c r="G1887" t="s">
        <v>257</v>
      </c>
      <c r="H1887">
        <v>4</v>
      </c>
      <c r="I1887">
        <v>2025</v>
      </c>
      <c r="J1887">
        <v>12</v>
      </c>
      <c r="K1887" t="s">
        <v>87</v>
      </c>
      <c r="L1887" t="s">
        <v>10</v>
      </c>
      <c r="M1887" t="s">
        <v>6</v>
      </c>
      <c r="N1887" t="b">
        <v>0</v>
      </c>
      <c r="O1887">
        <v>1</v>
      </c>
      <c r="P1887">
        <v>0</v>
      </c>
      <c r="Q1887">
        <v>0</v>
      </c>
      <c r="R1887">
        <v>0</v>
      </c>
    </row>
    <row r="1888" spans="1:18" x14ac:dyDescent="0.25">
      <c r="A1888" t="s">
        <v>20</v>
      </c>
      <c r="B1888" t="s">
        <v>8</v>
      </c>
      <c r="C1888">
        <v>1</v>
      </c>
      <c r="D1888">
        <v>4</v>
      </c>
      <c r="E1888">
        <v>1</v>
      </c>
      <c r="F1888" s="15">
        <v>46020</v>
      </c>
      <c r="G1888" t="s">
        <v>257</v>
      </c>
      <c r="H1888">
        <v>4</v>
      </c>
      <c r="I1888">
        <v>2025</v>
      </c>
      <c r="J1888">
        <v>12</v>
      </c>
      <c r="K1888" t="s">
        <v>87</v>
      </c>
      <c r="L1888" t="s">
        <v>11</v>
      </c>
      <c r="M1888" t="s">
        <v>6</v>
      </c>
      <c r="N1888" t="b">
        <v>0</v>
      </c>
      <c r="O1888">
        <v>1</v>
      </c>
      <c r="P1888">
        <v>0</v>
      </c>
      <c r="Q1888">
        <v>0</v>
      </c>
      <c r="R1888">
        <v>0</v>
      </c>
    </row>
    <row r="1889" spans="1:18" x14ac:dyDescent="0.25">
      <c r="A1889" t="s">
        <v>20</v>
      </c>
      <c r="B1889" t="s">
        <v>8</v>
      </c>
      <c r="C1889">
        <v>1</v>
      </c>
      <c r="D1889">
        <v>4</v>
      </c>
      <c r="E1889">
        <v>1</v>
      </c>
      <c r="F1889" s="15">
        <v>46020</v>
      </c>
      <c r="G1889" t="s">
        <v>257</v>
      </c>
      <c r="H1889">
        <v>4</v>
      </c>
      <c r="I1889">
        <v>2025</v>
      </c>
      <c r="J1889">
        <v>12</v>
      </c>
      <c r="K1889" t="s">
        <v>87</v>
      </c>
      <c r="L1889" t="s">
        <v>22</v>
      </c>
      <c r="M1889" t="s">
        <v>6</v>
      </c>
      <c r="N1889" t="b">
        <v>0</v>
      </c>
      <c r="O1889">
        <v>1</v>
      </c>
      <c r="P1889">
        <v>0</v>
      </c>
      <c r="Q1889">
        <v>0</v>
      </c>
      <c r="R1889">
        <v>0</v>
      </c>
    </row>
    <row r="1890" spans="1:18" x14ac:dyDescent="0.25">
      <c r="A1890" t="s">
        <v>11</v>
      </c>
      <c r="B1890" t="s">
        <v>6</v>
      </c>
      <c r="C1890">
        <v>3</v>
      </c>
      <c r="D1890">
        <v>4</v>
      </c>
      <c r="E1890">
        <v>1</v>
      </c>
      <c r="F1890" s="15">
        <v>46020</v>
      </c>
      <c r="G1890" t="s">
        <v>257</v>
      </c>
      <c r="H1890">
        <v>4</v>
      </c>
      <c r="I1890">
        <v>2025</v>
      </c>
      <c r="J1890">
        <v>12</v>
      </c>
      <c r="K1890" t="s">
        <v>87</v>
      </c>
      <c r="L1890" t="s">
        <v>10</v>
      </c>
      <c r="M1890" t="s">
        <v>6</v>
      </c>
      <c r="N1890" t="b">
        <v>0</v>
      </c>
      <c r="O1890">
        <v>0</v>
      </c>
      <c r="P1890">
        <v>1</v>
      </c>
      <c r="Q1890">
        <v>0</v>
      </c>
      <c r="R1890">
        <v>0</v>
      </c>
    </row>
    <row r="1891" spans="1:18" x14ac:dyDescent="0.25">
      <c r="A1891" t="s">
        <v>11</v>
      </c>
      <c r="B1891" t="s">
        <v>6</v>
      </c>
      <c r="C1891">
        <v>3</v>
      </c>
      <c r="D1891">
        <v>4</v>
      </c>
      <c r="E1891">
        <v>1</v>
      </c>
      <c r="F1891" s="15">
        <v>46020</v>
      </c>
      <c r="G1891" t="s">
        <v>257</v>
      </c>
      <c r="H1891">
        <v>4</v>
      </c>
      <c r="I1891">
        <v>2025</v>
      </c>
      <c r="J1891">
        <v>12</v>
      </c>
      <c r="K1891" t="s">
        <v>87</v>
      </c>
      <c r="L1891" t="s">
        <v>20</v>
      </c>
      <c r="M1891" t="s">
        <v>8</v>
      </c>
      <c r="N1891" t="b">
        <v>0</v>
      </c>
      <c r="O1891">
        <v>0</v>
      </c>
      <c r="P1891">
        <v>1</v>
      </c>
      <c r="Q1891">
        <v>0</v>
      </c>
      <c r="R1891">
        <v>1</v>
      </c>
    </row>
    <row r="1892" spans="1:18" x14ac:dyDescent="0.25">
      <c r="A1892" t="s">
        <v>11</v>
      </c>
      <c r="B1892" t="s">
        <v>6</v>
      </c>
      <c r="C1892">
        <v>3</v>
      </c>
      <c r="D1892">
        <v>4</v>
      </c>
      <c r="E1892">
        <v>1</v>
      </c>
      <c r="F1892" s="15">
        <v>46020</v>
      </c>
      <c r="G1892" t="s">
        <v>257</v>
      </c>
      <c r="H1892">
        <v>4</v>
      </c>
      <c r="I1892">
        <v>2025</v>
      </c>
      <c r="J1892">
        <v>12</v>
      </c>
      <c r="K1892" t="s">
        <v>87</v>
      </c>
      <c r="L1892" t="s">
        <v>22</v>
      </c>
      <c r="M1892" t="s">
        <v>6</v>
      </c>
      <c r="N1892" t="b">
        <v>0</v>
      </c>
      <c r="O1892">
        <v>0</v>
      </c>
      <c r="P1892">
        <v>1</v>
      </c>
      <c r="Q1892">
        <v>0</v>
      </c>
      <c r="R1892">
        <v>0</v>
      </c>
    </row>
    <row r="1893" spans="1:18" x14ac:dyDescent="0.25">
      <c r="A1893" t="s">
        <v>22</v>
      </c>
      <c r="B1893" t="s">
        <v>6</v>
      </c>
      <c r="C1893">
        <v>4</v>
      </c>
      <c r="D1893">
        <v>4</v>
      </c>
      <c r="E1893">
        <v>1</v>
      </c>
      <c r="F1893" s="15">
        <v>46020</v>
      </c>
      <c r="G1893" t="s">
        <v>257</v>
      </c>
      <c r="H1893">
        <v>4</v>
      </c>
      <c r="I1893">
        <v>2025</v>
      </c>
      <c r="J1893">
        <v>12</v>
      </c>
      <c r="K1893" t="s">
        <v>87</v>
      </c>
      <c r="L1893" t="s">
        <v>10</v>
      </c>
      <c r="M1893" t="s">
        <v>6</v>
      </c>
      <c r="N1893" t="b">
        <v>0</v>
      </c>
      <c r="O1893">
        <v>0</v>
      </c>
      <c r="P1893">
        <v>1</v>
      </c>
      <c r="Q1893">
        <v>0</v>
      </c>
      <c r="R1893">
        <v>0</v>
      </c>
    </row>
    <row r="1894" spans="1:18" x14ac:dyDescent="0.25">
      <c r="A1894" t="s">
        <v>22</v>
      </c>
      <c r="B1894" t="s">
        <v>6</v>
      </c>
      <c r="C1894">
        <v>4</v>
      </c>
      <c r="D1894">
        <v>4</v>
      </c>
      <c r="E1894">
        <v>1</v>
      </c>
      <c r="F1894" s="15">
        <v>46020</v>
      </c>
      <c r="G1894" t="s">
        <v>257</v>
      </c>
      <c r="H1894">
        <v>4</v>
      </c>
      <c r="I1894">
        <v>2025</v>
      </c>
      <c r="J1894">
        <v>12</v>
      </c>
      <c r="K1894" t="s">
        <v>87</v>
      </c>
      <c r="L1894" t="s">
        <v>20</v>
      </c>
      <c r="M1894" t="s">
        <v>8</v>
      </c>
      <c r="N1894" t="b">
        <v>0</v>
      </c>
      <c r="O1894">
        <v>0</v>
      </c>
      <c r="P1894">
        <v>1</v>
      </c>
      <c r="Q1894">
        <v>0</v>
      </c>
      <c r="R1894">
        <v>1</v>
      </c>
    </row>
    <row r="1895" spans="1:18" x14ac:dyDescent="0.25">
      <c r="A1895" t="s">
        <v>22</v>
      </c>
      <c r="B1895" t="s">
        <v>6</v>
      </c>
      <c r="C1895">
        <v>4</v>
      </c>
      <c r="D1895">
        <v>4</v>
      </c>
      <c r="E1895">
        <v>1</v>
      </c>
      <c r="F1895" s="15">
        <v>46020</v>
      </c>
      <c r="G1895" t="s">
        <v>257</v>
      </c>
      <c r="H1895">
        <v>4</v>
      </c>
      <c r="I1895">
        <v>2025</v>
      </c>
      <c r="J1895">
        <v>12</v>
      </c>
      <c r="K1895" t="s">
        <v>87</v>
      </c>
      <c r="L1895" t="s">
        <v>11</v>
      </c>
      <c r="M1895" t="s">
        <v>6</v>
      </c>
      <c r="N1895" t="b">
        <v>0</v>
      </c>
      <c r="O1895">
        <v>0</v>
      </c>
      <c r="P1895">
        <v>1</v>
      </c>
      <c r="Q1895">
        <v>0</v>
      </c>
      <c r="R1895">
        <v>0</v>
      </c>
    </row>
    <row r="1896" spans="1:18" x14ac:dyDescent="0.25">
      <c r="A1896" t="s">
        <v>10</v>
      </c>
      <c r="B1896" t="s">
        <v>6</v>
      </c>
      <c r="C1896">
        <v>3</v>
      </c>
      <c r="D1896">
        <v>3</v>
      </c>
      <c r="E1896">
        <v>1</v>
      </c>
      <c r="F1896" s="15">
        <v>46027</v>
      </c>
      <c r="G1896" t="s">
        <v>213</v>
      </c>
      <c r="H1896">
        <v>4</v>
      </c>
      <c r="I1896">
        <v>2026</v>
      </c>
      <c r="J1896">
        <v>1</v>
      </c>
      <c r="K1896" t="s">
        <v>87</v>
      </c>
      <c r="L1896" t="s">
        <v>41</v>
      </c>
      <c r="M1896" t="s">
        <v>8</v>
      </c>
      <c r="N1896" t="b">
        <v>0</v>
      </c>
      <c r="O1896">
        <v>0</v>
      </c>
      <c r="P1896">
        <v>1</v>
      </c>
      <c r="Q1896">
        <v>0</v>
      </c>
      <c r="R1896">
        <v>1</v>
      </c>
    </row>
    <row r="1897" spans="1:18" x14ac:dyDescent="0.25">
      <c r="A1897" t="s">
        <v>10</v>
      </c>
      <c r="B1897" t="s">
        <v>6</v>
      </c>
      <c r="C1897">
        <v>3</v>
      </c>
      <c r="D1897">
        <v>3</v>
      </c>
      <c r="E1897">
        <v>1</v>
      </c>
      <c r="F1897" s="15">
        <v>46027</v>
      </c>
      <c r="G1897" t="s">
        <v>213</v>
      </c>
      <c r="H1897">
        <v>4</v>
      </c>
      <c r="I1897">
        <v>2026</v>
      </c>
      <c r="J1897">
        <v>1</v>
      </c>
      <c r="K1897" t="s">
        <v>87</v>
      </c>
      <c r="L1897" t="s">
        <v>11</v>
      </c>
      <c r="M1897" t="s">
        <v>6</v>
      </c>
      <c r="N1897" t="b">
        <v>0</v>
      </c>
      <c r="O1897">
        <v>0</v>
      </c>
      <c r="P1897">
        <v>1</v>
      </c>
      <c r="Q1897">
        <v>0</v>
      </c>
      <c r="R1897">
        <v>0</v>
      </c>
    </row>
    <row r="1898" spans="1:18" x14ac:dyDescent="0.25">
      <c r="A1898" t="s">
        <v>10</v>
      </c>
      <c r="B1898" t="s">
        <v>6</v>
      </c>
      <c r="C1898">
        <v>3</v>
      </c>
      <c r="D1898">
        <v>3</v>
      </c>
      <c r="E1898">
        <v>1</v>
      </c>
      <c r="F1898" s="15">
        <v>46027</v>
      </c>
      <c r="G1898" t="s">
        <v>213</v>
      </c>
      <c r="H1898">
        <v>4</v>
      </c>
      <c r="I1898">
        <v>2026</v>
      </c>
      <c r="J1898">
        <v>1</v>
      </c>
      <c r="K1898" t="s">
        <v>87</v>
      </c>
      <c r="L1898" t="s">
        <v>17</v>
      </c>
      <c r="M1898" t="s">
        <v>6</v>
      </c>
      <c r="N1898" t="b">
        <v>0</v>
      </c>
      <c r="O1898">
        <v>0</v>
      </c>
      <c r="P1898">
        <v>1</v>
      </c>
      <c r="Q1898">
        <v>0</v>
      </c>
      <c r="R1898">
        <v>0</v>
      </c>
    </row>
    <row r="1899" spans="1:18" x14ac:dyDescent="0.25">
      <c r="A1899" t="s">
        <v>41</v>
      </c>
      <c r="B1899" t="s">
        <v>8</v>
      </c>
      <c r="C1899">
        <v>1</v>
      </c>
      <c r="D1899">
        <v>3</v>
      </c>
      <c r="E1899">
        <v>1</v>
      </c>
      <c r="F1899" s="15">
        <v>46027</v>
      </c>
      <c r="G1899" t="s">
        <v>213</v>
      </c>
      <c r="H1899">
        <v>4</v>
      </c>
      <c r="I1899">
        <v>2026</v>
      </c>
      <c r="J1899">
        <v>1</v>
      </c>
      <c r="K1899" t="s">
        <v>87</v>
      </c>
      <c r="L1899" t="s">
        <v>10</v>
      </c>
      <c r="M1899" t="s">
        <v>6</v>
      </c>
      <c r="N1899" t="b">
        <v>0</v>
      </c>
      <c r="O1899">
        <v>1</v>
      </c>
      <c r="P1899">
        <v>0</v>
      </c>
      <c r="Q1899">
        <v>0</v>
      </c>
      <c r="R1899">
        <v>0</v>
      </c>
    </row>
    <row r="1900" spans="1:18" x14ac:dyDescent="0.25">
      <c r="A1900" t="s">
        <v>41</v>
      </c>
      <c r="B1900" t="s">
        <v>8</v>
      </c>
      <c r="C1900">
        <v>1</v>
      </c>
      <c r="D1900">
        <v>3</v>
      </c>
      <c r="E1900">
        <v>1</v>
      </c>
      <c r="F1900" s="15">
        <v>46027</v>
      </c>
      <c r="G1900" t="s">
        <v>213</v>
      </c>
      <c r="H1900">
        <v>4</v>
      </c>
      <c r="I1900">
        <v>2026</v>
      </c>
      <c r="J1900">
        <v>1</v>
      </c>
      <c r="K1900" t="s">
        <v>87</v>
      </c>
      <c r="L1900" t="s">
        <v>11</v>
      </c>
      <c r="M1900" t="s">
        <v>6</v>
      </c>
      <c r="N1900" t="b">
        <v>0</v>
      </c>
      <c r="O1900">
        <v>1</v>
      </c>
      <c r="P1900">
        <v>0</v>
      </c>
      <c r="Q1900">
        <v>0</v>
      </c>
      <c r="R1900">
        <v>0</v>
      </c>
    </row>
    <row r="1901" spans="1:18" x14ac:dyDescent="0.25">
      <c r="A1901" t="s">
        <v>41</v>
      </c>
      <c r="B1901" t="s">
        <v>8</v>
      </c>
      <c r="C1901">
        <v>1</v>
      </c>
      <c r="D1901">
        <v>3</v>
      </c>
      <c r="E1901">
        <v>1</v>
      </c>
      <c r="F1901" s="15">
        <v>46027</v>
      </c>
      <c r="G1901" t="s">
        <v>213</v>
      </c>
      <c r="H1901">
        <v>4</v>
      </c>
      <c r="I1901">
        <v>2026</v>
      </c>
      <c r="J1901">
        <v>1</v>
      </c>
      <c r="K1901" t="s">
        <v>87</v>
      </c>
      <c r="L1901" t="s">
        <v>17</v>
      </c>
      <c r="M1901" t="s">
        <v>6</v>
      </c>
      <c r="N1901" t="b">
        <v>0</v>
      </c>
      <c r="O1901">
        <v>1</v>
      </c>
      <c r="P1901">
        <v>0</v>
      </c>
      <c r="Q1901">
        <v>0</v>
      </c>
      <c r="R1901">
        <v>0</v>
      </c>
    </row>
    <row r="1902" spans="1:18" x14ac:dyDescent="0.25">
      <c r="A1902" t="s">
        <v>11</v>
      </c>
      <c r="B1902" t="s">
        <v>6</v>
      </c>
      <c r="C1902">
        <v>2</v>
      </c>
      <c r="D1902">
        <v>3</v>
      </c>
      <c r="E1902">
        <v>1</v>
      </c>
      <c r="F1902" s="15">
        <v>46027</v>
      </c>
      <c r="G1902" t="s">
        <v>213</v>
      </c>
      <c r="H1902">
        <v>4</v>
      </c>
      <c r="I1902">
        <v>2026</v>
      </c>
      <c r="J1902">
        <v>1</v>
      </c>
      <c r="K1902" t="s">
        <v>87</v>
      </c>
      <c r="L1902" t="s">
        <v>10</v>
      </c>
      <c r="M1902" t="s">
        <v>6</v>
      </c>
      <c r="N1902" t="b">
        <v>0</v>
      </c>
      <c r="O1902">
        <v>0</v>
      </c>
      <c r="P1902">
        <v>1</v>
      </c>
      <c r="Q1902">
        <v>0</v>
      </c>
      <c r="R1902">
        <v>0</v>
      </c>
    </row>
    <row r="1903" spans="1:18" x14ac:dyDescent="0.25">
      <c r="A1903" t="s">
        <v>11</v>
      </c>
      <c r="B1903" t="s">
        <v>6</v>
      </c>
      <c r="C1903">
        <v>2</v>
      </c>
      <c r="D1903">
        <v>3</v>
      </c>
      <c r="E1903">
        <v>1</v>
      </c>
      <c r="F1903" s="15">
        <v>46027</v>
      </c>
      <c r="G1903" t="s">
        <v>213</v>
      </c>
      <c r="H1903">
        <v>4</v>
      </c>
      <c r="I1903">
        <v>2026</v>
      </c>
      <c r="J1903">
        <v>1</v>
      </c>
      <c r="K1903" t="s">
        <v>87</v>
      </c>
      <c r="L1903" t="s">
        <v>41</v>
      </c>
      <c r="M1903" t="s">
        <v>8</v>
      </c>
      <c r="N1903" t="b">
        <v>0</v>
      </c>
      <c r="O1903">
        <v>0</v>
      </c>
      <c r="P1903">
        <v>1</v>
      </c>
      <c r="Q1903">
        <v>0</v>
      </c>
      <c r="R1903">
        <v>1</v>
      </c>
    </row>
    <row r="1904" spans="1:18" x14ac:dyDescent="0.25">
      <c r="A1904" t="s">
        <v>11</v>
      </c>
      <c r="B1904" t="s">
        <v>6</v>
      </c>
      <c r="C1904">
        <v>2</v>
      </c>
      <c r="D1904">
        <v>3</v>
      </c>
      <c r="E1904">
        <v>1</v>
      </c>
      <c r="F1904" s="15">
        <v>46027</v>
      </c>
      <c r="G1904" t="s">
        <v>213</v>
      </c>
      <c r="H1904">
        <v>4</v>
      </c>
      <c r="I1904">
        <v>2026</v>
      </c>
      <c r="J1904">
        <v>1</v>
      </c>
      <c r="K1904" t="s">
        <v>87</v>
      </c>
      <c r="L1904" t="s">
        <v>17</v>
      </c>
      <c r="M1904" t="s">
        <v>6</v>
      </c>
      <c r="N1904" t="b">
        <v>0</v>
      </c>
      <c r="O1904">
        <v>0</v>
      </c>
      <c r="P1904">
        <v>1</v>
      </c>
      <c r="Q1904">
        <v>0</v>
      </c>
      <c r="R1904">
        <v>0</v>
      </c>
    </row>
    <row r="1905" spans="1:18" x14ac:dyDescent="0.25">
      <c r="A1905" t="s">
        <v>17</v>
      </c>
      <c r="B1905" t="s">
        <v>6</v>
      </c>
      <c r="C1905">
        <v>4</v>
      </c>
      <c r="D1905">
        <v>3</v>
      </c>
      <c r="E1905">
        <v>1</v>
      </c>
      <c r="F1905" s="15">
        <v>46027</v>
      </c>
      <c r="G1905" t="s">
        <v>213</v>
      </c>
      <c r="H1905">
        <v>4</v>
      </c>
      <c r="I1905">
        <v>2026</v>
      </c>
      <c r="J1905">
        <v>1</v>
      </c>
      <c r="K1905" t="s">
        <v>87</v>
      </c>
      <c r="L1905" t="s">
        <v>10</v>
      </c>
      <c r="M1905" t="s">
        <v>6</v>
      </c>
      <c r="N1905" t="b">
        <v>0</v>
      </c>
      <c r="O1905">
        <v>0</v>
      </c>
      <c r="P1905">
        <v>1</v>
      </c>
      <c r="Q1905">
        <v>0</v>
      </c>
      <c r="R1905">
        <v>0</v>
      </c>
    </row>
    <row r="1906" spans="1:18" x14ac:dyDescent="0.25">
      <c r="A1906" t="s">
        <v>17</v>
      </c>
      <c r="B1906" t="s">
        <v>6</v>
      </c>
      <c r="C1906">
        <v>4</v>
      </c>
      <c r="D1906">
        <v>3</v>
      </c>
      <c r="E1906">
        <v>1</v>
      </c>
      <c r="F1906" s="15">
        <v>46027</v>
      </c>
      <c r="G1906" t="s">
        <v>213</v>
      </c>
      <c r="H1906">
        <v>4</v>
      </c>
      <c r="I1906">
        <v>2026</v>
      </c>
      <c r="J1906">
        <v>1</v>
      </c>
      <c r="K1906" t="s">
        <v>87</v>
      </c>
      <c r="L1906" t="s">
        <v>41</v>
      </c>
      <c r="M1906" t="s">
        <v>8</v>
      </c>
      <c r="N1906" t="b">
        <v>0</v>
      </c>
      <c r="O1906">
        <v>0</v>
      </c>
      <c r="P1906">
        <v>1</v>
      </c>
      <c r="Q1906">
        <v>0</v>
      </c>
      <c r="R1906">
        <v>1</v>
      </c>
    </row>
    <row r="1907" spans="1:18" x14ac:dyDescent="0.25">
      <c r="A1907" t="s">
        <v>17</v>
      </c>
      <c r="B1907" t="s">
        <v>6</v>
      </c>
      <c r="C1907">
        <v>4</v>
      </c>
      <c r="D1907">
        <v>3</v>
      </c>
      <c r="E1907">
        <v>1</v>
      </c>
      <c r="F1907" s="15">
        <v>46027</v>
      </c>
      <c r="G1907" t="s">
        <v>213</v>
      </c>
      <c r="H1907">
        <v>4</v>
      </c>
      <c r="I1907">
        <v>2026</v>
      </c>
      <c r="J1907">
        <v>1</v>
      </c>
      <c r="K1907" t="s">
        <v>87</v>
      </c>
      <c r="L1907" t="s">
        <v>11</v>
      </c>
      <c r="M1907" t="s">
        <v>6</v>
      </c>
      <c r="N1907" t="b">
        <v>0</v>
      </c>
      <c r="O1907">
        <v>0</v>
      </c>
      <c r="P1907">
        <v>1</v>
      </c>
      <c r="Q1907">
        <v>0</v>
      </c>
      <c r="R1907">
        <v>0</v>
      </c>
    </row>
    <row r="1908" spans="1:18" x14ac:dyDescent="0.25">
      <c r="A1908" t="s">
        <v>10</v>
      </c>
      <c r="B1908" t="s">
        <v>63</v>
      </c>
      <c r="C1908">
        <v>2</v>
      </c>
      <c r="D1908">
        <v>4</v>
      </c>
      <c r="E1908">
        <v>1</v>
      </c>
      <c r="F1908" s="15">
        <v>46041</v>
      </c>
      <c r="G1908" t="s">
        <v>314</v>
      </c>
      <c r="H1908">
        <v>4</v>
      </c>
      <c r="I1908">
        <v>2026</v>
      </c>
      <c r="J1908">
        <v>1</v>
      </c>
      <c r="K1908" t="s">
        <v>87</v>
      </c>
      <c r="L1908" t="s">
        <v>436</v>
      </c>
      <c r="M1908" t="s">
        <v>63</v>
      </c>
      <c r="N1908" t="b">
        <v>0</v>
      </c>
      <c r="O1908">
        <v>0</v>
      </c>
      <c r="P1908">
        <v>0</v>
      </c>
      <c r="Q1908">
        <v>1</v>
      </c>
      <c r="R1908">
        <v>0</v>
      </c>
    </row>
    <row r="1909" spans="1:18" x14ac:dyDescent="0.25">
      <c r="A1909" t="s">
        <v>10</v>
      </c>
      <c r="B1909" t="s">
        <v>63</v>
      </c>
      <c r="C1909">
        <v>2</v>
      </c>
      <c r="D1909">
        <v>4</v>
      </c>
      <c r="E1909">
        <v>1</v>
      </c>
      <c r="F1909" s="15">
        <v>46041</v>
      </c>
      <c r="G1909" t="s">
        <v>314</v>
      </c>
      <c r="H1909">
        <v>4</v>
      </c>
      <c r="I1909">
        <v>2026</v>
      </c>
      <c r="J1909">
        <v>1</v>
      </c>
      <c r="K1909" t="s">
        <v>87</v>
      </c>
      <c r="L1909" t="s">
        <v>7</v>
      </c>
      <c r="M1909" t="s">
        <v>63</v>
      </c>
      <c r="N1909" t="b">
        <v>0</v>
      </c>
      <c r="O1909">
        <v>0</v>
      </c>
      <c r="P1909">
        <v>0</v>
      </c>
      <c r="Q1909">
        <v>1</v>
      </c>
      <c r="R1909">
        <v>0</v>
      </c>
    </row>
    <row r="1910" spans="1:18" x14ac:dyDescent="0.25">
      <c r="A1910" t="s">
        <v>10</v>
      </c>
      <c r="B1910" t="s">
        <v>63</v>
      </c>
      <c r="C1910">
        <v>2</v>
      </c>
      <c r="D1910">
        <v>4</v>
      </c>
      <c r="E1910">
        <v>1</v>
      </c>
      <c r="F1910" s="15">
        <v>46041</v>
      </c>
      <c r="G1910" t="s">
        <v>314</v>
      </c>
      <c r="H1910">
        <v>4</v>
      </c>
      <c r="I1910">
        <v>2026</v>
      </c>
      <c r="J1910">
        <v>1</v>
      </c>
      <c r="K1910" t="s">
        <v>87</v>
      </c>
      <c r="L1910" t="s">
        <v>364</v>
      </c>
      <c r="M1910" t="s">
        <v>63</v>
      </c>
      <c r="N1910" t="b">
        <v>0</v>
      </c>
      <c r="O1910">
        <v>0</v>
      </c>
      <c r="P1910">
        <v>0</v>
      </c>
      <c r="Q1910">
        <v>1</v>
      </c>
      <c r="R1910">
        <v>0</v>
      </c>
    </row>
    <row r="1911" spans="1:18" x14ac:dyDescent="0.25">
      <c r="A1911" t="s">
        <v>436</v>
      </c>
      <c r="B1911" t="s">
        <v>63</v>
      </c>
      <c r="C1911">
        <v>1</v>
      </c>
      <c r="D1911">
        <v>4</v>
      </c>
      <c r="E1911">
        <v>1</v>
      </c>
      <c r="F1911" s="15">
        <v>46041</v>
      </c>
      <c r="G1911" t="s">
        <v>314</v>
      </c>
      <c r="H1911">
        <v>4</v>
      </c>
      <c r="I1911">
        <v>2026</v>
      </c>
      <c r="J1911">
        <v>1</v>
      </c>
      <c r="K1911" t="s">
        <v>87</v>
      </c>
      <c r="L1911" t="s">
        <v>10</v>
      </c>
      <c r="M1911" t="s">
        <v>63</v>
      </c>
      <c r="N1911" t="b">
        <v>0</v>
      </c>
      <c r="O1911">
        <v>0</v>
      </c>
      <c r="P1911">
        <v>0</v>
      </c>
      <c r="Q1911">
        <v>1</v>
      </c>
      <c r="R1911">
        <v>0</v>
      </c>
    </row>
    <row r="1912" spans="1:18" x14ac:dyDescent="0.25">
      <c r="A1912" t="s">
        <v>436</v>
      </c>
      <c r="B1912" t="s">
        <v>63</v>
      </c>
      <c r="C1912">
        <v>1</v>
      </c>
      <c r="D1912">
        <v>4</v>
      </c>
      <c r="E1912">
        <v>1</v>
      </c>
      <c r="F1912" s="15">
        <v>46041</v>
      </c>
      <c r="G1912" t="s">
        <v>314</v>
      </c>
      <c r="H1912">
        <v>4</v>
      </c>
      <c r="I1912">
        <v>2026</v>
      </c>
      <c r="J1912">
        <v>1</v>
      </c>
      <c r="K1912" t="s">
        <v>87</v>
      </c>
      <c r="L1912" t="s">
        <v>7</v>
      </c>
      <c r="M1912" t="s">
        <v>63</v>
      </c>
      <c r="N1912" t="b">
        <v>0</v>
      </c>
      <c r="O1912">
        <v>0</v>
      </c>
      <c r="P1912">
        <v>0</v>
      </c>
      <c r="Q1912">
        <v>1</v>
      </c>
      <c r="R1912">
        <v>0</v>
      </c>
    </row>
    <row r="1913" spans="1:18" x14ac:dyDescent="0.25">
      <c r="A1913" t="s">
        <v>436</v>
      </c>
      <c r="B1913" t="s">
        <v>63</v>
      </c>
      <c r="C1913">
        <v>1</v>
      </c>
      <c r="D1913">
        <v>4</v>
      </c>
      <c r="E1913">
        <v>1</v>
      </c>
      <c r="F1913" s="15">
        <v>46041</v>
      </c>
      <c r="G1913" t="s">
        <v>314</v>
      </c>
      <c r="H1913">
        <v>4</v>
      </c>
      <c r="I1913">
        <v>2026</v>
      </c>
      <c r="J1913">
        <v>1</v>
      </c>
      <c r="K1913" t="s">
        <v>87</v>
      </c>
      <c r="L1913" t="s">
        <v>364</v>
      </c>
      <c r="M1913" t="s">
        <v>63</v>
      </c>
      <c r="N1913" t="b">
        <v>0</v>
      </c>
      <c r="O1913">
        <v>0</v>
      </c>
      <c r="P1913">
        <v>0</v>
      </c>
      <c r="Q1913">
        <v>1</v>
      </c>
      <c r="R1913">
        <v>0</v>
      </c>
    </row>
    <row r="1914" spans="1:18" x14ac:dyDescent="0.25">
      <c r="A1914" t="s">
        <v>7</v>
      </c>
      <c r="B1914" t="s">
        <v>63</v>
      </c>
      <c r="C1914">
        <v>4</v>
      </c>
      <c r="D1914">
        <v>4</v>
      </c>
      <c r="E1914">
        <v>1</v>
      </c>
      <c r="F1914" s="15">
        <v>46041</v>
      </c>
      <c r="G1914" t="s">
        <v>314</v>
      </c>
      <c r="H1914">
        <v>4</v>
      </c>
      <c r="I1914">
        <v>2026</v>
      </c>
      <c r="J1914">
        <v>1</v>
      </c>
      <c r="K1914" t="s">
        <v>87</v>
      </c>
      <c r="L1914" t="s">
        <v>10</v>
      </c>
      <c r="M1914" t="s">
        <v>63</v>
      </c>
      <c r="N1914" t="b">
        <v>0</v>
      </c>
      <c r="O1914">
        <v>0</v>
      </c>
      <c r="P1914">
        <v>0</v>
      </c>
      <c r="Q1914">
        <v>1</v>
      </c>
      <c r="R1914">
        <v>0</v>
      </c>
    </row>
    <row r="1915" spans="1:18" x14ac:dyDescent="0.25">
      <c r="A1915" t="s">
        <v>7</v>
      </c>
      <c r="B1915" t="s">
        <v>63</v>
      </c>
      <c r="C1915">
        <v>4</v>
      </c>
      <c r="D1915">
        <v>4</v>
      </c>
      <c r="E1915">
        <v>1</v>
      </c>
      <c r="F1915" s="15">
        <v>46041</v>
      </c>
      <c r="G1915" t="s">
        <v>314</v>
      </c>
      <c r="H1915">
        <v>4</v>
      </c>
      <c r="I1915">
        <v>2026</v>
      </c>
      <c r="J1915">
        <v>1</v>
      </c>
      <c r="K1915" t="s">
        <v>87</v>
      </c>
      <c r="L1915" t="s">
        <v>436</v>
      </c>
      <c r="M1915" t="s">
        <v>63</v>
      </c>
      <c r="N1915" t="b">
        <v>0</v>
      </c>
      <c r="O1915">
        <v>0</v>
      </c>
      <c r="P1915">
        <v>0</v>
      </c>
      <c r="Q1915">
        <v>1</v>
      </c>
      <c r="R1915">
        <v>0</v>
      </c>
    </row>
    <row r="1916" spans="1:18" x14ac:dyDescent="0.25">
      <c r="A1916" t="s">
        <v>7</v>
      </c>
      <c r="B1916" t="s">
        <v>63</v>
      </c>
      <c r="C1916">
        <v>4</v>
      </c>
      <c r="D1916">
        <v>4</v>
      </c>
      <c r="E1916">
        <v>1</v>
      </c>
      <c r="F1916" s="15">
        <v>46041</v>
      </c>
      <c r="G1916" t="s">
        <v>314</v>
      </c>
      <c r="H1916">
        <v>4</v>
      </c>
      <c r="I1916">
        <v>2026</v>
      </c>
      <c r="J1916">
        <v>1</v>
      </c>
      <c r="K1916" t="s">
        <v>87</v>
      </c>
      <c r="L1916" t="s">
        <v>364</v>
      </c>
      <c r="M1916" t="s">
        <v>63</v>
      </c>
      <c r="N1916" t="b">
        <v>0</v>
      </c>
      <c r="O1916">
        <v>0</v>
      </c>
      <c r="P1916">
        <v>0</v>
      </c>
      <c r="Q1916">
        <v>1</v>
      </c>
      <c r="R1916">
        <v>0</v>
      </c>
    </row>
    <row r="1917" spans="1:18" x14ac:dyDescent="0.25">
      <c r="A1917" t="s">
        <v>364</v>
      </c>
      <c r="B1917" t="s">
        <v>63</v>
      </c>
      <c r="C1917">
        <v>3</v>
      </c>
      <c r="D1917">
        <v>4</v>
      </c>
      <c r="E1917">
        <v>1</v>
      </c>
      <c r="F1917" s="15">
        <v>46041</v>
      </c>
      <c r="G1917" t="s">
        <v>314</v>
      </c>
      <c r="H1917">
        <v>4</v>
      </c>
      <c r="I1917">
        <v>2026</v>
      </c>
      <c r="J1917">
        <v>1</v>
      </c>
      <c r="K1917" t="s">
        <v>87</v>
      </c>
      <c r="L1917" t="s">
        <v>10</v>
      </c>
      <c r="M1917" t="s">
        <v>63</v>
      </c>
      <c r="N1917" t="b">
        <v>0</v>
      </c>
      <c r="O1917">
        <v>0</v>
      </c>
      <c r="P1917">
        <v>0</v>
      </c>
      <c r="Q1917">
        <v>1</v>
      </c>
      <c r="R1917">
        <v>0</v>
      </c>
    </row>
    <row r="1918" spans="1:18" x14ac:dyDescent="0.25">
      <c r="A1918" t="s">
        <v>364</v>
      </c>
      <c r="B1918" t="s">
        <v>63</v>
      </c>
      <c r="C1918">
        <v>3</v>
      </c>
      <c r="D1918">
        <v>4</v>
      </c>
      <c r="E1918">
        <v>1</v>
      </c>
      <c r="F1918" s="15">
        <v>46041</v>
      </c>
      <c r="G1918" t="s">
        <v>314</v>
      </c>
      <c r="H1918">
        <v>4</v>
      </c>
      <c r="I1918">
        <v>2026</v>
      </c>
      <c r="J1918">
        <v>1</v>
      </c>
      <c r="K1918" t="s">
        <v>87</v>
      </c>
      <c r="L1918" t="s">
        <v>436</v>
      </c>
      <c r="M1918" t="s">
        <v>63</v>
      </c>
      <c r="N1918" t="b">
        <v>0</v>
      </c>
      <c r="O1918">
        <v>0</v>
      </c>
      <c r="P1918">
        <v>0</v>
      </c>
      <c r="Q1918">
        <v>1</v>
      </c>
      <c r="R1918">
        <v>0</v>
      </c>
    </row>
    <row r="1919" spans="1:18" x14ac:dyDescent="0.25">
      <c r="A1919" t="s">
        <v>364</v>
      </c>
      <c r="B1919" t="s">
        <v>63</v>
      </c>
      <c r="C1919">
        <v>3</v>
      </c>
      <c r="D1919">
        <v>4</v>
      </c>
      <c r="E1919">
        <v>1</v>
      </c>
      <c r="F1919" s="15">
        <v>46041</v>
      </c>
      <c r="G1919" t="s">
        <v>314</v>
      </c>
      <c r="H1919">
        <v>4</v>
      </c>
      <c r="I1919">
        <v>2026</v>
      </c>
      <c r="J1919">
        <v>1</v>
      </c>
      <c r="K1919" t="s">
        <v>87</v>
      </c>
      <c r="L1919" t="s">
        <v>7</v>
      </c>
      <c r="M1919" t="s">
        <v>63</v>
      </c>
      <c r="N1919" t="b">
        <v>0</v>
      </c>
      <c r="O1919">
        <v>0</v>
      </c>
      <c r="P1919">
        <v>0</v>
      </c>
      <c r="Q1919">
        <v>1</v>
      </c>
      <c r="R1919">
        <v>0</v>
      </c>
    </row>
    <row r="1920" spans="1:18" x14ac:dyDescent="0.25">
      <c r="A1920" t="s">
        <v>10</v>
      </c>
      <c r="B1920" t="s">
        <v>6</v>
      </c>
      <c r="C1920">
        <v>2</v>
      </c>
      <c r="D1920">
        <v>4</v>
      </c>
      <c r="E1920">
        <v>2</v>
      </c>
      <c r="F1920" s="15">
        <v>46048</v>
      </c>
      <c r="G1920" t="s">
        <v>337</v>
      </c>
      <c r="H1920">
        <v>3</v>
      </c>
      <c r="I1920">
        <v>2026</v>
      </c>
      <c r="J1920">
        <v>1</v>
      </c>
      <c r="K1920" t="s">
        <v>87</v>
      </c>
      <c r="L1920" t="s">
        <v>51</v>
      </c>
      <c r="M1920" t="s">
        <v>6</v>
      </c>
      <c r="N1920" t="b">
        <v>0</v>
      </c>
      <c r="O1920">
        <v>0</v>
      </c>
      <c r="P1920">
        <v>1</v>
      </c>
      <c r="Q1920">
        <v>0</v>
      </c>
      <c r="R1920">
        <v>0</v>
      </c>
    </row>
    <row r="1921" spans="1:18" x14ac:dyDescent="0.25">
      <c r="A1921" t="s">
        <v>10</v>
      </c>
      <c r="B1921" t="s">
        <v>6</v>
      </c>
      <c r="C1921">
        <v>2</v>
      </c>
      <c r="D1921">
        <v>4</v>
      </c>
      <c r="E1921">
        <v>2</v>
      </c>
      <c r="F1921" s="15">
        <v>46048</v>
      </c>
      <c r="G1921" t="s">
        <v>337</v>
      </c>
      <c r="H1921">
        <v>3</v>
      </c>
      <c r="I1921">
        <v>2026</v>
      </c>
      <c r="J1921">
        <v>1</v>
      </c>
      <c r="K1921" t="s">
        <v>87</v>
      </c>
      <c r="L1921" t="s">
        <v>434</v>
      </c>
      <c r="M1921" t="s">
        <v>8</v>
      </c>
      <c r="N1921" t="b">
        <v>0</v>
      </c>
      <c r="O1921">
        <v>0</v>
      </c>
      <c r="P1921">
        <v>1</v>
      </c>
      <c r="Q1921">
        <v>0</v>
      </c>
      <c r="R1921">
        <v>1</v>
      </c>
    </row>
    <row r="1922" spans="1:18" x14ac:dyDescent="0.25">
      <c r="A1922" t="s">
        <v>51</v>
      </c>
      <c r="B1922" t="s">
        <v>6</v>
      </c>
      <c r="C1922">
        <v>1</v>
      </c>
      <c r="D1922">
        <v>4</v>
      </c>
      <c r="E1922">
        <v>2</v>
      </c>
      <c r="F1922" s="15">
        <v>46048</v>
      </c>
      <c r="G1922" t="s">
        <v>337</v>
      </c>
      <c r="H1922">
        <v>3</v>
      </c>
      <c r="I1922">
        <v>2026</v>
      </c>
      <c r="J1922">
        <v>1</v>
      </c>
      <c r="K1922" t="s">
        <v>87</v>
      </c>
      <c r="L1922" t="s">
        <v>10</v>
      </c>
      <c r="M1922" t="s">
        <v>6</v>
      </c>
      <c r="N1922" t="b">
        <v>0</v>
      </c>
      <c r="O1922">
        <v>0</v>
      </c>
      <c r="P1922">
        <v>1</v>
      </c>
      <c r="Q1922">
        <v>0</v>
      </c>
      <c r="R1922">
        <v>0</v>
      </c>
    </row>
    <row r="1923" spans="1:18" x14ac:dyDescent="0.25">
      <c r="A1923" t="s">
        <v>51</v>
      </c>
      <c r="B1923" t="s">
        <v>6</v>
      </c>
      <c r="C1923">
        <v>1</v>
      </c>
      <c r="D1923">
        <v>4</v>
      </c>
      <c r="E1923">
        <v>2</v>
      </c>
      <c r="F1923" s="15">
        <v>46048</v>
      </c>
      <c r="G1923" t="s">
        <v>337</v>
      </c>
      <c r="H1923">
        <v>3</v>
      </c>
      <c r="I1923">
        <v>2026</v>
      </c>
      <c r="J1923">
        <v>1</v>
      </c>
      <c r="K1923" t="s">
        <v>87</v>
      </c>
      <c r="L1923" t="s">
        <v>434</v>
      </c>
      <c r="M1923" t="s">
        <v>8</v>
      </c>
      <c r="N1923" t="b">
        <v>0</v>
      </c>
      <c r="O1923">
        <v>0</v>
      </c>
      <c r="P1923">
        <v>1</v>
      </c>
      <c r="Q1923">
        <v>0</v>
      </c>
      <c r="R1923">
        <v>1</v>
      </c>
    </row>
    <row r="1924" spans="1:18" x14ac:dyDescent="0.25">
      <c r="A1924" t="s">
        <v>434</v>
      </c>
      <c r="B1924" t="s">
        <v>8</v>
      </c>
      <c r="C1924">
        <v>3</v>
      </c>
      <c r="D1924">
        <v>4</v>
      </c>
      <c r="E1924">
        <v>2</v>
      </c>
      <c r="F1924" s="15">
        <v>46048</v>
      </c>
      <c r="G1924" t="s">
        <v>337</v>
      </c>
      <c r="H1924">
        <v>3</v>
      </c>
      <c r="I1924">
        <v>2026</v>
      </c>
      <c r="J1924">
        <v>1</v>
      </c>
      <c r="K1924" t="s">
        <v>87</v>
      </c>
      <c r="L1924" t="s">
        <v>10</v>
      </c>
      <c r="M1924" t="s">
        <v>6</v>
      </c>
      <c r="N1924" t="b">
        <v>0</v>
      </c>
      <c r="O1924">
        <v>1</v>
      </c>
      <c r="P1924">
        <v>0</v>
      </c>
      <c r="Q1924">
        <v>0</v>
      </c>
      <c r="R1924">
        <v>0</v>
      </c>
    </row>
    <row r="1925" spans="1:18" x14ac:dyDescent="0.25">
      <c r="A1925" t="s">
        <v>434</v>
      </c>
      <c r="B1925" t="s">
        <v>8</v>
      </c>
      <c r="C1925">
        <v>3</v>
      </c>
      <c r="D1925">
        <v>4</v>
      </c>
      <c r="E1925">
        <v>2</v>
      </c>
      <c r="F1925" s="15">
        <v>46048</v>
      </c>
      <c r="G1925" t="s">
        <v>337</v>
      </c>
      <c r="H1925">
        <v>3</v>
      </c>
      <c r="I1925">
        <v>2026</v>
      </c>
      <c r="J1925">
        <v>1</v>
      </c>
      <c r="K1925" t="s">
        <v>87</v>
      </c>
      <c r="L1925" t="s">
        <v>51</v>
      </c>
      <c r="M1925" t="s">
        <v>6</v>
      </c>
      <c r="N1925" t="b">
        <v>0</v>
      </c>
      <c r="O1925">
        <v>1</v>
      </c>
      <c r="P1925">
        <v>0</v>
      </c>
      <c r="Q1925">
        <v>0</v>
      </c>
      <c r="R1925">
        <v>0</v>
      </c>
    </row>
    <row r="1926" spans="1:18" x14ac:dyDescent="0.25">
      <c r="A1926" t="s">
        <v>10</v>
      </c>
      <c r="B1926" t="s">
        <v>8</v>
      </c>
      <c r="C1926">
        <v>4</v>
      </c>
      <c r="D1926">
        <v>5</v>
      </c>
      <c r="E1926">
        <v>1</v>
      </c>
      <c r="F1926" s="15">
        <v>46055</v>
      </c>
      <c r="G1926" t="s">
        <v>345</v>
      </c>
      <c r="H1926">
        <v>4</v>
      </c>
      <c r="I1926">
        <v>2026</v>
      </c>
      <c r="J1926">
        <v>2</v>
      </c>
      <c r="K1926" t="s">
        <v>87</v>
      </c>
      <c r="L1926" t="s">
        <v>7</v>
      </c>
      <c r="M1926" t="s">
        <v>6</v>
      </c>
      <c r="N1926" t="b">
        <v>0</v>
      </c>
      <c r="O1926">
        <v>1</v>
      </c>
      <c r="P1926">
        <v>0</v>
      </c>
      <c r="Q1926">
        <v>0</v>
      </c>
      <c r="R1926">
        <v>0</v>
      </c>
    </row>
    <row r="1927" spans="1:18" x14ac:dyDescent="0.25">
      <c r="A1927" t="s">
        <v>10</v>
      </c>
      <c r="B1927" t="s">
        <v>8</v>
      </c>
      <c r="C1927">
        <v>4</v>
      </c>
      <c r="D1927">
        <v>5</v>
      </c>
      <c r="E1927">
        <v>1</v>
      </c>
      <c r="F1927" s="15">
        <v>46055</v>
      </c>
      <c r="G1927" t="s">
        <v>345</v>
      </c>
      <c r="H1927">
        <v>4</v>
      </c>
      <c r="I1927">
        <v>2026</v>
      </c>
      <c r="J1927">
        <v>2</v>
      </c>
      <c r="K1927" t="s">
        <v>87</v>
      </c>
      <c r="L1927" t="s">
        <v>28</v>
      </c>
      <c r="M1927" t="s">
        <v>6</v>
      </c>
      <c r="N1927" t="b">
        <v>0</v>
      </c>
      <c r="O1927">
        <v>1</v>
      </c>
      <c r="P1927">
        <v>0</v>
      </c>
      <c r="Q1927">
        <v>0</v>
      </c>
      <c r="R1927">
        <v>0</v>
      </c>
    </row>
    <row r="1928" spans="1:18" x14ac:dyDescent="0.25">
      <c r="A1928" t="s">
        <v>10</v>
      </c>
      <c r="B1928" t="s">
        <v>8</v>
      </c>
      <c r="C1928">
        <v>4</v>
      </c>
      <c r="D1928">
        <v>5</v>
      </c>
      <c r="E1928">
        <v>1</v>
      </c>
      <c r="F1928" s="15">
        <v>46055</v>
      </c>
      <c r="G1928" t="s">
        <v>345</v>
      </c>
      <c r="H1928">
        <v>4</v>
      </c>
      <c r="I1928">
        <v>2026</v>
      </c>
      <c r="J1928">
        <v>2</v>
      </c>
      <c r="K1928" t="s">
        <v>87</v>
      </c>
      <c r="L1928" t="s">
        <v>321</v>
      </c>
      <c r="M1928" t="s">
        <v>6</v>
      </c>
      <c r="N1928" t="b">
        <v>0</v>
      </c>
      <c r="O1928">
        <v>1</v>
      </c>
      <c r="P1928">
        <v>0</v>
      </c>
      <c r="Q1928">
        <v>0</v>
      </c>
      <c r="R1928">
        <v>0</v>
      </c>
    </row>
    <row r="1929" spans="1:18" x14ac:dyDescent="0.25">
      <c r="A1929" t="s">
        <v>7</v>
      </c>
      <c r="B1929" t="s">
        <v>6</v>
      </c>
      <c r="C1929">
        <v>1</v>
      </c>
      <c r="D1929">
        <v>5</v>
      </c>
      <c r="E1929">
        <v>1</v>
      </c>
      <c r="F1929" s="15">
        <v>46055</v>
      </c>
      <c r="G1929" t="s">
        <v>345</v>
      </c>
      <c r="H1929">
        <v>4</v>
      </c>
      <c r="I1929">
        <v>2026</v>
      </c>
      <c r="J1929">
        <v>2</v>
      </c>
      <c r="K1929" t="s">
        <v>87</v>
      </c>
      <c r="L1929" t="s">
        <v>10</v>
      </c>
      <c r="M1929" t="s">
        <v>8</v>
      </c>
      <c r="N1929" t="b">
        <v>0</v>
      </c>
      <c r="O1929">
        <v>0</v>
      </c>
      <c r="P1929">
        <v>1</v>
      </c>
      <c r="Q1929">
        <v>0</v>
      </c>
      <c r="R1929">
        <v>1</v>
      </c>
    </row>
    <row r="1930" spans="1:18" x14ac:dyDescent="0.25">
      <c r="A1930" t="s">
        <v>7</v>
      </c>
      <c r="B1930" t="s">
        <v>6</v>
      </c>
      <c r="C1930">
        <v>1</v>
      </c>
      <c r="D1930">
        <v>5</v>
      </c>
      <c r="E1930">
        <v>1</v>
      </c>
      <c r="F1930" s="15">
        <v>46055</v>
      </c>
      <c r="G1930" t="s">
        <v>345</v>
      </c>
      <c r="H1930">
        <v>4</v>
      </c>
      <c r="I1930">
        <v>2026</v>
      </c>
      <c r="J1930">
        <v>2</v>
      </c>
      <c r="K1930" t="s">
        <v>87</v>
      </c>
      <c r="L1930" t="s">
        <v>28</v>
      </c>
      <c r="M1930" t="s">
        <v>6</v>
      </c>
      <c r="N1930" t="b">
        <v>0</v>
      </c>
      <c r="O1930">
        <v>0</v>
      </c>
      <c r="P1930">
        <v>1</v>
      </c>
      <c r="Q1930">
        <v>0</v>
      </c>
      <c r="R1930">
        <v>0</v>
      </c>
    </row>
    <row r="1931" spans="1:18" x14ac:dyDescent="0.25">
      <c r="A1931" t="s">
        <v>7</v>
      </c>
      <c r="B1931" t="s">
        <v>6</v>
      </c>
      <c r="C1931">
        <v>1</v>
      </c>
      <c r="D1931">
        <v>5</v>
      </c>
      <c r="E1931">
        <v>1</v>
      </c>
      <c r="F1931" s="15">
        <v>46055</v>
      </c>
      <c r="G1931" t="s">
        <v>345</v>
      </c>
      <c r="H1931">
        <v>4</v>
      </c>
      <c r="I1931">
        <v>2026</v>
      </c>
      <c r="J1931">
        <v>2</v>
      </c>
      <c r="K1931" t="s">
        <v>87</v>
      </c>
      <c r="L1931" t="s">
        <v>321</v>
      </c>
      <c r="M1931" t="s">
        <v>6</v>
      </c>
      <c r="N1931" t="b">
        <v>0</v>
      </c>
      <c r="O1931">
        <v>0</v>
      </c>
      <c r="P1931">
        <v>1</v>
      </c>
      <c r="Q1931">
        <v>0</v>
      </c>
      <c r="R1931">
        <v>0</v>
      </c>
    </row>
    <row r="1932" spans="1:18" x14ac:dyDescent="0.25">
      <c r="A1932" t="s">
        <v>28</v>
      </c>
      <c r="B1932" t="s">
        <v>6</v>
      </c>
      <c r="C1932">
        <v>3</v>
      </c>
      <c r="D1932">
        <v>5</v>
      </c>
      <c r="E1932">
        <v>1</v>
      </c>
      <c r="F1932" s="15">
        <v>46055</v>
      </c>
      <c r="G1932" t="s">
        <v>345</v>
      </c>
      <c r="H1932">
        <v>4</v>
      </c>
      <c r="I1932">
        <v>2026</v>
      </c>
      <c r="J1932">
        <v>2</v>
      </c>
      <c r="K1932" t="s">
        <v>87</v>
      </c>
      <c r="L1932" t="s">
        <v>10</v>
      </c>
      <c r="M1932" t="s">
        <v>8</v>
      </c>
      <c r="N1932" t="b">
        <v>0</v>
      </c>
      <c r="O1932">
        <v>0</v>
      </c>
      <c r="P1932">
        <v>1</v>
      </c>
      <c r="Q1932">
        <v>0</v>
      </c>
      <c r="R1932">
        <v>1</v>
      </c>
    </row>
    <row r="1933" spans="1:18" x14ac:dyDescent="0.25">
      <c r="A1933" t="s">
        <v>28</v>
      </c>
      <c r="B1933" t="s">
        <v>6</v>
      </c>
      <c r="C1933">
        <v>3</v>
      </c>
      <c r="D1933">
        <v>5</v>
      </c>
      <c r="E1933">
        <v>1</v>
      </c>
      <c r="F1933" s="15">
        <v>46055</v>
      </c>
      <c r="G1933" t="s">
        <v>345</v>
      </c>
      <c r="H1933">
        <v>4</v>
      </c>
      <c r="I1933">
        <v>2026</v>
      </c>
      <c r="J1933">
        <v>2</v>
      </c>
      <c r="K1933" t="s">
        <v>87</v>
      </c>
      <c r="L1933" t="s">
        <v>7</v>
      </c>
      <c r="M1933" t="s">
        <v>6</v>
      </c>
      <c r="N1933" t="b">
        <v>0</v>
      </c>
      <c r="O1933">
        <v>0</v>
      </c>
      <c r="P1933">
        <v>1</v>
      </c>
      <c r="Q1933">
        <v>0</v>
      </c>
      <c r="R1933">
        <v>0</v>
      </c>
    </row>
    <row r="1934" spans="1:18" x14ac:dyDescent="0.25">
      <c r="A1934" t="s">
        <v>28</v>
      </c>
      <c r="B1934" t="s">
        <v>6</v>
      </c>
      <c r="C1934">
        <v>3</v>
      </c>
      <c r="D1934">
        <v>5</v>
      </c>
      <c r="E1934">
        <v>1</v>
      </c>
      <c r="F1934" s="15">
        <v>46055</v>
      </c>
      <c r="G1934" t="s">
        <v>345</v>
      </c>
      <c r="H1934">
        <v>4</v>
      </c>
      <c r="I1934">
        <v>2026</v>
      </c>
      <c r="J1934">
        <v>2</v>
      </c>
      <c r="K1934" t="s">
        <v>87</v>
      </c>
      <c r="L1934" t="s">
        <v>321</v>
      </c>
      <c r="M1934" t="s">
        <v>6</v>
      </c>
      <c r="N1934" t="b">
        <v>0</v>
      </c>
      <c r="O1934">
        <v>0</v>
      </c>
      <c r="P1934">
        <v>1</v>
      </c>
      <c r="Q1934">
        <v>0</v>
      </c>
      <c r="R1934">
        <v>0</v>
      </c>
    </row>
    <row r="1935" spans="1:18" x14ac:dyDescent="0.25">
      <c r="A1935" t="s">
        <v>321</v>
      </c>
      <c r="B1935" t="s">
        <v>6</v>
      </c>
      <c r="C1935">
        <v>2</v>
      </c>
      <c r="D1935">
        <v>5</v>
      </c>
      <c r="E1935">
        <v>1</v>
      </c>
      <c r="F1935" s="15">
        <v>46055</v>
      </c>
      <c r="G1935" t="s">
        <v>345</v>
      </c>
      <c r="H1935">
        <v>4</v>
      </c>
      <c r="I1935">
        <v>2026</v>
      </c>
      <c r="J1935">
        <v>2</v>
      </c>
      <c r="K1935" t="s">
        <v>87</v>
      </c>
      <c r="L1935" t="s">
        <v>10</v>
      </c>
      <c r="M1935" t="s">
        <v>8</v>
      </c>
      <c r="N1935" t="b">
        <v>0</v>
      </c>
      <c r="O1935">
        <v>0</v>
      </c>
      <c r="P1935">
        <v>1</v>
      </c>
      <c r="Q1935">
        <v>0</v>
      </c>
      <c r="R1935">
        <v>1</v>
      </c>
    </row>
    <row r="1936" spans="1:18" x14ac:dyDescent="0.25">
      <c r="A1936" t="s">
        <v>321</v>
      </c>
      <c r="B1936" t="s">
        <v>6</v>
      </c>
      <c r="C1936">
        <v>2</v>
      </c>
      <c r="D1936">
        <v>5</v>
      </c>
      <c r="E1936">
        <v>1</v>
      </c>
      <c r="F1936" s="15">
        <v>46055</v>
      </c>
      <c r="G1936" t="s">
        <v>345</v>
      </c>
      <c r="H1936">
        <v>4</v>
      </c>
      <c r="I1936">
        <v>2026</v>
      </c>
      <c r="J1936">
        <v>2</v>
      </c>
      <c r="K1936" t="s">
        <v>87</v>
      </c>
      <c r="L1936" t="s">
        <v>7</v>
      </c>
      <c r="M1936" t="s">
        <v>6</v>
      </c>
      <c r="N1936" t="b">
        <v>0</v>
      </c>
      <c r="O1936">
        <v>0</v>
      </c>
      <c r="P1936">
        <v>1</v>
      </c>
      <c r="Q1936">
        <v>0</v>
      </c>
      <c r="R1936">
        <v>0</v>
      </c>
    </row>
    <row r="1937" spans="1:18" x14ac:dyDescent="0.25">
      <c r="A1937" t="s">
        <v>321</v>
      </c>
      <c r="B1937" t="s">
        <v>6</v>
      </c>
      <c r="C1937">
        <v>2</v>
      </c>
      <c r="D1937">
        <v>5</v>
      </c>
      <c r="E1937">
        <v>1</v>
      </c>
      <c r="F1937" s="15">
        <v>46055</v>
      </c>
      <c r="G1937" t="s">
        <v>345</v>
      </c>
      <c r="H1937">
        <v>4</v>
      </c>
      <c r="I1937">
        <v>2026</v>
      </c>
      <c r="J1937">
        <v>2</v>
      </c>
      <c r="K1937" t="s">
        <v>87</v>
      </c>
      <c r="L1937" t="s">
        <v>28</v>
      </c>
      <c r="M1937" t="s">
        <v>6</v>
      </c>
      <c r="N1937" t="b">
        <v>0</v>
      </c>
      <c r="O1937">
        <v>0</v>
      </c>
      <c r="P1937">
        <v>1</v>
      </c>
      <c r="Q1937">
        <v>0</v>
      </c>
      <c r="R1937">
        <v>0</v>
      </c>
    </row>
    <row r="1938" spans="1:18" x14ac:dyDescent="0.25">
      <c r="A1938" t="s">
        <v>10</v>
      </c>
      <c r="B1938" t="s">
        <v>6</v>
      </c>
      <c r="C1938">
        <v>1</v>
      </c>
      <c r="D1938">
        <v>1</v>
      </c>
      <c r="E1938">
        <v>2</v>
      </c>
      <c r="F1938" s="15">
        <v>46055</v>
      </c>
      <c r="G1938" t="s">
        <v>346</v>
      </c>
      <c r="H1938">
        <v>4</v>
      </c>
      <c r="I1938">
        <v>2026</v>
      </c>
      <c r="J1938">
        <v>2</v>
      </c>
      <c r="K1938" t="s">
        <v>87</v>
      </c>
      <c r="L1938" t="s">
        <v>436</v>
      </c>
      <c r="M1938" t="s">
        <v>8</v>
      </c>
      <c r="N1938" t="b">
        <v>0</v>
      </c>
      <c r="O1938">
        <v>0</v>
      </c>
      <c r="P1938">
        <v>1</v>
      </c>
      <c r="Q1938">
        <v>0</v>
      </c>
      <c r="R1938">
        <v>1</v>
      </c>
    </row>
    <row r="1939" spans="1:18" x14ac:dyDescent="0.25">
      <c r="A1939" t="s">
        <v>10</v>
      </c>
      <c r="B1939" t="s">
        <v>6</v>
      </c>
      <c r="C1939">
        <v>1</v>
      </c>
      <c r="D1939">
        <v>1</v>
      </c>
      <c r="E1939">
        <v>2</v>
      </c>
      <c r="F1939" s="15">
        <v>46055</v>
      </c>
      <c r="G1939" t="s">
        <v>346</v>
      </c>
      <c r="H1939">
        <v>4</v>
      </c>
      <c r="I1939">
        <v>2026</v>
      </c>
      <c r="J1939">
        <v>2</v>
      </c>
      <c r="K1939" t="s">
        <v>87</v>
      </c>
      <c r="L1939" t="s">
        <v>20</v>
      </c>
      <c r="M1939" t="s">
        <v>6</v>
      </c>
      <c r="N1939" t="b">
        <v>0</v>
      </c>
      <c r="O1939">
        <v>0</v>
      </c>
      <c r="P1939">
        <v>1</v>
      </c>
      <c r="Q1939">
        <v>0</v>
      </c>
      <c r="R1939">
        <v>0</v>
      </c>
    </row>
    <row r="1940" spans="1:18" x14ac:dyDescent="0.25">
      <c r="A1940" t="s">
        <v>10</v>
      </c>
      <c r="B1940" t="s">
        <v>6</v>
      </c>
      <c r="C1940">
        <v>1</v>
      </c>
      <c r="D1940">
        <v>1</v>
      </c>
      <c r="E1940">
        <v>2</v>
      </c>
      <c r="F1940" s="15">
        <v>46055</v>
      </c>
      <c r="G1940" t="s">
        <v>346</v>
      </c>
      <c r="H1940">
        <v>4</v>
      </c>
      <c r="I1940">
        <v>2026</v>
      </c>
      <c r="J1940">
        <v>2</v>
      </c>
      <c r="K1940" t="s">
        <v>87</v>
      </c>
      <c r="L1940" t="s">
        <v>9</v>
      </c>
      <c r="M1940" t="s">
        <v>6</v>
      </c>
      <c r="N1940" t="b">
        <v>0</v>
      </c>
      <c r="O1940">
        <v>0</v>
      </c>
      <c r="P1940">
        <v>1</v>
      </c>
      <c r="Q1940">
        <v>0</v>
      </c>
      <c r="R1940">
        <v>0</v>
      </c>
    </row>
    <row r="1941" spans="1:18" x14ac:dyDescent="0.25">
      <c r="A1941" t="s">
        <v>436</v>
      </c>
      <c r="B1941" t="s">
        <v>8</v>
      </c>
      <c r="C1941">
        <v>2</v>
      </c>
      <c r="D1941">
        <v>1</v>
      </c>
      <c r="E1941">
        <v>2</v>
      </c>
      <c r="F1941" s="15">
        <v>46055</v>
      </c>
      <c r="G1941" t="s">
        <v>346</v>
      </c>
      <c r="H1941">
        <v>4</v>
      </c>
      <c r="I1941">
        <v>2026</v>
      </c>
      <c r="J1941">
        <v>2</v>
      </c>
      <c r="K1941" t="s">
        <v>87</v>
      </c>
      <c r="L1941" t="s">
        <v>10</v>
      </c>
      <c r="M1941" t="s">
        <v>6</v>
      </c>
      <c r="N1941" t="b">
        <v>0</v>
      </c>
      <c r="O1941">
        <v>1</v>
      </c>
      <c r="P1941">
        <v>0</v>
      </c>
      <c r="Q1941">
        <v>0</v>
      </c>
      <c r="R1941">
        <v>0</v>
      </c>
    </row>
    <row r="1942" spans="1:18" x14ac:dyDescent="0.25">
      <c r="A1942" t="s">
        <v>436</v>
      </c>
      <c r="B1942" t="s">
        <v>8</v>
      </c>
      <c r="C1942">
        <v>2</v>
      </c>
      <c r="D1942">
        <v>1</v>
      </c>
      <c r="E1942">
        <v>2</v>
      </c>
      <c r="F1942" s="15">
        <v>46055</v>
      </c>
      <c r="G1942" t="s">
        <v>346</v>
      </c>
      <c r="H1942">
        <v>4</v>
      </c>
      <c r="I1942">
        <v>2026</v>
      </c>
      <c r="J1942">
        <v>2</v>
      </c>
      <c r="K1942" t="s">
        <v>87</v>
      </c>
      <c r="L1942" t="s">
        <v>20</v>
      </c>
      <c r="M1942" t="s">
        <v>6</v>
      </c>
      <c r="N1942" t="b">
        <v>0</v>
      </c>
      <c r="O1942">
        <v>1</v>
      </c>
      <c r="P1942">
        <v>0</v>
      </c>
      <c r="Q1942">
        <v>0</v>
      </c>
      <c r="R1942">
        <v>0</v>
      </c>
    </row>
    <row r="1943" spans="1:18" x14ac:dyDescent="0.25">
      <c r="A1943" t="s">
        <v>436</v>
      </c>
      <c r="B1943" t="s">
        <v>8</v>
      </c>
      <c r="C1943">
        <v>2</v>
      </c>
      <c r="D1943">
        <v>1</v>
      </c>
      <c r="E1943">
        <v>2</v>
      </c>
      <c r="F1943" s="15">
        <v>46055</v>
      </c>
      <c r="G1943" t="s">
        <v>346</v>
      </c>
      <c r="H1943">
        <v>4</v>
      </c>
      <c r="I1943">
        <v>2026</v>
      </c>
      <c r="J1943">
        <v>2</v>
      </c>
      <c r="K1943" t="s">
        <v>87</v>
      </c>
      <c r="L1943" t="s">
        <v>9</v>
      </c>
      <c r="M1943" t="s">
        <v>6</v>
      </c>
      <c r="N1943" t="b">
        <v>0</v>
      </c>
      <c r="O1943">
        <v>1</v>
      </c>
      <c r="P1943">
        <v>0</v>
      </c>
      <c r="Q1943">
        <v>0</v>
      </c>
      <c r="R1943">
        <v>0</v>
      </c>
    </row>
    <row r="1944" spans="1:18" x14ac:dyDescent="0.25">
      <c r="A1944" t="s">
        <v>20</v>
      </c>
      <c r="B1944" t="s">
        <v>6</v>
      </c>
      <c r="C1944">
        <v>3</v>
      </c>
      <c r="D1944">
        <v>1</v>
      </c>
      <c r="E1944">
        <v>2</v>
      </c>
      <c r="F1944" s="15">
        <v>46055</v>
      </c>
      <c r="G1944" t="s">
        <v>346</v>
      </c>
      <c r="H1944">
        <v>4</v>
      </c>
      <c r="I1944">
        <v>2026</v>
      </c>
      <c r="J1944">
        <v>2</v>
      </c>
      <c r="K1944" t="s">
        <v>87</v>
      </c>
      <c r="L1944" t="s">
        <v>10</v>
      </c>
      <c r="M1944" t="s">
        <v>6</v>
      </c>
      <c r="N1944" t="b">
        <v>0</v>
      </c>
      <c r="O1944">
        <v>0</v>
      </c>
      <c r="P1944">
        <v>1</v>
      </c>
      <c r="Q1944">
        <v>0</v>
      </c>
      <c r="R1944">
        <v>0</v>
      </c>
    </row>
    <row r="1945" spans="1:18" x14ac:dyDescent="0.25">
      <c r="A1945" t="s">
        <v>20</v>
      </c>
      <c r="B1945" t="s">
        <v>6</v>
      </c>
      <c r="C1945">
        <v>3</v>
      </c>
      <c r="D1945">
        <v>1</v>
      </c>
      <c r="E1945">
        <v>2</v>
      </c>
      <c r="F1945" s="15">
        <v>46055</v>
      </c>
      <c r="G1945" t="s">
        <v>346</v>
      </c>
      <c r="H1945">
        <v>4</v>
      </c>
      <c r="I1945">
        <v>2026</v>
      </c>
      <c r="J1945">
        <v>2</v>
      </c>
      <c r="K1945" t="s">
        <v>87</v>
      </c>
      <c r="L1945" t="s">
        <v>436</v>
      </c>
      <c r="M1945" t="s">
        <v>8</v>
      </c>
      <c r="N1945" t="b">
        <v>0</v>
      </c>
      <c r="O1945">
        <v>0</v>
      </c>
      <c r="P1945">
        <v>1</v>
      </c>
      <c r="Q1945">
        <v>0</v>
      </c>
      <c r="R1945">
        <v>1</v>
      </c>
    </row>
    <row r="1946" spans="1:18" x14ac:dyDescent="0.25">
      <c r="A1946" t="s">
        <v>20</v>
      </c>
      <c r="B1946" t="s">
        <v>6</v>
      </c>
      <c r="C1946">
        <v>3</v>
      </c>
      <c r="D1946">
        <v>1</v>
      </c>
      <c r="E1946">
        <v>2</v>
      </c>
      <c r="F1946" s="15">
        <v>46055</v>
      </c>
      <c r="G1946" t="s">
        <v>346</v>
      </c>
      <c r="H1946">
        <v>4</v>
      </c>
      <c r="I1946">
        <v>2026</v>
      </c>
      <c r="J1946">
        <v>2</v>
      </c>
      <c r="K1946" t="s">
        <v>87</v>
      </c>
      <c r="L1946" t="s">
        <v>9</v>
      </c>
      <c r="M1946" t="s">
        <v>6</v>
      </c>
      <c r="N1946" t="b">
        <v>0</v>
      </c>
      <c r="O1946">
        <v>0</v>
      </c>
      <c r="P1946">
        <v>1</v>
      </c>
      <c r="Q1946">
        <v>0</v>
      </c>
      <c r="R1946">
        <v>0</v>
      </c>
    </row>
    <row r="1947" spans="1:18" x14ac:dyDescent="0.25">
      <c r="A1947" t="s">
        <v>9</v>
      </c>
      <c r="B1947" t="s">
        <v>6</v>
      </c>
      <c r="C1947">
        <v>4</v>
      </c>
      <c r="D1947">
        <v>1</v>
      </c>
      <c r="E1947">
        <v>2</v>
      </c>
      <c r="F1947" s="15">
        <v>46055</v>
      </c>
      <c r="G1947" t="s">
        <v>346</v>
      </c>
      <c r="H1947">
        <v>4</v>
      </c>
      <c r="I1947">
        <v>2026</v>
      </c>
      <c r="J1947">
        <v>2</v>
      </c>
      <c r="K1947" t="s">
        <v>87</v>
      </c>
      <c r="L1947" t="s">
        <v>10</v>
      </c>
      <c r="M1947" t="s">
        <v>6</v>
      </c>
      <c r="N1947" t="b">
        <v>0</v>
      </c>
      <c r="O1947">
        <v>0</v>
      </c>
      <c r="P1947">
        <v>1</v>
      </c>
      <c r="Q1947">
        <v>0</v>
      </c>
      <c r="R1947">
        <v>0</v>
      </c>
    </row>
    <row r="1948" spans="1:18" x14ac:dyDescent="0.25">
      <c r="A1948" t="s">
        <v>9</v>
      </c>
      <c r="B1948" t="s">
        <v>6</v>
      </c>
      <c r="C1948">
        <v>4</v>
      </c>
      <c r="D1948">
        <v>1</v>
      </c>
      <c r="E1948">
        <v>2</v>
      </c>
      <c r="F1948" s="15">
        <v>46055</v>
      </c>
      <c r="G1948" t="s">
        <v>346</v>
      </c>
      <c r="H1948">
        <v>4</v>
      </c>
      <c r="I1948">
        <v>2026</v>
      </c>
      <c r="J1948">
        <v>2</v>
      </c>
      <c r="K1948" t="s">
        <v>87</v>
      </c>
      <c r="L1948" t="s">
        <v>436</v>
      </c>
      <c r="M1948" t="s">
        <v>8</v>
      </c>
      <c r="N1948" t="b">
        <v>0</v>
      </c>
      <c r="O1948">
        <v>0</v>
      </c>
      <c r="P1948">
        <v>1</v>
      </c>
      <c r="Q1948">
        <v>0</v>
      </c>
      <c r="R1948">
        <v>1</v>
      </c>
    </row>
    <row r="1949" spans="1:18" x14ac:dyDescent="0.25">
      <c r="A1949" t="s">
        <v>9</v>
      </c>
      <c r="B1949" t="s">
        <v>6</v>
      </c>
      <c r="C1949">
        <v>4</v>
      </c>
      <c r="D1949">
        <v>1</v>
      </c>
      <c r="E1949">
        <v>2</v>
      </c>
      <c r="F1949" s="15">
        <v>46055</v>
      </c>
      <c r="G1949" t="s">
        <v>346</v>
      </c>
      <c r="H1949">
        <v>4</v>
      </c>
      <c r="I1949">
        <v>2026</v>
      </c>
      <c r="J1949">
        <v>2</v>
      </c>
      <c r="K1949" t="s">
        <v>87</v>
      </c>
      <c r="L1949" t="s">
        <v>20</v>
      </c>
      <c r="M1949" t="s">
        <v>6</v>
      </c>
      <c r="N1949" t="b">
        <v>0</v>
      </c>
      <c r="O1949">
        <v>0</v>
      </c>
      <c r="P1949">
        <v>1</v>
      </c>
      <c r="Q1949">
        <v>0</v>
      </c>
      <c r="R1949">
        <v>0</v>
      </c>
    </row>
    <row r="1950" spans="1:18" x14ac:dyDescent="0.25">
      <c r="A1950" t="s">
        <v>10</v>
      </c>
      <c r="B1950" t="s">
        <v>6</v>
      </c>
      <c r="C1950">
        <v>1</v>
      </c>
      <c r="D1950">
        <v>5</v>
      </c>
      <c r="E1950">
        <v>1</v>
      </c>
      <c r="F1950" s="15">
        <v>46062</v>
      </c>
      <c r="G1950" t="s">
        <v>357</v>
      </c>
      <c r="H1950">
        <v>3</v>
      </c>
      <c r="I1950">
        <v>2026</v>
      </c>
      <c r="J1950">
        <v>2</v>
      </c>
      <c r="K1950" t="s">
        <v>87</v>
      </c>
      <c r="L1950" t="s">
        <v>20</v>
      </c>
      <c r="M1950" t="s">
        <v>8</v>
      </c>
      <c r="N1950" t="b">
        <v>0</v>
      </c>
      <c r="O1950">
        <v>0</v>
      </c>
      <c r="P1950">
        <v>1</v>
      </c>
      <c r="Q1950">
        <v>0</v>
      </c>
      <c r="R1950">
        <v>1</v>
      </c>
    </row>
    <row r="1951" spans="1:18" x14ac:dyDescent="0.25">
      <c r="A1951" t="s">
        <v>10</v>
      </c>
      <c r="B1951" t="s">
        <v>6</v>
      </c>
      <c r="C1951">
        <v>1</v>
      </c>
      <c r="D1951">
        <v>5</v>
      </c>
      <c r="E1951">
        <v>1</v>
      </c>
      <c r="F1951" s="15">
        <v>46062</v>
      </c>
      <c r="G1951" t="s">
        <v>357</v>
      </c>
      <c r="H1951">
        <v>3</v>
      </c>
      <c r="I1951">
        <v>2026</v>
      </c>
      <c r="J1951">
        <v>2</v>
      </c>
      <c r="K1951" t="s">
        <v>87</v>
      </c>
      <c r="L1951" t="s">
        <v>27</v>
      </c>
      <c r="M1951" t="s">
        <v>6</v>
      </c>
      <c r="N1951" t="b">
        <v>0</v>
      </c>
      <c r="O1951">
        <v>0</v>
      </c>
      <c r="P1951">
        <v>1</v>
      </c>
      <c r="Q1951">
        <v>0</v>
      </c>
      <c r="R1951">
        <v>0</v>
      </c>
    </row>
    <row r="1952" spans="1:18" x14ac:dyDescent="0.25">
      <c r="A1952" t="s">
        <v>20</v>
      </c>
      <c r="B1952" t="s">
        <v>8</v>
      </c>
      <c r="C1952">
        <v>2</v>
      </c>
      <c r="D1952">
        <v>5</v>
      </c>
      <c r="E1952">
        <v>1</v>
      </c>
      <c r="F1952" s="15">
        <v>46062</v>
      </c>
      <c r="G1952" t="s">
        <v>357</v>
      </c>
      <c r="H1952">
        <v>3</v>
      </c>
      <c r="I1952">
        <v>2026</v>
      </c>
      <c r="J1952">
        <v>2</v>
      </c>
      <c r="K1952" t="s">
        <v>87</v>
      </c>
      <c r="L1952" t="s">
        <v>10</v>
      </c>
      <c r="M1952" t="s">
        <v>6</v>
      </c>
      <c r="N1952" t="b">
        <v>0</v>
      </c>
      <c r="O1952">
        <v>1</v>
      </c>
      <c r="P1952">
        <v>0</v>
      </c>
      <c r="Q1952">
        <v>0</v>
      </c>
      <c r="R1952">
        <v>0</v>
      </c>
    </row>
    <row r="1953" spans="1:18" x14ac:dyDescent="0.25">
      <c r="A1953" t="s">
        <v>20</v>
      </c>
      <c r="B1953" t="s">
        <v>8</v>
      </c>
      <c r="C1953">
        <v>2</v>
      </c>
      <c r="D1953">
        <v>5</v>
      </c>
      <c r="E1953">
        <v>1</v>
      </c>
      <c r="F1953" s="15">
        <v>46062</v>
      </c>
      <c r="G1953" t="s">
        <v>357</v>
      </c>
      <c r="H1953">
        <v>3</v>
      </c>
      <c r="I1953">
        <v>2026</v>
      </c>
      <c r="J1953">
        <v>2</v>
      </c>
      <c r="K1953" t="s">
        <v>87</v>
      </c>
      <c r="L1953" t="s">
        <v>27</v>
      </c>
      <c r="M1953" t="s">
        <v>6</v>
      </c>
      <c r="N1953" t="b">
        <v>0</v>
      </c>
      <c r="O1953">
        <v>1</v>
      </c>
      <c r="P1953">
        <v>0</v>
      </c>
      <c r="Q1953">
        <v>0</v>
      </c>
      <c r="R1953">
        <v>0</v>
      </c>
    </row>
    <row r="1954" spans="1:18" x14ac:dyDescent="0.25">
      <c r="A1954" t="s">
        <v>27</v>
      </c>
      <c r="B1954" t="s">
        <v>6</v>
      </c>
      <c r="C1954">
        <v>3</v>
      </c>
      <c r="D1954">
        <v>5</v>
      </c>
      <c r="E1954">
        <v>1</v>
      </c>
      <c r="F1954" s="15">
        <v>46062</v>
      </c>
      <c r="G1954" t="s">
        <v>357</v>
      </c>
      <c r="H1954">
        <v>3</v>
      </c>
      <c r="I1954">
        <v>2026</v>
      </c>
      <c r="J1954">
        <v>2</v>
      </c>
      <c r="K1954" t="s">
        <v>87</v>
      </c>
      <c r="L1954" t="s">
        <v>10</v>
      </c>
      <c r="M1954" t="s">
        <v>6</v>
      </c>
      <c r="N1954" t="b">
        <v>0</v>
      </c>
      <c r="O1954">
        <v>0</v>
      </c>
      <c r="P1954">
        <v>1</v>
      </c>
      <c r="Q1954">
        <v>0</v>
      </c>
      <c r="R1954">
        <v>0</v>
      </c>
    </row>
    <row r="1955" spans="1:18" x14ac:dyDescent="0.25">
      <c r="A1955" t="s">
        <v>27</v>
      </c>
      <c r="B1955" t="s">
        <v>6</v>
      </c>
      <c r="C1955">
        <v>3</v>
      </c>
      <c r="D1955">
        <v>5</v>
      </c>
      <c r="E1955">
        <v>1</v>
      </c>
      <c r="F1955" s="15">
        <v>46062</v>
      </c>
      <c r="G1955" t="s">
        <v>357</v>
      </c>
      <c r="H1955">
        <v>3</v>
      </c>
      <c r="I1955">
        <v>2026</v>
      </c>
      <c r="J1955">
        <v>2</v>
      </c>
      <c r="K1955" t="s">
        <v>87</v>
      </c>
      <c r="L1955" t="s">
        <v>20</v>
      </c>
      <c r="M1955" t="s">
        <v>8</v>
      </c>
      <c r="N1955" t="b">
        <v>0</v>
      </c>
      <c r="O1955">
        <v>0</v>
      </c>
      <c r="P1955">
        <v>1</v>
      </c>
      <c r="Q1955">
        <v>0</v>
      </c>
      <c r="R1955">
        <v>1</v>
      </c>
    </row>
    <row r="1956" spans="1:18" x14ac:dyDescent="0.25">
      <c r="A1956" t="s">
        <v>10</v>
      </c>
      <c r="B1956" t="s">
        <v>8</v>
      </c>
      <c r="C1956">
        <v>1</v>
      </c>
      <c r="D1956">
        <v>4</v>
      </c>
      <c r="E1956">
        <v>1</v>
      </c>
      <c r="F1956" s="15">
        <v>46069</v>
      </c>
      <c r="G1956" t="s">
        <v>369</v>
      </c>
      <c r="H1956">
        <v>4</v>
      </c>
      <c r="I1956">
        <v>2026</v>
      </c>
      <c r="J1956">
        <v>2</v>
      </c>
      <c r="K1956" t="s">
        <v>87</v>
      </c>
      <c r="L1956" t="s">
        <v>436</v>
      </c>
      <c r="M1956" t="s">
        <v>6</v>
      </c>
      <c r="N1956" t="b">
        <v>0</v>
      </c>
      <c r="O1956">
        <v>1</v>
      </c>
      <c r="P1956">
        <v>0</v>
      </c>
      <c r="Q1956">
        <v>0</v>
      </c>
      <c r="R1956">
        <v>0</v>
      </c>
    </row>
    <row r="1957" spans="1:18" x14ac:dyDescent="0.25">
      <c r="A1957" t="s">
        <v>10</v>
      </c>
      <c r="B1957" t="s">
        <v>8</v>
      </c>
      <c r="C1957">
        <v>1</v>
      </c>
      <c r="D1957">
        <v>4</v>
      </c>
      <c r="E1957">
        <v>1</v>
      </c>
      <c r="F1957" s="15">
        <v>46069</v>
      </c>
      <c r="G1957" t="s">
        <v>369</v>
      </c>
      <c r="H1957">
        <v>4</v>
      </c>
      <c r="I1957">
        <v>2026</v>
      </c>
      <c r="J1957">
        <v>2</v>
      </c>
      <c r="K1957" t="s">
        <v>87</v>
      </c>
      <c r="L1957" t="s">
        <v>42</v>
      </c>
      <c r="M1957" t="s">
        <v>6</v>
      </c>
      <c r="N1957" t="b">
        <v>0</v>
      </c>
      <c r="O1957">
        <v>1</v>
      </c>
      <c r="P1957">
        <v>0</v>
      </c>
      <c r="Q1957">
        <v>0</v>
      </c>
      <c r="R1957">
        <v>0</v>
      </c>
    </row>
    <row r="1958" spans="1:18" x14ac:dyDescent="0.25">
      <c r="A1958" t="s">
        <v>10</v>
      </c>
      <c r="B1958" t="s">
        <v>8</v>
      </c>
      <c r="C1958">
        <v>1</v>
      </c>
      <c r="D1958">
        <v>4</v>
      </c>
      <c r="E1958">
        <v>1</v>
      </c>
      <c r="F1958" s="15">
        <v>46069</v>
      </c>
      <c r="G1958" t="s">
        <v>369</v>
      </c>
      <c r="H1958">
        <v>4</v>
      </c>
      <c r="I1958">
        <v>2026</v>
      </c>
      <c r="J1958">
        <v>2</v>
      </c>
      <c r="K1958" t="s">
        <v>87</v>
      </c>
      <c r="L1958" t="s">
        <v>11</v>
      </c>
      <c r="M1958" t="s">
        <v>6</v>
      </c>
      <c r="N1958" t="b">
        <v>0</v>
      </c>
      <c r="O1958">
        <v>1</v>
      </c>
      <c r="P1958">
        <v>0</v>
      </c>
      <c r="Q1958">
        <v>0</v>
      </c>
      <c r="R1958">
        <v>0</v>
      </c>
    </row>
    <row r="1959" spans="1:18" x14ac:dyDescent="0.25">
      <c r="A1959" t="s">
        <v>436</v>
      </c>
      <c r="B1959" t="s">
        <v>6</v>
      </c>
      <c r="C1959">
        <v>4</v>
      </c>
      <c r="D1959">
        <v>4</v>
      </c>
      <c r="E1959">
        <v>1</v>
      </c>
      <c r="F1959" s="15">
        <v>46069</v>
      </c>
      <c r="G1959" t="s">
        <v>369</v>
      </c>
      <c r="H1959">
        <v>4</v>
      </c>
      <c r="I1959">
        <v>2026</v>
      </c>
      <c r="J1959">
        <v>2</v>
      </c>
      <c r="K1959" t="s">
        <v>87</v>
      </c>
      <c r="L1959" t="s">
        <v>10</v>
      </c>
      <c r="M1959" t="s">
        <v>8</v>
      </c>
      <c r="N1959" t="b">
        <v>0</v>
      </c>
      <c r="O1959">
        <v>0</v>
      </c>
      <c r="P1959">
        <v>1</v>
      </c>
      <c r="Q1959">
        <v>0</v>
      </c>
      <c r="R1959">
        <v>1</v>
      </c>
    </row>
    <row r="1960" spans="1:18" x14ac:dyDescent="0.25">
      <c r="A1960" t="s">
        <v>436</v>
      </c>
      <c r="B1960" t="s">
        <v>6</v>
      </c>
      <c r="C1960">
        <v>4</v>
      </c>
      <c r="D1960">
        <v>4</v>
      </c>
      <c r="E1960">
        <v>1</v>
      </c>
      <c r="F1960" s="15">
        <v>46069</v>
      </c>
      <c r="G1960" t="s">
        <v>369</v>
      </c>
      <c r="H1960">
        <v>4</v>
      </c>
      <c r="I1960">
        <v>2026</v>
      </c>
      <c r="J1960">
        <v>2</v>
      </c>
      <c r="K1960" t="s">
        <v>87</v>
      </c>
      <c r="L1960" t="s">
        <v>42</v>
      </c>
      <c r="M1960" t="s">
        <v>6</v>
      </c>
      <c r="N1960" t="b">
        <v>0</v>
      </c>
      <c r="O1960">
        <v>0</v>
      </c>
      <c r="P1960">
        <v>1</v>
      </c>
      <c r="Q1960">
        <v>0</v>
      </c>
      <c r="R1960">
        <v>0</v>
      </c>
    </row>
    <row r="1961" spans="1:18" x14ac:dyDescent="0.25">
      <c r="A1961" t="s">
        <v>436</v>
      </c>
      <c r="B1961" t="s">
        <v>6</v>
      </c>
      <c r="C1961">
        <v>4</v>
      </c>
      <c r="D1961">
        <v>4</v>
      </c>
      <c r="E1961">
        <v>1</v>
      </c>
      <c r="F1961" s="15">
        <v>46069</v>
      </c>
      <c r="G1961" t="s">
        <v>369</v>
      </c>
      <c r="H1961">
        <v>4</v>
      </c>
      <c r="I1961">
        <v>2026</v>
      </c>
      <c r="J1961">
        <v>2</v>
      </c>
      <c r="K1961" t="s">
        <v>87</v>
      </c>
      <c r="L1961" t="s">
        <v>11</v>
      </c>
      <c r="M1961" t="s">
        <v>6</v>
      </c>
      <c r="N1961" t="b">
        <v>0</v>
      </c>
      <c r="O1961">
        <v>0</v>
      </c>
      <c r="P1961">
        <v>1</v>
      </c>
      <c r="Q1961">
        <v>0</v>
      </c>
      <c r="R1961">
        <v>0</v>
      </c>
    </row>
    <row r="1962" spans="1:18" x14ac:dyDescent="0.25">
      <c r="A1962" t="s">
        <v>42</v>
      </c>
      <c r="B1962" t="s">
        <v>6</v>
      </c>
      <c r="C1962">
        <v>2</v>
      </c>
      <c r="D1962">
        <v>4</v>
      </c>
      <c r="E1962">
        <v>1</v>
      </c>
      <c r="F1962" s="15">
        <v>46069</v>
      </c>
      <c r="G1962" t="s">
        <v>369</v>
      </c>
      <c r="H1962">
        <v>4</v>
      </c>
      <c r="I1962">
        <v>2026</v>
      </c>
      <c r="J1962">
        <v>2</v>
      </c>
      <c r="K1962" t="s">
        <v>87</v>
      </c>
      <c r="L1962" t="s">
        <v>10</v>
      </c>
      <c r="M1962" t="s">
        <v>8</v>
      </c>
      <c r="N1962" t="b">
        <v>0</v>
      </c>
      <c r="O1962">
        <v>0</v>
      </c>
      <c r="P1962">
        <v>1</v>
      </c>
      <c r="Q1962">
        <v>0</v>
      </c>
      <c r="R1962">
        <v>1</v>
      </c>
    </row>
    <row r="1963" spans="1:18" x14ac:dyDescent="0.25">
      <c r="A1963" t="s">
        <v>42</v>
      </c>
      <c r="B1963" t="s">
        <v>6</v>
      </c>
      <c r="C1963">
        <v>2</v>
      </c>
      <c r="D1963">
        <v>4</v>
      </c>
      <c r="E1963">
        <v>1</v>
      </c>
      <c r="F1963" s="15">
        <v>46069</v>
      </c>
      <c r="G1963" t="s">
        <v>369</v>
      </c>
      <c r="H1963">
        <v>4</v>
      </c>
      <c r="I1963">
        <v>2026</v>
      </c>
      <c r="J1963">
        <v>2</v>
      </c>
      <c r="K1963" t="s">
        <v>87</v>
      </c>
      <c r="L1963" t="s">
        <v>436</v>
      </c>
      <c r="M1963" t="s">
        <v>6</v>
      </c>
      <c r="N1963" t="b">
        <v>0</v>
      </c>
      <c r="O1963">
        <v>0</v>
      </c>
      <c r="P1963">
        <v>1</v>
      </c>
      <c r="Q1963">
        <v>0</v>
      </c>
      <c r="R1963">
        <v>0</v>
      </c>
    </row>
    <row r="1964" spans="1:18" x14ac:dyDescent="0.25">
      <c r="A1964" t="s">
        <v>42</v>
      </c>
      <c r="B1964" t="s">
        <v>6</v>
      </c>
      <c r="C1964">
        <v>2</v>
      </c>
      <c r="D1964">
        <v>4</v>
      </c>
      <c r="E1964">
        <v>1</v>
      </c>
      <c r="F1964" s="15">
        <v>46069</v>
      </c>
      <c r="G1964" t="s">
        <v>369</v>
      </c>
      <c r="H1964">
        <v>4</v>
      </c>
      <c r="I1964">
        <v>2026</v>
      </c>
      <c r="J1964">
        <v>2</v>
      </c>
      <c r="K1964" t="s">
        <v>87</v>
      </c>
      <c r="L1964" t="s">
        <v>11</v>
      </c>
      <c r="M1964" t="s">
        <v>6</v>
      </c>
      <c r="N1964" t="b">
        <v>0</v>
      </c>
      <c r="O1964">
        <v>0</v>
      </c>
      <c r="P1964">
        <v>1</v>
      </c>
      <c r="Q1964">
        <v>0</v>
      </c>
      <c r="R1964">
        <v>0</v>
      </c>
    </row>
    <row r="1965" spans="1:18" x14ac:dyDescent="0.25">
      <c r="A1965" t="s">
        <v>11</v>
      </c>
      <c r="B1965" t="s">
        <v>6</v>
      </c>
      <c r="C1965">
        <v>3</v>
      </c>
      <c r="D1965">
        <v>4</v>
      </c>
      <c r="E1965">
        <v>1</v>
      </c>
      <c r="F1965" s="15">
        <v>46069</v>
      </c>
      <c r="G1965" t="s">
        <v>369</v>
      </c>
      <c r="H1965">
        <v>4</v>
      </c>
      <c r="I1965">
        <v>2026</v>
      </c>
      <c r="J1965">
        <v>2</v>
      </c>
      <c r="K1965" t="s">
        <v>87</v>
      </c>
      <c r="L1965" t="s">
        <v>10</v>
      </c>
      <c r="M1965" t="s">
        <v>8</v>
      </c>
      <c r="N1965" t="b">
        <v>0</v>
      </c>
      <c r="O1965">
        <v>0</v>
      </c>
      <c r="P1965">
        <v>1</v>
      </c>
      <c r="Q1965">
        <v>0</v>
      </c>
      <c r="R1965">
        <v>1</v>
      </c>
    </row>
    <row r="1966" spans="1:18" x14ac:dyDescent="0.25">
      <c r="A1966" t="s">
        <v>11</v>
      </c>
      <c r="B1966" t="s">
        <v>6</v>
      </c>
      <c r="C1966">
        <v>3</v>
      </c>
      <c r="D1966">
        <v>4</v>
      </c>
      <c r="E1966">
        <v>1</v>
      </c>
      <c r="F1966" s="15">
        <v>46069</v>
      </c>
      <c r="G1966" t="s">
        <v>369</v>
      </c>
      <c r="H1966">
        <v>4</v>
      </c>
      <c r="I1966">
        <v>2026</v>
      </c>
      <c r="J1966">
        <v>2</v>
      </c>
      <c r="K1966" t="s">
        <v>87</v>
      </c>
      <c r="L1966" t="s">
        <v>436</v>
      </c>
      <c r="M1966" t="s">
        <v>6</v>
      </c>
      <c r="N1966" t="b">
        <v>0</v>
      </c>
      <c r="O1966">
        <v>0</v>
      </c>
      <c r="P1966">
        <v>1</v>
      </c>
      <c r="Q1966">
        <v>0</v>
      </c>
      <c r="R1966">
        <v>0</v>
      </c>
    </row>
    <row r="1967" spans="1:18" x14ac:dyDescent="0.25">
      <c r="A1967" t="s">
        <v>11</v>
      </c>
      <c r="B1967" t="s">
        <v>6</v>
      </c>
      <c r="C1967">
        <v>3</v>
      </c>
      <c r="D1967">
        <v>4</v>
      </c>
      <c r="E1967">
        <v>1</v>
      </c>
      <c r="F1967" s="15">
        <v>46069</v>
      </c>
      <c r="G1967" t="s">
        <v>369</v>
      </c>
      <c r="H1967">
        <v>4</v>
      </c>
      <c r="I1967">
        <v>2026</v>
      </c>
      <c r="J1967">
        <v>2</v>
      </c>
      <c r="K1967" t="s">
        <v>87</v>
      </c>
      <c r="L1967" t="s">
        <v>42</v>
      </c>
      <c r="M1967" t="s">
        <v>6</v>
      </c>
      <c r="N1967" t="b">
        <v>0</v>
      </c>
      <c r="O1967">
        <v>0</v>
      </c>
      <c r="P1967">
        <v>1</v>
      </c>
      <c r="Q1967">
        <v>0</v>
      </c>
      <c r="R1967">
        <v>0</v>
      </c>
    </row>
    <row r="1968" spans="1:18" x14ac:dyDescent="0.25">
      <c r="A1968" t="s">
        <v>10</v>
      </c>
      <c r="B1968" t="s">
        <v>8</v>
      </c>
      <c r="C1968">
        <v>4</v>
      </c>
      <c r="D1968">
        <v>1</v>
      </c>
      <c r="E1968">
        <v>2</v>
      </c>
      <c r="F1968" s="15">
        <v>46069</v>
      </c>
      <c r="G1968" t="s">
        <v>371</v>
      </c>
      <c r="H1968">
        <v>4</v>
      </c>
      <c r="I1968">
        <v>2026</v>
      </c>
      <c r="J1968">
        <v>2</v>
      </c>
      <c r="K1968" t="s">
        <v>87</v>
      </c>
      <c r="L1968" t="s">
        <v>7</v>
      </c>
      <c r="M1968" t="s">
        <v>6</v>
      </c>
      <c r="N1968" t="b">
        <v>0</v>
      </c>
      <c r="O1968">
        <v>1</v>
      </c>
      <c r="P1968">
        <v>0</v>
      </c>
      <c r="Q1968">
        <v>0</v>
      </c>
      <c r="R1968">
        <v>0</v>
      </c>
    </row>
    <row r="1969" spans="1:18" x14ac:dyDescent="0.25">
      <c r="A1969" t="s">
        <v>10</v>
      </c>
      <c r="B1969" t="s">
        <v>8</v>
      </c>
      <c r="C1969">
        <v>4</v>
      </c>
      <c r="D1969">
        <v>1</v>
      </c>
      <c r="E1969">
        <v>2</v>
      </c>
      <c r="F1969" s="15">
        <v>46069</v>
      </c>
      <c r="G1969" t="s">
        <v>371</v>
      </c>
      <c r="H1969">
        <v>4</v>
      </c>
      <c r="I1969">
        <v>2026</v>
      </c>
      <c r="J1969">
        <v>2</v>
      </c>
      <c r="K1969" t="s">
        <v>87</v>
      </c>
      <c r="L1969" t="s">
        <v>52</v>
      </c>
      <c r="M1969" t="s">
        <v>6</v>
      </c>
      <c r="N1969" t="b">
        <v>0</v>
      </c>
      <c r="O1969">
        <v>1</v>
      </c>
      <c r="P1969">
        <v>0</v>
      </c>
      <c r="Q1969">
        <v>0</v>
      </c>
      <c r="R1969">
        <v>0</v>
      </c>
    </row>
    <row r="1970" spans="1:18" x14ac:dyDescent="0.25">
      <c r="A1970" t="s">
        <v>10</v>
      </c>
      <c r="B1970" t="s">
        <v>8</v>
      </c>
      <c r="C1970">
        <v>4</v>
      </c>
      <c r="D1970">
        <v>1</v>
      </c>
      <c r="E1970">
        <v>2</v>
      </c>
      <c r="F1970" s="15">
        <v>46069</v>
      </c>
      <c r="G1970" t="s">
        <v>371</v>
      </c>
      <c r="H1970">
        <v>4</v>
      </c>
      <c r="I1970">
        <v>2026</v>
      </c>
      <c r="J1970">
        <v>2</v>
      </c>
      <c r="K1970" t="s">
        <v>87</v>
      </c>
      <c r="L1970" t="s">
        <v>365</v>
      </c>
      <c r="M1970" t="s">
        <v>6</v>
      </c>
      <c r="N1970" t="b">
        <v>0</v>
      </c>
      <c r="O1970">
        <v>1</v>
      </c>
      <c r="P1970">
        <v>0</v>
      </c>
      <c r="Q1970">
        <v>0</v>
      </c>
      <c r="R1970">
        <v>0</v>
      </c>
    </row>
    <row r="1971" spans="1:18" x14ac:dyDescent="0.25">
      <c r="A1971" t="s">
        <v>7</v>
      </c>
      <c r="B1971" t="s">
        <v>6</v>
      </c>
      <c r="C1971">
        <v>2</v>
      </c>
      <c r="D1971">
        <v>1</v>
      </c>
      <c r="E1971">
        <v>2</v>
      </c>
      <c r="F1971" s="15">
        <v>46069</v>
      </c>
      <c r="G1971" t="s">
        <v>371</v>
      </c>
      <c r="H1971">
        <v>4</v>
      </c>
      <c r="I1971">
        <v>2026</v>
      </c>
      <c r="J1971">
        <v>2</v>
      </c>
      <c r="K1971" t="s">
        <v>87</v>
      </c>
      <c r="L1971" t="s">
        <v>10</v>
      </c>
      <c r="M1971" t="s">
        <v>8</v>
      </c>
      <c r="N1971" t="b">
        <v>0</v>
      </c>
      <c r="O1971">
        <v>0</v>
      </c>
      <c r="P1971">
        <v>1</v>
      </c>
      <c r="Q1971">
        <v>0</v>
      </c>
      <c r="R1971">
        <v>1</v>
      </c>
    </row>
    <row r="1972" spans="1:18" x14ac:dyDescent="0.25">
      <c r="A1972" t="s">
        <v>7</v>
      </c>
      <c r="B1972" t="s">
        <v>6</v>
      </c>
      <c r="C1972">
        <v>2</v>
      </c>
      <c r="D1972">
        <v>1</v>
      </c>
      <c r="E1972">
        <v>2</v>
      </c>
      <c r="F1972" s="15">
        <v>46069</v>
      </c>
      <c r="G1972" t="s">
        <v>371</v>
      </c>
      <c r="H1972">
        <v>4</v>
      </c>
      <c r="I1972">
        <v>2026</v>
      </c>
      <c r="J1972">
        <v>2</v>
      </c>
      <c r="K1972" t="s">
        <v>87</v>
      </c>
      <c r="L1972" t="s">
        <v>52</v>
      </c>
      <c r="M1972" t="s">
        <v>6</v>
      </c>
      <c r="N1972" t="b">
        <v>0</v>
      </c>
      <c r="O1972">
        <v>0</v>
      </c>
      <c r="P1972">
        <v>1</v>
      </c>
      <c r="Q1972">
        <v>0</v>
      </c>
      <c r="R1972">
        <v>0</v>
      </c>
    </row>
    <row r="1973" spans="1:18" x14ac:dyDescent="0.25">
      <c r="A1973" t="s">
        <v>7</v>
      </c>
      <c r="B1973" t="s">
        <v>6</v>
      </c>
      <c r="C1973">
        <v>2</v>
      </c>
      <c r="D1973">
        <v>1</v>
      </c>
      <c r="E1973">
        <v>2</v>
      </c>
      <c r="F1973" s="15">
        <v>46069</v>
      </c>
      <c r="G1973" t="s">
        <v>371</v>
      </c>
      <c r="H1973">
        <v>4</v>
      </c>
      <c r="I1973">
        <v>2026</v>
      </c>
      <c r="J1973">
        <v>2</v>
      </c>
      <c r="K1973" t="s">
        <v>87</v>
      </c>
      <c r="L1973" t="s">
        <v>365</v>
      </c>
      <c r="M1973" t="s">
        <v>6</v>
      </c>
      <c r="N1973" t="b">
        <v>0</v>
      </c>
      <c r="O1973">
        <v>0</v>
      </c>
      <c r="P1973">
        <v>1</v>
      </c>
      <c r="Q1973">
        <v>0</v>
      </c>
      <c r="R1973">
        <v>0</v>
      </c>
    </row>
    <row r="1974" spans="1:18" x14ac:dyDescent="0.25">
      <c r="A1974" t="s">
        <v>52</v>
      </c>
      <c r="B1974" t="s">
        <v>6</v>
      </c>
      <c r="C1974">
        <v>3</v>
      </c>
      <c r="D1974">
        <v>1</v>
      </c>
      <c r="E1974">
        <v>2</v>
      </c>
      <c r="F1974" s="15">
        <v>46069</v>
      </c>
      <c r="G1974" t="s">
        <v>371</v>
      </c>
      <c r="H1974">
        <v>4</v>
      </c>
      <c r="I1974">
        <v>2026</v>
      </c>
      <c r="J1974">
        <v>2</v>
      </c>
      <c r="K1974" t="s">
        <v>87</v>
      </c>
      <c r="L1974" t="s">
        <v>10</v>
      </c>
      <c r="M1974" t="s">
        <v>8</v>
      </c>
      <c r="N1974" t="b">
        <v>0</v>
      </c>
      <c r="O1974">
        <v>0</v>
      </c>
      <c r="P1974">
        <v>1</v>
      </c>
      <c r="Q1974">
        <v>0</v>
      </c>
      <c r="R1974">
        <v>1</v>
      </c>
    </row>
    <row r="1975" spans="1:18" x14ac:dyDescent="0.25">
      <c r="A1975" t="s">
        <v>52</v>
      </c>
      <c r="B1975" t="s">
        <v>6</v>
      </c>
      <c r="C1975">
        <v>3</v>
      </c>
      <c r="D1975">
        <v>1</v>
      </c>
      <c r="E1975">
        <v>2</v>
      </c>
      <c r="F1975" s="15">
        <v>46069</v>
      </c>
      <c r="G1975" t="s">
        <v>371</v>
      </c>
      <c r="H1975">
        <v>4</v>
      </c>
      <c r="I1975">
        <v>2026</v>
      </c>
      <c r="J1975">
        <v>2</v>
      </c>
      <c r="K1975" t="s">
        <v>87</v>
      </c>
      <c r="L1975" t="s">
        <v>7</v>
      </c>
      <c r="M1975" t="s">
        <v>6</v>
      </c>
      <c r="N1975" t="b">
        <v>0</v>
      </c>
      <c r="O1975">
        <v>0</v>
      </c>
      <c r="P1975">
        <v>1</v>
      </c>
      <c r="Q1975">
        <v>0</v>
      </c>
      <c r="R1975">
        <v>0</v>
      </c>
    </row>
    <row r="1976" spans="1:18" x14ac:dyDescent="0.25">
      <c r="A1976" t="s">
        <v>52</v>
      </c>
      <c r="B1976" t="s">
        <v>6</v>
      </c>
      <c r="C1976">
        <v>3</v>
      </c>
      <c r="D1976">
        <v>1</v>
      </c>
      <c r="E1976">
        <v>2</v>
      </c>
      <c r="F1976" s="15">
        <v>46069</v>
      </c>
      <c r="G1976" t="s">
        <v>371</v>
      </c>
      <c r="H1976">
        <v>4</v>
      </c>
      <c r="I1976">
        <v>2026</v>
      </c>
      <c r="J1976">
        <v>2</v>
      </c>
      <c r="K1976" t="s">
        <v>87</v>
      </c>
      <c r="L1976" t="s">
        <v>365</v>
      </c>
      <c r="M1976" t="s">
        <v>6</v>
      </c>
      <c r="N1976" t="b">
        <v>0</v>
      </c>
      <c r="O1976">
        <v>0</v>
      </c>
      <c r="P1976">
        <v>1</v>
      </c>
      <c r="Q1976">
        <v>0</v>
      </c>
      <c r="R1976">
        <v>0</v>
      </c>
    </row>
    <row r="1977" spans="1:18" x14ac:dyDescent="0.25">
      <c r="A1977" t="s">
        <v>365</v>
      </c>
      <c r="B1977" t="s">
        <v>6</v>
      </c>
      <c r="C1977">
        <v>1</v>
      </c>
      <c r="D1977">
        <v>1</v>
      </c>
      <c r="E1977">
        <v>2</v>
      </c>
      <c r="F1977" s="15">
        <v>46069</v>
      </c>
      <c r="G1977" t="s">
        <v>371</v>
      </c>
      <c r="H1977">
        <v>4</v>
      </c>
      <c r="I1977">
        <v>2026</v>
      </c>
      <c r="J1977">
        <v>2</v>
      </c>
      <c r="K1977" t="s">
        <v>87</v>
      </c>
      <c r="L1977" t="s">
        <v>10</v>
      </c>
      <c r="M1977" t="s">
        <v>8</v>
      </c>
      <c r="N1977" t="b">
        <v>0</v>
      </c>
      <c r="O1977">
        <v>0</v>
      </c>
      <c r="P1977">
        <v>1</v>
      </c>
      <c r="Q1977">
        <v>0</v>
      </c>
      <c r="R1977">
        <v>1</v>
      </c>
    </row>
    <row r="1978" spans="1:18" x14ac:dyDescent="0.25">
      <c r="A1978" t="s">
        <v>365</v>
      </c>
      <c r="B1978" t="s">
        <v>6</v>
      </c>
      <c r="C1978">
        <v>1</v>
      </c>
      <c r="D1978">
        <v>1</v>
      </c>
      <c r="E1978">
        <v>2</v>
      </c>
      <c r="F1978" s="15">
        <v>46069</v>
      </c>
      <c r="G1978" t="s">
        <v>371</v>
      </c>
      <c r="H1978">
        <v>4</v>
      </c>
      <c r="I1978">
        <v>2026</v>
      </c>
      <c r="J1978">
        <v>2</v>
      </c>
      <c r="K1978" t="s">
        <v>87</v>
      </c>
      <c r="L1978" t="s">
        <v>7</v>
      </c>
      <c r="M1978" t="s">
        <v>6</v>
      </c>
      <c r="N1978" t="b">
        <v>0</v>
      </c>
      <c r="O1978">
        <v>0</v>
      </c>
      <c r="P1978">
        <v>1</v>
      </c>
      <c r="Q1978">
        <v>0</v>
      </c>
      <c r="R1978">
        <v>0</v>
      </c>
    </row>
    <row r="1979" spans="1:18" x14ac:dyDescent="0.25">
      <c r="A1979" t="s">
        <v>365</v>
      </c>
      <c r="B1979" t="s">
        <v>6</v>
      </c>
      <c r="C1979">
        <v>1</v>
      </c>
      <c r="D1979">
        <v>1</v>
      </c>
      <c r="E1979">
        <v>2</v>
      </c>
      <c r="F1979" s="15">
        <v>46069</v>
      </c>
      <c r="G1979" t="s">
        <v>371</v>
      </c>
      <c r="H1979">
        <v>4</v>
      </c>
      <c r="I1979">
        <v>2026</v>
      </c>
      <c r="J1979">
        <v>2</v>
      </c>
      <c r="K1979" t="s">
        <v>87</v>
      </c>
      <c r="L1979" t="s">
        <v>52</v>
      </c>
      <c r="M1979" t="s">
        <v>6</v>
      </c>
      <c r="N1979" t="b">
        <v>0</v>
      </c>
      <c r="O1979">
        <v>0</v>
      </c>
      <c r="P1979">
        <v>1</v>
      </c>
      <c r="Q1979">
        <v>0</v>
      </c>
      <c r="R1979">
        <v>0</v>
      </c>
    </row>
    <row r="1980" spans="1:18" x14ac:dyDescent="0.25">
      <c r="A1980" t="s">
        <v>436</v>
      </c>
      <c r="B1980" t="s">
        <v>6</v>
      </c>
      <c r="C1980">
        <v>3</v>
      </c>
      <c r="D1980">
        <v>1</v>
      </c>
      <c r="E1980">
        <v>1</v>
      </c>
      <c r="F1980" s="15">
        <v>45867</v>
      </c>
      <c r="G1980" t="s">
        <v>95</v>
      </c>
      <c r="H1980">
        <v>4</v>
      </c>
      <c r="I1980">
        <v>2025</v>
      </c>
      <c r="J1980">
        <v>7</v>
      </c>
      <c r="K1980" t="s">
        <v>87</v>
      </c>
      <c r="L1980" t="s">
        <v>20</v>
      </c>
      <c r="M1980" t="s">
        <v>6</v>
      </c>
      <c r="N1980" t="b">
        <v>0</v>
      </c>
      <c r="O1980">
        <v>0</v>
      </c>
      <c r="P1980">
        <v>1</v>
      </c>
      <c r="Q1980">
        <v>0</v>
      </c>
      <c r="R1980">
        <v>0</v>
      </c>
    </row>
    <row r="1981" spans="1:18" x14ac:dyDescent="0.25">
      <c r="A1981" t="s">
        <v>436</v>
      </c>
      <c r="B1981" t="s">
        <v>6</v>
      </c>
      <c r="C1981">
        <v>3</v>
      </c>
      <c r="D1981">
        <v>1</v>
      </c>
      <c r="E1981">
        <v>1</v>
      </c>
      <c r="F1981" s="15">
        <v>45867</v>
      </c>
      <c r="G1981" t="s">
        <v>95</v>
      </c>
      <c r="H1981">
        <v>4</v>
      </c>
      <c r="I1981">
        <v>2025</v>
      </c>
      <c r="J1981">
        <v>7</v>
      </c>
      <c r="K1981" t="s">
        <v>87</v>
      </c>
      <c r="L1981" t="s">
        <v>9</v>
      </c>
      <c r="M1981" t="s">
        <v>8</v>
      </c>
      <c r="N1981" t="b">
        <v>0</v>
      </c>
      <c r="O1981">
        <v>0</v>
      </c>
      <c r="P1981">
        <v>1</v>
      </c>
      <c r="Q1981">
        <v>0</v>
      </c>
      <c r="R1981">
        <v>1</v>
      </c>
    </row>
    <row r="1982" spans="1:18" x14ac:dyDescent="0.25">
      <c r="A1982" t="s">
        <v>436</v>
      </c>
      <c r="B1982" t="s">
        <v>6</v>
      </c>
      <c r="C1982">
        <v>3</v>
      </c>
      <c r="D1982">
        <v>1</v>
      </c>
      <c r="E1982">
        <v>1</v>
      </c>
      <c r="F1982" s="15">
        <v>45867</v>
      </c>
      <c r="G1982" t="s">
        <v>95</v>
      </c>
      <c r="H1982">
        <v>4</v>
      </c>
      <c r="I1982">
        <v>2025</v>
      </c>
      <c r="J1982">
        <v>7</v>
      </c>
      <c r="K1982" t="s">
        <v>87</v>
      </c>
      <c r="L1982" t="s">
        <v>352</v>
      </c>
      <c r="M1982" t="s">
        <v>6</v>
      </c>
      <c r="N1982" t="b">
        <v>0</v>
      </c>
      <c r="O1982">
        <v>0</v>
      </c>
      <c r="P1982">
        <v>1</v>
      </c>
      <c r="Q1982">
        <v>0</v>
      </c>
      <c r="R1982">
        <v>0</v>
      </c>
    </row>
    <row r="1983" spans="1:18" x14ac:dyDescent="0.25">
      <c r="A1983" t="s">
        <v>20</v>
      </c>
      <c r="B1983" t="s">
        <v>6</v>
      </c>
      <c r="C1983">
        <v>1</v>
      </c>
      <c r="D1983">
        <v>1</v>
      </c>
      <c r="E1983">
        <v>1</v>
      </c>
      <c r="F1983" s="15">
        <v>45867</v>
      </c>
      <c r="G1983" t="s">
        <v>95</v>
      </c>
      <c r="H1983">
        <v>4</v>
      </c>
      <c r="I1983">
        <v>2025</v>
      </c>
      <c r="J1983">
        <v>7</v>
      </c>
      <c r="K1983" t="s">
        <v>87</v>
      </c>
      <c r="L1983" t="s">
        <v>436</v>
      </c>
      <c r="M1983" t="s">
        <v>6</v>
      </c>
      <c r="N1983" t="b">
        <v>0</v>
      </c>
      <c r="O1983">
        <v>0</v>
      </c>
      <c r="P1983">
        <v>1</v>
      </c>
      <c r="Q1983">
        <v>0</v>
      </c>
      <c r="R1983">
        <v>0</v>
      </c>
    </row>
    <row r="1984" spans="1:18" x14ac:dyDescent="0.25">
      <c r="A1984" t="s">
        <v>20</v>
      </c>
      <c r="B1984" t="s">
        <v>6</v>
      </c>
      <c r="C1984">
        <v>1</v>
      </c>
      <c r="D1984">
        <v>1</v>
      </c>
      <c r="E1984">
        <v>1</v>
      </c>
      <c r="F1984" s="15">
        <v>45867</v>
      </c>
      <c r="G1984" t="s">
        <v>95</v>
      </c>
      <c r="H1984">
        <v>4</v>
      </c>
      <c r="I1984">
        <v>2025</v>
      </c>
      <c r="J1984">
        <v>7</v>
      </c>
      <c r="K1984" t="s">
        <v>87</v>
      </c>
      <c r="L1984" t="s">
        <v>9</v>
      </c>
      <c r="M1984" t="s">
        <v>8</v>
      </c>
      <c r="N1984" t="b">
        <v>0</v>
      </c>
      <c r="O1984">
        <v>0</v>
      </c>
      <c r="P1984">
        <v>1</v>
      </c>
      <c r="Q1984">
        <v>0</v>
      </c>
      <c r="R1984">
        <v>1</v>
      </c>
    </row>
    <row r="1985" spans="1:18" x14ac:dyDescent="0.25">
      <c r="A1985" t="s">
        <v>20</v>
      </c>
      <c r="B1985" t="s">
        <v>6</v>
      </c>
      <c r="C1985">
        <v>1</v>
      </c>
      <c r="D1985">
        <v>1</v>
      </c>
      <c r="E1985">
        <v>1</v>
      </c>
      <c r="F1985" s="15">
        <v>45867</v>
      </c>
      <c r="G1985" t="s">
        <v>95</v>
      </c>
      <c r="H1985">
        <v>4</v>
      </c>
      <c r="I1985">
        <v>2025</v>
      </c>
      <c r="J1985">
        <v>7</v>
      </c>
      <c r="K1985" t="s">
        <v>87</v>
      </c>
      <c r="L1985" t="s">
        <v>352</v>
      </c>
      <c r="M1985" t="s">
        <v>6</v>
      </c>
      <c r="N1985" t="b">
        <v>0</v>
      </c>
      <c r="O1985">
        <v>0</v>
      </c>
      <c r="P1985">
        <v>1</v>
      </c>
      <c r="Q1985">
        <v>0</v>
      </c>
      <c r="R1985">
        <v>0</v>
      </c>
    </row>
    <row r="1986" spans="1:18" x14ac:dyDescent="0.25">
      <c r="A1986" t="s">
        <v>9</v>
      </c>
      <c r="B1986" t="s">
        <v>8</v>
      </c>
      <c r="C1986">
        <v>4</v>
      </c>
      <c r="D1986">
        <v>1</v>
      </c>
      <c r="E1986">
        <v>1</v>
      </c>
      <c r="F1986" s="15">
        <v>45867</v>
      </c>
      <c r="G1986" t="s">
        <v>95</v>
      </c>
      <c r="H1986">
        <v>4</v>
      </c>
      <c r="I1986">
        <v>2025</v>
      </c>
      <c r="J1986">
        <v>7</v>
      </c>
      <c r="K1986" t="s">
        <v>87</v>
      </c>
      <c r="L1986" t="s">
        <v>436</v>
      </c>
      <c r="M1986" t="s">
        <v>6</v>
      </c>
      <c r="N1986" t="b">
        <v>0</v>
      </c>
      <c r="O1986">
        <v>1</v>
      </c>
      <c r="P1986">
        <v>0</v>
      </c>
      <c r="Q1986">
        <v>0</v>
      </c>
      <c r="R1986">
        <v>0</v>
      </c>
    </row>
    <row r="1987" spans="1:18" x14ac:dyDescent="0.25">
      <c r="A1987" t="s">
        <v>9</v>
      </c>
      <c r="B1987" t="s">
        <v>8</v>
      </c>
      <c r="C1987">
        <v>4</v>
      </c>
      <c r="D1987">
        <v>1</v>
      </c>
      <c r="E1987">
        <v>1</v>
      </c>
      <c r="F1987" s="15">
        <v>45867</v>
      </c>
      <c r="G1987" t="s">
        <v>95</v>
      </c>
      <c r="H1987">
        <v>4</v>
      </c>
      <c r="I1987">
        <v>2025</v>
      </c>
      <c r="J1987">
        <v>7</v>
      </c>
      <c r="K1987" t="s">
        <v>87</v>
      </c>
      <c r="L1987" t="s">
        <v>20</v>
      </c>
      <c r="M1987" t="s">
        <v>6</v>
      </c>
      <c r="N1987" t="b">
        <v>0</v>
      </c>
      <c r="O1987">
        <v>1</v>
      </c>
      <c r="P1987">
        <v>0</v>
      </c>
      <c r="Q1987">
        <v>0</v>
      </c>
      <c r="R1987">
        <v>0</v>
      </c>
    </row>
    <row r="1988" spans="1:18" x14ac:dyDescent="0.25">
      <c r="A1988" t="s">
        <v>9</v>
      </c>
      <c r="B1988" t="s">
        <v>8</v>
      </c>
      <c r="C1988">
        <v>4</v>
      </c>
      <c r="D1988">
        <v>1</v>
      </c>
      <c r="E1988">
        <v>1</v>
      </c>
      <c r="F1988" s="15">
        <v>45867</v>
      </c>
      <c r="G1988" t="s">
        <v>95</v>
      </c>
      <c r="H1988">
        <v>4</v>
      </c>
      <c r="I1988">
        <v>2025</v>
      </c>
      <c r="J1988">
        <v>7</v>
      </c>
      <c r="K1988" t="s">
        <v>87</v>
      </c>
      <c r="L1988" t="s">
        <v>352</v>
      </c>
      <c r="M1988" t="s">
        <v>6</v>
      </c>
      <c r="N1988" t="b">
        <v>0</v>
      </c>
      <c r="O1988">
        <v>1</v>
      </c>
      <c r="P1988">
        <v>0</v>
      </c>
      <c r="Q1988">
        <v>0</v>
      </c>
      <c r="R1988">
        <v>0</v>
      </c>
    </row>
    <row r="1989" spans="1:18" x14ac:dyDescent="0.25">
      <c r="A1989" t="s">
        <v>352</v>
      </c>
      <c r="B1989" t="s">
        <v>6</v>
      </c>
      <c r="C1989">
        <v>2</v>
      </c>
      <c r="D1989">
        <v>1</v>
      </c>
      <c r="E1989">
        <v>1</v>
      </c>
      <c r="F1989" s="15">
        <v>45867</v>
      </c>
      <c r="G1989" t="s">
        <v>95</v>
      </c>
      <c r="H1989">
        <v>4</v>
      </c>
      <c r="I1989">
        <v>2025</v>
      </c>
      <c r="J1989">
        <v>7</v>
      </c>
      <c r="K1989" t="s">
        <v>87</v>
      </c>
      <c r="L1989" t="s">
        <v>436</v>
      </c>
      <c r="M1989" t="s">
        <v>6</v>
      </c>
      <c r="N1989" t="b">
        <v>0</v>
      </c>
      <c r="O1989">
        <v>0</v>
      </c>
      <c r="P1989">
        <v>1</v>
      </c>
      <c r="Q1989">
        <v>0</v>
      </c>
      <c r="R1989">
        <v>0</v>
      </c>
    </row>
    <row r="1990" spans="1:18" x14ac:dyDescent="0.25">
      <c r="A1990" t="s">
        <v>352</v>
      </c>
      <c r="B1990" t="s">
        <v>6</v>
      </c>
      <c r="C1990">
        <v>2</v>
      </c>
      <c r="D1990">
        <v>1</v>
      </c>
      <c r="E1990">
        <v>1</v>
      </c>
      <c r="F1990" s="15">
        <v>45867</v>
      </c>
      <c r="G1990" t="s">
        <v>95</v>
      </c>
      <c r="H1990">
        <v>4</v>
      </c>
      <c r="I1990">
        <v>2025</v>
      </c>
      <c r="J1990">
        <v>7</v>
      </c>
      <c r="K1990" t="s">
        <v>87</v>
      </c>
      <c r="L1990" t="s">
        <v>20</v>
      </c>
      <c r="M1990" t="s">
        <v>6</v>
      </c>
      <c r="N1990" t="b">
        <v>0</v>
      </c>
      <c r="O1990">
        <v>0</v>
      </c>
      <c r="P1990">
        <v>1</v>
      </c>
      <c r="Q1990">
        <v>0</v>
      </c>
      <c r="R1990">
        <v>0</v>
      </c>
    </row>
    <row r="1991" spans="1:18" x14ac:dyDescent="0.25">
      <c r="A1991" t="s">
        <v>352</v>
      </c>
      <c r="B1991" t="s">
        <v>6</v>
      </c>
      <c r="C1991">
        <v>2</v>
      </c>
      <c r="D1991">
        <v>1</v>
      </c>
      <c r="E1991">
        <v>1</v>
      </c>
      <c r="F1991" s="15">
        <v>45867</v>
      </c>
      <c r="G1991" t="s">
        <v>95</v>
      </c>
      <c r="H1991">
        <v>4</v>
      </c>
      <c r="I1991">
        <v>2025</v>
      </c>
      <c r="J1991">
        <v>7</v>
      </c>
      <c r="K1991" t="s">
        <v>87</v>
      </c>
      <c r="L1991" t="s">
        <v>9</v>
      </c>
      <c r="M1991" t="s">
        <v>8</v>
      </c>
      <c r="N1991" t="b">
        <v>0</v>
      </c>
      <c r="O1991">
        <v>0</v>
      </c>
      <c r="P1991">
        <v>1</v>
      </c>
      <c r="Q1991">
        <v>0</v>
      </c>
      <c r="R1991">
        <v>1</v>
      </c>
    </row>
    <row r="1992" spans="1:18" x14ac:dyDescent="0.25">
      <c r="A1992" t="s">
        <v>436</v>
      </c>
      <c r="B1992" t="s">
        <v>6</v>
      </c>
      <c r="C1992">
        <v>2</v>
      </c>
      <c r="D1992">
        <v>1</v>
      </c>
      <c r="E1992">
        <v>1</v>
      </c>
      <c r="F1992" s="15">
        <v>45894</v>
      </c>
      <c r="G1992" t="s">
        <v>99</v>
      </c>
      <c r="H1992">
        <v>5</v>
      </c>
      <c r="I1992">
        <v>2025</v>
      </c>
      <c r="J1992">
        <v>8</v>
      </c>
      <c r="K1992" t="s">
        <v>87</v>
      </c>
      <c r="L1992" t="s">
        <v>7</v>
      </c>
      <c r="M1992" t="s">
        <v>8</v>
      </c>
      <c r="N1992" t="b">
        <v>0</v>
      </c>
      <c r="O1992">
        <v>0</v>
      </c>
      <c r="P1992">
        <v>1</v>
      </c>
      <c r="Q1992">
        <v>0</v>
      </c>
      <c r="R1992">
        <v>1</v>
      </c>
    </row>
    <row r="1993" spans="1:18" x14ac:dyDescent="0.25">
      <c r="A1993" t="s">
        <v>436</v>
      </c>
      <c r="B1993" t="s">
        <v>6</v>
      </c>
      <c r="C1993">
        <v>2</v>
      </c>
      <c r="D1993">
        <v>1</v>
      </c>
      <c r="E1993">
        <v>1</v>
      </c>
      <c r="F1993" s="15">
        <v>45894</v>
      </c>
      <c r="G1993" t="s">
        <v>99</v>
      </c>
      <c r="H1993">
        <v>5</v>
      </c>
      <c r="I1993">
        <v>2025</v>
      </c>
      <c r="J1993">
        <v>8</v>
      </c>
      <c r="K1993" t="s">
        <v>87</v>
      </c>
      <c r="L1993" t="s">
        <v>20</v>
      </c>
      <c r="M1993" t="s">
        <v>6</v>
      </c>
      <c r="N1993" t="b">
        <v>0</v>
      </c>
      <c r="O1993">
        <v>0</v>
      </c>
      <c r="P1993">
        <v>1</v>
      </c>
      <c r="Q1993">
        <v>0</v>
      </c>
      <c r="R1993">
        <v>0</v>
      </c>
    </row>
    <row r="1994" spans="1:18" x14ac:dyDescent="0.25">
      <c r="A1994" t="s">
        <v>436</v>
      </c>
      <c r="B1994" t="s">
        <v>6</v>
      </c>
      <c r="C1994">
        <v>2</v>
      </c>
      <c r="D1994">
        <v>1</v>
      </c>
      <c r="E1994">
        <v>1</v>
      </c>
      <c r="F1994" s="15">
        <v>45894</v>
      </c>
      <c r="G1994" t="s">
        <v>99</v>
      </c>
      <c r="H1994">
        <v>5</v>
      </c>
      <c r="I1994">
        <v>2025</v>
      </c>
      <c r="J1994">
        <v>8</v>
      </c>
      <c r="K1994" t="s">
        <v>87</v>
      </c>
      <c r="L1994" t="s">
        <v>28</v>
      </c>
      <c r="M1994" t="s">
        <v>6</v>
      </c>
      <c r="N1994" t="b">
        <v>0</v>
      </c>
      <c r="O1994">
        <v>0</v>
      </c>
      <c r="P1994">
        <v>1</v>
      </c>
      <c r="Q1994">
        <v>0</v>
      </c>
      <c r="R1994">
        <v>0</v>
      </c>
    </row>
    <row r="1995" spans="1:18" x14ac:dyDescent="0.25">
      <c r="A1995" t="s">
        <v>436</v>
      </c>
      <c r="B1995" t="s">
        <v>6</v>
      </c>
      <c r="C1995">
        <v>2</v>
      </c>
      <c r="D1995">
        <v>1</v>
      </c>
      <c r="E1995">
        <v>1</v>
      </c>
      <c r="F1995" s="15">
        <v>45894</v>
      </c>
      <c r="G1995" t="s">
        <v>99</v>
      </c>
      <c r="H1995">
        <v>5</v>
      </c>
      <c r="I1995">
        <v>2025</v>
      </c>
      <c r="J1995">
        <v>8</v>
      </c>
      <c r="K1995" t="s">
        <v>87</v>
      </c>
      <c r="L1995" t="s">
        <v>15</v>
      </c>
      <c r="M1995" t="s">
        <v>6</v>
      </c>
      <c r="N1995" t="b">
        <v>0</v>
      </c>
      <c r="O1995">
        <v>0</v>
      </c>
      <c r="P1995">
        <v>1</v>
      </c>
      <c r="Q1995">
        <v>0</v>
      </c>
      <c r="R1995">
        <v>0</v>
      </c>
    </row>
    <row r="1996" spans="1:18" x14ac:dyDescent="0.25">
      <c r="A1996" t="s">
        <v>7</v>
      </c>
      <c r="B1996" t="s">
        <v>8</v>
      </c>
      <c r="C1996">
        <v>5</v>
      </c>
      <c r="D1996">
        <v>1</v>
      </c>
      <c r="E1996">
        <v>1</v>
      </c>
      <c r="F1996" s="15">
        <v>45894</v>
      </c>
      <c r="G1996" t="s">
        <v>99</v>
      </c>
      <c r="H1996">
        <v>5</v>
      </c>
      <c r="I1996">
        <v>2025</v>
      </c>
      <c r="J1996">
        <v>8</v>
      </c>
      <c r="K1996" t="s">
        <v>87</v>
      </c>
      <c r="L1996" t="s">
        <v>436</v>
      </c>
      <c r="M1996" t="s">
        <v>6</v>
      </c>
      <c r="N1996" t="b">
        <v>0</v>
      </c>
      <c r="O1996">
        <v>1</v>
      </c>
      <c r="P1996">
        <v>0</v>
      </c>
      <c r="Q1996">
        <v>0</v>
      </c>
      <c r="R1996">
        <v>0</v>
      </c>
    </row>
    <row r="1997" spans="1:18" x14ac:dyDescent="0.25">
      <c r="A1997" t="s">
        <v>7</v>
      </c>
      <c r="B1997" t="s">
        <v>8</v>
      </c>
      <c r="C1997">
        <v>5</v>
      </c>
      <c r="D1997">
        <v>1</v>
      </c>
      <c r="E1997">
        <v>1</v>
      </c>
      <c r="F1997" s="15">
        <v>45894</v>
      </c>
      <c r="G1997" t="s">
        <v>99</v>
      </c>
      <c r="H1997">
        <v>5</v>
      </c>
      <c r="I1997">
        <v>2025</v>
      </c>
      <c r="J1997">
        <v>8</v>
      </c>
      <c r="K1997" t="s">
        <v>87</v>
      </c>
      <c r="L1997" t="s">
        <v>20</v>
      </c>
      <c r="M1997" t="s">
        <v>6</v>
      </c>
      <c r="N1997" t="b">
        <v>0</v>
      </c>
      <c r="O1997">
        <v>1</v>
      </c>
      <c r="P1997">
        <v>0</v>
      </c>
      <c r="Q1997">
        <v>0</v>
      </c>
      <c r="R1997">
        <v>0</v>
      </c>
    </row>
    <row r="1998" spans="1:18" x14ac:dyDescent="0.25">
      <c r="A1998" t="s">
        <v>7</v>
      </c>
      <c r="B1998" t="s">
        <v>8</v>
      </c>
      <c r="C1998">
        <v>5</v>
      </c>
      <c r="D1998">
        <v>1</v>
      </c>
      <c r="E1998">
        <v>1</v>
      </c>
      <c r="F1998" s="15">
        <v>45894</v>
      </c>
      <c r="G1998" t="s">
        <v>99</v>
      </c>
      <c r="H1998">
        <v>5</v>
      </c>
      <c r="I1998">
        <v>2025</v>
      </c>
      <c r="J1998">
        <v>8</v>
      </c>
      <c r="K1998" t="s">
        <v>87</v>
      </c>
      <c r="L1998" t="s">
        <v>28</v>
      </c>
      <c r="M1998" t="s">
        <v>6</v>
      </c>
      <c r="N1998" t="b">
        <v>0</v>
      </c>
      <c r="O1998">
        <v>1</v>
      </c>
      <c r="P1998">
        <v>0</v>
      </c>
      <c r="Q1998">
        <v>0</v>
      </c>
      <c r="R1998">
        <v>0</v>
      </c>
    </row>
    <row r="1999" spans="1:18" x14ac:dyDescent="0.25">
      <c r="A1999" t="s">
        <v>7</v>
      </c>
      <c r="B1999" t="s">
        <v>8</v>
      </c>
      <c r="C1999">
        <v>5</v>
      </c>
      <c r="D1999">
        <v>1</v>
      </c>
      <c r="E1999">
        <v>1</v>
      </c>
      <c r="F1999" s="15">
        <v>45894</v>
      </c>
      <c r="G1999" t="s">
        <v>99</v>
      </c>
      <c r="H1999">
        <v>5</v>
      </c>
      <c r="I1999">
        <v>2025</v>
      </c>
      <c r="J1999">
        <v>8</v>
      </c>
      <c r="K1999" t="s">
        <v>87</v>
      </c>
      <c r="L1999" t="s">
        <v>15</v>
      </c>
      <c r="M1999" t="s">
        <v>6</v>
      </c>
      <c r="N1999" t="b">
        <v>0</v>
      </c>
      <c r="O1999">
        <v>1</v>
      </c>
      <c r="P1999">
        <v>0</v>
      </c>
      <c r="Q1999">
        <v>0</v>
      </c>
      <c r="R1999">
        <v>0</v>
      </c>
    </row>
    <row r="2000" spans="1:18" x14ac:dyDescent="0.25">
      <c r="A2000" t="s">
        <v>20</v>
      </c>
      <c r="B2000" t="s">
        <v>6</v>
      </c>
      <c r="C2000">
        <v>1</v>
      </c>
      <c r="D2000">
        <v>1</v>
      </c>
      <c r="E2000">
        <v>1</v>
      </c>
      <c r="F2000" s="15">
        <v>45894</v>
      </c>
      <c r="G2000" t="s">
        <v>99</v>
      </c>
      <c r="H2000">
        <v>5</v>
      </c>
      <c r="I2000">
        <v>2025</v>
      </c>
      <c r="J2000">
        <v>8</v>
      </c>
      <c r="K2000" t="s">
        <v>87</v>
      </c>
      <c r="L2000" t="s">
        <v>436</v>
      </c>
      <c r="M2000" t="s">
        <v>6</v>
      </c>
      <c r="N2000" t="b">
        <v>0</v>
      </c>
      <c r="O2000">
        <v>0</v>
      </c>
      <c r="P2000">
        <v>1</v>
      </c>
      <c r="Q2000">
        <v>0</v>
      </c>
      <c r="R2000">
        <v>0</v>
      </c>
    </row>
    <row r="2001" spans="1:18" x14ac:dyDescent="0.25">
      <c r="A2001" t="s">
        <v>20</v>
      </c>
      <c r="B2001" t="s">
        <v>6</v>
      </c>
      <c r="C2001">
        <v>1</v>
      </c>
      <c r="D2001">
        <v>1</v>
      </c>
      <c r="E2001">
        <v>1</v>
      </c>
      <c r="F2001" s="15">
        <v>45894</v>
      </c>
      <c r="G2001" t="s">
        <v>99</v>
      </c>
      <c r="H2001">
        <v>5</v>
      </c>
      <c r="I2001">
        <v>2025</v>
      </c>
      <c r="J2001">
        <v>8</v>
      </c>
      <c r="K2001" t="s">
        <v>87</v>
      </c>
      <c r="L2001" t="s">
        <v>7</v>
      </c>
      <c r="M2001" t="s">
        <v>8</v>
      </c>
      <c r="N2001" t="b">
        <v>0</v>
      </c>
      <c r="O2001">
        <v>0</v>
      </c>
      <c r="P2001">
        <v>1</v>
      </c>
      <c r="Q2001">
        <v>0</v>
      </c>
      <c r="R2001">
        <v>1</v>
      </c>
    </row>
    <row r="2002" spans="1:18" x14ac:dyDescent="0.25">
      <c r="A2002" t="s">
        <v>20</v>
      </c>
      <c r="B2002" t="s">
        <v>6</v>
      </c>
      <c r="C2002">
        <v>1</v>
      </c>
      <c r="D2002">
        <v>1</v>
      </c>
      <c r="E2002">
        <v>1</v>
      </c>
      <c r="F2002" s="15">
        <v>45894</v>
      </c>
      <c r="G2002" t="s">
        <v>99</v>
      </c>
      <c r="H2002">
        <v>5</v>
      </c>
      <c r="I2002">
        <v>2025</v>
      </c>
      <c r="J2002">
        <v>8</v>
      </c>
      <c r="K2002" t="s">
        <v>87</v>
      </c>
      <c r="L2002" t="s">
        <v>28</v>
      </c>
      <c r="M2002" t="s">
        <v>6</v>
      </c>
      <c r="N2002" t="b">
        <v>0</v>
      </c>
      <c r="O2002">
        <v>0</v>
      </c>
      <c r="P2002">
        <v>1</v>
      </c>
      <c r="Q2002">
        <v>0</v>
      </c>
      <c r="R2002">
        <v>0</v>
      </c>
    </row>
    <row r="2003" spans="1:18" x14ac:dyDescent="0.25">
      <c r="A2003" t="s">
        <v>20</v>
      </c>
      <c r="B2003" t="s">
        <v>6</v>
      </c>
      <c r="C2003">
        <v>1</v>
      </c>
      <c r="D2003">
        <v>1</v>
      </c>
      <c r="E2003">
        <v>1</v>
      </c>
      <c r="F2003" s="15">
        <v>45894</v>
      </c>
      <c r="G2003" t="s">
        <v>99</v>
      </c>
      <c r="H2003">
        <v>5</v>
      </c>
      <c r="I2003">
        <v>2025</v>
      </c>
      <c r="J2003">
        <v>8</v>
      </c>
      <c r="K2003" t="s">
        <v>87</v>
      </c>
      <c r="L2003" t="s">
        <v>15</v>
      </c>
      <c r="M2003" t="s">
        <v>6</v>
      </c>
      <c r="N2003" t="b">
        <v>0</v>
      </c>
      <c r="O2003">
        <v>0</v>
      </c>
      <c r="P2003">
        <v>1</v>
      </c>
      <c r="Q2003">
        <v>0</v>
      </c>
      <c r="R2003">
        <v>0</v>
      </c>
    </row>
    <row r="2004" spans="1:18" x14ac:dyDescent="0.25">
      <c r="A2004" t="s">
        <v>28</v>
      </c>
      <c r="B2004" t="s">
        <v>6</v>
      </c>
      <c r="C2004">
        <v>4</v>
      </c>
      <c r="D2004">
        <v>1</v>
      </c>
      <c r="E2004">
        <v>1</v>
      </c>
      <c r="F2004" s="15">
        <v>45894</v>
      </c>
      <c r="G2004" t="s">
        <v>99</v>
      </c>
      <c r="H2004">
        <v>5</v>
      </c>
      <c r="I2004">
        <v>2025</v>
      </c>
      <c r="J2004">
        <v>8</v>
      </c>
      <c r="K2004" t="s">
        <v>87</v>
      </c>
      <c r="L2004" t="s">
        <v>436</v>
      </c>
      <c r="M2004" t="s">
        <v>6</v>
      </c>
      <c r="N2004" t="b">
        <v>0</v>
      </c>
      <c r="O2004">
        <v>0</v>
      </c>
      <c r="P2004">
        <v>1</v>
      </c>
      <c r="Q2004">
        <v>0</v>
      </c>
      <c r="R2004">
        <v>0</v>
      </c>
    </row>
    <row r="2005" spans="1:18" x14ac:dyDescent="0.25">
      <c r="A2005" t="s">
        <v>28</v>
      </c>
      <c r="B2005" t="s">
        <v>6</v>
      </c>
      <c r="C2005">
        <v>4</v>
      </c>
      <c r="D2005">
        <v>1</v>
      </c>
      <c r="E2005">
        <v>1</v>
      </c>
      <c r="F2005" s="15">
        <v>45894</v>
      </c>
      <c r="G2005" t="s">
        <v>99</v>
      </c>
      <c r="H2005">
        <v>5</v>
      </c>
      <c r="I2005">
        <v>2025</v>
      </c>
      <c r="J2005">
        <v>8</v>
      </c>
      <c r="K2005" t="s">
        <v>87</v>
      </c>
      <c r="L2005" t="s">
        <v>7</v>
      </c>
      <c r="M2005" t="s">
        <v>8</v>
      </c>
      <c r="N2005" t="b">
        <v>0</v>
      </c>
      <c r="O2005">
        <v>0</v>
      </c>
      <c r="P2005">
        <v>1</v>
      </c>
      <c r="Q2005">
        <v>0</v>
      </c>
      <c r="R2005">
        <v>1</v>
      </c>
    </row>
    <row r="2006" spans="1:18" x14ac:dyDescent="0.25">
      <c r="A2006" t="s">
        <v>28</v>
      </c>
      <c r="B2006" t="s">
        <v>6</v>
      </c>
      <c r="C2006">
        <v>4</v>
      </c>
      <c r="D2006">
        <v>1</v>
      </c>
      <c r="E2006">
        <v>1</v>
      </c>
      <c r="F2006" s="15">
        <v>45894</v>
      </c>
      <c r="G2006" t="s">
        <v>99</v>
      </c>
      <c r="H2006">
        <v>5</v>
      </c>
      <c r="I2006">
        <v>2025</v>
      </c>
      <c r="J2006">
        <v>8</v>
      </c>
      <c r="K2006" t="s">
        <v>87</v>
      </c>
      <c r="L2006" t="s">
        <v>20</v>
      </c>
      <c r="M2006" t="s">
        <v>6</v>
      </c>
      <c r="N2006" t="b">
        <v>0</v>
      </c>
      <c r="O2006">
        <v>0</v>
      </c>
      <c r="P2006">
        <v>1</v>
      </c>
      <c r="Q2006">
        <v>0</v>
      </c>
      <c r="R2006">
        <v>0</v>
      </c>
    </row>
    <row r="2007" spans="1:18" x14ac:dyDescent="0.25">
      <c r="A2007" t="s">
        <v>28</v>
      </c>
      <c r="B2007" t="s">
        <v>6</v>
      </c>
      <c r="C2007">
        <v>4</v>
      </c>
      <c r="D2007">
        <v>1</v>
      </c>
      <c r="E2007">
        <v>1</v>
      </c>
      <c r="F2007" s="15">
        <v>45894</v>
      </c>
      <c r="G2007" t="s">
        <v>99</v>
      </c>
      <c r="H2007">
        <v>5</v>
      </c>
      <c r="I2007">
        <v>2025</v>
      </c>
      <c r="J2007">
        <v>8</v>
      </c>
      <c r="K2007" t="s">
        <v>87</v>
      </c>
      <c r="L2007" t="s">
        <v>15</v>
      </c>
      <c r="M2007" t="s">
        <v>6</v>
      </c>
      <c r="N2007" t="b">
        <v>0</v>
      </c>
      <c r="O2007">
        <v>0</v>
      </c>
      <c r="P2007">
        <v>1</v>
      </c>
      <c r="Q2007">
        <v>0</v>
      </c>
      <c r="R2007">
        <v>0</v>
      </c>
    </row>
    <row r="2008" spans="1:18" x14ac:dyDescent="0.25">
      <c r="A2008" t="s">
        <v>15</v>
      </c>
      <c r="B2008" t="s">
        <v>6</v>
      </c>
      <c r="C2008">
        <v>3</v>
      </c>
      <c r="D2008">
        <v>1</v>
      </c>
      <c r="E2008">
        <v>1</v>
      </c>
      <c r="F2008" s="15">
        <v>45894</v>
      </c>
      <c r="G2008" t="s">
        <v>99</v>
      </c>
      <c r="H2008">
        <v>5</v>
      </c>
      <c r="I2008">
        <v>2025</v>
      </c>
      <c r="J2008">
        <v>8</v>
      </c>
      <c r="K2008" t="s">
        <v>87</v>
      </c>
      <c r="L2008" t="s">
        <v>436</v>
      </c>
      <c r="M2008" t="s">
        <v>6</v>
      </c>
      <c r="N2008" t="b">
        <v>0</v>
      </c>
      <c r="O2008">
        <v>0</v>
      </c>
      <c r="P2008">
        <v>1</v>
      </c>
      <c r="Q2008">
        <v>0</v>
      </c>
      <c r="R2008">
        <v>0</v>
      </c>
    </row>
    <row r="2009" spans="1:18" x14ac:dyDescent="0.25">
      <c r="A2009" t="s">
        <v>15</v>
      </c>
      <c r="B2009" t="s">
        <v>6</v>
      </c>
      <c r="C2009">
        <v>3</v>
      </c>
      <c r="D2009">
        <v>1</v>
      </c>
      <c r="E2009">
        <v>1</v>
      </c>
      <c r="F2009" s="15">
        <v>45894</v>
      </c>
      <c r="G2009" t="s">
        <v>99</v>
      </c>
      <c r="H2009">
        <v>5</v>
      </c>
      <c r="I2009">
        <v>2025</v>
      </c>
      <c r="J2009">
        <v>8</v>
      </c>
      <c r="K2009" t="s">
        <v>87</v>
      </c>
      <c r="L2009" t="s">
        <v>7</v>
      </c>
      <c r="M2009" t="s">
        <v>8</v>
      </c>
      <c r="N2009" t="b">
        <v>0</v>
      </c>
      <c r="O2009">
        <v>0</v>
      </c>
      <c r="P2009">
        <v>1</v>
      </c>
      <c r="Q2009">
        <v>0</v>
      </c>
      <c r="R2009">
        <v>1</v>
      </c>
    </row>
    <row r="2010" spans="1:18" x14ac:dyDescent="0.25">
      <c r="A2010" t="s">
        <v>15</v>
      </c>
      <c r="B2010" t="s">
        <v>6</v>
      </c>
      <c r="C2010">
        <v>3</v>
      </c>
      <c r="D2010">
        <v>1</v>
      </c>
      <c r="E2010">
        <v>1</v>
      </c>
      <c r="F2010" s="15">
        <v>45894</v>
      </c>
      <c r="G2010" t="s">
        <v>99</v>
      </c>
      <c r="H2010">
        <v>5</v>
      </c>
      <c r="I2010">
        <v>2025</v>
      </c>
      <c r="J2010">
        <v>8</v>
      </c>
      <c r="K2010" t="s">
        <v>87</v>
      </c>
      <c r="L2010" t="s">
        <v>20</v>
      </c>
      <c r="M2010" t="s">
        <v>6</v>
      </c>
      <c r="N2010" t="b">
        <v>0</v>
      </c>
      <c r="O2010">
        <v>0</v>
      </c>
      <c r="P2010">
        <v>1</v>
      </c>
      <c r="Q2010">
        <v>0</v>
      </c>
      <c r="R2010">
        <v>0</v>
      </c>
    </row>
    <row r="2011" spans="1:18" x14ac:dyDescent="0.25">
      <c r="A2011" t="s">
        <v>15</v>
      </c>
      <c r="B2011" t="s">
        <v>6</v>
      </c>
      <c r="C2011">
        <v>3</v>
      </c>
      <c r="D2011">
        <v>1</v>
      </c>
      <c r="E2011">
        <v>1</v>
      </c>
      <c r="F2011" s="15">
        <v>45894</v>
      </c>
      <c r="G2011" t="s">
        <v>99</v>
      </c>
      <c r="H2011">
        <v>5</v>
      </c>
      <c r="I2011">
        <v>2025</v>
      </c>
      <c r="J2011">
        <v>8</v>
      </c>
      <c r="K2011" t="s">
        <v>87</v>
      </c>
      <c r="L2011" t="s">
        <v>28</v>
      </c>
      <c r="M2011" t="s">
        <v>6</v>
      </c>
      <c r="N2011" t="b">
        <v>0</v>
      </c>
      <c r="O2011">
        <v>0</v>
      </c>
      <c r="P2011">
        <v>1</v>
      </c>
      <c r="Q2011">
        <v>0</v>
      </c>
      <c r="R2011">
        <v>0</v>
      </c>
    </row>
    <row r="2012" spans="1:18" x14ac:dyDescent="0.25">
      <c r="A2012" t="s">
        <v>436</v>
      </c>
      <c r="B2012" t="s">
        <v>6</v>
      </c>
      <c r="C2012">
        <v>3</v>
      </c>
      <c r="D2012">
        <v>1</v>
      </c>
      <c r="E2012">
        <v>1</v>
      </c>
      <c r="F2012" s="15">
        <v>45978</v>
      </c>
      <c r="G2012" t="s">
        <v>110</v>
      </c>
      <c r="H2012">
        <v>3</v>
      </c>
      <c r="I2012">
        <v>2025</v>
      </c>
      <c r="J2012">
        <v>11</v>
      </c>
      <c r="K2012" t="s">
        <v>87</v>
      </c>
      <c r="L2012" t="s">
        <v>28</v>
      </c>
      <c r="M2012" t="s">
        <v>8</v>
      </c>
      <c r="N2012" t="b">
        <v>0</v>
      </c>
      <c r="O2012">
        <v>0</v>
      </c>
      <c r="P2012">
        <v>1</v>
      </c>
      <c r="Q2012">
        <v>0</v>
      </c>
      <c r="R2012">
        <v>1</v>
      </c>
    </row>
    <row r="2013" spans="1:18" x14ac:dyDescent="0.25">
      <c r="A2013" t="s">
        <v>436</v>
      </c>
      <c r="B2013" t="s">
        <v>6</v>
      </c>
      <c r="C2013">
        <v>3</v>
      </c>
      <c r="D2013">
        <v>1</v>
      </c>
      <c r="E2013">
        <v>1</v>
      </c>
      <c r="F2013" s="15">
        <v>45978</v>
      </c>
      <c r="G2013" t="s">
        <v>110</v>
      </c>
      <c r="H2013">
        <v>3</v>
      </c>
      <c r="I2013">
        <v>2025</v>
      </c>
      <c r="J2013">
        <v>11</v>
      </c>
      <c r="K2013" t="s">
        <v>87</v>
      </c>
      <c r="L2013" t="s">
        <v>29</v>
      </c>
      <c r="M2013" t="s">
        <v>6</v>
      </c>
      <c r="N2013" t="b">
        <v>0</v>
      </c>
      <c r="O2013">
        <v>0</v>
      </c>
      <c r="P2013">
        <v>1</v>
      </c>
      <c r="Q2013">
        <v>0</v>
      </c>
      <c r="R2013">
        <v>0</v>
      </c>
    </row>
    <row r="2014" spans="1:18" x14ac:dyDescent="0.25">
      <c r="A2014" t="s">
        <v>28</v>
      </c>
      <c r="B2014" t="s">
        <v>8</v>
      </c>
      <c r="C2014">
        <v>1</v>
      </c>
      <c r="D2014">
        <v>1</v>
      </c>
      <c r="E2014">
        <v>1</v>
      </c>
      <c r="F2014" s="15">
        <v>45978</v>
      </c>
      <c r="G2014" t="s">
        <v>110</v>
      </c>
      <c r="H2014">
        <v>3</v>
      </c>
      <c r="I2014">
        <v>2025</v>
      </c>
      <c r="J2014">
        <v>11</v>
      </c>
      <c r="K2014" t="s">
        <v>87</v>
      </c>
      <c r="L2014" t="s">
        <v>436</v>
      </c>
      <c r="M2014" t="s">
        <v>6</v>
      </c>
      <c r="N2014" t="b">
        <v>0</v>
      </c>
      <c r="O2014">
        <v>1</v>
      </c>
      <c r="P2014">
        <v>0</v>
      </c>
      <c r="Q2014">
        <v>0</v>
      </c>
      <c r="R2014">
        <v>0</v>
      </c>
    </row>
    <row r="2015" spans="1:18" x14ac:dyDescent="0.25">
      <c r="A2015" t="s">
        <v>28</v>
      </c>
      <c r="B2015" t="s">
        <v>8</v>
      </c>
      <c r="C2015">
        <v>1</v>
      </c>
      <c r="D2015">
        <v>1</v>
      </c>
      <c r="E2015">
        <v>1</v>
      </c>
      <c r="F2015" s="15">
        <v>45978</v>
      </c>
      <c r="G2015" t="s">
        <v>110</v>
      </c>
      <c r="H2015">
        <v>3</v>
      </c>
      <c r="I2015">
        <v>2025</v>
      </c>
      <c r="J2015">
        <v>11</v>
      </c>
      <c r="K2015" t="s">
        <v>87</v>
      </c>
      <c r="L2015" t="s">
        <v>29</v>
      </c>
      <c r="M2015" t="s">
        <v>6</v>
      </c>
      <c r="N2015" t="b">
        <v>0</v>
      </c>
      <c r="O2015">
        <v>1</v>
      </c>
      <c r="P2015">
        <v>0</v>
      </c>
      <c r="Q2015">
        <v>0</v>
      </c>
      <c r="R2015">
        <v>0</v>
      </c>
    </row>
    <row r="2016" spans="1:18" x14ac:dyDescent="0.25">
      <c r="A2016" t="s">
        <v>29</v>
      </c>
      <c r="B2016" t="s">
        <v>6</v>
      </c>
      <c r="C2016">
        <v>2</v>
      </c>
      <c r="D2016">
        <v>1</v>
      </c>
      <c r="E2016">
        <v>1</v>
      </c>
      <c r="F2016" s="15">
        <v>45978</v>
      </c>
      <c r="G2016" t="s">
        <v>110</v>
      </c>
      <c r="H2016">
        <v>3</v>
      </c>
      <c r="I2016">
        <v>2025</v>
      </c>
      <c r="J2016">
        <v>11</v>
      </c>
      <c r="K2016" t="s">
        <v>87</v>
      </c>
      <c r="L2016" t="s">
        <v>436</v>
      </c>
      <c r="M2016" t="s">
        <v>6</v>
      </c>
      <c r="N2016" t="b">
        <v>0</v>
      </c>
      <c r="O2016">
        <v>0</v>
      </c>
      <c r="P2016">
        <v>1</v>
      </c>
      <c r="Q2016">
        <v>0</v>
      </c>
      <c r="R2016">
        <v>0</v>
      </c>
    </row>
    <row r="2017" spans="1:18" x14ac:dyDescent="0.25">
      <c r="A2017" t="s">
        <v>29</v>
      </c>
      <c r="B2017" t="s">
        <v>6</v>
      </c>
      <c r="C2017">
        <v>2</v>
      </c>
      <c r="D2017">
        <v>1</v>
      </c>
      <c r="E2017">
        <v>1</v>
      </c>
      <c r="F2017" s="15">
        <v>45978</v>
      </c>
      <c r="G2017" t="s">
        <v>110</v>
      </c>
      <c r="H2017">
        <v>3</v>
      </c>
      <c r="I2017">
        <v>2025</v>
      </c>
      <c r="J2017">
        <v>11</v>
      </c>
      <c r="K2017" t="s">
        <v>87</v>
      </c>
      <c r="L2017" t="s">
        <v>28</v>
      </c>
      <c r="M2017" t="s">
        <v>8</v>
      </c>
      <c r="N2017" t="b">
        <v>0</v>
      </c>
      <c r="O2017">
        <v>0</v>
      </c>
      <c r="P2017">
        <v>1</v>
      </c>
      <c r="Q2017">
        <v>0</v>
      </c>
      <c r="R2017">
        <v>1</v>
      </c>
    </row>
    <row r="2018" spans="1:18" x14ac:dyDescent="0.25">
      <c r="A2018" t="s">
        <v>436</v>
      </c>
      <c r="B2018" t="s">
        <v>6</v>
      </c>
      <c r="C2018">
        <v>2</v>
      </c>
      <c r="D2018">
        <v>1</v>
      </c>
      <c r="E2018">
        <v>1</v>
      </c>
      <c r="F2018" s="15">
        <v>45999</v>
      </c>
      <c r="G2018" t="s">
        <v>113</v>
      </c>
      <c r="H2018">
        <v>4</v>
      </c>
      <c r="I2018">
        <v>2025</v>
      </c>
      <c r="J2018">
        <v>12</v>
      </c>
      <c r="K2018" t="s">
        <v>87</v>
      </c>
      <c r="L2018" t="s">
        <v>57</v>
      </c>
      <c r="M2018" t="s">
        <v>6</v>
      </c>
      <c r="N2018" t="b">
        <v>0</v>
      </c>
      <c r="O2018">
        <v>0</v>
      </c>
      <c r="P2018">
        <v>1</v>
      </c>
      <c r="Q2018">
        <v>0</v>
      </c>
      <c r="R2018">
        <v>0</v>
      </c>
    </row>
    <row r="2019" spans="1:18" x14ac:dyDescent="0.25">
      <c r="A2019" t="s">
        <v>436</v>
      </c>
      <c r="B2019" t="s">
        <v>6</v>
      </c>
      <c r="C2019">
        <v>2</v>
      </c>
      <c r="D2019">
        <v>1</v>
      </c>
      <c r="E2019">
        <v>1</v>
      </c>
      <c r="F2019" s="15">
        <v>45999</v>
      </c>
      <c r="G2019" t="s">
        <v>113</v>
      </c>
      <c r="H2019">
        <v>4</v>
      </c>
      <c r="I2019">
        <v>2025</v>
      </c>
      <c r="J2019">
        <v>12</v>
      </c>
      <c r="K2019" t="s">
        <v>87</v>
      </c>
      <c r="L2019" t="s">
        <v>27</v>
      </c>
      <c r="M2019" t="s">
        <v>6</v>
      </c>
      <c r="N2019" t="b">
        <v>0</v>
      </c>
      <c r="O2019">
        <v>0</v>
      </c>
      <c r="P2019">
        <v>1</v>
      </c>
      <c r="Q2019">
        <v>0</v>
      </c>
      <c r="R2019">
        <v>0</v>
      </c>
    </row>
    <row r="2020" spans="1:18" x14ac:dyDescent="0.25">
      <c r="A2020" t="s">
        <v>436</v>
      </c>
      <c r="B2020" t="s">
        <v>6</v>
      </c>
      <c r="C2020">
        <v>2</v>
      </c>
      <c r="D2020">
        <v>1</v>
      </c>
      <c r="E2020">
        <v>1</v>
      </c>
      <c r="F2020" s="15">
        <v>45999</v>
      </c>
      <c r="G2020" t="s">
        <v>113</v>
      </c>
      <c r="H2020">
        <v>4</v>
      </c>
      <c r="I2020">
        <v>2025</v>
      </c>
      <c r="J2020">
        <v>12</v>
      </c>
      <c r="K2020" t="s">
        <v>87</v>
      </c>
      <c r="L2020" t="s">
        <v>15</v>
      </c>
      <c r="M2020" t="s">
        <v>8</v>
      </c>
      <c r="N2020" t="b">
        <v>0</v>
      </c>
      <c r="O2020">
        <v>0</v>
      </c>
      <c r="P2020">
        <v>1</v>
      </c>
      <c r="Q2020">
        <v>0</v>
      </c>
      <c r="R2020">
        <v>1</v>
      </c>
    </row>
    <row r="2021" spans="1:18" x14ac:dyDescent="0.25">
      <c r="A2021" t="s">
        <v>57</v>
      </c>
      <c r="B2021" t="s">
        <v>6</v>
      </c>
      <c r="C2021">
        <v>3</v>
      </c>
      <c r="D2021">
        <v>1</v>
      </c>
      <c r="E2021">
        <v>1</v>
      </c>
      <c r="F2021" s="15">
        <v>45999</v>
      </c>
      <c r="G2021" t="s">
        <v>113</v>
      </c>
      <c r="H2021">
        <v>4</v>
      </c>
      <c r="I2021">
        <v>2025</v>
      </c>
      <c r="J2021">
        <v>12</v>
      </c>
      <c r="K2021" t="s">
        <v>87</v>
      </c>
      <c r="L2021" t="s">
        <v>436</v>
      </c>
      <c r="M2021" t="s">
        <v>6</v>
      </c>
      <c r="N2021" t="b">
        <v>0</v>
      </c>
      <c r="O2021">
        <v>0</v>
      </c>
      <c r="P2021">
        <v>1</v>
      </c>
      <c r="Q2021">
        <v>0</v>
      </c>
      <c r="R2021">
        <v>0</v>
      </c>
    </row>
    <row r="2022" spans="1:18" x14ac:dyDescent="0.25">
      <c r="A2022" t="s">
        <v>57</v>
      </c>
      <c r="B2022" t="s">
        <v>6</v>
      </c>
      <c r="C2022">
        <v>3</v>
      </c>
      <c r="D2022">
        <v>1</v>
      </c>
      <c r="E2022">
        <v>1</v>
      </c>
      <c r="F2022" s="15">
        <v>45999</v>
      </c>
      <c r="G2022" t="s">
        <v>113</v>
      </c>
      <c r="H2022">
        <v>4</v>
      </c>
      <c r="I2022">
        <v>2025</v>
      </c>
      <c r="J2022">
        <v>12</v>
      </c>
      <c r="K2022" t="s">
        <v>87</v>
      </c>
      <c r="L2022" t="s">
        <v>27</v>
      </c>
      <c r="M2022" t="s">
        <v>6</v>
      </c>
      <c r="N2022" t="b">
        <v>0</v>
      </c>
      <c r="O2022">
        <v>0</v>
      </c>
      <c r="P2022">
        <v>1</v>
      </c>
      <c r="Q2022">
        <v>0</v>
      </c>
      <c r="R2022">
        <v>0</v>
      </c>
    </row>
    <row r="2023" spans="1:18" x14ac:dyDescent="0.25">
      <c r="A2023" t="s">
        <v>57</v>
      </c>
      <c r="B2023" t="s">
        <v>6</v>
      </c>
      <c r="C2023">
        <v>3</v>
      </c>
      <c r="D2023">
        <v>1</v>
      </c>
      <c r="E2023">
        <v>1</v>
      </c>
      <c r="F2023" s="15">
        <v>45999</v>
      </c>
      <c r="G2023" t="s">
        <v>113</v>
      </c>
      <c r="H2023">
        <v>4</v>
      </c>
      <c r="I2023">
        <v>2025</v>
      </c>
      <c r="J2023">
        <v>12</v>
      </c>
      <c r="K2023" t="s">
        <v>87</v>
      </c>
      <c r="L2023" t="s">
        <v>15</v>
      </c>
      <c r="M2023" t="s">
        <v>8</v>
      </c>
      <c r="N2023" t="b">
        <v>0</v>
      </c>
      <c r="O2023">
        <v>0</v>
      </c>
      <c r="P2023">
        <v>1</v>
      </c>
      <c r="Q2023">
        <v>0</v>
      </c>
      <c r="R2023">
        <v>1</v>
      </c>
    </row>
    <row r="2024" spans="1:18" x14ac:dyDescent="0.25">
      <c r="A2024" t="s">
        <v>27</v>
      </c>
      <c r="B2024" t="s">
        <v>6</v>
      </c>
      <c r="C2024">
        <v>4</v>
      </c>
      <c r="D2024">
        <v>1</v>
      </c>
      <c r="E2024">
        <v>1</v>
      </c>
      <c r="F2024" s="15">
        <v>45999</v>
      </c>
      <c r="G2024" t="s">
        <v>113</v>
      </c>
      <c r="H2024">
        <v>4</v>
      </c>
      <c r="I2024">
        <v>2025</v>
      </c>
      <c r="J2024">
        <v>12</v>
      </c>
      <c r="K2024" t="s">
        <v>87</v>
      </c>
      <c r="L2024" t="s">
        <v>436</v>
      </c>
      <c r="M2024" t="s">
        <v>6</v>
      </c>
      <c r="N2024" t="b">
        <v>0</v>
      </c>
      <c r="O2024">
        <v>0</v>
      </c>
      <c r="P2024">
        <v>1</v>
      </c>
      <c r="Q2024">
        <v>0</v>
      </c>
      <c r="R2024">
        <v>0</v>
      </c>
    </row>
    <row r="2025" spans="1:18" x14ac:dyDescent="0.25">
      <c r="A2025" t="s">
        <v>27</v>
      </c>
      <c r="B2025" t="s">
        <v>6</v>
      </c>
      <c r="C2025">
        <v>4</v>
      </c>
      <c r="D2025">
        <v>1</v>
      </c>
      <c r="E2025">
        <v>1</v>
      </c>
      <c r="F2025" s="15">
        <v>45999</v>
      </c>
      <c r="G2025" t="s">
        <v>113</v>
      </c>
      <c r="H2025">
        <v>4</v>
      </c>
      <c r="I2025">
        <v>2025</v>
      </c>
      <c r="J2025">
        <v>12</v>
      </c>
      <c r="K2025" t="s">
        <v>87</v>
      </c>
      <c r="L2025" t="s">
        <v>57</v>
      </c>
      <c r="M2025" t="s">
        <v>6</v>
      </c>
      <c r="N2025" t="b">
        <v>0</v>
      </c>
      <c r="O2025">
        <v>0</v>
      </c>
      <c r="P2025">
        <v>1</v>
      </c>
      <c r="Q2025">
        <v>0</v>
      </c>
      <c r="R2025">
        <v>0</v>
      </c>
    </row>
    <row r="2026" spans="1:18" x14ac:dyDescent="0.25">
      <c r="A2026" t="s">
        <v>27</v>
      </c>
      <c r="B2026" t="s">
        <v>6</v>
      </c>
      <c r="C2026">
        <v>4</v>
      </c>
      <c r="D2026">
        <v>1</v>
      </c>
      <c r="E2026">
        <v>1</v>
      </c>
      <c r="F2026" s="15">
        <v>45999</v>
      </c>
      <c r="G2026" t="s">
        <v>113</v>
      </c>
      <c r="H2026">
        <v>4</v>
      </c>
      <c r="I2026">
        <v>2025</v>
      </c>
      <c r="J2026">
        <v>12</v>
      </c>
      <c r="K2026" t="s">
        <v>87</v>
      </c>
      <c r="L2026" t="s">
        <v>15</v>
      </c>
      <c r="M2026" t="s">
        <v>8</v>
      </c>
      <c r="N2026" t="b">
        <v>0</v>
      </c>
      <c r="O2026">
        <v>0</v>
      </c>
      <c r="P2026">
        <v>1</v>
      </c>
      <c r="Q2026">
        <v>0</v>
      </c>
      <c r="R2026">
        <v>1</v>
      </c>
    </row>
    <row r="2027" spans="1:18" x14ac:dyDescent="0.25">
      <c r="A2027" t="s">
        <v>15</v>
      </c>
      <c r="B2027" t="s">
        <v>8</v>
      </c>
      <c r="C2027">
        <v>1</v>
      </c>
      <c r="D2027">
        <v>1</v>
      </c>
      <c r="E2027">
        <v>1</v>
      </c>
      <c r="F2027" s="15">
        <v>45999</v>
      </c>
      <c r="G2027" t="s">
        <v>113</v>
      </c>
      <c r="H2027">
        <v>4</v>
      </c>
      <c r="I2027">
        <v>2025</v>
      </c>
      <c r="J2027">
        <v>12</v>
      </c>
      <c r="K2027" t="s">
        <v>87</v>
      </c>
      <c r="L2027" t="s">
        <v>436</v>
      </c>
      <c r="M2027" t="s">
        <v>6</v>
      </c>
      <c r="N2027" t="b">
        <v>0</v>
      </c>
      <c r="O2027">
        <v>1</v>
      </c>
      <c r="P2027">
        <v>0</v>
      </c>
      <c r="Q2027">
        <v>0</v>
      </c>
      <c r="R2027">
        <v>0</v>
      </c>
    </row>
    <row r="2028" spans="1:18" x14ac:dyDescent="0.25">
      <c r="A2028" t="s">
        <v>15</v>
      </c>
      <c r="B2028" t="s">
        <v>8</v>
      </c>
      <c r="C2028">
        <v>1</v>
      </c>
      <c r="D2028">
        <v>1</v>
      </c>
      <c r="E2028">
        <v>1</v>
      </c>
      <c r="F2028" s="15">
        <v>45999</v>
      </c>
      <c r="G2028" t="s">
        <v>113</v>
      </c>
      <c r="H2028">
        <v>4</v>
      </c>
      <c r="I2028">
        <v>2025</v>
      </c>
      <c r="J2028">
        <v>12</v>
      </c>
      <c r="K2028" t="s">
        <v>87</v>
      </c>
      <c r="L2028" t="s">
        <v>57</v>
      </c>
      <c r="M2028" t="s">
        <v>6</v>
      </c>
      <c r="N2028" t="b">
        <v>0</v>
      </c>
      <c r="O2028">
        <v>1</v>
      </c>
      <c r="P2028">
        <v>0</v>
      </c>
      <c r="Q2028">
        <v>0</v>
      </c>
      <c r="R2028">
        <v>0</v>
      </c>
    </row>
    <row r="2029" spans="1:18" x14ac:dyDescent="0.25">
      <c r="A2029" t="s">
        <v>15</v>
      </c>
      <c r="B2029" t="s">
        <v>8</v>
      </c>
      <c r="C2029">
        <v>1</v>
      </c>
      <c r="D2029">
        <v>1</v>
      </c>
      <c r="E2029">
        <v>1</v>
      </c>
      <c r="F2029" s="15">
        <v>45999</v>
      </c>
      <c r="G2029" t="s">
        <v>113</v>
      </c>
      <c r="H2029">
        <v>4</v>
      </c>
      <c r="I2029">
        <v>2025</v>
      </c>
      <c r="J2029">
        <v>12</v>
      </c>
      <c r="K2029" t="s">
        <v>87</v>
      </c>
      <c r="L2029" t="s">
        <v>27</v>
      </c>
      <c r="M2029" t="s">
        <v>6</v>
      </c>
      <c r="N2029" t="b">
        <v>0</v>
      </c>
      <c r="O2029">
        <v>1</v>
      </c>
      <c r="P2029">
        <v>0</v>
      </c>
      <c r="Q2029">
        <v>0</v>
      </c>
      <c r="R2029">
        <v>0</v>
      </c>
    </row>
    <row r="2030" spans="1:18" x14ac:dyDescent="0.25">
      <c r="A2030" t="s">
        <v>436</v>
      </c>
      <c r="B2030" t="s">
        <v>6</v>
      </c>
      <c r="C2030">
        <v>1</v>
      </c>
      <c r="D2030">
        <v>1</v>
      </c>
      <c r="E2030">
        <v>2</v>
      </c>
      <c r="F2030" s="15">
        <v>45985</v>
      </c>
      <c r="G2030" t="s">
        <v>135</v>
      </c>
      <c r="H2030">
        <v>4</v>
      </c>
      <c r="I2030">
        <v>2025</v>
      </c>
      <c r="J2030">
        <v>11</v>
      </c>
      <c r="K2030" t="s">
        <v>87</v>
      </c>
      <c r="L2030" t="s">
        <v>15</v>
      </c>
      <c r="M2030" t="s">
        <v>8</v>
      </c>
      <c r="N2030" t="b">
        <v>0</v>
      </c>
      <c r="O2030">
        <v>0</v>
      </c>
      <c r="P2030">
        <v>1</v>
      </c>
      <c r="Q2030">
        <v>0</v>
      </c>
      <c r="R2030">
        <v>1</v>
      </c>
    </row>
    <row r="2031" spans="1:18" x14ac:dyDescent="0.25">
      <c r="A2031" t="s">
        <v>436</v>
      </c>
      <c r="B2031" t="s">
        <v>6</v>
      </c>
      <c r="C2031">
        <v>1</v>
      </c>
      <c r="D2031">
        <v>1</v>
      </c>
      <c r="E2031">
        <v>2</v>
      </c>
      <c r="F2031" s="15">
        <v>45985</v>
      </c>
      <c r="G2031" t="s">
        <v>135</v>
      </c>
      <c r="H2031">
        <v>4</v>
      </c>
      <c r="I2031">
        <v>2025</v>
      </c>
      <c r="J2031">
        <v>11</v>
      </c>
      <c r="K2031" t="s">
        <v>87</v>
      </c>
      <c r="L2031" t="s">
        <v>11</v>
      </c>
      <c r="M2031" t="s">
        <v>6</v>
      </c>
      <c r="N2031" t="b">
        <v>0</v>
      </c>
      <c r="O2031">
        <v>0</v>
      </c>
      <c r="P2031">
        <v>1</v>
      </c>
      <c r="Q2031">
        <v>0</v>
      </c>
      <c r="R2031">
        <v>0</v>
      </c>
    </row>
    <row r="2032" spans="1:18" x14ac:dyDescent="0.25">
      <c r="A2032" t="s">
        <v>436</v>
      </c>
      <c r="B2032" t="s">
        <v>6</v>
      </c>
      <c r="C2032">
        <v>1</v>
      </c>
      <c r="D2032">
        <v>1</v>
      </c>
      <c r="E2032">
        <v>2</v>
      </c>
      <c r="F2032" s="15">
        <v>45985</v>
      </c>
      <c r="G2032" t="s">
        <v>135</v>
      </c>
      <c r="H2032">
        <v>4</v>
      </c>
      <c r="I2032">
        <v>2025</v>
      </c>
      <c r="J2032">
        <v>11</v>
      </c>
      <c r="K2032" t="s">
        <v>87</v>
      </c>
      <c r="L2032" t="s">
        <v>352</v>
      </c>
      <c r="M2032" t="s">
        <v>6</v>
      </c>
      <c r="N2032" t="b">
        <v>0</v>
      </c>
      <c r="O2032">
        <v>0</v>
      </c>
      <c r="P2032">
        <v>1</v>
      </c>
      <c r="Q2032">
        <v>0</v>
      </c>
      <c r="R2032">
        <v>0</v>
      </c>
    </row>
    <row r="2033" spans="1:18" x14ac:dyDescent="0.25">
      <c r="A2033" t="s">
        <v>15</v>
      </c>
      <c r="B2033" t="s">
        <v>8</v>
      </c>
      <c r="C2033">
        <v>2</v>
      </c>
      <c r="D2033">
        <v>1</v>
      </c>
      <c r="E2033">
        <v>2</v>
      </c>
      <c r="F2033" s="15">
        <v>45985</v>
      </c>
      <c r="G2033" t="s">
        <v>135</v>
      </c>
      <c r="H2033">
        <v>4</v>
      </c>
      <c r="I2033">
        <v>2025</v>
      </c>
      <c r="J2033">
        <v>11</v>
      </c>
      <c r="K2033" t="s">
        <v>87</v>
      </c>
      <c r="L2033" t="s">
        <v>436</v>
      </c>
      <c r="M2033" t="s">
        <v>6</v>
      </c>
      <c r="N2033" t="b">
        <v>0</v>
      </c>
      <c r="O2033">
        <v>1</v>
      </c>
      <c r="P2033">
        <v>0</v>
      </c>
      <c r="Q2033">
        <v>0</v>
      </c>
      <c r="R2033">
        <v>0</v>
      </c>
    </row>
    <row r="2034" spans="1:18" x14ac:dyDescent="0.25">
      <c r="A2034" t="s">
        <v>15</v>
      </c>
      <c r="B2034" t="s">
        <v>8</v>
      </c>
      <c r="C2034">
        <v>2</v>
      </c>
      <c r="D2034">
        <v>1</v>
      </c>
      <c r="E2034">
        <v>2</v>
      </c>
      <c r="F2034" s="15">
        <v>45985</v>
      </c>
      <c r="G2034" t="s">
        <v>135</v>
      </c>
      <c r="H2034">
        <v>4</v>
      </c>
      <c r="I2034">
        <v>2025</v>
      </c>
      <c r="J2034">
        <v>11</v>
      </c>
      <c r="K2034" t="s">
        <v>87</v>
      </c>
      <c r="L2034" t="s">
        <v>11</v>
      </c>
      <c r="M2034" t="s">
        <v>6</v>
      </c>
      <c r="N2034" t="b">
        <v>0</v>
      </c>
      <c r="O2034">
        <v>1</v>
      </c>
      <c r="P2034">
        <v>0</v>
      </c>
      <c r="Q2034">
        <v>0</v>
      </c>
      <c r="R2034">
        <v>0</v>
      </c>
    </row>
    <row r="2035" spans="1:18" x14ac:dyDescent="0.25">
      <c r="A2035" t="s">
        <v>15</v>
      </c>
      <c r="B2035" t="s">
        <v>8</v>
      </c>
      <c r="C2035">
        <v>2</v>
      </c>
      <c r="D2035">
        <v>1</v>
      </c>
      <c r="E2035">
        <v>2</v>
      </c>
      <c r="F2035" s="15">
        <v>45985</v>
      </c>
      <c r="G2035" t="s">
        <v>135</v>
      </c>
      <c r="H2035">
        <v>4</v>
      </c>
      <c r="I2035">
        <v>2025</v>
      </c>
      <c r="J2035">
        <v>11</v>
      </c>
      <c r="K2035" t="s">
        <v>87</v>
      </c>
      <c r="L2035" t="s">
        <v>352</v>
      </c>
      <c r="M2035" t="s">
        <v>6</v>
      </c>
      <c r="N2035" t="b">
        <v>0</v>
      </c>
      <c r="O2035">
        <v>1</v>
      </c>
      <c r="P2035">
        <v>0</v>
      </c>
      <c r="Q2035">
        <v>0</v>
      </c>
      <c r="R2035">
        <v>0</v>
      </c>
    </row>
    <row r="2036" spans="1:18" x14ac:dyDescent="0.25">
      <c r="A2036" t="s">
        <v>11</v>
      </c>
      <c r="B2036" t="s">
        <v>6</v>
      </c>
      <c r="C2036">
        <v>4</v>
      </c>
      <c r="D2036">
        <v>1</v>
      </c>
      <c r="E2036">
        <v>2</v>
      </c>
      <c r="F2036" s="15">
        <v>45985</v>
      </c>
      <c r="G2036" t="s">
        <v>135</v>
      </c>
      <c r="H2036">
        <v>4</v>
      </c>
      <c r="I2036">
        <v>2025</v>
      </c>
      <c r="J2036">
        <v>11</v>
      </c>
      <c r="K2036" t="s">
        <v>87</v>
      </c>
      <c r="L2036" t="s">
        <v>436</v>
      </c>
      <c r="M2036" t="s">
        <v>6</v>
      </c>
      <c r="N2036" t="b">
        <v>0</v>
      </c>
      <c r="O2036">
        <v>0</v>
      </c>
      <c r="P2036">
        <v>1</v>
      </c>
      <c r="Q2036">
        <v>0</v>
      </c>
      <c r="R2036">
        <v>0</v>
      </c>
    </row>
    <row r="2037" spans="1:18" x14ac:dyDescent="0.25">
      <c r="A2037" t="s">
        <v>11</v>
      </c>
      <c r="B2037" t="s">
        <v>6</v>
      </c>
      <c r="C2037">
        <v>4</v>
      </c>
      <c r="D2037">
        <v>1</v>
      </c>
      <c r="E2037">
        <v>2</v>
      </c>
      <c r="F2037" s="15">
        <v>45985</v>
      </c>
      <c r="G2037" t="s">
        <v>135</v>
      </c>
      <c r="H2037">
        <v>4</v>
      </c>
      <c r="I2037">
        <v>2025</v>
      </c>
      <c r="J2037">
        <v>11</v>
      </c>
      <c r="K2037" t="s">
        <v>87</v>
      </c>
      <c r="L2037" t="s">
        <v>15</v>
      </c>
      <c r="M2037" t="s">
        <v>8</v>
      </c>
      <c r="N2037" t="b">
        <v>0</v>
      </c>
      <c r="O2037">
        <v>0</v>
      </c>
      <c r="P2037">
        <v>1</v>
      </c>
      <c r="Q2037">
        <v>0</v>
      </c>
      <c r="R2037">
        <v>1</v>
      </c>
    </row>
    <row r="2038" spans="1:18" x14ac:dyDescent="0.25">
      <c r="A2038" t="s">
        <v>11</v>
      </c>
      <c r="B2038" t="s">
        <v>6</v>
      </c>
      <c r="C2038">
        <v>4</v>
      </c>
      <c r="D2038">
        <v>1</v>
      </c>
      <c r="E2038">
        <v>2</v>
      </c>
      <c r="F2038" s="15">
        <v>45985</v>
      </c>
      <c r="G2038" t="s">
        <v>135</v>
      </c>
      <c r="H2038">
        <v>4</v>
      </c>
      <c r="I2038">
        <v>2025</v>
      </c>
      <c r="J2038">
        <v>11</v>
      </c>
      <c r="K2038" t="s">
        <v>87</v>
      </c>
      <c r="L2038" t="s">
        <v>352</v>
      </c>
      <c r="M2038" t="s">
        <v>6</v>
      </c>
      <c r="N2038" t="b">
        <v>0</v>
      </c>
      <c r="O2038">
        <v>0</v>
      </c>
      <c r="P2038">
        <v>1</v>
      </c>
      <c r="Q2038">
        <v>0</v>
      </c>
      <c r="R2038">
        <v>0</v>
      </c>
    </row>
    <row r="2039" spans="1:18" x14ac:dyDescent="0.25">
      <c r="A2039" t="s">
        <v>352</v>
      </c>
      <c r="B2039" t="s">
        <v>6</v>
      </c>
      <c r="C2039">
        <v>3</v>
      </c>
      <c r="D2039">
        <v>1</v>
      </c>
      <c r="E2039">
        <v>2</v>
      </c>
      <c r="F2039" s="15">
        <v>45985</v>
      </c>
      <c r="G2039" t="s">
        <v>135</v>
      </c>
      <c r="H2039">
        <v>4</v>
      </c>
      <c r="I2039">
        <v>2025</v>
      </c>
      <c r="J2039">
        <v>11</v>
      </c>
      <c r="K2039" t="s">
        <v>87</v>
      </c>
      <c r="L2039" t="s">
        <v>436</v>
      </c>
      <c r="M2039" t="s">
        <v>6</v>
      </c>
      <c r="N2039" t="b">
        <v>0</v>
      </c>
      <c r="O2039">
        <v>0</v>
      </c>
      <c r="P2039">
        <v>1</v>
      </c>
      <c r="Q2039">
        <v>0</v>
      </c>
      <c r="R2039">
        <v>0</v>
      </c>
    </row>
    <row r="2040" spans="1:18" x14ac:dyDescent="0.25">
      <c r="A2040" t="s">
        <v>352</v>
      </c>
      <c r="B2040" t="s">
        <v>6</v>
      </c>
      <c r="C2040">
        <v>3</v>
      </c>
      <c r="D2040">
        <v>1</v>
      </c>
      <c r="E2040">
        <v>2</v>
      </c>
      <c r="F2040" s="15">
        <v>45985</v>
      </c>
      <c r="G2040" t="s">
        <v>135</v>
      </c>
      <c r="H2040">
        <v>4</v>
      </c>
      <c r="I2040">
        <v>2025</v>
      </c>
      <c r="J2040">
        <v>11</v>
      </c>
      <c r="K2040" t="s">
        <v>87</v>
      </c>
      <c r="L2040" t="s">
        <v>15</v>
      </c>
      <c r="M2040" t="s">
        <v>8</v>
      </c>
      <c r="N2040" t="b">
        <v>0</v>
      </c>
      <c r="O2040">
        <v>0</v>
      </c>
      <c r="P2040">
        <v>1</v>
      </c>
      <c r="Q2040">
        <v>0</v>
      </c>
      <c r="R2040">
        <v>1</v>
      </c>
    </row>
    <row r="2041" spans="1:18" x14ac:dyDescent="0.25">
      <c r="A2041" t="s">
        <v>352</v>
      </c>
      <c r="B2041" t="s">
        <v>6</v>
      </c>
      <c r="C2041">
        <v>3</v>
      </c>
      <c r="D2041">
        <v>1</v>
      </c>
      <c r="E2041">
        <v>2</v>
      </c>
      <c r="F2041" s="15">
        <v>45985</v>
      </c>
      <c r="G2041" t="s">
        <v>135</v>
      </c>
      <c r="H2041">
        <v>4</v>
      </c>
      <c r="I2041">
        <v>2025</v>
      </c>
      <c r="J2041">
        <v>11</v>
      </c>
      <c r="K2041" t="s">
        <v>87</v>
      </c>
      <c r="L2041" t="s">
        <v>11</v>
      </c>
      <c r="M2041" t="s">
        <v>6</v>
      </c>
      <c r="N2041" t="b">
        <v>0</v>
      </c>
      <c r="O2041">
        <v>0</v>
      </c>
      <c r="P2041">
        <v>1</v>
      </c>
      <c r="Q2041">
        <v>0</v>
      </c>
      <c r="R2041">
        <v>0</v>
      </c>
    </row>
    <row r="2042" spans="1:18" x14ac:dyDescent="0.25">
      <c r="A2042" t="s">
        <v>436</v>
      </c>
      <c r="B2042" t="s">
        <v>6</v>
      </c>
      <c r="C2042">
        <v>1</v>
      </c>
      <c r="D2042">
        <v>2</v>
      </c>
      <c r="E2042">
        <v>2</v>
      </c>
      <c r="F2042" s="15">
        <v>45887</v>
      </c>
      <c r="G2042" t="s">
        <v>170</v>
      </c>
      <c r="H2042">
        <v>3</v>
      </c>
      <c r="I2042">
        <v>2025</v>
      </c>
      <c r="J2042">
        <v>8</v>
      </c>
      <c r="K2042" t="s">
        <v>87</v>
      </c>
      <c r="L2042" t="s">
        <v>20</v>
      </c>
      <c r="M2042" t="s">
        <v>8</v>
      </c>
      <c r="N2042" t="b">
        <v>0</v>
      </c>
      <c r="O2042">
        <v>0</v>
      </c>
      <c r="P2042">
        <v>1</v>
      </c>
      <c r="Q2042">
        <v>0</v>
      </c>
      <c r="R2042">
        <v>1</v>
      </c>
    </row>
    <row r="2043" spans="1:18" x14ac:dyDescent="0.25">
      <c r="A2043" t="s">
        <v>436</v>
      </c>
      <c r="B2043" t="s">
        <v>6</v>
      </c>
      <c r="C2043">
        <v>1</v>
      </c>
      <c r="D2043">
        <v>2</v>
      </c>
      <c r="E2043">
        <v>2</v>
      </c>
      <c r="F2043" s="15">
        <v>45887</v>
      </c>
      <c r="G2043" t="s">
        <v>170</v>
      </c>
      <c r="H2043">
        <v>3</v>
      </c>
      <c r="I2043">
        <v>2025</v>
      </c>
      <c r="J2043">
        <v>8</v>
      </c>
      <c r="K2043" t="s">
        <v>87</v>
      </c>
      <c r="L2043" t="s">
        <v>15</v>
      </c>
      <c r="M2043" t="s">
        <v>6</v>
      </c>
      <c r="N2043" t="b">
        <v>0</v>
      </c>
      <c r="O2043">
        <v>0</v>
      </c>
      <c r="P2043">
        <v>1</v>
      </c>
      <c r="Q2043">
        <v>0</v>
      </c>
      <c r="R2043">
        <v>0</v>
      </c>
    </row>
    <row r="2044" spans="1:18" x14ac:dyDescent="0.25">
      <c r="A2044" t="s">
        <v>20</v>
      </c>
      <c r="B2044" t="s">
        <v>8</v>
      </c>
      <c r="C2044">
        <v>3</v>
      </c>
      <c r="D2044">
        <v>2</v>
      </c>
      <c r="E2044">
        <v>2</v>
      </c>
      <c r="F2044" s="15">
        <v>45887</v>
      </c>
      <c r="G2044" t="s">
        <v>170</v>
      </c>
      <c r="H2044">
        <v>3</v>
      </c>
      <c r="I2044">
        <v>2025</v>
      </c>
      <c r="J2044">
        <v>8</v>
      </c>
      <c r="K2044" t="s">
        <v>87</v>
      </c>
      <c r="L2044" t="s">
        <v>436</v>
      </c>
      <c r="M2044" t="s">
        <v>6</v>
      </c>
      <c r="N2044" t="b">
        <v>0</v>
      </c>
      <c r="O2044">
        <v>1</v>
      </c>
      <c r="P2044">
        <v>0</v>
      </c>
      <c r="Q2044">
        <v>0</v>
      </c>
      <c r="R2044">
        <v>0</v>
      </c>
    </row>
    <row r="2045" spans="1:18" x14ac:dyDescent="0.25">
      <c r="A2045" t="s">
        <v>20</v>
      </c>
      <c r="B2045" t="s">
        <v>8</v>
      </c>
      <c r="C2045">
        <v>3</v>
      </c>
      <c r="D2045">
        <v>2</v>
      </c>
      <c r="E2045">
        <v>2</v>
      </c>
      <c r="F2045" s="15">
        <v>45887</v>
      </c>
      <c r="G2045" t="s">
        <v>170</v>
      </c>
      <c r="H2045">
        <v>3</v>
      </c>
      <c r="I2045">
        <v>2025</v>
      </c>
      <c r="J2045">
        <v>8</v>
      </c>
      <c r="K2045" t="s">
        <v>87</v>
      </c>
      <c r="L2045" t="s">
        <v>15</v>
      </c>
      <c r="M2045" t="s">
        <v>6</v>
      </c>
      <c r="N2045" t="b">
        <v>0</v>
      </c>
      <c r="O2045">
        <v>1</v>
      </c>
      <c r="P2045">
        <v>0</v>
      </c>
      <c r="Q2045">
        <v>0</v>
      </c>
      <c r="R2045">
        <v>0</v>
      </c>
    </row>
    <row r="2046" spans="1:18" x14ac:dyDescent="0.25">
      <c r="A2046" t="s">
        <v>15</v>
      </c>
      <c r="B2046" t="s">
        <v>6</v>
      </c>
      <c r="C2046">
        <v>2</v>
      </c>
      <c r="D2046">
        <v>2</v>
      </c>
      <c r="E2046">
        <v>2</v>
      </c>
      <c r="F2046" s="15">
        <v>45887</v>
      </c>
      <c r="G2046" t="s">
        <v>170</v>
      </c>
      <c r="H2046">
        <v>3</v>
      </c>
      <c r="I2046">
        <v>2025</v>
      </c>
      <c r="J2046">
        <v>8</v>
      </c>
      <c r="K2046" t="s">
        <v>87</v>
      </c>
      <c r="L2046" t="s">
        <v>436</v>
      </c>
      <c r="M2046" t="s">
        <v>6</v>
      </c>
      <c r="N2046" t="b">
        <v>0</v>
      </c>
      <c r="O2046">
        <v>0</v>
      </c>
      <c r="P2046">
        <v>1</v>
      </c>
      <c r="Q2046">
        <v>0</v>
      </c>
      <c r="R2046">
        <v>0</v>
      </c>
    </row>
    <row r="2047" spans="1:18" x14ac:dyDescent="0.25">
      <c r="A2047" t="s">
        <v>15</v>
      </c>
      <c r="B2047" t="s">
        <v>6</v>
      </c>
      <c r="C2047">
        <v>2</v>
      </c>
      <c r="D2047">
        <v>2</v>
      </c>
      <c r="E2047">
        <v>2</v>
      </c>
      <c r="F2047" s="15">
        <v>45887</v>
      </c>
      <c r="G2047" t="s">
        <v>170</v>
      </c>
      <c r="H2047">
        <v>3</v>
      </c>
      <c r="I2047">
        <v>2025</v>
      </c>
      <c r="J2047">
        <v>8</v>
      </c>
      <c r="K2047" t="s">
        <v>87</v>
      </c>
      <c r="L2047" t="s">
        <v>20</v>
      </c>
      <c r="M2047" t="s">
        <v>8</v>
      </c>
      <c r="N2047" t="b">
        <v>0</v>
      </c>
      <c r="O2047">
        <v>0</v>
      </c>
      <c r="P2047">
        <v>1</v>
      </c>
      <c r="Q2047">
        <v>0</v>
      </c>
      <c r="R2047">
        <v>1</v>
      </c>
    </row>
    <row r="2048" spans="1:18" x14ac:dyDescent="0.25">
      <c r="A2048" t="s">
        <v>436</v>
      </c>
      <c r="B2048" t="s">
        <v>8</v>
      </c>
      <c r="C2048">
        <v>5</v>
      </c>
      <c r="D2048">
        <v>2</v>
      </c>
      <c r="E2048">
        <v>2</v>
      </c>
      <c r="F2048" s="15">
        <v>45922</v>
      </c>
      <c r="G2048" t="s">
        <v>174</v>
      </c>
      <c r="H2048">
        <v>5</v>
      </c>
      <c r="I2048">
        <v>2025</v>
      </c>
      <c r="J2048">
        <v>9</v>
      </c>
      <c r="K2048" t="s">
        <v>87</v>
      </c>
      <c r="L2048" t="s">
        <v>50</v>
      </c>
      <c r="M2048" t="s">
        <v>6</v>
      </c>
      <c r="N2048" t="b">
        <v>0</v>
      </c>
      <c r="O2048">
        <v>1</v>
      </c>
      <c r="P2048">
        <v>0</v>
      </c>
      <c r="Q2048">
        <v>0</v>
      </c>
      <c r="R2048">
        <v>0</v>
      </c>
    </row>
    <row r="2049" spans="1:18" x14ac:dyDescent="0.25">
      <c r="A2049" t="s">
        <v>436</v>
      </c>
      <c r="B2049" t="s">
        <v>8</v>
      </c>
      <c r="C2049">
        <v>5</v>
      </c>
      <c r="D2049">
        <v>2</v>
      </c>
      <c r="E2049">
        <v>2</v>
      </c>
      <c r="F2049" s="15">
        <v>45922</v>
      </c>
      <c r="G2049" t="s">
        <v>174</v>
      </c>
      <c r="H2049">
        <v>5</v>
      </c>
      <c r="I2049">
        <v>2025</v>
      </c>
      <c r="J2049">
        <v>9</v>
      </c>
      <c r="K2049" t="s">
        <v>87</v>
      </c>
      <c r="L2049" t="s">
        <v>326</v>
      </c>
      <c r="M2049" t="s">
        <v>6</v>
      </c>
      <c r="N2049" t="b">
        <v>0</v>
      </c>
      <c r="O2049">
        <v>1</v>
      </c>
      <c r="P2049">
        <v>0</v>
      </c>
      <c r="Q2049">
        <v>0</v>
      </c>
      <c r="R2049">
        <v>0</v>
      </c>
    </row>
    <row r="2050" spans="1:18" x14ac:dyDescent="0.25">
      <c r="A2050" t="s">
        <v>436</v>
      </c>
      <c r="B2050" t="s">
        <v>8</v>
      </c>
      <c r="C2050">
        <v>5</v>
      </c>
      <c r="D2050">
        <v>2</v>
      </c>
      <c r="E2050">
        <v>2</v>
      </c>
      <c r="F2050" s="15">
        <v>45922</v>
      </c>
      <c r="G2050" t="s">
        <v>174</v>
      </c>
      <c r="H2050">
        <v>5</v>
      </c>
      <c r="I2050">
        <v>2025</v>
      </c>
      <c r="J2050">
        <v>9</v>
      </c>
      <c r="K2050" t="s">
        <v>87</v>
      </c>
      <c r="L2050" t="s">
        <v>17</v>
      </c>
      <c r="M2050" t="s">
        <v>6</v>
      </c>
      <c r="N2050" t="b">
        <v>0</v>
      </c>
      <c r="O2050">
        <v>1</v>
      </c>
      <c r="P2050">
        <v>0</v>
      </c>
      <c r="Q2050">
        <v>0</v>
      </c>
      <c r="R2050">
        <v>0</v>
      </c>
    </row>
    <row r="2051" spans="1:18" x14ac:dyDescent="0.25">
      <c r="A2051" t="s">
        <v>436</v>
      </c>
      <c r="B2051" t="s">
        <v>8</v>
      </c>
      <c r="C2051">
        <v>5</v>
      </c>
      <c r="D2051">
        <v>2</v>
      </c>
      <c r="E2051">
        <v>2</v>
      </c>
      <c r="F2051" s="15">
        <v>45922</v>
      </c>
      <c r="G2051" t="s">
        <v>174</v>
      </c>
      <c r="H2051">
        <v>5</v>
      </c>
      <c r="I2051">
        <v>2025</v>
      </c>
      <c r="J2051">
        <v>9</v>
      </c>
      <c r="K2051" t="s">
        <v>87</v>
      </c>
      <c r="L2051" t="s">
        <v>352</v>
      </c>
      <c r="M2051" t="s">
        <v>6</v>
      </c>
      <c r="N2051" t="b">
        <v>0</v>
      </c>
      <c r="O2051">
        <v>1</v>
      </c>
      <c r="P2051">
        <v>0</v>
      </c>
      <c r="Q2051">
        <v>0</v>
      </c>
      <c r="R2051">
        <v>0</v>
      </c>
    </row>
    <row r="2052" spans="1:18" x14ac:dyDescent="0.25">
      <c r="A2052" t="s">
        <v>50</v>
      </c>
      <c r="B2052" t="s">
        <v>6</v>
      </c>
      <c r="C2052">
        <v>3</v>
      </c>
      <c r="D2052">
        <v>2</v>
      </c>
      <c r="E2052">
        <v>2</v>
      </c>
      <c r="F2052" s="15">
        <v>45922</v>
      </c>
      <c r="G2052" t="s">
        <v>174</v>
      </c>
      <c r="H2052">
        <v>5</v>
      </c>
      <c r="I2052">
        <v>2025</v>
      </c>
      <c r="J2052">
        <v>9</v>
      </c>
      <c r="K2052" t="s">
        <v>87</v>
      </c>
      <c r="L2052" t="s">
        <v>436</v>
      </c>
      <c r="M2052" t="s">
        <v>8</v>
      </c>
      <c r="N2052" t="b">
        <v>0</v>
      </c>
      <c r="O2052">
        <v>0</v>
      </c>
      <c r="P2052">
        <v>1</v>
      </c>
      <c r="Q2052">
        <v>0</v>
      </c>
      <c r="R2052">
        <v>1</v>
      </c>
    </row>
    <row r="2053" spans="1:18" x14ac:dyDescent="0.25">
      <c r="A2053" t="s">
        <v>50</v>
      </c>
      <c r="B2053" t="s">
        <v>6</v>
      </c>
      <c r="C2053">
        <v>3</v>
      </c>
      <c r="D2053">
        <v>2</v>
      </c>
      <c r="E2053">
        <v>2</v>
      </c>
      <c r="F2053" s="15">
        <v>45922</v>
      </c>
      <c r="G2053" t="s">
        <v>174</v>
      </c>
      <c r="H2053">
        <v>5</v>
      </c>
      <c r="I2053">
        <v>2025</v>
      </c>
      <c r="J2053">
        <v>9</v>
      </c>
      <c r="K2053" t="s">
        <v>87</v>
      </c>
      <c r="L2053" t="s">
        <v>326</v>
      </c>
      <c r="M2053" t="s">
        <v>6</v>
      </c>
      <c r="N2053" t="b">
        <v>0</v>
      </c>
      <c r="O2053">
        <v>0</v>
      </c>
      <c r="P2053">
        <v>1</v>
      </c>
      <c r="Q2053">
        <v>0</v>
      </c>
      <c r="R2053">
        <v>0</v>
      </c>
    </row>
    <row r="2054" spans="1:18" x14ac:dyDescent="0.25">
      <c r="A2054" t="s">
        <v>50</v>
      </c>
      <c r="B2054" t="s">
        <v>6</v>
      </c>
      <c r="C2054">
        <v>3</v>
      </c>
      <c r="D2054">
        <v>2</v>
      </c>
      <c r="E2054">
        <v>2</v>
      </c>
      <c r="F2054" s="15">
        <v>45922</v>
      </c>
      <c r="G2054" t="s">
        <v>174</v>
      </c>
      <c r="H2054">
        <v>5</v>
      </c>
      <c r="I2054">
        <v>2025</v>
      </c>
      <c r="J2054">
        <v>9</v>
      </c>
      <c r="K2054" t="s">
        <v>87</v>
      </c>
      <c r="L2054" t="s">
        <v>17</v>
      </c>
      <c r="M2054" t="s">
        <v>6</v>
      </c>
      <c r="N2054" t="b">
        <v>0</v>
      </c>
      <c r="O2054">
        <v>0</v>
      </c>
      <c r="P2054">
        <v>1</v>
      </c>
      <c r="Q2054">
        <v>0</v>
      </c>
      <c r="R2054">
        <v>0</v>
      </c>
    </row>
    <row r="2055" spans="1:18" x14ac:dyDescent="0.25">
      <c r="A2055" t="s">
        <v>50</v>
      </c>
      <c r="B2055" t="s">
        <v>6</v>
      </c>
      <c r="C2055">
        <v>3</v>
      </c>
      <c r="D2055">
        <v>2</v>
      </c>
      <c r="E2055">
        <v>2</v>
      </c>
      <c r="F2055" s="15">
        <v>45922</v>
      </c>
      <c r="G2055" t="s">
        <v>174</v>
      </c>
      <c r="H2055">
        <v>5</v>
      </c>
      <c r="I2055">
        <v>2025</v>
      </c>
      <c r="J2055">
        <v>9</v>
      </c>
      <c r="K2055" t="s">
        <v>87</v>
      </c>
      <c r="L2055" t="s">
        <v>352</v>
      </c>
      <c r="M2055" t="s">
        <v>6</v>
      </c>
      <c r="N2055" t="b">
        <v>0</v>
      </c>
      <c r="O2055">
        <v>0</v>
      </c>
      <c r="P2055">
        <v>1</v>
      </c>
      <c r="Q2055">
        <v>0</v>
      </c>
      <c r="R2055">
        <v>0</v>
      </c>
    </row>
    <row r="2056" spans="1:18" x14ac:dyDescent="0.25">
      <c r="A2056" t="s">
        <v>326</v>
      </c>
      <c r="B2056" t="s">
        <v>6</v>
      </c>
      <c r="C2056">
        <v>1</v>
      </c>
      <c r="D2056">
        <v>2</v>
      </c>
      <c r="E2056">
        <v>2</v>
      </c>
      <c r="F2056" s="15">
        <v>45922</v>
      </c>
      <c r="G2056" t="s">
        <v>174</v>
      </c>
      <c r="H2056">
        <v>5</v>
      </c>
      <c r="I2056">
        <v>2025</v>
      </c>
      <c r="J2056">
        <v>9</v>
      </c>
      <c r="K2056" t="s">
        <v>87</v>
      </c>
      <c r="L2056" t="s">
        <v>436</v>
      </c>
      <c r="M2056" t="s">
        <v>8</v>
      </c>
      <c r="N2056" t="b">
        <v>0</v>
      </c>
      <c r="O2056">
        <v>0</v>
      </c>
      <c r="P2056">
        <v>1</v>
      </c>
      <c r="Q2056">
        <v>0</v>
      </c>
      <c r="R2056">
        <v>1</v>
      </c>
    </row>
    <row r="2057" spans="1:18" x14ac:dyDescent="0.25">
      <c r="A2057" t="s">
        <v>326</v>
      </c>
      <c r="B2057" t="s">
        <v>6</v>
      </c>
      <c r="C2057">
        <v>1</v>
      </c>
      <c r="D2057">
        <v>2</v>
      </c>
      <c r="E2057">
        <v>2</v>
      </c>
      <c r="F2057" s="15">
        <v>45922</v>
      </c>
      <c r="G2057" t="s">
        <v>174</v>
      </c>
      <c r="H2057">
        <v>5</v>
      </c>
      <c r="I2057">
        <v>2025</v>
      </c>
      <c r="J2057">
        <v>9</v>
      </c>
      <c r="K2057" t="s">
        <v>87</v>
      </c>
      <c r="L2057" t="s">
        <v>50</v>
      </c>
      <c r="M2057" t="s">
        <v>6</v>
      </c>
      <c r="N2057" t="b">
        <v>0</v>
      </c>
      <c r="O2057">
        <v>0</v>
      </c>
      <c r="P2057">
        <v>1</v>
      </c>
      <c r="Q2057">
        <v>0</v>
      </c>
      <c r="R2057">
        <v>0</v>
      </c>
    </row>
    <row r="2058" spans="1:18" x14ac:dyDescent="0.25">
      <c r="A2058" t="s">
        <v>326</v>
      </c>
      <c r="B2058" t="s">
        <v>6</v>
      </c>
      <c r="C2058">
        <v>1</v>
      </c>
      <c r="D2058">
        <v>2</v>
      </c>
      <c r="E2058">
        <v>2</v>
      </c>
      <c r="F2058" s="15">
        <v>45922</v>
      </c>
      <c r="G2058" t="s">
        <v>174</v>
      </c>
      <c r="H2058">
        <v>5</v>
      </c>
      <c r="I2058">
        <v>2025</v>
      </c>
      <c r="J2058">
        <v>9</v>
      </c>
      <c r="K2058" t="s">
        <v>87</v>
      </c>
      <c r="L2058" t="s">
        <v>17</v>
      </c>
      <c r="M2058" t="s">
        <v>6</v>
      </c>
      <c r="N2058" t="b">
        <v>0</v>
      </c>
      <c r="O2058">
        <v>0</v>
      </c>
      <c r="P2058">
        <v>1</v>
      </c>
      <c r="Q2058">
        <v>0</v>
      </c>
      <c r="R2058">
        <v>0</v>
      </c>
    </row>
    <row r="2059" spans="1:18" x14ac:dyDescent="0.25">
      <c r="A2059" t="s">
        <v>326</v>
      </c>
      <c r="B2059" t="s">
        <v>6</v>
      </c>
      <c r="C2059">
        <v>1</v>
      </c>
      <c r="D2059">
        <v>2</v>
      </c>
      <c r="E2059">
        <v>2</v>
      </c>
      <c r="F2059" s="15">
        <v>45922</v>
      </c>
      <c r="G2059" t="s">
        <v>174</v>
      </c>
      <c r="H2059">
        <v>5</v>
      </c>
      <c r="I2059">
        <v>2025</v>
      </c>
      <c r="J2059">
        <v>9</v>
      </c>
      <c r="K2059" t="s">
        <v>87</v>
      </c>
      <c r="L2059" t="s">
        <v>352</v>
      </c>
      <c r="M2059" t="s">
        <v>6</v>
      </c>
      <c r="N2059" t="b">
        <v>0</v>
      </c>
      <c r="O2059">
        <v>0</v>
      </c>
      <c r="P2059">
        <v>1</v>
      </c>
      <c r="Q2059">
        <v>0</v>
      </c>
      <c r="R2059">
        <v>0</v>
      </c>
    </row>
    <row r="2060" spans="1:18" x14ac:dyDescent="0.25">
      <c r="A2060" t="s">
        <v>17</v>
      </c>
      <c r="B2060" t="s">
        <v>6</v>
      </c>
      <c r="C2060">
        <v>2</v>
      </c>
      <c r="D2060">
        <v>2</v>
      </c>
      <c r="E2060">
        <v>2</v>
      </c>
      <c r="F2060" s="15">
        <v>45922</v>
      </c>
      <c r="G2060" t="s">
        <v>174</v>
      </c>
      <c r="H2060">
        <v>5</v>
      </c>
      <c r="I2060">
        <v>2025</v>
      </c>
      <c r="J2060">
        <v>9</v>
      </c>
      <c r="K2060" t="s">
        <v>87</v>
      </c>
      <c r="L2060" t="s">
        <v>436</v>
      </c>
      <c r="M2060" t="s">
        <v>8</v>
      </c>
      <c r="N2060" t="b">
        <v>0</v>
      </c>
      <c r="O2060">
        <v>0</v>
      </c>
      <c r="P2060">
        <v>1</v>
      </c>
      <c r="Q2060">
        <v>0</v>
      </c>
      <c r="R2060">
        <v>1</v>
      </c>
    </row>
    <row r="2061" spans="1:18" x14ac:dyDescent="0.25">
      <c r="A2061" t="s">
        <v>17</v>
      </c>
      <c r="B2061" t="s">
        <v>6</v>
      </c>
      <c r="C2061">
        <v>2</v>
      </c>
      <c r="D2061">
        <v>2</v>
      </c>
      <c r="E2061">
        <v>2</v>
      </c>
      <c r="F2061" s="15">
        <v>45922</v>
      </c>
      <c r="G2061" t="s">
        <v>174</v>
      </c>
      <c r="H2061">
        <v>5</v>
      </c>
      <c r="I2061">
        <v>2025</v>
      </c>
      <c r="J2061">
        <v>9</v>
      </c>
      <c r="K2061" t="s">
        <v>87</v>
      </c>
      <c r="L2061" t="s">
        <v>50</v>
      </c>
      <c r="M2061" t="s">
        <v>6</v>
      </c>
      <c r="N2061" t="b">
        <v>0</v>
      </c>
      <c r="O2061">
        <v>0</v>
      </c>
      <c r="P2061">
        <v>1</v>
      </c>
      <c r="Q2061">
        <v>0</v>
      </c>
      <c r="R2061">
        <v>0</v>
      </c>
    </row>
    <row r="2062" spans="1:18" x14ac:dyDescent="0.25">
      <c r="A2062" t="s">
        <v>17</v>
      </c>
      <c r="B2062" t="s">
        <v>6</v>
      </c>
      <c r="C2062">
        <v>2</v>
      </c>
      <c r="D2062">
        <v>2</v>
      </c>
      <c r="E2062">
        <v>2</v>
      </c>
      <c r="F2062" s="15">
        <v>45922</v>
      </c>
      <c r="G2062" t="s">
        <v>174</v>
      </c>
      <c r="H2062">
        <v>5</v>
      </c>
      <c r="I2062">
        <v>2025</v>
      </c>
      <c r="J2062">
        <v>9</v>
      </c>
      <c r="K2062" t="s">
        <v>87</v>
      </c>
      <c r="L2062" t="s">
        <v>326</v>
      </c>
      <c r="M2062" t="s">
        <v>6</v>
      </c>
      <c r="N2062" t="b">
        <v>0</v>
      </c>
      <c r="O2062">
        <v>0</v>
      </c>
      <c r="P2062">
        <v>1</v>
      </c>
      <c r="Q2062">
        <v>0</v>
      </c>
      <c r="R2062">
        <v>0</v>
      </c>
    </row>
    <row r="2063" spans="1:18" x14ac:dyDescent="0.25">
      <c r="A2063" t="s">
        <v>17</v>
      </c>
      <c r="B2063" t="s">
        <v>6</v>
      </c>
      <c r="C2063">
        <v>2</v>
      </c>
      <c r="D2063">
        <v>2</v>
      </c>
      <c r="E2063">
        <v>2</v>
      </c>
      <c r="F2063" s="15">
        <v>45922</v>
      </c>
      <c r="G2063" t="s">
        <v>174</v>
      </c>
      <c r="H2063">
        <v>5</v>
      </c>
      <c r="I2063">
        <v>2025</v>
      </c>
      <c r="J2063">
        <v>9</v>
      </c>
      <c r="K2063" t="s">
        <v>87</v>
      </c>
      <c r="L2063" t="s">
        <v>352</v>
      </c>
      <c r="M2063" t="s">
        <v>6</v>
      </c>
      <c r="N2063" t="b">
        <v>0</v>
      </c>
      <c r="O2063">
        <v>0</v>
      </c>
      <c r="P2063">
        <v>1</v>
      </c>
      <c r="Q2063">
        <v>0</v>
      </c>
      <c r="R2063">
        <v>0</v>
      </c>
    </row>
    <row r="2064" spans="1:18" x14ac:dyDescent="0.25">
      <c r="A2064" t="s">
        <v>352</v>
      </c>
      <c r="B2064" t="s">
        <v>6</v>
      </c>
      <c r="C2064">
        <v>4</v>
      </c>
      <c r="D2064">
        <v>2</v>
      </c>
      <c r="E2064">
        <v>2</v>
      </c>
      <c r="F2064" s="15">
        <v>45922</v>
      </c>
      <c r="G2064" t="s">
        <v>174</v>
      </c>
      <c r="H2064">
        <v>5</v>
      </c>
      <c r="I2064">
        <v>2025</v>
      </c>
      <c r="J2064">
        <v>9</v>
      </c>
      <c r="K2064" t="s">
        <v>87</v>
      </c>
      <c r="L2064" t="s">
        <v>436</v>
      </c>
      <c r="M2064" t="s">
        <v>8</v>
      </c>
      <c r="N2064" t="b">
        <v>0</v>
      </c>
      <c r="O2064">
        <v>0</v>
      </c>
      <c r="P2064">
        <v>1</v>
      </c>
      <c r="Q2064">
        <v>0</v>
      </c>
      <c r="R2064">
        <v>1</v>
      </c>
    </row>
    <row r="2065" spans="1:18" x14ac:dyDescent="0.25">
      <c r="A2065" t="s">
        <v>352</v>
      </c>
      <c r="B2065" t="s">
        <v>6</v>
      </c>
      <c r="C2065">
        <v>4</v>
      </c>
      <c r="D2065">
        <v>2</v>
      </c>
      <c r="E2065">
        <v>2</v>
      </c>
      <c r="F2065" s="15">
        <v>45922</v>
      </c>
      <c r="G2065" t="s">
        <v>174</v>
      </c>
      <c r="H2065">
        <v>5</v>
      </c>
      <c r="I2065">
        <v>2025</v>
      </c>
      <c r="J2065">
        <v>9</v>
      </c>
      <c r="K2065" t="s">
        <v>87</v>
      </c>
      <c r="L2065" t="s">
        <v>50</v>
      </c>
      <c r="M2065" t="s">
        <v>6</v>
      </c>
      <c r="N2065" t="b">
        <v>0</v>
      </c>
      <c r="O2065">
        <v>0</v>
      </c>
      <c r="P2065">
        <v>1</v>
      </c>
      <c r="Q2065">
        <v>0</v>
      </c>
      <c r="R2065">
        <v>0</v>
      </c>
    </row>
    <row r="2066" spans="1:18" x14ac:dyDescent="0.25">
      <c r="A2066" t="s">
        <v>352</v>
      </c>
      <c r="B2066" t="s">
        <v>6</v>
      </c>
      <c r="C2066">
        <v>4</v>
      </c>
      <c r="D2066">
        <v>2</v>
      </c>
      <c r="E2066">
        <v>2</v>
      </c>
      <c r="F2066" s="15">
        <v>45922</v>
      </c>
      <c r="G2066" t="s">
        <v>174</v>
      </c>
      <c r="H2066">
        <v>5</v>
      </c>
      <c r="I2066">
        <v>2025</v>
      </c>
      <c r="J2066">
        <v>9</v>
      </c>
      <c r="K2066" t="s">
        <v>87</v>
      </c>
      <c r="L2066" t="s">
        <v>326</v>
      </c>
      <c r="M2066" t="s">
        <v>6</v>
      </c>
      <c r="N2066" t="b">
        <v>0</v>
      </c>
      <c r="O2066">
        <v>0</v>
      </c>
      <c r="P2066">
        <v>1</v>
      </c>
      <c r="Q2066">
        <v>0</v>
      </c>
      <c r="R2066">
        <v>0</v>
      </c>
    </row>
    <row r="2067" spans="1:18" x14ac:dyDescent="0.25">
      <c r="A2067" t="s">
        <v>352</v>
      </c>
      <c r="B2067" t="s">
        <v>6</v>
      </c>
      <c r="C2067">
        <v>4</v>
      </c>
      <c r="D2067">
        <v>2</v>
      </c>
      <c r="E2067">
        <v>2</v>
      </c>
      <c r="F2067" s="15">
        <v>45922</v>
      </c>
      <c r="G2067" t="s">
        <v>174</v>
      </c>
      <c r="H2067">
        <v>5</v>
      </c>
      <c r="I2067">
        <v>2025</v>
      </c>
      <c r="J2067">
        <v>9</v>
      </c>
      <c r="K2067" t="s">
        <v>87</v>
      </c>
      <c r="L2067" t="s">
        <v>17</v>
      </c>
      <c r="M2067" t="s">
        <v>6</v>
      </c>
      <c r="N2067" t="b">
        <v>0</v>
      </c>
      <c r="O2067">
        <v>0</v>
      </c>
      <c r="P2067">
        <v>1</v>
      </c>
      <c r="Q2067">
        <v>0</v>
      </c>
      <c r="R2067">
        <v>0</v>
      </c>
    </row>
    <row r="2068" spans="1:18" x14ac:dyDescent="0.25">
      <c r="A2068" t="s">
        <v>436</v>
      </c>
      <c r="B2068" t="s">
        <v>6</v>
      </c>
      <c r="C2068">
        <v>1</v>
      </c>
      <c r="D2068">
        <v>2</v>
      </c>
      <c r="E2068">
        <v>2</v>
      </c>
      <c r="F2068" s="15">
        <v>45951</v>
      </c>
      <c r="G2068" t="s">
        <v>178</v>
      </c>
      <c r="H2068">
        <v>4</v>
      </c>
      <c r="I2068">
        <v>2025</v>
      </c>
      <c r="J2068">
        <v>10</v>
      </c>
      <c r="K2068" t="s">
        <v>87</v>
      </c>
      <c r="L2068" t="s">
        <v>7</v>
      </c>
      <c r="M2068" t="s">
        <v>6</v>
      </c>
      <c r="N2068" t="b">
        <v>0</v>
      </c>
      <c r="O2068">
        <v>0</v>
      </c>
      <c r="P2068">
        <v>1</v>
      </c>
      <c r="Q2068">
        <v>0</v>
      </c>
      <c r="R2068">
        <v>0</v>
      </c>
    </row>
    <row r="2069" spans="1:18" x14ac:dyDescent="0.25">
      <c r="A2069" t="s">
        <v>436</v>
      </c>
      <c r="B2069" t="s">
        <v>6</v>
      </c>
      <c r="C2069">
        <v>1</v>
      </c>
      <c r="D2069">
        <v>2</v>
      </c>
      <c r="E2069">
        <v>2</v>
      </c>
      <c r="F2069" s="15">
        <v>45951</v>
      </c>
      <c r="G2069" t="s">
        <v>178</v>
      </c>
      <c r="H2069">
        <v>4</v>
      </c>
      <c r="I2069">
        <v>2025</v>
      </c>
      <c r="J2069">
        <v>10</v>
      </c>
      <c r="K2069" t="s">
        <v>87</v>
      </c>
      <c r="L2069" t="s">
        <v>321</v>
      </c>
      <c r="M2069" t="s">
        <v>6</v>
      </c>
      <c r="N2069" t="b">
        <v>0</v>
      </c>
      <c r="O2069">
        <v>0</v>
      </c>
      <c r="P2069">
        <v>1</v>
      </c>
      <c r="Q2069">
        <v>0</v>
      </c>
      <c r="R2069">
        <v>0</v>
      </c>
    </row>
    <row r="2070" spans="1:18" x14ac:dyDescent="0.25">
      <c r="A2070" t="s">
        <v>436</v>
      </c>
      <c r="B2070" t="s">
        <v>6</v>
      </c>
      <c r="C2070">
        <v>1</v>
      </c>
      <c r="D2070">
        <v>2</v>
      </c>
      <c r="E2070">
        <v>2</v>
      </c>
      <c r="F2070" s="15">
        <v>45951</v>
      </c>
      <c r="G2070" t="s">
        <v>178</v>
      </c>
      <c r="H2070">
        <v>4</v>
      </c>
      <c r="I2070">
        <v>2025</v>
      </c>
      <c r="J2070">
        <v>10</v>
      </c>
      <c r="K2070" t="s">
        <v>87</v>
      </c>
      <c r="L2070" t="s">
        <v>21</v>
      </c>
      <c r="M2070" t="s">
        <v>8</v>
      </c>
      <c r="N2070" t="b">
        <v>0</v>
      </c>
      <c r="O2070">
        <v>0</v>
      </c>
      <c r="P2070">
        <v>1</v>
      </c>
      <c r="Q2070">
        <v>0</v>
      </c>
      <c r="R2070">
        <v>1</v>
      </c>
    </row>
    <row r="2071" spans="1:18" x14ac:dyDescent="0.25">
      <c r="A2071" t="s">
        <v>7</v>
      </c>
      <c r="B2071" t="s">
        <v>6</v>
      </c>
      <c r="C2071">
        <v>3</v>
      </c>
      <c r="D2071">
        <v>2</v>
      </c>
      <c r="E2071">
        <v>2</v>
      </c>
      <c r="F2071" s="15">
        <v>45951</v>
      </c>
      <c r="G2071" t="s">
        <v>178</v>
      </c>
      <c r="H2071">
        <v>4</v>
      </c>
      <c r="I2071">
        <v>2025</v>
      </c>
      <c r="J2071">
        <v>10</v>
      </c>
      <c r="K2071" t="s">
        <v>87</v>
      </c>
      <c r="L2071" t="s">
        <v>436</v>
      </c>
      <c r="M2071" t="s">
        <v>6</v>
      </c>
      <c r="N2071" t="b">
        <v>0</v>
      </c>
      <c r="O2071">
        <v>0</v>
      </c>
      <c r="P2071">
        <v>1</v>
      </c>
      <c r="Q2071">
        <v>0</v>
      </c>
      <c r="R2071">
        <v>0</v>
      </c>
    </row>
    <row r="2072" spans="1:18" x14ac:dyDescent="0.25">
      <c r="A2072" t="s">
        <v>7</v>
      </c>
      <c r="B2072" t="s">
        <v>6</v>
      </c>
      <c r="C2072">
        <v>3</v>
      </c>
      <c r="D2072">
        <v>2</v>
      </c>
      <c r="E2072">
        <v>2</v>
      </c>
      <c r="F2072" s="15">
        <v>45951</v>
      </c>
      <c r="G2072" t="s">
        <v>178</v>
      </c>
      <c r="H2072">
        <v>4</v>
      </c>
      <c r="I2072">
        <v>2025</v>
      </c>
      <c r="J2072">
        <v>10</v>
      </c>
      <c r="K2072" t="s">
        <v>87</v>
      </c>
      <c r="L2072" t="s">
        <v>321</v>
      </c>
      <c r="M2072" t="s">
        <v>6</v>
      </c>
      <c r="N2072" t="b">
        <v>0</v>
      </c>
      <c r="O2072">
        <v>0</v>
      </c>
      <c r="P2072">
        <v>1</v>
      </c>
      <c r="Q2072">
        <v>0</v>
      </c>
      <c r="R2072">
        <v>0</v>
      </c>
    </row>
    <row r="2073" spans="1:18" x14ac:dyDescent="0.25">
      <c r="A2073" t="s">
        <v>7</v>
      </c>
      <c r="B2073" t="s">
        <v>6</v>
      </c>
      <c r="C2073">
        <v>3</v>
      </c>
      <c r="D2073">
        <v>2</v>
      </c>
      <c r="E2073">
        <v>2</v>
      </c>
      <c r="F2073" s="15">
        <v>45951</v>
      </c>
      <c r="G2073" t="s">
        <v>178</v>
      </c>
      <c r="H2073">
        <v>4</v>
      </c>
      <c r="I2073">
        <v>2025</v>
      </c>
      <c r="J2073">
        <v>10</v>
      </c>
      <c r="K2073" t="s">
        <v>87</v>
      </c>
      <c r="L2073" t="s">
        <v>21</v>
      </c>
      <c r="M2073" t="s">
        <v>8</v>
      </c>
      <c r="N2073" t="b">
        <v>0</v>
      </c>
      <c r="O2073">
        <v>0</v>
      </c>
      <c r="P2073">
        <v>1</v>
      </c>
      <c r="Q2073">
        <v>0</v>
      </c>
      <c r="R2073">
        <v>1</v>
      </c>
    </row>
    <row r="2074" spans="1:18" x14ac:dyDescent="0.25">
      <c r="A2074" t="s">
        <v>321</v>
      </c>
      <c r="B2074" t="s">
        <v>6</v>
      </c>
      <c r="C2074">
        <v>4</v>
      </c>
      <c r="D2074">
        <v>2</v>
      </c>
      <c r="E2074">
        <v>2</v>
      </c>
      <c r="F2074" s="15">
        <v>45951</v>
      </c>
      <c r="G2074" t="s">
        <v>178</v>
      </c>
      <c r="H2074">
        <v>4</v>
      </c>
      <c r="I2074">
        <v>2025</v>
      </c>
      <c r="J2074">
        <v>10</v>
      </c>
      <c r="K2074" t="s">
        <v>87</v>
      </c>
      <c r="L2074" t="s">
        <v>436</v>
      </c>
      <c r="M2074" t="s">
        <v>6</v>
      </c>
      <c r="N2074" t="b">
        <v>0</v>
      </c>
      <c r="O2074">
        <v>0</v>
      </c>
      <c r="P2074">
        <v>1</v>
      </c>
      <c r="Q2074">
        <v>0</v>
      </c>
      <c r="R2074">
        <v>0</v>
      </c>
    </row>
    <row r="2075" spans="1:18" x14ac:dyDescent="0.25">
      <c r="A2075" t="s">
        <v>321</v>
      </c>
      <c r="B2075" t="s">
        <v>6</v>
      </c>
      <c r="C2075">
        <v>4</v>
      </c>
      <c r="D2075">
        <v>2</v>
      </c>
      <c r="E2075">
        <v>2</v>
      </c>
      <c r="F2075" s="15">
        <v>45951</v>
      </c>
      <c r="G2075" t="s">
        <v>178</v>
      </c>
      <c r="H2075">
        <v>4</v>
      </c>
      <c r="I2075">
        <v>2025</v>
      </c>
      <c r="J2075">
        <v>10</v>
      </c>
      <c r="K2075" t="s">
        <v>87</v>
      </c>
      <c r="L2075" t="s">
        <v>7</v>
      </c>
      <c r="M2075" t="s">
        <v>6</v>
      </c>
      <c r="N2075" t="b">
        <v>0</v>
      </c>
      <c r="O2075">
        <v>0</v>
      </c>
      <c r="P2075">
        <v>1</v>
      </c>
      <c r="Q2075">
        <v>0</v>
      </c>
      <c r="R2075">
        <v>0</v>
      </c>
    </row>
    <row r="2076" spans="1:18" x14ac:dyDescent="0.25">
      <c r="A2076" t="s">
        <v>321</v>
      </c>
      <c r="B2076" t="s">
        <v>6</v>
      </c>
      <c r="C2076">
        <v>4</v>
      </c>
      <c r="D2076">
        <v>2</v>
      </c>
      <c r="E2076">
        <v>2</v>
      </c>
      <c r="F2076" s="15">
        <v>45951</v>
      </c>
      <c r="G2076" t="s">
        <v>178</v>
      </c>
      <c r="H2076">
        <v>4</v>
      </c>
      <c r="I2076">
        <v>2025</v>
      </c>
      <c r="J2076">
        <v>10</v>
      </c>
      <c r="K2076" t="s">
        <v>87</v>
      </c>
      <c r="L2076" t="s">
        <v>21</v>
      </c>
      <c r="M2076" t="s">
        <v>8</v>
      </c>
      <c r="N2076" t="b">
        <v>0</v>
      </c>
      <c r="O2076">
        <v>0</v>
      </c>
      <c r="P2076">
        <v>1</v>
      </c>
      <c r="Q2076">
        <v>0</v>
      </c>
      <c r="R2076">
        <v>1</v>
      </c>
    </row>
    <row r="2077" spans="1:18" x14ac:dyDescent="0.25">
      <c r="A2077" t="s">
        <v>21</v>
      </c>
      <c r="B2077" t="s">
        <v>8</v>
      </c>
      <c r="C2077">
        <v>2</v>
      </c>
      <c r="D2077">
        <v>2</v>
      </c>
      <c r="E2077">
        <v>2</v>
      </c>
      <c r="F2077" s="15">
        <v>45951</v>
      </c>
      <c r="G2077" t="s">
        <v>178</v>
      </c>
      <c r="H2077">
        <v>4</v>
      </c>
      <c r="I2077">
        <v>2025</v>
      </c>
      <c r="J2077">
        <v>10</v>
      </c>
      <c r="K2077" t="s">
        <v>87</v>
      </c>
      <c r="L2077" t="s">
        <v>436</v>
      </c>
      <c r="M2077" t="s">
        <v>6</v>
      </c>
      <c r="N2077" t="b">
        <v>0</v>
      </c>
      <c r="O2077">
        <v>1</v>
      </c>
      <c r="P2077">
        <v>0</v>
      </c>
      <c r="Q2077">
        <v>0</v>
      </c>
      <c r="R2077">
        <v>0</v>
      </c>
    </row>
    <row r="2078" spans="1:18" x14ac:dyDescent="0.25">
      <c r="A2078" t="s">
        <v>21</v>
      </c>
      <c r="B2078" t="s">
        <v>8</v>
      </c>
      <c r="C2078">
        <v>2</v>
      </c>
      <c r="D2078">
        <v>2</v>
      </c>
      <c r="E2078">
        <v>2</v>
      </c>
      <c r="F2078" s="15">
        <v>45951</v>
      </c>
      <c r="G2078" t="s">
        <v>178</v>
      </c>
      <c r="H2078">
        <v>4</v>
      </c>
      <c r="I2078">
        <v>2025</v>
      </c>
      <c r="J2078">
        <v>10</v>
      </c>
      <c r="K2078" t="s">
        <v>87</v>
      </c>
      <c r="L2078" t="s">
        <v>7</v>
      </c>
      <c r="M2078" t="s">
        <v>6</v>
      </c>
      <c r="N2078" t="b">
        <v>0</v>
      </c>
      <c r="O2078">
        <v>1</v>
      </c>
      <c r="P2078">
        <v>0</v>
      </c>
      <c r="Q2078">
        <v>0</v>
      </c>
      <c r="R2078">
        <v>0</v>
      </c>
    </row>
    <row r="2079" spans="1:18" x14ac:dyDescent="0.25">
      <c r="A2079" t="s">
        <v>21</v>
      </c>
      <c r="B2079" t="s">
        <v>8</v>
      </c>
      <c r="C2079">
        <v>2</v>
      </c>
      <c r="D2079">
        <v>2</v>
      </c>
      <c r="E2079">
        <v>2</v>
      </c>
      <c r="F2079" s="15">
        <v>45951</v>
      </c>
      <c r="G2079" t="s">
        <v>178</v>
      </c>
      <c r="H2079">
        <v>4</v>
      </c>
      <c r="I2079">
        <v>2025</v>
      </c>
      <c r="J2079">
        <v>10</v>
      </c>
      <c r="K2079" t="s">
        <v>87</v>
      </c>
      <c r="L2079" t="s">
        <v>321</v>
      </c>
      <c r="M2079" t="s">
        <v>6</v>
      </c>
      <c r="N2079" t="b">
        <v>0</v>
      </c>
      <c r="O2079">
        <v>1</v>
      </c>
      <c r="P2079">
        <v>0</v>
      </c>
      <c r="Q2079">
        <v>0</v>
      </c>
      <c r="R2079">
        <v>0</v>
      </c>
    </row>
    <row r="2080" spans="1:18" x14ac:dyDescent="0.25">
      <c r="A2080" t="s">
        <v>436</v>
      </c>
      <c r="B2080" t="s">
        <v>6</v>
      </c>
      <c r="C2080">
        <v>3</v>
      </c>
      <c r="D2080">
        <v>3</v>
      </c>
      <c r="E2080">
        <v>1</v>
      </c>
      <c r="F2080" s="15">
        <v>45887</v>
      </c>
      <c r="G2080" t="s">
        <v>194</v>
      </c>
      <c r="H2080">
        <v>3</v>
      </c>
      <c r="I2080">
        <v>2025</v>
      </c>
      <c r="J2080">
        <v>8</v>
      </c>
      <c r="K2080" t="s">
        <v>87</v>
      </c>
      <c r="L2080" t="s">
        <v>28</v>
      </c>
      <c r="M2080" t="s">
        <v>6</v>
      </c>
      <c r="N2080" t="b">
        <v>0</v>
      </c>
      <c r="O2080">
        <v>0</v>
      </c>
      <c r="P2080">
        <v>1</v>
      </c>
      <c r="Q2080">
        <v>0</v>
      </c>
      <c r="R2080">
        <v>0</v>
      </c>
    </row>
    <row r="2081" spans="1:18" x14ac:dyDescent="0.25">
      <c r="A2081" t="s">
        <v>436</v>
      </c>
      <c r="B2081" t="s">
        <v>6</v>
      </c>
      <c r="C2081">
        <v>3</v>
      </c>
      <c r="D2081">
        <v>3</v>
      </c>
      <c r="E2081">
        <v>1</v>
      </c>
      <c r="F2081" s="15">
        <v>45887</v>
      </c>
      <c r="G2081" t="s">
        <v>194</v>
      </c>
      <c r="H2081">
        <v>3</v>
      </c>
      <c r="I2081">
        <v>2025</v>
      </c>
      <c r="J2081">
        <v>8</v>
      </c>
      <c r="K2081" t="s">
        <v>87</v>
      </c>
      <c r="L2081" t="s">
        <v>41</v>
      </c>
      <c r="M2081" t="s">
        <v>8</v>
      </c>
      <c r="N2081" t="b">
        <v>0</v>
      </c>
      <c r="O2081">
        <v>0</v>
      </c>
      <c r="P2081">
        <v>1</v>
      </c>
      <c r="Q2081">
        <v>0</v>
      </c>
      <c r="R2081">
        <v>1</v>
      </c>
    </row>
    <row r="2082" spans="1:18" x14ac:dyDescent="0.25">
      <c r="A2082" t="s">
        <v>28</v>
      </c>
      <c r="B2082" t="s">
        <v>6</v>
      </c>
      <c r="C2082">
        <v>2</v>
      </c>
      <c r="D2082">
        <v>3</v>
      </c>
      <c r="E2082">
        <v>1</v>
      </c>
      <c r="F2082" s="15">
        <v>45887</v>
      </c>
      <c r="G2082" t="s">
        <v>194</v>
      </c>
      <c r="H2082">
        <v>3</v>
      </c>
      <c r="I2082">
        <v>2025</v>
      </c>
      <c r="J2082">
        <v>8</v>
      </c>
      <c r="K2082" t="s">
        <v>87</v>
      </c>
      <c r="L2082" t="s">
        <v>436</v>
      </c>
      <c r="M2082" t="s">
        <v>6</v>
      </c>
      <c r="N2082" t="b">
        <v>0</v>
      </c>
      <c r="O2082">
        <v>0</v>
      </c>
      <c r="P2082">
        <v>1</v>
      </c>
      <c r="Q2082">
        <v>0</v>
      </c>
      <c r="R2082">
        <v>0</v>
      </c>
    </row>
    <row r="2083" spans="1:18" x14ac:dyDescent="0.25">
      <c r="A2083" t="s">
        <v>28</v>
      </c>
      <c r="B2083" t="s">
        <v>6</v>
      </c>
      <c r="C2083">
        <v>2</v>
      </c>
      <c r="D2083">
        <v>3</v>
      </c>
      <c r="E2083">
        <v>1</v>
      </c>
      <c r="F2083" s="15">
        <v>45887</v>
      </c>
      <c r="G2083" t="s">
        <v>194</v>
      </c>
      <c r="H2083">
        <v>3</v>
      </c>
      <c r="I2083">
        <v>2025</v>
      </c>
      <c r="J2083">
        <v>8</v>
      </c>
      <c r="K2083" t="s">
        <v>87</v>
      </c>
      <c r="L2083" t="s">
        <v>41</v>
      </c>
      <c r="M2083" t="s">
        <v>8</v>
      </c>
      <c r="N2083" t="b">
        <v>0</v>
      </c>
      <c r="O2083">
        <v>0</v>
      </c>
      <c r="P2083">
        <v>1</v>
      </c>
      <c r="Q2083">
        <v>0</v>
      </c>
      <c r="R2083">
        <v>1</v>
      </c>
    </row>
    <row r="2084" spans="1:18" x14ac:dyDescent="0.25">
      <c r="A2084" t="s">
        <v>41</v>
      </c>
      <c r="B2084" t="s">
        <v>8</v>
      </c>
      <c r="C2084">
        <v>1</v>
      </c>
      <c r="D2084">
        <v>3</v>
      </c>
      <c r="E2084">
        <v>1</v>
      </c>
      <c r="F2084" s="15">
        <v>45887</v>
      </c>
      <c r="G2084" t="s">
        <v>194</v>
      </c>
      <c r="H2084">
        <v>3</v>
      </c>
      <c r="I2084">
        <v>2025</v>
      </c>
      <c r="J2084">
        <v>8</v>
      </c>
      <c r="K2084" t="s">
        <v>87</v>
      </c>
      <c r="L2084" t="s">
        <v>436</v>
      </c>
      <c r="M2084" t="s">
        <v>6</v>
      </c>
      <c r="N2084" t="b">
        <v>0</v>
      </c>
      <c r="O2084">
        <v>1</v>
      </c>
      <c r="P2084">
        <v>0</v>
      </c>
      <c r="Q2084">
        <v>0</v>
      </c>
      <c r="R2084">
        <v>0</v>
      </c>
    </row>
    <row r="2085" spans="1:18" x14ac:dyDescent="0.25">
      <c r="A2085" t="s">
        <v>41</v>
      </c>
      <c r="B2085" t="s">
        <v>8</v>
      </c>
      <c r="C2085">
        <v>1</v>
      </c>
      <c r="D2085">
        <v>3</v>
      </c>
      <c r="E2085">
        <v>1</v>
      </c>
      <c r="F2085" s="15">
        <v>45887</v>
      </c>
      <c r="G2085" t="s">
        <v>194</v>
      </c>
      <c r="H2085">
        <v>3</v>
      </c>
      <c r="I2085">
        <v>2025</v>
      </c>
      <c r="J2085">
        <v>8</v>
      </c>
      <c r="K2085" t="s">
        <v>87</v>
      </c>
      <c r="L2085" t="s">
        <v>28</v>
      </c>
      <c r="M2085" t="s">
        <v>6</v>
      </c>
      <c r="N2085" t="b">
        <v>0</v>
      </c>
      <c r="O2085">
        <v>1</v>
      </c>
      <c r="P2085">
        <v>0</v>
      </c>
      <c r="Q2085">
        <v>0</v>
      </c>
      <c r="R2085">
        <v>0</v>
      </c>
    </row>
    <row r="2086" spans="1:18" x14ac:dyDescent="0.25">
      <c r="A2086" t="s">
        <v>436</v>
      </c>
      <c r="B2086" t="s">
        <v>6</v>
      </c>
      <c r="C2086">
        <v>4</v>
      </c>
      <c r="D2086">
        <v>3</v>
      </c>
      <c r="E2086">
        <v>1</v>
      </c>
      <c r="F2086" s="15">
        <v>45936</v>
      </c>
      <c r="G2086" t="s">
        <v>200</v>
      </c>
      <c r="H2086">
        <v>4</v>
      </c>
      <c r="I2086">
        <v>2025</v>
      </c>
      <c r="J2086">
        <v>10</v>
      </c>
      <c r="K2086" t="s">
        <v>87</v>
      </c>
      <c r="L2086" t="s">
        <v>57</v>
      </c>
      <c r="M2086" t="s">
        <v>6</v>
      </c>
      <c r="N2086" t="b">
        <v>0</v>
      </c>
      <c r="O2086">
        <v>0</v>
      </c>
      <c r="P2086">
        <v>1</v>
      </c>
      <c r="Q2086">
        <v>0</v>
      </c>
      <c r="R2086">
        <v>0</v>
      </c>
    </row>
    <row r="2087" spans="1:18" x14ac:dyDescent="0.25">
      <c r="A2087" t="s">
        <v>436</v>
      </c>
      <c r="B2087" t="s">
        <v>6</v>
      </c>
      <c r="C2087">
        <v>4</v>
      </c>
      <c r="D2087">
        <v>3</v>
      </c>
      <c r="E2087">
        <v>1</v>
      </c>
      <c r="F2087" s="15">
        <v>45936</v>
      </c>
      <c r="G2087" t="s">
        <v>200</v>
      </c>
      <c r="H2087">
        <v>4</v>
      </c>
      <c r="I2087">
        <v>2025</v>
      </c>
      <c r="J2087">
        <v>10</v>
      </c>
      <c r="K2087" t="s">
        <v>87</v>
      </c>
      <c r="L2087" t="s">
        <v>11</v>
      </c>
      <c r="M2087" t="s">
        <v>6</v>
      </c>
      <c r="N2087" t="b">
        <v>0</v>
      </c>
      <c r="O2087">
        <v>0</v>
      </c>
      <c r="P2087">
        <v>1</v>
      </c>
      <c r="Q2087">
        <v>0</v>
      </c>
      <c r="R2087">
        <v>0</v>
      </c>
    </row>
    <row r="2088" spans="1:18" x14ac:dyDescent="0.25">
      <c r="A2088" t="s">
        <v>436</v>
      </c>
      <c r="B2088" t="s">
        <v>6</v>
      </c>
      <c r="C2088">
        <v>4</v>
      </c>
      <c r="D2088">
        <v>3</v>
      </c>
      <c r="E2088">
        <v>1</v>
      </c>
      <c r="F2088" s="15">
        <v>45936</v>
      </c>
      <c r="G2088" t="s">
        <v>200</v>
      </c>
      <c r="H2088">
        <v>4</v>
      </c>
      <c r="I2088">
        <v>2025</v>
      </c>
      <c r="J2088">
        <v>10</v>
      </c>
      <c r="K2088" t="s">
        <v>87</v>
      </c>
      <c r="L2088" t="s">
        <v>9</v>
      </c>
      <c r="M2088" t="s">
        <v>8</v>
      </c>
      <c r="N2088" t="b">
        <v>0</v>
      </c>
      <c r="O2088">
        <v>0</v>
      </c>
      <c r="P2088">
        <v>1</v>
      </c>
      <c r="Q2088">
        <v>0</v>
      </c>
      <c r="R2088">
        <v>1</v>
      </c>
    </row>
    <row r="2089" spans="1:18" x14ac:dyDescent="0.25">
      <c r="A2089" t="s">
        <v>57</v>
      </c>
      <c r="B2089" t="s">
        <v>6</v>
      </c>
      <c r="C2089">
        <v>2</v>
      </c>
      <c r="D2089">
        <v>3</v>
      </c>
      <c r="E2089">
        <v>1</v>
      </c>
      <c r="F2089" s="15">
        <v>45936</v>
      </c>
      <c r="G2089" t="s">
        <v>200</v>
      </c>
      <c r="H2089">
        <v>4</v>
      </c>
      <c r="I2089">
        <v>2025</v>
      </c>
      <c r="J2089">
        <v>10</v>
      </c>
      <c r="K2089" t="s">
        <v>87</v>
      </c>
      <c r="L2089" t="s">
        <v>436</v>
      </c>
      <c r="M2089" t="s">
        <v>6</v>
      </c>
      <c r="N2089" t="b">
        <v>0</v>
      </c>
      <c r="O2089">
        <v>0</v>
      </c>
      <c r="P2089">
        <v>1</v>
      </c>
      <c r="Q2089">
        <v>0</v>
      </c>
      <c r="R2089">
        <v>0</v>
      </c>
    </row>
    <row r="2090" spans="1:18" x14ac:dyDescent="0.25">
      <c r="A2090" t="s">
        <v>57</v>
      </c>
      <c r="B2090" t="s">
        <v>6</v>
      </c>
      <c r="C2090">
        <v>2</v>
      </c>
      <c r="D2090">
        <v>3</v>
      </c>
      <c r="E2090">
        <v>1</v>
      </c>
      <c r="F2090" s="15">
        <v>45936</v>
      </c>
      <c r="G2090" t="s">
        <v>200</v>
      </c>
      <c r="H2090">
        <v>4</v>
      </c>
      <c r="I2090">
        <v>2025</v>
      </c>
      <c r="J2090">
        <v>10</v>
      </c>
      <c r="K2090" t="s">
        <v>87</v>
      </c>
      <c r="L2090" t="s">
        <v>11</v>
      </c>
      <c r="M2090" t="s">
        <v>6</v>
      </c>
      <c r="N2090" t="b">
        <v>0</v>
      </c>
      <c r="O2090">
        <v>0</v>
      </c>
      <c r="P2090">
        <v>1</v>
      </c>
      <c r="Q2090">
        <v>0</v>
      </c>
      <c r="R2090">
        <v>0</v>
      </c>
    </row>
    <row r="2091" spans="1:18" x14ac:dyDescent="0.25">
      <c r="A2091" t="s">
        <v>57</v>
      </c>
      <c r="B2091" t="s">
        <v>6</v>
      </c>
      <c r="C2091">
        <v>2</v>
      </c>
      <c r="D2091">
        <v>3</v>
      </c>
      <c r="E2091">
        <v>1</v>
      </c>
      <c r="F2091" s="15">
        <v>45936</v>
      </c>
      <c r="G2091" t="s">
        <v>200</v>
      </c>
      <c r="H2091">
        <v>4</v>
      </c>
      <c r="I2091">
        <v>2025</v>
      </c>
      <c r="J2091">
        <v>10</v>
      </c>
      <c r="K2091" t="s">
        <v>87</v>
      </c>
      <c r="L2091" t="s">
        <v>9</v>
      </c>
      <c r="M2091" t="s">
        <v>8</v>
      </c>
      <c r="N2091" t="b">
        <v>0</v>
      </c>
      <c r="O2091">
        <v>0</v>
      </c>
      <c r="P2091">
        <v>1</v>
      </c>
      <c r="Q2091">
        <v>0</v>
      </c>
      <c r="R2091">
        <v>1</v>
      </c>
    </row>
    <row r="2092" spans="1:18" x14ac:dyDescent="0.25">
      <c r="A2092" t="s">
        <v>11</v>
      </c>
      <c r="B2092" t="s">
        <v>6</v>
      </c>
      <c r="C2092">
        <v>1</v>
      </c>
      <c r="D2092">
        <v>3</v>
      </c>
      <c r="E2092">
        <v>1</v>
      </c>
      <c r="F2092" s="15">
        <v>45936</v>
      </c>
      <c r="G2092" t="s">
        <v>200</v>
      </c>
      <c r="H2092">
        <v>4</v>
      </c>
      <c r="I2092">
        <v>2025</v>
      </c>
      <c r="J2092">
        <v>10</v>
      </c>
      <c r="K2092" t="s">
        <v>87</v>
      </c>
      <c r="L2092" t="s">
        <v>436</v>
      </c>
      <c r="M2092" t="s">
        <v>6</v>
      </c>
      <c r="N2092" t="b">
        <v>0</v>
      </c>
      <c r="O2092">
        <v>0</v>
      </c>
      <c r="P2092">
        <v>1</v>
      </c>
      <c r="Q2092">
        <v>0</v>
      </c>
      <c r="R2092">
        <v>0</v>
      </c>
    </row>
    <row r="2093" spans="1:18" x14ac:dyDescent="0.25">
      <c r="A2093" t="s">
        <v>11</v>
      </c>
      <c r="B2093" t="s">
        <v>6</v>
      </c>
      <c r="C2093">
        <v>1</v>
      </c>
      <c r="D2093">
        <v>3</v>
      </c>
      <c r="E2093">
        <v>1</v>
      </c>
      <c r="F2093" s="15">
        <v>45936</v>
      </c>
      <c r="G2093" t="s">
        <v>200</v>
      </c>
      <c r="H2093">
        <v>4</v>
      </c>
      <c r="I2093">
        <v>2025</v>
      </c>
      <c r="J2093">
        <v>10</v>
      </c>
      <c r="K2093" t="s">
        <v>87</v>
      </c>
      <c r="L2093" t="s">
        <v>57</v>
      </c>
      <c r="M2093" t="s">
        <v>6</v>
      </c>
      <c r="N2093" t="b">
        <v>0</v>
      </c>
      <c r="O2093">
        <v>0</v>
      </c>
      <c r="P2093">
        <v>1</v>
      </c>
      <c r="Q2093">
        <v>0</v>
      </c>
      <c r="R2093">
        <v>0</v>
      </c>
    </row>
    <row r="2094" spans="1:18" x14ac:dyDescent="0.25">
      <c r="A2094" t="s">
        <v>11</v>
      </c>
      <c r="B2094" t="s">
        <v>6</v>
      </c>
      <c r="C2094">
        <v>1</v>
      </c>
      <c r="D2094">
        <v>3</v>
      </c>
      <c r="E2094">
        <v>1</v>
      </c>
      <c r="F2094" s="15">
        <v>45936</v>
      </c>
      <c r="G2094" t="s">
        <v>200</v>
      </c>
      <c r="H2094">
        <v>4</v>
      </c>
      <c r="I2094">
        <v>2025</v>
      </c>
      <c r="J2094">
        <v>10</v>
      </c>
      <c r="K2094" t="s">
        <v>87</v>
      </c>
      <c r="L2094" t="s">
        <v>9</v>
      </c>
      <c r="M2094" t="s">
        <v>8</v>
      </c>
      <c r="N2094" t="b">
        <v>0</v>
      </c>
      <c r="O2094">
        <v>0</v>
      </c>
      <c r="P2094">
        <v>1</v>
      </c>
      <c r="Q2094">
        <v>0</v>
      </c>
      <c r="R2094">
        <v>1</v>
      </c>
    </row>
    <row r="2095" spans="1:18" x14ac:dyDescent="0.25">
      <c r="A2095" t="s">
        <v>9</v>
      </c>
      <c r="B2095" t="s">
        <v>8</v>
      </c>
      <c r="C2095">
        <v>3</v>
      </c>
      <c r="D2095">
        <v>3</v>
      </c>
      <c r="E2095">
        <v>1</v>
      </c>
      <c r="F2095" s="15">
        <v>45936</v>
      </c>
      <c r="G2095" t="s">
        <v>200</v>
      </c>
      <c r="H2095">
        <v>4</v>
      </c>
      <c r="I2095">
        <v>2025</v>
      </c>
      <c r="J2095">
        <v>10</v>
      </c>
      <c r="K2095" t="s">
        <v>87</v>
      </c>
      <c r="L2095" t="s">
        <v>436</v>
      </c>
      <c r="M2095" t="s">
        <v>6</v>
      </c>
      <c r="N2095" t="b">
        <v>0</v>
      </c>
      <c r="O2095">
        <v>1</v>
      </c>
      <c r="P2095">
        <v>0</v>
      </c>
      <c r="Q2095">
        <v>0</v>
      </c>
      <c r="R2095">
        <v>0</v>
      </c>
    </row>
    <row r="2096" spans="1:18" x14ac:dyDescent="0.25">
      <c r="A2096" t="s">
        <v>9</v>
      </c>
      <c r="B2096" t="s">
        <v>8</v>
      </c>
      <c r="C2096">
        <v>3</v>
      </c>
      <c r="D2096">
        <v>3</v>
      </c>
      <c r="E2096">
        <v>1</v>
      </c>
      <c r="F2096" s="15">
        <v>45936</v>
      </c>
      <c r="G2096" t="s">
        <v>200</v>
      </c>
      <c r="H2096">
        <v>4</v>
      </c>
      <c r="I2096">
        <v>2025</v>
      </c>
      <c r="J2096">
        <v>10</v>
      </c>
      <c r="K2096" t="s">
        <v>87</v>
      </c>
      <c r="L2096" t="s">
        <v>57</v>
      </c>
      <c r="M2096" t="s">
        <v>6</v>
      </c>
      <c r="N2096" t="b">
        <v>0</v>
      </c>
      <c r="O2096">
        <v>1</v>
      </c>
      <c r="P2096">
        <v>0</v>
      </c>
      <c r="Q2096">
        <v>0</v>
      </c>
      <c r="R2096">
        <v>0</v>
      </c>
    </row>
    <row r="2097" spans="1:18" x14ac:dyDescent="0.25">
      <c r="A2097" t="s">
        <v>9</v>
      </c>
      <c r="B2097" t="s">
        <v>8</v>
      </c>
      <c r="C2097">
        <v>3</v>
      </c>
      <c r="D2097">
        <v>3</v>
      </c>
      <c r="E2097">
        <v>1</v>
      </c>
      <c r="F2097" s="15">
        <v>45936</v>
      </c>
      <c r="G2097" t="s">
        <v>200</v>
      </c>
      <c r="H2097">
        <v>4</v>
      </c>
      <c r="I2097">
        <v>2025</v>
      </c>
      <c r="J2097">
        <v>10</v>
      </c>
      <c r="K2097" t="s">
        <v>87</v>
      </c>
      <c r="L2097" t="s">
        <v>11</v>
      </c>
      <c r="M2097" t="s">
        <v>6</v>
      </c>
      <c r="N2097" t="b">
        <v>0</v>
      </c>
      <c r="O2097">
        <v>1</v>
      </c>
      <c r="P2097">
        <v>0</v>
      </c>
      <c r="Q2097">
        <v>0</v>
      </c>
      <c r="R2097">
        <v>0</v>
      </c>
    </row>
    <row r="2098" spans="1:18" x14ac:dyDescent="0.25">
      <c r="A2098" t="s">
        <v>436</v>
      </c>
      <c r="B2098" t="s">
        <v>8</v>
      </c>
      <c r="C2098">
        <v>2</v>
      </c>
      <c r="D2098">
        <v>3</v>
      </c>
      <c r="E2098">
        <v>1</v>
      </c>
      <c r="F2098" s="15">
        <v>45971</v>
      </c>
      <c r="G2098" t="s">
        <v>205</v>
      </c>
      <c r="H2098">
        <v>4</v>
      </c>
      <c r="I2098">
        <v>2025</v>
      </c>
      <c r="J2098">
        <v>11</v>
      </c>
      <c r="K2098" t="s">
        <v>87</v>
      </c>
      <c r="L2098" t="s">
        <v>321</v>
      </c>
      <c r="M2098" t="s">
        <v>6</v>
      </c>
      <c r="N2098" t="b">
        <v>0</v>
      </c>
      <c r="O2098">
        <v>1</v>
      </c>
      <c r="P2098">
        <v>0</v>
      </c>
      <c r="Q2098">
        <v>0</v>
      </c>
      <c r="R2098">
        <v>0</v>
      </c>
    </row>
    <row r="2099" spans="1:18" x14ac:dyDescent="0.25">
      <c r="A2099" t="s">
        <v>436</v>
      </c>
      <c r="B2099" t="s">
        <v>8</v>
      </c>
      <c r="C2099">
        <v>2</v>
      </c>
      <c r="D2099">
        <v>3</v>
      </c>
      <c r="E2099">
        <v>1</v>
      </c>
      <c r="F2099" s="15">
        <v>45971</v>
      </c>
      <c r="G2099" t="s">
        <v>205</v>
      </c>
      <c r="H2099">
        <v>4</v>
      </c>
      <c r="I2099">
        <v>2025</v>
      </c>
      <c r="J2099">
        <v>11</v>
      </c>
      <c r="K2099" t="s">
        <v>87</v>
      </c>
      <c r="L2099" t="s">
        <v>9</v>
      </c>
      <c r="M2099" t="s">
        <v>6</v>
      </c>
      <c r="N2099" t="b">
        <v>0</v>
      </c>
      <c r="O2099">
        <v>1</v>
      </c>
      <c r="P2099">
        <v>0</v>
      </c>
      <c r="Q2099">
        <v>0</v>
      </c>
      <c r="R2099">
        <v>0</v>
      </c>
    </row>
    <row r="2100" spans="1:18" x14ac:dyDescent="0.25">
      <c r="A2100" t="s">
        <v>436</v>
      </c>
      <c r="B2100" t="s">
        <v>8</v>
      </c>
      <c r="C2100">
        <v>2</v>
      </c>
      <c r="D2100">
        <v>3</v>
      </c>
      <c r="E2100">
        <v>1</v>
      </c>
      <c r="F2100" s="15">
        <v>45971</v>
      </c>
      <c r="G2100" t="s">
        <v>205</v>
      </c>
      <c r="H2100">
        <v>4</v>
      </c>
      <c r="I2100">
        <v>2025</v>
      </c>
      <c r="J2100">
        <v>11</v>
      </c>
      <c r="K2100" t="s">
        <v>87</v>
      </c>
      <c r="L2100" t="s">
        <v>17</v>
      </c>
      <c r="M2100" t="s">
        <v>6</v>
      </c>
      <c r="N2100" t="b">
        <v>0</v>
      </c>
      <c r="O2100">
        <v>1</v>
      </c>
      <c r="P2100">
        <v>0</v>
      </c>
      <c r="Q2100">
        <v>0</v>
      </c>
      <c r="R2100">
        <v>0</v>
      </c>
    </row>
    <row r="2101" spans="1:18" x14ac:dyDescent="0.25">
      <c r="A2101" t="s">
        <v>321</v>
      </c>
      <c r="B2101" t="s">
        <v>6</v>
      </c>
      <c r="C2101">
        <v>4</v>
      </c>
      <c r="D2101">
        <v>3</v>
      </c>
      <c r="E2101">
        <v>1</v>
      </c>
      <c r="F2101" s="15">
        <v>45971</v>
      </c>
      <c r="G2101" t="s">
        <v>205</v>
      </c>
      <c r="H2101">
        <v>4</v>
      </c>
      <c r="I2101">
        <v>2025</v>
      </c>
      <c r="J2101">
        <v>11</v>
      </c>
      <c r="K2101" t="s">
        <v>87</v>
      </c>
      <c r="L2101" t="s">
        <v>436</v>
      </c>
      <c r="M2101" t="s">
        <v>8</v>
      </c>
      <c r="N2101" t="b">
        <v>0</v>
      </c>
      <c r="O2101">
        <v>0</v>
      </c>
      <c r="P2101">
        <v>1</v>
      </c>
      <c r="Q2101">
        <v>0</v>
      </c>
      <c r="R2101">
        <v>1</v>
      </c>
    </row>
    <row r="2102" spans="1:18" x14ac:dyDescent="0.25">
      <c r="A2102" t="s">
        <v>321</v>
      </c>
      <c r="B2102" t="s">
        <v>6</v>
      </c>
      <c r="C2102">
        <v>4</v>
      </c>
      <c r="D2102">
        <v>3</v>
      </c>
      <c r="E2102">
        <v>1</v>
      </c>
      <c r="F2102" s="15">
        <v>45971</v>
      </c>
      <c r="G2102" t="s">
        <v>205</v>
      </c>
      <c r="H2102">
        <v>4</v>
      </c>
      <c r="I2102">
        <v>2025</v>
      </c>
      <c r="J2102">
        <v>11</v>
      </c>
      <c r="K2102" t="s">
        <v>87</v>
      </c>
      <c r="L2102" t="s">
        <v>9</v>
      </c>
      <c r="M2102" t="s">
        <v>6</v>
      </c>
      <c r="N2102" t="b">
        <v>0</v>
      </c>
      <c r="O2102">
        <v>0</v>
      </c>
      <c r="P2102">
        <v>1</v>
      </c>
      <c r="Q2102">
        <v>0</v>
      </c>
      <c r="R2102">
        <v>0</v>
      </c>
    </row>
    <row r="2103" spans="1:18" x14ac:dyDescent="0.25">
      <c r="A2103" t="s">
        <v>321</v>
      </c>
      <c r="B2103" t="s">
        <v>6</v>
      </c>
      <c r="C2103">
        <v>4</v>
      </c>
      <c r="D2103">
        <v>3</v>
      </c>
      <c r="E2103">
        <v>1</v>
      </c>
      <c r="F2103" s="15">
        <v>45971</v>
      </c>
      <c r="G2103" t="s">
        <v>205</v>
      </c>
      <c r="H2103">
        <v>4</v>
      </c>
      <c r="I2103">
        <v>2025</v>
      </c>
      <c r="J2103">
        <v>11</v>
      </c>
      <c r="K2103" t="s">
        <v>87</v>
      </c>
      <c r="L2103" t="s">
        <v>17</v>
      </c>
      <c r="M2103" t="s">
        <v>6</v>
      </c>
      <c r="N2103" t="b">
        <v>0</v>
      </c>
      <c r="O2103">
        <v>0</v>
      </c>
      <c r="P2103">
        <v>1</v>
      </c>
      <c r="Q2103">
        <v>0</v>
      </c>
      <c r="R2103">
        <v>0</v>
      </c>
    </row>
    <row r="2104" spans="1:18" x14ac:dyDescent="0.25">
      <c r="A2104" t="s">
        <v>9</v>
      </c>
      <c r="B2104" t="s">
        <v>6</v>
      </c>
      <c r="C2104">
        <v>1</v>
      </c>
      <c r="D2104">
        <v>3</v>
      </c>
      <c r="E2104">
        <v>1</v>
      </c>
      <c r="F2104" s="15">
        <v>45971</v>
      </c>
      <c r="G2104" t="s">
        <v>205</v>
      </c>
      <c r="H2104">
        <v>4</v>
      </c>
      <c r="I2104">
        <v>2025</v>
      </c>
      <c r="J2104">
        <v>11</v>
      </c>
      <c r="K2104" t="s">
        <v>87</v>
      </c>
      <c r="L2104" t="s">
        <v>436</v>
      </c>
      <c r="M2104" t="s">
        <v>8</v>
      </c>
      <c r="N2104" t="b">
        <v>0</v>
      </c>
      <c r="O2104">
        <v>0</v>
      </c>
      <c r="P2104">
        <v>1</v>
      </c>
      <c r="Q2104">
        <v>0</v>
      </c>
      <c r="R2104">
        <v>1</v>
      </c>
    </row>
    <row r="2105" spans="1:18" x14ac:dyDescent="0.25">
      <c r="A2105" t="s">
        <v>9</v>
      </c>
      <c r="B2105" t="s">
        <v>6</v>
      </c>
      <c r="C2105">
        <v>1</v>
      </c>
      <c r="D2105">
        <v>3</v>
      </c>
      <c r="E2105">
        <v>1</v>
      </c>
      <c r="F2105" s="15">
        <v>45971</v>
      </c>
      <c r="G2105" t="s">
        <v>205</v>
      </c>
      <c r="H2105">
        <v>4</v>
      </c>
      <c r="I2105">
        <v>2025</v>
      </c>
      <c r="J2105">
        <v>11</v>
      </c>
      <c r="K2105" t="s">
        <v>87</v>
      </c>
      <c r="L2105" t="s">
        <v>321</v>
      </c>
      <c r="M2105" t="s">
        <v>6</v>
      </c>
      <c r="N2105" t="b">
        <v>0</v>
      </c>
      <c r="O2105">
        <v>0</v>
      </c>
      <c r="P2105">
        <v>1</v>
      </c>
      <c r="Q2105">
        <v>0</v>
      </c>
      <c r="R2105">
        <v>0</v>
      </c>
    </row>
    <row r="2106" spans="1:18" x14ac:dyDescent="0.25">
      <c r="A2106" t="s">
        <v>9</v>
      </c>
      <c r="B2106" t="s">
        <v>6</v>
      </c>
      <c r="C2106">
        <v>1</v>
      </c>
      <c r="D2106">
        <v>3</v>
      </c>
      <c r="E2106">
        <v>1</v>
      </c>
      <c r="F2106" s="15">
        <v>45971</v>
      </c>
      <c r="G2106" t="s">
        <v>205</v>
      </c>
      <c r="H2106">
        <v>4</v>
      </c>
      <c r="I2106">
        <v>2025</v>
      </c>
      <c r="J2106">
        <v>11</v>
      </c>
      <c r="K2106" t="s">
        <v>87</v>
      </c>
      <c r="L2106" t="s">
        <v>17</v>
      </c>
      <c r="M2106" t="s">
        <v>6</v>
      </c>
      <c r="N2106" t="b">
        <v>0</v>
      </c>
      <c r="O2106">
        <v>0</v>
      </c>
      <c r="P2106">
        <v>1</v>
      </c>
      <c r="Q2106">
        <v>0</v>
      </c>
      <c r="R2106">
        <v>0</v>
      </c>
    </row>
    <row r="2107" spans="1:18" x14ac:dyDescent="0.25">
      <c r="A2107" t="s">
        <v>17</v>
      </c>
      <c r="B2107" t="s">
        <v>6</v>
      </c>
      <c r="C2107">
        <v>3</v>
      </c>
      <c r="D2107">
        <v>3</v>
      </c>
      <c r="E2107">
        <v>1</v>
      </c>
      <c r="F2107" s="15">
        <v>45971</v>
      </c>
      <c r="G2107" t="s">
        <v>205</v>
      </c>
      <c r="H2107">
        <v>4</v>
      </c>
      <c r="I2107">
        <v>2025</v>
      </c>
      <c r="J2107">
        <v>11</v>
      </c>
      <c r="K2107" t="s">
        <v>87</v>
      </c>
      <c r="L2107" t="s">
        <v>436</v>
      </c>
      <c r="M2107" t="s">
        <v>8</v>
      </c>
      <c r="N2107" t="b">
        <v>0</v>
      </c>
      <c r="O2107">
        <v>0</v>
      </c>
      <c r="P2107">
        <v>1</v>
      </c>
      <c r="Q2107">
        <v>0</v>
      </c>
      <c r="R2107">
        <v>1</v>
      </c>
    </row>
    <row r="2108" spans="1:18" x14ac:dyDescent="0.25">
      <c r="A2108" t="s">
        <v>17</v>
      </c>
      <c r="B2108" t="s">
        <v>6</v>
      </c>
      <c r="C2108">
        <v>3</v>
      </c>
      <c r="D2108">
        <v>3</v>
      </c>
      <c r="E2108">
        <v>1</v>
      </c>
      <c r="F2108" s="15">
        <v>45971</v>
      </c>
      <c r="G2108" t="s">
        <v>205</v>
      </c>
      <c r="H2108">
        <v>4</v>
      </c>
      <c r="I2108">
        <v>2025</v>
      </c>
      <c r="J2108">
        <v>11</v>
      </c>
      <c r="K2108" t="s">
        <v>87</v>
      </c>
      <c r="L2108" t="s">
        <v>321</v>
      </c>
      <c r="M2108" t="s">
        <v>6</v>
      </c>
      <c r="N2108" t="b">
        <v>0</v>
      </c>
      <c r="O2108">
        <v>0</v>
      </c>
      <c r="P2108">
        <v>1</v>
      </c>
      <c r="Q2108">
        <v>0</v>
      </c>
      <c r="R2108">
        <v>0</v>
      </c>
    </row>
    <row r="2109" spans="1:18" x14ac:dyDescent="0.25">
      <c r="A2109" t="s">
        <v>17</v>
      </c>
      <c r="B2109" t="s">
        <v>6</v>
      </c>
      <c r="C2109">
        <v>3</v>
      </c>
      <c r="D2109">
        <v>3</v>
      </c>
      <c r="E2109">
        <v>1</v>
      </c>
      <c r="F2109" s="15">
        <v>45971</v>
      </c>
      <c r="G2109" t="s">
        <v>205</v>
      </c>
      <c r="H2109">
        <v>4</v>
      </c>
      <c r="I2109">
        <v>2025</v>
      </c>
      <c r="J2109">
        <v>11</v>
      </c>
      <c r="K2109" t="s">
        <v>87</v>
      </c>
      <c r="L2109" t="s">
        <v>9</v>
      </c>
      <c r="M2109" t="s">
        <v>6</v>
      </c>
      <c r="N2109" t="b">
        <v>0</v>
      </c>
      <c r="O2109">
        <v>0</v>
      </c>
      <c r="P2109">
        <v>1</v>
      </c>
      <c r="Q2109">
        <v>0</v>
      </c>
      <c r="R2109">
        <v>0</v>
      </c>
    </row>
    <row r="2110" spans="1:18" x14ac:dyDescent="0.25">
      <c r="A2110" t="s">
        <v>436</v>
      </c>
      <c r="B2110" t="s">
        <v>8</v>
      </c>
      <c r="C2110">
        <v>2</v>
      </c>
      <c r="D2110">
        <v>3</v>
      </c>
      <c r="E2110">
        <v>2</v>
      </c>
      <c r="F2110" s="15">
        <v>45867</v>
      </c>
      <c r="G2110" t="s">
        <v>215</v>
      </c>
      <c r="H2110">
        <v>3</v>
      </c>
      <c r="I2110">
        <v>2025</v>
      </c>
      <c r="J2110">
        <v>7</v>
      </c>
      <c r="K2110" t="s">
        <v>87</v>
      </c>
      <c r="L2110" t="s">
        <v>42</v>
      </c>
      <c r="M2110" t="s">
        <v>6</v>
      </c>
      <c r="N2110" t="b">
        <v>0</v>
      </c>
      <c r="O2110">
        <v>1</v>
      </c>
      <c r="P2110">
        <v>0</v>
      </c>
      <c r="Q2110">
        <v>0</v>
      </c>
      <c r="R2110">
        <v>0</v>
      </c>
    </row>
    <row r="2111" spans="1:18" x14ac:dyDescent="0.25">
      <c r="A2111" t="s">
        <v>436</v>
      </c>
      <c r="B2111" t="s">
        <v>8</v>
      </c>
      <c r="C2111">
        <v>2</v>
      </c>
      <c r="D2111">
        <v>3</v>
      </c>
      <c r="E2111">
        <v>2</v>
      </c>
      <c r="F2111" s="15">
        <v>45867</v>
      </c>
      <c r="G2111" t="s">
        <v>215</v>
      </c>
      <c r="H2111">
        <v>3</v>
      </c>
      <c r="I2111">
        <v>2025</v>
      </c>
      <c r="J2111">
        <v>7</v>
      </c>
      <c r="K2111" t="s">
        <v>87</v>
      </c>
      <c r="L2111" t="s">
        <v>40</v>
      </c>
      <c r="M2111" t="s">
        <v>6</v>
      </c>
      <c r="N2111" t="b">
        <v>0</v>
      </c>
      <c r="O2111">
        <v>1</v>
      </c>
      <c r="P2111">
        <v>0</v>
      </c>
      <c r="Q2111">
        <v>0</v>
      </c>
      <c r="R2111">
        <v>0</v>
      </c>
    </row>
    <row r="2112" spans="1:18" x14ac:dyDescent="0.25">
      <c r="A2112" t="s">
        <v>42</v>
      </c>
      <c r="B2112" t="s">
        <v>6</v>
      </c>
      <c r="C2112">
        <v>3</v>
      </c>
      <c r="D2112">
        <v>3</v>
      </c>
      <c r="E2112">
        <v>2</v>
      </c>
      <c r="F2112" s="15">
        <v>45867</v>
      </c>
      <c r="G2112" t="s">
        <v>215</v>
      </c>
      <c r="H2112">
        <v>3</v>
      </c>
      <c r="I2112">
        <v>2025</v>
      </c>
      <c r="J2112">
        <v>7</v>
      </c>
      <c r="K2112" t="s">
        <v>87</v>
      </c>
      <c r="L2112" t="s">
        <v>436</v>
      </c>
      <c r="M2112" t="s">
        <v>8</v>
      </c>
      <c r="N2112" t="b">
        <v>0</v>
      </c>
      <c r="O2112">
        <v>0</v>
      </c>
      <c r="P2112">
        <v>1</v>
      </c>
      <c r="Q2112">
        <v>0</v>
      </c>
      <c r="R2112">
        <v>1</v>
      </c>
    </row>
    <row r="2113" spans="1:18" x14ac:dyDescent="0.25">
      <c r="A2113" t="s">
        <v>42</v>
      </c>
      <c r="B2113" t="s">
        <v>6</v>
      </c>
      <c r="C2113">
        <v>3</v>
      </c>
      <c r="D2113">
        <v>3</v>
      </c>
      <c r="E2113">
        <v>2</v>
      </c>
      <c r="F2113" s="15">
        <v>45867</v>
      </c>
      <c r="G2113" t="s">
        <v>215</v>
      </c>
      <c r="H2113">
        <v>3</v>
      </c>
      <c r="I2113">
        <v>2025</v>
      </c>
      <c r="J2113">
        <v>7</v>
      </c>
      <c r="K2113" t="s">
        <v>87</v>
      </c>
      <c r="L2113" t="s">
        <v>40</v>
      </c>
      <c r="M2113" t="s">
        <v>6</v>
      </c>
      <c r="N2113" t="b">
        <v>0</v>
      </c>
      <c r="O2113">
        <v>0</v>
      </c>
      <c r="P2113">
        <v>1</v>
      </c>
      <c r="Q2113">
        <v>0</v>
      </c>
      <c r="R2113">
        <v>0</v>
      </c>
    </row>
    <row r="2114" spans="1:18" x14ac:dyDescent="0.25">
      <c r="A2114" t="s">
        <v>40</v>
      </c>
      <c r="B2114" t="s">
        <v>6</v>
      </c>
      <c r="C2114">
        <v>1</v>
      </c>
      <c r="D2114">
        <v>3</v>
      </c>
      <c r="E2114">
        <v>2</v>
      </c>
      <c r="F2114" s="15">
        <v>45867</v>
      </c>
      <c r="G2114" t="s">
        <v>215</v>
      </c>
      <c r="H2114">
        <v>3</v>
      </c>
      <c r="I2114">
        <v>2025</v>
      </c>
      <c r="J2114">
        <v>7</v>
      </c>
      <c r="K2114" t="s">
        <v>87</v>
      </c>
      <c r="L2114" t="s">
        <v>436</v>
      </c>
      <c r="M2114" t="s">
        <v>8</v>
      </c>
      <c r="N2114" t="b">
        <v>0</v>
      </c>
      <c r="O2114">
        <v>0</v>
      </c>
      <c r="P2114">
        <v>1</v>
      </c>
      <c r="Q2114">
        <v>0</v>
      </c>
      <c r="R2114">
        <v>1</v>
      </c>
    </row>
    <row r="2115" spans="1:18" x14ac:dyDescent="0.25">
      <c r="A2115" t="s">
        <v>40</v>
      </c>
      <c r="B2115" t="s">
        <v>6</v>
      </c>
      <c r="C2115">
        <v>1</v>
      </c>
      <c r="D2115">
        <v>3</v>
      </c>
      <c r="E2115">
        <v>2</v>
      </c>
      <c r="F2115" s="15">
        <v>45867</v>
      </c>
      <c r="G2115" t="s">
        <v>215</v>
      </c>
      <c r="H2115">
        <v>3</v>
      </c>
      <c r="I2115">
        <v>2025</v>
      </c>
      <c r="J2115">
        <v>7</v>
      </c>
      <c r="K2115" t="s">
        <v>87</v>
      </c>
      <c r="L2115" t="s">
        <v>42</v>
      </c>
      <c r="M2115" t="s">
        <v>6</v>
      </c>
      <c r="N2115" t="b">
        <v>0</v>
      </c>
      <c r="O2115">
        <v>0</v>
      </c>
      <c r="P2115">
        <v>1</v>
      </c>
      <c r="Q2115">
        <v>0</v>
      </c>
      <c r="R2115">
        <v>0</v>
      </c>
    </row>
    <row r="2116" spans="1:18" x14ac:dyDescent="0.25">
      <c r="A2116" t="s">
        <v>436</v>
      </c>
      <c r="B2116" t="s">
        <v>6</v>
      </c>
      <c r="C2116">
        <v>3</v>
      </c>
      <c r="D2116">
        <v>3</v>
      </c>
      <c r="E2116">
        <v>2</v>
      </c>
      <c r="F2116" s="15">
        <v>45894</v>
      </c>
      <c r="G2116" t="s">
        <v>219</v>
      </c>
      <c r="H2116">
        <v>4</v>
      </c>
      <c r="I2116">
        <v>2025</v>
      </c>
      <c r="J2116">
        <v>8</v>
      </c>
      <c r="K2116" t="s">
        <v>87</v>
      </c>
      <c r="L2116" t="s">
        <v>50</v>
      </c>
      <c r="M2116" t="s">
        <v>6</v>
      </c>
      <c r="N2116" t="b">
        <v>0</v>
      </c>
      <c r="O2116">
        <v>0</v>
      </c>
      <c r="P2116">
        <v>1</v>
      </c>
      <c r="Q2116">
        <v>0</v>
      </c>
      <c r="R2116">
        <v>0</v>
      </c>
    </row>
    <row r="2117" spans="1:18" x14ac:dyDescent="0.25">
      <c r="A2117" t="s">
        <v>436</v>
      </c>
      <c r="B2117" t="s">
        <v>6</v>
      </c>
      <c r="C2117">
        <v>3</v>
      </c>
      <c r="D2117">
        <v>3</v>
      </c>
      <c r="E2117">
        <v>2</v>
      </c>
      <c r="F2117" s="15">
        <v>45894</v>
      </c>
      <c r="G2117" t="s">
        <v>219</v>
      </c>
      <c r="H2117">
        <v>4</v>
      </c>
      <c r="I2117">
        <v>2025</v>
      </c>
      <c r="J2117">
        <v>8</v>
      </c>
      <c r="K2117" t="s">
        <v>87</v>
      </c>
      <c r="L2117" t="s">
        <v>42</v>
      </c>
      <c r="M2117" t="s">
        <v>8</v>
      </c>
      <c r="N2117" t="b">
        <v>0</v>
      </c>
      <c r="O2117">
        <v>0</v>
      </c>
      <c r="P2117">
        <v>1</v>
      </c>
      <c r="Q2117">
        <v>0</v>
      </c>
      <c r="R2117">
        <v>1</v>
      </c>
    </row>
    <row r="2118" spans="1:18" x14ac:dyDescent="0.25">
      <c r="A2118" t="s">
        <v>436</v>
      </c>
      <c r="B2118" t="s">
        <v>6</v>
      </c>
      <c r="C2118">
        <v>3</v>
      </c>
      <c r="D2118">
        <v>3</v>
      </c>
      <c r="E2118">
        <v>2</v>
      </c>
      <c r="F2118" s="15">
        <v>45894</v>
      </c>
      <c r="G2118" t="s">
        <v>219</v>
      </c>
      <c r="H2118">
        <v>4</v>
      </c>
      <c r="I2118">
        <v>2025</v>
      </c>
      <c r="J2118">
        <v>8</v>
      </c>
      <c r="K2118" t="s">
        <v>87</v>
      </c>
      <c r="L2118" t="s">
        <v>17</v>
      </c>
      <c r="M2118" t="s">
        <v>6</v>
      </c>
      <c r="N2118" t="b">
        <v>0</v>
      </c>
      <c r="O2118">
        <v>0</v>
      </c>
      <c r="P2118">
        <v>1</v>
      </c>
      <c r="Q2118">
        <v>0</v>
      </c>
      <c r="R2118">
        <v>0</v>
      </c>
    </row>
    <row r="2119" spans="1:18" x14ac:dyDescent="0.25">
      <c r="A2119" t="s">
        <v>50</v>
      </c>
      <c r="B2119" t="s">
        <v>6</v>
      </c>
      <c r="C2119">
        <v>1</v>
      </c>
      <c r="D2119">
        <v>3</v>
      </c>
      <c r="E2119">
        <v>2</v>
      </c>
      <c r="F2119" s="15">
        <v>45894</v>
      </c>
      <c r="G2119" t="s">
        <v>219</v>
      </c>
      <c r="H2119">
        <v>4</v>
      </c>
      <c r="I2119">
        <v>2025</v>
      </c>
      <c r="J2119">
        <v>8</v>
      </c>
      <c r="K2119" t="s">
        <v>87</v>
      </c>
      <c r="L2119" t="s">
        <v>436</v>
      </c>
      <c r="M2119" t="s">
        <v>6</v>
      </c>
      <c r="N2119" t="b">
        <v>0</v>
      </c>
      <c r="O2119">
        <v>0</v>
      </c>
      <c r="P2119">
        <v>1</v>
      </c>
      <c r="Q2119">
        <v>0</v>
      </c>
      <c r="R2119">
        <v>0</v>
      </c>
    </row>
    <row r="2120" spans="1:18" x14ac:dyDescent="0.25">
      <c r="A2120" t="s">
        <v>50</v>
      </c>
      <c r="B2120" t="s">
        <v>6</v>
      </c>
      <c r="C2120">
        <v>1</v>
      </c>
      <c r="D2120">
        <v>3</v>
      </c>
      <c r="E2120">
        <v>2</v>
      </c>
      <c r="F2120" s="15">
        <v>45894</v>
      </c>
      <c r="G2120" t="s">
        <v>219</v>
      </c>
      <c r="H2120">
        <v>4</v>
      </c>
      <c r="I2120">
        <v>2025</v>
      </c>
      <c r="J2120">
        <v>8</v>
      </c>
      <c r="K2120" t="s">
        <v>87</v>
      </c>
      <c r="L2120" t="s">
        <v>42</v>
      </c>
      <c r="M2120" t="s">
        <v>8</v>
      </c>
      <c r="N2120" t="b">
        <v>0</v>
      </c>
      <c r="O2120">
        <v>0</v>
      </c>
      <c r="P2120">
        <v>1</v>
      </c>
      <c r="Q2120">
        <v>0</v>
      </c>
      <c r="R2120">
        <v>1</v>
      </c>
    </row>
    <row r="2121" spans="1:18" x14ac:dyDescent="0.25">
      <c r="A2121" t="s">
        <v>50</v>
      </c>
      <c r="B2121" t="s">
        <v>6</v>
      </c>
      <c r="C2121">
        <v>1</v>
      </c>
      <c r="D2121">
        <v>3</v>
      </c>
      <c r="E2121">
        <v>2</v>
      </c>
      <c r="F2121" s="15">
        <v>45894</v>
      </c>
      <c r="G2121" t="s">
        <v>219</v>
      </c>
      <c r="H2121">
        <v>4</v>
      </c>
      <c r="I2121">
        <v>2025</v>
      </c>
      <c r="J2121">
        <v>8</v>
      </c>
      <c r="K2121" t="s">
        <v>87</v>
      </c>
      <c r="L2121" t="s">
        <v>17</v>
      </c>
      <c r="M2121" t="s">
        <v>6</v>
      </c>
      <c r="N2121" t="b">
        <v>0</v>
      </c>
      <c r="O2121">
        <v>0</v>
      </c>
      <c r="P2121">
        <v>1</v>
      </c>
      <c r="Q2121">
        <v>0</v>
      </c>
      <c r="R2121">
        <v>0</v>
      </c>
    </row>
    <row r="2122" spans="1:18" x14ac:dyDescent="0.25">
      <c r="A2122" t="s">
        <v>42</v>
      </c>
      <c r="B2122" t="s">
        <v>8</v>
      </c>
      <c r="C2122">
        <v>4</v>
      </c>
      <c r="D2122">
        <v>3</v>
      </c>
      <c r="E2122">
        <v>2</v>
      </c>
      <c r="F2122" s="15">
        <v>45894</v>
      </c>
      <c r="G2122" t="s">
        <v>219</v>
      </c>
      <c r="H2122">
        <v>4</v>
      </c>
      <c r="I2122">
        <v>2025</v>
      </c>
      <c r="J2122">
        <v>8</v>
      </c>
      <c r="K2122" t="s">
        <v>87</v>
      </c>
      <c r="L2122" t="s">
        <v>436</v>
      </c>
      <c r="M2122" t="s">
        <v>6</v>
      </c>
      <c r="N2122" t="b">
        <v>0</v>
      </c>
      <c r="O2122">
        <v>1</v>
      </c>
      <c r="P2122">
        <v>0</v>
      </c>
      <c r="Q2122">
        <v>0</v>
      </c>
      <c r="R2122">
        <v>0</v>
      </c>
    </row>
    <row r="2123" spans="1:18" x14ac:dyDescent="0.25">
      <c r="A2123" t="s">
        <v>42</v>
      </c>
      <c r="B2123" t="s">
        <v>8</v>
      </c>
      <c r="C2123">
        <v>4</v>
      </c>
      <c r="D2123">
        <v>3</v>
      </c>
      <c r="E2123">
        <v>2</v>
      </c>
      <c r="F2123" s="15">
        <v>45894</v>
      </c>
      <c r="G2123" t="s">
        <v>219</v>
      </c>
      <c r="H2123">
        <v>4</v>
      </c>
      <c r="I2123">
        <v>2025</v>
      </c>
      <c r="J2123">
        <v>8</v>
      </c>
      <c r="K2123" t="s">
        <v>87</v>
      </c>
      <c r="L2123" t="s">
        <v>50</v>
      </c>
      <c r="M2123" t="s">
        <v>6</v>
      </c>
      <c r="N2123" t="b">
        <v>0</v>
      </c>
      <c r="O2123">
        <v>1</v>
      </c>
      <c r="P2123">
        <v>0</v>
      </c>
      <c r="Q2123">
        <v>0</v>
      </c>
      <c r="R2123">
        <v>0</v>
      </c>
    </row>
    <row r="2124" spans="1:18" x14ac:dyDescent="0.25">
      <c r="A2124" t="s">
        <v>42</v>
      </c>
      <c r="B2124" t="s">
        <v>8</v>
      </c>
      <c r="C2124">
        <v>4</v>
      </c>
      <c r="D2124">
        <v>3</v>
      </c>
      <c r="E2124">
        <v>2</v>
      </c>
      <c r="F2124" s="15">
        <v>45894</v>
      </c>
      <c r="G2124" t="s">
        <v>219</v>
      </c>
      <c r="H2124">
        <v>4</v>
      </c>
      <c r="I2124">
        <v>2025</v>
      </c>
      <c r="J2124">
        <v>8</v>
      </c>
      <c r="K2124" t="s">
        <v>87</v>
      </c>
      <c r="L2124" t="s">
        <v>17</v>
      </c>
      <c r="M2124" t="s">
        <v>6</v>
      </c>
      <c r="N2124" t="b">
        <v>0</v>
      </c>
      <c r="O2124">
        <v>1</v>
      </c>
      <c r="P2124">
        <v>0</v>
      </c>
      <c r="Q2124">
        <v>0</v>
      </c>
      <c r="R2124">
        <v>0</v>
      </c>
    </row>
    <row r="2125" spans="1:18" x14ac:dyDescent="0.25">
      <c r="A2125" t="s">
        <v>17</v>
      </c>
      <c r="B2125" t="s">
        <v>6</v>
      </c>
      <c r="C2125">
        <v>2</v>
      </c>
      <c r="D2125">
        <v>3</v>
      </c>
      <c r="E2125">
        <v>2</v>
      </c>
      <c r="F2125" s="15">
        <v>45894</v>
      </c>
      <c r="G2125" t="s">
        <v>219</v>
      </c>
      <c r="H2125">
        <v>4</v>
      </c>
      <c r="I2125">
        <v>2025</v>
      </c>
      <c r="J2125">
        <v>8</v>
      </c>
      <c r="K2125" t="s">
        <v>87</v>
      </c>
      <c r="L2125" t="s">
        <v>436</v>
      </c>
      <c r="M2125" t="s">
        <v>6</v>
      </c>
      <c r="N2125" t="b">
        <v>0</v>
      </c>
      <c r="O2125">
        <v>0</v>
      </c>
      <c r="P2125">
        <v>1</v>
      </c>
      <c r="Q2125">
        <v>0</v>
      </c>
      <c r="R2125">
        <v>0</v>
      </c>
    </row>
    <row r="2126" spans="1:18" x14ac:dyDescent="0.25">
      <c r="A2126" t="s">
        <v>17</v>
      </c>
      <c r="B2126" t="s">
        <v>6</v>
      </c>
      <c r="C2126">
        <v>2</v>
      </c>
      <c r="D2126">
        <v>3</v>
      </c>
      <c r="E2126">
        <v>2</v>
      </c>
      <c r="F2126" s="15">
        <v>45894</v>
      </c>
      <c r="G2126" t="s">
        <v>219</v>
      </c>
      <c r="H2126">
        <v>4</v>
      </c>
      <c r="I2126">
        <v>2025</v>
      </c>
      <c r="J2126">
        <v>8</v>
      </c>
      <c r="K2126" t="s">
        <v>87</v>
      </c>
      <c r="L2126" t="s">
        <v>50</v>
      </c>
      <c r="M2126" t="s">
        <v>6</v>
      </c>
      <c r="N2126" t="b">
        <v>0</v>
      </c>
      <c r="O2126">
        <v>0</v>
      </c>
      <c r="P2126">
        <v>1</v>
      </c>
      <c r="Q2126">
        <v>0</v>
      </c>
      <c r="R2126">
        <v>0</v>
      </c>
    </row>
    <row r="2127" spans="1:18" x14ac:dyDescent="0.25">
      <c r="A2127" t="s">
        <v>17</v>
      </c>
      <c r="B2127" t="s">
        <v>6</v>
      </c>
      <c r="C2127">
        <v>2</v>
      </c>
      <c r="D2127">
        <v>3</v>
      </c>
      <c r="E2127">
        <v>2</v>
      </c>
      <c r="F2127" s="15">
        <v>45894</v>
      </c>
      <c r="G2127" t="s">
        <v>219</v>
      </c>
      <c r="H2127">
        <v>4</v>
      </c>
      <c r="I2127">
        <v>2025</v>
      </c>
      <c r="J2127">
        <v>8</v>
      </c>
      <c r="K2127" t="s">
        <v>87</v>
      </c>
      <c r="L2127" t="s">
        <v>42</v>
      </c>
      <c r="M2127" t="s">
        <v>8</v>
      </c>
      <c r="N2127" t="b">
        <v>0</v>
      </c>
      <c r="O2127">
        <v>0</v>
      </c>
      <c r="P2127">
        <v>1</v>
      </c>
      <c r="Q2127">
        <v>0</v>
      </c>
      <c r="R2127">
        <v>1</v>
      </c>
    </row>
    <row r="2128" spans="1:18" x14ac:dyDescent="0.25">
      <c r="A2128" t="s">
        <v>436</v>
      </c>
      <c r="B2128" t="s">
        <v>6</v>
      </c>
      <c r="C2128">
        <v>2</v>
      </c>
      <c r="D2128">
        <v>3</v>
      </c>
      <c r="E2128">
        <v>2</v>
      </c>
      <c r="F2128" s="15">
        <v>45936</v>
      </c>
      <c r="G2128" t="s">
        <v>224</v>
      </c>
      <c r="H2128">
        <v>4</v>
      </c>
      <c r="I2128">
        <v>2025</v>
      </c>
      <c r="J2128">
        <v>10</v>
      </c>
      <c r="K2128" t="s">
        <v>87</v>
      </c>
      <c r="L2128" t="s">
        <v>52</v>
      </c>
      <c r="M2128" t="s">
        <v>8</v>
      </c>
      <c r="N2128" t="b">
        <v>0</v>
      </c>
      <c r="O2128">
        <v>0</v>
      </c>
      <c r="P2128">
        <v>1</v>
      </c>
      <c r="Q2128">
        <v>0</v>
      </c>
      <c r="R2128">
        <v>1</v>
      </c>
    </row>
    <row r="2129" spans="1:18" x14ac:dyDescent="0.25">
      <c r="A2129" t="s">
        <v>436</v>
      </c>
      <c r="B2129" t="s">
        <v>6</v>
      </c>
      <c r="C2129">
        <v>2</v>
      </c>
      <c r="D2129">
        <v>3</v>
      </c>
      <c r="E2129">
        <v>2</v>
      </c>
      <c r="F2129" s="15">
        <v>45936</v>
      </c>
      <c r="G2129" t="s">
        <v>224</v>
      </c>
      <c r="H2129">
        <v>4</v>
      </c>
      <c r="I2129">
        <v>2025</v>
      </c>
      <c r="J2129">
        <v>10</v>
      </c>
      <c r="K2129" t="s">
        <v>87</v>
      </c>
      <c r="L2129" t="s">
        <v>28</v>
      </c>
      <c r="M2129" t="s">
        <v>6</v>
      </c>
      <c r="N2129" t="b">
        <v>0</v>
      </c>
      <c r="O2129">
        <v>0</v>
      </c>
      <c r="P2129">
        <v>1</v>
      </c>
      <c r="Q2129">
        <v>0</v>
      </c>
      <c r="R2129">
        <v>0</v>
      </c>
    </row>
    <row r="2130" spans="1:18" x14ac:dyDescent="0.25">
      <c r="A2130" t="s">
        <v>436</v>
      </c>
      <c r="B2130" t="s">
        <v>6</v>
      </c>
      <c r="C2130">
        <v>2</v>
      </c>
      <c r="D2130">
        <v>3</v>
      </c>
      <c r="E2130">
        <v>2</v>
      </c>
      <c r="F2130" s="15">
        <v>45936</v>
      </c>
      <c r="G2130" t="s">
        <v>224</v>
      </c>
      <c r="H2130">
        <v>4</v>
      </c>
      <c r="I2130">
        <v>2025</v>
      </c>
      <c r="J2130">
        <v>10</v>
      </c>
      <c r="K2130" t="s">
        <v>87</v>
      </c>
      <c r="L2130" t="s">
        <v>42</v>
      </c>
      <c r="M2130" t="s">
        <v>6</v>
      </c>
      <c r="N2130" t="b">
        <v>0</v>
      </c>
      <c r="O2130">
        <v>0</v>
      </c>
      <c r="P2130">
        <v>1</v>
      </c>
      <c r="Q2130">
        <v>0</v>
      </c>
      <c r="R2130">
        <v>0</v>
      </c>
    </row>
    <row r="2131" spans="1:18" x14ac:dyDescent="0.25">
      <c r="A2131" t="s">
        <v>52</v>
      </c>
      <c r="B2131" t="s">
        <v>8</v>
      </c>
      <c r="C2131">
        <v>1</v>
      </c>
      <c r="D2131">
        <v>3</v>
      </c>
      <c r="E2131">
        <v>2</v>
      </c>
      <c r="F2131" s="15">
        <v>45936</v>
      </c>
      <c r="G2131" t="s">
        <v>224</v>
      </c>
      <c r="H2131">
        <v>4</v>
      </c>
      <c r="I2131">
        <v>2025</v>
      </c>
      <c r="J2131">
        <v>10</v>
      </c>
      <c r="K2131" t="s">
        <v>87</v>
      </c>
      <c r="L2131" t="s">
        <v>436</v>
      </c>
      <c r="M2131" t="s">
        <v>6</v>
      </c>
      <c r="N2131" t="b">
        <v>0</v>
      </c>
      <c r="O2131">
        <v>1</v>
      </c>
      <c r="P2131">
        <v>0</v>
      </c>
      <c r="Q2131">
        <v>0</v>
      </c>
      <c r="R2131">
        <v>0</v>
      </c>
    </row>
    <row r="2132" spans="1:18" x14ac:dyDescent="0.25">
      <c r="A2132" t="s">
        <v>52</v>
      </c>
      <c r="B2132" t="s">
        <v>8</v>
      </c>
      <c r="C2132">
        <v>1</v>
      </c>
      <c r="D2132">
        <v>3</v>
      </c>
      <c r="E2132">
        <v>2</v>
      </c>
      <c r="F2132" s="15">
        <v>45936</v>
      </c>
      <c r="G2132" t="s">
        <v>224</v>
      </c>
      <c r="H2132">
        <v>4</v>
      </c>
      <c r="I2132">
        <v>2025</v>
      </c>
      <c r="J2132">
        <v>10</v>
      </c>
      <c r="K2132" t="s">
        <v>87</v>
      </c>
      <c r="L2132" t="s">
        <v>28</v>
      </c>
      <c r="M2132" t="s">
        <v>6</v>
      </c>
      <c r="N2132" t="b">
        <v>0</v>
      </c>
      <c r="O2132">
        <v>1</v>
      </c>
      <c r="P2132">
        <v>0</v>
      </c>
      <c r="Q2132">
        <v>0</v>
      </c>
      <c r="R2132">
        <v>0</v>
      </c>
    </row>
    <row r="2133" spans="1:18" x14ac:dyDescent="0.25">
      <c r="A2133" t="s">
        <v>52</v>
      </c>
      <c r="B2133" t="s">
        <v>8</v>
      </c>
      <c r="C2133">
        <v>1</v>
      </c>
      <c r="D2133">
        <v>3</v>
      </c>
      <c r="E2133">
        <v>2</v>
      </c>
      <c r="F2133" s="15">
        <v>45936</v>
      </c>
      <c r="G2133" t="s">
        <v>224</v>
      </c>
      <c r="H2133">
        <v>4</v>
      </c>
      <c r="I2133">
        <v>2025</v>
      </c>
      <c r="J2133">
        <v>10</v>
      </c>
      <c r="K2133" t="s">
        <v>87</v>
      </c>
      <c r="L2133" t="s">
        <v>42</v>
      </c>
      <c r="M2133" t="s">
        <v>6</v>
      </c>
      <c r="N2133" t="b">
        <v>0</v>
      </c>
      <c r="O2133">
        <v>1</v>
      </c>
      <c r="P2133">
        <v>0</v>
      </c>
      <c r="Q2133">
        <v>0</v>
      </c>
      <c r="R2133">
        <v>0</v>
      </c>
    </row>
    <row r="2134" spans="1:18" x14ac:dyDescent="0.25">
      <c r="A2134" t="s">
        <v>28</v>
      </c>
      <c r="B2134" t="s">
        <v>6</v>
      </c>
      <c r="C2134">
        <v>4</v>
      </c>
      <c r="D2134">
        <v>3</v>
      </c>
      <c r="E2134">
        <v>2</v>
      </c>
      <c r="F2134" s="15">
        <v>45936</v>
      </c>
      <c r="G2134" t="s">
        <v>224</v>
      </c>
      <c r="H2134">
        <v>4</v>
      </c>
      <c r="I2134">
        <v>2025</v>
      </c>
      <c r="J2134">
        <v>10</v>
      </c>
      <c r="K2134" t="s">
        <v>87</v>
      </c>
      <c r="L2134" t="s">
        <v>436</v>
      </c>
      <c r="M2134" t="s">
        <v>6</v>
      </c>
      <c r="N2134" t="b">
        <v>0</v>
      </c>
      <c r="O2134">
        <v>0</v>
      </c>
      <c r="P2134">
        <v>1</v>
      </c>
      <c r="Q2134">
        <v>0</v>
      </c>
      <c r="R2134">
        <v>0</v>
      </c>
    </row>
    <row r="2135" spans="1:18" x14ac:dyDescent="0.25">
      <c r="A2135" t="s">
        <v>28</v>
      </c>
      <c r="B2135" t="s">
        <v>6</v>
      </c>
      <c r="C2135">
        <v>4</v>
      </c>
      <c r="D2135">
        <v>3</v>
      </c>
      <c r="E2135">
        <v>2</v>
      </c>
      <c r="F2135" s="15">
        <v>45936</v>
      </c>
      <c r="G2135" t="s">
        <v>224</v>
      </c>
      <c r="H2135">
        <v>4</v>
      </c>
      <c r="I2135">
        <v>2025</v>
      </c>
      <c r="J2135">
        <v>10</v>
      </c>
      <c r="K2135" t="s">
        <v>87</v>
      </c>
      <c r="L2135" t="s">
        <v>52</v>
      </c>
      <c r="M2135" t="s">
        <v>8</v>
      </c>
      <c r="N2135" t="b">
        <v>0</v>
      </c>
      <c r="O2135">
        <v>0</v>
      </c>
      <c r="P2135">
        <v>1</v>
      </c>
      <c r="Q2135">
        <v>0</v>
      </c>
      <c r="R2135">
        <v>1</v>
      </c>
    </row>
    <row r="2136" spans="1:18" x14ac:dyDescent="0.25">
      <c r="A2136" t="s">
        <v>28</v>
      </c>
      <c r="B2136" t="s">
        <v>6</v>
      </c>
      <c r="C2136">
        <v>4</v>
      </c>
      <c r="D2136">
        <v>3</v>
      </c>
      <c r="E2136">
        <v>2</v>
      </c>
      <c r="F2136" s="15">
        <v>45936</v>
      </c>
      <c r="G2136" t="s">
        <v>224</v>
      </c>
      <c r="H2136">
        <v>4</v>
      </c>
      <c r="I2136">
        <v>2025</v>
      </c>
      <c r="J2136">
        <v>10</v>
      </c>
      <c r="K2136" t="s">
        <v>87</v>
      </c>
      <c r="L2136" t="s">
        <v>42</v>
      </c>
      <c r="M2136" t="s">
        <v>6</v>
      </c>
      <c r="N2136" t="b">
        <v>0</v>
      </c>
      <c r="O2136">
        <v>0</v>
      </c>
      <c r="P2136">
        <v>1</v>
      </c>
      <c r="Q2136">
        <v>0</v>
      </c>
      <c r="R2136">
        <v>0</v>
      </c>
    </row>
    <row r="2137" spans="1:18" x14ac:dyDescent="0.25">
      <c r="A2137" t="s">
        <v>42</v>
      </c>
      <c r="B2137" t="s">
        <v>6</v>
      </c>
      <c r="C2137">
        <v>3</v>
      </c>
      <c r="D2137">
        <v>3</v>
      </c>
      <c r="E2137">
        <v>2</v>
      </c>
      <c r="F2137" s="15">
        <v>45936</v>
      </c>
      <c r="G2137" t="s">
        <v>224</v>
      </c>
      <c r="H2137">
        <v>4</v>
      </c>
      <c r="I2137">
        <v>2025</v>
      </c>
      <c r="J2137">
        <v>10</v>
      </c>
      <c r="K2137" t="s">
        <v>87</v>
      </c>
      <c r="L2137" t="s">
        <v>436</v>
      </c>
      <c r="M2137" t="s">
        <v>6</v>
      </c>
      <c r="N2137" t="b">
        <v>0</v>
      </c>
      <c r="O2137">
        <v>0</v>
      </c>
      <c r="P2137">
        <v>1</v>
      </c>
      <c r="Q2137">
        <v>0</v>
      </c>
      <c r="R2137">
        <v>0</v>
      </c>
    </row>
    <row r="2138" spans="1:18" x14ac:dyDescent="0.25">
      <c r="A2138" t="s">
        <v>42</v>
      </c>
      <c r="B2138" t="s">
        <v>6</v>
      </c>
      <c r="C2138">
        <v>3</v>
      </c>
      <c r="D2138">
        <v>3</v>
      </c>
      <c r="E2138">
        <v>2</v>
      </c>
      <c r="F2138" s="15">
        <v>45936</v>
      </c>
      <c r="G2138" t="s">
        <v>224</v>
      </c>
      <c r="H2138">
        <v>4</v>
      </c>
      <c r="I2138">
        <v>2025</v>
      </c>
      <c r="J2138">
        <v>10</v>
      </c>
      <c r="K2138" t="s">
        <v>87</v>
      </c>
      <c r="L2138" t="s">
        <v>52</v>
      </c>
      <c r="M2138" t="s">
        <v>8</v>
      </c>
      <c r="N2138" t="b">
        <v>0</v>
      </c>
      <c r="O2138">
        <v>0</v>
      </c>
      <c r="P2138">
        <v>1</v>
      </c>
      <c r="Q2138">
        <v>0</v>
      </c>
      <c r="R2138">
        <v>1</v>
      </c>
    </row>
    <row r="2139" spans="1:18" x14ac:dyDescent="0.25">
      <c r="A2139" t="s">
        <v>42</v>
      </c>
      <c r="B2139" t="s">
        <v>6</v>
      </c>
      <c r="C2139">
        <v>3</v>
      </c>
      <c r="D2139">
        <v>3</v>
      </c>
      <c r="E2139">
        <v>2</v>
      </c>
      <c r="F2139" s="15">
        <v>45936</v>
      </c>
      <c r="G2139" t="s">
        <v>224</v>
      </c>
      <c r="H2139">
        <v>4</v>
      </c>
      <c r="I2139">
        <v>2025</v>
      </c>
      <c r="J2139">
        <v>10</v>
      </c>
      <c r="K2139" t="s">
        <v>87</v>
      </c>
      <c r="L2139" t="s">
        <v>28</v>
      </c>
      <c r="M2139" t="s">
        <v>6</v>
      </c>
      <c r="N2139" t="b">
        <v>0</v>
      </c>
      <c r="O2139">
        <v>0</v>
      </c>
      <c r="P2139">
        <v>1</v>
      </c>
      <c r="Q2139">
        <v>0</v>
      </c>
      <c r="R2139">
        <v>0</v>
      </c>
    </row>
    <row r="2140" spans="1:18" x14ac:dyDescent="0.25">
      <c r="A2140" t="s">
        <v>436</v>
      </c>
      <c r="B2140" t="s">
        <v>8</v>
      </c>
      <c r="C2140">
        <v>2</v>
      </c>
      <c r="D2140">
        <v>3</v>
      </c>
      <c r="E2140">
        <v>2</v>
      </c>
      <c r="F2140" s="15">
        <v>45978</v>
      </c>
      <c r="G2140" t="s">
        <v>230</v>
      </c>
      <c r="H2140">
        <v>4</v>
      </c>
      <c r="I2140">
        <v>2025</v>
      </c>
      <c r="J2140">
        <v>11</v>
      </c>
      <c r="K2140" t="s">
        <v>87</v>
      </c>
      <c r="L2140" t="s">
        <v>57</v>
      </c>
      <c r="M2140" t="s">
        <v>6</v>
      </c>
      <c r="N2140" t="b">
        <v>0</v>
      </c>
      <c r="O2140">
        <v>1</v>
      </c>
      <c r="P2140">
        <v>0</v>
      </c>
      <c r="Q2140">
        <v>0</v>
      </c>
      <c r="R2140">
        <v>0</v>
      </c>
    </row>
    <row r="2141" spans="1:18" x14ac:dyDescent="0.25">
      <c r="A2141" t="s">
        <v>436</v>
      </c>
      <c r="B2141" t="s">
        <v>8</v>
      </c>
      <c r="C2141">
        <v>2</v>
      </c>
      <c r="D2141">
        <v>3</v>
      </c>
      <c r="E2141">
        <v>2</v>
      </c>
      <c r="F2141" s="15">
        <v>45978</v>
      </c>
      <c r="G2141" t="s">
        <v>230</v>
      </c>
      <c r="H2141">
        <v>4</v>
      </c>
      <c r="I2141">
        <v>2025</v>
      </c>
      <c r="J2141">
        <v>11</v>
      </c>
      <c r="K2141" t="s">
        <v>87</v>
      </c>
      <c r="L2141" t="s">
        <v>9</v>
      </c>
      <c r="M2141" t="s">
        <v>6</v>
      </c>
      <c r="N2141" t="b">
        <v>0</v>
      </c>
      <c r="O2141">
        <v>1</v>
      </c>
      <c r="P2141">
        <v>0</v>
      </c>
      <c r="Q2141">
        <v>0</v>
      </c>
      <c r="R2141">
        <v>0</v>
      </c>
    </row>
    <row r="2142" spans="1:18" x14ac:dyDescent="0.25">
      <c r="A2142" t="s">
        <v>436</v>
      </c>
      <c r="B2142" t="s">
        <v>8</v>
      </c>
      <c r="C2142">
        <v>2</v>
      </c>
      <c r="D2142">
        <v>3</v>
      </c>
      <c r="E2142">
        <v>2</v>
      </c>
      <c r="F2142" s="15">
        <v>45978</v>
      </c>
      <c r="G2142" t="s">
        <v>230</v>
      </c>
      <c r="H2142">
        <v>4</v>
      </c>
      <c r="I2142">
        <v>2025</v>
      </c>
      <c r="J2142">
        <v>11</v>
      </c>
      <c r="K2142" t="s">
        <v>87</v>
      </c>
      <c r="L2142" t="s">
        <v>352</v>
      </c>
      <c r="M2142" t="s">
        <v>6</v>
      </c>
      <c r="N2142" t="b">
        <v>0</v>
      </c>
      <c r="O2142">
        <v>1</v>
      </c>
      <c r="P2142">
        <v>0</v>
      </c>
      <c r="Q2142">
        <v>0</v>
      </c>
      <c r="R2142">
        <v>0</v>
      </c>
    </row>
    <row r="2143" spans="1:18" x14ac:dyDescent="0.25">
      <c r="A2143" t="s">
        <v>57</v>
      </c>
      <c r="B2143" t="s">
        <v>6</v>
      </c>
      <c r="C2143">
        <v>1</v>
      </c>
      <c r="D2143">
        <v>3</v>
      </c>
      <c r="E2143">
        <v>2</v>
      </c>
      <c r="F2143" s="15">
        <v>45978</v>
      </c>
      <c r="G2143" t="s">
        <v>230</v>
      </c>
      <c r="H2143">
        <v>4</v>
      </c>
      <c r="I2143">
        <v>2025</v>
      </c>
      <c r="J2143">
        <v>11</v>
      </c>
      <c r="K2143" t="s">
        <v>87</v>
      </c>
      <c r="L2143" t="s">
        <v>436</v>
      </c>
      <c r="M2143" t="s">
        <v>8</v>
      </c>
      <c r="N2143" t="b">
        <v>0</v>
      </c>
      <c r="O2143">
        <v>0</v>
      </c>
      <c r="P2143">
        <v>1</v>
      </c>
      <c r="Q2143">
        <v>0</v>
      </c>
      <c r="R2143">
        <v>1</v>
      </c>
    </row>
    <row r="2144" spans="1:18" x14ac:dyDescent="0.25">
      <c r="A2144" t="s">
        <v>57</v>
      </c>
      <c r="B2144" t="s">
        <v>6</v>
      </c>
      <c r="C2144">
        <v>1</v>
      </c>
      <c r="D2144">
        <v>3</v>
      </c>
      <c r="E2144">
        <v>2</v>
      </c>
      <c r="F2144" s="15">
        <v>45978</v>
      </c>
      <c r="G2144" t="s">
        <v>230</v>
      </c>
      <c r="H2144">
        <v>4</v>
      </c>
      <c r="I2144">
        <v>2025</v>
      </c>
      <c r="J2144">
        <v>11</v>
      </c>
      <c r="K2144" t="s">
        <v>87</v>
      </c>
      <c r="L2144" t="s">
        <v>9</v>
      </c>
      <c r="M2144" t="s">
        <v>6</v>
      </c>
      <c r="N2144" t="b">
        <v>0</v>
      </c>
      <c r="O2144">
        <v>0</v>
      </c>
      <c r="P2144">
        <v>1</v>
      </c>
      <c r="Q2144">
        <v>0</v>
      </c>
      <c r="R2144">
        <v>0</v>
      </c>
    </row>
    <row r="2145" spans="1:18" x14ac:dyDescent="0.25">
      <c r="A2145" t="s">
        <v>57</v>
      </c>
      <c r="B2145" t="s">
        <v>6</v>
      </c>
      <c r="C2145">
        <v>1</v>
      </c>
      <c r="D2145">
        <v>3</v>
      </c>
      <c r="E2145">
        <v>2</v>
      </c>
      <c r="F2145" s="15">
        <v>45978</v>
      </c>
      <c r="G2145" t="s">
        <v>230</v>
      </c>
      <c r="H2145">
        <v>4</v>
      </c>
      <c r="I2145">
        <v>2025</v>
      </c>
      <c r="J2145">
        <v>11</v>
      </c>
      <c r="K2145" t="s">
        <v>87</v>
      </c>
      <c r="L2145" t="s">
        <v>352</v>
      </c>
      <c r="M2145" t="s">
        <v>6</v>
      </c>
      <c r="N2145" t="b">
        <v>0</v>
      </c>
      <c r="O2145">
        <v>0</v>
      </c>
      <c r="P2145">
        <v>1</v>
      </c>
      <c r="Q2145">
        <v>0</v>
      </c>
      <c r="R2145">
        <v>0</v>
      </c>
    </row>
    <row r="2146" spans="1:18" x14ac:dyDescent="0.25">
      <c r="A2146" t="s">
        <v>9</v>
      </c>
      <c r="B2146" t="s">
        <v>6</v>
      </c>
      <c r="C2146">
        <v>4</v>
      </c>
      <c r="D2146">
        <v>3</v>
      </c>
      <c r="E2146">
        <v>2</v>
      </c>
      <c r="F2146" s="15">
        <v>45978</v>
      </c>
      <c r="G2146" t="s">
        <v>230</v>
      </c>
      <c r="H2146">
        <v>4</v>
      </c>
      <c r="I2146">
        <v>2025</v>
      </c>
      <c r="J2146">
        <v>11</v>
      </c>
      <c r="K2146" t="s">
        <v>87</v>
      </c>
      <c r="L2146" t="s">
        <v>436</v>
      </c>
      <c r="M2146" t="s">
        <v>8</v>
      </c>
      <c r="N2146" t="b">
        <v>0</v>
      </c>
      <c r="O2146">
        <v>0</v>
      </c>
      <c r="P2146">
        <v>1</v>
      </c>
      <c r="Q2146">
        <v>0</v>
      </c>
      <c r="R2146">
        <v>1</v>
      </c>
    </row>
    <row r="2147" spans="1:18" x14ac:dyDescent="0.25">
      <c r="A2147" t="s">
        <v>9</v>
      </c>
      <c r="B2147" t="s">
        <v>6</v>
      </c>
      <c r="C2147">
        <v>4</v>
      </c>
      <c r="D2147">
        <v>3</v>
      </c>
      <c r="E2147">
        <v>2</v>
      </c>
      <c r="F2147" s="15">
        <v>45978</v>
      </c>
      <c r="G2147" t="s">
        <v>230</v>
      </c>
      <c r="H2147">
        <v>4</v>
      </c>
      <c r="I2147">
        <v>2025</v>
      </c>
      <c r="J2147">
        <v>11</v>
      </c>
      <c r="K2147" t="s">
        <v>87</v>
      </c>
      <c r="L2147" t="s">
        <v>57</v>
      </c>
      <c r="M2147" t="s">
        <v>6</v>
      </c>
      <c r="N2147" t="b">
        <v>0</v>
      </c>
      <c r="O2147">
        <v>0</v>
      </c>
      <c r="P2147">
        <v>1</v>
      </c>
      <c r="Q2147">
        <v>0</v>
      </c>
      <c r="R2147">
        <v>0</v>
      </c>
    </row>
    <row r="2148" spans="1:18" x14ac:dyDescent="0.25">
      <c r="A2148" t="s">
        <v>9</v>
      </c>
      <c r="B2148" t="s">
        <v>6</v>
      </c>
      <c r="C2148">
        <v>4</v>
      </c>
      <c r="D2148">
        <v>3</v>
      </c>
      <c r="E2148">
        <v>2</v>
      </c>
      <c r="F2148" s="15">
        <v>45978</v>
      </c>
      <c r="G2148" t="s">
        <v>230</v>
      </c>
      <c r="H2148">
        <v>4</v>
      </c>
      <c r="I2148">
        <v>2025</v>
      </c>
      <c r="J2148">
        <v>11</v>
      </c>
      <c r="K2148" t="s">
        <v>87</v>
      </c>
      <c r="L2148" t="s">
        <v>352</v>
      </c>
      <c r="M2148" t="s">
        <v>6</v>
      </c>
      <c r="N2148" t="b">
        <v>0</v>
      </c>
      <c r="O2148">
        <v>0</v>
      </c>
      <c r="P2148">
        <v>1</v>
      </c>
      <c r="Q2148">
        <v>0</v>
      </c>
      <c r="R2148">
        <v>0</v>
      </c>
    </row>
    <row r="2149" spans="1:18" x14ac:dyDescent="0.25">
      <c r="A2149" t="s">
        <v>352</v>
      </c>
      <c r="B2149" t="s">
        <v>6</v>
      </c>
      <c r="C2149">
        <v>3</v>
      </c>
      <c r="D2149">
        <v>3</v>
      </c>
      <c r="E2149">
        <v>2</v>
      </c>
      <c r="F2149" s="15">
        <v>45978</v>
      </c>
      <c r="G2149" t="s">
        <v>230</v>
      </c>
      <c r="H2149">
        <v>4</v>
      </c>
      <c r="I2149">
        <v>2025</v>
      </c>
      <c r="J2149">
        <v>11</v>
      </c>
      <c r="K2149" t="s">
        <v>87</v>
      </c>
      <c r="L2149" t="s">
        <v>436</v>
      </c>
      <c r="M2149" t="s">
        <v>8</v>
      </c>
      <c r="N2149" t="b">
        <v>0</v>
      </c>
      <c r="O2149">
        <v>0</v>
      </c>
      <c r="P2149">
        <v>1</v>
      </c>
      <c r="Q2149">
        <v>0</v>
      </c>
      <c r="R2149">
        <v>1</v>
      </c>
    </row>
    <row r="2150" spans="1:18" x14ac:dyDescent="0.25">
      <c r="A2150" t="s">
        <v>352</v>
      </c>
      <c r="B2150" t="s">
        <v>6</v>
      </c>
      <c r="C2150">
        <v>3</v>
      </c>
      <c r="D2150">
        <v>3</v>
      </c>
      <c r="E2150">
        <v>2</v>
      </c>
      <c r="F2150" s="15">
        <v>45978</v>
      </c>
      <c r="G2150" t="s">
        <v>230</v>
      </c>
      <c r="H2150">
        <v>4</v>
      </c>
      <c r="I2150">
        <v>2025</v>
      </c>
      <c r="J2150">
        <v>11</v>
      </c>
      <c r="K2150" t="s">
        <v>87</v>
      </c>
      <c r="L2150" t="s">
        <v>57</v>
      </c>
      <c r="M2150" t="s">
        <v>6</v>
      </c>
      <c r="N2150" t="b">
        <v>0</v>
      </c>
      <c r="O2150">
        <v>0</v>
      </c>
      <c r="P2150">
        <v>1</v>
      </c>
      <c r="Q2150">
        <v>0</v>
      </c>
      <c r="R2150">
        <v>0</v>
      </c>
    </row>
    <row r="2151" spans="1:18" x14ac:dyDescent="0.25">
      <c r="A2151" t="s">
        <v>352</v>
      </c>
      <c r="B2151" t="s">
        <v>6</v>
      </c>
      <c r="C2151">
        <v>3</v>
      </c>
      <c r="D2151">
        <v>3</v>
      </c>
      <c r="E2151">
        <v>2</v>
      </c>
      <c r="F2151" s="15">
        <v>45978</v>
      </c>
      <c r="G2151" t="s">
        <v>230</v>
      </c>
      <c r="H2151">
        <v>4</v>
      </c>
      <c r="I2151">
        <v>2025</v>
      </c>
      <c r="J2151">
        <v>11</v>
      </c>
      <c r="K2151" t="s">
        <v>87</v>
      </c>
      <c r="L2151" t="s">
        <v>9</v>
      </c>
      <c r="M2151" t="s">
        <v>6</v>
      </c>
      <c r="N2151" t="b">
        <v>0</v>
      </c>
      <c r="O2151">
        <v>0</v>
      </c>
      <c r="P2151">
        <v>1</v>
      </c>
      <c r="Q2151">
        <v>0</v>
      </c>
      <c r="R2151">
        <v>0</v>
      </c>
    </row>
    <row r="2152" spans="1:18" x14ac:dyDescent="0.25">
      <c r="A2152" t="s">
        <v>436</v>
      </c>
      <c r="B2152" t="s">
        <v>6</v>
      </c>
      <c r="C2152">
        <v>4</v>
      </c>
      <c r="D2152">
        <v>4</v>
      </c>
      <c r="E2152">
        <v>1</v>
      </c>
      <c r="F2152" s="15">
        <v>45880</v>
      </c>
      <c r="G2152" t="s">
        <v>240</v>
      </c>
      <c r="H2152">
        <v>4</v>
      </c>
      <c r="I2152">
        <v>2025</v>
      </c>
      <c r="J2152">
        <v>8</v>
      </c>
      <c r="K2152" t="s">
        <v>87</v>
      </c>
      <c r="L2152" t="s">
        <v>20</v>
      </c>
      <c r="M2152" t="s">
        <v>8</v>
      </c>
      <c r="N2152" t="b">
        <v>0</v>
      </c>
      <c r="O2152">
        <v>0</v>
      </c>
      <c r="P2152">
        <v>1</v>
      </c>
      <c r="Q2152">
        <v>0</v>
      </c>
      <c r="R2152">
        <v>1</v>
      </c>
    </row>
    <row r="2153" spans="1:18" x14ac:dyDescent="0.25">
      <c r="A2153" t="s">
        <v>436</v>
      </c>
      <c r="B2153" t="s">
        <v>6</v>
      </c>
      <c r="C2153">
        <v>4</v>
      </c>
      <c r="D2153">
        <v>4</v>
      </c>
      <c r="E2153">
        <v>1</v>
      </c>
      <c r="F2153" s="15">
        <v>45880</v>
      </c>
      <c r="G2153" t="s">
        <v>240</v>
      </c>
      <c r="H2153">
        <v>4</v>
      </c>
      <c r="I2153">
        <v>2025</v>
      </c>
      <c r="J2153">
        <v>8</v>
      </c>
      <c r="K2153" t="s">
        <v>87</v>
      </c>
      <c r="L2153" t="s">
        <v>41</v>
      </c>
      <c r="M2153" t="s">
        <v>6</v>
      </c>
      <c r="N2153" t="b">
        <v>0</v>
      </c>
      <c r="O2153">
        <v>0</v>
      </c>
      <c r="P2153">
        <v>1</v>
      </c>
      <c r="Q2153">
        <v>0</v>
      </c>
      <c r="R2153">
        <v>0</v>
      </c>
    </row>
    <row r="2154" spans="1:18" x14ac:dyDescent="0.25">
      <c r="A2154" t="s">
        <v>436</v>
      </c>
      <c r="B2154" t="s">
        <v>6</v>
      </c>
      <c r="C2154">
        <v>4</v>
      </c>
      <c r="D2154">
        <v>4</v>
      </c>
      <c r="E2154">
        <v>1</v>
      </c>
      <c r="F2154" s="15">
        <v>45880</v>
      </c>
      <c r="G2154" t="s">
        <v>240</v>
      </c>
      <c r="H2154">
        <v>4</v>
      </c>
      <c r="I2154">
        <v>2025</v>
      </c>
      <c r="J2154">
        <v>8</v>
      </c>
      <c r="K2154" t="s">
        <v>87</v>
      </c>
      <c r="L2154" t="s">
        <v>12</v>
      </c>
      <c r="M2154" t="s">
        <v>6</v>
      </c>
      <c r="N2154" t="b">
        <v>0</v>
      </c>
      <c r="O2154">
        <v>0</v>
      </c>
      <c r="P2154">
        <v>1</v>
      </c>
      <c r="Q2154">
        <v>0</v>
      </c>
      <c r="R2154">
        <v>0</v>
      </c>
    </row>
    <row r="2155" spans="1:18" x14ac:dyDescent="0.25">
      <c r="A2155" t="s">
        <v>20</v>
      </c>
      <c r="B2155" t="s">
        <v>8</v>
      </c>
      <c r="C2155">
        <v>1</v>
      </c>
      <c r="D2155">
        <v>4</v>
      </c>
      <c r="E2155">
        <v>1</v>
      </c>
      <c r="F2155" s="15">
        <v>45880</v>
      </c>
      <c r="G2155" t="s">
        <v>240</v>
      </c>
      <c r="H2155">
        <v>4</v>
      </c>
      <c r="I2155">
        <v>2025</v>
      </c>
      <c r="J2155">
        <v>8</v>
      </c>
      <c r="K2155" t="s">
        <v>87</v>
      </c>
      <c r="L2155" t="s">
        <v>436</v>
      </c>
      <c r="M2155" t="s">
        <v>6</v>
      </c>
      <c r="N2155" t="b">
        <v>0</v>
      </c>
      <c r="O2155">
        <v>1</v>
      </c>
      <c r="P2155">
        <v>0</v>
      </c>
      <c r="Q2155">
        <v>0</v>
      </c>
      <c r="R2155">
        <v>0</v>
      </c>
    </row>
    <row r="2156" spans="1:18" x14ac:dyDescent="0.25">
      <c r="A2156" t="s">
        <v>20</v>
      </c>
      <c r="B2156" t="s">
        <v>8</v>
      </c>
      <c r="C2156">
        <v>1</v>
      </c>
      <c r="D2156">
        <v>4</v>
      </c>
      <c r="E2156">
        <v>1</v>
      </c>
      <c r="F2156" s="15">
        <v>45880</v>
      </c>
      <c r="G2156" t="s">
        <v>240</v>
      </c>
      <c r="H2156">
        <v>4</v>
      </c>
      <c r="I2156">
        <v>2025</v>
      </c>
      <c r="J2156">
        <v>8</v>
      </c>
      <c r="K2156" t="s">
        <v>87</v>
      </c>
      <c r="L2156" t="s">
        <v>41</v>
      </c>
      <c r="M2156" t="s">
        <v>6</v>
      </c>
      <c r="N2156" t="b">
        <v>0</v>
      </c>
      <c r="O2156">
        <v>1</v>
      </c>
      <c r="P2156">
        <v>0</v>
      </c>
      <c r="Q2156">
        <v>0</v>
      </c>
      <c r="R2156">
        <v>0</v>
      </c>
    </row>
    <row r="2157" spans="1:18" x14ac:dyDescent="0.25">
      <c r="A2157" t="s">
        <v>20</v>
      </c>
      <c r="B2157" t="s">
        <v>8</v>
      </c>
      <c r="C2157">
        <v>1</v>
      </c>
      <c r="D2157">
        <v>4</v>
      </c>
      <c r="E2157">
        <v>1</v>
      </c>
      <c r="F2157" s="15">
        <v>45880</v>
      </c>
      <c r="G2157" t="s">
        <v>240</v>
      </c>
      <c r="H2157">
        <v>4</v>
      </c>
      <c r="I2157">
        <v>2025</v>
      </c>
      <c r="J2157">
        <v>8</v>
      </c>
      <c r="K2157" t="s">
        <v>87</v>
      </c>
      <c r="L2157" t="s">
        <v>12</v>
      </c>
      <c r="M2157" t="s">
        <v>6</v>
      </c>
      <c r="N2157" t="b">
        <v>0</v>
      </c>
      <c r="O2157">
        <v>1</v>
      </c>
      <c r="P2157">
        <v>0</v>
      </c>
      <c r="Q2157">
        <v>0</v>
      </c>
      <c r="R2157">
        <v>0</v>
      </c>
    </row>
    <row r="2158" spans="1:18" x14ac:dyDescent="0.25">
      <c r="A2158" t="s">
        <v>41</v>
      </c>
      <c r="B2158" t="s">
        <v>6</v>
      </c>
      <c r="C2158">
        <v>2</v>
      </c>
      <c r="D2158">
        <v>4</v>
      </c>
      <c r="E2158">
        <v>1</v>
      </c>
      <c r="F2158" s="15">
        <v>45880</v>
      </c>
      <c r="G2158" t="s">
        <v>240</v>
      </c>
      <c r="H2158">
        <v>4</v>
      </c>
      <c r="I2158">
        <v>2025</v>
      </c>
      <c r="J2158">
        <v>8</v>
      </c>
      <c r="K2158" t="s">
        <v>87</v>
      </c>
      <c r="L2158" t="s">
        <v>436</v>
      </c>
      <c r="M2158" t="s">
        <v>6</v>
      </c>
      <c r="N2158" t="b">
        <v>0</v>
      </c>
      <c r="O2158">
        <v>0</v>
      </c>
      <c r="P2158">
        <v>1</v>
      </c>
      <c r="Q2158">
        <v>0</v>
      </c>
      <c r="R2158">
        <v>0</v>
      </c>
    </row>
    <row r="2159" spans="1:18" x14ac:dyDescent="0.25">
      <c r="A2159" t="s">
        <v>41</v>
      </c>
      <c r="B2159" t="s">
        <v>6</v>
      </c>
      <c r="C2159">
        <v>2</v>
      </c>
      <c r="D2159">
        <v>4</v>
      </c>
      <c r="E2159">
        <v>1</v>
      </c>
      <c r="F2159" s="15">
        <v>45880</v>
      </c>
      <c r="G2159" t="s">
        <v>240</v>
      </c>
      <c r="H2159">
        <v>4</v>
      </c>
      <c r="I2159">
        <v>2025</v>
      </c>
      <c r="J2159">
        <v>8</v>
      </c>
      <c r="K2159" t="s">
        <v>87</v>
      </c>
      <c r="L2159" t="s">
        <v>20</v>
      </c>
      <c r="M2159" t="s">
        <v>8</v>
      </c>
      <c r="N2159" t="b">
        <v>0</v>
      </c>
      <c r="O2159">
        <v>0</v>
      </c>
      <c r="P2159">
        <v>1</v>
      </c>
      <c r="Q2159">
        <v>0</v>
      </c>
      <c r="R2159">
        <v>1</v>
      </c>
    </row>
    <row r="2160" spans="1:18" x14ac:dyDescent="0.25">
      <c r="A2160" t="s">
        <v>41</v>
      </c>
      <c r="B2160" t="s">
        <v>6</v>
      </c>
      <c r="C2160">
        <v>2</v>
      </c>
      <c r="D2160">
        <v>4</v>
      </c>
      <c r="E2160">
        <v>1</v>
      </c>
      <c r="F2160" s="15">
        <v>45880</v>
      </c>
      <c r="G2160" t="s">
        <v>240</v>
      </c>
      <c r="H2160">
        <v>4</v>
      </c>
      <c r="I2160">
        <v>2025</v>
      </c>
      <c r="J2160">
        <v>8</v>
      </c>
      <c r="K2160" t="s">
        <v>87</v>
      </c>
      <c r="L2160" t="s">
        <v>12</v>
      </c>
      <c r="M2160" t="s">
        <v>6</v>
      </c>
      <c r="N2160" t="b">
        <v>0</v>
      </c>
      <c r="O2160">
        <v>0</v>
      </c>
      <c r="P2160">
        <v>1</v>
      </c>
      <c r="Q2160">
        <v>0</v>
      </c>
      <c r="R2160">
        <v>0</v>
      </c>
    </row>
    <row r="2161" spans="1:18" x14ac:dyDescent="0.25">
      <c r="A2161" t="s">
        <v>12</v>
      </c>
      <c r="B2161" t="s">
        <v>6</v>
      </c>
      <c r="C2161">
        <v>3</v>
      </c>
      <c r="D2161">
        <v>4</v>
      </c>
      <c r="E2161">
        <v>1</v>
      </c>
      <c r="F2161" s="15">
        <v>45880</v>
      </c>
      <c r="G2161" t="s">
        <v>240</v>
      </c>
      <c r="H2161">
        <v>4</v>
      </c>
      <c r="I2161">
        <v>2025</v>
      </c>
      <c r="J2161">
        <v>8</v>
      </c>
      <c r="K2161" t="s">
        <v>87</v>
      </c>
      <c r="L2161" t="s">
        <v>436</v>
      </c>
      <c r="M2161" t="s">
        <v>6</v>
      </c>
      <c r="N2161" t="b">
        <v>0</v>
      </c>
      <c r="O2161">
        <v>0</v>
      </c>
      <c r="P2161">
        <v>1</v>
      </c>
      <c r="Q2161">
        <v>0</v>
      </c>
      <c r="R2161">
        <v>0</v>
      </c>
    </row>
    <row r="2162" spans="1:18" x14ac:dyDescent="0.25">
      <c r="A2162" t="s">
        <v>12</v>
      </c>
      <c r="B2162" t="s">
        <v>6</v>
      </c>
      <c r="C2162">
        <v>3</v>
      </c>
      <c r="D2162">
        <v>4</v>
      </c>
      <c r="E2162">
        <v>1</v>
      </c>
      <c r="F2162" s="15">
        <v>45880</v>
      </c>
      <c r="G2162" t="s">
        <v>240</v>
      </c>
      <c r="H2162">
        <v>4</v>
      </c>
      <c r="I2162">
        <v>2025</v>
      </c>
      <c r="J2162">
        <v>8</v>
      </c>
      <c r="K2162" t="s">
        <v>87</v>
      </c>
      <c r="L2162" t="s">
        <v>20</v>
      </c>
      <c r="M2162" t="s">
        <v>8</v>
      </c>
      <c r="N2162" t="b">
        <v>0</v>
      </c>
      <c r="O2162">
        <v>0</v>
      </c>
      <c r="P2162">
        <v>1</v>
      </c>
      <c r="Q2162">
        <v>0</v>
      </c>
      <c r="R2162">
        <v>1</v>
      </c>
    </row>
    <row r="2163" spans="1:18" x14ac:dyDescent="0.25">
      <c r="A2163" t="s">
        <v>12</v>
      </c>
      <c r="B2163" t="s">
        <v>6</v>
      </c>
      <c r="C2163">
        <v>3</v>
      </c>
      <c r="D2163">
        <v>4</v>
      </c>
      <c r="E2163">
        <v>1</v>
      </c>
      <c r="F2163" s="15">
        <v>45880</v>
      </c>
      <c r="G2163" t="s">
        <v>240</v>
      </c>
      <c r="H2163">
        <v>4</v>
      </c>
      <c r="I2163">
        <v>2025</v>
      </c>
      <c r="J2163">
        <v>8</v>
      </c>
      <c r="K2163" t="s">
        <v>87</v>
      </c>
      <c r="L2163" t="s">
        <v>41</v>
      </c>
      <c r="M2163" t="s">
        <v>6</v>
      </c>
      <c r="N2163" t="b">
        <v>0</v>
      </c>
      <c r="O2163">
        <v>0</v>
      </c>
      <c r="P2163">
        <v>1</v>
      </c>
      <c r="Q2163">
        <v>0</v>
      </c>
      <c r="R2163">
        <v>0</v>
      </c>
    </row>
    <row r="2164" spans="1:18" x14ac:dyDescent="0.25">
      <c r="A2164" t="s">
        <v>436</v>
      </c>
      <c r="B2164" t="s">
        <v>6</v>
      </c>
      <c r="C2164">
        <v>4</v>
      </c>
      <c r="D2164">
        <v>4</v>
      </c>
      <c r="E2164">
        <v>1</v>
      </c>
      <c r="F2164" s="15">
        <v>45951</v>
      </c>
      <c r="G2164" t="s">
        <v>248</v>
      </c>
      <c r="H2164">
        <v>4</v>
      </c>
      <c r="I2164">
        <v>2025</v>
      </c>
      <c r="J2164">
        <v>10</v>
      </c>
      <c r="K2164" t="s">
        <v>87</v>
      </c>
      <c r="L2164" t="s">
        <v>321</v>
      </c>
      <c r="M2164" t="s">
        <v>6</v>
      </c>
      <c r="N2164" t="b">
        <v>0</v>
      </c>
      <c r="O2164">
        <v>0</v>
      </c>
      <c r="P2164">
        <v>1</v>
      </c>
      <c r="Q2164">
        <v>0</v>
      </c>
      <c r="R2164">
        <v>0</v>
      </c>
    </row>
    <row r="2165" spans="1:18" x14ac:dyDescent="0.25">
      <c r="A2165" t="s">
        <v>436</v>
      </c>
      <c r="B2165" t="s">
        <v>6</v>
      </c>
      <c r="C2165">
        <v>4</v>
      </c>
      <c r="D2165">
        <v>4</v>
      </c>
      <c r="E2165">
        <v>1</v>
      </c>
      <c r="F2165" s="15">
        <v>45951</v>
      </c>
      <c r="G2165" t="s">
        <v>248</v>
      </c>
      <c r="H2165">
        <v>4</v>
      </c>
      <c r="I2165">
        <v>2025</v>
      </c>
      <c r="J2165">
        <v>10</v>
      </c>
      <c r="K2165" t="s">
        <v>87</v>
      </c>
      <c r="L2165" t="s">
        <v>56</v>
      </c>
      <c r="M2165" t="s">
        <v>6</v>
      </c>
      <c r="N2165" t="b">
        <v>0</v>
      </c>
      <c r="O2165">
        <v>0</v>
      </c>
      <c r="P2165">
        <v>1</v>
      </c>
      <c r="Q2165">
        <v>0</v>
      </c>
      <c r="R2165">
        <v>0</v>
      </c>
    </row>
    <row r="2166" spans="1:18" x14ac:dyDescent="0.25">
      <c r="A2166" t="s">
        <v>436</v>
      </c>
      <c r="B2166" t="s">
        <v>6</v>
      </c>
      <c r="C2166">
        <v>4</v>
      </c>
      <c r="D2166">
        <v>4</v>
      </c>
      <c r="E2166">
        <v>1</v>
      </c>
      <c r="F2166" s="15">
        <v>45951</v>
      </c>
      <c r="G2166" t="s">
        <v>248</v>
      </c>
      <c r="H2166">
        <v>4</v>
      </c>
      <c r="I2166">
        <v>2025</v>
      </c>
      <c r="J2166">
        <v>10</v>
      </c>
      <c r="K2166" t="s">
        <v>87</v>
      </c>
      <c r="L2166" t="s">
        <v>11</v>
      </c>
      <c r="M2166" t="s">
        <v>8</v>
      </c>
      <c r="N2166" t="b">
        <v>0</v>
      </c>
      <c r="O2166">
        <v>0</v>
      </c>
      <c r="P2166">
        <v>1</v>
      </c>
      <c r="Q2166">
        <v>0</v>
      </c>
      <c r="R2166">
        <v>1</v>
      </c>
    </row>
    <row r="2167" spans="1:18" x14ac:dyDescent="0.25">
      <c r="A2167" t="s">
        <v>321</v>
      </c>
      <c r="B2167" t="s">
        <v>6</v>
      </c>
      <c r="C2167">
        <v>3</v>
      </c>
      <c r="D2167">
        <v>4</v>
      </c>
      <c r="E2167">
        <v>1</v>
      </c>
      <c r="F2167" s="15">
        <v>45951</v>
      </c>
      <c r="G2167" t="s">
        <v>248</v>
      </c>
      <c r="H2167">
        <v>4</v>
      </c>
      <c r="I2167">
        <v>2025</v>
      </c>
      <c r="J2167">
        <v>10</v>
      </c>
      <c r="K2167" t="s">
        <v>87</v>
      </c>
      <c r="L2167" t="s">
        <v>436</v>
      </c>
      <c r="M2167" t="s">
        <v>6</v>
      </c>
      <c r="N2167" t="b">
        <v>0</v>
      </c>
      <c r="O2167">
        <v>0</v>
      </c>
      <c r="P2167">
        <v>1</v>
      </c>
      <c r="Q2167">
        <v>0</v>
      </c>
      <c r="R2167">
        <v>0</v>
      </c>
    </row>
    <row r="2168" spans="1:18" x14ac:dyDescent="0.25">
      <c r="A2168" t="s">
        <v>321</v>
      </c>
      <c r="B2168" t="s">
        <v>6</v>
      </c>
      <c r="C2168">
        <v>3</v>
      </c>
      <c r="D2168">
        <v>4</v>
      </c>
      <c r="E2168">
        <v>1</v>
      </c>
      <c r="F2168" s="15">
        <v>45951</v>
      </c>
      <c r="G2168" t="s">
        <v>248</v>
      </c>
      <c r="H2168">
        <v>4</v>
      </c>
      <c r="I2168">
        <v>2025</v>
      </c>
      <c r="J2168">
        <v>10</v>
      </c>
      <c r="K2168" t="s">
        <v>87</v>
      </c>
      <c r="L2168" t="s">
        <v>56</v>
      </c>
      <c r="M2168" t="s">
        <v>6</v>
      </c>
      <c r="N2168" t="b">
        <v>0</v>
      </c>
      <c r="O2168">
        <v>0</v>
      </c>
      <c r="P2168">
        <v>1</v>
      </c>
      <c r="Q2168">
        <v>0</v>
      </c>
      <c r="R2168">
        <v>0</v>
      </c>
    </row>
    <row r="2169" spans="1:18" x14ac:dyDescent="0.25">
      <c r="A2169" t="s">
        <v>321</v>
      </c>
      <c r="B2169" t="s">
        <v>6</v>
      </c>
      <c r="C2169">
        <v>3</v>
      </c>
      <c r="D2169">
        <v>4</v>
      </c>
      <c r="E2169">
        <v>1</v>
      </c>
      <c r="F2169" s="15">
        <v>45951</v>
      </c>
      <c r="G2169" t="s">
        <v>248</v>
      </c>
      <c r="H2169">
        <v>4</v>
      </c>
      <c r="I2169">
        <v>2025</v>
      </c>
      <c r="J2169">
        <v>10</v>
      </c>
      <c r="K2169" t="s">
        <v>87</v>
      </c>
      <c r="L2169" t="s">
        <v>11</v>
      </c>
      <c r="M2169" t="s">
        <v>8</v>
      </c>
      <c r="N2169" t="b">
        <v>0</v>
      </c>
      <c r="O2169">
        <v>0</v>
      </c>
      <c r="P2169">
        <v>1</v>
      </c>
      <c r="Q2169">
        <v>0</v>
      </c>
      <c r="R2169">
        <v>1</v>
      </c>
    </row>
    <row r="2170" spans="1:18" x14ac:dyDescent="0.25">
      <c r="A2170" t="s">
        <v>56</v>
      </c>
      <c r="B2170" t="s">
        <v>6</v>
      </c>
      <c r="C2170">
        <v>1</v>
      </c>
      <c r="D2170">
        <v>4</v>
      </c>
      <c r="E2170">
        <v>1</v>
      </c>
      <c r="F2170" s="15">
        <v>45951</v>
      </c>
      <c r="G2170" t="s">
        <v>248</v>
      </c>
      <c r="H2170">
        <v>4</v>
      </c>
      <c r="I2170">
        <v>2025</v>
      </c>
      <c r="J2170">
        <v>10</v>
      </c>
      <c r="K2170" t="s">
        <v>87</v>
      </c>
      <c r="L2170" t="s">
        <v>436</v>
      </c>
      <c r="M2170" t="s">
        <v>6</v>
      </c>
      <c r="N2170" t="b">
        <v>0</v>
      </c>
      <c r="O2170">
        <v>0</v>
      </c>
      <c r="P2170">
        <v>1</v>
      </c>
      <c r="Q2170">
        <v>0</v>
      </c>
      <c r="R2170">
        <v>0</v>
      </c>
    </row>
    <row r="2171" spans="1:18" x14ac:dyDescent="0.25">
      <c r="A2171" t="s">
        <v>56</v>
      </c>
      <c r="B2171" t="s">
        <v>6</v>
      </c>
      <c r="C2171">
        <v>1</v>
      </c>
      <c r="D2171">
        <v>4</v>
      </c>
      <c r="E2171">
        <v>1</v>
      </c>
      <c r="F2171" s="15">
        <v>45951</v>
      </c>
      <c r="G2171" t="s">
        <v>248</v>
      </c>
      <c r="H2171">
        <v>4</v>
      </c>
      <c r="I2171">
        <v>2025</v>
      </c>
      <c r="J2171">
        <v>10</v>
      </c>
      <c r="K2171" t="s">
        <v>87</v>
      </c>
      <c r="L2171" t="s">
        <v>321</v>
      </c>
      <c r="M2171" t="s">
        <v>6</v>
      </c>
      <c r="N2171" t="b">
        <v>0</v>
      </c>
      <c r="O2171">
        <v>0</v>
      </c>
      <c r="P2171">
        <v>1</v>
      </c>
      <c r="Q2171">
        <v>0</v>
      </c>
      <c r="R2171">
        <v>0</v>
      </c>
    </row>
    <row r="2172" spans="1:18" x14ac:dyDescent="0.25">
      <c r="A2172" t="s">
        <v>56</v>
      </c>
      <c r="B2172" t="s">
        <v>6</v>
      </c>
      <c r="C2172">
        <v>1</v>
      </c>
      <c r="D2172">
        <v>4</v>
      </c>
      <c r="E2172">
        <v>1</v>
      </c>
      <c r="F2172" s="15">
        <v>45951</v>
      </c>
      <c r="G2172" t="s">
        <v>248</v>
      </c>
      <c r="H2172">
        <v>4</v>
      </c>
      <c r="I2172">
        <v>2025</v>
      </c>
      <c r="J2172">
        <v>10</v>
      </c>
      <c r="K2172" t="s">
        <v>87</v>
      </c>
      <c r="L2172" t="s">
        <v>11</v>
      </c>
      <c r="M2172" t="s">
        <v>8</v>
      </c>
      <c r="N2172" t="b">
        <v>0</v>
      </c>
      <c r="O2172">
        <v>0</v>
      </c>
      <c r="P2172">
        <v>1</v>
      </c>
      <c r="Q2172">
        <v>0</v>
      </c>
      <c r="R2172">
        <v>1</v>
      </c>
    </row>
    <row r="2173" spans="1:18" x14ac:dyDescent="0.25">
      <c r="A2173" t="s">
        <v>11</v>
      </c>
      <c r="B2173" t="s">
        <v>8</v>
      </c>
      <c r="C2173">
        <v>2</v>
      </c>
      <c r="D2173">
        <v>4</v>
      </c>
      <c r="E2173">
        <v>1</v>
      </c>
      <c r="F2173" s="15">
        <v>45951</v>
      </c>
      <c r="G2173" t="s">
        <v>248</v>
      </c>
      <c r="H2173">
        <v>4</v>
      </c>
      <c r="I2173">
        <v>2025</v>
      </c>
      <c r="J2173">
        <v>10</v>
      </c>
      <c r="K2173" t="s">
        <v>87</v>
      </c>
      <c r="L2173" t="s">
        <v>436</v>
      </c>
      <c r="M2173" t="s">
        <v>6</v>
      </c>
      <c r="N2173" t="b">
        <v>0</v>
      </c>
      <c r="O2173">
        <v>1</v>
      </c>
      <c r="P2173">
        <v>0</v>
      </c>
      <c r="Q2173">
        <v>0</v>
      </c>
      <c r="R2173">
        <v>0</v>
      </c>
    </row>
    <row r="2174" spans="1:18" x14ac:dyDescent="0.25">
      <c r="A2174" t="s">
        <v>11</v>
      </c>
      <c r="B2174" t="s">
        <v>8</v>
      </c>
      <c r="C2174">
        <v>2</v>
      </c>
      <c r="D2174">
        <v>4</v>
      </c>
      <c r="E2174">
        <v>1</v>
      </c>
      <c r="F2174" s="15">
        <v>45951</v>
      </c>
      <c r="G2174" t="s">
        <v>248</v>
      </c>
      <c r="H2174">
        <v>4</v>
      </c>
      <c r="I2174">
        <v>2025</v>
      </c>
      <c r="J2174">
        <v>10</v>
      </c>
      <c r="K2174" t="s">
        <v>87</v>
      </c>
      <c r="L2174" t="s">
        <v>321</v>
      </c>
      <c r="M2174" t="s">
        <v>6</v>
      </c>
      <c r="N2174" t="b">
        <v>0</v>
      </c>
      <c r="O2174">
        <v>1</v>
      </c>
      <c r="P2174">
        <v>0</v>
      </c>
      <c r="Q2174">
        <v>0</v>
      </c>
      <c r="R2174">
        <v>0</v>
      </c>
    </row>
    <row r="2175" spans="1:18" x14ac:dyDescent="0.25">
      <c r="A2175" t="s">
        <v>11</v>
      </c>
      <c r="B2175" t="s">
        <v>8</v>
      </c>
      <c r="C2175">
        <v>2</v>
      </c>
      <c r="D2175">
        <v>4</v>
      </c>
      <c r="E2175">
        <v>1</v>
      </c>
      <c r="F2175" s="15">
        <v>45951</v>
      </c>
      <c r="G2175" t="s">
        <v>248</v>
      </c>
      <c r="H2175">
        <v>4</v>
      </c>
      <c r="I2175">
        <v>2025</v>
      </c>
      <c r="J2175">
        <v>10</v>
      </c>
      <c r="K2175" t="s">
        <v>87</v>
      </c>
      <c r="L2175" t="s">
        <v>56</v>
      </c>
      <c r="M2175" t="s">
        <v>6</v>
      </c>
      <c r="N2175" t="b">
        <v>0</v>
      </c>
      <c r="O2175">
        <v>1</v>
      </c>
      <c r="P2175">
        <v>0</v>
      </c>
      <c r="Q2175">
        <v>0</v>
      </c>
      <c r="R2175">
        <v>0</v>
      </c>
    </row>
    <row r="2176" spans="1:18" x14ac:dyDescent="0.25">
      <c r="A2176" t="s">
        <v>436</v>
      </c>
      <c r="B2176" t="s">
        <v>8</v>
      </c>
      <c r="C2176">
        <v>1</v>
      </c>
      <c r="D2176">
        <v>4</v>
      </c>
      <c r="E2176">
        <v>2</v>
      </c>
      <c r="F2176" s="15">
        <v>45929</v>
      </c>
      <c r="G2176" t="s">
        <v>265</v>
      </c>
      <c r="H2176">
        <v>4</v>
      </c>
      <c r="I2176">
        <v>2025</v>
      </c>
      <c r="J2176">
        <v>9</v>
      </c>
      <c r="K2176" t="s">
        <v>87</v>
      </c>
      <c r="L2176" t="s">
        <v>41</v>
      </c>
      <c r="M2176" t="s">
        <v>6</v>
      </c>
      <c r="N2176" t="b">
        <v>0</v>
      </c>
      <c r="O2176">
        <v>1</v>
      </c>
      <c r="P2176">
        <v>0</v>
      </c>
      <c r="Q2176">
        <v>0</v>
      </c>
      <c r="R2176">
        <v>0</v>
      </c>
    </row>
    <row r="2177" spans="1:18" x14ac:dyDescent="0.25">
      <c r="A2177" t="s">
        <v>436</v>
      </c>
      <c r="B2177" t="s">
        <v>8</v>
      </c>
      <c r="C2177">
        <v>1</v>
      </c>
      <c r="D2177">
        <v>4</v>
      </c>
      <c r="E2177">
        <v>2</v>
      </c>
      <c r="F2177" s="15">
        <v>45929</v>
      </c>
      <c r="G2177" t="s">
        <v>265</v>
      </c>
      <c r="H2177">
        <v>4</v>
      </c>
      <c r="I2177">
        <v>2025</v>
      </c>
      <c r="J2177">
        <v>9</v>
      </c>
      <c r="K2177" t="s">
        <v>87</v>
      </c>
      <c r="L2177" t="s">
        <v>27</v>
      </c>
      <c r="M2177" t="s">
        <v>6</v>
      </c>
      <c r="N2177" t="b">
        <v>0</v>
      </c>
      <c r="O2177">
        <v>1</v>
      </c>
      <c r="P2177">
        <v>0</v>
      </c>
      <c r="Q2177">
        <v>0</v>
      </c>
      <c r="R2177">
        <v>0</v>
      </c>
    </row>
    <row r="2178" spans="1:18" x14ac:dyDescent="0.25">
      <c r="A2178" t="s">
        <v>436</v>
      </c>
      <c r="B2178" t="s">
        <v>8</v>
      </c>
      <c r="C2178">
        <v>1</v>
      </c>
      <c r="D2178">
        <v>4</v>
      </c>
      <c r="E2178">
        <v>2</v>
      </c>
      <c r="F2178" s="15">
        <v>45929</v>
      </c>
      <c r="G2178" t="s">
        <v>265</v>
      </c>
      <c r="H2178">
        <v>4</v>
      </c>
      <c r="I2178">
        <v>2025</v>
      </c>
      <c r="J2178">
        <v>9</v>
      </c>
      <c r="K2178" t="s">
        <v>87</v>
      </c>
      <c r="L2178" t="s">
        <v>17</v>
      </c>
      <c r="M2178" t="s">
        <v>6</v>
      </c>
      <c r="N2178" t="b">
        <v>0</v>
      </c>
      <c r="O2178">
        <v>1</v>
      </c>
      <c r="P2178">
        <v>0</v>
      </c>
      <c r="Q2178">
        <v>0</v>
      </c>
      <c r="R2178">
        <v>0</v>
      </c>
    </row>
    <row r="2179" spans="1:18" x14ac:dyDescent="0.25">
      <c r="A2179" t="s">
        <v>41</v>
      </c>
      <c r="B2179" t="s">
        <v>6</v>
      </c>
      <c r="C2179">
        <v>4</v>
      </c>
      <c r="D2179">
        <v>4</v>
      </c>
      <c r="E2179">
        <v>2</v>
      </c>
      <c r="F2179" s="15">
        <v>45929</v>
      </c>
      <c r="G2179" t="s">
        <v>265</v>
      </c>
      <c r="H2179">
        <v>4</v>
      </c>
      <c r="I2179">
        <v>2025</v>
      </c>
      <c r="J2179">
        <v>9</v>
      </c>
      <c r="K2179" t="s">
        <v>87</v>
      </c>
      <c r="L2179" t="s">
        <v>436</v>
      </c>
      <c r="M2179" t="s">
        <v>8</v>
      </c>
      <c r="N2179" t="b">
        <v>0</v>
      </c>
      <c r="O2179">
        <v>0</v>
      </c>
      <c r="P2179">
        <v>1</v>
      </c>
      <c r="Q2179">
        <v>0</v>
      </c>
      <c r="R2179">
        <v>1</v>
      </c>
    </row>
    <row r="2180" spans="1:18" x14ac:dyDescent="0.25">
      <c r="A2180" t="s">
        <v>41</v>
      </c>
      <c r="B2180" t="s">
        <v>6</v>
      </c>
      <c r="C2180">
        <v>4</v>
      </c>
      <c r="D2180">
        <v>4</v>
      </c>
      <c r="E2180">
        <v>2</v>
      </c>
      <c r="F2180" s="15">
        <v>45929</v>
      </c>
      <c r="G2180" t="s">
        <v>265</v>
      </c>
      <c r="H2180">
        <v>4</v>
      </c>
      <c r="I2180">
        <v>2025</v>
      </c>
      <c r="J2180">
        <v>9</v>
      </c>
      <c r="K2180" t="s">
        <v>87</v>
      </c>
      <c r="L2180" t="s">
        <v>27</v>
      </c>
      <c r="M2180" t="s">
        <v>6</v>
      </c>
      <c r="N2180" t="b">
        <v>0</v>
      </c>
      <c r="O2180">
        <v>0</v>
      </c>
      <c r="P2180">
        <v>1</v>
      </c>
      <c r="Q2180">
        <v>0</v>
      </c>
      <c r="R2180">
        <v>0</v>
      </c>
    </row>
    <row r="2181" spans="1:18" x14ac:dyDescent="0.25">
      <c r="A2181" t="s">
        <v>41</v>
      </c>
      <c r="B2181" t="s">
        <v>6</v>
      </c>
      <c r="C2181">
        <v>4</v>
      </c>
      <c r="D2181">
        <v>4</v>
      </c>
      <c r="E2181">
        <v>2</v>
      </c>
      <c r="F2181" s="15">
        <v>45929</v>
      </c>
      <c r="G2181" t="s">
        <v>265</v>
      </c>
      <c r="H2181">
        <v>4</v>
      </c>
      <c r="I2181">
        <v>2025</v>
      </c>
      <c r="J2181">
        <v>9</v>
      </c>
      <c r="K2181" t="s">
        <v>87</v>
      </c>
      <c r="L2181" t="s">
        <v>17</v>
      </c>
      <c r="M2181" t="s">
        <v>6</v>
      </c>
      <c r="N2181" t="b">
        <v>0</v>
      </c>
      <c r="O2181">
        <v>0</v>
      </c>
      <c r="P2181">
        <v>1</v>
      </c>
      <c r="Q2181">
        <v>0</v>
      </c>
      <c r="R2181">
        <v>0</v>
      </c>
    </row>
    <row r="2182" spans="1:18" x14ac:dyDescent="0.25">
      <c r="A2182" t="s">
        <v>27</v>
      </c>
      <c r="B2182" t="s">
        <v>6</v>
      </c>
      <c r="C2182">
        <v>3</v>
      </c>
      <c r="D2182">
        <v>4</v>
      </c>
      <c r="E2182">
        <v>2</v>
      </c>
      <c r="F2182" s="15">
        <v>45929</v>
      </c>
      <c r="G2182" t="s">
        <v>265</v>
      </c>
      <c r="H2182">
        <v>4</v>
      </c>
      <c r="I2182">
        <v>2025</v>
      </c>
      <c r="J2182">
        <v>9</v>
      </c>
      <c r="K2182" t="s">
        <v>87</v>
      </c>
      <c r="L2182" t="s">
        <v>436</v>
      </c>
      <c r="M2182" t="s">
        <v>8</v>
      </c>
      <c r="N2182" t="b">
        <v>0</v>
      </c>
      <c r="O2182">
        <v>0</v>
      </c>
      <c r="P2182">
        <v>1</v>
      </c>
      <c r="Q2182">
        <v>0</v>
      </c>
      <c r="R2182">
        <v>1</v>
      </c>
    </row>
    <row r="2183" spans="1:18" x14ac:dyDescent="0.25">
      <c r="A2183" t="s">
        <v>27</v>
      </c>
      <c r="B2183" t="s">
        <v>6</v>
      </c>
      <c r="C2183">
        <v>3</v>
      </c>
      <c r="D2183">
        <v>4</v>
      </c>
      <c r="E2183">
        <v>2</v>
      </c>
      <c r="F2183" s="15">
        <v>45929</v>
      </c>
      <c r="G2183" t="s">
        <v>265</v>
      </c>
      <c r="H2183">
        <v>4</v>
      </c>
      <c r="I2183">
        <v>2025</v>
      </c>
      <c r="J2183">
        <v>9</v>
      </c>
      <c r="K2183" t="s">
        <v>87</v>
      </c>
      <c r="L2183" t="s">
        <v>41</v>
      </c>
      <c r="M2183" t="s">
        <v>6</v>
      </c>
      <c r="N2183" t="b">
        <v>0</v>
      </c>
      <c r="O2183">
        <v>0</v>
      </c>
      <c r="P2183">
        <v>1</v>
      </c>
      <c r="Q2183">
        <v>0</v>
      </c>
      <c r="R2183">
        <v>0</v>
      </c>
    </row>
    <row r="2184" spans="1:18" x14ac:dyDescent="0.25">
      <c r="A2184" t="s">
        <v>27</v>
      </c>
      <c r="B2184" t="s">
        <v>6</v>
      </c>
      <c r="C2184">
        <v>3</v>
      </c>
      <c r="D2184">
        <v>4</v>
      </c>
      <c r="E2184">
        <v>2</v>
      </c>
      <c r="F2184" s="15">
        <v>45929</v>
      </c>
      <c r="G2184" t="s">
        <v>265</v>
      </c>
      <c r="H2184">
        <v>4</v>
      </c>
      <c r="I2184">
        <v>2025</v>
      </c>
      <c r="J2184">
        <v>9</v>
      </c>
      <c r="K2184" t="s">
        <v>87</v>
      </c>
      <c r="L2184" t="s">
        <v>17</v>
      </c>
      <c r="M2184" t="s">
        <v>6</v>
      </c>
      <c r="N2184" t="b">
        <v>0</v>
      </c>
      <c r="O2184">
        <v>0</v>
      </c>
      <c r="P2184">
        <v>1</v>
      </c>
      <c r="Q2184">
        <v>0</v>
      </c>
      <c r="R2184">
        <v>0</v>
      </c>
    </row>
    <row r="2185" spans="1:18" x14ac:dyDescent="0.25">
      <c r="A2185" t="s">
        <v>17</v>
      </c>
      <c r="B2185" t="s">
        <v>6</v>
      </c>
      <c r="C2185">
        <v>2</v>
      </c>
      <c r="D2185">
        <v>4</v>
      </c>
      <c r="E2185">
        <v>2</v>
      </c>
      <c r="F2185" s="15">
        <v>45929</v>
      </c>
      <c r="G2185" t="s">
        <v>265</v>
      </c>
      <c r="H2185">
        <v>4</v>
      </c>
      <c r="I2185">
        <v>2025</v>
      </c>
      <c r="J2185">
        <v>9</v>
      </c>
      <c r="K2185" t="s">
        <v>87</v>
      </c>
      <c r="L2185" t="s">
        <v>436</v>
      </c>
      <c r="M2185" t="s">
        <v>8</v>
      </c>
      <c r="N2185" t="b">
        <v>0</v>
      </c>
      <c r="O2185">
        <v>0</v>
      </c>
      <c r="P2185">
        <v>1</v>
      </c>
      <c r="Q2185">
        <v>0</v>
      </c>
      <c r="R2185">
        <v>1</v>
      </c>
    </row>
    <row r="2186" spans="1:18" x14ac:dyDescent="0.25">
      <c r="A2186" t="s">
        <v>17</v>
      </c>
      <c r="B2186" t="s">
        <v>6</v>
      </c>
      <c r="C2186">
        <v>2</v>
      </c>
      <c r="D2186">
        <v>4</v>
      </c>
      <c r="E2186">
        <v>2</v>
      </c>
      <c r="F2186" s="15">
        <v>45929</v>
      </c>
      <c r="G2186" t="s">
        <v>265</v>
      </c>
      <c r="H2186">
        <v>4</v>
      </c>
      <c r="I2186">
        <v>2025</v>
      </c>
      <c r="J2186">
        <v>9</v>
      </c>
      <c r="K2186" t="s">
        <v>87</v>
      </c>
      <c r="L2186" t="s">
        <v>41</v>
      </c>
      <c r="M2186" t="s">
        <v>6</v>
      </c>
      <c r="N2186" t="b">
        <v>0</v>
      </c>
      <c r="O2186">
        <v>0</v>
      </c>
      <c r="P2186">
        <v>1</v>
      </c>
      <c r="Q2186">
        <v>0</v>
      </c>
      <c r="R2186">
        <v>0</v>
      </c>
    </row>
    <row r="2187" spans="1:18" x14ac:dyDescent="0.25">
      <c r="A2187" t="s">
        <v>17</v>
      </c>
      <c r="B2187" t="s">
        <v>6</v>
      </c>
      <c r="C2187">
        <v>2</v>
      </c>
      <c r="D2187">
        <v>4</v>
      </c>
      <c r="E2187">
        <v>2</v>
      </c>
      <c r="F2187" s="15">
        <v>45929</v>
      </c>
      <c r="G2187" t="s">
        <v>265</v>
      </c>
      <c r="H2187">
        <v>4</v>
      </c>
      <c r="I2187">
        <v>2025</v>
      </c>
      <c r="J2187">
        <v>9</v>
      </c>
      <c r="K2187" t="s">
        <v>87</v>
      </c>
      <c r="L2187" t="s">
        <v>27</v>
      </c>
      <c r="M2187" t="s">
        <v>6</v>
      </c>
      <c r="N2187" t="b">
        <v>0</v>
      </c>
      <c r="O2187">
        <v>0</v>
      </c>
      <c r="P2187">
        <v>1</v>
      </c>
      <c r="Q2187">
        <v>0</v>
      </c>
      <c r="R2187">
        <v>0</v>
      </c>
    </row>
    <row r="2188" spans="1:18" x14ac:dyDescent="0.25">
      <c r="A2188" t="s">
        <v>436</v>
      </c>
      <c r="B2188" t="s">
        <v>8</v>
      </c>
      <c r="C2188">
        <v>5</v>
      </c>
      <c r="D2188">
        <v>4</v>
      </c>
      <c r="E2188">
        <v>2</v>
      </c>
      <c r="F2188" s="15">
        <v>45943</v>
      </c>
      <c r="G2188" t="s">
        <v>266</v>
      </c>
      <c r="H2188">
        <v>5</v>
      </c>
      <c r="I2188">
        <v>2025</v>
      </c>
      <c r="J2188">
        <v>10</v>
      </c>
      <c r="K2188" t="s">
        <v>87</v>
      </c>
      <c r="L2188" t="s">
        <v>321</v>
      </c>
      <c r="M2188" t="s">
        <v>6</v>
      </c>
      <c r="N2188" t="b">
        <v>0</v>
      </c>
      <c r="O2188">
        <v>1</v>
      </c>
      <c r="P2188">
        <v>0</v>
      </c>
      <c r="Q2188">
        <v>0</v>
      </c>
      <c r="R2188">
        <v>0</v>
      </c>
    </row>
    <row r="2189" spans="1:18" x14ac:dyDescent="0.25">
      <c r="A2189" t="s">
        <v>436</v>
      </c>
      <c r="B2189" t="s">
        <v>8</v>
      </c>
      <c r="C2189">
        <v>5</v>
      </c>
      <c r="D2189">
        <v>4</v>
      </c>
      <c r="E2189">
        <v>2</v>
      </c>
      <c r="F2189" s="15">
        <v>45943</v>
      </c>
      <c r="G2189" t="s">
        <v>266</v>
      </c>
      <c r="H2189">
        <v>5</v>
      </c>
      <c r="I2189">
        <v>2025</v>
      </c>
      <c r="J2189">
        <v>10</v>
      </c>
      <c r="K2189" t="s">
        <v>87</v>
      </c>
      <c r="L2189" t="s">
        <v>27</v>
      </c>
      <c r="M2189" t="s">
        <v>6</v>
      </c>
      <c r="N2189" t="b">
        <v>0</v>
      </c>
      <c r="O2189">
        <v>1</v>
      </c>
      <c r="P2189">
        <v>0</v>
      </c>
      <c r="Q2189">
        <v>0</v>
      </c>
      <c r="R2189">
        <v>0</v>
      </c>
    </row>
    <row r="2190" spans="1:18" x14ac:dyDescent="0.25">
      <c r="A2190" t="s">
        <v>436</v>
      </c>
      <c r="B2190" t="s">
        <v>8</v>
      </c>
      <c r="C2190">
        <v>5</v>
      </c>
      <c r="D2190">
        <v>4</v>
      </c>
      <c r="E2190">
        <v>2</v>
      </c>
      <c r="F2190" s="15">
        <v>45943</v>
      </c>
      <c r="G2190" t="s">
        <v>266</v>
      </c>
      <c r="H2190">
        <v>5</v>
      </c>
      <c r="I2190">
        <v>2025</v>
      </c>
      <c r="J2190">
        <v>10</v>
      </c>
      <c r="K2190" t="s">
        <v>87</v>
      </c>
      <c r="L2190" t="s">
        <v>56</v>
      </c>
      <c r="M2190" t="s">
        <v>6</v>
      </c>
      <c r="N2190" t="b">
        <v>0</v>
      </c>
      <c r="O2190">
        <v>1</v>
      </c>
      <c r="P2190">
        <v>0</v>
      </c>
      <c r="Q2190">
        <v>0</v>
      </c>
      <c r="R2190">
        <v>0</v>
      </c>
    </row>
    <row r="2191" spans="1:18" x14ac:dyDescent="0.25">
      <c r="A2191" t="s">
        <v>436</v>
      </c>
      <c r="B2191" t="s">
        <v>8</v>
      </c>
      <c r="C2191">
        <v>5</v>
      </c>
      <c r="D2191">
        <v>4</v>
      </c>
      <c r="E2191">
        <v>2</v>
      </c>
      <c r="F2191" s="15">
        <v>45943</v>
      </c>
      <c r="G2191" t="s">
        <v>266</v>
      </c>
      <c r="H2191">
        <v>5</v>
      </c>
      <c r="I2191">
        <v>2025</v>
      </c>
      <c r="J2191">
        <v>10</v>
      </c>
      <c r="K2191" t="s">
        <v>87</v>
      </c>
      <c r="L2191" t="s">
        <v>42</v>
      </c>
      <c r="M2191" t="s">
        <v>6</v>
      </c>
      <c r="N2191" t="b">
        <v>0</v>
      </c>
      <c r="O2191">
        <v>1</v>
      </c>
      <c r="P2191">
        <v>0</v>
      </c>
      <c r="Q2191">
        <v>0</v>
      </c>
      <c r="R2191">
        <v>0</v>
      </c>
    </row>
    <row r="2192" spans="1:18" x14ac:dyDescent="0.25">
      <c r="A2192" t="s">
        <v>321</v>
      </c>
      <c r="B2192" t="s">
        <v>6</v>
      </c>
      <c r="C2192">
        <v>4</v>
      </c>
      <c r="D2192">
        <v>4</v>
      </c>
      <c r="E2192">
        <v>2</v>
      </c>
      <c r="F2192" s="15">
        <v>45943</v>
      </c>
      <c r="G2192" t="s">
        <v>266</v>
      </c>
      <c r="H2192">
        <v>5</v>
      </c>
      <c r="I2192">
        <v>2025</v>
      </c>
      <c r="J2192">
        <v>10</v>
      </c>
      <c r="K2192" t="s">
        <v>87</v>
      </c>
      <c r="L2192" t="s">
        <v>436</v>
      </c>
      <c r="M2192" t="s">
        <v>8</v>
      </c>
      <c r="N2192" t="b">
        <v>0</v>
      </c>
      <c r="O2192">
        <v>0</v>
      </c>
      <c r="P2192">
        <v>1</v>
      </c>
      <c r="Q2192">
        <v>0</v>
      </c>
      <c r="R2192">
        <v>1</v>
      </c>
    </row>
    <row r="2193" spans="1:18" x14ac:dyDescent="0.25">
      <c r="A2193" t="s">
        <v>321</v>
      </c>
      <c r="B2193" t="s">
        <v>6</v>
      </c>
      <c r="C2193">
        <v>4</v>
      </c>
      <c r="D2193">
        <v>4</v>
      </c>
      <c r="E2193">
        <v>2</v>
      </c>
      <c r="F2193" s="15">
        <v>45943</v>
      </c>
      <c r="G2193" t="s">
        <v>266</v>
      </c>
      <c r="H2193">
        <v>5</v>
      </c>
      <c r="I2193">
        <v>2025</v>
      </c>
      <c r="J2193">
        <v>10</v>
      </c>
      <c r="K2193" t="s">
        <v>87</v>
      </c>
      <c r="L2193" t="s">
        <v>27</v>
      </c>
      <c r="M2193" t="s">
        <v>6</v>
      </c>
      <c r="N2193" t="b">
        <v>0</v>
      </c>
      <c r="O2193">
        <v>0</v>
      </c>
      <c r="P2193">
        <v>1</v>
      </c>
      <c r="Q2193">
        <v>0</v>
      </c>
      <c r="R2193">
        <v>0</v>
      </c>
    </row>
    <row r="2194" spans="1:18" x14ac:dyDescent="0.25">
      <c r="A2194" t="s">
        <v>321</v>
      </c>
      <c r="B2194" t="s">
        <v>6</v>
      </c>
      <c r="C2194">
        <v>4</v>
      </c>
      <c r="D2194">
        <v>4</v>
      </c>
      <c r="E2194">
        <v>2</v>
      </c>
      <c r="F2194" s="15">
        <v>45943</v>
      </c>
      <c r="G2194" t="s">
        <v>266</v>
      </c>
      <c r="H2194">
        <v>5</v>
      </c>
      <c r="I2194">
        <v>2025</v>
      </c>
      <c r="J2194">
        <v>10</v>
      </c>
      <c r="K2194" t="s">
        <v>87</v>
      </c>
      <c r="L2194" t="s">
        <v>56</v>
      </c>
      <c r="M2194" t="s">
        <v>6</v>
      </c>
      <c r="N2194" t="b">
        <v>0</v>
      </c>
      <c r="O2194">
        <v>0</v>
      </c>
      <c r="P2194">
        <v>1</v>
      </c>
      <c r="Q2194">
        <v>0</v>
      </c>
      <c r="R2194">
        <v>0</v>
      </c>
    </row>
    <row r="2195" spans="1:18" x14ac:dyDescent="0.25">
      <c r="A2195" t="s">
        <v>321</v>
      </c>
      <c r="B2195" t="s">
        <v>6</v>
      </c>
      <c r="C2195">
        <v>4</v>
      </c>
      <c r="D2195">
        <v>4</v>
      </c>
      <c r="E2195">
        <v>2</v>
      </c>
      <c r="F2195" s="15">
        <v>45943</v>
      </c>
      <c r="G2195" t="s">
        <v>266</v>
      </c>
      <c r="H2195">
        <v>5</v>
      </c>
      <c r="I2195">
        <v>2025</v>
      </c>
      <c r="J2195">
        <v>10</v>
      </c>
      <c r="K2195" t="s">
        <v>87</v>
      </c>
      <c r="L2195" t="s">
        <v>42</v>
      </c>
      <c r="M2195" t="s">
        <v>6</v>
      </c>
      <c r="N2195" t="b">
        <v>0</v>
      </c>
      <c r="O2195">
        <v>0</v>
      </c>
      <c r="P2195">
        <v>1</v>
      </c>
      <c r="Q2195">
        <v>0</v>
      </c>
      <c r="R2195">
        <v>0</v>
      </c>
    </row>
    <row r="2196" spans="1:18" x14ac:dyDescent="0.25">
      <c r="A2196" t="s">
        <v>27</v>
      </c>
      <c r="B2196" t="s">
        <v>6</v>
      </c>
      <c r="C2196">
        <v>1</v>
      </c>
      <c r="D2196">
        <v>4</v>
      </c>
      <c r="E2196">
        <v>2</v>
      </c>
      <c r="F2196" s="15">
        <v>45943</v>
      </c>
      <c r="G2196" t="s">
        <v>266</v>
      </c>
      <c r="H2196">
        <v>5</v>
      </c>
      <c r="I2196">
        <v>2025</v>
      </c>
      <c r="J2196">
        <v>10</v>
      </c>
      <c r="K2196" t="s">
        <v>87</v>
      </c>
      <c r="L2196" t="s">
        <v>436</v>
      </c>
      <c r="M2196" t="s">
        <v>8</v>
      </c>
      <c r="N2196" t="b">
        <v>0</v>
      </c>
      <c r="O2196">
        <v>0</v>
      </c>
      <c r="P2196">
        <v>1</v>
      </c>
      <c r="Q2196">
        <v>0</v>
      </c>
      <c r="R2196">
        <v>1</v>
      </c>
    </row>
    <row r="2197" spans="1:18" x14ac:dyDescent="0.25">
      <c r="A2197" t="s">
        <v>27</v>
      </c>
      <c r="B2197" t="s">
        <v>6</v>
      </c>
      <c r="C2197">
        <v>1</v>
      </c>
      <c r="D2197">
        <v>4</v>
      </c>
      <c r="E2197">
        <v>2</v>
      </c>
      <c r="F2197" s="15">
        <v>45943</v>
      </c>
      <c r="G2197" t="s">
        <v>266</v>
      </c>
      <c r="H2197">
        <v>5</v>
      </c>
      <c r="I2197">
        <v>2025</v>
      </c>
      <c r="J2197">
        <v>10</v>
      </c>
      <c r="K2197" t="s">
        <v>87</v>
      </c>
      <c r="L2197" t="s">
        <v>321</v>
      </c>
      <c r="M2197" t="s">
        <v>6</v>
      </c>
      <c r="N2197" t="b">
        <v>0</v>
      </c>
      <c r="O2197">
        <v>0</v>
      </c>
      <c r="P2197">
        <v>1</v>
      </c>
      <c r="Q2197">
        <v>0</v>
      </c>
      <c r="R2197">
        <v>0</v>
      </c>
    </row>
    <row r="2198" spans="1:18" x14ac:dyDescent="0.25">
      <c r="A2198" t="s">
        <v>27</v>
      </c>
      <c r="B2198" t="s">
        <v>6</v>
      </c>
      <c r="C2198">
        <v>1</v>
      </c>
      <c r="D2198">
        <v>4</v>
      </c>
      <c r="E2198">
        <v>2</v>
      </c>
      <c r="F2198" s="15">
        <v>45943</v>
      </c>
      <c r="G2198" t="s">
        <v>266</v>
      </c>
      <c r="H2198">
        <v>5</v>
      </c>
      <c r="I2198">
        <v>2025</v>
      </c>
      <c r="J2198">
        <v>10</v>
      </c>
      <c r="K2198" t="s">
        <v>87</v>
      </c>
      <c r="L2198" t="s">
        <v>56</v>
      </c>
      <c r="M2198" t="s">
        <v>6</v>
      </c>
      <c r="N2198" t="b">
        <v>0</v>
      </c>
      <c r="O2198">
        <v>0</v>
      </c>
      <c r="P2198">
        <v>1</v>
      </c>
      <c r="Q2198">
        <v>0</v>
      </c>
      <c r="R2198">
        <v>0</v>
      </c>
    </row>
    <row r="2199" spans="1:18" x14ac:dyDescent="0.25">
      <c r="A2199" t="s">
        <v>27</v>
      </c>
      <c r="B2199" t="s">
        <v>6</v>
      </c>
      <c r="C2199">
        <v>1</v>
      </c>
      <c r="D2199">
        <v>4</v>
      </c>
      <c r="E2199">
        <v>2</v>
      </c>
      <c r="F2199" s="15">
        <v>45943</v>
      </c>
      <c r="G2199" t="s">
        <v>266</v>
      </c>
      <c r="H2199">
        <v>5</v>
      </c>
      <c r="I2199">
        <v>2025</v>
      </c>
      <c r="J2199">
        <v>10</v>
      </c>
      <c r="K2199" t="s">
        <v>87</v>
      </c>
      <c r="L2199" t="s">
        <v>42</v>
      </c>
      <c r="M2199" t="s">
        <v>6</v>
      </c>
      <c r="N2199" t="b">
        <v>0</v>
      </c>
      <c r="O2199">
        <v>0</v>
      </c>
      <c r="P2199">
        <v>1</v>
      </c>
      <c r="Q2199">
        <v>0</v>
      </c>
      <c r="R2199">
        <v>0</v>
      </c>
    </row>
    <row r="2200" spans="1:18" x14ac:dyDescent="0.25">
      <c r="A2200" t="s">
        <v>56</v>
      </c>
      <c r="B2200" t="s">
        <v>6</v>
      </c>
      <c r="C2200">
        <v>2</v>
      </c>
      <c r="D2200">
        <v>4</v>
      </c>
      <c r="E2200">
        <v>2</v>
      </c>
      <c r="F2200" s="15">
        <v>45943</v>
      </c>
      <c r="G2200" t="s">
        <v>266</v>
      </c>
      <c r="H2200">
        <v>5</v>
      </c>
      <c r="I2200">
        <v>2025</v>
      </c>
      <c r="J2200">
        <v>10</v>
      </c>
      <c r="K2200" t="s">
        <v>87</v>
      </c>
      <c r="L2200" t="s">
        <v>436</v>
      </c>
      <c r="M2200" t="s">
        <v>8</v>
      </c>
      <c r="N2200" t="b">
        <v>0</v>
      </c>
      <c r="O2200">
        <v>0</v>
      </c>
      <c r="P2200">
        <v>1</v>
      </c>
      <c r="Q2200">
        <v>0</v>
      </c>
      <c r="R2200">
        <v>1</v>
      </c>
    </row>
    <row r="2201" spans="1:18" x14ac:dyDescent="0.25">
      <c r="A2201" t="s">
        <v>56</v>
      </c>
      <c r="B2201" t="s">
        <v>6</v>
      </c>
      <c r="C2201">
        <v>2</v>
      </c>
      <c r="D2201">
        <v>4</v>
      </c>
      <c r="E2201">
        <v>2</v>
      </c>
      <c r="F2201" s="15">
        <v>45943</v>
      </c>
      <c r="G2201" t="s">
        <v>266</v>
      </c>
      <c r="H2201">
        <v>5</v>
      </c>
      <c r="I2201">
        <v>2025</v>
      </c>
      <c r="J2201">
        <v>10</v>
      </c>
      <c r="K2201" t="s">
        <v>87</v>
      </c>
      <c r="L2201" t="s">
        <v>321</v>
      </c>
      <c r="M2201" t="s">
        <v>6</v>
      </c>
      <c r="N2201" t="b">
        <v>0</v>
      </c>
      <c r="O2201">
        <v>0</v>
      </c>
      <c r="P2201">
        <v>1</v>
      </c>
      <c r="Q2201">
        <v>0</v>
      </c>
      <c r="R2201">
        <v>0</v>
      </c>
    </row>
    <row r="2202" spans="1:18" x14ac:dyDescent="0.25">
      <c r="A2202" t="s">
        <v>56</v>
      </c>
      <c r="B2202" t="s">
        <v>6</v>
      </c>
      <c r="C2202">
        <v>2</v>
      </c>
      <c r="D2202">
        <v>4</v>
      </c>
      <c r="E2202">
        <v>2</v>
      </c>
      <c r="F2202" s="15">
        <v>45943</v>
      </c>
      <c r="G2202" t="s">
        <v>266</v>
      </c>
      <c r="H2202">
        <v>5</v>
      </c>
      <c r="I2202">
        <v>2025</v>
      </c>
      <c r="J2202">
        <v>10</v>
      </c>
      <c r="K2202" t="s">
        <v>87</v>
      </c>
      <c r="L2202" t="s">
        <v>27</v>
      </c>
      <c r="M2202" t="s">
        <v>6</v>
      </c>
      <c r="N2202" t="b">
        <v>0</v>
      </c>
      <c r="O2202">
        <v>0</v>
      </c>
      <c r="P2202">
        <v>1</v>
      </c>
      <c r="Q2202">
        <v>0</v>
      </c>
      <c r="R2202">
        <v>0</v>
      </c>
    </row>
    <row r="2203" spans="1:18" x14ac:dyDescent="0.25">
      <c r="A2203" t="s">
        <v>56</v>
      </c>
      <c r="B2203" t="s">
        <v>6</v>
      </c>
      <c r="C2203">
        <v>2</v>
      </c>
      <c r="D2203">
        <v>4</v>
      </c>
      <c r="E2203">
        <v>2</v>
      </c>
      <c r="F2203" s="15">
        <v>45943</v>
      </c>
      <c r="G2203" t="s">
        <v>266</v>
      </c>
      <c r="H2203">
        <v>5</v>
      </c>
      <c r="I2203">
        <v>2025</v>
      </c>
      <c r="J2203">
        <v>10</v>
      </c>
      <c r="K2203" t="s">
        <v>87</v>
      </c>
      <c r="L2203" t="s">
        <v>42</v>
      </c>
      <c r="M2203" t="s">
        <v>6</v>
      </c>
      <c r="N2203" t="b">
        <v>0</v>
      </c>
      <c r="O2203">
        <v>0</v>
      </c>
      <c r="P2203">
        <v>1</v>
      </c>
      <c r="Q2203">
        <v>0</v>
      </c>
      <c r="R2203">
        <v>0</v>
      </c>
    </row>
    <row r="2204" spans="1:18" x14ac:dyDescent="0.25">
      <c r="A2204" t="s">
        <v>42</v>
      </c>
      <c r="B2204" t="s">
        <v>6</v>
      </c>
      <c r="C2204">
        <v>3</v>
      </c>
      <c r="D2204">
        <v>4</v>
      </c>
      <c r="E2204">
        <v>2</v>
      </c>
      <c r="F2204" s="15">
        <v>45943</v>
      </c>
      <c r="G2204" t="s">
        <v>266</v>
      </c>
      <c r="H2204">
        <v>5</v>
      </c>
      <c r="I2204">
        <v>2025</v>
      </c>
      <c r="J2204">
        <v>10</v>
      </c>
      <c r="K2204" t="s">
        <v>87</v>
      </c>
      <c r="L2204" t="s">
        <v>436</v>
      </c>
      <c r="M2204" t="s">
        <v>8</v>
      </c>
      <c r="N2204" t="b">
        <v>0</v>
      </c>
      <c r="O2204">
        <v>0</v>
      </c>
      <c r="P2204">
        <v>1</v>
      </c>
      <c r="Q2204">
        <v>0</v>
      </c>
      <c r="R2204">
        <v>1</v>
      </c>
    </row>
    <row r="2205" spans="1:18" x14ac:dyDescent="0.25">
      <c r="A2205" t="s">
        <v>42</v>
      </c>
      <c r="B2205" t="s">
        <v>6</v>
      </c>
      <c r="C2205">
        <v>3</v>
      </c>
      <c r="D2205">
        <v>4</v>
      </c>
      <c r="E2205">
        <v>2</v>
      </c>
      <c r="F2205" s="15">
        <v>45943</v>
      </c>
      <c r="G2205" t="s">
        <v>266</v>
      </c>
      <c r="H2205">
        <v>5</v>
      </c>
      <c r="I2205">
        <v>2025</v>
      </c>
      <c r="J2205">
        <v>10</v>
      </c>
      <c r="K2205" t="s">
        <v>87</v>
      </c>
      <c r="L2205" t="s">
        <v>321</v>
      </c>
      <c r="M2205" t="s">
        <v>6</v>
      </c>
      <c r="N2205" t="b">
        <v>0</v>
      </c>
      <c r="O2205">
        <v>0</v>
      </c>
      <c r="P2205">
        <v>1</v>
      </c>
      <c r="Q2205">
        <v>0</v>
      </c>
      <c r="R2205">
        <v>0</v>
      </c>
    </row>
    <row r="2206" spans="1:18" x14ac:dyDescent="0.25">
      <c r="A2206" t="s">
        <v>42</v>
      </c>
      <c r="B2206" t="s">
        <v>6</v>
      </c>
      <c r="C2206">
        <v>3</v>
      </c>
      <c r="D2206">
        <v>4</v>
      </c>
      <c r="E2206">
        <v>2</v>
      </c>
      <c r="F2206" s="15">
        <v>45943</v>
      </c>
      <c r="G2206" t="s">
        <v>266</v>
      </c>
      <c r="H2206">
        <v>5</v>
      </c>
      <c r="I2206">
        <v>2025</v>
      </c>
      <c r="J2206">
        <v>10</v>
      </c>
      <c r="K2206" t="s">
        <v>87</v>
      </c>
      <c r="L2206" t="s">
        <v>27</v>
      </c>
      <c r="M2206" t="s">
        <v>6</v>
      </c>
      <c r="N2206" t="b">
        <v>0</v>
      </c>
      <c r="O2206">
        <v>0</v>
      </c>
      <c r="P2206">
        <v>1</v>
      </c>
      <c r="Q2206">
        <v>0</v>
      </c>
      <c r="R2206">
        <v>0</v>
      </c>
    </row>
    <row r="2207" spans="1:18" x14ac:dyDescent="0.25">
      <c r="A2207" t="s">
        <v>42</v>
      </c>
      <c r="B2207" t="s">
        <v>6</v>
      </c>
      <c r="C2207">
        <v>3</v>
      </c>
      <c r="D2207">
        <v>4</v>
      </c>
      <c r="E2207">
        <v>2</v>
      </c>
      <c r="F2207" s="15">
        <v>45943</v>
      </c>
      <c r="G2207" t="s">
        <v>266</v>
      </c>
      <c r="H2207">
        <v>5</v>
      </c>
      <c r="I2207">
        <v>2025</v>
      </c>
      <c r="J2207">
        <v>10</v>
      </c>
      <c r="K2207" t="s">
        <v>87</v>
      </c>
      <c r="L2207" t="s">
        <v>56</v>
      </c>
      <c r="M2207" t="s">
        <v>6</v>
      </c>
      <c r="N2207" t="b">
        <v>0</v>
      </c>
      <c r="O2207">
        <v>0</v>
      </c>
      <c r="P2207">
        <v>1</v>
      </c>
      <c r="Q2207">
        <v>0</v>
      </c>
      <c r="R2207">
        <v>0</v>
      </c>
    </row>
    <row r="2208" spans="1:18" x14ac:dyDescent="0.25">
      <c r="A2208" t="s">
        <v>436</v>
      </c>
      <c r="B2208" t="s">
        <v>63</v>
      </c>
      <c r="C2208">
        <v>2</v>
      </c>
      <c r="D2208">
        <v>3</v>
      </c>
      <c r="E2208">
        <v>2</v>
      </c>
      <c r="F2208" s="15">
        <v>46020</v>
      </c>
      <c r="G2208" t="s">
        <v>236</v>
      </c>
      <c r="H2208">
        <v>4</v>
      </c>
      <c r="I2208">
        <v>2025</v>
      </c>
      <c r="J2208">
        <v>12</v>
      </c>
      <c r="K2208" t="s">
        <v>87</v>
      </c>
      <c r="L2208" t="s">
        <v>85</v>
      </c>
      <c r="M2208" t="s">
        <v>63</v>
      </c>
      <c r="N2208" t="b">
        <v>0</v>
      </c>
      <c r="O2208">
        <v>0</v>
      </c>
      <c r="P2208">
        <v>0</v>
      </c>
      <c r="Q2208">
        <v>1</v>
      </c>
      <c r="R2208">
        <v>0</v>
      </c>
    </row>
    <row r="2209" spans="1:18" x14ac:dyDescent="0.25">
      <c r="A2209" t="s">
        <v>436</v>
      </c>
      <c r="B2209" t="s">
        <v>63</v>
      </c>
      <c r="C2209">
        <v>2</v>
      </c>
      <c r="D2209">
        <v>3</v>
      </c>
      <c r="E2209">
        <v>2</v>
      </c>
      <c r="F2209" s="15">
        <v>46020</v>
      </c>
      <c r="G2209" t="s">
        <v>236</v>
      </c>
      <c r="H2209">
        <v>4</v>
      </c>
      <c r="I2209">
        <v>2025</v>
      </c>
      <c r="J2209">
        <v>12</v>
      </c>
      <c r="K2209" t="s">
        <v>87</v>
      </c>
      <c r="L2209" t="s">
        <v>22</v>
      </c>
      <c r="M2209" t="s">
        <v>63</v>
      </c>
      <c r="N2209" t="b">
        <v>0</v>
      </c>
      <c r="O2209">
        <v>0</v>
      </c>
      <c r="P2209">
        <v>0</v>
      </c>
      <c r="Q2209">
        <v>1</v>
      </c>
      <c r="R2209">
        <v>0</v>
      </c>
    </row>
    <row r="2210" spans="1:18" x14ac:dyDescent="0.25">
      <c r="A2210" t="s">
        <v>436</v>
      </c>
      <c r="B2210" t="s">
        <v>63</v>
      </c>
      <c r="C2210">
        <v>2</v>
      </c>
      <c r="D2210">
        <v>3</v>
      </c>
      <c r="E2210">
        <v>2</v>
      </c>
      <c r="F2210" s="15">
        <v>46020</v>
      </c>
      <c r="G2210" t="s">
        <v>236</v>
      </c>
      <c r="H2210">
        <v>4</v>
      </c>
      <c r="I2210">
        <v>2025</v>
      </c>
      <c r="J2210">
        <v>12</v>
      </c>
      <c r="K2210" t="s">
        <v>87</v>
      </c>
      <c r="L2210" t="s">
        <v>17</v>
      </c>
      <c r="M2210" t="s">
        <v>63</v>
      </c>
      <c r="N2210" t="b">
        <v>0</v>
      </c>
      <c r="O2210">
        <v>0</v>
      </c>
      <c r="P2210">
        <v>0</v>
      </c>
      <c r="Q2210">
        <v>1</v>
      </c>
      <c r="R2210">
        <v>0</v>
      </c>
    </row>
    <row r="2211" spans="1:18" x14ac:dyDescent="0.25">
      <c r="A2211" t="s">
        <v>85</v>
      </c>
      <c r="B2211" t="s">
        <v>63</v>
      </c>
      <c r="C2211">
        <v>1</v>
      </c>
      <c r="D2211">
        <v>3</v>
      </c>
      <c r="E2211">
        <v>2</v>
      </c>
      <c r="F2211" s="15">
        <v>46020</v>
      </c>
      <c r="G2211" t="s">
        <v>236</v>
      </c>
      <c r="H2211">
        <v>4</v>
      </c>
      <c r="I2211">
        <v>2025</v>
      </c>
      <c r="J2211">
        <v>12</v>
      </c>
      <c r="K2211" t="s">
        <v>87</v>
      </c>
      <c r="L2211" t="s">
        <v>436</v>
      </c>
      <c r="M2211" t="s">
        <v>63</v>
      </c>
      <c r="N2211" t="b">
        <v>0</v>
      </c>
      <c r="O2211">
        <v>0</v>
      </c>
      <c r="P2211">
        <v>0</v>
      </c>
      <c r="Q2211">
        <v>1</v>
      </c>
      <c r="R2211">
        <v>0</v>
      </c>
    </row>
    <row r="2212" spans="1:18" x14ac:dyDescent="0.25">
      <c r="A2212" t="s">
        <v>85</v>
      </c>
      <c r="B2212" t="s">
        <v>63</v>
      </c>
      <c r="C2212">
        <v>1</v>
      </c>
      <c r="D2212">
        <v>3</v>
      </c>
      <c r="E2212">
        <v>2</v>
      </c>
      <c r="F2212" s="15">
        <v>46020</v>
      </c>
      <c r="G2212" t="s">
        <v>236</v>
      </c>
      <c r="H2212">
        <v>4</v>
      </c>
      <c r="I2212">
        <v>2025</v>
      </c>
      <c r="J2212">
        <v>12</v>
      </c>
      <c r="K2212" t="s">
        <v>87</v>
      </c>
      <c r="L2212" t="s">
        <v>22</v>
      </c>
      <c r="M2212" t="s">
        <v>63</v>
      </c>
      <c r="N2212" t="b">
        <v>0</v>
      </c>
      <c r="O2212">
        <v>0</v>
      </c>
      <c r="P2212">
        <v>0</v>
      </c>
      <c r="Q2212">
        <v>1</v>
      </c>
      <c r="R2212">
        <v>0</v>
      </c>
    </row>
    <row r="2213" spans="1:18" x14ac:dyDescent="0.25">
      <c r="A2213" t="s">
        <v>85</v>
      </c>
      <c r="B2213" t="s">
        <v>63</v>
      </c>
      <c r="C2213">
        <v>1</v>
      </c>
      <c r="D2213">
        <v>3</v>
      </c>
      <c r="E2213">
        <v>2</v>
      </c>
      <c r="F2213" s="15">
        <v>46020</v>
      </c>
      <c r="G2213" t="s">
        <v>236</v>
      </c>
      <c r="H2213">
        <v>4</v>
      </c>
      <c r="I2213">
        <v>2025</v>
      </c>
      <c r="J2213">
        <v>12</v>
      </c>
      <c r="K2213" t="s">
        <v>87</v>
      </c>
      <c r="L2213" t="s">
        <v>17</v>
      </c>
      <c r="M2213" t="s">
        <v>63</v>
      </c>
      <c r="N2213" t="b">
        <v>0</v>
      </c>
      <c r="O2213">
        <v>0</v>
      </c>
      <c r="P2213">
        <v>0</v>
      </c>
      <c r="Q2213">
        <v>1</v>
      </c>
      <c r="R2213">
        <v>0</v>
      </c>
    </row>
    <row r="2214" spans="1:18" x14ac:dyDescent="0.25">
      <c r="A2214" t="s">
        <v>22</v>
      </c>
      <c r="B2214" t="s">
        <v>63</v>
      </c>
      <c r="C2214">
        <v>3</v>
      </c>
      <c r="D2214">
        <v>3</v>
      </c>
      <c r="E2214">
        <v>2</v>
      </c>
      <c r="F2214" s="15">
        <v>46020</v>
      </c>
      <c r="G2214" t="s">
        <v>236</v>
      </c>
      <c r="H2214">
        <v>4</v>
      </c>
      <c r="I2214">
        <v>2025</v>
      </c>
      <c r="J2214">
        <v>12</v>
      </c>
      <c r="K2214" t="s">
        <v>87</v>
      </c>
      <c r="L2214" t="s">
        <v>436</v>
      </c>
      <c r="M2214" t="s">
        <v>63</v>
      </c>
      <c r="N2214" t="b">
        <v>0</v>
      </c>
      <c r="O2214">
        <v>0</v>
      </c>
      <c r="P2214">
        <v>0</v>
      </c>
      <c r="Q2214">
        <v>1</v>
      </c>
      <c r="R2214">
        <v>0</v>
      </c>
    </row>
    <row r="2215" spans="1:18" x14ac:dyDescent="0.25">
      <c r="A2215" t="s">
        <v>22</v>
      </c>
      <c r="B2215" t="s">
        <v>63</v>
      </c>
      <c r="C2215">
        <v>3</v>
      </c>
      <c r="D2215">
        <v>3</v>
      </c>
      <c r="E2215">
        <v>2</v>
      </c>
      <c r="F2215" s="15">
        <v>46020</v>
      </c>
      <c r="G2215" t="s">
        <v>236</v>
      </c>
      <c r="H2215">
        <v>4</v>
      </c>
      <c r="I2215">
        <v>2025</v>
      </c>
      <c r="J2215">
        <v>12</v>
      </c>
      <c r="K2215" t="s">
        <v>87</v>
      </c>
      <c r="L2215" t="s">
        <v>85</v>
      </c>
      <c r="M2215" t="s">
        <v>63</v>
      </c>
      <c r="N2215" t="b">
        <v>0</v>
      </c>
      <c r="O2215">
        <v>0</v>
      </c>
      <c r="P2215">
        <v>0</v>
      </c>
      <c r="Q2215">
        <v>1</v>
      </c>
      <c r="R2215">
        <v>0</v>
      </c>
    </row>
    <row r="2216" spans="1:18" x14ac:dyDescent="0.25">
      <c r="A2216" t="s">
        <v>22</v>
      </c>
      <c r="B2216" t="s">
        <v>63</v>
      </c>
      <c r="C2216">
        <v>3</v>
      </c>
      <c r="D2216">
        <v>3</v>
      </c>
      <c r="E2216">
        <v>2</v>
      </c>
      <c r="F2216" s="15">
        <v>46020</v>
      </c>
      <c r="G2216" t="s">
        <v>236</v>
      </c>
      <c r="H2216">
        <v>4</v>
      </c>
      <c r="I2216">
        <v>2025</v>
      </c>
      <c r="J2216">
        <v>12</v>
      </c>
      <c r="K2216" t="s">
        <v>87</v>
      </c>
      <c r="L2216" t="s">
        <v>17</v>
      </c>
      <c r="M2216" t="s">
        <v>63</v>
      </c>
      <c r="N2216" t="b">
        <v>0</v>
      </c>
      <c r="O2216">
        <v>0</v>
      </c>
      <c r="P2216">
        <v>0</v>
      </c>
      <c r="Q2216">
        <v>1</v>
      </c>
      <c r="R2216">
        <v>0</v>
      </c>
    </row>
    <row r="2217" spans="1:18" x14ac:dyDescent="0.25">
      <c r="A2217" t="s">
        <v>17</v>
      </c>
      <c r="B2217" t="s">
        <v>63</v>
      </c>
      <c r="C2217">
        <v>4</v>
      </c>
      <c r="D2217">
        <v>3</v>
      </c>
      <c r="E2217">
        <v>2</v>
      </c>
      <c r="F2217" s="15">
        <v>46020</v>
      </c>
      <c r="G2217" t="s">
        <v>236</v>
      </c>
      <c r="H2217">
        <v>4</v>
      </c>
      <c r="I2217">
        <v>2025</v>
      </c>
      <c r="J2217">
        <v>12</v>
      </c>
      <c r="K2217" t="s">
        <v>87</v>
      </c>
      <c r="L2217" t="s">
        <v>436</v>
      </c>
      <c r="M2217" t="s">
        <v>63</v>
      </c>
      <c r="N2217" t="b">
        <v>0</v>
      </c>
      <c r="O2217">
        <v>0</v>
      </c>
      <c r="P2217">
        <v>0</v>
      </c>
      <c r="Q2217">
        <v>1</v>
      </c>
      <c r="R2217">
        <v>0</v>
      </c>
    </row>
    <row r="2218" spans="1:18" x14ac:dyDescent="0.25">
      <c r="A2218" t="s">
        <v>17</v>
      </c>
      <c r="B2218" t="s">
        <v>63</v>
      </c>
      <c r="C2218">
        <v>4</v>
      </c>
      <c r="D2218">
        <v>3</v>
      </c>
      <c r="E2218">
        <v>2</v>
      </c>
      <c r="F2218" s="15">
        <v>46020</v>
      </c>
      <c r="G2218" t="s">
        <v>236</v>
      </c>
      <c r="H2218">
        <v>4</v>
      </c>
      <c r="I2218">
        <v>2025</v>
      </c>
      <c r="J2218">
        <v>12</v>
      </c>
      <c r="K2218" t="s">
        <v>87</v>
      </c>
      <c r="L2218" t="s">
        <v>85</v>
      </c>
      <c r="M2218" t="s">
        <v>63</v>
      </c>
      <c r="N2218" t="b">
        <v>0</v>
      </c>
      <c r="O2218">
        <v>0</v>
      </c>
      <c r="P2218">
        <v>0</v>
      </c>
      <c r="Q2218">
        <v>1</v>
      </c>
      <c r="R2218">
        <v>0</v>
      </c>
    </row>
    <row r="2219" spans="1:18" x14ac:dyDescent="0.25">
      <c r="A2219" t="s">
        <v>17</v>
      </c>
      <c r="B2219" t="s">
        <v>63</v>
      </c>
      <c r="C2219">
        <v>4</v>
      </c>
      <c r="D2219">
        <v>3</v>
      </c>
      <c r="E2219">
        <v>2</v>
      </c>
      <c r="F2219" s="15">
        <v>46020</v>
      </c>
      <c r="G2219" t="s">
        <v>236</v>
      </c>
      <c r="H2219">
        <v>4</v>
      </c>
      <c r="I2219">
        <v>2025</v>
      </c>
      <c r="J2219">
        <v>12</v>
      </c>
      <c r="K2219" t="s">
        <v>87</v>
      </c>
      <c r="L2219" t="s">
        <v>22</v>
      </c>
      <c r="M2219" t="s">
        <v>63</v>
      </c>
      <c r="N2219" t="b">
        <v>0</v>
      </c>
      <c r="O2219">
        <v>0</v>
      </c>
      <c r="P2219">
        <v>0</v>
      </c>
      <c r="Q2219">
        <v>1</v>
      </c>
      <c r="R2219">
        <v>0</v>
      </c>
    </row>
    <row r="2220" spans="1:18" x14ac:dyDescent="0.25">
      <c r="A2220" t="s">
        <v>436</v>
      </c>
      <c r="B2220" t="s">
        <v>8</v>
      </c>
      <c r="C2220">
        <v>1</v>
      </c>
      <c r="D2220">
        <v>4</v>
      </c>
      <c r="E2220">
        <v>2</v>
      </c>
      <c r="F2220" s="15">
        <v>46034</v>
      </c>
      <c r="G2220" t="s">
        <v>307</v>
      </c>
      <c r="H2220">
        <v>3</v>
      </c>
      <c r="I2220">
        <v>2026</v>
      </c>
      <c r="J2220">
        <v>1</v>
      </c>
      <c r="K2220" t="s">
        <v>87</v>
      </c>
      <c r="L2220" t="s">
        <v>20</v>
      </c>
      <c r="M2220" t="s">
        <v>6</v>
      </c>
      <c r="N2220" t="b">
        <v>0</v>
      </c>
      <c r="O2220">
        <v>1</v>
      </c>
      <c r="P2220">
        <v>0</v>
      </c>
      <c r="Q2220">
        <v>0</v>
      </c>
      <c r="R2220">
        <v>0</v>
      </c>
    </row>
    <row r="2221" spans="1:18" x14ac:dyDescent="0.25">
      <c r="A2221" t="s">
        <v>436</v>
      </c>
      <c r="B2221" t="s">
        <v>8</v>
      </c>
      <c r="C2221">
        <v>1</v>
      </c>
      <c r="D2221">
        <v>4</v>
      </c>
      <c r="E2221">
        <v>2</v>
      </c>
      <c r="F2221" s="15">
        <v>46034</v>
      </c>
      <c r="G2221" t="s">
        <v>307</v>
      </c>
      <c r="H2221">
        <v>3</v>
      </c>
      <c r="I2221">
        <v>2026</v>
      </c>
      <c r="J2221">
        <v>1</v>
      </c>
      <c r="K2221" t="s">
        <v>87</v>
      </c>
      <c r="L2221" t="s">
        <v>321</v>
      </c>
      <c r="M2221" t="s">
        <v>6</v>
      </c>
      <c r="N2221" t="b">
        <v>0</v>
      </c>
      <c r="O2221">
        <v>1</v>
      </c>
      <c r="P2221">
        <v>0</v>
      </c>
      <c r="Q2221">
        <v>0</v>
      </c>
      <c r="R2221">
        <v>0</v>
      </c>
    </row>
    <row r="2222" spans="1:18" x14ac:dyDescent="0.25">
      <c r="A2222" t="s">
        <v>20</v>
      </c>
      <c r="B2222" t="s">
        <v>6</v>
      </c>
      <c r="C2222">
        <v>3</v>
      </c>
      <c r="D2222">
        <v>4</v>
      </c>
      <c r="E2222">
        <v>2</v>
      </c>
      <c r="F2222" s="15">
        <v>46034</v>
      </c>
      <c r="G2222" t="s">
        <v>307</v>
      </c>
      <c r="H2222">
        <v>3</v>
      </c>
      <c r="I2222">
        <v>2026</v>
      </c>
      <c r="J2222">
        <v>1</v>
      </c>
      <c r="K2222" t="s">
        <v>87</v>
      </c>
      <c r="L2222" t="s">
        <v>436</v>
      </c>
      <c r="M2222" t="s">
        <v>8</v>
      </c>
      <c r="N2222" t="b">
        <v>0</v>
      </c>
      <c r="O2222">
        <v>0</v>
      </c>
      <c r="P2222">
        <v>1</v>
      </c>
      <c r="Q2222">
        <v>0</v>
      </c>
      <c r="R2222">
        <v>1</v>
      </c>
    </row>
    <row r="2223" spans="1:18" x14ac:dyDescent="0.25">
      <c r="A2223" t="s">
        <v>20</v>
      </c>
      <c r="B2223" t="s">
        <v>6</v>
      </c>
      <c r="C2223">
        <v>3</v>
      </c>
      <c r="D2223">
        <v>4</v>
      </c>
      <c r="E2223">
        <v>2</v>
      </c>
      <c r="F2223" s="15">
        <v>46034</v>
      </c>
      <c r="G2223" t="s">
        <v>307</v>
      </c>
      <c r="H2223">
        <v>3</v>
      </c>
      <c r="I2223">
        <v>2026</v>
      </c>
      <c r="J2223">
        <v>1</v>
      </c>
      <c r="K2223" t="s">
        <v>87</v>
      </c>
      <c r="L2223" t="s">
        <v>321</v>
      </c>
      <c r="M2223" t="s">
        <v>6</v>
      </c>
      <c r="N2223" t="b">
        <v>0</v>
      </c>
      <c r="O2223">
        <v>0</v>
      </c>
      <c r="P2223">
        <v>1</v>
      </c>
      <c r="Q2223">
        <v>0</v>
      </c>
      <c r="R2223">
        <v>0</v>
      </c>
    </row>
    <row r="2224" spans="1:18" x14ac:dyDescent="0.25">
      <c r="A2224" t="s">
        <v>321</v>
      </c>
      <c r="B2224" t="s">
        <v>6</v>
      </c>
      <c r="C2224">
        <v>2</v>
      </c>
      <c r="D2224">
        <v>4</v>
      </c>
      <c r="E2224">
        <v>2</v>
      </c>
      <c r="F2224" s="15">
        <v>46034</v>
      </c>
      <c r="G2224" t="s">
        <v>307</v>
      </c>
      <c r="H2224">
        <v>3</v>
      </c>
      <c r="I2224">
        <v>2026</v>
      </c>
      <c r="J2224">
        <v>1</v>
      </c>
      <c r="K2224" t="s">
        <v>87</v>
      </c>
      <c r="L2224" t="s">
        <v>436</v>
      </c>
      <c r="M2224" t="s">
        <v>8</v>
      </c>
      <c r="N2224" t="b">
        <v>0</v>
      </c>
      <c r="O2224">
        <v>0</v>
      </c>
      <c r="P2224">
        <v>1</v>
      </c>
      <c r="Q2224">
        <v>0</v>
      </c>
      <c r="R2224">
        <v>1</v>
      </c>
    </row>
    <row r="2225" spans="1:18" x14ac:dyDescent="0.25">
      <c r="A2225" t="s">
        <v>321</v>
      </c>
      <c r="B2225" t="s">
        <v>6</v>
      </c>
      <c r="C2225">
        <v>2</v>
      </c>
      <c r="D2225">
        <v>4</v>
      </c>
      <c r="E2225">
        <v>2</v>
      </c>
      <c r="F2225" s="15">
        <v>46034</v>
      </c>
      <c r="G2225" t="s">
        <v>307</v>
      </c>
      <c r="H2225">
        <v>3</v>
      </c>
      <c r="I2225">
        <v>2026</v>
      </c>
      <c r="J2225">
        <v>1</v>
      </c>
      <c r="K2225" t="s">
        <v>87</v>
      </c>
      <c r="L2225" t="s">
        <v>20</v>
      </c>
      <c r="M2225" t="s">
        <v>6</v>
      </c>
      <c r="N2225" t="b">
        <v>0</v>
      </c>
      <c r="O2225">
        <v>0</v>
      </c>
      <c r="P2225">
        <v>1</v>
      </c>
      <c r="Q2225">
        <v>0</v>
      </c>
      <c r="R2225">
        <v>0</v>
      </c>
    </row>
    <row r="2226" spans="1:18" x14ac:dyDescent="0.25">
      <c r="A2226" t="s">
        <v>436</v>
      </c>
      <c r="B2226" t="s">
        <v>8</v>
      </c>
      <c r="C2226">
        <v>1</v>
      </c>
      <c r="D2226">
        <v>2</v>
      </c>
      <c r="E2226">
        <v>2</v>
      </c>
      <c r="F2226" s="15">
        <v>46041</v>
      </c>
      <c r="G2226" t="s">
        <v>317</v>
      </c>
      <c r="H2226">
        <v>4</v>
      </c>
      <c r="I2226">
        <v>2026</v>
      </c>
      <c r="J2226">
        <v>1</v>
      </c>
      <c r="K2226" t="s">
        <v>87</v>
      </c>
      <c r="L2226" t="s">
        <v>52</v>
      </c>
      <c r="M2226" t="s">
        <v>6</v>
      </c>
      <c r="N2226" t="b">
        <v>0</v>
      </c>
      <c r="O2226">
        <v>1</v>
      </c>
      <c r="P2226">
        <v>0</v>
      </c>
      <c r="Q2226">
        <v>0</v>
      </c>
      <c r="R2226">
        <v>0</v>
      </c>
    </row>
    <row r="2227" spans="1:18" x14ac:dyDescent="0.25">
      <c r="A2227" t="s">
        <v>436</v>
      </c>
      <c r="B2227" t="s">
        <v>8</v>
      </c>
      <c r="C2227">
        <v>1</v>
      </c>
      <c r="D2227">
        <v>2</v>
      </c>
      <c r="E2227">
        <v>2</v>
      </c>
      <c r="F2227" s="15">
        <v>46041</v>
      </c>
      <c r="G2227" t="s">
        <v>317</v>
      </c>
      <c r="H2227">
        <v>4</v>
      </c>
      <c r="I2227">
        <v>2026</v>
      </c>
      <c r="J2227">
        <v>1</v>
      </c>
      <c r="K2227" t="s">
        <v>87</v>
      </c>
      <c r="L2227" t="s">
        <v>28</v>
      </c>
      <c r="M2227" t="s">
        <v>6</v>
      </c>
      <c r="N2227" t="b">
        <v>0</v>
      </c>
      <c r="O2227">
        <v>1</v>
      </c>
      <c r="P2227">
        <v>0</v>
      </c>
      <c r="Q2227">
        <v>0</v>
      </c>
      <c r="R2227">
        <v>0</v>
      </c>
    </row>
    <row r="2228" spans="1:18" x14ac:dyDescent="0.25">
      <c r="A2228" t="s">
        <v>436</v>
      </c>
      <c r="B2228" t="s">
        <v>8</v>
      </c>
      <c r="C2228">
        <v>1</v>
      </c>
      <c r="D2228">
        <v>2</v>
      </c>
      <c r="E2228">
        <v>2</v>
      </c>
      <c r="F2228" s="15">
        <v>46041</v>
      </c>
      <c r="G2228" t="s">
        <v>317</v>
      </c>
      <c r="H2228">
        <v>4</v>
      </c>
      <c r="I2228">
        <v>2026</v>
      </c>
      <c r="J2228">
        <v>1</v>
      </c>
      <c r="K2228" t="s">
        <v>87</v>
      </c>
      <c r="L2228" t="s">
        <v>43</v>
      </c>
      <c r="M2228" t="s">
        <v>6</v>
      </c>
      <c r="N2228" t="b">
        <v>0</v>
      </c>
      <c r="O2228">
        <v>1</v>
      </c>
      <c r="P2228">
        <v>0</v>
      </c>
      <c r="Q2228">
        <v>0</v>
      </c>
      <c r="R2228">
        <v>0</v>
      </c>
    </row>
    <row r="2229" spans="1:18" x14ac:dyDescent="0.25">
      <c r="A2229" t="s">
        <v>52</v>
      </c>
      <c r="B2229" t="s">
        <v>6</v>
      </c>
      <c r="C2229">
        <v>3</v>
      </c>
      <c r="D2229">
        <v>2</v>
      </c>
      <c r="E2229">
        <v>2</v>
      </c>
      <c r="F2229" s="15">
        <v>46041</v>
      </c>
      <c r="G2229" t="s">
        <v>317</v>
      </c>
      <c r="H2229">
        <v>4</v>
      </c>
      <c r="I2229">
        <v>2026</v>
      </c>
      <c r="J2229">
        <v>1</v>
      </c>
      <c r="K2229" t="s">
        <v>87</v>
      </c>
      <c r="L2229" t="s">
        <v>436</v>
      </c>
      <c r="M2229" t="s">
        <v>8</v>
      </c>
      <c r="N2229" t="b">
        <v>0</v>
      </c>
      <c r="O2229">
        <v>0</v>
      </c>
      <c r="P2229">
        <v>1</v>
      </c>
      <c r="Q2229">
        <v>0</v>
      </c>
      <c r="R2229">
        <v>1</v>
      </c>
    </row>
    <row r="2230" spans="1:18" x14ac:dyDescent="0.25">
      <c r="A2230" t="s">
        <v>52</v>
      </c>
      <c r="B2230" t="s">
        <v>6</v>
      </c>
      <c r="C2230">
        <v>3</v>
      </c>
      <c r="D2230">
        <v>2</v>
      </c>
      <c r="E2230">
        <v>2</v>
      </c>
      <c r="F2230" s="15">
        <v>46041</v>
      </c>
      <c r="G2230" t="s">
        <v>317</v>
      </c>
      <c r="H2230">
        <v>4</v>
      </c>
      <c r="I2230">
        <v>2026</v>
      </c>
      <c r="J2230">
        <v>1</v>
      </c>
      <c r="K2230" t="s">
        <v>87</v>
      </c>
      <c r="L2230" t="s">
        <v>28</v>
      </c>
      <c r="M2230" t="s">
        <v>6</v>
      </c>
      <c r="N2230" t="b">
        <v>0</v>
      </c>
      <c r="O2230">
        <v>0</v>
      </c>
      <c r="P2230">
        <v>1</v>
      </c>
      <c r="Q2230">
        <v>0</v>
      </c>
      <c r="R2230">
        <v>0</v>
      </c>
    </row>
    <row r="2231" spans="1:18" x14ac:dyDescent="0.25">
      <c r="A2231" t="s">
        <v>52</v>
      </c>
      <c r="B2231" t="s">
        <v>6</v>
      </c>
      <c r="C2231">
        <v>3</v>
      </c>
      <c r="D2231">
        <v>2</v>
      </c>
      <c r="E2231">
        <v>2</v>
      </c>
      <c r="F2231" s="15">
        <v>46041</v>
      </c>
      <c r="G2231" t="s">
        <v>317</v>
      </c>
      <c r="H2231">
        <v>4</v>
      </c>
      <c r="I2231">
        <v>2026</v>
      </c>
      <c r="J2231">
        <v>1</v>
      </c>
      <c r="K2231" t="s">
        <v>87</v>
      </c>
      <c r="L2231" t="s">
        <v>43</v>
      </c>
      <c r="M2231" t="s">
        <v>6</v>
      </c>
      <c r="N2231" t="b">
        <v>0</v>
      </c>
      <c r="O2231">
        <v>0</v>
      </c>
      <c r="P2231">
        <v>1</v>
      </c>
      <c r="Q2231">
        <v>0</v>
      </c>
      <c r="R2231">
        <v>0</v>
      </c>
    </row>
    <row r="2232" spans="1:18" x14ac:dyDescent="0.25">
      <c r="A2232" t="s">
        <v>28</v>
      </c>
      <c r="B2232" t="s">
        <v>6</v>
      </c>
      <c r="C2232">
        <v>2</v>
      </c>
      <c r="D2232">
        <v>2</v>
      </c>
      <c r="E2232">
        <v>2</v>
      </c>
      <c r="F2232" s="15">
        <v>46041</v>
      </c>
      <c r="G2232" t="s">
        <v>317</v>
      </c>
      <c r="H2232">
        <v>4</v>
      </c>
      <c r="I2232">
        <v>2026</v>
      </c>
      <c r="J2232">
        <v>1</v>
      </c>
      <c r="K2232" t="s">
        <v>87</v>
      </c>
      <c r="L2232" t="s">
        <v>436</v>
      </c>
      <c r="M2232" t="s">
        <v>8</v>
      </c>
      <c r="N2232" t="b">
        <v>0</v>
      </c>
      <c r="O2232">
        <v>0</v>
      </c>
      <c r="P2232">
        <v>1</v>
      </c>
      <c r="Q2232">
        <v>0</v>
      </c>
      <c r="R2232">
        <v>1</v>
      </c>
    </row>
    <row r="2233" spans="1:18" x14ac:dyDescent="0.25">
      <c r="A2233" t="s">
        <v>28</v>
      </c>
      <c r="B2233" t="s">
        <v>6</v>
      </c>
      <c r="C2233">
        <v>2</v>
      </c>
      <c r="D2233">
        <v>2</v>
      </c>
      <c r="E2233">
        <v>2</v>
      </c>
      <c r="F2233" s="15">
        <v>46041</v>
      </c>
      <c r="G2233" t="s">
        <v>317</v>
      </c>
      <c r="H2233">
        <v>4</v>
      </c>
      <c r="I2233">
        <v>2026</v>
      </c>
      <c r="J2233">
        <v>1</v>
      </c>
      <c r="K2233" t="s">
        <v>87</v>
      </c>
      <c r="L2233" t="s">
        <v>52</v>
      </c>
      <c r="M2233" t="s">
        <v>6</v>
      </c>
      <c r="N2233" t="b">
        <v>0</v>
      </c>
      <c r="O2233">
        <v>0</v>
      </c>
      <c r="P2233">
        <v>1</v>
      </c>
      <c r="Q2233">
        <v>0</v>
      </c>
      <c r="R2233">
        <v>0</v>
      </c>
    </row>
    <row r="2234" spans="1:18" x14ac:dyDescent="0.25">
      <c r="A2234" t="s">
        <v>28</v>
      </c>
      <c r="B2234" t="s">
        <v>6</v>
      </c>
      <c r="C2234">
        <v>2</v>
      </c>
      <c r="D2234">
        <v>2</v>
      </c>
      <c r="E2234">
        <v>2</v>
      </c>
      <c r="F2234" s="15">
        <v>46041</v>
      </c>
      <c r="G2234" t="s">
        <v>317</v>
      </c>
      <c r="H2234">
        <v>4</v>
      </c>
      <c r="I2234">
        <v>2026</v>
      </c>
      <c r="J2234">
        <v>1</v>
      </c>
      <c r="K2234" t="s">
        <v>87</v>
      </c>
      <c r="L2234" t="s">
        <v>43</v>
      </c>
      <c r="M2234" t="s">
        <v>6</v>
      </c>
      <c r="N2234" t="b">
        <v>0</v>
      </c>
      <c r="O2234">
        <v>0</v>
      </c>
      <c r="P2234">
        <v>1</v>
      </c>
      <c r="Q2234">
        <v>0</v>
      </c>
      <c r="R2234">
        <v>0</v>
      </c>
    </row>
    <row r="2235" spans="1:18" x14ac:dyDescent="0.25">
      <c r="A2235" t="s">
        <v>43</v>
      </c>
      <c r="B2235" t="s">
        <v>6</v>
      </c>
      <c r="C2235">
        <v>4</v>
      </c>
      <c r="D2235">
        <v>2</v>
      </c>
      <c r="E2235">
        <v>2</v>
      </c>
      <c r="F2235" s="15">
        <v>46041</v>
      </c>
      <c r="G2235" t="s">
        <v>317</v>
      </c>
      <c r="H2235">
        <v>4</v>
      </c>
      <c r="I2235">
        <v>2026</v>
      </c>
      <c r="J2235">
        <v>1</v>
      </c>
      <c r="K2235" t="s">
        <v>87</v>
      </c>
      <c r="L2235" t="s">
        <v>436</v>
      </c>
      <c r="M2235" t="s">
        <v>8</v>
      </c>
      <c r="N2235" t="b">
        <v>0</v>
      </c>
      <c r="O2235">
        <v>0</v>
      </c>
      <c r="P2235">
        <v>1</v>
      </c>
      <c r="Q2235">
        <v>0</v>
      </c>
      <c r="R2235">
        <v>1</v>
      </c>
    </row>
    <row r="2236" spans="1:18" x14ac:dyDescent="0.25">
      <c r="A2236" t="s">
        <v>43</v>
      </c>
      <c r="B2236" t="s">
        <v>6</v>
      </c>
      <c r="C2236">
        <v>4</v>
      </c>
      <c r="D2236">
        <v>2</v>
      </c>
      <c r="E2236">
        <v>2</v>
      </c>
      <c r="F2236" s="15">
        <v>46041</v>
      </c>
      <c r="G2236" t="s">
        <v>317</v>
      </c>
      <c r="H2236">
        <v>4</v>
      </c>
      <c r="I2236">
        <v>2026</v>
      </c>
      <c r="J2236">
        <v>1</v>
      </c>
      <c r="K2236" t="s">
        <v>87</v>
      </c>
      <c r="L2236" t="s">
        <v>52</v>
      </c>
      <c r="M2236" t="s">
        <v>6</v>
      </c>
      <c r="N2236" t="b">
        <v>0</v>
      </c>
      <c r="O2236">
        <v>0</v>
      </c>
      <c r="P2236">
        <v>1</v>
      </c>
      <c r="Q2236">
        <v>0</v>
      </c>
      <c r="R2236">
        <v>0</v>
      </c>
    </row>
    <row r="2237" spans="1:18" x14ac:dyDescent="0.25">
      <c r="A2237" t="s">
        <v>43</v>
      </c>
      <c r="B2237" t="s">
        <v>6</v>
      </c>
      <c r="C2237">
        <v>4</v>
      </c>
      <c r="D2237">
        <v>2</v>
      </c>
      <c r="E2237">
        <v>2</v>
      </c>
      <c r="F2237" s="15">
        <v>46041</v>
      </c>
      <c r="G2237" t="s">
        <v>317</v>
      </c>
      <c r="H2237">
        <v>4</v>
      </c>
      <c r="I2237">
        <v>2026</v>
      </c>
      <c r="J2237">
        <v>1</v>
      </c>
      <c r="K2237" t="s">
        <v>87</v>
      </c>
      <c r="L2237" t="s">
        <v>28</v>
      </c>
      <c r="M2237" t="s">
        <v>6</v>
      </c>
      <c r="N2237" t="b">
        <v>0</v>
      </c>
      <c r="O2237">
        <v>0</v>
      </c>
      <c r="P2237">
        <v>1</v>
      </c>
      <c r="Q2237">
        <v>0</v>
      </c>
      <c r="R2237">
        <v>0</v>
      </c>
    </row>
    <row r="2238" spans="1:18" x14ac:dyDescent="0.25">
      <c r="A2238" t="s">
        <v>436</v>
      </c>
      <c r="B2238" t="s">
        <v>63</v>
      </c>
      <c r="C2238">
        <v>2</v>
      </c>
      <c r="D2238">
        <v>7</v>
      </c>
      <c r="E2238">
        <v>1</v>
      </c>
      <c r="F2238" s="15">
        <v>46048</v>
      </c>
      <c r="G2238" t="s">
        <v>333</v>
      </c>
      <c r="H2238">
        <v>3</v>
      </c>
      <c r="I2238">
        <v>2026</v>
      </c>
      <c r="J2238">
        <v>1</v>
      </c>
      <c r="K2238" t="s">
        <v>87</v>
      </c>
      <c r="L2238" t="s">
        <v>7</v>
      </c>
      <c r="M2238" t="s">
        <v>63</v>
      </c>
      <c r="N2238" t="b">
        <v>0</v>
      </c>
      <c r="O2238">
        <v>0</v>
      </c>
      <c r="P2238">
        <v>0</v>
      </c>
      <c r="Q2238">
        <v>1</v>
      </c>
      <c r="R2238">
        <v>0</v>
      </c>
    </row>
    <row r="2239" spans="1:18" x14ac:dyDescent="0.25">
      <c r="A2239" t="s">
        <v>436</v>
      </c>
      <c r="B2239" t="s">
        <v>63</v>
      </c>
      <c r="C2239">
        <v>2</v>
      </c>
      <c r="D2239">
        <v>7</v>
      </c>
      <c r="E2239">
        <v>1</v>
      </c>
      <c r="F2239" s="15">
        <v>46048</v>
      </c>
      <c r="G2239" t="s">
        <v>333</v>
      </c>
      <c r="H2239">
        <v>3</v>
      </c>
      <c r="I2239">
        <v>2026</v>
      </c>
      <c r="J2239">
        <v>1</v>
      </c>
      <c r="K2239" t="s">
        <v>87</v>
      </c>
      <c r="L2239" t="s">
        <v>321</v>
      </c>
      <c r="M2239" t="s">
        <v>63</v>
      </c>
      <c r="N2239" t="b">
        <v>0</v>
      </c>
      <c r="O2239">
        <v>0</v>
      </c>
      <c r="P2239">
        <v>0</v>
      </c>
      <c r="Q2239">
        <v>1</v>
      </c>
      <c r="R2239">
        <v>0</v>
      </c>
    </row>
    <row r="2240" spans="1:18" x14ac:dyDescent="0.25">
      <c r="A2240" t="s">
        <v>7</v>
      </c>
      <c r="B2240" t="s">
        <v>63</v>
      </c>
      <c r="C2240">
        <v>3</v>
      </c>
      <c r="D2240">
        <v>7</v>
      </c>
      <c r="E2240">
        <v>1</v>
      </c>
      <c r="F2240" s="15">
        <v>46048</v>
      </c>
      <c r="G2240" t="s">
        <v>333</v>
      </c>
      <c r="H2240">
        <v>3</v>
      </c>
      <c r="I2240">
        <v>2026</v>
      </c>
      <c r="J2240">
        <v>1</v>
      </c>
      <c r="K2240" t="s">
        <v>87</v>
      </c>
      <c r="L2240" t="s">
        <v>436</v>
      </c>
      <c r="M2240" t="s">
        <v>63</v>
      </c>
      <c r="N2240" t="b">
        <v>0</v>
      </c>
      <c r="O2240">
        <v>0</v>
      </c>
      <c r="P2240">
        <v>0</v>
      </c>
      <c r="Q2240">
        <v>1</v>
      </c>
      <c r="R2240">
        <v>0</v>
      </c>
    </row>
    <row r="2241" spans="1:18" x14ac:dyDescent="0.25">
      <c r="A2241" t="s">
        <v>7</v>
      </c>
      <c r="B2241" t="s">
        <v>63</v>
      </c>
      <c r="C2241">
        <v>3</v>
      </c>
      <c r="D2241">
        <v>7</v>
      </c>
      <c r="E2241">
        <v>1</v>
      </c>
      <c r="F2241" s="15">
        <v>46048</v>
      </c>
      <c r="G2241" t="s">
        <v>333</v>
      </c>
      <c r="H2241">
        <v>3</v>
      </c>
      <c r="I2241">
        <v>2026</v>
      </c>
      <c r="J2241">
        <v>1</v>
      </c>
      <c r="K2241" t="s">
        <v>87</v>
      </c>
      <c r="L2241" t="s">
        <v>321</v>
      </c>
      <c r="M2241" t="s">
        <v>63</v>
      </c>
      <c r="N2241" t="b">
        <v>0</v>
      </c>
      <c r="O2241">
        <v>0</v>
      </c>
      <c r="P2241">
        <v>0</v>
      </c>
      <c r="Q2241">
        <v>1</v>
      </c>
      <c r="R2241">
        <v>0</v>
      </c>
    </row>
    <row r="2242" spans="1:18" x14ac:dyDescent="0.25">
      <c r="A2242" t="s">
        <v>321</v>
      </c>
      <c r="B2242" t="s">
        <v>63</v>
      </c>
      <c r="C2242">
        <v>1</v>
      </c>
      <c r="D2242">
        <v>7</v>
      </c>
      <c r="E2242">
        <v>1</v>
      </c>
      <c r="F2242" s="15">
        <v>46048</v>
      </c>
      <c r="G2242" t="s">
        <v>333</v>
      </c>
      <c r="H2242">
        <v>3</v>
      </c>
      <c r="I2242">
        <v>2026</v>
      </c>
      <c r="J2242">
        <v>1</v>
      </c>
      <c r="K2242" t="s">
        <v>87</v>
      </c>
      <c r="L2242" t="s">
        <v>436</v>
      </c>
      <c r="M2242" t="s">
        <v>63</v>
      </c>
      <c r="N2242" t="b">
        <v>0</v>
      </c>
      <c r="O2242">
        <v>0</v>
      </c>
      <c r="P2242">
        <v>0</v>
      </c>
      <c r="Q2242">
        <v>1</v>
      </c>
      <c r="R2242">
        <v>0</v>
      </c>
    </row>
    <row r="2243" spans="1:18" x14ac:dyDescent="0.25">
      <c r="A2243" t="s">
        <v>321</v>
      </c>
      <c r="B2243" t="s">
        <v>63</v>
      </c>
      <c r="C2243">
        <v>1</v>
      </c>
      <c r="D2243">
        <v>7</v>
      </c>
      <c r="E2243">
        <v>1</v>
      </c>
      <c r="F2243" s="15">
        <v>46048</v>
      </c>
      <c r="G2243" t="s">
        <v>333</v>
      </c>
      <c r="H2243">
        <v>3</v>
      </c>
      <c r="I2243">
        <v>2026</v>
      </c>
      <c r="J2243">
        <v>1</v>
      </c>
      <c r="K2243" t="s">
        <v>87</v>
      </c>
      <c r="L2243" t="s">
        <v>7</v>
      </c>
      <c r="M2243" t="s">
        <v>63</v>
      </c>
      <c r="N2243" t="b">
        <v>0</v>
      </c>
      <c r="O2243">
        <v>0</v>
      </c>
      <c r="P2243">
        <v>0</v>
      </c>
      <c r="Q2243">
        <v>1</v>
      </c>
      <c r="R2243">
        <v>0</v>
      </c>
    </row>
    <row r="2244" spans="1:18" x14ac:dyDescent="0.25">
      <c r="A2244" t="s">
        <v>436</v>
      </c>
      <c r="B2244" t="s">
        <v>8</v>
      </c>
      <c r="C2244">
        <v>2</v>
      </c>
      <c r="D2244">
        <v>4</v>
      </c>
      <c r="E2244">
        <v>1</v>
      </c>
      <c r="F2244" s="15">
        <v>46055</v>
      </c>
      <c r="G2244" t="s">
        <v>344</v>
      </c>
      <c r="H2244">
        <v>3</v>
      </c>
      <c r="I2244">
        <v>2026</v>
      </c>
      <c r="J2244">
        <v>2</v>
      </c>
      <c r="K2244" t="s">
        <v>87</v>
      </c>
      <c r="L2244" t="s">
        <v>42</v>
      </c>
      <c r="M2244" t="s">
        <v>6</v>
      </c>
      <c r="N2244" t="b">
        <v>0</v>
      </c>
      <c r="O2244">
        <v>1</v>
      </c>
      <c r="P2244">
        <v>0</v>
      </c>
      <c r="Q2244">
        <v>0</v>
      </c>
      <c r="R2244">
        <v>0</v>
      </c>
    </row>
    <row r="2245" spans="1:18" x14ac:dyDescent="0.25">
      <c r="A2245" t="s">
        <v>436</v>
      </c>
      <c r="B2245" t="s">
        <v>8</v>
      </c>
      <c r="C2245">
        <v>2</v>
      </c>
      <c r="D2245">
        <v>4</v>
      </c>
      <c r="E2245">
        <v>1</v>
      </c>
      <c r="F2245" s="15">
        <v>46055</v>
      </c>
      <c r="G2245" t="s">
        <v>344</v>
      </c>
      <c r="H2245">
        <v>3</v>
      </c>
      <c r="I2245">
        <v>2026</v>
      </c>
      <c r="J2245">
        <v>2</v>
      </c>
      <c r="K2245" t="s">
        <v>87</v>
      </c>
      <c r="L2245" t="s">
        <v>16</v>
      </c>
      <c r="M2245" t="s">
        <v>6</v>
      </c>
      <c r="N2245" t="b">
        <v>0</v>
      </c>
      <c r="O2245">
        <v>1</v>
      </c>
      <c r="P2245">
        <v>0</v>
      </c>
      <c r="Q2245">
        <v>0</v>
      </c>
      <c r="R2245">
        <v>0</v>
      </c>
    </row>
    <row r="2246" spans="1:18" x14ac:dyDescent="0.25">
      <c r="A2246" t="s">
        <v>42</v>
      </c>
      <c r="B2246" t="s">
        <v>6</v>
      </c>
      <c r="C2246">
        <v>1</v>
      </c>
      <c r="D2246">
        <v>4</v>
      </c>
      <c r="E2246">
        <v>1</v>
      </c>
      <c r="F2246" s="15">
        <v>46055</v>
      </c>
      <c r="G2246" t="s">
        <v>344</v>
      </c>
      <c r="H2246">
        <v>3</v>
      </c>
      <c r="I2246">
        <v>2026</v>
      </c>
      <c r="J2246">
        <v>2</v>
      </c>
      <c r="K2246" t="s">
        <v>87</v>
      </c>
      <c r="L2246" t="s">
        <v>436</v>
      </c>
      <c r="M2246" t="s">
        <v>8</v>
      </c>
      <c r="N2246" t="b">
        <v>0</v>
      </c>
      <c r="O2246">
        <v>0</v>
      </c>
      <c r="P2246">
        <v>1</v>
      </c>
      <c r="Q2246">
        <v>0</v>
      </c>
      <c r="R2246">
        <v>1</v>
      </c>
    </row>
    <row r="2247" spans="1:18" x14ac:dyDescent="0.25">
      <c r="A2247" t="s">
        <v>42</v>
      </c>
      <c r="B2247" t="s">
        <v>6</v>
      </c>
      <c r="C2247">
        <v>1</v>
      </c>
      <c r="D2247">
        <v>4</v>
      </c>
      <c r="E2247">
        <v>1</v>
      </c>
      <c r="F2247" s="15">
        <v>46055</v>
      </c>
      <c r="G2247" t="s">
        <v>344</v>
      </c>
      <c r="H2247">
        <v>3</v>
      </c>
      <c r="I2247">
        <v>2026</v>
      </c>
      <c r="J2247">
        <v>2</v>
      </c>
      <c r="K2247" t="s">
        <v>87</v>
      </c>
      <c r="L2247" t="s">
        <v>16</v>
      </c>
      <c r="M2247" t="s">
        <v>6</v>
      </c>
      <c r="N2247" t="b">
        <v>0</v>
      </c>
      <c r="O2247">
        <v>0</v>
      </c>
      <c r="P2247">
        <v>1</v>
      </c>
      <c r="Q2247">
        <v>0</v>
      </c>
      <c r="R2247">
        <v>0</v>
      </c>
    </row>
    <row r="2248" spans="1:18" x14ac:dyDescent="0.25">
      <c r="A2248" t="s">
        <v>16</v>
      </c>
      <c r="B2248" t="s">
        <v>6</v>
      </c>
      <c r="C2248">
        <v>3</v>
      </c>
      <c r="D2248">
        <v>4</v>
      </c>
      <c r="E2248">
        <v>1</v>
      </c>
      <c r="F2248" s="15">
        <v>46055</v>
      </c>
      <c r="G2248" t="s">
        <v>344</v>
      </c>
      <c r="H2248">
        <v>3</v>
      </c>
      <c r="I2248">
        <v>2026</v>
      </c>
      <c r="J2248">
        <v>2</v>
      </c>
      <c r="K2248" t="s">
        <v>87</v>
      </c>
      <c r="L2248" t="s">
        <v>436</v>
      </c>
      <c r="M2248" t="s">
        <v>8</v>
      </c>
      <c r="N2248" t="b">
        <v>0</v>
      </c>
      <c r="O2248">
        <v>0</v>
      </c>
      <c r="P2248">
        <v>1</v>
      </c>
      <c r="Q2248">
        <v>0</v>
      </c>
      <c r="R2248">
        <v>1</v>
      </c>
    </row>
    <row r="2249" spans="1:18" x14ac:dyDescent="0.25">
      <c r="A2249" t="s">
        <v>16</v>
      </c>
      <c r="B2249" t="s">
        <v>6</v>
      </c>
      <c r="C2249">
        <v>3</v>
      </c>
      <c r="D2249">
        <v>4</v>
      </c>
      <c r="E2249">
        <v>1</v>
      </c>
      <c r="F2249" s="15">
        <v>46055</v>
      </c>
      <c r="G2249" t="s">
        <v>344</v>
      </c>
      <c r="H2249">
        <v>3</v>
      </c>
      <c r="I2249">
        <v>2026</v>
      </c>
      <c r="J2249">
        <v>2</v>
      </c>
      <c r="K2249" t="s">
        <v>87</v>
      </c>
      <c r="L2249" t="s">
        <v>42</v>
      </c>
      <c r="M2249" t="s">
        <v>6</v>
      </c>
      <c r="N2249" t="b">
        <v>0</v>
      </c>
      <c r="O2249">
        <v>0</v>
      </c>
      <c r="P2249">
        <v>1</v>
      </c>
      <c r="Q2249">
        <v>0</v>
      </c>
      <c r="R2249">
        <v>0</v>
      </c>
    </row>
    <row r="2250" spans="1:18" x14ac:dyDescent="0.25">
      <c r="A2250" t="s">
        <v>7</v>
      </c>
      <c r="B2250" t="s">
        <v>8</v>
      </c>
      <c r="C2250">
        <v>4</v>
      </c>
      <c r="D2250">
        <v>1</v>
      </c>
      <c r="E2250">
        <v>1</v>
      </c>
      <c r="F2250" s="15">
        <v>45880</v>
      </c>
      <c r="G2250" t="s">
        <v>97</v>
      </c>
      <c r="H2250">
        <v>4</v>
      </c>
      <c r="I2250">
        <v>2025</v>
      </c>
      <c r="J2250">
        <v>8</v>
      </c>
      <c r="K2250" t="s">
        <v>87</v>
      </c>
      <c r="L2250" t="s">
        <v>42</v>
      </c>
      <c r="M2250" t="s">
        <v>6</v>
      </c>
      <c r="N2250" t="b">
        <v>0</v>
      </c>
      <c r="O2250">
        <v>1</v>
      </c>
      <c r="P2250">
        <v>0</v>
      </c>
      <c r="Q2250">
        <v>0</v>
      </c>
      <c r="R2250">
        <v>0</v>
      </c>
    </row>
    <row r="2251" spans="1:18" x14ac:dyDescent="0.25">
      <c r="A2251" t="s">
        <v>7</v>
      </c>
      <c r="B2251" t="s">
        <v>8</v>
      </c>
      <c r="C2251">
        <v>4</v>
      </c>
      <c r="D2251">
        <v>1</v>
      </c>
      <c r="E2251">
        <v>1</v>
      </c>
      <c r="F2251" s="15">
        <v>45880</v>
      </c>
      <c r="G2251" t="s">
        <v>97</v>
      </c>
      <c r="H2251">
        <v>4</v>
      </c>
      <c r="I2251">
        <v>2025</v>
      </c>
      <c r="J2251">
        <v>8</v>
      </c>
      <c r="K2251" t="s">
        <v>87</v>
      </c>
      <c r="L2251" t="s">
        <v>44</v>
      </c>
      <c r="M2251" t="s">
        <v>6</v>
      </c>
      <c r="N2251" t="b">
        <v>0</v>
      </c>
      <c r="O2251">
        <v>1</v>
      </c>
      <c r="P2251">
        <v>0</v>
      </c>
      <c r="Q2251">
        <v>0</v>
      </c>
      <c r="R2251">
        <v>0</v>
      </c>
    </row>
    <row r="2252" spans="1:18" x14ac:dyDescent="0.25">
      <c r="A2252" t="s">
        <v>7</v>
      </c>
      <c r="B2252" t="s">
        <v>8</v>
      </c>
      <c r="C2252">
        <v>4</v>
      </c>
      <c r="D2252">
        <v>1</v>
      </c>
      <c r="E2252">
        <v>1</v>
      </c>
      <c r="F2252" s="15">
        <v>45880</v>
      </c>
      <c r="G2252" t="s">
        <v>97</v>
      </c>
      <c r="H2252">
        <v>4</v>
      </c>
      <c r="I2252">
        <v>2025</v>
      </c>
      <c r="J2252">
        <v>8</v>
      </c>
      <c r="K2252" t="s">
        <v>87</v>
      </c>
      <c r="L2252" t="s">
        <v>352</v>
      </c>
      <c r="M2252" t="s">
        <v>6</v>
      </c>
      <c r="N2252" t="b">
        <v>0</v>
      </c>
      <c r="O2252">
        <v>1</v>
      </c>
      <c r="P2252">
        <v>0</v>
      </c>
      <c r="Q2252">
        <v>0</v>
      </c>
      <c r="R2252">
        <v>0</v>
      </c>
    </row>
    <row r="2253" spans="1:18" x14ac:dyDescent="0.25">
      <c r="A2253" t="s">
        <v>42</v>
      </c>
      <c r="B2253" t="s">
        <v>6</v>
      </c>
      <c r="C2253">
        <v>1</v>
      </c>
      <c r="D2253">
        <v>1</v>
      </c>
      <c r="E2253">
        <v>1</v>
      </c>
      <c r="F2253" s="15">
        <v>45880</v>
      </c>
      <c r="G2253" t="s">
        <v>97</v>
      </c>
      <c r="H2253">
        <v>4</v>
      </c>
      <c r="I2253">
        <v>2025</v>
      </c>
      <c r="J2253">
        <v>8</v>
      </c>
      <c r="K2253" t="s">
        <v>87</v>
      </c>
      <c r="L2253" t="s">
        <v>7</v>
      </c>
      <c r="M2253" t="s">
        <v>8</v>
      </c>
      <c r="N2253" t="b">
        <v>0</v>
      </c>
      <c r="O2253">
        <v>0</v>
      </c>
      <c r="P2253">
        <v>1</v>
      </c>
      <c r="Q2253">
        <v>0</v>
      </c>
      <c r="R2253">
        <v>1</v>
      </c>
    </row>
    <row r="2254" spans="1:18" x14ac:dyDescent="0.25">
      <c r="A2254" t="s">
        <v>42</v>
      </c>
      <c r="B2254" t="s">
        <v>6</v>
      </c>
      <c r="C2254">
        <v>1</v>
      </c>
      <c r="D2254">
        <v>1</v>
      </c>
      <c r="E2254">
        <v>1</v>
      </c>
      <c r="F2254" s="15">
        <v>45880</v>
      </c>
      <c r="G2254" t="s">
        <v>97</v>
      </c>
      <c r="H2254">
        <v>4</v>
      </c>
      <c r="I2254">
        <v>2025</v>
      </c>
      <c r="J2254">
        <v>8</v>
      </c>
      <c r="K2254" t="s">
        <v>87</v>
      </c>
      <c r="L2254" t="s">
        <v>44</v>
      </c>
      <c r="M2254" t="s">
        <v>6</v>
      </c>
      <c r="N2254" t="b">
        <v>0</v>
      </c>
      <c r="O2254">
        <v>0</v>
      </c>
      <c r="P2254">
        <v>1</v>
      </c>
      <c r="Q2254">
        <v>0</v>
      </c>
      <c r="R2254">
        <v>0</v>
      </c>
    </row>
    <row r="2255" spans="1:18" x14ac:dyDescent="0.25">
      <c r="A2255" t="s">
        <v>42</v>
      </c>
      <c r="B2255" t="s">
        <v>6</v>
      </c>
      <c r="C2255">
        <v>1</v>
      </c>
      <c r="D2255">
        <v>1</v>
      </c>
      <c r="E2255">
        <v>1</v>
      </c>
      <c r="F2255" s="15">
        <v>45880</v>
      </c>
      <c r="G2255" t="s">
        <v>97</v>
      </c>
      <c r="H2255">
        <v>4</v>
      </c>
      <c r="I2255">
        <v>2025</v>
      </c>
      <c r="J2255">
        <v>8</v>
      </c>
      <c r="K2255" t="s">
        <v>87</v>
      </c>
      <c r="L2255" t="s">
        <v>352</v>
      </c>
      <c r="M2255" t="s">
        <v>6</v>
      </c>
      <c r="N2255" t="b">
        <v>0</v>
      </c>
      <c r="O2255">
        <v>0</v>
      </c>
      <c r="P2255">
        <v>1</v>
      </c>
      <c r="Q2255">
        <v>0</v>
      </c>
      <c r="R2255">
        <v>0</v>
      </c>
    </row>
    <row r="2256" spans="1:18" x14ac:dyDescent="0.25">
      <c r="A2256" t="s">
        <v>44</v>
      </c>
      <c r="B2256" t="s">
        <v>6</v>
      </c>
      <c r="C2256">
        <v>2</v>
      </c>
      <c r="D2256">
        <v>1</v>
      </c>
      <c r="E2256">
        <v>1</v>
      </c>
      <c r="F2256" s="15">
        <v>45880</v>
      </c>
      <c r="G2256" t="s">
        <v>97</v>
      </c>
      <c r="H2256">
        <v>4</v>
      </c>
      <c r="I2256">
        <v>2025</v>
      </c>
      <c r="J2256">
        <v>8</v>
      </c>
      <c r="K2256" t="s">
        <v>87</v>
      </c>
      <c r="L2256" t="s">
        <v>7</v>
      </c>
      <c r="M2256" t="s">
        <v>8</v>
      </c>
      <c r="N2256" t="b">
        <v>0</v>
      </c>
      <c r="O2256">
        <v>0</v>
      </c>
      <c r="P2256">
        <v>1</v>
      </c>
      <c r="Q2256">
        <v>0</v>
      </c>
      <c r="R2256">
        <v>1</v>
      </c>
    </row>
    <row r="2257" spans="1:18" x14ac:dyDescent="0.25">
      <c r="A2257" t="s">
        <v>44</v>
      </c>
      <c r="B2257" t="s">
        <v>6</v>
      </c>
      <c r="C2257">
        <v>2</v>
      </c>
      <c r="D2257">
        <v>1</v>
      </c>
      <c r="E2257">
        <v>1</v>
      </c>
      <c r="F2257" s="15">
        <v>45880</v>
      </c>
      <c r="G2257" t="s">
        <v>97</v>
      </c>
      <c r="H2257">
        <v>4</v>
      </c>
      <c r="I2257">
        <v>2025</v>
      </c>
      <c r="J2257">
        <v>8</v>
      </c>
      <c r="K2257" t="s">
        <v>87</v>
      </c>
      <c r="L2257" t="s">
        <v>42</v>
      </c>
      <c r="M2257" t="s">
        <v>6</v>
      </c>
      <c r="N2257" t="b">
        <v>0</v>
      </c>
      <c r="O2257">
        <v>0</v>
      </c>
      <c r="P2257">
        <v>1</v>
      </c>
      <c r="Q2257">
        <v>0</v>
      </c>
      <c r="R2257">
        <v>0</v>
      </c>
    </row>
    <row r="2258" spans="1:18" x14ac:dyDescent="0.25">
      <c r="A2258" t="s">
        <v>44</v>
      </c>
      <c r="B2258" t="s">
        <v>6</v>
      </c>
      <c r="C2258">
        <v>2</v>
      </c>
      <c r="D2258">
        <v>1</v>
      </c>
      <c r="E2258">
        <v>1</v>
      </c>
      <c r="F2258" s="15">
        <v>45880</v>
      </c>
      <c r="G2258" t="s">
        <v>97</v>
      </c>
      <c r="H2258">
        <v>4</v>
      </c>
      <c r="I2258">
        <v>2025</v>
      </c>
      <c r="J2258">
        <v>8</v>
      </c>
      <c r="K2258" t="s">
        <v>87</v>
      </c>
      <c r="L2258" t="s">
        <v>352</v>
      </c>
      <c r="M2258" t="s">
        <v>6</v>
      </c>
      <c r="N2258" t="b">
        <v>0</v>
      </c>
      <c r="O2258">
        <v>0</v>
      </c>
      <c r="P2258">
        <v>1</v>
      </c>
      <c r="Q2258">
        <v>0</v>
      </c>
      <c r="R2258">
        <v>0</v>
      </c>
    </row>
    <row r="2259" spans="1:18" x14ac:dyDescent="0.25">
      <c r="A2259" t="s">
        <v>352</v>
      </c>
      <c r="B2259" t="s">
        <v>6</v>
      </c>
      <c r="C2259">
        <v>3</v>
      </c>
      <c r="D2259">
        <v>1</v>
      </c>
      <c r="E2259">
        <v>1</v>
      </c>
      <c r="F2259" s="15">
        <v>45880</v>
      </c>
      <c r="G2259" t="s">
        <v>97</v>
      </c>
      <c r="H2259">
        <v>4</v>
      </c>
      <c r="I2259">
        <v>2025</v>
      </c>
      <c r="J2259">
        <v>8</v>
      </c>
      <c r="K2259" t="s">
        <v>87</v>
      </c>
      <c r="L2259" t="s">
        <v>7</v>
      </c>
      <c r="M2259" t="s">
        <v>8</v>
      </c>
      <c r="N2259" t="b">
        <v>0</v>
      </c>
      <c r="O2259">
        <v>0</v>
      </c>
      <c r="P2259">
        <v>1</v>
      </c>
      <c r="Q2259">
        <v>0</v>
      </c>
      <c r="R2259">
        <v>1</v>
      </c>
    </row>
    <row r="2260" spans="1:18" x14ac:dyDescent="0.25">
      <c r="A2260" t="s">
        <v>352</v>
      </c>
      <c r="B2260" t="s">
        <v>6</v>
      </c>
      <c r="C2260">
        <v>3</v>
      </c>
      <c r="D2260">
        <v>1</v>
      </c>
      <c r="E2260">
        <v>1</v>
      </c>
      <c r="F2260" s="15">
        <v>45880</v>
      </c>
      <c r="G2260" t="s">
        <v>97</v>
      </c>
      <c r="H2260">
        <v>4</v>
      </c>
      <c r="I2260">
        <v>2025</v>
      </c>
      <c r="J2260">
        <v>8</v>
      </c>
      <c r="K2260" t="s">
        <v>87</v>
      </c>
      <c r="L2260" t="s">
        <v>42</v>
      </c>
      <c r="M2260" t="s">
        <v>6</v>
      </c>
      <c r="N2260" t="b">
        <v>0</v>
      </c>
      <c r="O2260">
        <v>0</v>
      </c>
      <c r="P2260">
        <v>1</v>
      </c>
      <c r="Q2260">
        <v>0</v>
      </c>
      <c r="R2260">
        <v>0</v>
      </c>
    </row>
    <row r="2261" spans="1:18" x14ac:dyDescent="0.25">
      <c r="A2261" t="s">
        <v>352</v>
      </c>
      <c r="B2261" t="s">
        <v>6</v>
      </c>
      <c r="C2261">
        <v>3</v>
      </c>
      <c r="D2261">
        <v>1</v>
      </c>
      <c r="E2261">
        <v>1</v>
      </c>
      <c r="F2261" s="15">
        <v>45880</v>
      </c>
      <c r="G2261" t="s">
        <v>97</v>
      </c>
      <c r="H2261">
        <v>4</v>
      </c>
      <c r="I2261">
        <v>2025</v>
      </c>
      <c r="J2261">
        <v>8</v>
      </c>
      <c r="K2261" t="s">
        <v>87</v>
      </c>
      <c r="L2261" t="s">
        <v>44</v>
      </c>
      <c r="M2261" t="s">
        <v>6</v>
      </c>
      <c r="N2261" t="b">
        <v>0</v>
      </c>
      <c r="O2261">
        <v>0</v>
      </c>
      <c r="P2261">
        <v>1</v>
      </c>
      <c r="Q2261">
        <v>0</v>
      </c>
      <c r="R2261">
        <v>0</v>
      </c>
    </row>
    <row r="2262" spans="1:18" x14ac:dyDescent="0.25">
      <c r="A2262" t="s">
        <v>7</v>
      </c>
      <c r="B2262" t="s">
        <v>6</v>
      </c>
      <c r="C2262">
        <v>3</v>
      </c>
      <c r="D2262">
        <v>1</v>
      </c>
      <c r="E2262">
        <v>1</v>
      </c>
      <c r="F2262" s="15">
        <v>45915</v>
      </c>
      <c r="G2262" t="s">
        <v>101</v>
      </c>
      <c r="H2262">
        <v>4</v>
      </c>
      <c r="I2262">
        <v>2025</v>
      </c>
      <c r="J2262">
        <v>9</v>
      </c>
      <c r="K2262" t="s">
        <v>87</v>
      </c>
      <c r="L2262" t="s">
        <v>28</v>
      </c>
      <c r="M2262" t="s">
        <v>8</v>
      </c>
      <c r="N2262" t="b">
        <v>0</v>
      </c>
      <c r="O2262">
        <v>0</v>
      </c>
      <c r="P2262">
        <v>1</v>
      </c>
      <c r="Q2262">
        <v>0</v>
      </c>
      <c r="R2262">
        <v>1</v>
      </c>
    </row>
    <row r="2263" spans="1:18" x14ac:dyDescent="0.25">
      <c r="A2263" t="s">
        <v>7</v>
      </c>
      <c r="B2263" t="s">
        <v>6</v>
      </c>
      <c r="C2263">
        <v>3</v>
      </c>
      <c r="D2263">
        <v>1</v>
      </c>
      <c r="E2263">
        <v>1</v>
      </c>
      <c r="F2263" s="15">
        <v>45915</v>
      </c>
      <c r="G2263" t="s">
        <v>101</v>
      </c>
      <c r="H2263">
        <v>4</v>
      </c>
      <c r="I2263">
        <v>2025</v>
      </c>
      <c r="J2263">
        <v>9</v>
      </c>
      <c r="K2263" t="s">
        <v>87</v>
      </c>
      <c r="L2263" t="s">
        <v>27</v>
      </c>
      <c r="M2263" t="s">
        <v>6</v>
      </c>
      <c r="N2263" t="b">
        <v>0</v>
      </c>
      <c r="O2263">
        <v>0</v>
      </c>
      <c r="P2263">
        <v>1</v>
      </c>
      <c r="Q2263">
        <v>0</v>
      </c>
      <c r="R2263">
        <v>0</v>
      </c>
    </row>
    <row r="2264" spans="1:18" x14ac:dyDescent="0.25">
      <c r="A2264" t="s">
        <v>7</v>
      </c>
      <c r="B2264" t="s">
        <v>6</v>
      </c>
      <c r="C2264">
        <v>3</v>
      </c>
      <c r="D2264">
        <v>1</v>
      </c>
      <c r="E2264">
        <v>1</v>
      </c>
      <c r="F2264" s="15">
        <v>45915</v>
      </c>
      <c r="G2264" t="s">
        <v>101</v>
      </c>
      <c r="H2264">
        <v>4</v>
      </c>
      <c r="I2264">
        <v>2025</v>
      </c>
      <c r="J2264">
        <v>9</v>
      </c>
      <c r="K2264" t="s">
        <v>87</v>
      </c>
      <c r="L2264" t="s">
        <v>17</v>
      </c>
      <c r="M2264" t="s">
        <v>6</v>
      </c>
      <c r="N2264" t="b">
        <v>0</v>
      </c>
      <c r="O2264">
        <v>0</v>
      </c>
      <c r="P2264">
        <v>1</v>
      </c>
      <c r="Q2264">
        <v>0</v>
      </c>
      <c r="R2264">
        <v>0</v>
      </c>
    </row>
    <row r="2265" spans="1:18" x14ac:dyDescent="0.25">
      <c r="A2265" t="s">
        <v>28</v>
      </c>
      <c r="B2265" t="s">
        <v>8</v>
      </c>
      <c r="C2265">
        <v>1</v>
      </c>
      <c r="D2265">
        <v>1</v>
      </c>
      <c r="E2265">
        <v>1</v>
      </c>
      <c r="F2265" s="15">
        <v>45915</v>
      </c>
      <c r="G2265" t="s">
        <v>101</v>
      </c>
      <c r="H2265">
        <v>4</v>
      </c>
      <c r="I2265">
        <v>2025</v>
      </c>
      <c r="J2265">
        <v>9</v>
      </c>
      <c r="K2265" t="s">
        <v>87</v>
      </c>
      <c r="L2265" t="s">
        <v>7</v>
      </c>
      <c r="M2265" t="s">
        <v>6</v>
      </c>
      <c r="N2265" t="b">
        <v>0</v>
      </c>
      <c r="O2265">
        <v>1</v>
      </c>
      <c r="P2265">
        <v>0</v>
      </c>
      <c r="Q2265">
        <v>0</v>
      </c>
      <c r="R2265">
        <v>0</v>
      </c>
    </row>
    <row r="2266" spans="1:18" x14ac:dyDescent="0.25">
      <c r="A2266" t="s">
        <v>28</v>
      </c>
      <c r="B2266" t="s">
        <v>8</v>
      </c>
      <c r="C2266">
        <v>1</v>
      </c>
      <c r="D2266">
        <v>1</v>
      </c>
      <c r="E2266">
        <v>1</v>
      </c>
      <c r="F2266" s="15">
        <v>45915</v>
      </c>
      <c r="G2266" t="s">
        <v>101</v>
      </c>
      <c r="H2266">
        <v>4</v>
      </c>
      <c r="I2266">
        <v>2025</v>
      </c>
      <c r="J2266">
        <v>9</v>
      </c>
      <c r="K2266" t="s">
        <v>87</v>
      </c>
      <c r="L2266" t="s">
        <v>27</v>
      </c>
      <c r="M2266" t="s">
        <v>6</v>
      </c>
      <c r="N2266" t="b">
        <v>0</v>
      </c>
      <c r="O2266">
        <v>1</v>
      </c>
      <c r="P2266">
        <v>0</v>
      </c>
      <c r="Q2266">
        <v>0</v>
      </c>
      <c r="R2266">
        <v>0</v>
      </c>
    </row>
    <row r="2267" spans="1:18" x14ac:dyDescent="0.25">
      <c r="A2267" t="s">
        <v>28</v>
      </c>
      <c r="B2267" t="s">
        <v>8</v>
      </c>
      <c r="C2267">
        <v>1</v>
      </c>
      <c r="D2267">
        <v>1</v>
      </c>
      <c r="E2267">
        <v>1</v>
      </c>
      <c r="F2267" s="15">
        <v>45915</v>
      </c>
      <c r="G2267" t="s">
        <v>101</v>
      </c>
      <c r="H2267">
        <v>4</v>
      </c>
      <c r="I2267">
        <v>2025</v>
      </c>
      <c r="J2267">
        <v>9</v>
      </c>
      <c r="K2267" t="s">
        <v>87</v>
      </c>
      <c r="L2267" t="s">
        <v>17</v>
      </c>
      <c r="M2267" t="s">
        <v>6</v>
      </c>
      <c r="N2267" t="b">
        <v>0</v>
      </c>
      <c r="O2267">
        <v>1</v>
      </c>
      <c r="P2267">
        <v>0</v>
      </c>
      <c r="Q2267">
        <v>0</v>
      </c>
      <c r="R2267">
        <v>0</v>
      </c>
    </row>
    <row r="2268" spans="1:18" x14ac:dyDescent="0.25">
      <c r="A2268" t="s">
        <v>27</v>
      </c>
      <c r="B2268" t="s">
        <v>6</v>
      </c>
      <c r="C2268">
        <v>4</v>
      </c>
      <c r="D2268">
        <v>1</v>
      </c>
      <c r="E2268">
        <v>1</v>
      </c>
      <c r="F2268" s="15">
        <v>45915</v>
      </c>
      <c r="G2268" t="s">
        <v>101</v>
      </c>
      <c r="H2268">
        <v>4</v>
      </c>
      <c r="I2268">
        <v>2025</v>
      </c>
      <c r="J2268">
        <v>9</v>
      </c>
      <c r="K2268" t="s">
        <v>87</v>
      </c>
      <c r="L2268" t="s">
        <v>7</v>
      </c>
      <c r="M2268" t="s">
        <v>6</v>
      </c>
      <c r="N2268" t="b">
        <v>0</v>
      </c>
      <c r="O2268">
        <v>0</v>
      </c>
      <c r="P2268">
        <v>1</v>
      </c>
      <c r="Q2268">
        <v>0</v>
      </c>
      <c r="R2268">
        <v>0</v>
      </c>
    </row>
    <row r="2269" spans="1:18" x14ac:dyDescent="0.25">
      <c r="A2269" t="s">
        <v>27</v>
      </c>
      <c r="B2269" t="s">
        <v>6</v>
      </c>
      <c r="C2269">
        <v>4</v>
      </c>
      <c r="D2269">
        <v>1</v>
      </c>
      <c r="E2269">
        <v>1</v>
      </c>
      <c r="F2269" s="15">
        <v>45915</v>
      </c>
      <c r="G2269" t="s">
        <v>101</v>
      </c>
      <c r="H2269">
        <v>4</v>
      </c>
      <c r="I2269">
        <v>2025</v>
      </c>
      <c r="J2269">
        <v>9</v>
      </c>
      <c r="K2269" t="s">
        <v>87</v>
      </c>
      <c r="L2269" t="s">
        <v>28</v>
      </c>
      <c r="M2269" t="s">
        <v>8</v>
      </c>
      <c r="N2269" t="b">
        <v>0</v>
      </c>
      <c r="O2269">
        <v>0</v>
      </c>
      <c r="P2269">
        <v>1</v>
      </c>
      <c r="Q2269">
        <v>0</v>
      </c>
      <c r="R2269">
        <v>1</v>
      </c>
    </row>
    <row r="2270" spans="1:18" x14ac:dyDescent="0.25">
      <c r="A2270" t="s">
        <v>27</v>
      </c>
      <c r="B2270" t="s">
        <v>6</v>
      </c>
      <c r="C2270">
        <v>4</v>
      </c>
      <c r="D2270">
        <v>1</v>
      </c>
      <c r="E2270">
        <v>1</v>
      </c>
      <c r="F2270" s="15">
        <v>45915</v>
      </c>
      <c r="G2270" t="s">
        <v>101</v>
      </c>
      <c r="H2270">
        <v>4</v>
      </c>
      <c r="I2270">
        <v>2025</v>
      </c>
      <c r="J2270">
        <v>9</v>
      </c>
      <c r="K2270" t="s">
        <v>87</v>
      </c>
      <c r="L2270" t="s">
        <v>17</v>
      </c>
      <c r="M2270" t="s">
        <v>6</v>
      </c>
      <c r="N2270" t="b">
        <v>0</v>
      </c>
      <c r="O2270">
        <v>0</v>
      </c>
      <c r="P2270">
        <v>1</v>
      </c>
      <c r="Q2270">
        <v>0</v>
      </c>
      <c r="R2270">
        <v>0</v>
      </c>
    </row>
    <row r="2271" spans="1:18" x14ac:dyDescent="0.25">
      <c r="A2271" t="s">
        <v>17</v>
      </c>
      <c r="B2271" t="s">
        <v>6</v>
      </c>
      <c r="C2271">
        <v>2</v>
      </c>
      <c r="D2271">
        <v>1</v>
      </c>
      <c r="E2271">
        <v>1</v>
      </c>
      <c r="F2271" s="15">
        <v>45915</v>
      </c>
      <c r="G2271" t="s">
        <v>101</v>
      </c>
      <c r="H2271">
        <v>4</v>
      </c>
      <c r="I2271">
        <v>2025</v>
      </c>
      <c r="J2271">
        <v>9</v>
      </c>
      <c r="K2271" t="s">
        <v>87</v>
      </c>
      <c r="L2271" t="s">
        <v>7</v>
      </c>
      <c r="M2271" t="s">
        <v>6</v>
      </c>
      <c r="N2271" t="b">
        <v>0</v>
      </c>
      <c r="O2271">
        <v>0</v>
      </c>
      <c r="P2271">
        <v>1</v>
      </c>
      <c r="Q2271">
        <v>0</v>
      </c>
      <c r="R2271">
        <v>0</v>
      </c>
    </row>
    <row r="2272" spans="1:18" x14ac:dyDescent="0.25">
      <c r="A2272" t="s">
        <v>17</v>
      </c>
      <c r="B2272" t="s">
        <v>6</v>
      </c>
      <c r="C2272">
        <v>2</v>
      </c>
      <c r="D2272">
        <v>1</v>
      </c>
      <c r="E2272">
        <v>1</v>
      </c>
      <c r="F2272" s="15">
        <v>45915</v>
      </c>
      <c r="G2272" t="s">
        <v>101</v>
      </c>
      <c r="H2272">
        <v>4</v>
      </c>
      <c r="I2272">
        <v>2025</v>
      </c>
      <c r="J2272">
        <v>9</v>
      </c>
      <c r="K2272" t="s">
        <v>87</v>
      </c>
      <c r="L2272" t="s">
        <v>28</v>
      </c>
      <c r="M2272" t="s">
        <v>8</v>
      </c>
      <c r="N2272" t="b">
        <v>0</v>
      </c>
      <c r="O2272">
        <v>0</v>
      </c>
      <c r="P2272">
        <v>1</v>
      </c>
      <c r="Q2272">
        <v>0</v>
      </c>
      <c r="R2272">
        <v>1</v>
      </c>
    </row>
    <row r="2273" spans="1:18" x14ac:dyDescent="0.25">
      <c r="A2273" t="s">
        <v>17</v>
      </c>
      <c r="B2273" t="s">
        <v>6</v>
      </c>
      <c r="C2273">
        <v>2</v>
      </c>
      <c r="D2273">
        <v>1</v>
      </c>
      <c r="E2273">
        <v>1</v>
      </c>
      <c r="F2273" s="15">
        <v>45915</v>
      </c>
      <c r="G2273" t="s">
        <v>101</v>
      </c>
      <c r="H2273">
        <v>4</v>
      </c>
      <c r="I2273">
        <v>2025</v>
      </c>
      <c r="J2273">
        <v>9</v>
      </c>
      <c r="K2273" t="s">
        <v>87</v>
      </c>
      <c r="L2273" t="s">
        <v>27</v>
      </c>
      <c r="M2273" t="s">
        <v>6</v>
      </c>
      <c r="N2273" t="b">
        <v>0</v>
      </c>
      <c r="O2273">
        <v>0</v>
      </c>
      <c r="P2273">
        <v>1</v>
      </c>
      <c r="Q2273">
        <v>0</v>
      </c>
      <c r="R2273">
        <v>0</v>
      </c>
    </row>
    <row r="2274" spans="1:18" x14ac:dyDescent="0.25">
      <c r="A2274" t="s">
        <v>7</v>
      </c>
      <c r="B2274" t="s">
        <v>8</v>
      </c>
      <c r="C2274">
        <v>3</v>
      </c>
      <c r="D2274">
        <v>1</v>
      </c>
      <c r="E2274">
        <v>2</v>
      </c>
      <c r="F2274" s="15">
        <v>45867</v>
      </c>
      <c r="G2274" t="s">
        <v>119</v>
      </c>
      <c r="H2274">
        <v>4</v>
      </c>
      <c r="I2274">
        <v>2025</v>
      </c>
      <c r="J2274">
        <v>7</v>
      </c>
      <c r="K2274" t="s">
        <v>87</v>
      </c>
      <c r="L2274" t="s">
        <v>15</v>
      </c>
      <c r="M2274" t="s">
        <v>6</v>
      </c>
      <c r="N2274" t="b">
        <v>0</v>
      </c>
      <c r="O2274">
        <v>1</v>
      </c>
      <c r="P2274">
        <v>0</v>
      </c>
      <c r="Q2274">
        <v>0</v>
      </c>
      <c r="R2274">
        <v>0</v>
      </c>
    </row>
    <row r="2275" spans="1:18" x14ac:dyDescent="0.25">
      <c r="A2275" t="s">
        <v>7</v>
      </c>
      <c r="B2275" t="s">
        <v>8</v>
      </c>
      <c r="C2275">
        <v>3</v>
      </c>
      <c r="D2275">
        <v>1</v>
      </c>
      <c r="E2275">
        <v>2</v>
      </c>
      <c r="F2275" s="15">
        <v>45867</v>
      </c>
      <c r="G2275" t="s">
        <v>119</v>
      </c>
      <c r="H2275">
        <v>4</v>
      </c>
      <c r="I2275">
        <v>2025</v>
      </c>
      <c r="J2275">
        <v>7</v>
      </c>
      <c r="K2275" t="s">
        <v>87</v>
      </c>
      <c r="L2275" t="s">
        <v>9</v>
      </c>
      <c r="M2275" t="s">
        <v>6</v>
      </c>
      <c r="N2275" t="b">
        <v>0</v>
      </c>
      <c r="O2275">
        <v>1</v>
      </c>
      <c r="P2275">
        <v>0</v>
      </c>
      <c r="Q2275">
        <v>0</v>
      </c>
      <c r="R2275">
        <v>0</v>
      </c>
    </row>
    <row r="2276" spans="1:18" x14ac:dyDescent="0.25">
      <c r="A2276" t="s">
        <v>7</v>
      </c>
      <c r="B2276" t="s">
        <v>8</v>
      </c>
      <c r="C2276">
        <v>3</v>
      </c>
      <c r="D2276">
        <v>1</v>
      </c>
      <c r="E2276">
        <v>2</v>
      </c>
      <c r="F2276" s="15">
        <v>45867</v>
      </c>
      <c r="G2276" t="s">
        <v>119</v>
      </c>
      <c r="H2276">
        <v>4</v>
      </c>
      <c r="I2276">
        <v>2025</v>
      </c>
      <c r="J2276">
        <v>7</v>
      </c>
      <c r="K2276" t="s">
        <v>87</v>
      </c>
      <c r="L2276" t="s">
        <v>17</v>
      </c>
      <c r="M2276" t="s">
        <v>6</v>
      </c>
      <c r="N2276" t="b">
        <v>0</v>
      </c>
      <c r="O2276">
        <v>1</v>
      </c>
      <c r="P2276">
        <v>0</v>
      </c>
      <c r="Q2276">
        <v>0</v>
      </c>
      <c r="R2276">
        <v>0</v>
      </c>
    </row>
    <row r="2277" spans="1:18" x14ac:dyDescent="0.25">
      <c r="A2277" t="s">
        <v>15</v>
      </c>
      <c r="B2277" t="s">
        <v>6</v>
      </c>
      <c r="C2277">
        <v>4</v>
      </c>
      <c r="D2277">
        <v>1</v>
      </c>
      <c r="E2277">
        <v>2</v>
      </c>
      <c r="F2277" s="15">
        <v>45867</v>
      </c>
      <c r="G2277" t="s">
        <v>119</v>
      </c>
      <c r="H2277">
        <v>4</v>
      </c>
      <c r="I2277">
        <v>2025</v>
      </c>
      <c r="J2277">
        <v>7</v>
      </c>
      <c r="K2277" t="s">
        <v>87</v>
      </c>
      <c r="L2277" t="s">
        <v>7</v>
      </c>
      <c r="M2277" t="s">
        <v>8</v>
      </c>
      <c r="N2277" t="b">
        <v>0</v>
      </c>
      <c r="O2277">
        <v>0</v>
      </c>
      <c r="P2277">
        <v>1</v>
      </c>
      <c r="Q2277">
        <v>0</v>
      </c>
      <c r="R2277">
        <v>1</v>
      </c>
    </row>
    <row r="2278" spans="1:18" x14ac:dyDescent="0.25">
      <c r="A2278" t="s">
        <v>15</v>
      </c>
      <c r="B2278" t="s">
        <v>6</v>
      </c>
      <c r="C2278">
        <v>4</v>
      </c>
      <c r="D2278">
        <v>1</v>
      </c>
      <c r="E2278">
        <v>2</v>
      </c>
      <c r="F2278" s="15">
        <v>45867</v>
      </c>
      <c r="G2278" t="s">
        <v>119</v>
      </c>
      <c r="H2278">
        <v>4</v>
      </c>
      <c r="I2278">
        <v>2025</v>
      </c>
      <c r="J2278">
        <v>7</v>
      </c>
      <c r="K2278" t="s">
        <v>87</v>
      </c>
      <c r="L2278" t="s">
        <v>9</v>
      </c>
      <c r="M2278" t="s">
        <v>6</v>
      </c>
      <c r="N2278" t="b">
        <v>0</v>
      </c>
      <c r="O2278">
        <v>0</v>
      </c>
      <c r="P2278">
        <v>1</v>
      </c>
      <c r="Q2278">
        <v>0</v>
      </c>
      <c r="R2278">
        <v>0</v>
      </c>
    </row>
    <row r="2279" spans="1:18" x14ac:dyDescent="0.25">
      <c r="A2279" t="s">
        <v>15</v>
      </c>
      <c r="B2279" t="s">
        <v>6</v>
      </c>
      <c r="C2279">
        <v>4</v>
      </c>
      <c r="D2279">
        <v>1</v>
      </c>
      <c r="E2279">
        <v>2</v>
      </c>
      <c r="F2279" s="15">
        <v>45867</v>
      </c>
      <c r="G2279" t="s">
        <v>119</v>
      </c>
      <c r="H2279">
        <v>4</v>
      </c>
      <c r="I2279">
        <v>2025</v>
      </c>
      <c r="J2279">
        <v>7</v>
      </c>
      <c r="K2279" t="s">
        <v>87</v>
      </c>
      <c r="L2279" t="s">
        <v>17</v>
      </c>
      <c r="M2279" t="s">
        <v>6</v>
      </c>
      <c r="N2279" t="b">
        <v>0</v>
      </c>
      <c r="O2279">
        <v>0</v>
      </c>
      <c r="P2279">
        <v>1</v>
      </c>
      <c r="Q2279">
        <v>0</v>
      </c>
      <c r="R2279">
        <v>0</v>
      </c>
    </row>
    <row r="2280" spans="1:18" x14ac:dyDescent="0.25">
      <c r="A2280" t="s">
        <v>9</v>
      </c>
      <c r="B2280" t="s">
        <v>6</v>
      </c>
      <c r="C2280">
        <v>1</v>
      </c>
      <c r="D2280">
        <v>1</v>
      </c>
      <c r="E2280">
        <v>2</v>
      </c>
      <c r="F2280" s="15">
        <v>45867</v>
      </c>
      <c r="G2280" t="s">
        <v>119</v>
      </c>
      <c r="H2280">
        <v>4</v>
      </c>
      <c r="I2280">
        <v>2025</v>
      </c>
      <c r="J2280">
        <v>7</v>
      </c>
      <c r="K2280" t="s">
        <v>87</v>
      </c>
      <c r="L2280" t="s">
        <v>7</v>
      </c>
      <c r="M2280" t="s">
        <v>8</v>
      </c>
      <c r="N2280" t="b">
        <v>0</v>
      </c>
      <c r="O2280">
        <v>0</v>
      </c>
      <c r="P2280">
        <v>1</v>
      </c>
      <c r="Q2280">
        <v>0</v>
      </c>
      <c r="R2280">
        <v>1</v>
      </c>
    </row>
    <row r="2281" spans="1:18" x14ac:dyDescent="0.25">
      <c r="A2281" t="s">
        <v>9</v>
      </c>
      <c r="B2281" t="s">
        <v>6</v>
      </c>
      <c r="C2281">
        <v>1</v>
      </c>
      <c r="D2281">
        <v>1</v>
      </c>
      <c r="E2281">
        <v>2</v>
      </c>
      <c r="F2281" s="15">
        <v>45867</v>
      </c>
      <c r="G2281" t="s">
        <v>119</v>
      </c>
      <c r="H2281">
        <v>4</v>
      </c>
      <c r="I2281">
        <v>2025</v>
      </c>
      <c r="J2281">
        <v>7</v>
      </c>
      <c r="K2281" t="s">
        <v>87</v>
      </c>
      <c r="L2281" t="s">
        <v>15</v>
      </c>
      <c r="M2281" t="s">
        <v>6</v>
      </c>
      <c r="N2281" t="b">
        <v>0</v>
      </c>
      <c r="O2281">
        <v>0</v>
      </c>
      <c r="P2281">
        <v>1</v>
      </c>
      <c r="Q2281">
        <v>0</v>
      </c>
      <c r="R2281">
        <v>0</v>
      </c>
    </row>
    <row r="2282" spans="1:18" x14ac:dyDescent="0.25">
      <c r="A2282" t="s">
        <v>9</v>
      </c>
      <c r="B2282" t="s">
        <v>6</v>
      </c>
      <c r="C2282">
        <v>1</v>
      </c>
      <c r="D2282">
        <v>1</v>
      </c>
      <c r="E2282">
        <v>2</v>
      </c>
      <c r="F2282" s="15">
        <v>45867</v>
      </c>
      <c r="G2282" t="s">
        <v>119</v>
      </c>
      <c r="H2282">
        <v>4</v>
      </c>
      <c r="I2282">
        <v>2025</v>
      </c>
      <c r="J2282">
        <v>7</v>
      </c>
      <c r="K2282" t="s">
        <v>87</v>
      </c>
      <c r="L2282" t="s">
        <v>17</v>
      </c>
      <c r="M2282" t="s">
        <v>6</v>
      </c>
      <c r="N2282" t="b">
        <v>0</v>
      </c>
      <c r="O2282">
        <v>0</v>
      </c>
      <c r="P2282">
        <v>1</v>
      </c>
      <c r="Q2282">
        <v>0</v>
      </c>
      <c r="R2282">
        <v>0</v>
      </c>
    </row>
    <row r="2283" spans="1:18" x14ac:dyDescent="0.25">
      <c r="A2283" t="s">
        <v>17</v>
      </c>
      <c r="B2283" t="s">
        <v>6</v>
      </c>
      <c r="C2283">
        <v>2</v>
      </c>
      <c r="D2283">
        <v>1</v>
      </c>
      <c r="E2283">
        <v>2</v>
      </c>
      <c r="F2283" s="15">
        <v>45867</v>
      </c>
      <c r="G2283" t="s">
        <v>119</v>
      </c>
      <c r="H2283">
        <v>4</v>
      </c>
      <c r="I2283">
        <v>2025</v>
      </c>
      <c r="J2283">
        <v>7</v>
      </c>
      <c r="K2283" t="s">
        <v>87</v>
      </c>
      <c r="L2283" t="s">
        <v>7</v>
      </c>
      <c r="M2283" t="s">
        <v>8</v>
      </c>
      <c r="N2283" t="b">
        <v>0</v>
      </c>
      <c r="O2283">
        <v>0</v>
      </c>
      <c r="P2283">
        <v>1</v>
      </c>
      <c r="Q2283">
        <v>0</v>
      </c>
      <c r="R2283">
        <v>1</v>
      </c>
    </row>
    <row r="2284" spans="1:18" x14ac:dyDescent="0.25">
      <c r="A2284" t="s">
        <v>17</v>
      </c>
      <c r="B2284" t="s">
        <v>6</v>
      </c>
      <c r="C2284">
        <v>2</v>
      </c>
      <c r="D2284">
        <v>1</v>
      </c>
      <c r="E2284">
        <v>2</v>
      </c>
      <c r="F2284" s="15">
        <v>45867</v>
      </c>
      <c r="G2284" t="s">
        <v>119</v>
      </c>
      <c r="H2284">
        <v>4</v>
      </c>
      <c r="I2284">
        <v>2025</v>
      </c>
      <c r="J2284">
        <v>7</v>
      </c>
      <c r="K2284" t="s">
        <v>87</v>
      </c>
      <c r="L2284" t="s">
        <v>15</v>
      </c>
      <c r="M2284" t="s">
        <v>6</v>
      </c>
      <c r="N2284" t="b">
        <v>0</v>
      </c>
      <c r="O2284">
        <v>0</v>
      </c>
      <c r="P2284">
        <v>1</v>
      </c>
      <c r="Q2284">
        <v>0</v>
      </c>
      <c r="R2284">
        <v>0</v>
      </c>
    </row>
    <row r="2285" spans="1:18" x14ac:dyDescent="0.25">
      <c r="A2285" t="s">
        <v>17</v>
      </c>
      <c r="B2285" t="s">
        <v>6</v>
      </c>
      <c r="C2285">
        <v>2</v>
      </c>
      <c r="D2285">
        <v>1</v>
      </c>
      <c r="E2285">
        <v>2</v>
      </c>
      <c r="F2285" s="15">
        <v>45867</v>
      </c>
      <c r="G2285" t="s">
        <v>119</v>
      </c>
      <c r="H2285">
        <v>4</v>
      </c>
      <c r="I2285">
        <v>2025</v>
      </c>
      <c r="J2285">
        <v>7</v>
      </c>
      <c r="K2285" t="s">
        <v>87</v>
      </c>
      <c r="L2285" t="s">
        <v>9</v>
      </c>
      <c r="M2285" t="s">
        <v>6</v>
      </c>
      <c r="N2285" t="b">
        <v>0</v>
      </c>
      <c r="O2285">
        <v>0</v>
      </c>
      <c r="P2285">
        <v>1</v>
      </c>
      <c r="Q2285">
        <v>0</v>
      </c>
      <c r="R2285">
        <v>0</v>
      </c>
    </row>
    <row r="2286" spans="1:18" x14ac:dyDescent="0.25">
      <c r="A2286" t="s">
        <v>7</v>
      </c>
      <c r="B2286" t="s">
        <v>8</v>
      </c>
      <c r="C2286">
        <v>4</v>
      </c>
      <c r="D2286">
        <v>1</v>
      </c>
      <c r="E2286">
        <v>2</v>
      </c>
      <c r="F2286" s="15">
        <v>45880</v>
      </c>
      <c r="G2286" t="s">
        <v>121</v>
      </c>
      <c r="H2286">
        <v>4</v>
      </c>
      <c r="I2286">
        <v>2025</v>
      </c>
      <c r="J2286">
        <v>8</v>
      </c>
      <c r="K2286" t="s">
        <v>87</v>
      </c>
      <c r="L2286" t="s">
        <v>20</v>
      </c>
      <c r="M2286" t="s">
        <v>6</v>
      </c>
      <c r="N2286" t="b">
        <v>0</v>
      </c>
      <c r="O2286">
        <v>1</v>
      </c>
      <c r="P2286">
        <v>0</v>
      </c>
      <c r="Q2286">
        <v>0</v>
      </c>
      <c r="R2286">
        <v>0</v>
      </c>
    </row>
    <row r="2287" spans="1:18" x14ac:dyDescent="0.25">
      <c r="A2287" t="s">
        <v>7</v>
      </c>
      <c r="B2287" t="s">
        <v>8</v>
      </c>
      <c r="C2287">
        <v>4</v>
      </c>
      <c r="D2287">
        <v>1</v>
      </c>
      <c r="E2287">
        <v>2</v>
      </c>
      <c r="F2287" s="15">
        <v>45880</v>
      </c>
      <c r="G2287" t="s">
        <v>121</v>
      </c>
      <c r="H2287">
        <v>4</v>
      </c>
      <c r="I2287">
        <v>2025</v>
      </c>
      <c r="J2287">
        <v>8</v>
      </c>
      <c r="K2287" t="s">
        <v>87</v>
      </c>
      <c r="L2287" t="s">
        <v>40</v>
      </c>
      <c r="M2287" t="s">
        <v>6</v>
      </c>
      <c r="N2287" t="b">
        <v>0</v>
      </c>
      <c r="O2287">
        <v>1</v>
      </c>
      <c r="P2287">
        <v>0</v>
      </c>
      <c r="Q2287">
        <v>0</v>
      </c>
      <c r="R2287">
        <v>0</v>
      </c>
    </row>
    <row r="2288" spans="1:18" x14ac:dyDescent="0.25">
      <c r="A2288" t="s">
        <v>7</v>
      </c>
      <c r="B2288" t="s">
        <v>8</v>
      </c>
      <c r="C2288">
        <v>4</v>
      </c>
      <c r="D2288">
        <v>1</v>
      </c>
      <c r="E2288">
        <v>2</v>
      </c>
      <c r="F2288" s="15">
        <v>45880</v>
      </c>
      <c r="G2288" t="s">
        <v>121</v>
      </c>
      <c r="H2288">
        <v>4</v>
      </c>
      <c r="I2288">
        <v>2025</v>
      </c>
      <c r="J2288">
        <v>8</v>
      </c>
      <c r="K2288" t="s">
        <v>87</v>
      </c>
      <c r="L2288" t="s">
        <v>11</v>
      </c>
      <c r="M2288" t="s">
        <v>6</v>
      </c>
      <c r="N2288" t="b">
        <v>0</v>
      </c>
      <c r="O2288">
        <v>1</v>
      </c>
      <c r="P2288">
        <v>0</v>
      </c>
      <c r="Q2288">
        <v>0</v>
      </c>
      <c r="R2288">
        <v>0</v>
      </c>
    </row>
    <row r="2289" spans="1:18" x14ac:dyDescent="0.25">
      <c r="A2289" t="s">
        <v>20</v>
      </c>
      <c r="B2289" t="s">
        <v>6</v>
      </c>
      <c r="C2289">
        <v>1</v>
      </c>
      <c r="D2289">
        <v>1</v>
      </c>
      <c r="E2289">
        <v>2</v>
      </c>
      <c r="F2289" s="15">
        <v>45880</v>
      </c>
      <c r="G2289" t="s">
        <v>121</v>
      </c>
      <c r="H2289">
        <v>4</v>
      </c>
      <c r="I2289">
        <v>2025</v>
      </c>
      <c r="J2289">
        <v>8</v>
      </c>
      <c r="K2289" t="s">
        <v>87</v>
      </c>
      <c r="L2289" t="s">
        <v>7</v>
      </c>
      <c r="M2289" t="s">
        <v>8</v>
      </c>
      <c r="N2289" t="b">
        <v>0</v>
      </c>
      <c r="O2289">
        <v>0</v>
      </c>
      <c r="P2289">
        <v>1</v>
      </c>
      <c r="Q2289">
        <v>0</v>
      </c>
      <c r="R2289">
        <v>1</v>
      </c>
    </row>
    <row r="2290" spans="1:18" x14ac:dyDescent="0.25">
      <c r="A2290" t="s">
        <v>20</v>
      </c>
      <c r="B2290" t="s">
        <v>6</v>
      </c>
      <c r="C2290">
        <v>1</v>
      </c>
      <c r="D2290">
        <v>1</v>
      </c>
      <c r="E2290">
        <v>2</v>
      </c>
      <c r="F2290" s="15">
        <v>45880</v>
      </c>
      <c r="G2290" t="s">
        <v>121</v>
      </c>
      <c r="H2290">
        <v>4</v>
      </c>
      <c r="I2290">
        <v>2025</v>
      </c>
      <c r="J2290">
        <v>8</v>
      </c>
      <c r="K2290" t="s">
        <v>87</v>
      </c>
      <c r="L2290" t="s">
        <v>40</v>
      </c>
      <c r="M2290" t="s">
        <v>6</v>
      </c>
      <c r="N2290" t="b">
        <v>0</v>
      </c>
      <c r="O2290">
        <v>0</v>
      </c>
      <c r="P2290">
        <v>1</v>
      </c>
      <c r="Q2290">
        <v>0</v>
      </c>
      <c r="R2290">
        <v>0</v>
      </c>
    </row>
    <row r="2291" spans="1:18" x14ac:dyDescent="0.25">
      <c r="A2291" t="s">
        <v>20</v>
      </c>
      <c r="B2291" t="s">
        <v>6</v>
      </c>
      <c r="C2291">
        <v>1</v>
      </c>
      <c r="D2291">
        <v>1</v>
      </c>
      <c r="E2291">
        <v>2</v>
      </c>
      <c r="F2291" s="15">
        <v>45880</v>
      </c>
      <c r="G2291" t="s">
        <v>121</v>
      </c>
      <c r="H2291">
        <v>4</v>
      </c>
      <c r="I2291">
        <v>2025</v>
      </c>
      <c r="J2291">
        <v>8</v>
      </c>
      <c r="K2291" t="s">
        <v>87</v>
      </c>
      <c r="L2291" t="s">
        <v>11</v>
      </c>
      <c r="M2291" t="s">
        <v>6</v>
      </c>
      <c r="N2291" t="b">
        <v>0</v>
      </c>
      <c r="O2291">
        <v>0</v>
      </c>
      <c r="P2291">
        <v>1</v>
      </c>
      <c r="Q2291">
        <v>0</v>
      </c>
      <c r="R2291">
        <v>0</v>
      </c>
    </row>
    <row r="2292" spans="1:18" x14ac:dyDescent="0.25">
      <c r="A2292" t="s">
        <v>40</v>
      </c>
      <c r="B2292" t="s">
        <v>6</v>
      </c>
      <c r="C2292">
        <v>3</v>
      </c>
      <c r="D2292">
        <v>1</v>
      </c>
      <c r="E2292">
        <v>2</v>
      </c>
      <c r="F2292" s="15">
        <v>45880</v>
      </c>
      <c r="G2292" t="s">
        <v>121</v>
      </c>
      <c r="H2292">
        <v>4</v>
      </c>
      <c r="I2292">
        <v>2025</v>
      </c>
      <c r="J2292">
        <v>8</v>
      </c>
      <c r="K2292" t="s">
        <v>87</v>
      </c>
      <c r="L2292" t="s">
        <v>7</v>
      </c>
      <c r="M2292" t="s">
        <v>8</v>
      </c>
      <c r="N2292" t="b">
        <v>0</v>
      </c>
      <c r="O2292">
        <v>0</v>
      </c>
      <c r="P2292">
        <v>1</v>
      </c>
      <c r="Q2292">
        <v>0</v>
      </c>
      <c r="R2292">
        <v>1</v>
      </c>
    </row>
    <row r="2293" spans="1:18" x14ac:dyDescent="0.25">
      <c r="A2293" t="s">
        <v>40</v>
      </c>
      <c r="B2293" t="s">
        <v>6</v>
      </c>
      <c r="C2293">
        <v>3</v>
      </c>
      <c r="D2293">
        <v>1</v>
      </c>
      <c r="E2293">
        <v>2</v>
      </c>
      <c r="F2293" s="15">
        <v>45880</v>
      </c>
      <c r="G2293" t="s">
        <v>121</v>
      </c>
      <c r="H2293">
        <v>4</v>
      </c>
      <c r="I2293">
        <v>2025</v>
      </c>
      <c r="J2293">
        <v>8</v>
      </c>
      <c r="K2293" t="s">
        <v>87</v>
      </c>
      <c r="L2293" t="s">
        <v>20</v>
      </c>
      <c r="M2293" t="s">
        <v>6</v>
      </c>
      <c r="N2293" t="b">
        <v>0</v>
      </c>
      <c r="O2293">
        <v>0</v>
      </c>
      <c r="P2293">
        <v>1</v>
      </c>
      <c r="Q2293">
        <v>0</v>
      </c>
      <c r="R2293">
        <v>0</v>
      </c>
    </row>
    <row r="2294" spans="1:18" x14ac:dyDescent="0.25">
      <c r="A2294" t="s">
        <v>40</v>
      </c>
      <c r="B2294" t="s">
        <v>6</v>
      </c>
      <c r="C2294">
        <v>3</v>
      </c>
      <c r="D2294">
        <v>1</v>
      </c>
      <c r="E2294">
        <v>2</v>
      </c>
      <c r="F2294" s="15">
        <v>45880</v>
      </c>
      <c r="G2294" t="s">
        <v>121</v>
      </c>
      <c r="H2294">
        <v>4</v>
      </c>
      <c r="I2294">
        <v>2025</v>
      </c>
      <c r="J2294">
        <v>8</v>
      </c>
      <c r="K2294" t="s">
        <v>87</v>
      </c>
      <c r="L2294" t="s">
        <v>11</v>
      </c>
      <c r="M2294" t="s">
        <v>6</v>
      </c>
      <c r="N2294" t="b">
        <v>0</v>
      </c>
      <c r="O2294">
        <v>0</v>
      </c>
      <c r="P2294">
        <v>1</v>
      </c>
      <c r="Q2294">
        <v>0</v>
      </c>
      <c r="R2294">
        <v>0</v>
      </c>
    </row>
    <row r="2295" spans="1:18" x14ac:dyDescent="0.25">
      <c r="A2295" t="s">
        <v>11</v>
      </c>
      <c r="B2295" t="s">
        <v>6</v>
      </c>
      <c r="C2295">
        <v>2</v>
      </c>
      <c r="D2295">
        <v>1</v>
      </c>
      <c r="E2295">
        <v>2</v>
      </c>
      <c r="F2295" s="15">
        <v>45880</v>
      </c>
      <c r="G2295" t="s">
        <v>121</v>
      </c>
      <c r="H2295">
        <v>4</v>
      </c>
      <c r="I2295">
        <v>2025</v>
      </c>
      <c r="J2295">
        <v>8</v>
      </c>
      <c r="K2295" t="s">
        <v>87</v>
      </c>
      <c r="L2295" t="s">
        <v>7</v>
      </c>
      <c r="M2295" t="s">
        <v>8</v>
      </c>
      <c r="N2295" t="b">
        <v>0</v>
      </c>
      <c r="O2295">
        <v>0</v>
      </c>
      <c r="P2295">
        <v>1</v>
      </c>
      <c r="Q2295">
        <v>0</v>
      </c>
      <c r="R2295">
        <v>1</v>
      </c>
    </row>
    <row r="2296" spans="1:18" x14ac:dyDescent="0.25">
      <c r="A2296" t="s">
        <v>11</v>
      </c>
      <c r="B2296" t="s">
        <v>6</v>
      </c>
      <c r="C2296">
        <v>2</v>
      </c>
      <c r="D2296">
        <v>1</v>
      </c>
      <c r="E2296">
        <v>2</v>
      </c>
      <c r="F2296" s="15">
        <v>45880</v>
      </c>
      <c r="G2296" t="s">
        <v>121</v>
      </c>
      <c r="H2296">
        <v>4</v>
      </c>
      <c r="I2296">
        <v>2025</v>
      </c>
      <c r="J2296">
        <v>8</v>
      </c>
      <c r="K2296" t="s">
        <v>87</v>
      </c>
      <c r="L2296" t="s">
        <v>20</v>
      </c>
      <c r="M2296" t="s">
        <v>6</v>
      </c>
      <c r="N2296" t="b">
        <v>0</v>
      </c>
      <c r="O2296">
        <v>0</v>
      </c>
      <c r="P2296">
        <v>1</v>
      </c>
      <c r="Q2296">
        <v>0</v>
      </c>
      <c r="R2296">
        <v>0</v>
      </c>
    </row>
    <row r="2297" spans="1:18" x14ac:dyDescent="0.25">
      <c r="A2297" t="s">
        <v>11</v>
      </c>
      <c r="B2297" t="s">
        <v>6</v>
      </c>
      <c r="C2297">
        <v>2</v>
      </c>
      <c r="D2297">
        <v>1</v>
      </c>
      <c r="E2297">
        <v>2</v>
      </c>
      <c r="F2297" s="15">
        <v>45880</v>
      </c>
      <c r="G2297" t="s">
        <v>121</v>
      </c>
      <c r="H2297">
        <v>4</v>
      </c>
      <c r="I2297">
        <v>2025</v>
      </c>
      <c r="J2297">
        <v>8</v>
      </c>
      <c r="K2297" t="s">
        <v>87</v>
      </c>
      <c r="L2297" t="s">
        <v>40</v>
      </c>
      <c r="M2297" t="s">
        <v>6</v>
      </c>
      <c r="N2297" t="b">
        <v>0</v>
      </c>
      <c r="O2297">
        <v>0</v>
      </c>
      <c r="P2297">
        <v>1</v>
      </c>
      <c r="Q2297">
        <v>0</v>
      </c>
      <c r="R2297">
        <v>0</v>
      </c>
    </row>
    <row r="2298" spans="1:18" x14ac:dyDescent="0.25">
      <c r="A2298" t="s">
        <v>7</v>
      </c>
      <c r="B2298" t="s">
        <v>6</v>
      </c>
      <c r="C2298">
        <v>3</v>
      </c>
      <c r="D2298">
        <v>1</v>
      </c>
      <c r="E2298">
        <v>2</v>
      </c>
      <c r="F2298" s="15">
        <v>45929</v>
      </c>
      <c r="G2298" t="s">
        <v>127</v>
      </c>
      <c r="H2298">
        <v>4</v>
      </c>
      <c r="I2298">
        <v>2025</v>
      </c>
      <c r="J2298">
        <v>9</v>
      </c>
      <c r="K2298" t="s">
        <v>87</v>
      </c>
      <c r="L2298" t="s">
        <v>52</v>
      </c>
      <c r="M2298" t="s">
        <v>8</v>
      </c>
      <c r="N2298" t="b">
        <v>0</v>
      </c>
      <c r="O2298">
        <v>0</v>
      </c>
      <c r="P2298">
        <v>1</v>
      </c>
      <c r="Q2298">
        <v>0</v>
      </c>
      <c r="R2298">
        <v>1</v>
      </c>
    </row>
    <row r="2299" spans="1:18" x14ac:dyDescent="0.25">
      <c r="A2299" t="s">
        <v>7</v>
      </c>
      <c r="B2299" t="s">
        <v>6</v>
      </c>
      <c r="C2299">
        <v>3</v>
      </c>
      <c r="D2299">
        <v>1</v>
      </c>
      <c r="E2299">
        <v>2</v>
      </c>
      <c r="F2299" s="15">
        <v>45929</v>
      </c>
      <c r="G2299" t="s">
        <v>127</v>
      </c>
      <c r="H2299">
        <v>4</v>
      </c>
      <c r="I2299">
        <v>2025</v>
      </c>
      <c r="J2299">
        <v>9</v>
      </c>
      <c r="K2299" t="s">
        <v>87</v>
      </c>
      <c r="L2299" t="s">
        <v>12</v>
      </c>
      <c r="M2299" t="s">
        <v>6</v>
      </c>
      <c r="N2299" t="b">
        <v>0</v>
      </c>
      <c r="O2299">
        <v>0</v>
      </c>
      <c r="P2299">
        <v>1</v>
      </c>
      <c r="Q2299">
        <v>0</v>
      </c>
      <c r="R2299">
        <v>0</v>
      </c>
    </row>
    <row r="2300" spans="1:18" x14ac:dyDescent="0.25">
      <c r="A2300" t="s">
        <v>7</v>
      </c>
      <c r="B2300" t="s">
        <v>6</v>
      </c>
      <c r="C2300">
        <v>3</v>
      </c>
      <c r="D2300">
        <v>1</v>
      </c>
      <c r="E2300">
        <v>2</v>
      </c>
      <c r="F2300" s="15">
        <v>45929</v>
      </c>
      <c r="G2300" t="s">
        <v>127</v>
      </c>
      <c r="H2300">
        <v>4</v>
      </c>
      <c r="I2300">
        <v>2025</v>
      </c>
      <c r="J2300">
        <v>9</v>
      </c>
      <c r="K2300" t="s">
        <v>87</v>
      </c>
      <c r="L2300" t="s">
        <v>9</v>
      </c>
      <c r="M2300" t="s">
        <v>6</v>
      </c>
      <c r="N2300" t="b">
        <v>0</v>
      </c>
      <c r="O2300">
        <v>0</v>
      </c>
      <c r="P2300">
        <v>1</v>
      </c>
      <c r="Q2300">
        <v>0</v>
      </c>
      <c r="R2300">
        <v>0</v>
      </c>
    </row>
    <row r="2301" spans="1:18" x14ac:dyDescent="0.25">
      <c r="A2301" t="s">
        <v>52</v>
      </c>
      <c r="B2301" t="s">
        <v>8</v>
      </c>
      <c r="C2301">
        <v>2</v>
      </c>
      <c r="D2301">
        <v>1</v>
      </c>
      <c r="E2301">
        <v>2</v>
      </c>
      <c r="F2301" s="15">
        <v>45929</v>
      </c>
      <c r="G2301" t="s">
        <v>127</v>
      </c>
      <c r="H2301">
        <v>4</v>
      </c>
      <c r="I2301">
        <v>2025</v>
      </c>
      <c r="J2301">
        <v>9</v>
      </c>
      <c r="K2301" t="s">
        <v>87</v>
      </c>
      <c r="L2301" t="s">
        <v>7</v>
      </c>
      <c r="M2301" t="s">
        <v>6</v>
      </c>
      <c r="N2301" t="b">
        <v>0</v>
      </c>
      <c r="O2301">
        <v>1</v>
      </c>
      <c r="P2301">
        <v>0</v>
      </c>
      <c r="Q2301">
        <v>0</v>
      </c>
      <c r="R2301">
        <v>0</v>
      </c>
    </row>
    <row r="2302" spans="1:18" x14ac:dyDescent="0.25">
      <c r="A2302" t="s">
        <v>52</v>
      </c>
      <c r="B2302" t="s">
        <v>8</v>
      </c>
      <c r="C2302">
        <v>2</v>
      </c>
      <c r="D2302">
        <v>1</v>
      </c>
      <c r="E2302">
        <v>2</v>
      </c>
      <c r="F2302" s="15">
        <v>45929</v>
      </c>
      <c r="G2302" t="s">
        <v>127</v>
      </c>
      <c r="H2302">
        <v>4</v>
      </c>
      <c r="I2302">
        <v>2025</v>
      </c>
      <c r="J2302">
        <v>9</v>
      </c>
      <c r="K2302" t="s">
        <v>87</v>
      </c>
      <c r="L2302" t="s">
        <v>12</v>
      </c>
      <c r="M2302" t="s">
        <v>6</v>
      </c>
      <c r="N2302" t="b">
        <v>0</v>
      </c>
      <c r="O2302">
        <v>1</v>
      </c>
      <c r="P2302">
        <v>0</v>
      </c>
      <c r="Q2302">
        <v>0</v>
      </c>
      <c r="R2302">
        <v>0</v>
      </c>
    </row>
    <row r="2303" spans="1:18" x14ac:dyDescent="0.25">
      <c r="A2303" t="s">
        <v>52</v>
      </c>
      <c r="B2303" t="s">
        <v>8</v>
      </c>
      <c r="C2303">
        <v>2</v>
      </c>
      <c r="D2303">
        <v>1</v>
      </c>
      <c r="E2303">
        <v>2</v>
      </c>
      <c r="F2303" s="15">
        <v>45929</v>
      </c>
      <c r="G2303" t="s">
        <v>127</v>
      </c>
      <c r="H2303">
        <v>4</v>
      </c>
      <c r="I2303">
        <v>2025</v>
      </c>
      <c r="J2303">
        <v>9</v>
      </c>
      <c r="K2303" t="s">
        <v>87</v>
      </c>
      <c r="L2303" t="s">
        <v>9</v>
      </c>
      <c r="M2303" t="s">
        <v>6</v>
      </c>
      <c r="N2303" t="b">
        <v>0</v>
      </c>
      <c r="O2303">
        <v>1</v>
      </c>
      <c r="P2303">
        <v>0</v>
      </c>
      <c r="Q2303">
        <v>0</v>
      </c>
      <c r="R2303">
        <v>0</v>
      </c>
    </row>
    <row r="2304" spans="1:18" x14ac:dyDescent="0.25">
      <c r="A2304" t="s">
        <v>12</v>
      </c>
      <c r="B2304" t="s">
        <v>6</v>
      </c>
      <c r="C2304">
        <v>4</v>
      </c>
      <c r="D2304">
        <v>1</v>
      </c>
      <c r="E2304">
        <v>2</v>
      </c>
      <c r="F2304" s="15">
        <v>45929</v>
      </c>
      <c r="G2304" t="s">
        <v>127</v>
      </c>
      <c r="H2304">
        <v>4</v>
      </c>
      <c r="I2304">
        <v>2025</v>
      </c>
      <c r="J2304">
        <v>9</v>
      </c>
      <c r="K2304" t="s">
        <v>87</v>
      </c>
      <c r="L2304" t="s">
        <v>7</v>
      </c>
      <c r="M2304" t="s">
        <v>6</v>
      </c>
      <c r="N2304" t="b">
        <v>0</v>
      </c>
      <c r="O2304">
        <v>0</v>
      </c>
      <c r="P2304">
        <v>1</v>
      </c>
      <c r="Q2304">
        <v>0</v>
      </c>
      <c r="R2304">
        <v>0</v>
      </c>
    </row>
    <row r="2305" spans="1:18" x14ac:dyDescent="0.25">
      <c r="A2305" t="s">
        <v>12</v>
      </c>
      <c r="B2305" t="s">
        <v>6</v>
      </c>
      <c r="C2305">
        <v>4</v>
      </c>
      <c r="D2305">
        <v>1</v>
      </c>
      <c r="E2305">
        <v>2</v>
      </c>
      <c r="F2305" s="15">
        <v>45929</v>
      </c>
      <c r="G2305" t="s">
        <v>127</v>
      </c>
      <c r="H2305">
        <v>4</v>
      </c>
      <c r="I2305">
        <v>2025</v>
      </c>
      <c r="J2305">
        <v>9</v>
      </c>
      <c r="K2305" t="s">
        <v>87</v>
      </c>
      <c r="L2305" t="s">
        <v>52</v>
      </c>
      <c r="M2305" t="s">
        <v>8</v>
      </c>
      <c r="N2305" t="b">
        <v>0</v>
      </c>
      <c r="O2305">
        <v>0</v>
      </c>
      <c r="P2305">
        <v>1</v>
      </c>
      <c r="Q2305">
        <v>0</v>
      </c>
      <c r="R2305">
        <v>1</v>
      </c>
    </row>
    <row r="2306" spans="1:18" x14ac:dyDescent="0.25">
      <c r="A2306" t="s">
        <v>12</v>
      </c>
      <c r="B2306" t="s">
        <v>6</v>
      </c>
      <c r="C2306">
        <v>4</v>
      </c>
      <c r="D2306">
        <v>1</v>
      </c>
      <c r="E2306">
        <v>2</v>
      </c>
      <c r="F2306" s="15">
        <v>45929</v>
      </c>
      <c r="G2306" t="s">
        <v>127</v>
      </c>
      <c r="H2306">
        <v>4</v>
      </c>
      <c r="I2306">
        <v>2025</v>
      </c>
      <c r="J2306">
        <v>9</v>
      </c>
      <c r="K2306" t="s">
        <v>87</v>
      </c>
      <c r="L2306" t="s">
        <v>9</v>
      </c>
      <c r="M2306" t="s">
        <v>6</v>
      </c>
      <c r="N2306" t="b">
        <v>0</v>
      </c>
      <c r="O2306">
        <v>0</v>
      </c>
      <c r="P2306">
        <v>1</v>
      </c>
      <c r="Q2306">
        <v>0</v>
      </c>
      <c r="R2306">
        <v>0</v>
      </c>
    </row>
    <row r="2307" spans="1:18" x14ac:dyDescent="0.25">
      <c r="A2307" t="s">
        <v>9</v>
      </c>
      <c r="B2307" t="s">
        <v>6</v>
      </c>
      <c r="C2307">
        <v>1</v>
      </c>
      <c r="D2307">
        <v>1</v>
      </c>
      <c r="E2307">
        <v>2</v>
      </c>
      <c r="F2307" s="15">
        <v>45929</v>
      </c>
      <c r="G2307" t="s">
        <v>127</v>
      </c>
      <c r="H2307">
        <v>4</v>
      </c>
      <c r="I2307">
        <v>2025</v>
      </c>
      <c r="J2307">
        <v>9</v>
      </c>
      <c r="K2307" t="s">
        <v>87</v>
      </c>
      <c r="L2307" t="s">
        <v>7</v>
      </c>
      <c r="M2307" t="s">
        <v>6</v>
      </c>
      <c r="N2307" t="b">
        <v>0</v>
      </c>
      <c r="O2307">
        <v>0</v>
      </c>
      <c r="P2307">
        <v>1</v>
      </c>
      <c r="Q2307">
        <v>0</v>
      </c>
      <c r="R2307">
        <v>0</v>
      </c>
    </row>
    <row r="2308" spans="1:18" x14ac:dyDescent="0.25">
      <c r="A2308" t="s">
        <v>9</v>
      </c>
      <c r="B2308" t="s">
        <v>6</v>
      </c>
      <c r="C2308">
        <v>1</v>
      </c>
      <c r="D2308">
        <v>1</v>
      </c>
      <c r="E2308">
        <v>2</v>
      </c>
      <c r="F2308" s="15">
        <v>45929</v>
      </c>
      <c r="G2308" t="s">
        <v>127</v>
      </c>
      <c r="H2308">
        <v>4</v>
      </c>
      <c r="I2308">
        <v>2025</v>
      </c>
      <c r="J2308">
        <v>9</v>
      </c>
      <c r="K2308" t="s">
        <v>87</v>
      </c>
      <c r="L2308" t="s">
        <v>52</v>
      </c>
      <c r="M2308" t="s">
        <v>8</v>
      </c>
      <c r="N2308" t="b">
        <v>0</v>
      </c>
      <c r="O2308">
        <v>0</v>
      </c>
      <c r="P2308">
        <v>1</v>
      </c>
      <c r="Q2308">
        <v>0</v>
      </c>
      <c r="R2308">
        <v>1</v>
      </c>
    </row>
    <row r="2309" spans="1:18" x14ac:dyDescent="0.25">
      <c r="A2309" t="s">
        <v>9</v>
      </c>
      <c r="B2309" t="s">
        <v>6</v>
      </c>
      <c r="C2309">
        <v>1</v>
      </c>
      <c r="D2309">
        <v>1</v>
      </c>
      <c r="E2309">
        <v>2</v>
      </c>
      <c r="F2309" s="15">
        <v>45929</v>
      </c>
      <c r="G2309" t="s">
        <v>127</v>
      </c>
      <c r="H2309">
        <v>4</v>
      </c>
      <c r="I2309">
        <v>2025</v>
      </c>
      <c r="J2309">
        <v>9</v>
      </c>
      <c r="K2309" t="s">
        <v>87</v>
      </c>
      <c r="L2309" t="s">
        <v>12</v>
      </c>
      <c r="M2309" t="s">
        <v>6</v>
      </c>
      <c r="N2309" t="b">
        <v>0</v>
      </c>
      <c r="O2309">
        <v>0</v>
      </c>
      <c r="P2309">
        <v>1</v>
      </c>
      <c r="Q2309">
        <v>0</v>
      </c>
      <c r="R2309">
        <v>0</v>
      </c>
    </row>
    <row r="2310" spans="1:18" x14ac:dyDescent="0.25">
      <c r="A2310" t="s">
        <v>7</v>
      </c>
      <c r="B2310" t="s">
        <v>8</v>
      </c>
      <c r="C2310">
        <v>2</v>
      </c>
      <c r="D2310">
        <v>1</v>
      </c>
      <c r="E2310">
        <v>2</v>
      </c>
      <c r="F2310" s="15">
        <v>45964</v>
      </c>
      <c r="G2310" t="s">
        <v>132</v>
      </c>
      <c r="H2310">
        <v>5</v>
      </c>
      <c r="I2310">
        <v>2025</v>
      </c>
      <c r="J2310">
        <v>11</v>
      </c>
      <c r="K2310" t="s">
        <v>87</v>
      </c>
      <c r="L2310" t="s">
        <v>20</v>
      </c>
      <c r="M2310" t="s">
        <v>6</v>
      </c>
      <c r="N2310" t="b">
        <v>0</v>
      </c>
      <c r="O2310">
        <v>1</v>
      </c>
      <c r="P2310">
        <v>0</v>
      </c>
      <c r="Q2310">
        <v>0</v>
      </c>
      <c r="R2310">
        <v>0</v>
      </c>
    </row>
    <row r="2311" spans="1:18" x14ac:dyDescent="0.25">
      <c r="A2311" t="s">
        <v>7</v>
      </c>
      <c r="B2311" t="s">
        <v>8</v>
      </c>
      <c r="C2311">
        <v>2</v>
      </c>
      <c r="D2311">
        <v>1</v>
      </c>
      <c r="E2311">
        <v>2</v>
      </c>
      <c r="F2311" s="15">
        <v>45964</v>
      </c>
      <c r="G2311" t="s">
        <v>132</v>
      </c>
      <c r="H2311">
        <v>5</v>
      </c>
      <c r="I2311">
        <v>2025</v>
      </c>
      <c r="J2311">
        <v>11</v>
      </c>
      <c r="K2311" t="s">
        <v>87</v>
      </c>
      <c r="L2311" t="s">
        <v>28</v>
      </c>
      <c r="M2311" t="s">
        <v>6</v>
      </c>
      <c r="N2311" t="b">
        <v>0</v>
      </c>
      <c r="O2311">
        <v>1</v>
      </c>
      <c r="P2311">
        <v>0</v>
      </c>
      <c r="Q2311">
        <v>0</v>
      </c>
      <c r="R2311">
        <v>0</v>
      </c>
    </row>
    <row r="2312" spans="1:18" x14ac:dyDescent="0.25">
      <c r="A2312" t="s">
        <v>7</v>
      </c>
      <c r="B2312" t="s">
        <v>8</v>
      </c>
      <c r="C2312">
        <v>2</v>
      </c>
      <c r="D2312">
        <v>1</v>
      </c>
      <c r="E2312">
        <v>2</v>
      </c>
      <c r="F2312" s="15">
        <v>45964</v>
      </c>
      <c r="G2312" t="s">
        <v>132</v>
      </c>
      <c r="H2312">
        <v>5</v>
      </c>
      <c r="I2312">
        <v>2025</v>
      </c>
      <c r="J2312">
        <v>11</v>
      </c>
      <c r="K2312" t="s">
        <v>87</v>
      </c>
      <c r="L2312" t="s">
        <v>61</v>
      </c>
      <c r="M2312" t="s">
        <v>6</v>
      </c>
      <c r="N2312" t="b">
        <v>0</v>
      </c>
      <c r="O2312">
        <v>1</v>
      </c>
      <c r="P2312">
        <v>0</v>
      </c>
      <c r="Q2312">
        <v>0</v>
      </c>
      <c r="R2312">
        <v>0</v>
      </c>
    </row>
    <row r="2313" spans="1:18" x14ac:dyDescent="0.25">
      <c r="A2313" t="s">
        <v>7</v>
      </c>
      <c r="B2313" t="s">
        <v>8</v>
      </c>
      <c r="C2313">
        <v>2</v>
      </c>
      <c r="D2313">
        <v>1</v>
      </c>
      <c r="E2313">
        <v>2</v>
      </c>
      <c r="F2313" s="15">
        <v>45964</v>
      </c>
      <c r="G2313" t="s">
        <v>132</v>
      </c>
      <c r="H2313">
        <v>5</v>
      </c>
      <c r="I2313">
        <v>2025</v>
      </c>
      <c r="J2313">
        <v>11</v>
      </c>
      <c r="K2313" t="s">
        <v>87</v>
      </c>
      <c r="L2313" t="s">
        <v>53</v>
      </c>
      <c r="M2313" t="s">
        <v>6</v>
      </c>
      <c r="N2313" t="b">
        <v>0</v>
      </c>
      <c r="O2313">
        <v>1</v>
      </c>
      <c r="P2313">
        <v>0</v>
      </c>
      <c r="Q2313">
        <v>0</v>
      </c>
      <c r="R2313">
        <v>0</v>
      </c>
    </row>
    <row r="2314" spans="1:18" x14ac:dyDescent="0.25">
      <c r="A2314" t="s">
        <v>20</v>
      </c>
      <c r="B2314" t="s">
        <v>6</v>
      </c>
      <c r="C2314">
        <v>5</v>
      </c>
      <c r="D2314">
        <v>1</v>
      </c>
      <c r="E2314">
        <v>2</v>
      </c>
      <c r="F2314" s="15">
        <v>45964</v>
      </c>
      <c r="G2314" t="s">
        <v>132</v>
      </c>
      <c r="H2314">
        <v>5</v>
      </c>
      <c r="I2314">
        <v>2025</v>
      </c>
      <c r="J2314">
        <v>11</v>
      </c>
      <c r="K2314" t="s">
        <v>87</v>
      </c>
      <c r="L2314" t="s">
        <v>7</v>
      </c>
      <c r="M2314" t="s">
        <v>8</v>
      </c>
      <c r="N2314" t="b">
        <v>0</v>
      </c>
      <c r="O2314">
        <v>0</v>
      </c>
      <c r="P2314">
        <v>1</v>
      </c>
      <c r="Q2314">
        <v>0</v>
      </c>
      <c r="R2314">
        <v>1</v>
      </c>
    </row>
    <row r="2315" spans="1:18" x14ac:dyDescent="0.25">
      <c r="A2315" t="s">
        <v>20</v>
      </c>
      <c r="B2315" t="s">
        <v>6</v>
      </c>
      <c r="C2315">
        <v>5</v>
      </c>
      <c r="D2315">
        <v>1</v>
      </c>
      <c r="E2315">
        <v>2</v>
      </c>
      <c r="F2315" s="15">
        <v>45964</v>
      </c>
      <c r="G2315" t="s">
        <v>132</v>
      </c>
      <c r="H2315">
        <v>5</v>
      </c>
      <c r="I2315">
        <v>2025</v>
      </c>
      <c r="J2315">
        <v>11</v>
      </c>
      <c r="K2315" t="s">
        <v>87</v>
      </c>
      <c r="L2315" t="s">
        <v>28</v>
      </c>
      <c r="M2315" t="s">
        <v>6</v>
      </c>
      <c r="N2315" t="b">
        <v>0</v>
      </c>
      <c r="O2315">
        <v>0</v>
      </c>
      <c r="P2315">
        <v>1</v>
      </c>
      <c r="Q2315">
        <v>0</v>
      </c>
      <c r="R2315">
        <v>0</v>
      </c>
    </row>
    <row r="2316" spans="1:18" x14ac:dyDescent="0.25">
      <c r="A2316" t="s">
        <v>20</v>
      </c>
      <c r="B2316" t="s">
        <v>6</v>
      </c>
      <c r="C2316">
        <v>5</v>
      </c>
      <c r="D2316">
        <v>1</v>
      </c>
      <c r="E2316">
        <v>2</v>
      </c>
      <c r="F2316" s="15">
        <v>45964</v>
      </c>
      <c r="G2316" t="s">
        <v>132</v>
      </c>
      <c r="H2316">
        <v>5</v>
      </c>
      <c r="I2316">
        <v>2025</v>
      </c>
      <c r="J2316">
        <v>11</v>
      </c>
      <c r="K2316" t="s">
        <v>87</v>
      </c>
      <c r="L2316" t="s">
        <v>61</v>
      </c>
      <c r="M2316" t="s">
        <v>6</v>
      </c>
      <c r="N2316" t="b">
        <v>0</v>
      </c>
      <c r="O2316">
        <v>0</v>
      </c>
      <c r="P2316">
        <v>1</v>
      </c>
      <c r="Q2316">
        <v>0</v>
      </c>
      <c r="R2316">
        <v>0</v>
      </c>
    </row>
    <row r="2317" spans="1:18" x14ac:dyDescent="0.25">
      <c r="A2317" t="s">
        <v>20</v>
      </c>
      <c r="B2317" t="s">
        <v>6</v>
      </c>
      <c r="C2317">
        <v>5</v>
      </c>
      <c r="D2317">
        <v>1</v>
      </c>
      <c r="E2317">
        <v>2</v>
      </c>
      <c r="F2317" s="15">
        <v>45964</v>
      </c>
      <c r="G2317" t="s">
        <v>132</v>
      </c>
      <c r="H2317">
        <v>5</v>
      </c>
      <c r="I2317">
        <v>2025</v>
      </c>
      <c r="J2317">
        <v>11</v>
      </c>
      <c r="K2317" t="s">
        <v>87</v>
      </c>
      <c r="L2317" t="s">
        <v>53</v>
      </c>
      <c r="M2317" t="s">
        <v>6</v>
      </c>
      <c r="N2317" t="b">
        <v>0</v>
      </c>
      <c r="O2317">
        <v>0</v>
      </c>
      <c r="P2317">
        <v>1</v>
      </c>
      <c r="Q2317">
        <v>0</v>
      </c>
      <c r="R2317">
        <v>0</v>
      </c>
    </row>
    <row r="2318" spans="1:18" x14ac:dyDescent="0.25">
      <c r="A2318" t="s">
        <v>28</v>
      </c>
      <c r="B2318" t="s">
        <v>6</v>
      </c>
      <c r="C2318">
        <v>4</v>
      </c>
      <c r="D2318">
        <v>1</v>
      </c>
      <c r="E2318">
        <v>2</v>
      </c>
      <c r="F2318" s="15">
        <v>45964</v>
      </c>
      <c r="G2318" t="s">
        <v>132</v>
      </c>
      <c r="H2318">
        <v>5</v>
      </c>
      <c r="I2318">
        <v>2025</v>
      </c>
      <c r="J2318">
        <v>11</v>
      </c>
      <c r="K2318" t="s">
        <v>87</v>
      </c>
      <c r="L2318" t="s">
        <v>7</v>
      </c>
      <c r="M2318" t="s">
        <v>8</v>
      </c>
      <c r="N2318" t="b">
        <v>0</v>
      </c>
      <c r="O2318">
        <v>0</v>
      </c>
      <c r="P2318">
        <v>1</v>
      </c>
      <c r="Q2318">
        <v>0</v>
      </c>
      <c r="R2318">
        <v>1</v>
      </c>
    </row>
    <row r="2319" spans="1:18" x14ac:dyDescent="0.25">
      <c r="A2319" t="s">
        <v>28</v>
      </c>
      <c r="B2319" t="s">
        <v>6</v>
      </c>
      <c r="C2319">
        <v>4</v>
      </c>
      <c r="D2319">
        <v>1</v>
      </c>
      <c r="E2319">
        <v>2</v>
      </c>
      <c r="F2319" s="15">
        <v>45964</v>
      </c>
      <c r="G2319" t="s">
        <v>132</v>
      </c>
      <c r="H2319">
        <v>5</v>
      </c>
      <c r="I2319">
        <v>2025</v>
      </c>
      <c r="J2319">
        <v>11</v>
      </c>
      <c r="K2319" t="s">
        <v>87</v>
      </c>
      <c r="L2319" t="s">
        <v>20</v>
      </c>
      <c r="M2319" t="s">
        <v>6</v>
      </c>
      <c r="N2319" t="b">
        <v>0</v>
      </c>
      <c r="O2319">
        <v>0</v>
      </c>
      <c r="P2319">
        <v>1</v>
      </c>
      <c r="Q2319">
        <v>0</v>
      </c>
      <c r="R2319">
        <v>0</v>
      </c>
    </row>
    <row r="2320" spans="1:18" x14ac:dyDescent="0.25">
      <c r="A2320" t="s">
        <v>28</v>
      </c>
      <c r="B2320" t="s">
        <v>6</v>
      </c>
      <c r="C2320">
        <v>4</v>
      </c>
      <c r="D2320">
        <v>1</v>
      </c>
      <c r="E2320">
        <v>2</v>
      </c>
      <c r="F2320" s="15">
        <v>45964</v>
      </c>
      <c r="G2320" t="s">
        <v>132</v>
      </c>
      <c r="H2320">
        <v>5</v>
      </c>
      <c r="I2320">
        <v>2025</v>
      </c>
      <c r="J2320">
        <v>11</v>
      </c>
      <c r="K2320" t="s">
        <v>87</v>
      </c>
      <c r="L2320" t="s">
        <v>61</v>
      </c>
      <c r="M2320" t="s">
        <v>6</v>
      </c>
      <c r="N2320" t="b">
        <v>0</v>
      </c>
      <c r="O2320">
        <v>0</v>
      </c>
      <c r="P2320">
        <v>1</v>
      </c>
      <c r="Q2320">
        <v>0</v>
      </c>
      <c r="R2320">
        <v>0</v>
      </c>
    </row>
    <row r="2321" spans="1:18" x14ac:dyDescent="0.25">
      <c r="A2321" t="s">
        <v>28</v>
      </c>
      <c r="B2321" t="s">
        <v>6</v>
      </c>
      <c r="C2321">
        <v>4</v>
      </c>
      <c r="D2321">
        <v>1</v>
      </c>
      <c r="E2321">
        <v>2</v>
      </c>
      <c r="F2321" s="15">
        <v>45964</v>
      </c>
      <c r="G2321" t="s">
        <v>132</v>
      </c>
      <c r="H2321">
        <v>5</v>
      </c>
      <c r="I2321">
        <v>2025</v>
      </c>
      <c r="J2321">
        <v>11</v>
      </c>
      <c r="K2321" t="s">
        <v>87</v>
      </c>
      <c r="L2321" t="s">
        <v>53</v>
      </c>
      <c r="M2321" t="s">
        <v>6</v>
      </c>
      <c r="N2321" t="b">
        <v>0</v>
      </c>
      <c r="O2321">
        <v>0</v>
      </c>
      <c r="P2321">
        <v>1</v>
      </c>
      <c r="Q2321">
        <v>0</v>
      </c>
      <c r="R2321">
        <v>0</v>
      </c>
    </row>
    <row r="2322" spans="1:18" x14ac:dyDescent="0.25">
      <c r="A2322" t="s">
        <v>61</v>
      </c>
      <c r="B2322" t="s">
        <v>6</v>
      </c>
      <c r="C2322">
        <v>1</v>
      </c>
      <c r="D2322">
        <v>1</v>
      </c>
      <c r="E2322">
        <v>2</v>
      </c>
      <c r="F2322" s="15">
        <v>45964</v>
      </c>
      <c r="G2322" t="s">
        <v>132</v>
      </c>
      <c r="H2322">
        <v>5</v>
      </c>
      <c r="I2322">
        <v>2025</v>
      </c>
      <c r="J2322">
        <v>11</v>
      </c>
      <c r="K2322" t="s">
        <v>87</v>
      </c>
      <c r="L2322" t="s">
        <v>7</v>
      </c>
      <c r="M2322" t="s">
        <v>8</v>
      </c>
      <c r="N2322" t="b">
        <v>0</v>
      </c>
      <c r="O2322">
        <v>0</v>
      </c>
      <c r="P2322">
        <v>1</v>
      </c>
      <c r="Q2322">
        <v>0</v>
      </c>
      <c r="R2322">
        <v>1</v>
      </c>
    </row>
    <row r="2323" spans="1:18" x14ac:dyDescent="0.25">
      <c r="A2323" t="s">
        <v>61</v>
      </c>
      <c r="B2323" t="s">
        <v>6</v>
      </c>
      <c r="C2323">
        <v>1</v>
      </c>
      <c r="D2323">
        <v>1</v>
      </c>
      <c r="E2323">
        <v>2</v>
      </c>
      <c r="F2323" s="15">
        <v>45964</v>
      </c>
      <c r="G2323" t="s">
        <v>132</v>
      </c>
      <c r="H2323">
        <v>5</v>
      </c>
      <c r="I2323">
        <v>2025</v>
      </c>
      <c r="J2323">
        <v>11</v>
      </c>
      <c r="K2323" t="s">
        <v>87</v>
      </c>
      <c r="L2323" t="s">
        <v>20</v>
      </c>
      <c r="M2323" t="s">
        <v>6</v>
      </c>
      <c r="N2323" t="b">
        <v>0</v>
      </c>
      <c r="O2323">
        <v>0</v>
      </c>
      <c r="P2323">
        <v>1</v>
      </c>
      <c r="Q2323">
        <v>0</v>
      </c>
      <c r="R2323">
        <v>0</v>
      </c>
    </row>
    <row r="2324" spans="1:18" x14ac:dyDescent="0.25">
      <c r="A2324" t="s">
        <v>61</v>
      </c>
      <c r="B2324" t="s">
        <v>6</v>
      </c>
      <c r="C2324">
        <v>1</v>
      </c>
      <c r="D2324">
        <v>1</v>
      </c>
      <c r="E2324">
        <v>2</v>
      </c>
      <c r="F2324" s="15">
        <v>45964</v>
      </c>
      <c r="G2324" t="s">
        <v>132</v>
      </c>
      <c r="H2324">
        <v>5</v>
      </c>
      <c r="I2324">
        <v>2025</v>
      </c>
      <c r="J2324">
        <v>11</v>
      </c>
      <c r="K2324" t="s">
        <v>87</v>
      </c>
      <c r="L2324" t="s">
        <v>28</v>
      </c>
      <c r="M2324" t="s">
        <v>6</v>
      </c>
      <c r="N2324" t="b">
        <v>0</v>
      </c>
      <c r="O2324">
        <v>0</v>
      </c>
      <c r="P2324">
        <v>1</v>
      </c>
      <c r="Q2324">
        <v>0</v>
      </c>
      <c r="R2324">
        <v>0</v>
      </c>
    </row>
    <row r="2325" spans="1:18" x14ac:dyDescent="0.25">
      <c r="A2325" t="s">
        <v>61</v>
      </c>
      <c r="B2325" t="s">
        <v>6</v>
      </c>
      <c r="C2325">
        <v>1</v>
      </c>
      <c r="D2325">
        <v>1</v>
      </c>
      <c r="E2325">
        <v>2</v>
      </c>
      <c r="F2325" s="15">
        <v>45964</v>
      </c>
      <c r="G2325" t="s">
        <v>132</v>
      </c>
      <c r="H2325">
        <v>5</v>
      </c>
      <c r="I2325">
        <v>2025</v>
      </c>
      <c r="J2325">
        <v>11</v>
      </c>
      <c r="K2325" t="s">
        <v>87</v>
      </c>
      <c r="L2325" t="s">
        <v>53</v>
      </c>
      <c r="M2325" t="s">
        <v>6</v>
      </c>
      <c r="N2325" t="b">
        <v>0</v>
      </c>
      <c r="O2325">
        <v>0</v>
      </c>
      <c r="P2325">
        <v>1</v>
      </c>
      <c r="Q2325">
        <v>0</v>
      </c>
      <c r="R2325">
        <v>0</v>
      </c>
    </row>
    <row r="2326" spans="1:18" x14ac:dyDescent="0.25">
      <c r="A2326" t="s">
        <v>53</v>
      </c>
      <c r="B2326" t="s">
        <v>6</v>
      </c>
      <c r="C2326">
        <v>3</v>
      </c>
      <c r="D2326">
        <v>1</v>
      </c>
      <c r="E2326">
        <v>2</v>
      </c>
      <c r="F2326" s="15">
        <v>45964</v>
      </c>
      <c r="G2326" t="s">
        <v>132</v>
      </c>
      <c r="H2326">
        <v>5</v>
      </c>
      <c r="I2326">
        <v>2025</v>
      </c>
      <c r="J2326">
        <v>11</v>
      </c>
      <c r="K2326" t="s">
        <v>87</v>
      </c>
      <c r="L2326" t="s">
        <v>7</v>
      </c>
      <c r="M2326" t="s">
        <v>8</v>
      </c>
      <c r="N2326" t="b">
        <v>0</v>
      </c>
      <c r="O2326">
        <v>0</v>
      </c>
      <c r="P2326">
        <v>1</v>
      </c>
      <c r="Q2326">
        <v>0</v>
      </c>
      <c r="R2326">
        <v>1</v>
      </c>
    </row>
    <row r="2327" spans="1:18" x14ac:dyDescent="0.25">
      <c r="A2327" t="s">
        <v>53</v>
      </c>
      <c r="B2327" t="s">
        <v>6</v>
      </c>
      <c r="C2327">
        <v>3</v>
      </c>
      <c r="D2327">
        <v>1</v>
      </c>
      <c r="E2327">
        <v>2</v>
      </c>
      <c r="F2327" s="15">
        <v>45964</v>
      </c>
      <c r="G2327" t="s">
        <v>132</v>
      </c>
      <c r="H2327">
        <v>5</v>
      </c>
      <c r="I2327">
        <v>2025</v>
      </c>
      <c r="J2327">
        <v>11</v>
      </c>
      <c r="K2327" t="s">
        <v>87</v>
      </c>
      <c r="L2327" t="s">
        <v>20</v>
      </c>
      <c r="M2327" t="s">
        <v>6</v>
      </c>
      <c r="N2327" t="b">
        <v>0</v>
      </c>
      <c r="O2327">
        <v>0</v>
      </c>
      <c r="P2327">
        <v>1</v>
      </c>
      <c r="Q2327">
        <v>0</v>
      </c>
      <c r="R2327">
        <v>0</v>
      </c>
    </row>
    <row r="2328" spans="1:18" x14ac:dyDescent="0.25">
      <c r="A2328" t="s">
        <v>53</v>
      </c>
      <c r="B2328" t="s">
        <v>6</v>
      </c>
      <c r="C2328">
        <v>3</v>
      </c>
      <c r="D2328">
        <v>1</v>
      </c>
      <c r="E2328">
        <v>2</v>
      </c>
      <c r="F2328" s="15">
        <v>45964</v>
      </c>
      <c r="G2328" t="s">
        <v>132</v>
      </c>
      <c r="H2328">
        <v>5</v>
      </c>
      <c r="I2328">
        <v>2025</v>
      </c>
      <c r="J2328">
        <v>11</v>
      </c>
      <c r="K2328" t="s">
        <v>87</v>
      </c>
      <c r="L2328" t="s">
        <v>28</v>
      </c>
      <c r="M2328" t="s">
        <v>6</v>
      </c>
      <c r="N2328" t="b">
        <v>0</v>
      </c>
      <c r="O2328">
        <v>0</v>
      </c>
      <c r="P2328">
        <v>1</v>
      </c>
      <c r="Q2328">
        <v>0</v>
      </c>
      <c r="R2328">
        <v>0</v>
      </c>
    </row>
    <row r="2329" spans="1:18" x14ac:dyDescent="0.25">
      <c r="A2329" t="s">
        <v>53</v>
      </c>
      <c r="B2329" t="s">
        <v>6</v>
      </c>
      <c r="C2329">
        <v>3</v>
      </c>
      <c r="D2329">
        <v>1</v>
      </c>
      <c r="E2329">
        <v>2</v>
      </c>
      <c r="F2329" s="15">
        <v>45964</v>
      </c>
      <c r="G2329" t="s">
        <v>132</v>
      </c>
      <c r="H2329">
        <v>5</v>
      </c>
      <c r="I2329">
        <v>2025</v>
      </c>
      <c r="J2329">
        <v>11</v>
      </c>
      <c r="K2329" t="s">
        <v>87</v>
      </c>
      <c r="L2329" t="s">
        <v>61</v>
      </c>
      <c r="M2329" t="s">
        <v>6</v>
      </c>
      <c r="N2329" t="b">
        <v>0</v>
      </c>
      <c r="O2329">
        <v>0</v>
      </c>
      <c r="P2329">
        <v>1</v>
      </c>
      <c r="Q2329">
        <v>0</v>
      </c>
      <c r="R2329">
        <v>0</v>
      </c>
    </row>
    <row r="2330" spans="1:18" x14ac:dyDescent="0.25">
      <c r="A2330" t="s">
        <v>7</v>
      </c>
      <c r="B2330" t="s">
        <v>6</v>
      </c>
      <c r="C2330">
        <v>3</v>
      </c>
      <c r="D2330">
        <v>1</v>
      </c>
      <c r="E2330">
        <v>2</v>
      </c>
      <c r="F2330" s="15">
        <v>46006</v>
      </c>
      <c r="G2330" t="s">
        <v>138</v>
      </c>
      <c r="H2330">
        <v>4</v>
      </c>
      <c r="I2330">
        <v>2025</v>
      </c>
      <c r="J2330">
        <v>12</v>
      </c>
      <c r="K2330" t="s">
        <v>87</v>
      </c>
      <c r="L2330" t="s">
        <v>20</v>
      </c>
      <c r="M2330" t="s">
        <v>6</v>
      </c>
      <c r="N2330" t="b">
        <v>0</v>
      </c>
      <c r="O2330">
        <v>0</v>
      </c>
      <c r="P2330">
        <v>1</v>
      </c>
      <c r="Q2330">
        <v>0</v>
      </c>
      <c r="R2330">
        <v>0</v>
      </c>
    </row>
    <row r="2331" spans="1:18" x14ac:dyDescent="0.25">
      <c r="A2331" t="s">
        <v>7</v>
      </c>
      <c r="B2331" t="s">
        <v>6</v>
      </c>
      <c r="C2331">
        <v>3</v>
      </c>
      <c r="D2331">
        <v>1</v>
      </c>
      <c r="E2331">
        <v>2</v>
      </c>
      <c r="F2331" s="15">
        <v>46006</v>
      </c>
      <c r="G2331" t="s">
        <v>138</v>
      </c>
      <c r="H2331">
        <v>4</v>
      </c>
      <c r="I2331">
        <v>2025</v>
      </c>
      <c r="J2331">
        <v>12</v>
      </c>
      <c r="K2331" t="s">
        <v>87</v>
      </c>
      <c r="L2331" t="s">
        <v>15</v>
      </c>
      <c r="M2331" t="s">
        <v>8</v>
      </c>
      <c r="N2331" t="b">
        <v>0</v>
      </c>
      <c r="O2331">
        <v>0</v>
      </c>
      <c r="P2331">
        <v>1</v>
      </c>
      <c r="Q2331">
        <v>0</v>
      </c>
      <c r="R2331">
        <v>1</v>
      </c>
    </row>
    <row r="2332" spans="1:18" x14ac:dyDescent="0.25">
      <c r="A2332" t="s">
        <v>7</v>
      </c>
      <c r="B2332" t="s">
        <v>6</v>
      </c>
      <c r="C2332">
        <v>3</v>
      </c>
      <c r="D2332">
        <v>1</v>
      </c>
      <c r="E2332">
        <v>2</v>
      </c>
      <c r="F2332" s="15">
        <v>46006</v>
      </c>
      <c r="G2332" t="s">
        <v>138</v>
      </c>
      <c r="H2332">
        <v>4</v>
      </c>
      <c r="I2332">
        <v>2025</v>
      </c>
      <c r="J2332">
        <v>12</v>
      </c>
      <c r="K2332" t="s">
        <v>87</v>
      </c>
      <c r="L2332" t="s">
        <v>11</v>
      </c>
      <c r="M2332" t="s">
        <v>6</v>
      </c>
      <c r="N2332" t="b">
        <v>0</v>
      </c>
      <c r="O2332">
        <v>0</v>
      </c>
      <c r="P2332">
        <v>1</v>
      </c>
      <c r="Q2332">
        <v>0</v>
      </c>
      <c r="R2332">
        <v>0</v>
      </c>
    </row>
    <row r="2333" spans="1:18" x14ac:dyDescent="0.25">
      <c r="A2333" t="s">
        <v>20</v>
      </c>
      <c r="B2333" t="s">
        <v>6</v>
      </c>
      <c r="C2333">
        <v>1</v>
      </c>
      <c r="D2333">
        <v>1</v>
      </c>
      <c r="E2333">
        <v>2</v>
      </c>
      <c r="F2333" s="15">
        <v>46006</v>
      </c>
      <c r="G2333" t="s">
        <v>138</v>
      </c>
      <c r="H2333">
        <v>4</v>
      </c>
      <c r="I2333">
        <v>2025</v>
      </c>
      <c r="J2333">
        <v>12</v>
      </c>
      <c r="K2333" t="s">
        <v>87</v>
      </c>
      <c r="L2333" t="s">
        <v>7</v>
      </c>
      <c r="M2333" t="s">
        <v>6</v>
      </c>
      <c r="N2333" t="b">
        <v>0</v>
      </c>
      <c r="O2333">
        <v>0</v>
      </c>
      <c r="P2333">
        <v>1</v>
      </c>
      <c r="Q2333">
        <v>0</v>
      </c>
      <c r="R2333">
        <v>0</v>
      </c>
    </row>
    <row r="2334" spans="1:18" x14ac:dyDescent="0.25">
      <c r="A2334" t="s">
        <v>20</v>
      </c>
      <c r="B2334" t="s">
        <v>6</v>
      </c>
      <c r="C2334">
        <v>1</v>
      </c>
      <c r="D2334">
        <v>1</v>
      </c>
      <c r="E2334">
        <v>2</v>
      </c>
      <c r="F2334" s="15">
        <v>46006</v>
      </c>
      <c r="G2334" t="s">
        <v>138</v>
      </c>
      <c r="H2334">
        <v>4</v>
      </c>
      <c r="I2334">
        <v>2025</v>
      </c>
      <c r="J2334">
        <v>12</v>
      </c>
      <c r="K2334" t="s">
        <v>87</v>
      </c>
      <c r="L2334" t="s">
        <v>15</v>
      </c>
      <c r="M2334" t="s">
        <v>8</v>
      </c>
      <c r="N2334" t="b">
        <v>0</v>
      </c>
      <c r="O2334">
        <v>0</v>
      </c>
      <c r="P2334">
        <v>1</v>
      </c>
      <c r="Q2334">
        <v>0</v>
      </c>
      <c r="R2334">
        <v>1</v>
      </c>
    </row>
    <row r="2335" spans="1:18" x14ac:dyDescent="0.25">
      <c r="A2335" t="s">
        <v>20</v>
      </c>
      <c r="B2335" t="s">
        <v>6</v>
      </c>
      <c r="C2335">
        <v>1</v>
      </c>
      <c r="D2335">
        <v>1</v>
      </c>
      <c r="E2335">
        <v>2</v>
      </c>
      <c r="F2335" s="15">
        <v>46006</v>
      </c>
      <c r="G2335" t="s">
        <v>138</v>
      </c>
      <c r="H2335">
        <v>4</v>
      </c>
      <c r="I2335">
        <v>2025</v>
      </c>
      <c r="J2335">
        <v>12</v>
      </c>
      <c r="K2335" t="s">
        <v>87</v>
      </c>
      <c r="L2335" t="s">
        <v>11</v>
      </c>
      <c r="M2335" t="s">
        <v>6</v>
      </c>
      <c r="N2335" t="b">
        <v>0</v>
      </c>
      <c r="O2335">
        <v>0</v>
      </c>
      <c r="P2335">
        <v>1</v>
      </c>
      <c r="Q2335">
        <v>0</v>
      </c>
      <c r="R2335">
        <v>0</v>
      </c>
    </row>
    <row r="2336" spans="1:18" x14ac:dyDescent="0.25">
      <c r="A2336" t="s">
        <v>15</v>
      </c>
      <c r="B2336" t="s">
        <v>8</v>
      </c>
      <c r="C2336">
        <v>2</v>
      </c>
      <c r="D2336">
        <v>1</v>
      </c>
      <c r="E2336">
        <v>2</v>
      </c>
      <c r="F2336" s="15">
        <v>46006</v>
      </c>
      <c r="G2336" t="s">
        <v>138</v>
      </c>
      <c r="H2336">
        <v>4</v>
      </c>
      <c r="I2336">
        <v>2025</v>
      </c>
      <c r="J2336">
        <v>12</v>
      </c>
      <c r="K2336" t="s">
        <v>87</v>
      </c>
      <c r="L2336" t="s">
        <v>7</v>
      </c>
      <c r="M2336" t="s">
        <v>6</v>
      </c>
      <c r="N2336" t="b">
        <v>0</v>
      </c>
      <c r="O2336">
        <v>1</v>
      </c>
      <c r="P2336">
        <v>0</v>
      </c>
      <c r="Q2336">
        <v>0</v>
      </c>
      <c r="R2336">
        <v>0</v>
      </c>
    </row>
    <row r="2337" spans="1:18" x14ac:dyDescent="0.25">
      <c r="A2337" t="s">
        <v>15</v>
      </c>
      <c r="B2337" t="s">
        <v>8</v>
      </c>
      <c r="C2337">
        <v>2</v>
      </c>
      <c r="D2337">
        <v>1</v>
      </c>
      <c r="E2337">
        <v>2</v>
      </c>
      <c r="F2337" s="15">
        <v>46006</v>
      </c>
      <c r="G2337" t="s">
        <v>138</v>
      </c>
      <c r="H2337">
        <v>4</v>
      </c>
      <c r="I2337">
        <v>2025</v>
      </c>
      <c r="J2337">
        <v>12</v>
      </c>
      <c r="K2337" t="s">
        <v>87</v>
      </c>
      <c r="L2337" t="s">
        <v>20</v>
      </c>
      <c r="M2337" t="s">
        <v>6</v>
      </c>
      <c r="N2337" t="b">
        <v>0</v>
      </c>
      <c r="O2337">
        <v>1</v>
      </c>
      <c r="P2337">
        <v>0</v>
      </c>
      <c r="Q2337">
        <v>0</v>
      </c>
      <c r="R2337">
        <v>0</v>
      </c>
    </row>
    <row r="2338" spans="1:18" x14ac:dyDescent="0.25">
      <c r="A2338" t="s">
        <v>15</v>
      </c>
      <c r="B2338" t="s">
        <v>8</v>
      </c>
      <c r="C2338">
        <v>2</v>
      </c>
      <c r="D2338">
        <v>1</v>
      </c>
      <c r="E2338">
        <v>2</v>
      </c>
      <c r="F2338" s="15">
        <v>46006</v>
      </c>
      <c r="G2338" t="s">
        <v>138</v>
      </c>
      <c r="H2338">
        <v>4</v>
      </c>
      <c r="I2338">
        <v>2025</v>
      </c>
      <c r="J2338">
        <v>12</v>
      </c>
      <c r="K2338" t="s">
        <v>87</v>
      </c>
      <c r="L2338" t="s">
        <v>11</v>
      </c>
      <c r="M2338" t="s">
        <v>6</v>
      </c>
      <c r="N2338" t="b">
        <v>0</v>
      </c>
      <c r="O2338">
        <v>1</v>
      </c>
      <c r="P2338">
        <v>0</v>
      </c>
      <c r="Q2338">
        <v>0</v>
      </c>
      <c r="R2338">
        <v>0</v>
      </c>
    </row>
    <row r="2339" spans="1:18" x14ac:dyDescent="0.25">
      <c r="A2339" t="s">
        <v>11</v>
      </c>
      <c r="B2339" t="s">
        <v>6</v>
      </c>
      <c r="C2339">
        <v>4</v>
      </c>
      <c r="D2339">
        <v>1</v>
      </c>
      <c r="E2339">
        <v>2</v>
      </c>
      <c r="F2339" s="15">
        <v>46006</v>
      </c>
      <c r="G2339" t="s">
        <v>138</v>
      </c>
      <c r="H2339">
        <v>4</v>
      </c>
      <c r="I2339">
        <v>2025</v>
      </c>
      <c r="J2339">
        <v>12</v>
      </c>
      <c r="K2339" t="s">
        <v>87</v>
      </c>
      <c r="L2339" t="s">
        <v>7</v>
      </c>
      <c r="M2339" t="s">
        <v>6</v>
      </c>
      <c r="N2339" t="b">
        <v>0</v>
      </c>
      <c r="O2339">
        <v>0</v>
      </c>
      <c r="P2339">
        <v>1</v>
      </c>
      <c r="Q2339">
        <v>0</v>
      </c>
      <c r="R2339">
        <v>0</v>
      </c>
    </row>
    <row r="2340" spans="1:18" x14ac:dyDescent="0.25">
      <c r="A2340" t="s">
        <v>11</v>
      </c>
      <c r="B2340" t="s">
        <v>6</v>
      </c>
      <c r="C2340">
        <v>4</v>
      </c>
      <c r="D2340">
        <v>1</v>
      </c>
      <c r="E2340">
        <v>2</v>
      </c>
      <c r="F2340" s="15">
        <v>46006</v>
      </c>
      <c r="G2340" t="s">
        <v>138</v>
      </c>
      <c r="H2340">
        <v>4</v>
      </c>
      <c r="I2340">
        <v>2025</v>
      </c>
      <c r="J2340">
        <v>12</v>
      </c>
      <c r="K2340" t="s">
        <v>87</v>
      </c>
      <c r="L2340" t="s">
        <v>20</v>
      </c>
      <c r="M2340" t="s">
        <v>6</v>
      </c>
      <c r="N2340" t="b">
        <v>0</v>
      </c>
      <c r="O2340">
        <v>0</v>
      </c>
      <c r="P2340">
        <v>1</v>
      </c>
      <c r="Q2340">
        <v>0</v>
      </c>
      <c r="R2340">
        <v>0</v>
      </c>
    </row>
    <row r="2341" spans="1:18" x14ac:dyDescent="0.25">
      <c r="A2341" t="s">
        <v>11</v>
      </c>
      <c r="B2341" t="s">
        <v>6</v>
      </c>
      <c r="C2341">
        <v>4</v>
      </c>
      <c r="D2341">
        <v>1</v>
      </c>
      <c r="E2341">
        <v>2</v>
      </c>
      <c r="F2341" s="15">
        <v>46006</v>
      </c>
      <c r="G2341" t="s">
        <v>138</v>
      </c>
      <c r="H2341">
        <v>4</v>
      </c>
      <c r="I2341">
        <v>2025</v>
      </c>
      <c r="J2341">
        <v>12</v>
      </c>
      <c r="K2341" t="s">
        <v>87</v>
      </c>
      <c r="L2341" t="s">
        <v>15</v>
      </c>
      <c r="M2341" t="s">
        <v>8</v>
      </c>
      <c r="N2341" t="b">
        <v>0</v>
      </c>
      <c r="O2341">
        <v>0</v>
      </c>
      <c r="P2341">
        <v>1</v>
      </c>
      <c r="Q2341">
        <v>0</v>
      </c>
      <c r="R2341">
        <v>1</v>
      </c>
    </row>
    <row r="2342" spans="1:18" x14ac:dyDescent="0.25">
      <c r="A2342" t="s">
        <v>7</v>
      </c>
      <c r="B2342" t="s">
        <v>6</v>
      </c>
      <c r="D2342">
        <v>2</v>
      </c>
      <c r="E2342">
        <v>1</v>
      </c>
      <c r="F2342" s="15">
        <v>45859</v>
      </c>
      <c r="G2342" t="s">
        <v>142</v>
      </c>
      <c r="H2342">
        <v>4</v>
      </c>
      <c r="I2342">
        <v>2025</v>
      </c>
      <c r="J2342">
        <v>7</v>
      </c>
      <c r="K2342" t="s">
        <v>87</v>
      </c>
      <c r="L2342" t="s">
        <v>15</v>
      </c>
      <c r="M2342" t="s">
        <v>8</v>
      </c>
      <c r="N2342" t="b">
        <v>0</v>
      </c>
      <c r="O2342">
        <v>0</v>
      </c>
      <c r="P2342">
        <v>1</v>
      </c>
      <c r="Q2342">
        <v>0</v>
      </c>
      <c r="R2342">
        <v>1</v>
      </c>
    </row>
    <row r="2343" spans="1:18" x14ac:dyDescent="0.25">
      <c r="A2343" t="s">
        <v>7</v>
      </c>
      <c r="B2343" t="s">
        <v>6</v>
      </c>
      <c r="D2343">
        <v>2</v>
      </c>
      <c r="E2343">
        <v>1</v>
      </c>
      <c r="F2343" s="15">
        <v>45859</v>
      </c>
      <c r="G2343" t="s">
        <v>142</v>
      </c>
      <c r="H2343">
        <v>4</v>
      </c>
      <c r="I2343">
        <v>2025</v>
      </c>
      <c r="J2343">
        <v>7</v>
      </c>
      <c r="K2343" t="s">
        <v>87</v>
      </c>
      <c r="L2343" t="s">
        <v>76</v>
      </c>
      <c r="M2343" t="s">
        <v>6</v>
      </c>
      <c r="N2343" t="b">
        <v>0</v>
      </c>
      <c r="O2343">
        <v>0</v>
      </c>
      <c r="P2343">
        <v>1</v>
      </c>
      <c r="Q2343">
        <v>0</v>
      </c>
      <c r="R2343">
        <v>0</v>
      </c>
    </row>
    <row r="2344" spans="1:18" x14ac:dyDescent="0.25">
      <c r="A2344" t="s">
        <v>7</v>
      </c>
      <c r="B2344" t="s">
        <v>6</v>
      </c>
      <c r="D2344">
        <v>2</v>
      </c>
      <c r="E2344">
        <v>1</v>
      </c>
      <c r="F2344" s="15">
        <v>45859</v>
      </c>
      <c r="G2344" t="s">
        <v>142</v>
      </c>
      <c r="H2344">
        <v>4</v>
      </c>
      <c r="I2344">
        <v>2025</v>
      </c>
      <c r="J2344">
        <v>7</v>
      </c>
      <c r="K2344" t="s">
        <v>87</v>
      </c>
      <c r="L2344" t="s">
        <v>76</v>
      </c>
      <c r="M2344" t="s">
        <v>6</v>
      </c>
      <c r="N2344" t="b">
        <v>0</v>
      </c>
      <c r="O2344">
        <v>0</v>
      </c>
      <c r="P2344">
        <v>1</v>
      </c>
      <c r="Q2344">
        <v>0</v>
      </c>
      <c r="R2344">
        <v>0</v>
      </c>
    </row>
    <row r="2345" spans="1:18" x14ac:dyDescent="0.25">
      <c r="A2345" t="s">
        <v>15</v>
      </c>
      <c r="B2345" t="s">
        <v>8</v>
      </c>
      <c r="D2345">
        <v>2</v>
      </c>
      <c r="E2345">
        <v>1</v>
      </c>
      <c r="F2345" s="15">
        <v>45859</v>
      </c>
      <c r="G2345" t="s">
        <v>142</v>
      </c>
      <c r="H2345">
        <v>4</v>
      </c>
      <c r="I2345">
        <v>2025</v>
      </c>
      <c r="J2345">
        <v>7</v>
      </c>
      <c r="K2345" t="s">
        <v>87</v>
      </c>
      <c r="L2345" t="s">
        <v>7</v>
      </c>
      <c r="M2345" t="s">
        <v>6</v>
      </c>
      <c r="N2345" t="b">
        <v>0</v>
      </c>
      <c r="O2345">
        <v>1</v>
      </c>
      <c r="P2345">
        <v>0</v>
      </c>
      <c r="Q2345">
        <v>0</v>
      </c>
      <c r="R2345">
        <v>0</v>
      </c>
    </row>
    <row r="2346" spans="1:18" x14ac:dyDescent="0.25">
      <c r="A2346" t="s">
        <v>15</v>
      </c>
      <c r="B2346" t="s">
        <v>8</v>
      </c>
      <c r="D2346">
        <v>2</v>
      </c>
      <c r="E2346">
        <v>1</v>
      </c>
      <c r="F2346" s="15">
        <v>45859</v>
      </c>
      <c r="G2346" t="s">
        <v>142</v>
      </c>
      <c r="H2346">
        <v>4</v>
      </c>
      <c r="I2346">
        <v>2025</v>
      </c>
      <c r="J2346">
        <v>7</v>
      </c>
      <c r="K2346" t="s">
        <v>87</v>
      </c>
      <c r="L2346" t="s">
        <v>76</v>
      </c>
      <c r="M2346" t="s">
        <v>6</v>
      </c>
      <c r="N2346" t="b">
        <v>0</v>
      </c>
      <c r="O2346">
        <v>1</v>
      </c>
      <c r="P2346">
        <v>0</v>
      </c>
      <c r="Q2346">
        <v>0</v>
      </c>
      <c r="R2346">
        <v>0</v>
      </c>
    </row>
    <row r="2347" spans="1:18" x14ac:dyDescent="0.25">
      <c r="A2347" t="s">
        <v>15</v>
      </c>
      <c r="B2347" t="s">
        <v>8</v>
      </c>
      <c r="D2347">
        <v>2</v>
      </c>
      <c r="E2347">
        <v>1</v>
      </c>
      <c r="F2347" s="15">
        <v>45859</v>
      </c>
      <c r="G2347" t="s">
        <v>142</v>
      </c>
      <c r="H2347">
        <v>4</v>
      </c>
      <c r="I2347">
        <v>2025</v>
      </c>
      <c r="J2347">
        <v>7</v>
      </c>
      <c r="K2347" t="s">
        <v>87</v>
      </c>
      <c r="L2347" t="s">
        <v>76</v>
      </c>
      <c r="M2347" t="s">
        <v>6</v>
      </c>
      <c r="N2347" t="b">
        <v>0</v>
      </c>
      <c r="O2347">
        <v>1</v>
      </c>
      <c r="P2347">
        <v>0</v>
      </c>
      <c r="Q2347">
        <v>0</v>
      </c>
      <c r="R2347">
        <v>0</v>
      </c>
    </row>
    <row r="2348" spans="1:18" x14ac:dyDescent="0.25">
      <c r="A2348" t="s">
        <v>76</v>
      </c>
      <c r="B2348" t="s">
        <v>6</v>
      </c>
      <c r="D2348">
        <v>2</v>
      </c>
      <c r="E2348">
        <v>1</v>
      </c>
      <c r="F2348" s="15">
        <v>45859</v>
      </c>
      <c r="G2348" t="s">
        <v>142</v>
      </c>
      <c r="H2348">
        <v>4</v>
      </c>
      <c r="I2348">
        <v>2025</v>
      </c>
      <c r="J2348">
        <v>7</v>
      </c>
      <c r="K2348" t="s">
        <v>87</v>
      </c>
      <c r="L2348" t="s">
        <v>7</v>
      </c>
      <c r="M2348" t="s">
        <v>6</v>
      </c>
      <c r="N2348" t="b">
        <v>0</v>
      </c>
      <c r="O2348">
        <v>0</v>
      </c>
      <c r="P2348">
        <v>1</v>
      </c>
      <c r="Q2348">
        <v>0</v>
      </c>
      <c r="R2348">
        <v>0</v>
      </c>
    </row>
    <row r="2349" spans="1:18" x14ac:dyDescent="0.25">
      <c r="A2349" t="s">
        <v>76</v>
      </c>
      <c r="B2349" t="s">
        <v>6</v>
      </c>
      <c r="D2349">
        <v>2</v>
      </c>
      <c r="E2349">
        <v>1</v>
      </c>
      <c r="F2349" s="15">
        <v>45859</v>
      </c>
      <c r="G2349" t="s">
        <v>142</v>
      </c>
      <c r="H2349">
        <v>4</v>
      </c>
      <c r="I2349">
        <v>2025</v>
      </c>
      <c r="J2349">
        <v>7</v>
      </c>
      <c r="K2349" t="s">
        <v>87</v>
      </c>
      <c r="L2349" t="s">
        <v>15</v>
      </c>
      <c r="M2349" t="s">
        <v>8</v>
      </c>
      <c r="N2349" t="b">
        <v>0</v>
      </c>
      <c r="O2349">
        <v>0</v>
      </c>
      <c r="P2349">
        <v>1</v>
      </c>
      <c r="Q2349">
        <v>0</v>
      </c>
      <c r="R2349">
        <v>1</v>
      </c>
    </row>
    <row r="2350" spans="1:18" x14ac:dyDescent="0.25">
      <c r="A2350" t="s">
        <v>76</v>
      </c>
      <c r="B2350" t="s">
        <v>6</v>
      </c>
      <c r="D2350">
        <v>2</v>
      </c>
      <c r="E2350">
        <v>1</v>
      </c>
      <c r="F2350" s="15">
        <v>45859</v>
      </c>
      <c r="G2350" t="s">
        <v>142</v>
      </c>
      <c r="H2350">
        <v>4</v>
      </c>
      <c r="I2350">
        <v>2025</v>
      </c>
      <c r="J2350">
        <v>7</v>
      </c>
      <c r="K2350" t="s">
        <v>87</v>
      </c>
      <c r="L2350" t="s">
        <v>7</v>
      </c>
      <c r="M2350" t="s">
        <v>6</v>
      </c>
      <c r="N2350" t="b">
        <v>0</v>
      </c>
      <c r="O2350">
        <v>0</v>
      </c>
      <c r="P2350">
        <v>1</v>
      </c>
      <c r="Q2350">
        <v>0</v>
      </c>
      <c r="R2350">
        <v>0</v>
      </c>
    </row>
    <row r="2351" spans="1:18" x14ac:dyDescent="0.25">
      <c r="A2351" t="s">
        <v>76</v>
      </c>
      <c r="B2351" t="s">
        <v>6</v>
      </c>
      <c r="D2351">
        <v>2</v>
      </c>
      <c r="E2351">
        <v>1</v>
      </c>
      <c r="F2351" s="15">
        <v>45859</v>
      </c>
      <c r="G2351" t="s">
        <v>142</v>
      </c>
      <c r="H2351">
        <v>4</v>
      </c>
      <c r="I2351">
        <v>2025</v>
      </c>
      <c r="J2351">
        <v>7</v>
      </c>
      <c r="K2351" t="s">
        <v>87</v>
      </c>
      <c r="L2351" t="s">
        <v>15</v>
      </c>
      <c r="M2351" t="s">
        <v>8</v>
      </c>
      <c r="N2351" t="b">
        <v>0</v>
      </c>
      <c r="O2351">
        <v>0</v>
      </c>
      <c r="P2351">
        <v>1</v>
      </c>
      <c r="Q2351">
        <v>0</v>
      </c>
      <c r="R2351">
        <v>1</v>
      </c>
    </row>
    <row r="2352" spans="1:18" x14ac:dyDescent="0.25">
      <c r="A2352" t="s">
        <v>7</v>
      </c>
      <c r="B2352" t="s">
        <v>6</v>
      </c>
      <c r="C2352">
        <v>1</v>
      </c>
      <c r="D2352">
        <v>2</v>
      </c>
      <c r="E2352">
        <v>1</v>
      </c>
      <c r="F2352" s="15">
        <v>45887</v>
      </c>
      <c r="G2352" t="s">
        <v>146</v>
      </c>
      <c r="H2352">
        <v>3</v>
      </c>
      <c r="I2352">
        <v>2025</v>
      </c>
      <c r="J2352">
        <v>8</v>
      </c>
      <c r="K2352" t="s">
        <v>87</v>
      </c>
      <c r="L2352" t="s">
        <v>15</v>
      </c>
      <c r="M2352" t="s">
        <v>6</v>
      </c>
      <c r="N2352" t="b">
        <v>0</v>
      </c>
      <c r="O2352">
        <v>0</v>
      </c>
      <c r="P2352">
        <v>1</v>
      </c>
      <c r="Q2352">
        <v>0</v>
      </c>
      <c r="R2352">
        <v>0</v>
      </c>
    </row>
    <row r="2353" spans="1:18" x14ac:dyDescent="0.25">
      <c r="A2353" t="s">
        <v>7</v>
      </c>
      <c r="B2353" t="s">
        <v>6</v>
      </c>
      <c r="C2353">
        <v>1</v>
      </c>
      <c r="D2353">
        <v>2</v>
      </c>
      <c r="E2353">
        <v>1</v>
      </c>
      <c r="F2353" s="15">
        <v>45887</v>
      </c>
      <c r="G2353" t="s">
        <v>146</v>
      </c>
      <c r="H2353">
        <v>3</v>
      </c>
      <c r="I2353">
        <v>2025</v>
      </c>
      <c r="J2353">
        <v>8</v>
      </c>
      <c r="K2353" t="s">
        <v>87</v>
      </c>
      <c r="L2353" t="s">
        <v>12</v>
      </c>
      <c r="M2353" t="s">
        <v>8</v>
      </c>
      <c r="N2353" t="b">
        <v>0</v>
      </c>
      <c r="O2353">
        <v>0</v>
      </c>
      <c r="P2353">
        <v>1</v>
      </c>
      <c r="Q2353">
        <v>0</v>
      </c>
      <c r="R2353">
        <v>1</v>
      </c>
    </row>
    <row r="2354" spans="1:18" x14ac:dyDescent="0.25">
      <c r="A2354" t="s">
        <v>15</v>
      </c>
      <c r="B2354" t="s">
        <v>6</v>
      </c>
      <c r="C2354">
        <v>3</v>
      </c>
      <c r="D2354">
        <v>2</v>
      </c>
      <c r="E2354">
        <v>1</v>
      </c>
      <c r="F2354" s="15">
        <v>45887</v>
      </c>
      <c r="G2354" t="s">
        <v>146</v>
      </c>
      <c r="H2354">
        <v>3</v>
      </c>
      <c r="I2354">
        <v>2025</v>
      </c>
      <c r="J2354">
        <v>8</v>
      </c>
      <c r="K2354" t="s">
        <v>87</v>
      </c>
      <c r="L2354" t="s">
        <v>7</v>
      </c>
      <c r="M2354" t="s">
        <v>6</v>
      </c>
      <c r="N2354" t="b">
        <v>0</v>
      </c>
      <c r="O2354">
        <v>0</v>
      </c>
      <c r="P2354">
        <v>1</v>
      </c>
      <c r="Q2354">
        <v>0</v>
      </c>
      <c r="R2354">
        <v>0</v>
      </c>
    </row>
    <row r="2355" spans="1:18" x14ac:dyDescent="0.25">
      <c r="A2355" t="s">
        <v>15</v>
      </c>
      <c r="B2355" t="s">
        <v>6</v>
      </c>
      <c r="C2355">
        <v>3</v>
      </c>
      <c r="D2355">
        <v>2</v>
      </c>
      <c r="E2355">
        <v>1</v>
      </c>
      <c r="F2355" s="15">
        <v>45887</v>
      </c>
      <c r="G2355" t="s">
        <v>146</v>
      </c>
      <c r="H2355">
        <v>3</v>
      </c>
      <c r="I2355">
        <v>2025</v>
      </c>
      <c r="J2355">
        <v>8</v>
      </c>
      <c r="K2355" t="s">
        <v>87</v>
      </c>
      <c r="L2355" t="s">
        <v>12</v>
      </c>
      <c r="M2355" t="s">
        <v>8</v>
      </c>
      <c r="N2355" t="b">
        <v>0</v>
      </c>
      <c r="O2355">
        <v>0</v>
      </c>
      <c r="P2355">
        <v>1</v>
      </c>
      <c r="Q2355">
        <v>0</v>
      </c>
      <c r="R2355">
        <v>1</v>
      </c>
    </row>
    <row r="2356" spans="1:18" x14ac:dyDescent="0.25">
      <c r="A2356" t="s">
        <v>12</v>
      </c>
      <c r="B2356" t="s">
        <v>8</v>
      </c>
      <c r="C2356">
        <v>2</v>
      </c>
      <c r="D2356">
        <v>2</v>
      </c>
      <c r="E2356">
        <v>1</v>
      </c>
      <c r="F2356" s="15">
        <v>45887</v>
      </c>
      <c r="G2356" t="s">
        <v>146</v>
      </c>
      <c r="H2356">
        <v>3</v>
      </c>
      <c r="I2356">
        <v>2025</v>
      </c>
      <c r="J2356">
        <v>8</v>
      </c>
      <c r="K2356" t="s">
        <v>87</v>
      </c>
      <c r="L2356" t="s">
        <v>7</v>
      </c>
      <c r="M2356" t="s">
        <v>6</v>
      </c>
      <c r="N2356" t="b">
        <v>0</v>
      </c>
      <c r="O2356">
        <v>1</v>
      </c>
      <c r="P2356">
        <v>0</v>
      </c>
      <c r="Q2356">
        <v>0</v>
      </c>
      <c r="R2356">
        <v>0</v>
      </c>
    </row>
    <row r="2357" spans="1:18" x14ac:dyDescent="0.25">
      <c r="A2357" t="s">
        <v>12</v>
      </c>
      <c r="B2357" t="s">
        <v>8</v>
      </c>
      <c r="C2357">
        <v>2</v>
      </c>
      <c r="D2357">
        <v>2</v>
      </c>
      <c r="E2357">
        <v>1</v>
      </c>
      <c r="F2357" s="15">
        <v>45887</v>
      </c>
      <c r="G2357" t="s">
        <v>146</v>
      </c>
      <c r="H2357">
        <v>3</v>
      </c>
      <c r="I2357">
        <v>2025</v>
      </c>
      <c r="J2357">
        <v>8</v>
      </c>
      <c r="K2357" t="s">
        <v>87</v>
      </c>
      <c r="L2357" t="s">
        <v>15</v>
      </c>
      <c r="M2357" t="s">
        <v>6</v>
      </c>
      <c r="N2357" t="b">
        <v>0</v>
      </c>
      <c r="O2357">
        <v>1</v>
      </c>
      <c r="P2357">
        <v>0</v>
      </c>
      <c r="Q2357">
        <v>0</v>
      </c>
      <c r="R2357">
        <v>0</v>
      </c>
    </row>
    <row r="2358" spans="1:18" x14ac:dyDescent="0.25">
      <c r="A2358" t="s">
        <v>7</v>
      </c>
      <c r="B2358" t="s">
        <v>8</v>
      </c>
      <c r="C2358">
        <v>2</v>
      </c>
      <c r="D2358">
        <v>2</v>
      </c>
      <c r="E2358">
        <v>1</v>
      </c>
      <c r="F2358" s="15">
        <v>45929</v>
      </c>
      <c r="G2358" t="s">
        <v>151</v>
      </c>
      <c r="H2358">
        <v>4</v>
      </c>
      <c r="I2358">
        <v>2025</v>
      </c>
      <c r="J2358">
        <v>9</v>
      </c>
      <c r="K2358" t="s">
        <v>87</v>
      </c>
      <c r="L2358" t="s">
        <v>28</v>
      </c>
      <c r="M2358" t="s">
        <v>6</v>
      </c>
      <c r="N2358" t="b">
        <v>0</v>
      </c>
      <c r="O2358">
        <v>1</v>
      </c>
      <c r="P2358">
        <v>0</v>
      </c>
      <c r="Q2358">
        <v>0</v>
      </c>
      <c r="R2358">
        <v>0</v>
      </c>
    </row>
    <row r="2359" spans="1:18" x14ac:dyDescent="0.25">
      <c r="A2359" t="s">
        <v>7</v>
      </c>
      <c r="B2359" t="s">
        <v>8</v>
      </c>
      <c r="C2359">
        <v>2</v>
      </c>
      <c r="D2359">
        <v>2</v>
      </c>
      <c r="E2359">
        <v>1</v>
      </c>
      <c r="F2359" s="15">
        <v>45929</v>
      </c>
      <c r="G2359" t="s">
        <v>151</v>
      </c>
      <c r="H2359">
        <v>4</v>
      </c>
      <c r="I2359">
        <v>2025</v>
      </c>
      <c r="J2359">
        <v>9</v>
      </c>
      <c r="K2359" t="s">
        <v>87</v>
      </c>
      <c r="L2359" t="s">
        <v>41</v>
      </c>
      <c r="M2359" t="s">
        <v>6</v>
      </c>
      <c r="N2359" t="b">
        <v>0</v>
      </c>
      <c r="O2359">
        <v>1</v>
      </c>
      <c r="P2359">
        <v>0</v>
      </c>
      <c r="Q2359">
        <v>0</v>
      </c>
      <c r="R2359">
        <v>0</v>
      </c>
    </row>
    <row r="2360" spans="1:18" x14ac:dyDescent="0.25">
      <c r="A2360" t="s">
        <v>7</v>
      </c>
      <c r="B2360" t="s">
        <v>8</v>
      </c>
      <c r="C2360">
        <v>2</v>
      </c>
      <c r="D2360">
        <v>2</v>
      </c>
      <c r="E2360">
        <v>1</v>
      </c>
      <c r="F2360" s="15">
        <v>45929</v>
      </c>
      <c r="G2360" t="s">
        <v>151</v>
      </c>
      <c r="H2360">
        <v>4</v>
      </c>
      <c r="I2360">
        <v>2025</v>
      </c>
      <c r="J2360">
        <v>9</v>
      </c>
      <c r="K2360" t="s">
        <v>87</v>
      </c>
      <c r="L2360" t="s">
        <v>326</v>
      </c>
      <c r="M2360" t="s">
        <v>6</v>
      </c>
      <c r="N2360" t="b">
        <v>0</v>
      </c>
      <c r="O2360">
        <v>1</v>
      </c>
      <c r="P2360">
        <v>0</v>
      </c>
      <c r="Q2360">
        <v>0</v>
      </c>
      <c r="R2360">
        <v>0</v>
      </c>
    </row>
    <row r="2361" spans="1:18" x14ac:dyDescent="0.25">
      <c r="A2361" t="s">
        <v>28</v>
      </c>
      <c r="B2361" t="s">
        <v>6</v>
      </c>
      <c r="C2361">
        <v>4</v>
      </c>
      <c r="D2361">
        <v>2</v>
      </c>
      <c r="E2361">
        <v>1</v>
      </c>
      <c r="F2361" s="15">
        <v>45929</v>
      </c>
      <c r="G2361" t="s">
        <v>151</v>
      </c>
      <c r="H2361">
        <v>4</v>
      </c>
      <c r="I2361">
        <v>2025</v>
      </c>
      <c r="J2361">
        <v>9</v>
      </c>
      <c r="K2361" t="s">
        <v>87</v>
      </c>
      <c r="L2361" t="s">
        <v>7</v>
      </c>
      <c r="M2361" t="s">
        <v>8</v>
      </c>
      <c r="N2361" t="b">
        <v>0</v>
      </c>
      <c r="O2361">
        <v>0</v>
      </c>
      <c r="P2361">
        <v>1</v>
      </c>
      <c r="Q2361">
        <v>0</v>
      </c>
      <c r="R2361">
        <v>1</v>
      </c>
    </row>
    <row r="2362" spans="1:18" x14ac:dyDescent="0.25">
      <c r="A2362" t="s">
        <v>28</v>
      </c>
      <c r="B2362" t="s">
        <v>6</v>
      </c>
      <c r="C2362">
        <v>4</v>
      </c>
      <c r="D2362">
        <v>2</v>
      </c>
      <c r="E2362">
        <v>1</v>
      </c>
      <c r="F2362" s="15">
        <v>45929</v>
      </c>
      <c r="G2362" t="s">
        <v>151</v>
      </c>
      <c r="H2362">
        <v>4</v>
      </c>
      <c r="I2362">
        <v>2025</v>
      </c>
      <c r="J2362">
        <v>9</v>
      </c>
      <c r="K2362" t="s">
        <v>87</v>
      </c>
      <c r="L2362" t="s">
        <v>41</v>
      </c>
      <c r="M2362" t="s">
        <v>6</v>
      </c>
      <c r="N2362" t="b">
        <v>0</v>
      </c>
      <c r="O2362">
        <v>0</v>
      </c>
      <c r="P2362">
        <v>1</v>
      </c>
      <c r="Q2362">
        <v>0</v>
      </c>
      <c r="R2362">
        <v>0</v>
      </c>
    </row>
    <row r="2363" spans="1:18" x14ac:dyDescent="0.25">
      <c r="A2363" t="s">
        <v>28</v>
      </c>
      <c r="B2363" t="s">
        <v>6</v>
      </c>
      <c r="C2363">
        <v>4</v>
      </c>
      <c r="D2363">
        <v>2</v>
      </c>
      <c r="E2363">
        <v>1</v>
      </c>
      <c r="F2363" s="15">
        <v>45929</v>
      </c>
      <c r="G2363" t="s">
        <v>151</v>
      </c>
      <c r="H2363">
        <v>4</v>
      </c>
      <c r="I2363">
        <v>2025</v>
      </c>
      <c r="J2363">
        <v>9</v>
      </c>
      <c r="K2363" t="s">
        <v>87</v>
      </c>
      <c r="L2363" t="s">
        <v>326</v>
      </c>
      <c r="M2363" t="s">
        <v>6</v>
      </c>
      <c r="N2363" t="b">
        <v>0</v>
      </c>
      <c r="O2363">
        <v>0</v>
      </c>
      <c r="P2363">
        <v>1</v>
      </c>
      <c r="Q2363">
        <v>0</v>
      </c>
      <c r="R2363">
        <v>0</v>
      </c>
    </row>
    <row r="2364" spans="1:18" x14ac:dyDescent="0.25">
      <c r="A2364" t="s">
        <v>41</v>
      </c>
      <c r="B2364" t="s">
        <v>6</v>
      </c>
      <c r="C2364">
        <v>1</v>
      </c>
      <c r="D2364">
        <v>2</v>
      </c>
      <c r="E2364">
        <v>1</v>
      </c>
      <c r="F2364" s="15">
        <v>45929</v>
      </c>
      <c r="G2364" t="s">
        <v>151</v>
      </c>
      <c r="H2364">
        <v>4</v>
      </c>
      <c r="I2364">
        <v>2025</v>
      </c>
      <c r="J2364">
        <v>9</v>
      </c>
      <c r="K2364" t="s">
        <v>87</v>
      </c>
      <c r="L2364" t="s">
        <v>7</v>
      </c>
      <c r="M2364" t="s">
        <v>8</v>
      </c>
      <c r="N2364" t="b">
        <v>0</v>
      </c>
      <c r="O2364">
        <v>0</v>
      </c>
      <c r="P2364">
        <v>1</v>
      </c>
      <c r="Q2364">
        <v>0</v>
      </c>
      <c r="R2364">
        <v>1</v>
      </c>
    </row>
    <row r="2365" spans="1:18" x14ac:dyDescent="0.25">
      <c r="A2365" t="s">
        <v>41</v>
      </c>
      <c r="B2365" t="s">
        <v>6</v>
      </c>
      <c r="C2365">
        <v>1</v>
      </c>
      <c r="D2365">
        <v>2</v>
      </c>
      <c r="E2365">
        <v>1</v>
      </c>
      <c r="F2365" s="15">
        <v>45929</v>
      </c>
      <c r="G2365" t="s">
        <v>151</v>
      </c>
      <c r="H2365">
        <v>4</v>
      </c>
      <c r="I2365">
        <v>2025</v>
      </c>
      <c r="J2365">
        <v>9</v>
      </c>
      <c r="K2365" t="s">
        <v>87</v>
      </c>
      <c r="L2365" t="s">
        <v>28</v>
      </c>
      <c r="M2365" t="s">
        <v>6</v>
      </c>
      <c r="N2365" t="b">
        <v>0</v>
      </c>
      <c r="O2365">
        <v>0</v>
      </c>
      <c r="P2365">
        <v>1</v>
      </c>
      <c r="Q2365">
        <v>0</v>
      </c>
      <c r="R2365">
        <v>0</v>
      </c>
    </row>
    <row r="2366" spans="1:18" x14ac:dyDescent="0.25">
      <c r="A2366" t="s">
        <v>41</v>
      </c>
      <c r="B2366" t="s">
        <v>6</v>
      </c>
      <c r="C2366">
        <v>1</v>
      </c>
      <c r="D2366">
        <v>2</v>
      </c>
      <c r="E2366">
        <v>1</v>
      </c>
      <c r="F2366" s="15">
        <v>45929</v>
      </c>
      <c r="G2366" t="s">
        <v>151</v>
      </c>
      <c r="H2366">
        <v>4</v>
      </c>
      <c r="I2366">
        <v>2025</v>
      </c>
      <c r="J2366">
        <v>9</v>
      </c>
      <c r="K2366" t="s">
        <v>87</v>
      </c>
      <c r="L2366" t="s">
        <v>326</v>
      </c>
      <c r="M2366" t="s">
        <v>6</v>
      </c>
      <c r="N2366" t="b">
        <v>0</v>
      </c>
      <c r="O2366">
        <v>0</v>
      </c>
      <c r="P2366">
        <v>1</v>
      </c>
      <c r="Q2366">
        <v>0</v>
      </c>
      <c r="R2366">
        <v>0</v>
      </c>
    </row>
    <row r="2367" spans="1:18" x14ac:dyDescent="0.25">
      <c r="A2367" t="s">
        <v>326</v>
      </c>
      <c r="B2367" t="s">
        <v>6</v>
      </c>
      <c r="C2367">
        <v>3</v>
      </c>
      <c r="D2367">
        <v>2</v>
      </c>
      <c r="E2367">
        <v>1</v>
      </c>
      <c r="F2367" s="15">
        <v>45929</v>
      </c>
      <c r="G2367" t="s">
        <v>151</v>
      </c>
      <c r="H2367">
        <v>4</v>
      </c>
      <c r="I2367">
        <v>2025</v>
      </c>
      <c r="J2367">
        <v>9</v>
      </c>
      <c r="K2367" t="s">
        <v>87</v>
      </c>
      <c r="L2367" t="s">
        <v>7</v>
      </c>
      <c r="M2367" t="s">
        <v>8</v>
      </c>
      <c r="N2367" t="b">
        <v>0</v>
      </c>
      <c r="O2367">
        <v>0</v>
      </c>
      <c r="P2367">
        <v>1</v>
      </c>
      <c r="Q2367">
        <v>0</v>
      </c>
      <c r="R2367">
        <v>1</v>
      </c>
    </row>
    <row r="2368" spans="1:18" x14ac:dyDescent="0.25">
      <c r="A2368" t="s">
        <v>326</v>
      </c>
      <c r="B2368" t="s">
        <v>6</v>
      </c>
      <c r="C2368">
        <v>3</v>
      </c>
      <c r="D2368">
        <v>2</v>
      </c>
      <c r="E2368">
        <v>1</v>
      </c>
      <c r="F2368" s="15">
        <v>45929</v>
      </c>
      <c r="G2368" t="s">
        <v>151</v>
      </c>
      <c r="H2368">
        <v>4</v>
      </c>
      <c r="I2368">
        <v>2025</v>
      </c>
      <c r="J2368">
        <v>9</v>
      </c>
      <c r="K2368" t="s">
        <v>87</v>
      </c>
      <c r="L2368" t="s">
        <v>28</v>
      </c>
      <c r="M2368" t="s">
        <v>6</v>
      </c>
      <c r="N2368" t="b">
        <v>0</v>
      </c>
      <c r="O2368">
        <v>0</v>
      </c>
      <c r="P2368">
        <v>1</v>
      </c>
      <c r="Q2368">
        <v>0</v>
      </c>
      <c r="R2368">
        <v>0</v>
      </c>
    </row>
    <row r="2369" spans="1:18" x14ac:dyDescent="0.25">
      <c r="A2369" t="s">
        <v>326</v>
      </c>
      <c r="B2369" t="s">
        <v>6</v>
      </c>
      <c r="C2369">
        <v>3</v>
      </c>
      <c r="D2369">
        <v>2</v>
      </c>
      <c r="E2369">
        <v>1</v>
      </c>
      <c r="F2369" s="15">
        <v>45929</v>
      </c>
      <c r="G2369" t="s">
        <v>151</v>
      </c>
      <c r="H2369">
        <v>4</v>
      </c>
      <c r="I2369">
        <v>2025</v>
      </c>
      <c r="J2369">
        <v>9</v>
      </c>
      <c r="K2369" t="s">
        <v>87</v>
      </c>
      <c r="L2369" t="s">
        <v>41</v>
      </c>
      <c r="M2369" t="s">
        <v>6</v>
      </c>
      <c r="N2369" t="b">
        <v>0</v>
      </c>
      <c r="O2369">
        <v>0</v>
      </c>
      <c r="P2369">
        <v>1</v>
      </c>
      <c r="Q2369">
        <v>0</v>
      </c>
      <c r="R2369">
        <v>0</v>
      </c>
    </row>
    <row r="2370" spans="1:18" x14ac:dyDescent="0.25">
      <c r="A2370" t="s">
        <v>7</v>
      </c>
      <c r="B2370" t="s">
        <v>8</v>
      </c>
      <c r="C2370">
        <v>1</v>
      </c>
      <c r="D2370">
        <v>2</v>
      </c>
      <c r="E2370">
        <v>1</v>
      </c>
      <c r="F2370" s="15">
        <v>45936</v>
      </c>
      <c r="G2370" t="s">
        <v>152</v>
      </c>
      <c r="H2370">
        <v>4</v>
      </c>
      <c r="I2370">
        <v>2025</v>
      </c>
      <c r="J2370">
        <v>10</v>
      </c>
      <c r="K2370" t="s">
        <v>87</v>
      </c>
      <c r="L2370" t="s">
        <v>52</v>
      </c>
      <c r="M2370" t="s">
        <v>6</v>
      </c>
      <c r="N2370" t="b">
        <v>0</v>
      </c>
      <c r="O2370">
        <v>1</v>
      </c>
      <c r="P2370">
        <v>0</v>
      </c>
      <c r="Q2370">
        <v>0</v>
      </c>
      <c r="R2370">
        <v>0</v>
      </c>
    </row>
    <row r="2371" spans="1:18" x14ac:dyDescent="0.25">
      <c r="A2371" t="s">
        <v>7</v>
      </c>
      <c r="B2371" t="s">
        <v>8</v>
      </c>
      <c r="C2371">
        <v>1</v>
      </c>
      <c r="D2371">
        <v>2</v>
      </c>
      <c r="E2371">
        <v>1</v>
      </c>
      <c r="F2371" s="15">
        <v>45936</v>
      </c>
      <c r="G2371" t="s">
        <v>152</v>
      </c>
      <c r="H2371">
        <v>4</v>
      </c>
      <c r="I2371">
        <v>2025</v>
      </c>
      <c r="J2371">
        <v>10</v>
      </c>
      <c r="K2371" t="s">
        <v>87</v>
      </c>
      <c r="L2371" t="s">
        <v>55</v>
      </c>
      <c r="M2371" t="s">
        <v>6</v>
      </c>
      <c r="N2371" t="b">
        <v>0</v>
      </c>
      <c r="O2371">
        <v>1</v>
      </c>
      <c r="P2371">
        <v>0</v>
      </c>
      <c r="Q2371">
        <v>0</v>
      </c>
      <c r="R2371">
        <v>0</v>
      </c>
    </row>
    <row r="2372" spans="1:18" x14ac:dyDescent="0.25">
      <c r="A2372" t="s">
        <v>7</v>
      </c>
      <c r="B2372" t="s">
        <v>8</v>
      </c>
      <c r="C2372">
        <v>1</v>
      </c>
      <c r="D2372">
        <v>2</v>
      </c>
      <c r="E2372">
        <v>1</v>
      </c>
      <c r="F2372" s="15">
        <v>45936</v>
      </c>
      <c r="G2372" t="s">
        <v>152</v>
      </c>
      <c r="H2372">
        <v>4</v>
      </c>
      <c r="I2372">
        <v>2025</v>
      </c>
      <c r="J2372">
        <v>10</v>
      </c>
      <c r="K2372" t="s">
        <v>87</v>
      </c>
      <c r="L2372" t="s">
        <v>12</v>
      </c>
      <c r="M2372" t="s">
        <v>6</v>
      </c>
      <c r="N2372" t="b">
        <v>0</v>
      </c>
      <c r="O2372">
        <v>1</v>
      </c>
      <c r="P2372">
        <v>0</v>
      </c>
      <c r="Q2372">
        <v>0</v>
      </c>
      <c r="R2372">
        <v>0</v>
      </c>
    </row>
    <row r="2373" spans="1:18" x14ac:dyDescent="0.25">
      <c r="A2373" t="s">
        <v>52</v>
      </c>
      <c r="B2373" t="s">
        <v>6</v>
      </c>
      <c r="C2373">
        <v>3</v>
      </c>
      <c r="D2373">
        <v>2</v>
      </c>
      <c r="E2373">
        <v>1</v>
      </c>
      <c r="F2373" s="15">
        <v>45936</v>
      </c>
      <c r="G2373" t="s">
        <v>152</v>
      </c>
      <c r="H2373">
        <v>4</v>
      </c>
      <c r="I2373">
        <v>2025</v>
      </c>
      <c r="J2373">
        <v>10</v>
      </c>
      <c r="K2373" t="s">
        <v>87</v>
      </c>
      <c r="L2373" t="s">
        <v>7</v>
      </c>
      <c r="M2373" t="s">
        <v>8</v>
      </c>
      <c r="N2373" t="b">
        <v>0</v>
      </c>
      <c r="O2373">
        <v>0</v>
      </c>
      <c r="P2373">
        <v>1</v>
      </c>
      <c r="Q2373">
        <v>0</v>
      </c>
      <c r="R2373">
        <v>1</v>
      </c>
    </row>
    <row r="2374" spans="1:18" x14ac:dyDescent="0.25">
      <c r="A2374" t="s">
        <v>52</v>
      </c>
      <c r="B2374" t="s">
        <v>6</v>
      </c>
      <c r="C2374">
        <v>3</v>
      </c>
      <c r="D2374">
        <v>2</v>
      </c>
      <c r="E2374">
        <v>1</v>
      </c>
      <c r="F2374" s="15">
        <v>45936</v>
      </c>
      <c r="G2374" t="s">
        <v>152</v>
      </c>
      <c r="H2374">
        <v>4</v>
      </c>
      <c r="I2374">
        <v>2025</v>
      </c>
      <c r="J2374">
        <v>10</v>
      </c>
      <c r="K2374" t="s">
        <v>87</v>
      </c>
      <c r="L2374" t="s">
        <v>55</v>
      </c>
      <c r="M2374" t="s">
        <v>6</v>
      </c>
      <c r="N2374" t="b">
        <v>0</v>
      </c>
      <c r="O2374">
        <v>0</v>
      </c>
      <c r="P2374">
        <v>1</v>
      </c>
      <c r="Q2374">
        <v>0</v>
      </c>
      <c r="R2374">
        <v>0</v>
      </c>
    </row>
    <row r="2375" spans="1:18" x14ac:dyDescent="0.25">
      <c r="A2375" t="s">
        <v>52</v>
      </c>
      <c r="B2375" t="s">
        <v>6</v>
      </c>
      <c r="C2375">
        <v>3</v>
      </c>
      <c r="D2375">
        <v>2</v>
      </c>
      <c r="E2375">
        <v>1</v>
      </c>
      <c r="F2375" s="15">
        <v>45936</v>
      </c>
      <c r="G2375" t="s">
        <v>152</v>
      </c>
      <c r="H2375">
        <v>4</v>
      </c>
      <c r="I2375">
        <v>2025</v>
      </c>
      <c r="J2375">
        <v>10</v>
      </c>
      <c r="K2375" t="s">
        <v>87</v>
      </c>
      <c r="L2375" t="s">
        <v>12</v>
      </c>
      <c r="M2375" t="s">
        <v>6</v>
      </c>
      <c r="N2375" t="b">
        <v>0</v>
      </c>
      <c r="O2375">
        <v>0</v>
      </c>
      <c r="P2375">
        <v>1</v>
      </c>
      <c r="Q2375">
        <v>0</v>
      </c>
      <c r="R2375">
        <v>0</v>
      </c>
    </row>
    <row r="2376" spans="1:18" x14ac:dyDescent="0.25">
      <c r="A2376" t="s">
        <v>55</v>
      </c>
      <c r="B2376" t="s">
        <v>6</v>
      </c>
      <c r="C2376">
        <v>4</v>
      </c>
      <c r="D2376">
        <v>2</v>
      </c>
      <c r="E2376">
        <v>1</v>
      </c>
      <c r="F2376" s="15">
        <v>45936</v>
      </c>
      <c r="G2376" t="s">
        <v>152</v>
      </c>
      <c r="H2376">
        <v>4</v>
      </c>
      <c r="I2376">
        <v>2025</v>
      </c>
      <c r="J2376">
        <v>10</v>
      </c>
      <c r="K2376" t="s">
        <v>87</v>
      </c>
      <c r="L2376" t="s">
        <v>7</v>
      </c>
      <c r="M2376" t="s">
        <v>8</v>
      </c>
      <c r="N2376" t="b">
        <v>0</v>
      </c>
      <c r="O2376">
        <v>0</v>
      </c>
      <c r="P2376">
        <v>1</v>
      </c>
      <c r="Q2376">
        <v>0</v>
      </c>
      <c r="R2376">
        <v>1</v>
      </c>
    </row>
    <row r="2377" spans="1:18" x14ac:dyDescent="0.25">
      <c r="A2377" t="s">
        <v>55</v>
      </c>
      <c r="B2377" t="s">
        <v>6</v>
      </c>
      <c r="C2377">
        <v>4</v>
      </c>
      <c r="D2377">
        <v>2</v>
      </c>
      <c r="E2377">
        <v>1</v>
      </c>
      <c r="F2377" s="15">
        <v>45936</v>
      </c>
      <c r="G2377" t="s">
        <v>152</v>
      </c>
      <c r="H2377">
        <v>4</v>
      </c>
      <c r="I2377">
        <v>2025</v>
      </c>
      <c r="J2377">
        <v>10</v>
      </c>
      <c r="K2377" t="s">
        <v>87</v>
      </c>
      <c r="L2377" t="s">
        <v>52</v>
      </c>
      <c r="M2377" t="s">
        <v>6</v>
      </c>
      <c r="N2377" t="b">
        <v>0</v>
      </c>
      <c r="O2377">
        <v>0</v>
      </c>
      <c r="P2377">
        <v>1</v>
      </c>
      <c r="Q2377">
        <v>0</v>
      </c>
      <c r="R2377">
        <v>0</v>
      </c>
    </row>
    <row r="2378" spans="1:18" x14ac:dyDescent="0.25">
      <c r="A2378" t="s">
        <v>55</v>
      </c>
      <c r="B2378" t="s">
        <v>6</v>
      </c>
      <c r="C2378">
        <v>4</v>
      </c>
      <c r="D2378">
        <v>2</v>
      </c>
      <c r="E2378">
        <v>1</v>
      </c>
      <c r="F2378" s="15">
        <v>45936</v>
      </c>
      <c r="G2378" t="s">
        <v>152</v>
      </c>
      <c r="H2378">
        <v>4</v>
      </c>
      <c r="I2378">
        <v>2025</v>
      </c>
      <c r="J2378">
        <v>10</v>
      </c>
      <c r="K2378" t="s">
        <v>87</v>
      </c>
      <c r="L2378" t="s">
        <v>12</v>
      </c>
      <c r="M2378" t="s">
        <v>6</v>
      </c>
      <c r="N2378" t="b">
        <v>0</v>
      </c>
      <c r="O2378">
        <v>0</v>
      </c>
      <c r="P2378">
        <v>1</v>
      </c>
      <c r="Q2378">
        <v>0</v>
      </c>
      <c r="R2378">
        <v>0</v>
      </c>
    </row>
    <row r="2379" spans="1:18" x14ac:dyDescent="0.25">
      <c r="A2379" t="s">
        <v>12</v>
      </c>
      <c r="B2379" t="s">
        <v>6</v>
      </c>
      <c r="C2379">
        <v>2</v>
      </c>
      <c r="D2379">
        <v>2</v>
      </c>
      <c r="E2379">
        <v>1</v>
      </c>
      <c r="F2379" s="15">
        <v>45936</v>
      </c>
      <c r="G2379" t="s">
        <v>152</v>
      </c>
      <c r="H2379">
        <v>4</v>
      </c>
      <c r="I2379">
        <v>2025</v>
      </c>
      <c r="J2379">
        <v>10</v>
      </c>
      <c r="K2379" t="s">
        <v>87</v>
      </c>
      <c r="L2379" t="s">
        <v>7</v>
      </c>
      <c r="M2379" t="s">
        <v>8</v>
      </c>
      <c r="N2379" t="b">
        <v>0</v>
      </c>
      <c r="O2379">
        <v>0</v>
      </c>
      <c r="P2379">
        <v>1</v>
      </c>
      <c r="Q2379">
        <v>0</v>
      </c>
      <c r="R2379">
        <v>1</v>
      </c>
    </row>
    <row r="2380" spans="1:18" x14ac:dyDescent="0.25">
      <c r="A2380" t="s">
        <v>12</v>
      </c>
      <c r="B2380" t="s">
        <v>6</v>
      </c>
      <c r="C2380">
        <v>2</v>
      </c>
      <c r="D2380">
        <v>2</v>
      </c>
      <c r="E2380">
        <v>1</v>
      </c>
      <c r="F2380" s="15">
        <v>45936</v>
      </c>
      <c r="G2380" t="s">
        <v>152</v>
      </c>
      <c r="H2380">
        <v>4</v>
      </c>
      <c r="I2380">
        <v>2025</v>
      </c>
      <c r="J2380">
        <v>10</v>
      </c>
      <c r="K2380" t="s">
        <v>87</v>
      </c>
      <c r="L2380" t="s">
        <v>52</v>
      </c>
      <c r="M2380" t="s">
        <v>6</v>
      </c>
      <c r="N2380" t="b">
        <v>0</v>
      </c>
      <c r="O2380">
        <v>0</v>
      </c>
      <c r="P2380">
        <v>1</v>
      </c>
      <c r="Q2380">
        <v>0</v>
      </c>
      <c r="R2380">
        <v>0</v>
      </c>
    </row>
    <row r="2381" spans="1:18" x14ac:dyDescent="0.25">
      <c r="A2381" t="s">
        <v>12</v>
      </c>
      <c r="B2381" t="s">
        <v>6</v>
      </c>
      <c r="C2381">
        <v>2</v>
      </c>
      <c r="D2381">
        <v>2</v>
      </c>
      <c r="E2381">
        <v>1</v>
      </c>
      <c r="F2381" s="15">
        <v>45936</v>
      </c>
      <c r="G2381" t="s">
        <v>152</v>
      </c>
      <c r="H2381">
        <v>4</v>
      </c>
      <c r="I2381">
        <v>2025</v>
      </c>
      <c r="J2381">
        <v>10</v>
      </c>
      <c r="K2381" t="s">
        <v>87</v>
      </c>
      <c r="L2381" t="s">
        <v>55</v>
      </c>
      <c r="M2381" t="s">
        <v>6</v>
      </c>
      <c r="N2381" t="b">
        <v>0</v>
      </c>
      <c r="O2381">
        <v>0</v>
      </c>
      <c r="P2381">
        <v>1</v>
      </c>
      <c r="Q2381">
        <v>0</v>
      </c>
      <c r="R2381">
        <v>0</v>
      </c>
    </row>
    <row r="2382" spans="1:18" x14ac:dyDescent="0.25">
      <c r="A2382" t="s">
        <v>7</v>
      </c>
      <c r="B2382" t="s">
        <v>8</v>
      </c>
      <c r="D2382">
        <v>2</v>
      </c>
      <c r="E2382">
        <v>2</v>
      </c>
      <c r="F2382" s="15">
        <v>45859</v>
      </c>
      <c r="G2382" t="s">
        <v>166</v>
      </c>
      <c r="H2382">
        <v>4</v>
      </c>
      <c r="I2382">
        <v>2025</v>
      </c>
      <c r="J2382">
        <v>7</v>
      </c>
      <c r="K2382" t="s">
        <v>87</v>
      </c>
      <c r="L2382" t="s">
        <v>15</v>
      </c>
      <c r="M2382" t="s">
        <v>6</v>
      </c>
      <c r="N2382" t="b">
        <v>0</v>
      </c>
      <c r="O2382">
        <v>1</v>
      </c>
      <c r="P2382">
        <v>0</v>
      </c>
      <c r="Q2382">
        <v>0</v>
      </c>
      <c r="R2382">
        <v>0</v>
      </c>
    </row>
    <row r="2383" spans="1:18" x14ac:dyDescent="0.25">
      <c r="A2383" t="s">
        <v>7</v>
      </c>
      <c r="B2383" t="s">
        <v>8</v>
      </c>
      <c r="D2383">
        <v>2</v>
      </c>
      <c r="E2383">
        <v>2</v>
      </c>
      <c r="F2383" s="15">
        <v>45859</v>
      </c>
      <c r="G2383" t="s">
        <v>166</v>
      </c>
      <c r="H2383">
        <v>4</v>
      </c>
      <c r="I2383">
        <v>2025</v>
      </c>
      <c r="J2383">
        <v>7</v>
      </c>
      <c r="K2383" t="s">
        <v>87</v>
      </c>
      <c r="L2383" t="s">
        <v>76</v>
      </c>
      <c r="M2383" t="s">
        <v>6</v>
      </c>
      <c r="N2383" t="b">
        <v>0</v>
      </c>
      <c r="O2383">
        <v>1</v>
      </c>
      <c r="P2383">
        <v>0</v>
      </c>
      <c r="Q2383">
        <v>0</v>
      </c>
      <c r="R2383">
        <v>0</v>
      </c>
    </row>
    <row r="2384" spans="1:18" x14ac:dyDescent="0.25">
      <c r="A2384" t="s">
        <v>7</v>
      </c>
      <c r="B2384" t="s">
        <v>8</v>
      </c>
      <c r="D2384">
        <v>2</v>
      </c>
      <c r="E2384">
        <v>2</v>
      </c>
      <c r="F2384" s="15">
        <v>45859</v>
      </c>
      <c r="G2384" t="s">
        <v>166</v>
      </c>
      <c r="H2384">
        <v>4</v>
      </c>
      <c r="I2384">
        <v>2025</v>
      </c>
      <c r="J2384">
        <v>7</v>
      </c>
      <c r="K2384" t="s">
        <v>87</v>
      </c>
      <c r="L2384" t="s">
        <v>76</v>
      </c>
      <c r="M2384" t="s">
        <v>6</v>
      </c>
      <c r="N2384" t="b">
        <v>0</v>
      </c>
      <c r="O2384">
        <v>1</v>
      </c>
      <c r="P2384">
        <v>0</v>
      </c>
      <c r="Q2384">
        <v>0</v>
      </c>
      <c r="R2384">
        <v>0</v>
      </c>
    </row>
    <row r="2385" spans="1:18" x14ac:dyDescent="0.25">
      <c r="A2385" t="s">
        <v>15</v>
      </c>
      <c r="B2385" t="s">
        <v>6</v>
      </c>
      <c r="D2385">
        <v>2</v>
      </c>
      <c r="E2385">
        <v>2</v>
      </c>
      <c r="F2385" s="15">
        <v>45859</v>
      </c>
      <c r="G2385" t="s">
        <v>166</v>
      </c>
      <c r="H2385">
        <v>4</v>
      </c>
      <c r="I2385">
        <v>2025</v>
      </c>
      <c r="J2385">
        <v>7</v>
      </c>
      <c r="K2385" t="s">
        <v>87</v>
      </c>
      <c r="L2385" t="s">
        <v>7</v>
      </c>
      <c r="M2385" t="s">
        <v>8</v>
      </c>
      <c r="N2385" t="b">
        <v>0</v>
      </c>
      <c r="O2385">
        <v>0</v>
      </c>
      <c r="P2385">
        <v>1</v>
      </c>
      <c r="Q2385">
        <v>0</v>
      </c>
      <c r="R2385">
        <v>1</v>
      </c>
    </row>
    <row r="2386" spans="1:18" x14ac:dyDescent="0.25">
      <c r="A2386" t="s">
        <v>15</v>
      </c>
      <c r="B2386" t="s">
        <v>6</v>
      </c>
      <c r="D2386">
        <v>2</v>
      </c>
      <c r="E2386">
        <v>2</v>
      </c>
      <c r="F2386" s="15">
        <v>45859</v>
      </c>
      <c r="G2386" t="s">
        <v>166</v>
      </c>
      <c r="H2386">
        <v>4</v>
      </c>
      <c r="I2386">
        <v>2025</v>
      </c>
      <c r="J2386">
        <v>7</v>
      </c>
      <c r="K2386" t="s">
        <v>87</v>
      </c>
      <c r="L2386" t="s">
        <v>76</v>
      </c>
      <c r="M2386" t="s">
        <v>6</v>
      </c>
      <c r="N2386" t="b">
        <v>0</v>
      </c>
      <c r="O2386">
        <v>0</v>
      </c>
      <c r="P2386">
        <v>1</v>
      </c>
      <c r="Q2386">
        <v>0</v>
      </c>
      <c r="R2386">
        <v>0</v>
      </c>
    </row>
    <row r="2387" spans="1:18" x14ac:dyDescent="0.25">
      <c r="A2387" t="s">
        <v>15</v>
      </c>
      <c r="B2387" t="s">
        <v>6</v>
      </c>
      <c r="D2387">
        <v>2</v>
      </c>
      <c r="E2387">
        <v>2</v>
      </c>
      <c r="F2387" s="15">
        <v>45859</v>
      </c>
      <c r="G2387" t="s">
        <v>166</v>
      </c>
      <c r="H2387">
        <v>4</v>
      </c>
      <c r="I2387">
        <v>2025</v>
      </c>
      <c r="J2387">
        <v>7</v>
      </c>
      <c r="K2387" t="s">
        <v>87</v>
      </c>
      <c r="L2387" t="s">
        <v>76</v>
      </c>
      <c r="M2387" t="s">
        <v>6</v>
      </c>
      <c r="N2387" t="b">
        <v>0</v>
      </c>
      <c r="O2387">
        <v>0</v>
      </c>
      <c r="P2387">
        <v>1</v>
      </c>
      <c r="Q2387">
        <v>0</v>
      </c>
      <c r="R2387">
        <v>0</v>
      </c>
    </row>
    <row r="2388" spans="1:18" x14ac:dyDescent="0.25">
      <c r="A2388" t="s">
        <v>76</v>
      </c>
      <c r="B2388" t="s">
        <v>6</v>
      </c>
      <c r="D2388">
        <v>2</v>
      </c>
      <c r="E2388">
        <v>2</v>
      </c>
      <c r="F2388" s="15">
        <v>45859</v>
      </c>
      <c r="G2388" t="s">
        <v>166</v>
      </c>
      <c r="H2388">
        <v>4</v>
      </c>
      <c r="I2388">
        <v>2025</v>
      </c>
      <c r="J2388">
        <v>7</v>
      </c>
      <c r="K2388" t="s">
        <v>87</v>
      </c>
      <c r="L2388" t="s">
        <v>7</v>
      </c>
      <c r="M2388" t="s">
        <v>8</v>
      </c>
      <c r="N2388" t="b">
        <v>0</v>
      </c>
      <c r="O2388">
        <v>0</v>
      </c>
      <c r="P2388">
        <v>1</v>
      </c>
      <c r="Q2388">
        <v>0</v>
      </c>
      <c r="R2388">
        <v>1</v>
      </c>
    </row>
    <row r="2389" spans="1:18" x14ac:dyDescent="0.25">
      <c r="A2389" t="s">
        <v>76</v>
      </c>
      <c r="B2389" t="s">
        <v>6</v>
      </c>
      <c r="D2389">
        <v>2</v>
      </c>
      <c r="E2389">
        <v>2</v>
      </c>
      <c r="F2389" s="15">
        <v>45859</v>
      </c>
      <c r="G2389" t="s">
        <v>166</v>
      </c>
      <c r="H2389">
        <v>4</v>
      </c>
      <c r="I2389">
        <v>2025</v>
      </c>
      <c r="J2389">
        <v>7</v>
      </c>
      <c r="K2389" t="s">
        <v>87</v>
      </c>
      <c r="L2389" t="s">
        <v>15</v>
      </c>
      <c r="M2389" t="s">
        <v>6</v>
      </c>
      <c r="N2389" t="b">
        <v>0</v>
      </c>
      <c r="O2389">
        <v>0</v>
      </c>
      <c r="P2389">
        <v>1</v>
      </c>
      <c r="Q2389">
        <v>0</v>
      </c>
      <c r="R2389">
        <v>0</v>
      </c>
    </row>
    <row r="2390" spans="1:18" x14ac:dyDescent="0.25">
      <c r="A2390" t="s">
        <v>76</v>
      </c>
      <c r="B2390" t="s">
        <v>6</v>
      </c>
      <c r="D2390">
        <v>2</v>
      </c>
      <c r="E2390">
        <v>2</v>
      </c>
      <c r="F2390" s="15">
        <v>45859</v>
      </c>
      <c r="G2390" t="s">
        <v>166</v>
      </c>
      <c r="H2390">
        <v>4</v>
      </c>
      <c r="I2390">
        <v>2025</v>
      </c>
      <c r="J2390">
        <v>7</v>
      </c>
      <c r="K2390" t="s">
        <v>87</v>
      </c>
      <c r="L2390" t="s">
        <v>7</v>
      </c>
      <c r="M2390" t="s">
        <v>8</v>
      </c>
      <c r="N2390" t="b">
        <v>0</v>
      </c>
      <c r="O2390">
        <v>0</v>
      </c>
      <c r="P2390">
        <v>1</v>
      </c>
      <c r="Q2390">
        <v>0</v>
      </c>
      <c r="R2390">
        <v>1</v>
      </c>
    </row>
    <row r="2391" spans="1:18" x14ac:dyDescent="0.25">
      <c r="A2391" t="s">
        <v>76</v>
      </c>
      <c r="B2391" t="s">
        <v>6</v>
      </c>
      <c r="D2391">
        <v>2</v>
      </c>
      <c r="E2391">
        <v>2</v>
      </c>
      <c r="F2391" s="15">
        <v>45859</v>
      </c>
      <c r="G2391" t="s">
        <v>166</v>
      </c>
      <c r="H2391">
        <v>4</v>
      </c>
      <c r="I2391">
        <v>2025</v>
      </c>
      <c r="J2391">
        <v>7</v>
      </c>
      <c r="K2391" t="s">
        <v>87</v>
      </c>
      <c r="L2391" t="s">
        <v>15</v>
      </c>
      <c r="M2391" t="s">
        <v>6</v>
      </c>
      <c r="N2391" t="b">
        <v>0</v>
      </c>
      <c r="O2391">
        <v>0</v>
      </c>
      <c r="P2391">
        <v>1</v>
      </c>
      <c r="Q2391">
        <v>0</v>
      </c>
      <c r="R2391">
        <v>0</v>
      </c>
    </row>
    <row r="2392" spans="1:18" x14ac:dyDescent="0.25">
      <c r="A2392" t="s">
        <v>7</v>
      </c>
      <c r="B2392" t="s">
        <v>6</v>
      </c>
      <c r="C2392">
        <v>1</v>
      </c>
      <c r="D2392">
        <v>2</v>
      </c>
      <c r="E2392">
        <v>2</v>
      </c>
      <c r="F2392" s="15">
        <v>45908</v>
      </c>
      <c r="G2392" t="s">
        <v>172</v>
      </c>
      <c r="H2392">
        <v>4</v>
      </c>
      <c r="I2392">
        <v>2025</v>
      </c>
      <c r="J2392">
        <v>9</v>
      </c>
      <c r="K2392" t="s">
        <v>87</v>
      </c>
      <c r="L2392" t="s">
        <v>51</v>
      </c>
      <c r="M2392" t="s">
        <v>6</v>
      </c>
      <c r="N2392" t="b">
        <v>0</v>
      </c>
      <c r="O2392">
        <v>0</v>
      </c>
      <c r="P2392">
        <v>1</v>
      </c>
      <c r="Q2392">
        <v>0</v>
      </c>
      <c r="R2392">
        <v>0</v>
      </c>
    </row>
    <row r="2393" spans="1:18" x14ac:dyDescent="0.25">
      <c r="A2393" t="s">
        <v>7</v>
      </c>
      <c r="B2393" t="s">
        <v>6</v>
      </c>
      <c r="C2393">
        <v>1</v>
      </c>
      <c r="D2393">
        <v>2</v>
      </c>
      <c r="E2393">
        <v>2</v>
      </c>
      <c r="F2393" s="15">
        <v>45908</v>
      </c>
      <c r="G2393" t="s">
        <v>172</v>
      </c>
      <c r="H2393">
        <v>4</v>
      </c>
      <c r="I2393">
        <v>2025</v>
      </c>
      <c r="J2393">
        <v>9</v>
      </c>
      <c r="K2393" t="s">
        <v>87</v>
      </c>
      <c r="L2393" t="s">
        <v>12</v>
      </c>
      <c r="M2393" t="s">
        <v>6</v>
      </c>
      <c r="N2393" t="b">
        <v>0</v>
      </c>
      <c r="O2393">
        <v>0</v>
      </c>
      <c r="P2393">
        <v>1</v>
      </c>
      <c r="Q2393">
        <v>0</v>
      </c>
      <c r="R2393">
        <v>0</v>
      </c>
    </row>
    <row r="2394" spans="1:18" x14ac:dyDescent="0.25">
      <c r="A2394" t="s">
        <v>7</v>
      </c>
      <c r="B2394" t="s">
        <v>6</v>
      </c>
      <c r="C2394">
        <v>1</v>
      </c>
      <c r="D2394">
        <v>2</v>
      </c>
      <c r="E2394">
        <v>2</v>
      </c>
      <c r="F2394" s="15">
        <v>45908</v>
      </c>
      <c r="G2394" t="s">
        <v>172</v>
      </c>
      <c r="H2394">
        <v>4</v>
      </c>
      <c r="I2394">
        <v>2025</v>
      </c>
      <c r="J2394">
        <v>9</v>
      </c>
      <c r="K2394" t="s">
        <v>87</v>
      </c>
      <c r="L2394" t="s">
        <v>352</v>
      </c>
      <c r="M2394" t="s">
        <v>8</v>
      </c>
      <c r="N2394" t="b">
        <v>0</v>
      </c>
      <c r="O2394">
        <v>0</v>
      </c>
      <c r="P2394">
        <v>1</v>
      </c>
      <c r="Q2394">
        <v>0</v>
      </c>
      <c r="R2394">
        <v>1</v>
      </c>
    </row>
    <row r="2395" spans="1:18" x14ac:dyDescent="0.25">
      <c r="A2395" t="s">
        <v>51</v>
      </c>
      <c r="B2395" t="s">
        <v>6</v>
      </c>
      <c r="C2395">
        <v>4</v>
      </c>
      <c r="D2395">
        <v>2</v>
      </c>
      <c r="E2395">
        <v>2</v>
      </c>
      <c r="F2395" s="15">
        <v>45908</v>
      </c>
      <c r="G2395" t="s">
        <v>172</v>
      </c>
      <c r="H2395">
        <v>4</v>
      </c>
      <c r="I2395">
        <v>2025</v>
      </c>
      <c r="J2395">
        <v>9</v>
      </c>
      <c r="K2395" t="s">
        <v>87</v>
      </c>
      <c r="L2395" t="s">
        <v>7</v>
      </c>
      <c r="M2395" t="s">
        <v>6</v>
      </c>
      <c r="N2395" t="b">
        <v>0</v>
      </c>
      <c r="O2395">
        <v>0</v>
      </c>
      <c r="P2395">
        <v>1</v>
      </c>
      <c r="Q2395">
        <v>0</v>
      </c>
      <c r="R2395">
        <v>0</v>
      </c>
    </row>
    <row r="2396" spans="1:18" x14ac:dyDescent="0.25">
      <c r="A2396" t="s">
        <v>51</v>
      </c>
      <c r="B2396" t="s">
        <v>6</v>
      </c>
      <c r="C2396">
        <v>4</v>
      </c>
      <c r="D2396">
        <v>2</v>
      </c>
      <c r="E2396">
        <v>2</v>
      </c>
      <c r="F2396" s="15">
        <v>45908</v>
      </c>
      <c r="G2396" t="s">
        <v>172</v>
      </c>
      <c r="H2396">
        <v>4</v>
      </c>
      <c r="I2396">
        <v>2025</v>
      </c>
      <c r="J2396">
        <v>9</v>
      </c>
      <c r="K2396" t="s">
        <v>87</v>
      </c>
      <c r="L2396" t="s">
        <v>12</v>
      </c>
      <c r="M2396" t="s">
        <v>6</v>
      </c>
      <c r="N2396" t="b">
        <v>0</v>
      </c>
      <c r="O2396">
        <v>0</v>
      </c>
      <c r="P2396">
        <v>1</v>
      </c>
      <c r="Q2396">
        <v>0</v>
      </c>
      <c r="R2396">
        <v>0</v>
      </c>
    </row>
    <row r="2397" spans="1:18" x14ac:dyDescent="0.25">
      <c r="A2397" t="s">
        <v>51</v>
      </c>
      <c r="B2397" t="s">
        <v>6</v>
      </c>
      <c r="C2397">
        <v>4</v>
      </c>
      <c r="D2397">
        <v>2</v>
      </c>
      <c r="E2397">
        <v>2</v>
      </c>
      <c r="F2397" s="15">
        <v>45908</v>
      </c>
      <c r="G2397" t="s">
        <v>172</v>
      </c>
      <c r="H2397">
        <v>4</v>
      </c>
      <c r="I2397">
        <v>2025</v>
      </c>
      <c r="J2397">
        <v>9</v>
      </c>
      <c r="K2397" t="s">
        <v>87</v>
      </c>
      <c r="L2397" t="s">
        <v>352</v>
      </c>
      <c r="M2397" t="s">
        <v>8</v>
      </c>
      <c r="N2397" t="b">
        <v>0</v>
      </c>
      <c r="O2397">
        <v>0</v>
      </c>
      <c r="P2397">
        <v>1</v>
      </c>
      <c r="Q2397">
        <v>0</v>
      </c>
      <c r="R2397">
        <v>1</v>
      </c>
    </row>
    <row r="2398" spans="1:18" x14ac:dyDescent="0.25">
      <c r="A2398" t="s">
        <v>12</v>
      </c>
      <c r="B2398" t="s">
        <v>6</v>
      </c>
      <c r="C2398">
        <v>3</v>
      </c>
      <c r="D2398">
        <v>2</v>
      </c>
      <c r="E2398">
        <v>2</v>
      </c>
      <c r="F2398" s="15">
        <v>45908</v>
      </c>
      <c r="G2398" t="s">
        <v>172</v>
      </c>
      <c r="H2398">
        <v>4</v>
      </c>
      <c r="I2398">
        <v>2025</v>
      </c>
      <c r="J2398">
        <v>9</v>
      </c>
      <c r="K2398" t="s">
        <v>87</v>
      </c>
      <c r="L2398" t="s">
        <v>7</v>
      </c>
      <c r="M2398" t="s">
        <v>6</v>
      </c>
      <c r="N2398" t="b">
        <v>0</v>
      </c>
      <c r="O2398">
        <v>0</v>
      </c>
      <c r="P2398">
        <v>1</v>
      </c>
      <c r="Q2398">
        <v>0</v>
      </c>
      <c r="R2398">
        <v>0</v>
      </c>
    </row>
    <row r="2399" spans="1:18" x14ac:dyDescent="0.25">
      <c r="A2399" t="s">
        <v>12</v>
      </c>
      <c r="B2399" t="s">
        <v>6</v>
      </c>
      <c r="C2399">
        <v>3</v>
      </c>
      <c r="D2399">
        <v>2</v>
      </c>
      <c r="E2399">
        <v>2</v>
      </c>
      <c r="F2399" s="15">
        <v>45908</v>
      </c>
      <c r="G2399" t="s">
        <v>172</v>
      </c>
      <c r="H2399">
        <v>4</v>
      </c>
      <c r="I2399">
        <v>2025</v>
      </c>
      <c r="J2399">
        <v>9</v>
      </c>
      <c r="K2399" t="s">
        <v>87</v>
      </c>
      <c r="L2399" t="s">
        <v>51</v>
      </c>
      <c r="M2399" t="s">
        <v>6</v>
      </c>
      <c r="N2399" t="b">
        <v>0</v>
      </c>
      <c r="O2399">
        <v>0</v>
      </c>
      <c r="P2399">
        <v>1</v>
      </c>
      <c r="Q2399">
        <v>0</v>
      </c>
      <c r="R2399">
        <v>0</v>
      </c>
    </row>
    <row r="2400" spans="1:18" x14ac:dyDescent="0.25">
      <c r="A2400" t="s">
        <v>12</v>
      </c>
      <c r="B2400" t="s">
        <v>6</v>
      </c>
      <c r="C2400">
        <v>3</v>
      </c>
      <c r="D2400">
        <v>2</v>
      </c>
      <c r="E2400">
        <v>2</v>
      </c>
      <c r="F2400" s="15">
        <v>45908</v>
      </c>
      <c r="G2400" t="s">
        <v>172</v>
      </c>
      <c r="H2400">
        <v>4</v>
      </c>
      <c r="I2400">
        <v>2025</v>
      </c>
      <c r="J2400">
        <v>9</v>
      </c>
      <c r="K2400" t="s">
        <v>87</v>
      </c>
      <c r="L2400" t="s">
        <v>352</v>
      </c>
      <c r="M2400" t="s">
        <v>8</v>
      </c>
      <c r="N2400" t="b">
        <v>0</v>
      </c>
      <c r="O2400">
        <v>0</v>
      </c>
      <c r="P2400">
        <v>1</v>
      </c>
      <c r="Q2400">
        <v>0</v>
      </c>
      <c r="R2400">
        <v>1</v>
      </c>
    </row>
    <row r="2401" spans="1:18" x14ac:dyDescent="0.25">
      <c r="A2401" t="s">
        <v>352</v>
      </c>
      <c r="B2401" t="s">
        <v>8</v>
      </c>
      <c r="C2401">
        <v>2</v>
      </c>
      <c r="D2401">
        <v>2</v>
      </c>
      <c r="E2401">
        <v>2</v>
      </c>
      <c r="F2401" s="15">
        <v>45908</v>
      </c>
      <c r="G2401" t="s">
        <v>172</v>
      </c>
      <c r="H2401">
        <v>4</v>
      </c>
      <c r="I2401">
        <v>2025</v>
      </c>
      <c r="J2401">
        <v>9</v>
      </c>
      <c r="K2401" t="s">
        <v>87</v>
      </c>
      <c r="L2401" t="s">
        <v>7</v>
      </c>
      <c r="M2401" t="s">
        <v>6</v>
      </c>
      <c r="N2401" t="b">
        <v>0</v>
      </c>
      <c r="O2401">
        <v>1</v>
      </c>
      <c r="P2401">
        <v>0</v>
      </c>
      <c r="Q2401">
        <v>0</v>
      </c>
      <c r="R2401">
        <v>0</v>
      </c>
    </row>
    <row r="2402" spans="1:18" x14ac:dyDescent="0.25">
      <c r="A2402" t="s">
        <v>352</v>
      </c>
      <c r="B2402" t="s">
        <v>8</v>
      </c>
      <c r="C2402">
        <v>2</v>
      </c>
      <c r="D2402">
        <v>2</v>
      </c>
      <c r="E2402">
        <v>2</v>
      </c>
      <c r="F2402" s="15">
        <v>45908</v>
      </c>
      <c r="G2402" t="s">
        <v>172</v>
      </c>
      <c r="H2402">
        <v>4</v>
      </c>
      <c r="I2402">
        <v>2025</v>
      </c>
      <c r="J2402">
        <v>9</v>
      </c>
      <c r="K2402" t="s">
        <v>87</v>
      </c>
      <c r="L2402" t="s">
        <v>51</v>
      </c>
      <c r="M2402" t="s">
        <v>6</v>
      </c>
      <c r="N2402" t="b">
        <v>0</v>
      </c>
      <c r="O2402">
        <v>1</v>
      </c>
      <c r="P2402">
        <v>0</v>
      </c>
      <c r="Q2402">
        <v>0</v>
      </c>
      <c r="R2402">
        <v>0</v>
      </c>
    </row>
    <row r="2403" spans="1:18" x14ac:dyDescent="0.25">
      <c r="A2403" t="s">
        <v>352</v>
      </c>
      <c r="B2403" t="s">
        <v>8</v>
      </c>
      <c r="C2403">
        <v>2</v>
      </c>
      <c r="D2403">
        <v>2</v>
      </c>
      <c r="E2403">
        <v>2</v>
      </c>
      <c r="F2403" s="15">
        <v>45908</v>
      </c>
      <c r="G2403" t="s">
        <v>172</v>
      </c>
      <c r="H2403">
        <v>4</v>
      </c>
      <c r="I2403">
        <v>2025</v>
      </c>
      <c r="J2403">
        <v>9</v>
      </c>
      <c r="K2403" t="s">
        <v>87</v>
      </c>
      <c r="L2403" t="s">
        <v>12</v>
      </c>
      <c r="M2403" t="s">
        <v>6</v>
      </c>
      <c r="N2403" t="b">
        <v>0</v>
      </c>
      <c r="O2403">
        <v>1</v>
      </c>
      <c r="P2403">
        <v>0</v>
      </c>
      <c r="Q2403">
        <v>0</v>
      </c>
      <c r="R2403">
        <v>0</v>
      </c>
    </row>
    <row r="2404" spans="1:18" x14ac:dyDescent="0.25">
      <c r="A2404" t="s">
        <v>7</v>
      </c>
      <c r="B2404" t="s">
        <v>8</v>
      </c>
      <c r="C2404">
        <v>2</v>
      </c>
      <c r="D2404">
        <v>2</v>
      </c>
      <c r="E2404">
        <v>2</v>
      </c>
      <c r="F2404" s="15">
        <v>45957</v>
      </c>
      <c r="G2404" t="s">
        <v>179</v>
      </c>
      <c r="H2404">
        <v>5</v>
      </c>
      <c r="I2404">
        <v>2025</v>
      </c>
      <c r="J2404">
        <v>10</v>
      </c>
      <c r="K2404" t="s">
        <v>87</v>
      </c>
      <c r="L2404" t="s">
        <v>28</v>
      </c>
      <c r="M2404" t="s">
        <v>6</v>
      </c>
      <c r="N2404" t="b">
        <v>0</v>
      </c>
      <c r="O2404">
        <v>1</v>
      </c>
      <c r="P2404">
        <v>0</v>
      </c>
      <c r="Q2404">
        <v>0</v>
      </c>
      <c r="R2404">
        <v>0</v>
      </c>
    </row>
    <row r="2405" spans="1:18" x14ac:dyDescent="0.25">
      <c r="A2405" t="s">
        <v>7</v>
      </c>
      <c r="B2405" t="s">
        <v>8</v>
      </c>
      <c r="C2405">
        <v>2</v>
      </c>
      <c r="D2405">
        <v>2</v>
      </c>
      <c r="E2405">
        <v>2</v>
      </c>
      <c r="F2405" s="15">
        <v>45957</v>
      </c>
      <c r="G2405" t="s">
        <v>179</v>
      </c>
      <c r="H2405">
        <v>5</v>
      </c>
      <c r="I2405">
        <v>2025</v>
      </c>
      <c r="J2405">
        <v>10</v>
      </c>
      <c r="K2405" t="s">
        <v>87</v>
      </c>
      <c r="L2405" t="s">
        <v>56</v>
      </c>
      <c r="M2405" t="s">
        <v>6</v>
      </c>
      <c r="N2405" t="b">
        <v>0</v>
      </c>
      <c r="O2405">
        <v>1</v>
      </c>
      <c r="P2405">
        <v>0</v>
      </c>
      <c r="Q2405">
        <v>0</v>
      </c>
      <c r="R2405">
        <v>0</v>
      </c>
    </row>
    <row r="2406" spans="1:18" x14ac:dyDescent="0.25">
      <c r="A2406" t="s">
        <v>7</v>
      </c>
      <c r="B2406" t="s">
        <v>8</v>
      </c>
      <c r="C2406">
        <v>2</v>
      </c>
      <c r="D2406">
        <v>2</v>
      </c>
      <c r="E2406">
        <v>2</v>
      </c>
      <c r="F2406" s="15">
        <v>45957</v>
      </c>
      <c r="G2406" t="s">
        <v>179</v>
      </c>
      <c r="H2406">
        <v>5</v>
      </c>
      <c r="I2406">
        <v>2025</v>
      </c>
      <c r="J2406">
        <v>10</v>
      </c>
      <c r="K2406" t="s">
        <v>87</v>
      </c>
      <c r="L2406" t="s">
        <v>16</v>
      </c>
      <c r="M2406" t="s">
        <v>6</v>
      </c>
      <c r="N2406" t="b">
        <v>0</v>
      </c>
      <c r="O2406">
        <v>1</v>
      </c>
      <c r="P2406">
        <v>0</v>
      </c>
      <c r="Q2406">
        <v>0</v>
      </c>
      <c r="R2406">
        <v>0</v>
      </c>
    </row>
    <row r="2407" spans="1:18" x14ac:dyDescent="0.25">
      <c r="A2407" t="s">
        <v>7</v>
      </c>
      <c r="B2407" t="s">
        <v>8</v>
      </c>
      <c r="C2407">
        <v>2</v>
      </c>
      <c r="D2407">
        <v>2</v>
      </c>
      <c r="E2407">
        <v>2</v>
      </c>
      <c r="F2407" s="15">
        <v>45957</v>
      </c>
      <c r="G2407" t="s">
        <v>179</v>
      </c>
      <c r="H2407">
        <v>5</v>
      </c>
      <c r="I2407">
        <v>2025</v>
      </c>
      <c r="J2407">
        <v>10</v>
      </c>
      <c r="K2407" t="s">
        <v>87</v>
      </c>
      <c r="L2407" t="s">
        <v>12</v>
      </c>
      <c r="M2407" t="s">
        <v>6</v>
      </c>
      <c r="N2407" t="b">
        <v>0</v>
      </c>
      <c r="O2407">
        <v>1</v>
      </c>
      <c r="P2407">
        <v>0</v>
      </c>
      <c r="Q2407">
        <v>0</v>
      </c>
      <c r="R2407">
        <v>0</v>
      </c>
    </row>
    <row r="2408" spans="1:18" x14ac:dyDescent="0.25">
      <c r="A2408" t="s">
        <v>28</v>
      </c>
      <c r="B2408" t="s">
        <v>6</v>
      </c>
      <c r="C2408">
        <v>1</v>
      </c>
      <c r="D2408">
        <v>2</v>
      </c>
      <c r="E2408">
        <v>2</v>
      </c>
      <c r="F2408" s="15">
        <v>45957</v>
      </c>
      <c r="G2408" t="s">
        <v>179</v>
      </c>
      <c r="H2408">
        <v>5</v>
      </c>
      <c r="I2408">
        <v>2025</v>
      </c>
      <c r="J2408">
        <v>10</v>
      </c>
      <c r="K2408" t="s">
        <v>87</v>
      </c>
      <c r="L2408" t="s">
        <v>7</v>
      </c>
      <c r="M2408" t="s">
        <v>8</v>
      </c>
      <c r="N2408" t="b">
        <v>0</v>
      </c>
      <c r="O2408">
        <v>0</v>
      </c>
      <c r="P2408">
        <v>1</v>
      </c>
      <c r="Q2408">
        <v>0</v>
      </c>
      <c r="R2408">
        <v>1</v>
      </c>
    </row>
    <row r="2409" spans="1:18" x14ac:dyDescent="0.25">
      <c r="A2409" t="s">
        <v>28</v>
      </c>
      <c r="B2409" t="s">
        <v>6</v>
      </c>
      <c r="C2409">
        <v>1</v>
      </c>
      <c r="D2409">
        <v>2</v>
      </c>
      <c r="E2409">
        <v>2</v>
      </c>
      <c r="F2409" s="15">
        <v>45957</v>
      </c>
      <c r="G2409" t="s">
        <v>179</v>
      </c>
      <c r="H2409">
        <v>5</v>
      </c>
      <c r="I2409">
        <v>2025</v>
      </c>
      <c r="J2409">
        <v>10</v>
      </c>
      <c r="K2409" t="s">
        <v>87</v>
      </c>
      <c r="L2409" t="s">
        <v>56</v>
      </c>
      <c r="M2409" t="s">
        <v>6</v>
      </c>
      <c r="N2409" t="b">
        <v>0</v>
      </c>
      <c r="O2409">
        <v>0</v>
      </c>
      <c r="P2409">
        <v>1</v>
      </c>
      <c r="Q2409">
        <v>0</v>
      </c>
      <c r="R2409">
        <v>0</v>
      </c>
    </row>
    <row r="2410" spans="1:18" x14ac:dyDescent="0.25">
      <c r="A2410" t="s">
        <v>28</v>
      </c>
      <c r="B2410" t="s">
        <v>6</v>
      </c>
      <c r="C2410">
        <v>1</v>
      </c>
      <c r="D2410">
        <v>2</v>
      </c>
      <c r="E2410">
        <v>2</v>
      </c>
      <c r="F2410" s="15">
        <v>45957</v>
      </c>
      <c r="G2410" t="s">
        <v>179</v>
      </c>
      <c r="H2410">
        <v>5</v>
      </c>
      <c r="I2410">
        <v>2025</v>
      </c>
      <c r="J2410">
        <v>10</v>
      </c>
      <c r="K2410" t="s">
        <v>87</v>
      </c>
      <c r="L2410" t="s">
        <v>16</v>
      </c>
      <c r="M2410" t="s">
        <v>6</v>
      </c>
      <c r="N2410" t="b">
        <v>0</v>
      </c>
      <c r="O2410">
        <v>0</v>
      </c>
      <c r="P2410">
        <v>1</v>
      </c>
      <c r="Q2410">
        <v>0</v>
      </c>
      <c r="R2410">
        <v>0</v>
      </c>
    </row>
    <row r="2411" spans="1:18" x14ac:dyDescent="0.25">
      <c r="A2411" t="s">
        <v>28</v>
      </c>
      <c r="B2411" t="s">
        <v>6</v>
      </c>
      <c r="C2411">
        <v>1</v>
      </c>
      <c r="D2411">
        <v>2</v>
      </c>
      <c r="E2411">
        <v>2</v>
      </c>
      <c r="F2411" s="15">
        <v>45957</v>
      </c>
      <c r="G2411" t="s">
        <v>179</v>
      </c>
      <c r="H2411">
        <v>5</v>
      </c>
      <c r="I2411">
        <v>2025</v>
      </c>
      <c r="J2411">
        <v>10</v>
      </c>
      <c r="K2411" t="s">
        <v>87</v>
      </c>
      <c r="L2411" t="s">
        <v>12</v>
      </c>
      <c r="M2411" t="s">
        <v>6</v>
      </c>
      <c r="N2411" t="b">
        <v>0</v>
      </c>
      <c r="O2411">
        <v>0</v>
      </c>
      <c r="P2411">
        <v>1</v>
      </c>
      <c r="Q2411">
        <v>0</v>
      </c>
      <c r="R2411">
        <v>0</v>
      </c>
    </row>
    <row r="2412" spans="1:18" x14ac:dyDescent="0.25">
      <c r="A2412" t="s">
        <v>56</v>
      </c>
      <c r="B2412" t="s">
        <v>6</v>
      </c>
      <c r="C2412">
        <v>3</v>
      </c>
      <c r="D2412">
        <v>2</v>
      </c>
      <c r="E2412">
        <v>2</v>
      </c>
      <c r="F2412" s="15">
        <v>45957</v>
      </c>
      <c r="G2412" t="s">
        <v>179</v>
      </c>
      <c r="H2412">
        <v>5</v>
      </c>
      <c r="I2412">
        <v>2025</v>
      </c>
      <c r="J2412">
        <v>10</v>
      </c>
      <c r="K2412" t="s">
        <v>87</v>
      </c>
      <c r="L2412" t="s">
        <v>7</v>
      </c>
      <c r="M2412" t="s">
        <v>8</v>
      </c>
      <c r="N2412" t="b">
        <v>0</v>
      </c>
      <c r="O2412">
        <v>0</v>
      </c>
      <c r="P2412">
        <v>1</v>
      </c>
      <c r="Q2412">
        <v>0</v>
      </c>
      <c r="R2412">
        <v>1</v>
      </c>
    </row>
    <row r="2413" spans="1:18" x14ac:dyDescent="0.25">
      <c r="A2413" t="s">
        <v>56</v>
      </c>
      <c r="B2413" t="s">
        <v>6</v>
      </c>
      <c r="C2413">
        <v>3</v>
      </c>
      <c r="D2413">
        <v>2</v>
      </c>
      <c r="E2413">
        <v>2</v>
      </c>
      <c r="F2413" s="15">
        <v>45957</v>
      </c>
      <c r="G2413" t="s">
        <v>179</v>
      </c>
      <c r="H2413">
        <v>5</v>
      </c>
      <c r="I2413">
        <v>2025</v>
      </c>
      <c r="J2413">
        <v>10</v>
      </c>
      <c r="K2413" t="s">
        <v>87</v>
      </c>
      <c r="L2413" t="s">
        <v>28</v>
      </c>
      <c r="M2413" t="s">
        <v>6</v>
      </c>
      <c r="N2413" t="b">
        <v>0</v>
      </c>
      <c r="O2413">
        <v>0</v>
      </c>
      <c r="P2413">
        <v>1</v>
      </c>
      <c r="Q2413">
        <v>0</v>
      </c>
      <c r="R2413">
        <v>0</v>
      </c>
    </row>
    <row r="2414" spans="1:18" x14ac:dyDescent="0.25">
      <c r="A2414" t="s">
        <v>56</v>
      </c>
      <c r="B2414" t="s">
        <v>6</v>
      </c>
      <c r="C2414">
        <v>3</v>
      </c>
      <c r="D2414">
        <v>2</v>
      </c>
      <c r="E2414">
        <v>2</v>
      </c>
      <c r="F2414" s="15">
        <v>45957</v>
      </c>
      <c r="G2414" t="s">
        <v>179</v>
      </c>
      <c r="H2414">
        <v>5</v>
      </c>
      <c r="I2414">
        <v>2025</v>
      </c>
      <c r="J2414">
        <v>10</v>
      </c>
      <c r="K2414" t="s">
        <v>87</v>
      </c>
      <c r="L2414" t="s">
        <v>16</v>
      </c>
      <c r="M2414" t="s">
        <v>6</v>
      </c>
      <c r="N2414" t="b">
        <v>0</v>
      </c>
      <c r="O2414">
        <v>0</v>
      </c>
      <c r="P2414">
        <v>1</v>
      </c>
      <c r="Q2414">
        <v>0</v>
      </c>
      <c r="R2414">
        <v>0</v>
      </c>
    </row>
    <row r="2415" spans="1:18" x14ac:dyDescent="0.25">
      <c r="A2415" t="s">
        <v>56</v>
      </c>
      <c r="B2415" t="s">
        <v>6</v>
      </c>
      <c r="C2415">
        <v>3</v>
      </c>
      <c r="D2415">
        <v>2</v>
      </c>
      <c r="E2415">
        <v>2</v>
      </c>
      <c r="F2415" s="15">
        <v>45957</v>
      </c>
      <c r="G2415" t="s">
        <v>179</v>
      </c>
      <c r="H2415">
        <v>5</v>
      </c>
      <c r="I2415">
        <v>2025</v>
      </c>
      <c r="J2415">
        <v>10</v>
      </c>
      <c r="K2415" t="s">
        <v>87</v>
      </c>
      <c r="L2415" t="s">
        <v>12</v>
      </c>
      <c r="M2415" t="s">
        <v>6</v>
      </c>
      <c r="N2415" t="b">
        <v>0</v>
      </c>
      <c r="O2415">
        <v>0</v>
      </c>
      <c r="P2415">
        <v>1</v>
      </c>
      <c r="Q2415">
        <v>0</v>
      </c>
      <c r="R2415">
        <v>0</v>
      </c>
    </row>
    <row r="2416" spans="1:18" x14ac:dyDescent="0.25">
      <c r="A2416" t="s">
        <v>16</v>
      </c>
      <c r="B2416" t="s">
        <v>6</v>
      </c>
      <c r="C2416">
        <v>4</v>
      </c>
      <c r="D2416">
        <v>2</v>
      </c>
      <c r="E2416">
        <v>2</v>
      </c>
      <c r="F2416" s="15">
        <v>45957</v>
      </c>
      <c r="G2416" t="s">
        <v>179</v>
      </c>
      <c r="H2416">
        <v>5</v>
      </c>
      <c r="I2416">
        <v>2025</v>
      </c>
      <c r="J2416">
        <v>10</v>
      </c>
      <c r="K2416" t="s">
        <v>87</v>
      </c>
      <c r="L2416" t="s">
        <v>7</v>
      </c>
      <c r="M2416" t="s">
        <v>8</v>
      </c>
      <c r="N2416" t="b">
        <v>0</v>
      </c>
      <c r="O2416">
        <v>0</v>
      </c>
      <c r="P2416">
        <v>1</v>
      </c>
      <c r="Q2416">
        <v>0</v>
      </c>
      <c r="R2416">
        <v>1</v>
      </c>
    </row>
    <row r="2417" spans="1:18" x14ac:dyDescent="0.25">
      <c r="A2417" t="s">
        <v>16</v>
      </c>
      <c r="B2417" t="s">
        <v>6</v>
      </c>
      <c r="C2417">
        <v>4</v>
      </c>
      <c r="D2417">
        <v>2</v>
      </c>
      <c r="E2417">
        <v>2</v>
      </c>
      <c r="F2417" s="15">
        <v>45957</v>
      </c>
      <c r="G2417" t="s">
        <v>179</v>
      </c>
      <c r="H2417">
        <v>5</v>
      </c>
      <c r="I2417">
        <v>2025</v>
      </c>
      <c r="J2417">
        <v>10</v>
      </c>
      <c r="K2417" t="s">
        <v>87</v>
      </c>
      <c r="L2417" t="s">
        <v>28</v>
      </c>
      <c r="M2417" t="s">
        <v>6</v>
      </c>
      <c r="N2417" t="b">
        <v>0</v>
      </c>
      <c r="O2417">
        <v>0</v>
      </c>
      <c r="P2417">
        <v>1</v>
      </c>
      <c r="Q2417">
        <v>0</v>
      </c>
      <c r="R2417">
        <v>0</v>
      </c>
    </row>
    <row r="2418" spans="1:18" x14ac:dyDescent="0.25">
      <c r="A2418" t="s">
        <v>16</v>
      </c>
      <c r="B2418" t="s">
        <v>6</v>
      </c>
      <c r="C2418">
        <v>4</v>
      </c>
      <c r="D2418">
        <v>2</v>
      </c>
      <c r="E2418">
        <v>2</v>
      </c>
      <c r="F2418" s="15">
        <v>45957</v>
      </c>
      <c r="G2418" t="s">
        <v>179</v>
      </c>
      <c r="H2418">
        <v>5</v>
      </c>
      <c r="I2418">
        <v>2025</v>
      </c>
      <c r="J2418">
        <v>10</v>
      </c>
      <c r="K2418" t="s">
        <v>87</v>
      </c>
      <c r="L2418" t="s">
        <v>56</v>
      </c>
      <c r="M2418" t="s">
        <v>6</v>
      </c>
      <c r="N2418" t="b">
        <v>0</v>
      </c>
      <c r="O2418">
        <v>0</v>
      </c>
      <c r="P2418">
        <v>1</v>
      </c>
      <c r="Q2418">
        <v>0</v>
      </c>
      <c r="R2418">
        <v>0</v>
      </c>
    </row>
    <row r="2419" spans="1:18" x14ac:dyDescent="0.25">
      <c r="A2419" t="s">
        <v>16</v>
      </c>
      <c r="B2419" t="s">
        <v>6</v>
      </c>
      <c r="C2419">
        <v>4</v>
      </c>
      <c r="D2419">
        <v>2</v>
      </c>
      <c r="E2419">
        <v>2</v>
      </c>
      <c r="F2419" s="15">
        <v>45957</v>
      </c>
      <c r="G2419" t="s">
        <v>179</v>
      </c>
      <c r="H2419">
        <v>5</v>
      </c>
      <c r="I2419">
        <v>2025</v>
      </c>
      <c r="J2419">
        <v>10</v>
      </c>
      <c r="K2419" t="s">
        <v>87</v>
      </c>
      <c r="L2419" t="s">
        <v>12</v>
      </c>
      <c r="M2419" t="s">
        <v>6</v>
      </c>
      <c r="N2419" t="b">
        <v>0</v>
      </c>
      <c r="O2419">
        <v>0</v>
      </c>
      <c r="P2419">
        <v>1</v>
      </c>
      <c r="Q2419">
        <v>0</v>
      </c>
      <c r="R2419">
        <v>0</v>
      </c>
    </row>
    <row r="2420" spans="1:18" x14ac:dyDescent="0.25">
      <c r="A2420" t="s">
        <v>12</v>
      </c>
      <c r="B2420" t="s">
        <v>6</v>
      </c>
      <c r="C2420">
        <v>5</v>
      </c>
      <c r="D2420">
        <v>2</v>
      </c>
      <c r="E2420">
        <v>2</v>
      </c>
      <c r="F2420" s="15">
        <v>45957</v>
      </c>
      <c r="G2420" t="s">
        <v>179</v>
      </c>
      <c r="H2420">
        <v>5</v>
      </c>
      <c r="I2420">
        <v>2025</v>
      </c>
      <c r="J2420">
        <v>10</v>
      </c>
      <c r="K2420" t="s">
        <v>87</v>
      </c>
      <c r="L2420" t="s">
        <v>7</v>
      </c>
      <c r="M2420" t="s">
        <v>8</v>
      </c>
      <c r="N2420" t="b">
        <v>0</v>
      </c>
      <c r="O2420">
        <v>0</v>
      </c>
      <c r="P2420">
        <v>1</v>
      </c>
      <c r="Q2420">
        <v>0</v>
      </c>
      <c r="R2420">
        <v>1</v>
      </c>
    </row>
    <row r="2421" spans="1:18" x14ac:dyDescent="0.25">
      <c r="A2421" t="s">
        <v>12</v>
      </c>
      <c r="B2421" t="s">
        <v>6</v>
      </c>
      <c r="C2421">
        <v>5</v>
      </c>
      <c r="D2421">
        <v>2</v>
      </c>
      <c r="E2421">
        <v>2</v>
      </c>
      <c r="F2421" s="15">
        <v>45957</v>
      </c>
      <c r="G2421" t="s">
        <v>179</v>
      </c>
      <c r="H2421">
        <v>5</v>
      </c>
      <c r="I2421">
        <v>2025</v>
      </c>
      <c r="J2421">
        <v>10</v>
      </c>
      <c r="K2421" t="s">
        <v>87</v>
      </c>
      <c r="L2421" t="s">
        <v>28</v>
      </c>
      <c r="M2421" t="s">
        <v>6</v>
      </c>
      <c r="N2421" t="b">
        <v>0</v>
      </c>
      <c r="O2421">
        <v>0</v>
      </c>
      <c r="P2421">
        <v>1</v>
      </c>
      <c r="Q2421">
        <v>0</v>
      </c>
      <c r="R2421">
        <v>0</v>
      </c>
    </row>
    <row r="2422" spans="1:18" x14ac:dyDescent="0.25">
      <c r="A2422" t="s">
        <v>12</v>
      </c>
      <c r="B2422" t="s">
        <v>6</v>
      </c>
      <c r="C2422">
        <v>5</v>
      </c>
      <c r="D2422">
        <v>2</v>
      </c>
      <c r="E2422">
        <v>2</v>
      </c>
      <c r="F2422" s="15">
        <v>45957</v>
      </c>
      <c r="G2422" t="s">
        <v>179</v>
      </c>
      <c r="H2422">
        <v>5</v>
      </c>
      <c r="I2422">
        <v>2025</v>
      </c>
      <c r="J2422">
        <v>10</v>
      </c>
      <c r="K2422" t="s">
        <v>87</v>
      </c>
      <c r="L2422" t="s">
        <v>56</v>
      </c>
      <c r="M2422" t="s">
        <v>6</v>
      </c>
      <c r="N2422" t="b">
        <v>0</v>
      </c>
      <c r="O2422">
        <v>0</v>
      </c>
      <c r="P2422">
        <v>1</v>
      </c>
      <c r="Q2422">
        <v>0</v>
      </c>
      <c r="R2422">
        <v>0</v>
      </c>
    </row>
    <row r="2423" spans="1:18" x14ac:dyDescent="0.25">
      <c r="A2423" t="s">
        <v>12</v>
      </c>
      <c r="B2423" t="s">
        <v>6</v>
      </c>
      <c r="C2423">
        <v>5</v>
      </c>
      <c r="D2423">
        <v>2</v>
      </c>
      <c r="E2423">
        <v>2</v>
      </c>
      <c r="F2423" s="15">
        <v>45957</v>
      </c>
      <c r="G2423" t="s">
        <v>179</v>
      </c>
      <c r="H2423">
        <v>5</v>
      </c>
      <c r="I2423">
        <v>2025</v>
      </c>
      <c r="J2423">
        <v>10</v>
      </c>
      <c r="K2423" t="s">
        <v>87</v>
      </c>
      <c r="L2423" t="s">
        <v>16</v>
      </c>
      <c r="M2423" t="s">
        <v>6</v>
      </c>
      <c r="N2423" t="b">
        <v>0</v>
      </c>
      <c r="O2423">
        <v>0</v>
      </c>
      <c r="P2423">
        <v>1</v>
      </c>
      <c r="Q2423">
        <v>0</v>
      </c>
      <c r="R2423">
        <v>0</v>
      </c>
    </row>
    <row r="2424" spans="1:18" x14ac:dyDescent="0.25">
      <c r="A2424" t="s">
        <v>7</v>
      </c>
      <c r="B2424" t="s">
        <v>6</v>
      </c>
      <c r="C2424">
        <v>4</v>
      </c>
      <c r="D2424">
        <v>3</v>
      </c>
      <c r="E2424">
        <v>2</v>
      </c>
      <c r="F2424" s="15">
        <v>45873</v>
      </c>
      <c r="G2424" t="s">
        <v>216</v>
      </c>
      <c r="H2424">
        <v>4</v>
      </c>
      <c r="I2424">
        <v>2025</v>
      </c>
      <c r="J2424">
        <v>8</v>
      </c>
      <c r="K2424" t="s">
        <v>87</v>
      </c>
      <c r="L2424" t="s">
        <v>20</v>
      </c>
      <c r="M2424" t="s">
        <v>6</v>
      </c>
      <c r="N2424" t="b">
        <v>0</v>
      </c>
      <c r="O2424">
        <v>0</v>
      </c>
      <c r="P2424">
        <v>1</v>
      </c>
      <c r="Q2424">
        <v>0</v>
      </c>
      <c r="R2424">
        <v>0</v>
      </c>
    </row>
    <row r="2425" spans="1:18" x14ac:dyDescent="0.25">
      <c r="A2425" t="s">
        <v>7</v>
      </c>
      <c r="B2425" t="s">
        <v>6</v>
      </c>
      <c r="C2425">
        <v>4</v>
      </c>
      <c r="D2425">
        <v>3</v>
      </c>
      <c r="E2425">
        <v>2</v>
      </c>
      <c r="F2425" s="15">
        <v>45873</v>
      </c>
      <c r="G2425" t="s">
        <v>216</v>
      </c>
      <c r="H2425">
        <v>4</v>
      </c>
      <c r="I2425">
        <v>2025</v>
      </c>
      <c r="J2425">
        <v>8</v>
      </c>
      <c r="K2425" t="s">
        <v>87</v>
      </c>
      <c r="L2425" t="s">
        <v>28</v>
      </c>
      <c r="M2425" t="s">
        <v>8</v>
      </c>
      <c r="N2425" t="b">
        <v>0</v>
      </c>
      <c r="O2425">
        <v>0</v>
      </c>
      <c r="P2425">
        <v>1</v>
      </c>
      <c r="Q2425">
        <v>0</v>
      </c>
      <c r="R2425">
        <v>1</v>
      </c>
    </row>
    <row r="2426" spans="1:18" x14ac:dyDescent="0.25">
      <c r="A2426" t="s">
        <v>7</v>
      </c>
      <c r="B2426" t="s">
        <v>6</v>
      </c>
      <c r="C2426">
        <v>4</v>
      </c>
      <c r="D2426">
        <v>3</v>
      </c>
      <c r="E2426">
        <v>2</v>
      </c>
      <c r="F2426" s="15">
        <v>45873</v>
      </c>
      <c r="G2426" t="s">
        <v>216</v>
      </c>
      <c r="H2426">
        <v>4</v>
      </c>
      <c r="I2426">
        <v>2025</v>
      </c>
      <c r="J2426">
        <v>8</v>
      </c>
      <c r="K2426" t="s">
        <v>87</v>
      </c>
      <c r="L2426" t="s">
        <v>9</v>
      </c>
      <c r="M2426" t="s">
        <v>6</v>
      </c>
      <c r="N2426" t="b">
        <v>0</v>
      </c>
      <c r="O2426">
        <v>0</v>
      </c>
      <c r="P2426">
        <v>1</v>
      </c>
      <c r="Q2426">
        <v>0</v>
      </c>
      <c r="R2426">
        <v>0</v>
      </c>
    </row>
    <row r="2427" spans="1:18" x14ac:dyDescent="0.25">
      <c r="A2427" t="s">
        <v>20</v>
      </c>
      <c r="B2427" t="s">
        <v>6</v>
      </c>
      <c r="C2427">
        <v>1</v>
      </c>
      <c r="D2427">
        <v>3</v>
      </c>
      <c r="E2427">
        <v>2</v>
      </c>
      <c r="F2427" s="15">
        <v>45873</v>
      </c>
      <c r="G2427" t="s">
        <v>216</v>
      </c>
      <c r="H2427">
        <v>4</v>
      </c>
      <c r="I2427">
        <v>2025</v>
      </c>
      <c r="J2427">
        <v>8</v>
      </c>
      <c r="K2427" t="s">
        <v>87</v>
      </c>
      <c r="L2427" t="s">
        <v>7</v>
      </c>
      <c r="M2427" t="s">
        <v>6</v>
      </c>
      <c r="N2427" t="b">
        <v>0</v>
      </c>
      <c r="O2427">
        <v>0</v>
      </c>
      <c r="P2427">
        <v>1</v>
      </c>
      <c r="Q2427">
        <v>0</v>
      </c>
      <c r="R2427">
        <v>0</v>
      </c>
    </row>
    <row r="2428" spans="1:18" x14ac:dyDescent="0.25">
      <c r="A2428" t="s">
        <v>20</v>
      </c>
      <c r="B2428" t="s">
        <v>6</v>
      </c>
      <c r="C2428">
        <v>1</v>
      </c>
      <c r="D2428">
        <v>3</v>
      </c>
      <c r="E2428">
        <v>2</v>
      </c>
      <c r="F2428" s="15">
        <v>45873</v>
      </c>
      <c r="G2428" t="s">
        <v>216</v>
      </c>
      <c r="H2428">
        <v>4</v>
      </c>
      <c r="I2428">
        <v>2025</v>
      </c>
      <c r="J2428">
        <v>8</v>
      </c>
      <c r="K2428" t="s">
        <v>87</v>
      </c>
      <c r="L2428" t="s">
        <v>28</v>
      </c>
      <c r="M2428" t="s">
        <v>8</v>
      </c>
      <c r="N2428" t="b">
        <v>0</v>
      </c>
      <c r="O2428">
        <v>0</v>
      </c>
      <c r="P2428">
        <v>1</v>
      </c>
      <c r="Q2428">
        <v>0</v>
      </c>
      <c r="R2428">
        <v>1</v>
      </c>
    </row>
    <row r="2429" spans="1:18" x14ac:dyDescent="0.25">
      <c r="A2429" t="s">
        <v>20</v>
      </c>
      <c r="B2429" t="s">
        <v>6</v>
      </c>
      <c r="C2429">
        <v>1</v>
      </c>
      <c r="D2429">
        <v>3</v>
      </c>
      <c r="E2429">
        <v>2</v>
      </c>
      <c r="F2429" s="15">
        <v>45873</v>
      </c>
      <c r="G2429" t="s">
        <v>216</v>
      </c>
      <c r="H2429">
        <v>4</v>
      </c>
      <c r="I2429">
        <v>2025</v>
      </c>
      <c r="J2429">
        <v>8</v>
      </c>
      <c r="K2429" t="s">
        <v>87</v>
      </c>
      <c r="L2429" t="s">
        <v>9</v>
      </c>
      <c r="M2429" t="s">
        <v>6</v>
      </c>
      <c r="N2429" t="b">
        <v>0</v>
      </c>
      <c r="O2429">
        <v>0</v>
      </c>
      <c r="P2429">
        <v>1</v>
      </c>
      <c r="Q2429">
        <v>0</v>
      </c>
      <c r="R2429">
        <v>0</v>
      </c>
    </row>
    <row r="2430" spans="1:18" x14ac:dyDescent="0.25">
      <c r="A2430" t="s">
        <v>28</v>
      </c>
      <c r="B2430" t="s">
        <v>8</v>
      </c>
      <c r="C2430">
        <v>2</v>
      </c>
      <c r="D2430">
        <v>3</v>
      </c>
      <c r="E2430">
        <v>2</v>
      </c>
      <c r="F2430" s="15">
        <v>45873</v>
      </c>
      <c r="G2430" t="s">
        <v>216</v>
      </c>
      <c r="H2430">
        <v>4</v>
      </c>
      <c r="I2430">
        <v>2025</v>
      </c>
      <c r="J2430">
        <v>8</v>
      </c>
      <c r="K2430" t="s">
        <v>87</v>
      </c>
      <c r="L2430" t="s">
        <v>7</v>
      </c>
      <c r="M2430" t="s">
        <v>6</v>
      </c>
      <c r="N2430" t="b">
        <v>0</v>
      </c>
      <c r="O2430">
        <v>1</v>
      </c>
      <c r="P2430">
        <v>0</v>
      </c>
      <c r="Q2430">
        <v>0</v>
      </c>
      <c r="R2430">
        <v>0</v>
      </c>
    </row>
    <row r="2431" spans="1:18" x14ac:dyDescent="0.25">
      <c r="A2431" t="s">
        <v>28</v>
      </c>
      <c r="B2431" t="s">
        <v>8</v>
      </c>
      <c r="C2431">
        <v>2</v>
      </c>
      <c r="D2431">
        <v>3</v>
      </c>
      <c r="E2431">
        <v>2</v>
      </c>
      <c r="F2431" s="15">
        <v>45873</v>
      </c>
      <c r="G2431" t="s">
        <v>216</v>
      </c>
      <c r="H2431">
        <v>4</v>
      </c>
      <c r="I2431">
        <v>2025</v>
      </c>
      <c r="J2431">
        <v>8</v>
      </c>
      <c r="K2431" t="s">
        <v>87</v>
      </c>
      <c r="L2431" t="s">
        <v>20</v>
      </c>
      <c r="M2431" t="s">
        <v>6</v>
      </c>
      <c r="N2431" t="b">
        <v>0</v>
      </c>
      <c r="O2431">
        <v>1</v>
      </c>
      <c r="P2431">
        <v>0</v>
      </c>
      <c r="Q2431">
        <v>0</v>
      </c>
      <c r="R2431">
        <v>0</v>
      </c>
    </row>
    <row r="2432" spans="1:18" x14ac:dyDescent="0.25">
      <c r="A2432" t="s">
        <v>28</v>
      </c>
      <c r="B2432" t="s">
        <v>8</v>
      </c>
      <c r="C2432">
        <v>2</v>
      </c>
      <c r="D2432">
        <v>3</v>
      </c>
      <c r="E2432">
        <v>2</v>
      </c>
      <c r="F2432" s="15">
        <v>45873</v>
      </c>
      <c r="G2432" t="s">
        <v>216</v>
      </c>
      <c r="H2432">
        <v>4</v>
      </c>
      <c r="I2432">
        <v>2025</v>
      </c>
      <c r="J2432">
        <v>8</v>
      </c>
      <c r="K2432" t="s">
        <v>87</v>
      </c>
      <c r="L2432" t="s">
        <v>9</v>
      </c>
      <c r="M2432" t="s">
        <v>6</v>
      </c>
      <c r="N2432" t="b">
        <v>0</v>
      </c>
      <c r="O2432">
        <v>1</v>
      </c>
      <c r="P2432">
        <v>0</v>
      </c>
      <c r="Q2432">
        <v>0</v>
      </c>
      <c r="R2432">
        <v>0</v>
      </c>
    </row>
    <row r="2433" spans="1:18" x14ac:dyDescent="0.25">
      <c r="A2433" t="s">
        <v>9</v>
      </c>
      <c r="B2433" t="s">
        <v>6</v>
      </c>
      <c r="C2433">
        <v>3</v>
      </c>
      <c r="D2433">
        <v>3</v>
      </c>
      <c r="E2433">
        <v>2</v>
      </c>
      <c r="F2433" s="15">
        <v>45873</v>
      </c>
      <c r="G2433" t="s">
        <v>216</v>
      </c>
      <c r="H2433">
        <v>4</v>
      </c>
      <c r="I2433">
        <v>2025</v>
      </c>
      <c r="J2433">
        <v>8</v>
      </c>
      <c r="K2433" t="s">
        <v>87</v>
      </c>
      <c r="L2433" t="s">
        <v>7</v>
      </c>
      <c r="M2433" t="s">
        <v>6</v>
      </c>
      <c r="N2433" t="b">
        <v>0</v>
      </c>
      <c r="O2433">
        <v>0</v>
      </c>
      <c r="P2433">
        <v>1</v>
      </c>
      <c r="Q2433">
        <v>0</v>
      </c>
      <c r="R2433">
        <v>0</v>
      </c>
    </row>
    <row r="2434" spans="1:18" x14ac:dyDescent="0.25">
      <c r="A2434" t="s">
        <v>9</v>
      </c>
      <c r="B2434" t="s">
        <v>6</v>
      </c>
      <c r="C2434">
        <v>3</v>
      </c>
      <c r="D2434">
        <v>3</v>
      </c>
      <c r="E2434">
        <v>2</v>
      </c>
      <c r="F2434" s="15">
        <v>45873</v>
      </c>
      <c r="G2434" t="s">
        <v>216</v>
      </c>
      <c r="H2434">
        <v>4</v>
      </c>
      <c r="I2434">
        <v>2025</v>
      </c>
      <c r="J2434">
        <v>8</v>
      </c>
      <c r="K2434" t="s">
        <v>87</v>
      </c>
      <c r="L2434" t="s">
        <v>20</v>
      </c>
      <c r="M2434" t="s">
        <v>6</v>
      </c>
      <c r="N2434" t="b">
        <v>0</v>
      </c>
      <c r="O2434">
        <v>0</v>
      </c>
      <c r="P2434">
        <v>1</v>
      </c>
      <c r="Q2434">
        <v>0</v>
      </c>
      <c r="R2434">
        <v>0</v>
      </c>
    </row>
    <row r="2435" spans="1:18" x14ac:dyDescent="0.25">
      <c r="A2435" t="s">
        <v>9</v>
      </c>
      <c r="B2435" t="s">
        <v>6</v>
      </c>
      <c r="C2435">
        <v>3</v>
      </c>
      <c r="D2435">
        <v>3</v>
      </c>
      <c r="E2435">
        <v>2</v>
      </c>
      <c r="F2435" s="15">
        <v>45873</v>
      </c>
      <c r="G2435" t="s">
        <v>216</v>
      </c>
      <c r="H2435">
        <v>4</v>
      </c>
      <c r="I2435">
        <v>2025</v>
      </c>
      <c r="J2435">
        <v>8</v>
      </c>
      <c r="K2435" t="s">
        <v>87</v>
      </c>
      <c r="L2435" t="s">
        <v>28</v>
      </c>
      <c r="M2435" t="s">
        <v>8</v>
      </c>
      <c r="N2435" t="b">
        <v>0</v>
      </c>
      <c r="O2435">
        <v>0</v>
      </c>
      <c r="P2435">
        <v>1</v>
      </c>
      <c r="Q2435">
        <v>0</v>
      </c>
      <c r="R2435">
        <v>1</v>
      </c>
    </row>
    <row r="2436" spans="1:18" x14ac:dyDescent="0.25">
      <c r="A2436" t="s">
        <v>7</v>
      </c>
      <c r="B2436" t="s">
        <v>6</v>
      </c>
      <c r="C2436">
        <v>2</v>
      </c>
      <c r="D2436">
        <v>4</v>
      </c>
      <c r="E2436">
        <v>1</v>
      </c>
      <c r="F2436" s="15">
        <v>45943</v>
      </c>
      <c r="G2436" t="s">
        <v>247</v>
      </c>
      <c r="H2436">
        <v>4</v>
      </c>
      <c r="I2436">
        <v>2025</v>
      </c>
      <c r="J2436">
        <v>10</v>
      </c>
      <c r="K2436" t="s">
        <v>87</v>
      </c>
      <c r="L2436" t="s">
        <v>52</v>
      </c>
      <c r="M2436" t="s">
        <v>6</v>
      </c>
      <c r="N2436" t="b">
        <v>0</v>
      </c>
      <c r="O2436">
        <v>0</v>
      </c>
      <c r="P2436">
        <v>1</v>
      </c>
      <c r="Q2436">
        <v>0</v>
      </c>
      <c r="R2436">
        <v>0</v>
      </c>
    </row>
    <row r="2437" spans="1:18" x14ac:dyDescent="0.25">
      <c r="A2437" t="s">
        <v>7</v>
      </c>
      <c r="B2437" t="s">
        <v>6</v>
      </c>
      <c r="C2437">
        <v>2</v>
      </c>
      <c r="D2437">
        <v>4</v>
      </c>
      <c r="E2437">
        <v>1</v>
      </c>
      <c r="F2437" s="15">
        <v>45943</v>
      </c>
      <c r="G2437" t="s">
        <v>247</v>
      </c>
      <c r="H2437">
        <v>4</v>
      </c>
      <c r="I2437">
        <v>2025</v>
      </c>
      <c r="J2437">
        <v>10</v>
      </c>
      <c r="K2437" t="s">
        <v>87</v>
      </c>
      <c r="L2437" t="s">
        <v>57</v>
      </c>
      <c r="M2437" t="s">
        <v>8</v>
      </c>
      <c r="N2437" t="b">
        <v>0</v>
      </c>
      <c r="O2437">
        <v>0</v>
      </c>
      <c r="P2437">
        <v>1</v>
      </c>
      <c r="Q2437">
        <v>0</v>
      </c>
      <c r="R2437">
        <v>1</v>
      </c>
    </row>
    <row r="2438" spans="1:18" x14ac:dyDescent="0.25">
      <c r="A2438" t="s">
        <v>7</v>
      </c>
      <c r="B2438" t="s">
        <v>6</v>
      </c>
      <c r="C2438">
        <v>2</v>
      </c>
      <c r="D2438">
        <v>4</v>
      </c>
      <c r="E2438">
        <v>1</v>
      </c>
      <c r="F2438" s="15">
        <v>45943</v>
      </c>
      <c r="G2438" t="s">
        <v>247</v>
      </c>
      <c r="H2438">
        <v>4</v>
      </c>
      <c r="I2438">
        <v>2025</v>
      </c>
      <c r="J2438">
        <v>10</v>
      </c>
      <c r="K2438" t="s">
        <v>87</v>
      </c>
      <c r="L2438" t="s">
        <v>27</v>
      </c>
      <c r="M2438" t="s">
        <v>6</v>
      </c>
      <c r="N2438" t="b">
        <v>0</v>
      </c>
      <c r="O2438">
        <v>0</v>
      </c>
      <c r="P2438">
        <v>1</v>
      </c>
      <c r="Q2438">
        <v>0</v>
      </c>
      <c r="R2438">
        <v>0</v>
      </c>
    </row>
    <row r="2439" spans="1:18" x14ac:dyDescent="0.25">
      <c r="A2439" t="s">
        <v>52</v>
      </c>
      <c r="B2439" t="s">
        <v>6</v>
      </c>
      <c r="C2439">
        <v>1</v>
      </c>
      <c r="D2439">
        <v>4</v>
      </c>
      <c r="E2439">
        <v>1</v>
      </c>
      <c r="F2439" s="15">
        <v>45943</v>
      </c>
      <c r="G2439" t="s">
        <v>247</v>
      </c>
      <c r="H2439">
        <v>4</v>
      </c>
      <c r="I2439">
        <v>2025</v>
      </c>
      <c r="J2439">
        <v>10</v>
      </c>
      <c r="K2439" t="s">
        <v>87</v>
      </c>
      <c r="L2439" t="s">
        <v>7</v>
      </c>
      <c r="M2439" t="s">
        <v>6</v>
      </c>
      <c r="N2439" t="b">
        <v>0</v>
      </c>
      <c r="O2439">
        <v>0</v>
      </c>
      <c r="P2439">
        <v>1</v>
      </c>
      <c r="Q2439">
        <v>0</v>
      </c>
      <c r="R2439">
        <v>0</v>
      </c>
    </row>
    <row r="2440" spans="1:18" x14ac:dyDescent="0.25">
      <c r="A2440" t="s">
        <v>52</v>
      </c>
      <c r="B2440" t="s">
        <v>6</v>
      </c>
      <c r="C2440">
        <v>1</v>
      </c>
      <c r="D2440">
        <v>4</v>
      </c>
      <c r="E2440">
        <v>1</v>
      </c>
      <c r="F2440" s="15">
        <v>45943</v>
      </c>
      <c r="G2440" t="s">
        <v>247</v>
      </c>
      <c r="H2440">
        <v>4</v>
      </c>
      <c r="I2440">
        <v>2025</v>
      </c>
      <c r="J2440">
        <v>10</v>
      </c>
      <c r="K2440" t="s">
        <v>87</v>
      </c>
      <c r="L2440" t="s">
        <v>57</v>
      </c>
      <c r="M2440" t="s">
        <v>8</v>
      </c>
      <c r="N2440" t="b">
        <v>0</v>
      </c>
      <c r="O2440">
        <v>0</v>
      </c>
      <c r="P2440">
        <v>1</v>
      </c>
      <c r="Q2440">
        <v>0</v>
      </c>
      <c r="R2440">
        <v>1</v>
      </c>
    </row>
    <row r="2441" spans="1:18" x14ac:dyDescent="0.25">
      <c r="A2441" t="s">
        <v>52</v>
      </c>
      <c r="B2441" t="s">
        <v>6</v>
      </c>
      <c r="C2441">
        <v>1</v>
      </c>
      <c r="D2441">
        <v>4</v>
      </c>
      <c r="E2441">
        <v>1</v>
      </c>
      <c r="F2441" s="15">
        <v>45943</v>
      </c>
      <c r="G2441" t="s">
        <v>247</v>
      </c>
      <c r="H2441">
        <v>4</v>
      </c>
      <c r="I2441">
        <v>2025</v>
      </c>
      <c r="J2441">
        <v>10</v>
      </c>
      <c r="K2441" t="s">
        <v>87</v>
      </c>
      <c r="L2441" t="s">
        <v>27</v>
      </c>
      <c r="M2441" t="s">
        <v>6</v>
      </c>
      <c r="N2441" t="b">
        <v>0</v>
      </c>
      <c r="O2441">
        <v>0</v>
      </c>
      <c r="P2441">
        <v>1</v>
      </c>
      <c r="Q2441">
        <v>0</v>
      </c>
      <c r="R2441">
        <v>0</v>
      </c>
    </row>
    <row r="2442" spans="1:18" x14ac:dyDescent="0.25">
      <c r="A2442" t="s">
        <v>57</v>
      </c>
      <c r="B2442" t="s">
        <v>8</v>
      </c>
      <c r="C2442">
        <v>3</v>
      </c>
      <c r="D2442">
        <v>4</v>
      </c>
      <c r="E2442">
        <v>1</v>
      </c>
      <c r="F2442" s="15">
        <v>45943</v>
      </c>
      <c r="G2442" t="s">
        <v>247</v>
      </c>
      <c r="H2442">
        <v>4</v>
      </c>
      <c r="I2442">
        <v>2025</v>
      </c>
      <c r="J2442">
        <v>10</v>
      </c>
      <c r="K2442" t="s">
        <v>87</v>
      </c>
      <c r="L2442" t="s">
        <v>7</v>
      </c>
      <c r="M2442" t="s">
        <v>6</v>
      </c>
      <c r="N2442" t="b">
        <v>0</v>
      </c>
      <c r="O2442">
        <v>1</v>
      </c>
      <c r="P2442">
        <v>0</v>
      </c>
      <c r="Q2442">
        <v>0</v>
      </c>
      <c r="R2442">
        <v>0</v>
      </c>
    </row>
    <row r="2443" spans="1:18" x14ac:dyDescent="0.25">
      <c r="A2443" t="s">
        <v>57</v>
      </c>
      <c r="B2443" t="s">
        <v>8</v>
      </c>
      <c r="C2443">
        <v>3</v>
      </c>
      <c r="D2443">
        <v>4</v>
      </c>
      <c r="E2443">
        <v>1</v>
      </c>
      <c r="F2443" s="15">
        <v>45943</v>
      </c>
      <c r="G2443" t="s">
        <v>247</v>
      </c>
      <c r="H2443">
        <v>4</v>
      </c>
      <c r="I2443">
        <v>2025</v>
      </c>
      <c r="J2443">
        <v>10</v>
      </c>
      <c r="K2443" t="s">
        <v>87</v>
      </c>
      <c r="L2443" t="s">
        <v>52</v>
      </c>
      <c r="M2443" t="s">
        <v>6</v>
      </c>
      <c r="N2443" t="b">
        <v>0</v>
      </c>
      <c r="O2443">
        <v>1</v>
      </c>
      <c r="P2443">
        <v>0</v>
      </c>
      <c r="Q2443">
        <v>0</v>
      </c>
      <c r="R2443">
        <v>0</v>
      </c>
    </row>
    <row r="2444" spans="1:18" x14ac:dyDescent="0.25">
      <c r="A2444" t="s">
        <v>57</v>
      </c>
      <c r="B2444" t="s">
        <v>8</v>
      </c>
      <c r="C2444">
        <v>3</v>
      </c>
      <c r="D2444">
        <v>4</v>
      </c>
      <c r="E2444">
        <v>1</v>
      </c>
      <c r="F2444" s="15">
        <v>45943</v>
      </c>
      <c r="G2444" t="s">
        <v>247</v>
      </c>
      <c r="H2444">
        <v>4</v>
      </c>
      <c r="I2444">
        <v>2025</v>
      </c>
      <c r="J2444">
        <v>10</v>
      </c>
      <c r="K2444" t="s">
        <v>87</v>
      </c>
      <c r="L2444" t="s">
        <v>27</v>
      </c>
      <c r="M2444" t="s">
        <v>6</v>
      </c>
      <c r="N2444" t="b">
        <v>0</v>
      </c>
      <c r="O2444">
        <v>1</v>
      </c>
      <c r="P2444">
        <v>0</v>
      </c>
      <c r="Q2444">
        <v>0</v>
      </c>
      <c r="R2444">
        <v>0</v>
      </c>
    </row>
    <row r="2445" spans="1:18" x14ac:dyDescent="0.25">
      <c r="A2445" t="s">
        <v>27</v>
      </c>
      <c r="B2445" t="s">
        <v>6</v>
      </c>
      <c r="C2445">
        <v>4</v>
      </c>
      <c r="D2445">
        <v>4</v>
      </c>
      <c r="E2445">
        <v>1</v>
      </c>
      <c r="F2445" s="15">
        <v>45943</v>
      </c>
      <c r="G2445" t="s">
        <v>247</v>
      </c>
      <c r="H2445">
        <v>4</v>
      </c>
      <c r="I2445">
        <v>2025</v>
      </c>
      <c r="J2445">
        <v>10</v>
      </c>
      <c r="K2445" t="s">
        <v>87</v>
      </c>
      <c r="L2445" t="s">
        <v>7</v>
      </c>
      <c r="M2445" t="s">
        <v>6</v>
      </c>
      <c r="N2445" t="b">
        <v>0</v>
      </c>
      <c r="O2445">
        <v>0</v>
      </c>
      <c r="P2445">
        <v>1</v>
      </c>
      <c r="Q2445">
        <v>0</v>
      </c>
      <c r="R2445">
        <v>0</v>
      </c>
    </row>
    <row r="2446" spans="1:18" x14ac:dyDescent="0.25">
      <c r="A2446" t="s">
        <v>27</v>
      </c>
      <c r="B2446" t="s">
        <v>6</v>
      </c>
      <c r="C2446">
        <v>4</v>
      </c>
      <c r="D2446">
        <v>4</v>
      </c>
      <c r="E2446">
        <v>1</v>
      </c>
      <c r="F2446" s="15">
        <v>45943</v>
      </c>
      <c r="G2446" t="s">
        <v>247</v>
      </c>
      <c r="H2446">
        <v>4</v>
      </c>
      <c r="I2446">
        <v>2025</v>
      </c>
      <c r="J2446">
        <v>10</v>
      </c>
      <c r="K2446" t="s">
        <v>87</v>
      </c>
      <c r="L2446" t="s">
        <v>52</v>
      </c>
      <c r="M2446" t="s">
        <v>6</v>
      </c>
      <c r="N2446" t="b">
        <v>0</v>
      </c>
      <c r="O2446">
        <v>0</v>
      </c>
      <c r="P2446">
        <v>1</v>
      </c>
      <c r="Q2446">
        <v>0</v>
      </c>
      <c r="R2446">
        <v>0</v>
      </c>
    </row>
    <row r="2447" spans="1:18" x14ac:dyDescent="0.25">
      <c r="A2447" t="s">
        <v>27</v>
      </c>
      <c r="B2447" t="s">
        <v>6</v>
      </c>
      <c r="C2447">
        <v>4</v>
      </c>
      <c r="D2447">
        <v>4</v>
      </c>
      <c r="E2447">
        <v>1</v>
      </c>
      <c r="F2447" s="15">
        <v>45943</v>
      </c>
      <c r="G2447" t="s">
        <v>247</v>
      </c>
      <c r="H2447">
        <v>4</v>
      </c>
      <c r="I2447">
        <v>2025</v>
      </c>
      <c r="J2447">
        <v>10</v>
      </c>
      <c r="K2447" t="s">
        <v>87</v>
      </c>
      <c r="L2447" t="s">
        <v>57</v>
      </c>
      <c r="M2447" t="s">
        <v>8</v>
      </c>
      <c r="N2447" t="b">
        <v>0</v>
      </c>
      <c r="O2447">
        <v>0</v>
      </c>
      <c r="P2447">
        <v>1</v>
      </c>
      <c r="Q2447">
        <v>0</v>
      </c>
      <c r="R2447">
        <v>1</v>
      </c>
    </row>
    <row r="2448" spans="1:18" x14ac:dyDescent="0.25">
      <c r="A2448" t="s">
        <v>7</v>
      </c>
      <c r="B2448" t="s">
        <v>8</v>
      </c>
      <c r="C2448">
        <v>1</v>
      </c>
      <c r="D2448">
        <v>4</v>
      </c>
      <c r="E2448">
        <v>2</v>
      </c>
      <c r="F2448" s="15">
        <v>45915</v>
      </c>
      <c r="G2448" t="s">
        <v>263</v>
      </c>
      <c r="H2448">
        <v>3</v>
      </c>
      <c r="I2448">
        <v>2025</v>
      </c>
      <c r="J2448">
        <v>9</v>
      </c>
      <c r="K2448" t="s">
        <v>87</v>
      </c>
      <c r="L2448" t="s">
        <v>42</v>
      </c>
      <c r="M2448" t="s">
        <v>6</v>
      </c>
      <c r="N2448" t="b">
        <v>0</v>
      </c>
      <c r="O2448">
        <v>1</v>
      </c>
      <c r="P2448">
        <v>0</v>
      </c>
      <c r="Q2448">
        <v>0</v>
      </c>
      <c r="R2448">
        <v>0</v>
      </c>
    </row>
    <row r="2449" spans="1:18" x14ac:dyDescent="0.25">
      <c r="A2449" t="s">
        <v>7</v>
      </c>
      <c r="B2449" t="s">
        <v>8</v>
      </c>
      <c r="C2449">
        <v>1</v>
      </c>
      <c r="D2449">
        <v>4</v>
      </c>
      <c r="E2449">
        <v>2</v>
      </c>
      <c r="F2449" s="15">
        <v>45915</v>
      </c>
      <c r="G2449" t="s">
        <v>263</v>
      </c>
      <c r="H2449">
        <v>3</v>
      </c>
      <c r="I2449">
        <v>2025</v>
      </c>
      <c r="J2449">
        <v>9</v>
      </c>
      <c r="K2449" t="s">
        <v>87</v>
      </c>
      <c r="L2449" t="s">
        <v>9</v>
      </c>
      <c r="M2449" t="s">
        <v>6</v>
      </c>
      <c r="N2449" t="b">
        <v>0</v>
      </c>
      <c r="O2449">
        <v>1</v>
      </c>
      <c r="P2449">
        <v>0</v>
      </c>
      <c r="Q2449">
        <v>0</v>
      </c>
      <c r="R2449">
        <v>0</v>
      </c>
    </row>
    <row r="2450" spans="1:18" x14ac:dyDescent="0.25">
      <c r="A2450" t="s">
        <v>42</v>
      </c>
      <c r="B2450" t="s">
        <v>6</v>
      </c>
      <c r="C2450">
        <v>3</v>
      </c>
      <c r="D2450">
        <v>4</v>
      </c>
      <c r="E2450">
        <v>2</v>
      </c>
      <c r="F2450" s="15">
        <v>45915</v>
      </c>
      <c r="G2450" t="s">
        <v>263</v>
      </c>
      <c r="H2450">
        <v>3</v>
      </c>
      <c r="I2450">
        <v>2025</v>
      </c>
      <c r="J2450">
        <v>9</v>
      </c>
      <c r="K2450" t="s">
        <v>87</v>
      </c>
      <c r="L2450" t="s">
        <v>7</v>
      </c>
      <c r="M2450" t="s">
        <v>8</v>
      </c>
      <c r="N2450" t="b">
        <v>0</v>
      </c>
      <c r="O2450">
        <v>0</v>
      </c>
      <c r="P2450">
        <v>1</v>
      </c>
      <c r="Q2450">
        <v>0</v>
      </c>
      <c r="R2450">
        <v>1</v>
      </c>
    </row>
    <row r="2451" spans="1:18" x14ac:dyDescent="0.25">
      <c r="A2451" t="s">
        <v>42</v>
      </c>
      <c r="B2451" t="s">
        <v>6</v>
      </c>
      <c r="C2451">
        <v>3</v>
      </c>
      <c r="D2451">
        <v>4</v>
      </c>
      <c r="E2451">
        <v>2</v>
      </c>
      <c r="F2451" s="15">
        <v>45915</v>
      </c>
      <c r="G2451" t="s">
        <v>263</v>
      </c>
      <c r="H2451">
        <v>3</v>
      </c>
      <c r="I2451">
        <v>2025</v>
      </c>
      <c r="J2451">
        <v>9</v>
      </c>
      <c r="K2451" t="s">
        <v>87</v>
      </c>
      <c r="L2451" t="s">
        <v>9</v>
      </c>
      <c r="M2451" t="s">
        <v>6</v>
      </c>
      <c r="N2451" t="b">
        <v>0</v>
      </c>
      <c r="O2451">
        <v>0</v>
      </c>
      <c r="P2451">
        <v>1</v>
      </c>
      <c r="Q2451">
        <v>0</v>
      </c>
      <c r="R2451">
        <v>0</v>
      </c>
    </row>
    <row r="2452" spans="1:18" x14ac:dyDescent="0.25">
      <c r="A2452" t="s">
        <v>9</v>
      </c>
      <c r="B2452" t="s">
        <v>6</v>
      </c>
      <c r="C2452">
        <v>2</v>
      </c>
      <c r="D2452">
        <v>4</v>
      </c>
      <c r="E2452">
        <v>2</v>
      </c>
      <c r="F2452" s="15">
        <v>45915</v>
      </c>
      <c r="G2452" t="s">
        <v>263</v>
      </c>
      <c r="H2452">
        <v>3</v>
      </c>
      <c r="I2452">
        <v>2025</v>
      </c>
      <c r="J2452">
        <v>9</v>
      </c>
      <c r="K2452" t="s">
        <v>87</v>
      </c>
      <c r="L2452" t="s">
        <v>7</v>
      </c>
      <c r="M2452" t="s">
        <v>8</v>
      </c>
      <c r="N2452" t="b">
        <v>0</v>
      </c>
      <c r="O2452">
        <v>0</v>
      </c>
      <c r="P2452">
        <v>1</v>
      </c>
      <c r="Q2452">
        <v>0</v>
      </c>
      <c r="R2452">
        <v>1</v>
      </c>
    </row>
    <row r="2453" spans="1:18" x14ac:dyDescent="0.25">
      <c r="A2453" t="s">
        <v>9</v>
      </c>
      <c r="B2453" t="s">
        <v>6</v>
      </c>
      <c r="C2453">
        <v>2</v>
      </c>
      <c r="D2453">
        <v>4</v>
      </c>
      <c r="E2453">
        <v>2</v>
      </c>
      <c r="F2453" s="15">
        <v>45915</v>
      </c>
      <c r="G2453" t="s">
        <v>263</v>
      </c>
      <c r="H2453">
        <v>3</v>
      </c>
      <c r="I2453">
        <v>2025</v>
      </c>
      <c r="J2453">
        <v>9</v>
      </c>
      <c r="K2453" t="s">
        <v>87</v>
      </c>
      <c r="L2453" t="s">
        <v>42</v>
      </c>
      <c r="M2453" t="s">
        <v>6</v>
      </c>
      <c r="N2453" t="b">
        <v>0</v>
      </c>
      <c r="O2453">
        <v>0</v>
      </c>
      <c r="P2453">
        <v>1</v>
      </c>
      <c r="Q2453">
        <v>0</v>
      </c>
      <c r="R2453">
        <v>0</v>
      </c>
    </row>
    <row r="2454" spans="1:18" x14ac:dyDescent="0.25">
      <c r="A2454" t="s">
        <v>7</v>
      </c>
      <c r="B2454" t="s">
        <v>8</v>
      </c>
      <c r="C2454">
        <v>1</v>
      </c>
      <c r="D2454">
        <v>5</v>
      </c>
      <c r="E2454">
        <v>1</v>
      </c>
      <c r="F2454" s="15">
        <v>45971</v>
      </c>
      <c r="G2454" t="s">
        <v>278</v>
      </c>
      <c r="H2454">
        <v>4</v>
      </c>
      <c r="I2454">
        <v>2025</v>
      </c>
      <c r="J2454">
        <v>11</v>
      </c>
      <c r="K2454" t="s">
        <v>87</v>
      </c>
      <c r="L2454" t="s">
        <v>20</v>
      </c>
      <c r="M2454" t="s">
        <v>6</v>
      </c>
      <c r="N2454" t="b">
        <v>0</v>
      </c>
      <c r="O2454">
        <v>1</v>
      </c>
      <c r="P2454">
        <v>0</v>
      </c>
      <c r="Q2454">
        <v>0</v>
      </c>
      <c r="R2454">
        <v>0</v>
      </c>
    </row>
    <row r="2455" spans="1:18" x14ac:dyDescent="0.25">
      <c r="A2455" t="s">
        <v>7</v>
      </c>
      <c r="B2455" t="s">
        <v>8</v>
      </c>
      <c r="C2455">
        <v>1</v>
      </c>
      <c r="D2455">
        <v>5</v>
      </c>
      <c r="E2455">
        <v>1</v>
      </c>
      <c r="F2455" s="15">
        <v>45971</v>
      </c>
      <c r="G2455" t="s">
        <v>278</v>
      </c>
      <c r="H2455">
        <v>4</v>
      </c>
      <c r="I2455">
        <v>2025</v>
      </c>
      <c r="J2455">
        <v>11</v>
      </c>
      <c r="K2455" t="s">
        <v>87</v>
      </c>
      <c r="L2455" t="s">
        <v>15</v>
      </c>
      <c r="M2455" t="s">
        <v>6</v>
      </c>
      <c r="N2455" t="b">
        <v>0</v>
      </c>
      <c r="O2455">
        <v>1</v>
      </c>
      <c r="P2455">
        <v>0</v>
      </c>
      <c r="Q2455">
        <v>0</v>
      </c>
      <c r="R2455">
        <v>0</v>
      </c>
    </row>
    <row r="2456" spans="1:18" x14ac:dyDescent="0.25">
      <c r="A2456" t="s">
        <v>7</v>
      </c>
      <c r="B2456" t="s">
        <v>8</v>
      </c>
      <c r="C2456">
        <v>1</v>
      </c>
      <c r="D2456">
        <v>5</v>
      </c>
      <c r="E2456">
        <v>1</v>
      </c>
      <c r="F2456" s="15">
        <v>45971</v>
      </c>
      <c r="G2456" t="s">
        <v>278</v>
      </c>
      <c r="H2456">
        <v>4</v>
      </c>
      <c r="I2456">
        <v>2025</v>
      </c>
      <c r="J2456">
        <v>11</v>
      </c>
      <c r="K2456" t="s">
        <v>87</v>
      </c>
      <c r="L2456" t="s">
        <v>22</v>
      </c>
      <c r="M2456" t="s">
        <v>6</v>
      </c>
      <c r="N2456" t="b">
        <v>0</v>
      </c>
      <c r="O2456">
        <v>1</v>
      </c>
      <c r="P2456">
        <v>0</v>
      </c>
      <c r="Q2456">
        <v>0</v>
      </c>
      <c r="R2456">
        <v>0</v>
      </c>
    </row>
    <row r="2457" spans="1:18" x14ac:dyDescent="0.25">
      <c r="A2457" t="s">
        <v>20</v>
      </c>
      <c r="B2457" t="s">
        <v>6</v>
      </c>
      <c r="C2457">
        <v>4</v>
      </c>
      <c r="D2457">
        <v>5</v>
      </c>
      <c r="E2457">
        <v>1</v>
      </c>
      <c r="F2457" s="15">
        <v>45971</v>
      </c>
      <c r="G2457" t="s">
        <v>278</v>
      </c>
      <c r="H2457">
        <v>4</v>
      </c>
      <c r="I2457">
        <v>2025</v>
      </c>
      <c r="J2457">
        <v>11</v>
      </c>
      <c r="K2457" t="s">
        <v>87</v>
      </c>
      <c r="L2457" t="s">
        <v>7</v>
      </c>
      <c r="M2457" t="s">
        <v>8</v>
      </c>
      <c r="N2457" t="b">
        <v>0</v>
      </c>
      <c r="O2457">
        <v>0</v>
      </c>
      <c r="P2457">
        <v>1</v>
      </c>
      <c r="Q2457">
        <v>0</v>
      </c>
      <c r="R2457">
        <v>1</v>
      </c>
    </row>
    <row r="2458" spans="1:18" x14ac:dyDescent="0.25">
      <c r="A2458" t="s">
        <v>20</v>
      </c>
      <c r="B2458" t="s">
        <v>6</v>
      </c>
      <c r="C2458">
        <v>4</v>
      </c>
      <c r="D2458">
        <v>5</v>
      </c>
      <c r="E2458">
        <v>1</v>
      </c>
      <c r="F2458" s="15">
        <v>45971</v>
      </c>
      <c r="G2458" t="s">
        <v>278</v>
      </c>
      <c r="H2458">
        <v>4</v>
      </c>
      <c r="I2458">
        <v>2025</v>
      </c>
      <c r="J2458">
        <v>11</v>
      </c>
      <c r="K2458" t="s">
        <v>87</v>
      </c>
      <c r="L2458" t="s">
        <v>15</v>
      </c>
      <c r="M2458" t="s">
        <v>6</v>
      </c>
      <c r="N2458" t="b">
        <v>0</v>
      </c>
      <c r="O2458">
        <v>0</v>
      </c>
      <c r="P2458">
        <v>1</v>
      </c>
      <c r="Q2458">
        <v>0</v>
      </c>
      <c r="R2458">
        <v>0</v>
      </c>
    </row>
    <row r="2459" spans="1:18" x14ac:dyDescent="0.25">
      <c r="A2459" t="s">
        <v>20</v>
      </c>
      <c r="B2459" t="s">
        <v>6</v>
      </c>
      <c r="C2459">
        <v>4</v>
      </c>
      <c r="D2459">
        <v>5</v>
      </c>
      <c r="E2459">
        <v>1</v>
      </c>
      <c r="F2459" s="15">
        <v>45971</v>
      </c>
      <c r="G2459" t="s">
        <v>278</v>
      </c>
      <c r="H2459">
        <v>4</v>
      </c>
      <c r="I2459">
        <v>2025</v>
      </c>
      <c r="J2459">
        <v>11</v>
      </c>
      <c r="K2459" t="s">
        <v>87</v>
      </c>
      <c r="L2459" t="s">
        <v>22</v>
      </c>
      <c r="M2459" t="s">
        <v>6</v>
      </c>
      <c r="N2459" t="b">
        <v>0</v>
      </c>
      <c r="O2459">
        <v>0</v>
      </c>
      <c r="P2459">
        <v>1</v>
      </c>
      <c r="Q2459">
        <v>0</v>
      </c>
      <c r="R2459">
        <v>0</v>
      </c>
    </row>
    <row r="2460" spans="1:18" x14ac:dyDescent="0.25">
      <c r="A2460" t="s">
        <v>15</v>
      </c>
      <c r="B2460" t="s">
        <v>6</v>
      </c>
      <c r="C2460">
        <v>3</v>
      </c>
      <c r="D2460">
        <v>5</v>
      </c>
      <c r="E2460">
        <v>1</v>
      </c>
      <c r="F2460" s="15">
        <v>45971</v>
      </c>
      <c r="G2460" t="s">
        <v>278</v>
      </c>
      <c r="H2460">
        <v>4</v>
      </c>
      <c r="I2460">
        <v>2025</v>
      </c>
      <c r="J2460">
        <v>11</v>
      </c>
      <c r="K2460" t="s">
        <v>87</v>
      </c>
      <c r="L2460" t="s">
        <v>7</v>
      </c>
      <c r="M2460" t="s">
        <v>8</v>
      </c>
      <c r="N2460" t="b">
        <v>0</v>
      </c>
      <c r="O2460">
        <v>0</v>
      </c>
      <c r="P2460">
        <v>1</v>
      </c>
      <c r="Q2460">
        <v>0</v>
      </c>
      <c r="R2460">
        <v>1</v>
      </c>
    </row>
    <row r="2461" spans="1:18" x14ac:dyDescent="0.25">
      <c r="A2461" t="s">
        <v>15</v>
      </c>
      <c r="B2461" t="s">
        <v>6</v>
      </c>
      <c r="C2461">
        <v>3</v>
      </c>
      <c r="D2461">
        <v>5</v>
      </c>
      <c r="E2461">
        <v>1</v>
      </c>
      <c r="F2461" s="15">
        <v>45971</v>
      </c>
      <c r="G2461" t="s">
        <v>278</v>
      </c>
      <c r="H2461">
        <v>4</v>
      </c>
      <c r="I2461">
        <v>2025</v>
      </c>
      <c r="J2461">
        <v>11</v>
      </c>
      <c r="K2461" t="s">
        <v>87</v>
      </c>
      <c r="L2461" t="s">
        <v>20</v>
      </c>
      <c r="M2461" t="s">
        <v>6</v>
      </c>
      <c r="N2461" t="b">
        <v>0</v>
      </c>
      <c r="O2461">
        <v>0</v>
      </c>
      <c r="P2461">
        <v>1</v>
      </c>
      <c r="Q2461">
        <v>0</v>
      </c>
      <c r="R2461">
        <v>0</v>
      </c>
    </row>
    <row r="2462" spans="1:18" x14ac:dyDescent="0.25">
      <c r="A2462" t="s">
        <v>15</v>
      </c>
      <c r="B2462" t="s">
        <v>6</v>
      </c>
      <c r="C2462">
        <v>3</v>
      </c>
      <c r="D2462">
        <v>5</v>
      </c>
      <c r="E2462">
        <v>1</v>
      </c>
      <c r="F2462" s="15">
        <v>45971</v>
      </c>
      <c r="G2462" t="s">
        <v>278</v>
      </c>
      <c r="H2462">
        <v>4</v>
      </c>
      <c r="I2462">
        <v>2025</v>
      </c>
      <c r="J2462">
        <v>11</v>
      </c>
      <c r="K2462" t="s">
        <v>87</v>
      </c>
      <c r="L2462" t="s">
        <v>22</v>
      </c>
      <c r="M2462" t="s">
        <v>6</v>
      </c>
      <c r="N2462" t="b">
        <v>0</v>
      </c>
      <c r="O2462">
        <v>0</v>
      </c>
      <c r="P2462">
        <v>1</v>
      </c>
      <c r="Q2462">
        <v>0</v>
      </c>
      <c r="R2462">
        <v>0</v>
      </c>
    </row>
    <row r="2463" spans="1:18" x14ac:dyDescent="0.25">
      <c r="A2463" t="s">
        <v>22</v>
      </c>
      <c r="B2463" t="s">
        <v>6</v>
      </c>
      <c r="C2463">
        <v>2</v>
      </c>
      <c r="D2463">
        <v>5</v>
      </c>
      <c r="E2463">
        <v>1</v>
      </c>
      <c r="F2463" s="15">
        <v>45971</v>
      </c>
      <c r="G2463" t="s">
        <v>278</v>
      </c>
      <c r="H2463">
        <v>4</v>
      </c>
      <c r="I2463">
        <v>2025</v>
      </c>
      <c r="J2463">
        <v>11</v>
      </c>
      <c r="K2463" t="s">
        <v>87</v>
      </c>
      <c r="L2463" t="s">
        <v>7</v>
      </c>
      <c r="M2463" t="s">
        <v>8</v>
      </c>
      <c r="N2463" t="b">
        <v>0</v>
      </c>
      <c r="O2463">
        <v>0</v>
      </c>
      <c r="P2463">
        <v>1</v>
      </c>
      <c r="Q2463">
        <v>0</v>
      </c>
      <c r="R2463">
        <v>1</v>
      </c>
    </row>
    <row r="2464" spans="1:18" x14ac:dyDescent="0.25">
      <c r="A2464" t="s">
        <v>22</v>
      </c>
      <c r="B2464" t="s">
        <v>6</v>
      </c>
      <c r="C2464">
        <v>2</v>
      </c>
      <c r="D2464">
        <v>5</v>
      </c>
      <c r="E2464">
        <v>1</v>
      </c>
      <c r="F2464" s="15">
        <v>45971</v>
      </c>
      <c r="G2464" t="s">
        <v>278</v>
      </c>
      <c r="H2464">
        <v>4</v>
      </c>
      <c r="I2464">
        <v>2025</v>
      </c>
      <c r="J2464">
        <v>11</v>
      </c>
      <c r="K2464" t="s">
        <v>87</v>
      </c>
      <c r="L2464" t="s">
        <v>20</v>
      </c>
      <c r="M2464" t="s">
        <v>6</v>
      </c>
      <c r="N2464" t="b">
        <v>0</v>
      </c>
      <c r="O2464">
        <v>0</v>
      </c>
      <c r="P2464">
        <v>1</v>
      </c>
      <c r="Q2464">
        <v>0</v>
      </c>
      <c r="R2464">
        <v>0</v>
      </c>
    </row>
    <row r="2465" spans="1:18" x14ac:dyDescent="0.25">
      <c r="A2465" t="s">
        <v>22</v>
      </c>
      <c r="B2465" t="s">
        <v>6</v>
      </c>
      <c r="C2465">
        <v>2</v>
      </c>
      <c r="D2465">
        <v>5</v>
      </c>
      <c r="E2465">
        <v>1</v>
      </c>
      <c r="F2465" s="15">
        <v>45971</v>
      </c>
      <c r="G2465" t="s">
        <v>278</v>
      </c>
      <c r="H2465">
        <v>4</v>
      </c>
      <c r="I2465">
        <v>2025</v>
      </c>
      <c r="J2465">
        <v>11</v>
      </c>
      <c r="K2465" t="s">
        <v>87</v>
      </c>
      <c r="L2465" t="s">
        <v>15</v>
      </c>
      <c r="M2465" t="s">
        <v>6</v>
      </c>
      <c r="N2465" t="b">
        <v>0</v>
      </c>
      <c r="O2465">
        <v>0</v>
      </c>
      <c r="P2465">
        <v>1</v>
      </c>
      <c r="Q2465">
        <v>0</v>
      </c>
      <c r="R2465">
        <v>0</v>
      </c>
    </row>
    <row r="2466" spans="1:18" x14ac:dyDescent="0.25">
      <c r="A2466" t="s">
        <v>7</v>
      </c>
      <c r="B2466" t="s">
        <v>6</v>
      </c>
      <c r="C2466">
        <v>3</v>
      </c>
      <c r="D2466">
        <v>2</v>
      </c>
      <c r="E2466">
        <v>1</v>
      </c>
      <c r="F2466" s="15">
        <v>46020</v>
      </c>
      <c r="G2466" t="s">
        <v>164</v>
      </c>
      <c r="H2466">
        <v>4</v>
      </c>
      <c r="I2466">
        <v>2025</v>
      </c>
      <c r="J2466">
        <v>12</v>
      </c>
      <c r="K2466" t="s">
        <v>87</v>
      </c>
      <c r="L2466" t="s">
        <v>28</v>
      </c>
      <c r="M2466" t="s">
        <v>6</v>
      </c>
      <c r="N2466" t="b">
        <v>0</v>
      </c>
      <c r="O2466">
        <v>0</v>
      </c>
      <c r="P2466">
        <v>1</v>
      </c>
      <c r="Q2466">
        <v>0</v>
      </c>
      <c r="R2466">
        <v>0</v>
      </c>
    </row>
    <row r="2467" spans="1:18" x14ac:dyDescent="0.25">
      <c r="A2467" t="s">
        <v>7</v>
      </c>
      <c r="B2467" t="s">
        <v>6</v>
      </c>
      <c r="C2467">
        <v>3</v>
      </c>
      <c r="D2467">
        <v>2</v>
      </c>
      <c r="E2467">
        <v>1</v>
      </c>
      <c r="F2467" s="15">
        <v>46020</v>
      </c>
      <c r="G2467" t="s">
        <v>164</v>
      </c>
      <c r="H2467">
        <v>4</v>
      </c>
      <c r="I2467">
        <v>2025</v>
      </c>
      <c r="J2467">
        <v>12</v>
      </c>
      <c r="K2467" t="s">
        <v>87</v>
      </c>
      <c r="L2467" t="s">
        <v>17</v>
      </c>
      <c r="M2467" t="s">
        <v>6</v>
      </c>
      <c r="N2467" t="b">
        <v>0</v>
      </c>
      <c r="O2467">
        <v>0</v>
      </c>
      <c r="P2467">
        <v>1</v>
      </c>
      <c r="Q2467">
        <v>0</v>
      </c>
      <c r="R2467">
        <v>0</v>
      </c>
    </row>
    <row r="2468" spans="1:18" x14ac:dyDescent="0.25">
      <c r="A2468" t="s">
        <v>7</v>
      </c>
      <c r="B2468" t="s">
        <v>6</v>
      </c>
      <c r="C2468">
        <v>3</v>
      </c>
      <c r="D2468">
        <v>2</v>
      </c>
      <c r="E2468">
        <v>1</v>
      </c>
      <c r="F2468" s="15">
        <v>46020</v>
      </c>
      <c r="G2468" t="s">
        <v>164</v>
      </c>
      <c r="H2468">
        <v>4</v>
      </c>
      <c r="I2468">
        <v>2025</v>
      </c>
      <c r="J2468">
        <v>12</v>
      </c>
      <c r="K2468" t="s">
        <v>87</v>
      </c>
      <c r="L2468" t="s">
        <v>352</v>
      </c>
      <c r="M2468" t="s">
        <v>8</v>
      </c>
      <c r="N2468" t="b">
        <v>0</v>
      </c>
      <c r="O2468">
        <v>0</v>
      </c>
      <c r="P2468">
        <v>1</v>
      </c>
      <c r="Q2468">
        <v>0</v>
      </c>
      <c r="R2468">
        <v>1</v>
      </c>
    </row>
    <row r="2469" spans="1:18" x14ac:dyDescent="0.25">
      <c r="A2469" t="s">
        <v>28</v>
      </c>
      <c r="B2469" t="s">
        <v>6</v>
      </c>
      <c r="C2469">
        <v>4</v>
      </c>
      <c r="D2469">
        <v>2</v>
      </c>
      <c r="E2469">
        <v>1</v>
      </c>
      <c r="F2469" s="15">
        <v>46020</v>
      </c>
      <c r="G2469" t="s">
        <v>164</v>
      </c>
      <c r="H2469">
        <v>4</v>
      </c>
      <c r="I2469">
        <v>2025</v>
      </c>
      <c r="J2469">
        <v>12</v>
      </c>
      <c r="K2469" t="s">
        <v>87</v>
      </c>
      <c r="L2469" t="s">
        <v>7</v>
      </c>
      <c r="M2469" t="s">
        <v>6</v>
      </c>
      <c r="N2469" t="b">
        <v>0</v>
      </c>
      <c r="O2469">
        <v>0</v>
      </c>
      <c r="P2469">
        <v>1</v>
      </c>
      <c r="Q2469">
        <v>0</v>
      </c>
      <c r="R2469">
        <v>0</v>
      </c>
    </row>
    <row r="2470" spans="1:18" x14ac:dyDescent="0.25">
      <c r="A2470" t="s">
        <v>28</v>
      </c>
      <c r="B2470" t="s">
        <v>6</v>
      </c>
      <c r="C2470">
        <v>4</v>
      </c>
      <c r="D2470">
        <v>2</v>
      </c>
      <c r="E2470">
        <v>1</v>
      </c>
      <c r="F2470" s="15">
        <v>46020</v>
      </c>
      <c r="G2470" t="s">
        <v>164</v>
      </c>
      <c r="H2470">
        <v>4</v>
      </c>
      <c r="I2470">
        <v>2025</v>
      </c>
      <c r="J2470">
        <v>12</v>
      </c>
      <c r="K2470" t="s">
        <v>87</v>
      </c>
      <c r="L2470" t="s">
        <v>17</v>
      </c>
      <c r="M2470" t="s">
        <v>6</v>
      </c>
      <c r="N2470" t="b">
        <v>0</v>
      </c>
      <c r="O2470">
        <v>0</v>
      </c>
      <c r="P2470">
        <v>1</v>
      </c>
      <c r="Q2470">
        <v>0</v>
      </c>
      <c r="R2470">
        <v>0</v>
      </c>
    </row>
    <row r="2471" spans="1:18" x14ac:dyDescent="0.25">
      <c r="A2471" t="s">
        <v>28</v>
      </c>
      <c r="B2471" t="s">
        <v>6</v>
      </c>
      <c r="C2471">
        <v>4</v>
      </c>
      <c r="D2471">
        <v>2</v>
      </c>
      <c r="E2471">
        <v>1</v>
      </c>
      <c r="F2471" s="15">
        <v>46020</v>
      </c>
      <c r="G2471" t="s">
        <v>164</v>
      </c>
      <c r="H2471">
        <v>4</v>
      </c>
      <c r="I2471">
        <v>2025</v>
      </c>
      <c r="J2471">
        <v>12</v>
      </c>
      <c r="K2471" t="s">
        <v>87</v>
      </c>
      <c r="L2471" t="s">
        <v>352</v>
      </c>
      <c r="M2471" t="s">
        <v>8</v>
      </c>
      <c r="N2471" t="b">
        <v>0</v>
      </c>
      <c r="O2471">
        <v>0</v>
      </c>
      <c r="P2471">
        <v>1</v>
      </c>
      <c r="Q2471">
        <v>0</v>
      </c>
      <c r="R2471">
        <v>1</v>
      </c>
    </row>
    <row r="2472" spans="1:18" x14ac:dyDescent="0.25">
      <c r="A2472" t="s">
        <v>17</v>
      </c>
      <c r="B2472" t="s">
        <v>6</v>
      </c>
      <c r="C2472">
        <v>2</v>
      </c>
      <c r="D2472">
        <v>2</v>
      </c>
      <c r="E2472">
        <v>1</v>
      </c>
      <c r="F2472" s="15">
        <v>46020</v>
      </c>
      <c r="G2472" t="s">
        <v>164</v>
      </c>
      <c r="H2472">
        <v>4</v>
      </c>
      <c r="I2472">
        <v>2025</v>
      </c>
      <c r="J2472">
        <v>12</v>
      </c>
      <c r="K2472" t="s">
        <v>87</v>
      </c>
      <c r="L2472" t="s">
        <v>7</v>
      </c>
      <c r="M2472" t="s">
        <v>6</v>
      </c>
      <c r="N2472" t="b">
        <v>0</v>
      </c>
      <c r="O2472">
        <v>0</v>
      </c>
      <c r="P2472">
        <v>1</v>
      </c>
      <c r="Q2472">
        <v>0</v>
      </c>
      <c r="R2472">
        <v>0</v>
      </c>
    </row>
    <row r="2473" spans="1:18" x14ac:dyDescent="0.25">
      <c r="A2473" t="s">
        <v>17</v>
      </c>
      <c r="B2473" t="s">
        <v>6</v>
      </c>
      <c r="C2473">
        <v>2</v>
      </c>
      <c r="D2473">
        <v>2</v>
      </c>
      <c r="E2473">
        <v>1</v>
      </c>
      <c r="F2473" s="15">
        <v>46020</v>
      </c>
      <c r="G2473" t="s">
        <v>164</v>
      </c>
      <c r="H2473">
        <v>4</v>
      </c>
      <c r="I2473">
        <v>2025</v>
      </c>
      <c r="J2473">
        <v>12</v>
      </c>
      <c r="K2473" t="s">
        <v>87</v>
      </c>
      <c r="L2473" t="s">
        <v>28</v>
      </c>
      <c r="M2473" t="s">
        <v>6</v>
      </c>
      <c r="N2473" t="b">
        <v>0</v>
      </c>
      <c r="O2473">
        <v>0</v>
      </c>
      <c r="P2473">
        <v>1</v>
      </c>
      <c r="Q2473">
        <v>0</v>
      </c>
      <c r="R2473">
        <v>0</v>
      </c>
    </row>
    <row r="2474" spans="1:18" x14ac:dyDescent="0.25">
      <c r="A2474" t="s">
        <v>17</v>
      </c>
      <c r="B2474" t="s">
        <v>6</v>
      </c>
      <c r="C2474">
        <v>2</v>
      </c>
      <c r="D2474">
        <v>2</v>
      </c>
      <c r="E2474">
        <v>1</v>
      </c>
      <c r="F2474" s="15">
        <v>46020</v>
      </c>
      <c r="G2474" t="s">
        <v>164</v>
      </c>
      <c r="H2474">
        <v>4</v>
      </c>
      <c r="I2474">
        <v>2025</v>
      </c>
      <c r="J2474">
        <v>12</v>
      </c>
      <c r="K2474" t="s">
        <v>87</v>
      </c>
      <c r="L2474" t="s">
        <v>352</v>
      </c>
      <c r="M2474" t="s">
        <v>8</v>
      </c>
      <c r="N2474" t="b">
        <v>0</v>
      </c>
      <c r="O2474">
        <v>0</v>
      </c>
      <c r="P2474">
        <v>1</v>
      </c>
      <c r="Q2474">
        <v>0</v>
      </c>
      <c r="R2474">
        <v>1</v>
      </c>
    </row>
    <row r="2475" spans="1:18" x14ac:dyDescent="0.25">
      <c r="A2475" t="s">
        <v>352</v>
      </c>
      <c r="B2475" t="s">
        <v>8</v>
      </c>
      <c r="C2475">
        <v>1</v>
      </c>
      <c r="D2475">
        <v>2</v>
      </c>
      <c r="E2475">
        <v>1</v>
      </c>
      <c r="F2475" s="15">
        <v>46020</v>
      </c>
      <c r="G2475" t="s">
        <v>164</v>
      </c>
      <c r="H2475">
        <v>4</v>
      </c>
      <c r="I2475">
        <v>2025</v>
      </c>
      <c r="J2475">
        <v>12</v>
      </c>
      <c r="K2475" t="s">
        <v>87</v>
      </c>
      <c r="L2475" t="s">
        <v>7</v>
      </c>
      <c r="M2475" t="s">
        <v>6</v>
      </c>
      <c r="N2475" t="b">
        <v>0</v>
      </c>
      <c r="O2475">
        <v>1</v>
      </c>
      <c r="P2475">
        <v>0</v>
      </c>
      <c r="Q2475">
        <v>0</v>
      </c>
      <c r="R2475">
        <v>0</v>
      </c>
    </row>
    <row r="2476" spans="1:18" x14ac:dyDescent="0.25">
      <c r="A2476" t="s">
        <v>352</v>
      </c>
      <c r="B2476" t="s">
        <v>8</v>
      </c>
      <c r="C2476">
        <v>1</v>
      </c>
      <c r="D2476">
        <v>2</v>
      </c>
      <c r="E2476">
        <v>1</v>
      </c>
      <c r="F2476" s="15">
        <v>46020</v>
      </c>
      <c r="G2476" t="s">
        <v>164</v>
      </c>
      <c r="H2476">
        <v>4</v>
      </c>
      <c r="I2476">
        <v>2025</v>
      </c>
      <c r="J2476">
        <v>12</v>
      </c>
      <c r="K2476" t="s">
        <v>87</v>
      </c>
      <c r="L2476" t="s">
        <v>28</v>
      </c>
      <c r="M2476" t="s">
        <v>6</v>
      </c>
      <c r="N2476" t="b">
        <v>0</v>
      </c>
      <c r="O2476">
        <v>1</v>
      </c>
      <c r="P2476">
        <v>0</v>
      </c>
      <c r="Q2476">
        <v>0</v>
      </c>
      <c r="R2476">
        <v>0</v>
      </c>
    </row>
    <row r="2477" spans="1:18" x14ac:dyDescent="0.25">
      <c r="A2477" t="s">
        <v>352</v>
      </c>
      <c r="B2477" t="s">
        <v>8</v>
      </c>
      <c r="C2477">
        <v>1</v>
      </c>
      <c r="D2477">
        <v>2</v>
      </c>
      <c r="E2477">
        <v>1</v>
      </c>
      <c r="F2477" s="15">
        <v>46020</v>
      </c>
      <c r="G2477" t="s">
        <v>164</v>
      </c>
      <c r="H2477">
        <v>4</v>
      </c>
      <c r="I2477">
        <v>2025</v>
      </c>
      <c r="J2477">
        <v>12</v>
      </c>
      <c r="K2477" t="s">
        <v>87</v>
      </c>
      <c r="L2477" t="s">
        <v>17</v>
      </c>
      <c r="M2477" t="s">
        <v>6</v>
      </c>
      <c r="N2477" t="b">
        <v>0</v>
      </c>
      <c r="O2477">
        <v>1</v>
      </c>
      <c r="P2477">
        <v>0</v>
      </c>
      <c r="Q2477">
        <v>0</v>
      </c>
      <c r="R2477">
        <v>0</v>
      </c>
    </row>
    <row r="2478" spans="1:18" x14ac:dyDescent="0.25">
      <c r="A2478" t="s">
        <v>7</v>
      </c>
      <c r="B2478" t="s">
        <v>6</v>
      </c>
      <c r="C2478">
        <v>4</v>
      </c>
      <c r="D2478">
        <v>4</v>
      </c>
      <c r="E2478">
        <v>2</v>
      </c>
      <c r="F2478" s="15">
        <v>46020</v>
      </c>
      <c r="G2478" t="s">
        <v>275</v>
      </c>
      <c r="H2478">
        <v>4</v>
      </c>
      <c r="I2478">
        <v>2025</v>
      </c>
      <c r="J2478">
        <v>12</v>
      </c>
      <c r="K2478" t="s">
        <v>87</v>
      </c>
      <c r="L2478" t="s">
        <v>15</v>
      </c>
      <c r="M2478" t="s">
        <v>6</v>
      </c>
      <c r="N2478" t="b">
        <v>0</v>
      </c>
      <c r="O2478">
        <v>0</v>
      </c>
      <c r="P2478">
        <v>1</v>
      </c>
      <c r="Q2478">
        <v>0</v>
      </c>
      <c r="R2478">
        <v>0</v>
      </c>
    </row>
    <row r="2479" spans="1:18" x14ac:dyDescent="0.25">
      <c r="A2479" t="s">
        <v>7</v>
      </c>
      <c r="B2479" t="s">
        <v>6</v>
      </c>
      <c r="C2479">
        <v>4</v>
      </c>
      <c r="D2479">
        <v>4</v>
      </c>
      <c r="E2479">
        <v>2</v>
      </c>
      <c r="F2479" s="15">
        <v>46020</v>
      </c>
      <c r="G2479" t="s">
        <v>275</v>
      </c>
      <c r="H2479">
        <v>4</v>
      </c>
      <c r="I2479">
        <v>2025</v>
      </c>
      <c r="J2479">
        <v>12</v>
      </c>
      <c r="K2479" t="s">
        <v>87</v>
      </c>
      <c r="L2479" t="s">
        <v>11</v>
      </c>
      <c r="M2479" t="s">
        <v>8</v>
      </c>
      <c r="N2479" t="b">
        <v>0</v>
      </c>
      <c r="O2479">
        <v>0</v>
      </c>
      <c r="P2479">
        <v>1</v>
      </c>
      <c r="Q2479">
        <v>0</v>
      </c>
      <c r="R2479">
        <v>1</v>
      </c>
    </row>
    <row r="2480" spans="1:18" x14ac:dyDescent="0.25">
      <c r="A2480" t="s">
        <v>7</v>
      </c>
      <c r="B2480" t="s">
        <v>6</v>
      </c>
      <c r="C2480">
        <v>4</v>
      </c>
      <c r="D2480">
        <v>4</v>
      </c>
      <c r="E2480">
        <v>2</v>
      </c>
      <c r="F2480" s="15">
        <v>46020</v>
      </c>
      <c r="G2480" t="s">
        <v>275</v>
      </c>
      <c r="H2480">
        <v>4</v>
      </c>
      <c r="I2480">
        <v>2025</v>
      </c>
      <c r="J2480">
        <v>12</v>
      </c>
      <c r="K2480" t="s">
        <v>87</v>
      </c>
      <c r="L2480" t="s">
        <v>9</v>
      </c>
      <c r="M2480" t="s">
        <v>6</v>
      </c>
      <c r="N2480" t="b">
        <v>0</v>
      </c>
      <c r="O2480">
        <v>0</v>
      </c>
      <c r="P2480">
        <v>1</v>
      </c>
      <c r="Q2480">
        <v>0</v>
      </c>
      <c r="R2480">
        <v>0</v>
      </c>
    </row>
    <row r="2481" spans="1:18" x14ac:dyDescent="0.25">
      <c r="A2481" t="s">
        <v>15</v>
      </c>
      <c r="B2481" t="s">
        <v>6</v>
      </c>
      <c r="C2481">
        <v>3</v>
      </c>
      <c r="D2481">
        <v>4</v>
      </c>
      <c r="E2481">
        <v>2</v>
      </c>
      <c r="F2481" s="15">
        <v>46020</v>
      </c>
      <c r="G2481" t="s">
        <v>275</v>
      </c>
      <c r="H2481">
        <v>4</v>
      </c>
      <c r="I2481">
        <v>2025</v>
      </c>
      <c r="J2481">
        <v>12</v>
      </c>
      <c r="K2481" t="s">
        <v>87</v>
      </c>
      <c r="L2481" t="s">
        <v>7</v>
      </c>
      <c r="M2481" t="s">
        <v>6</v>
      </c>
      <c r="N2481" t="b">
        <v>0</v>
      </c>
      <c r="O2481">
        <v>0</v>
      </c>
      <c r="P2481">
        <v>1</v>
      </c>
      <c r="Q2481">
        <v>0</v>
      </c>
      <c r="R2481">
        <v>0</v>
      </c>
    </row>
    <row r="2482" spans="1:18" x14ac:dyDescent="0.25">
      <c r="A2482" t="s">
        <v>15</v>
      </c>
      <c r="B2482" t="s">
        <v>6</v>
      </c>
      <c r="C2482">
        <v>3</v>
      </c>
      <c r="D2482">
        <v>4</v>
      </c>
      <c r="E2482">
        <v>2</v>
      </c>
      <c r="F2482" s="15">
        <v>46020</v>
      </c>
      <c r="G2482" t="s">
        <v>275</v>
      </c>
      <c r="H2482">
        <v>4</v>
      </c>
      <c r="I2482">
        <v>2025</v>
      </c>
      <c r="J2482">
        <v>12</v>
      </c>
      <c r="K2482" t="s">
        <v>87</v>
      </c>
      <c r="L2482" t="s">
        <v>11</v>
      </c>
      <c r="M2482" t="s">
        <v>8</v>
      </c>
      <c r="N2482" t="b">
        <v>0</v>
      </c>
      <c r="O2482">
        <v>0</v>
      </c>
      <c r="P2482">
        <v>1</v>
      </c>
      <c r="Q2482">
        <v>0</v>
      </c>
      <c r="R2482">
        <v>1</v>
      </c>
    </row>
    <row r="2483" spans="1:18" x14ac:dyDescent="0.25">
      <c r="A2483" t="s">
        <v>15</v>
      </c>
      <c r="B2483" t="s">
        <v>6</v>
      </c>
      <c r="C2483">
        <v>3</v>
      </c>
      <c r="D2483">
        <v>4</v>
      </c>
      <c r="E2483">
        <v>2</v>
      </c>
      <c r="F2483" s="15">
        <v>46020</v>
      </c>
      <c r="G2483" t="s">
        <v>275</v>
      </c>
      <c r="H2483">
        <v>4</v>
      </c>
      <c r="I2483">
        <v>2025</v>
      </c>
      <c r="J2483">
        <v>12</v>
      </c>
      <c r="K2483" t="s">
        <v>87</v>
      </c>
      <c r="L2483" t="s">
        <v>9</v>
      </c>
      <c r="M2483" t="s">
        <v>6</v>
      </c>
      <c r="N2483" t="b">
        <v>0</v>
      </c>
      <c r="O2483">
        <v>0</v>
      </c>
      <c r="P2483">
        <v>1</v>
      </c>
      <c r="Q2483">
        <v>0</v>
      </c>
      <c r="R2483">
        <v>0</v>
      </c>
    </row>
    <row r="2484" spans="1:18" x14ac:dyDescent="0.25">
      <c r="A2484" t="s">
        <v>11</v>
      </c>
      <c r="B2484" t="s">
        <v>8</v>
      </c>
      <c r="C2484">
        <v>1</v>
      </c>
      <c r="D2484">
        <v>4</v>
      </c>
      <c r="E2484">
        <v>2</v>
      </c>
      <c r="F2484" s="15">
        <v>46020</v>
      </c>
      <c r="G2484" t="s">
        <v>275</v>
      </c>
      <c r="H2484">
        <v>4</v>
      </c>
      <c r="I2484">
        <v>2025</v>
      </c>
      <c r="J2484">
        <v>12</v>
      </c>
      <c r="K2484" t="s">
        <v>87</v>
      </c>
      <c r="L2484" t="s">
        <v>7</v>
      </c>
      <c r="M2484" t="s">
        <v>6</v>
      </c>
      <c r="N2484" t="b">
        <v>0</v>
      </c>
      <c r="O2484">
        <v>1</v>
      </c>
      <c r="P2484">
        <v>0</v>
      </c>
      <c r="Q2484">
        <v>0</v>
      </c>
      <c r="R2484">
        <v>0</v>
      </c>
    </row>
    <row r="2485" spans="1:18" x14ac:dyDescent="0.25">
      <c r="A2485" t="s">
        <v>11</v>
      </c>
      <c r="B2485" t="s">
        <v>8</v>
      </c>
      <c r="C2485">
        <v>1</v>
      </c>
      <c r="D2485">
        <v>4</v>
      </c>
      <c r="E2485">
        <v>2</v>
      </c>
      <c r="F2485" s="15">
        <v>46020</v>
      </c>
      <c r="G2485" t="s">
        <v>275</v>
      </c>
      <c r="H2485">
        <v>4</v>
      </c>
      <c r="I2485">
        <v>2025</v>
      </c>
      <c r="J2485">
        <v>12</v>
      </c>
      <c r="K2485" t="s">
        <v>87</v>
      </c>
      <c r="L2485" t="s">
        <v>15</v>
      </c>
      <c r="M2485" t="s">
        <v>6</v>
      </c>
      <c r="N2485" t="b">
        <v>0</v>
      </c>
      <c r="O2485">
        <v>1</v>
      </c>
      <c r="P2485">
        <v>0</v>
      </c>
      <c r="Q2485">
        <v>0</v>
      </c>
      <c r="R2485">
        <v>0</v>
      </c>
    </row>
    <row r="2486" spans="1:18" x14ac:dyDescent="0.25">
      <c r="A2486" t="s">
        <v>11</v>
      </c>
      <c r="B2486" t="s">
        <v>8</v>
      </c>
      <c r="C2486">
        <v>1</v>
      </c>
      <c r="D2486">
        <v>4</v>
      </c>
      <c r="E2486">
        <v>2</v>
      </c>
      <c r="F2486" s="15">
        <v>46020</v>
      </c>
      <c r="G2486" t="s">
        <v>275</v>
      </c>
      <c r="H2486">
        <v>4</v>
      </c>
      <c r="I2486">
        <v>2025</v>
      </c>
      <c r="J2486">
        <v>12</v>
      </c>
      <c r="K2486" t="s">
        <v>87</v>
      </c>
      <c r="L2486" t="s">
        <v>9</v>
      </c>
      <c r="M2486" t="s">
        <v>6</v>
      </c>
      <c r="N2486" t="b">
        <v>0</v>
      </c>
      <c r="O2486">
        <v>1</v>
      </c>
      <c r="P2486">
        <v>0</v>
      </c>
      <c r="Q2486">
        <v>0</v>
      </c>
      <c r="R2486">
        <v>0</v>
      </c>
    </row>
    <row r="2487" spans="1:18" x14ac:dyDescent="0.25">
      <c r="A2487" t="s">
        <v>9</v>
      </c>
      <c r="B2487" t="s">
        <v>6</v>
      </c>
      <c r="C2487">
        <v>2</v>
      </c>
      <c r="D2487">
        <v>4</v>
      </c>
      <c r="E2487">
        <v>2</v>
      </c>
      <c r="F2487" s="15">
        <v>46020</v>
      </c>
      <c r="G2487" t="s">
        <v>275</v>
      </c>
      <c r="H2487">
        <v>4</v>
      </c>
      <c r="I2487">
        <v>2025</v>
      </c>
      <c r="J2487">
        <v>12</v>
      </c>
      <c r="K2487" t="s">
        <v>87</v>
      </c>
      <c r="L2487" t="s">
        <v>7</v>
      </c>
      <c r="M2487" t="s">
        <v>6</v>
      </c>
      <c r="N2487" t="b">
        <v>0</v>
      </c>
      <c r="O2487">
        <v>0</v>
      </c>
      <c r="P2487">
        <v>1</v>
      </c>
      <c r="Q2487">
        <v>0</v>
      </c>
      <c r="R2487">
        <v>0</v>
      </c>
    </row>
    <row r="2488" spans="1:18" x14ac:dyDescent="0.25">
      <c r="A2488" t="s">
        <v>9</v>
      </c>
      <c r="B2488" t="s">
        <v>6</v>
      </c>
      <c r="C2488">
        <v>2</v>
      </c>
      <c r="D2488">
        <v>4</v>
      </c>
      <c r="E2488">
        <v>2</v>
      </c>
      <c r="F2488" s="15">
        <v>46020</v>
      </c>
      <c r="G2488" t="s">
        <v>275</v>
      </c>
      <c r="H2488">
        <v>4</v>
      </c>
      <c r="I2488">
        <v>2025</v>
      </c>
      <c r="J2488">
        <v>12</v>
      </c>
      <c r="K2488" t="s">
        <v>87</v>
      </c>
      <c r="L2488" t="s">
        <v>15</v>
      </c>
      <c r="M2488" t="s">
        <v>6</v>
      </c>
      <c r="N2488" t="b">
        <v>0</v>
      </c>
      <c r="O2488">
        <v>0</v>
      </c>
      <c r="P2488">
        <v>1</v>
      </c>
      <c r="Q2488">
        <v>0</v>
      </c>
      <c r="R2488">
        <v>0</v>
      </c>
    </row>
    <row r="2489" spans="1:18" x14ac:dyDescent="0.25">
      <c r="A2489" t="s">
        <v>9</v>
      </c>
      <c r="B2489" t="s">
        <v>6</v>
      </c>
      <c r="C2489">
        <v>2</v>
      </c>
      <c r="D2489">
        <v>4</v>
      </c>
      <c r="E2489">
        <v>2</v>
      </c>
      <c r="F2489" s="15">
        <v>46020</v>
      </c>
      <c r="G2489" t="s">
        <v>275</v>
      </c>
      <c r="H2489">
        <v>4</v>
      </c>
      <c r="I2489">
        <v>2025</v>
      </c>
      <c r="J2489">
        <v>12</v>
      </c>
      <c r="K2489" t="s">
        <v>87</v>
      </c>
      <c r="L2489" t="s">
        <v>11</v>
      </c>
      <c r="M2489" t="s">
        <v>8</v>
      </c>
      <c r="N2489" t="b">
        <v>0</v>
      </c>
      <c r="O2489">
        <v>0</v>
      </c>
      <c r="P2489">
        <v>1</v>
      </c>
      <c r="Q2489">
        <v>0</v>
      </c>
      <c r="R2489">
        <v>1</v>
      </c>
    </row>
    <row r="2490" spans="1:18" x14ac:dyDescent="0.25">
      <c r="A2490" t="s">
        <v>7</v>
      </c>
      <c r="B2490" t="s">
        <v>8</v>
      </c>
      <c r="C2490">
        <v>2</v>
      </c>
      <c r="D2490">
        <v>6</v>
      </c>
      <c r="E2490">
        <v>1</v>
      </c>
      <c r="F2490" s="15">
        <v>46034</v>
      </c>
      <c r="G2490" t="s">
        <v>302</v>
      </c>
      <c r="H2490">
        <v>4</v>
      </c>
      <c r="I2490">
        <v>2026</v>
      </c>
      <c r="J2490">
        <v>1</v>
      </c>
      <c r="K2490" t="s">
        <v>87</v>
      </c>
      <c r="L2490" t="s">
        <v>321</v>
      </c>
      <c r="M2490" t="s">
        <v>6</v>
      </c>
      <c r="N2490" t="b">
        <v>0</v>
      </c>
      <c r="O2490">
        <v>1</v>
      </c>
      <c r="P2490">
        <v>0</v>
      </c>
      <c r="Q2490">
        <v>0</v>
      </c>
      <c r="R2490">
        <v>0</v>
      </c>
    </row>
    <row r="2491" spans="1:18" x14ac:dyDescent="0.25">
      <c r="A2491" t="s">
        <v>7</v>
      </c>
      <c r="B2491" t="s">
        <v>8</v>
      </c>
      <c r="C2491">
        <v>2</v>
      </c>
      <c r="D2491">
        <v>6</v>
      </c>
      <c r="E2491">
        <v>1</v>
      </c>
      <c r="F2491" s="15">
        <v>46034</v>
      </c>
      <c r="G2491" t="s">
        <v>302</v>
      </c>
      <c r="H2491">
        <v>4</v>
      </c>
      <c r="I2491">
        <v>2026</v>
      </c>
      <c r="J2491">
        <v>1</v>
      </c>
      <c r="K2491" t="s">
        <v>87</v>
      </c>
      <c r="L2491" t="s">
        <v>41</v>
      </c>
      <c r="M2491" t="s">
        <v>6</v>
      </c>
      <c r="N2491" t="b">
        <v>0</v>
      </c>
      <c r="O2491">
        <v>1</v>
      </c>
      <c r="P2491">
        <v>0</v>
      </c>
      <c r="Q2491">
        <v>0</v>
      </c>
      <c r="R2491">
        <v>0</v>
      </c>
    </row>
    <row r="2492" spans="1:18" x14ac:dyDescent="0.25">
      <c r="A2492" t="s">
        <v>7</v>
      </c>
      <c r="B2492" t="s">
        <v>8</v>
      </c>
      <c r="C2492">
        <v>2</v>
      </c>
      <c r="D2492">
        <v>6</v>
      </c>
      <c r="E2492">
        <v>1</v>
      </c>
      <c r="F2492" s="15">
        <v>46034</v>
      </c>
      <c r="G2492" t="s">
        <v>302</v>
      </c>
      <c r="H2492">
        <v>4</v>
      </c>
      <c r="I2492">
        <v>2026</v>
      </c>
      <c r="J2492">
        <v>1</v>
      </c>
      <c r="K2492" t="s">
        <v>87</v>
      </c>
      <c r="L2492" t="s">
        <v>9</v>
      </c>
      <c r="M2492" t="s">
        <v>6</v>
      </c>
      <c r="N2492" t="b">
        <v>0</v>
      </c>
      <c r="O2492">
        <v>1</v>
      </c>
      <c r="P2492">
        <v>0</v>
      </c>
      <c r="Q2492">
        <v>0</v>
      </c>
      <c r="R2492">
        <v>0</v>
      </c>
    </row>
    <row r="2493" spans="1:18" x14ac:dyDescent="0.25">
      <c r="A2493" t="s">
        <v>321</v>
      </c>
      <c r="B2493" t="s">
        <v>6</v>
      </c>
      <c r="C2493">
        <v>4</v>
      </c>
      <c r="D2493">
        <v>6</v>
      </c>
      <c r="E2493">
        <v>1</v>
      </c>
      <c r="F2493" s="15">
        <v>46034</v>
      </c>
      <c r="G2493" t="s">
        <v>302</v>
      </c>
      <c r="H2493">
        <v>4</v>
      </c>
      <c r="I2493">
        <v>2026</v>
      </c>
      <c r="J2493">
        <v>1</v>
      </c>
      <c r="K2493" t="s">
        <v>87</v>
      </c>
      <c r="L2493" t="s">
        <v>7</v>
      </c>
      <c r="M2493" t="s">
        <v>8</v>
      </c>
      <c r="N2493" t="b">
        <v>0</v>
      </c>
      <c r="O2493">
        <v>0</v>
      </c>
      <c r="P2493">
        <v>1</v>
      </c>
      <c r="Q2493">
        <v>0</v>
      </c>
      <c r="R2493">
        <v>1</v>
      </c>
    </row>
    <row r="2494" spans="1:18" x14ac:dyDescent="0.25">
      <c r="A2494" t="s">
        <v>321</v>
      </c>
      <c r="B2494" t="s">
        <v>6</v>
      </c>
      <c r="C2494">
        <v>4</v>
      </c>
      <c r="D2494">
        <v>6</v>
      </c>
      <c r="E2494">
        <v>1</v>
      </c>
      <c r="F2494" s="15">
        <v>46034</v>
      </c>
      <c r="G2494" t="s">
        <v>302</v>
      </c>
      <c r="H2494">
        <v>4</v>
      </c>
      <c r="I2494">
        <v>2026</v>
      </c>
      <c r="J2494">
        <v>1</v>
      </c>
      <c r="K2494" t="s">
        <v>87</v>
      </c>
      <c r="L2494" t="s">
        <v>41</v>
      </c>
      <c r="M2494" t="s">
        <v>6</v>
      </c>
      <c r="N2494" t="b">
        <v>0</v>
      </c>
      <c r="O2494">
        <v>0</v>
      </c>
      <c r="P2494">
        <v>1</v>
      </c>
      <c r="Q2494">
        <v>0</v>
      </c>
      <c r="R2494">
        <v>0</v>
      </c>
    </row>
    <row r="2495" spans="1:18" x14ac:dyDescent="0.25">
      <c r="A2495" t="s">
        <v>321</v>
      </c>
      <c r="B2495" t="s">
        <v>6</v>
      </c>
      <c r="C2495">
        <v>4</v>
      </c>
      <c r="D2495">
        <v>6</v>
      </c>
      <c r="E2495">
        <v>1</v>
      </c>
      <c r="F2495" s="15">
        <v>46034</v>
      </c>
      <c r="G2495" t="s">
        <v>302</v>
      </c>
      <c r="H2495">
        <v>4</v>
      </c>
      <c r="I2495">
        <v>2026</v>
      </c>
      <c r="J2495">
        <v>1</v>
      </c>
      <c r="K2495" t="s">
        <v>87</v>
      </c>
      <c r="L2495" t="s">
        <v>9</v>
      </c>
      <c r="M2495" t="s">
        <v>6</v>
      </c>
      <c r="N2495" t="b">
        <v>0</v>
      </c>
      <c r="O2495">
        <v>0</v>
      </c>
      <c r="P2495">
        <v>1</v>
      </c>
      <c r="Q2495">
        <v>0</v>
      </c>
      <c r="R2495">
        <v>0</v>
      </c>
    </row>
    <row r="2496" spans="1:18" x14ac:dyDescent="0.25">
      <c r="A2496" t="s">
        <v>41</v>
      </c>
      <c r="B2496" t="s">
        <v>6</v>
      </c>
      <c r="C2496">
        <v>1</v>
      </c>
      <c r="D2496">
        <v>6</v>
      </c>
      <c r="E2496">
        <v>1</v>
      </c>
      <c r="F2496" s="15">
        <v>46034</v>
      </c>
      <c r="G2496" t="s">
        <v>302</v>
      </c>
      <c r="H2496">
        <v>4</v>
      </c>
      <c r="I2496">
        <v>2026</v>
      </c>
      <c r="J2496">
        <v>1</v>
      </c>
      <c r="K2496" t="s">
        <v>87</v>
      </c>
      <c r="L2496" t="s">
        <v>7</v>
      </c>
      <c r="M2496" t="s">
        <v>8</v>
      </c>
      <c r="N2496" t="b">
        <v>0</v>
      </c>
      <c r="O2496">
        <v>0</v>
      </c>
      <c r="P2496">
        <v>1</v>
      </c>
      <c r="Q2496">
        <v>0</v>
      </c>
      <c r="R2496">
        <v>1</v>
      </c>
    </row>
    <row r="2497" spans="1:18" x14ac:dyDescent="0.25">
      <c r="A2497" t="s">
        <v>41</v>
      </c>
      <c r="B2497" t="s">
        <v>6</v>
      </c>
      <c r="C2497">
        <v>1</v>
      </c>
      <c r="D2497">
        <v>6</v>
      </c>
      <c r="E2497">
        <v>1</v>
      </c>
      <c r="F2497" s="15">
        <v>46034</v>
      </c>
      <c r="G2497" t="s">
        <v>302</v>
      </c>
      <c r="H2497">
        <v>4</v>
      </c>
      <c r="I2497">
        <v>2026</v>
      </c>
      <c r="J2497">
        <v>1</v>
      </c>
      <c r="K2497" t="s">
        <v>87</v>
      </c>
      <c r="L2497" t="s">
        <v>321</v>
      </c>
      <c r="M2497" t="s">
        <v>6</v>
      </c>
      <c r="N2497" t="b">
        <v>0</v>
      </c>
      <c r="O2497">
        <v>0</v>
      </c>
      <c r="P2497">
        <v>1</v>
      </c>
      <c r="Q2497">
        <v>0</v>
      </c>
      <c r="R2497">
        <v>0</v>
      </c>
    </row>
    <row r="2498" spans="1:18" x14ac:dyDescent="0.25">
      <c r="A2498" t="s">
        <v>41</v>
      </c>
      <c r="B2498" t="s">
        <v>6</v>
      </c>
      <c r="C2498">
        <v>1</v>
      </c>
      <c r="D2498">
        <v>6</v>
      </c>
      <c r="E2498">
        <v>1</v>
      </c>
      <c r="F2498" s="15">
        <v>46034</v>
      </c>
      <c r="G2498" t="s">
        <v>302</v>
      </c>
      <c r="H2498">
        <v>4</v>
      </c>
      <c r="I2498">
        <v>2026</v>
      </c>
      <c r="J2498">
        <v>1</v>
      </c>
      <c r="K2498" t="s">
        <v>87</v>
      </c>
      <c r="L2498" t="s">
        <v>9</v>
      </c>
      <c r="M2498" t="s">
        <v>6</v>
      </c>
      <c r="N2498" t="b">
        <v>0</v>
      </c>
      <c r="O2498">
        <v>0</v>
      </c>
      <c r="P2498">
        <v>1</v>
      </c>
      <c r="Q2498">
        <v>0</v>
      </c>
      <c r="R2498">
        <v>0</v>
      </c>
    </row>
    <row r="2499" spans="1:18" x14ac:dyDescent="0.25">
      <c r="A2499" t="s">
        <v>9</v>
      </c>
      <c r="B2499" t="s">
        <v>6</v>
      </c>
      <c r="C2499">
        <v>3</v>
      </c>
      <c r="D2499">
        <v>6</v>
      </c>
      <c r="E2499">
        <v>1</v>
      </c>
      <c r="F2499" s="15">
        <v>46034</v>
      </c>
      <c r="G2499" t="s">
        <v>302</v>
      </c>
      <c r="H2499">
        <v>4</v>
      </c>
      <c r="I2499">
        <v>2026</v>
      </c>
      <c r="J2499">
        <v>1</v>
      </c>
      <c r="K2499" t="s">
        <v>87</v>
      </c>
      <c r="L2499" t="s">
        <v>7</v>
      </c>
      <c r="M2499" t="s">
        <v>8</v>
      </c>
      <c r="N2499" t="b">
        <v>0</v>
      </c>
      <c r="O2499">
        <v>0</v>
      </c>
      <c r="P2499">
        <v>1</v>
      </c>
      <c r="Q2499">
        <v>0</v>
      </c>
      <c r="R2499">
        <v>1</v>
      </c>
    </row>
    <row r="2500" spans="1:18" x14ac:dyDescent="0.25">
      <c r="A2500" t="s">
        <v>9</v>
      </c>
      <c r="B2500" t="s">
        <v>6</v>
      </c>
      <c r="C2500">
        <v>3</v>
      </c>
      <c r="D2500">
        <v>6</v>
      </c>
      <c r="E2500">
        <v>1</v>
      </c>
      <c r="F2500" s="15">
        <v>46034</v>
      </c>
      <c r="G2500" t="s">
        <v>302</v>
      </c>
      <c r="H2500">
        <v>4</v>
      </c>
      <c r="I2500">
        <v>2026</v>
      </c>
      <c r="J2500">
        <v>1</v>
      </c>
      <c r="K2500" t="s">
        <v>87</v>
      </c>
      <c r="L2500" t="s">
        <v>321</v>
      </c>
      <c r="M2500" t="s">
        <v>6</v>
      </c>
      <c r="N2500" t="b">
        <v>0</v>
      </c>
      <c r="O2500">
        <v>0</v>
      </c>
      <c r="P2500">
        <v>1</v>
      </c>
      <c r="Q2500">
        <v>0</v>
      </c>
      <c r="R2500">
        <v>0</v>
      </c>
    </row>
    <row r="2501" spans="1:18" x14ac:dyDescent="0.25">
      <c r="A2501" t="s">
        <v>9</v>
      </c>
      <c r="B2501" t="s">
        <v>6</v>
      </c>
      <c r="C2501">
        <v>3</v>
      </c>
      <c r="D2501">
        <v>6</v>
      </c>
      <c r="E2501">
        <v>1</v>
      </c>
      <c r="F2501" s="15">
        <v>46034</v>
      </c>
      <c r="G2501" t="s">
        <v>302</v>
      </c>
      <c r="H2501">
        <v>4</v>
      </c>
      <c r="I2501">
        <v>2026</v>
      </c>
      <c r="J2501">
        <v>1</v>
      </c>
      <c r="K2501" t="s">
        <v>87</v>
      </c>
      <c r="L2501" t="s">
        <v>41</v>
      </c>
      <c r="M2501" t="s">
        <v>6</v>
      </c>
      <c r="N2501" t="b">
        <v>0</v>
      </c>
      <c r="O2501">
        <v>0</v>
      </c>
      <c r="P2501">
        <v>1</v>
      </c>
      <c r="Q2501">
        <v>0</v>
      </c>
      <c r="R2501">
        <v>0</v>
      </c>
    </row>
    <row r="2502" spans="1:18" x14ac:dyDescent="0.25">
      <c r="A2502" t="s">
        <v>7</v>
      </c>
      <c r="B2502" t="s">
        <v>8</v>
      </c>
      <c r="C2502">
        <v>3</v>
      </c>
      <c r="D2502">
        <v>5</v>
      </c>
      <c r="E2502">
        <v>2</v>
      </c>
      <c r="F2502" s="15">
        <v>46034</v>
      </c>
      <c r="G2502" t="s">
        <v>308</v>
      </c>
      <c r="H2502">
        <v>4</v>
      </c>
      <c r="I2502">
        <v>2026</v>
      </c>
      <c r="J2502">
        <v>1</v>
      </c>
      <c r="K2502" t="s">
        <v>87</v>
      </c>
      <c r="L2502" t="s">
        <v>52</v>
      </c>
      <c r="M2502" t="s">
        <v>6</v>
      </c>
      <c r="N2502" t="b">
        <v>0</v>
      </c>
      <c r="O2502">
        <v>1</v>
      </c>
      <c r="P2502">
        <v>0</v>
      </c>
      <c r="Q2502">
        <v>0</v>
      </c>
      <c r="R2502">
        <v>0</v>
      </c>
    </row>
    <row r="2503" spans="1:18" x14ac:dyDescent="0.25">
      <c r="A2503" t="s">
        <v>7</v>
      </c>
      <c r="B2503" t="s">
        <v>8</v>
      </c>
      <c r="C2503">
        <v>3</v>
      </c>
      <c r="D2503">
        <v>5</v>
      </c>
      <c r="E2503">
        <v>2</v>
      </c>
      <c r="F2503" s="15">
        <v>46034</v>
      </c>
      <c r="G2503" t="s">
        <v>308</v>
      </c>
      <c r="H2503">
        <v>4</v>
      </c>
      <c r="I2503">
        <v>2026</v>
      </c>
      <c r="J2503">
        <v>1</v>
      </c>
      <c r="K2503" t="s">
        <v>87</v>
      </c>
      <c r="L2503" t="s">
        <v>433</v>
      </c>
      <c r="M2503" t="s">
        <v>6</v>
      </c>
      <c r="N2503" t="b">
        <v>0</v>
      </c>
      <c r="O2503">
        <v>1</v>
      </c>
      <c r="P2503">
        <v>0</v>
      </c>
      <c r="Q2503">
        <v>0</v>
      </c>
      <c r="R2503">
        <v>0</v>
      </c>
    </row>
    <row r="2504" spans="1:18" x14ac:dyDescent="0.25">
      <c r="A2504" t="s">
        <v>7</v>
      </c>
      <c r="B2504" t="s">
        <v>8</v>
      </c>
      <c r="C2504">
        <v>3</v>
      </c>
      <c r="D2504">
        <v>5</v>
      </c>
      <c r="E2504">
        <v>2</v>
      </c>
      <c r="F2504" s="15">
        <v>46034</v>
      </c>
      <c r="G2504" t="s">
        <v>308</v>
      </c>
      <c r="H2504">
        <v>4</v>
      </c>
      <c r="I2504">
        <v>2026</v>
      </c>
      <c r="J2504">
        <v>1</v>
      </c>
      <c r="K2504" t="s">
        <v>87</v>
      </c>
      <c r="L2504" t="s">
        <v>17</v>
      </c>
      <c r="M2504" t="s">
        <v>6</v>
      </c>
      <c r="N2504" t="b">
        <v>0</v>
      </c>
      <c r="O2504">
        <v>1</v>
      </c>
      <c r="P2504">
        <v>0</v>
      </c>
      <c r="Q2504">
        <v>0</v>
      </c>
      <c r="R2504">
        <v>0</v>
      </c>
    </row>
    <row r="2505" spans="1:18" x14ac:dyDescent="0.25">
      <c r="A2505" t="s">
        <v>52</v>
      </c>
      <c r="B2505" t="s">
        <v>6</v>
      </c>
      <c r="C2505">
        <v>4</v>
      </c>
      <c r="D2505">
        <v>5</v>
      </c>
      <c r="E2505">
        <v>2</v>
      </c>
      <c r="F2505" s="15">
        <v>46034</v>
      </c>
      <c r="G2505" t="s">
        <v>308</v>
      </c>
      <c r="H2505">
        <v>4</v>
      </c>
      <c r="I2505">
        <v>2026</v>
      </c>
      <c r="J2505">
        <v>1</v>
      </c>
      <c r="K2505" t="s">
        <v>87</v>
      </c>
      <c r="L2505" t="s">
        <v>7</v>
      </c>
      <c r="M2505" t="s">
        <v>8</v>
      </c>
      <c r="N2505" t="b">
        <v>0</v>
      </c>
      <c r="O2505">
        <v>0</v>
      </c>
      <c r="P2505">
        <v>1</v>
      </c>
      <c r="Q2505">
        <v>0</v>
      </c>
      <c r="R2505">
        <v>1</v>
      </c>
    </row>
    <row r="2506" spans="1:18" x14ac:dyDescent="0.25">
      <c r="A2506" t="s">
        <v>52</v>
      </c>
      <c r="B2506" t="s">
        <v>6</v>
      </c>
      <c r="C2506">
        <v>4</v>
      </c>
      <c r="D2506">
        <v>5</v>
      </c>
      <c r="E2506">
        <v>2</v>
      </c>
      <c r="F2506" s="15">
        <v>46034</v>
      </c>
      <c r="G2506" t="s">
        <v>308</v>
      </c>
      <c r="H2506">
        <v>4</v>
      </c>
      <c r="I2506">
        <v>2026</v>
      </c>
      <c r="J2506">
        <v>1</v>
      </c>
      <c r="K2506" t="s">
        <v>87</v>
      </c>
      <c r="L2506" t="s">
        <v>433</v>
      </c>
      <c r="M2506" t="s">
        <v>6</v>
      </c>
      <c r="N2506" t="b">
        <v>0</v>
      </c>
      <c r="O2506">
        <v>0</v>
      </c>
      <c r="P2506">
        <v>1</v>
      </c>
      <c r="Q2506">
        <v>0</v>
      </c>
      <c r="R2506">
        <v>0</v>
      </c>
    </row>
    <row r="2507" spans="1:18" x14ac:dyDescent="0.25">
      <c r="A2507" t="s">
        <v>52</v>
      </c>
      <c r="B2507" t="s">
        <v>6</v>
      </c>
      <c r="C2507">
        <v>4</v>
      </c>
      <c r="D2507">
        <v>5</v>
      </c>
      <c r="E2507">
        <v>2</v>
      </c>
      <c r="F2507" s="15">
        <v>46034</v>
      </c>
      <c r="G2507" t="s">
        <v>308</v>
      </c>
      <c r="H2507">
        <v>4</v>
      </c>
      <c r="I2507">
        <v>2026</v>
      </c>
      <c r="J2507">
        <v>1</v>
      </c>
      <c r="K2507" t="s">
        <v>87</v>
      </c>
      <c r="L2507" t="s">
        <v>17</v>
      </c>
      <c r="M2507" t="s">
        <v>6</v>
      </c>
      <c r="N2507" t="b">
        <v>0</v>
      </c>
      <c r="O2507">
        <v>0</v>
      </c>
      <c r="P2507">
        <v>1</v>
      </c>
      <c r="Q2507">
        <v>0</v>
      </c>
      <c r="R2507">
        <v>0</v>
      </c>
    </row>
    <row r="2508" spans="1:18" x14ac:dyDescent="0.25">
      <c r="A2508" t="s">
        <v>433</v>
      </c>
      <c r="B2508" t="s">
        <v>6</v>
      </c>
      <c r="C2508">
        <v>1</v>
      </c>
      <c r="D2508">
        <v>5</v>
      </c>
      <c r="E2508">
        <v>2</v>
      </c>
      <c r="F2508" s="15">
        <v>46034</v>
      </c>
      <c r="G2508" t="s">
        <v>308</v>
      </c>
      <c r="H2508">
        <v>4</v>
      </c>
      <c r="I2508">
        <v>2026</v>
      </c>
      <c r="J2508">
        <v>1</v>
      </c>
      <c r="K2508" t="s">
        <v>87</v>
      </c>
      <c r="L2508" t="s">
        <v>7</v>
      </c>
      <c r="M2508" t="s">
        <v>8</v>
      </c>
      <c r="N2508" t="b">
        <v>0</v>
      </c>
      <c r="O2508">
        <v>0</v>
      </c>
      <c r="P2508">
        <v>1</v>
      </c>
      <c r="Q2508">
        <v>0</v>
      </c>
      <c r="R2508">
        <v>1</v>
      </c>
    </row>
    <row r="2509" spans="1:18" x14ac:dyDescent="0.25">
      <c r="A2509" t="s">
        <v>433</v>
      </c>
      <c r="B2509" t="s">
        <v>6</v>
      </c>
      <c r="C2509">
        <v>1</v>
      </c>
      <c r="D2509">
        <v>5</v>
      </c>
      <c r="E2509">
        <v>2</v>
      </c>
      <c r="F2509" s="15">
        <v>46034</v>
      </c>
      <c r="G2509" t="s">
        <v>308</v>
      </c>
      <c r="H2509">
        <v>4</v>
      </c>
      <c r="I2509">
        <v>2026</v>
      </c>
      <c r="J2509">
        <v>1</v>
      </c>
      <c r="K2509" t="s">
        <v>87</v>
      </c>
      <c r="L2509" t="s">
        <v>52</v>
      </c>
      <c r="M2509" t="s">
        <v>6</v>
      </c>
      <c r="N2509" t="b">
        <v>0</v>
      </c>
      <c r="O2509">
        <v>0</v>
      </c>
      <c r="P2509">
        <v>1</v>
      </c>
      <c r="Q2509">
        <v>0</v>
      </c>
      <c r="R2509">
        <v>0</v>
      </c>
    </row>
    <row r="2510" spans="1:18" x14ac:dyDescent="0.25">
      <c r="A2510" t="s">
        <v>433</v>
      </c>
      <c r="B2510" t="s">
        <v>6</v>
      </c>
      <c r="C2510">
        <v>1</v>
      </c>
      <c r="D2510">
        <v>5</v>
      </c>
      <c r="E2510">
        <v>2</v>
      </c>
      <c r="F2510" s="15">
        <v>46034</v>
      </c>
      <c r="G2510" t="s">
        <v>308</v>
      </c>
      <c r="H2510">
        <v>4</v>
      </c>
      <c r="I2510">
        <v>2026</v>
      </c>
      <c r="J2510">
        <v>1</v>
      </c>
      <c r="K2510" t="s">
        <v>87</v>
      </c>
      <c r="L2510" t="s">
        <v>17</v>
      </c>
      <c r="M2510" t="s">
        <v>6</v>
      </c>
      <c r="N2510" t="b">
        <v>0</v>
      </c>
      <c r="O2510">
        <v>0</v>
      </c>
      <c r="P2510">
        <v>1</v>
      </c>
      <c r="Q2510">
        <v>0</v>
      </c>
      <c r="R2510">
        <v>0</v>
      </c>
    </row>
    <row r="2511" spans="1:18" x14ac:dyDescent="0.25">
      <c r="A2511" t="s">
        <v>17</v>
      </c>
      <c r="B2511" t="s">
        <v>6</v>
      </c>
      <c r="C2511">
        <v>2</v>
      </c>
      <c r="D2511">
        <v>5</v>
      </c>
      <c r="E2511">
        <v>2</v>
      </c>
      <c r="F2511" s="15">
        <v>46034</v>
      </c>
      <c r="G2511" t="s">
        <v>308</v>
      </c>
      <c r="H2511">
        <v>4</v>
      </c>
      <c r="I2511">
        <v>2026</v>
      </c>
      <c r="J2511">
        <v>1</v>
      </c>
      <c r="K2511" t="s">
        <v>87</v>
      </c>
      <c r="L2511" t="s">
        <v>7</v>
      </c>
      <c r="M2511" t="s">
        <v>8</v>
      </c>
      <c r="N2511" t="b">
        <v>0</v>
      </c>
      <c r="O2511">
        <v>0</v>
      </c>
      <c r="P2511">
        <v>1</v>
      </c>
      <c r="Q2511">
        <v>0</v>
      </c>
      <c r="R2511">
        <v>1</v>
      </c>
    </row>
    <row r="2512" spans="1:18" x14ac:dyDescent="0.25">
      <c r="A2512" t="s">
        <v>17</v>
      </c>
      <c r="B2512" t="s">
        <v>6</v>
      </c>
      <c r="C2512">
        <v>2</v>
      </c>
      <c r="D2512">
        <v>5</v>
      </c>
      <c r="E2512">
        <v>2</v>
      </c>
      <c r="F2512" s="15">
        <v>46034</v>
      </c>
      <c r="G2512" t="s">
        <v>308</v>
      </c>
      <c r="H2512">
        <v>4</v>
      </c>
      <c r="I2512">
        <v>2026</v>
      </c>
      <c r="J2512">
        <v>1</v>
      </c>
      <c r="K2512" t="s">
        <v>87</v>
      </c>
      <c r="L2512" t="s">
        <v>52</v>
      </c>
      <c r="M2512" t="s">
        <v>6</v>
      </c>
      <c r="N2512" t="b">
        <v>0</v>
      </c>
      <c r="O2512">
        <v>0</v>
      </c>
      <c r="P2512">
        <v>1</v>
      </c>
      <c r="Q2512">
        <v>0</v>
      </c>
      <c r="R2512">
        <v>0</v>
      </c>
    </row>
    <row r="2513" spans="1:18" x14ac:dyDescent="0.25">
      <c r="A2513" t="s">
        <v>17</v>
      </c>
      <c r="B2513" t="s">
        <v>6</v>
      </c>
      <c r="C2513">
        <v>2</v>
      </c>
      <c r="D2513">
        <v>5</v>
      </c>
      <c r="E2513">
        <v>2</v>
      </c>
      <c r="F2513" s="15">
        <v>46034</v>
      </c>
      <c r="G2513" t="s">
        <v>308</v>
      </c>
      <c r="H2513">
        <v>4</v>
      </c>
      <c r="I2513">
        <v>2026</v>
      </c>
      <c r="J2513">
        <v>1</v>
      </c>
      <c r="K2513" t="s">
        <v>87</v>
      </c>
      <c r="L2513" t="s">
        <v>433</v>
      </c>
      <c r="M2513" t="s">
        <v>6</v>
      </c>
      <c r="N2513" t="b">
        <v>0</v>
      </c>
      <c r="O2513">
        <v>0</v>
      </c>
      <c r="P2513">
        <v>1</v>
      </c>
      <c r="Q2513">
        <v>0</v>
      </c>
      <c r="R2513">
        <v>0</v>
      </c>
    </row>
    <row r="2514" spans="1:18" x14ac:dyDescent="0.25">
      <c r="A2514" t="s">
        <v>7</v>
      </c>
      <c r="B2514" t="s">
        <v>6</v>
      </c>
      <c r="C2514">
        <v>2</v>
      </c>
      <c r="D2514">
        <v>5</v>
      </c>
      <c r="E2514">
        <v>2</v>
      </c>
      <c r="F2514" s="15">
        <v>46041</v>
      </c>
      <c r="G2514" t="s">
        <v>320</v>
      </c>
      <c r="H2514">
        <v>4</v>
      </c>
      <c r="I2514">
        <v>2026</v>
      </c>
      <c r="J2514">
        <v>1</v>
      </c>
      <c r="K2514" t="s">
        <v>87</v>
      </c>
      <c r="L2514" t="s">
        <v>321</v>
      </c>
      <c r="M2514" t="s">
        <v>6</v>
      </c>
      <c r="N2514" t="b">
        <v>0</v>
      </c>
      <c r="O2514">
        <v>0</v>
      </c>
      <c r="P2514">
        <v>1</v>
      </c>
      <c r="Q2514">
        <v>0</v>
      </c>
      <c r="R2514">
        <v>0</v>
      </c>
    </row>
    <row r="2515" spans="1:18" x14ac:dyDescent="0.25">
      <c r="A2515" t="s">
        <v>7</v>
      </c>
      <c r="B2515" t="s">
        <v>6</v>
      </c>
      <c r="C2515">
        <v>2</v>
      </c>
      <c r="D2515">
        <v>5</v>
      </c>
      <c r="E2515">
        <v>2</v>
      </c>
      <c r="F2515" s="15">
        <v>46041</v>
      </c>
      <c r="G2515" t="s">
        <v>320</v>
      </c>
      <c r="H2515">
        <v>4</v>
      </c>
      <c r="I2515">
        <v>2026</v>
      </c>
      <c r="J2515">
        <v>1</v>
      </c>
      <c r="K2515" t="s">
        <v>87</v>
      </c>
      <c r="L2515" t="s">
        <v>11</v>
      </c>
      <c r="M2515" t="s">
        <v>8</v>
      </c>
      <c r="N2515" t="b">
        <v>0</v>
      </c>
      <c r="O2515">
        <v>0</v>
      </c>
      <c r="P2515">
        <v>1</v>
      </c>
      <c r="Q2515">
        <v>0</v>
      </c>
      <c r="R2515">
        <v>1</v>
      </c>
    </row>
    <row r="2516" spans="1:18" x14ac:dyDescent="0.25">
      <c r="A2516" t="s">
        <v>7</v>
      </c>
      <c r="B2516" t="s">
        <v>6</v>
      </c>
      <c r="C2516">
        <v>2</v>
      </c>
      <c r="D2516">
        <v>5</v>
      </c>
      <c r="E2516">
        <v>2</v>
      </c>
      <c r="F2516" s="15">
        <v>46041</v>
      </c>
      <c r="G2516" t="s">
        <v>320</v>
      </c>
      <c r="H2516">
        <v>4</v>
      </c>
      <c r="I2516">
        <v>2026</v>
      </c>
      <c r="J2516">
        <v>1</v>
      </c>
      <c r="K2516" t="s">
        <v>87</v>
      </c>
      <c r="L2516" t="s">
        <v>352</v>
      </c>
      <c r="M2516" t="s">
        <v>6</v>
      </c>
      <c r="N2516" t="b">
        <v>0</v>
      </c>
      <c r="O2516">
        <v>0</v>
      </c>
      <c r="P2516">
        <v>1</v>
      </c>
      <c r="Q2516">
        <v>0</v>
      </c>
      <c r="R2516">
        <v>0</v>
      </c>
    </row>
    <row r="2517" spans="1:18" x14ac:dyDescent="0.25">
      <c r="A2517" t="s">
        <v>321</v>
      </c>
      <c r="B2517" t="s">
        <v>6</v>
      </c>
      <c r="C2517">
        <v>3</v>
      </c>
      <c r="D2517">
        <v>5</v>
      </c>
      <c r="E2517">
        <v>2</v>
      </c>
      <c r="F2517" s="15">
        <v>46041</v>
      </c>
      <c r="G2517" t="s">
        <v>320</v>
      </c>
      <c r="H2517">
        <v>4</v>
      </c>
      <c r="I2517">
        <v>2026</v>
      </c>
      <c r="J2517">
        <v>1</v>
      </c>
      <c r="K2517" t="s">
        <v>87</v>
      </c>
      <c r="L2517" t="s">
        <v>7</v>
      </c>
      <c r="M2517" t="s">
        <v>6</v>
      </c>
      <c r="N2517" t="b">
        <v>0</v>
      </c>
      <c r="O2517">
        <v>0</v>
      </c>
      <c r="P2517">
        <v>1</v>
      </c>
      <c r="Q2517">
        <v>0</v>
      </c>
      <c r="R2517">
        <v>0</v>
      </c>
    </row>
    <row r="2518" spans="1:18" x14ac:dyDescent="0.25">
      <c r="A2518" t="s">
        <v>321</v>
      </c>
      <c r="B2518" t="s">
        <v>6</v>
      </c>
      <c r="C2518">
        <v>3</v>
      </c>
      <c r="D2518">
        <v>5</v>
      </c>
      <c r="E2518">
        <v>2</v>
      </c>
      <c r="F2518" s="15">
        <v>46041</v>
      </c>
      <c r="G2518" t="s">
        <v>320</v>
      </c>
      <c r="H2518">
        <v>4</v>
      </c>
      <c r="I2518">
        <v>2026</v>
      </c>
      <c r="J2518">
        <v>1</v>
      </c>
      <c r="K2518" t="s">
        <v>87</v>
      </c>
      <c r="L2518" t="s">
        <v>11</v>
      </c>
      <c r="M2518" t="s">
        <v>8</v>
      </c>
      <c r="N2518" t="b">
        <v>0</v>
      </c>
      <c r="O2518">
        <v>0</v>
      </c>
      <c r="P2518">
        <v>1</v>
      </c>
      <c r="Q2518">
        <v>0</v>
      </c>
      <c r="R2518">
        <v>1</v>
      </c>
    </row>
    <row r="2519" spans="1:18" x14ac:dyDescent="0.25">
      <c r="A2519" t="s">
        <v>321</v>
      </c>
      <c r="B2519" t="s">
        <v>6</v>
      </c>
      <c r="C2519">
        <v>3</v>
      </c>
      <c r="D2519">
        <v>5</v>
      </c>
      <c r="E2519">
        <v>2</v>
      </c>
      <c r="F2519" s="15">
        <v>46041</v>
      </c>
      <c r="G2519" t="s">
        <v>320</v>
      </c>
      <c r="H2519">
        <v>4</v>
      </c>
      <c r="I2519">
        <v>2026</v>
      </c>
      <c r="J2519">
        <v>1</v>
      </c>
      <c r="K2519" t="s">
        <v>87</v>
      </c>
      <c r="L2519" t="s">
        <v>352</v>
      </c>
      <c r="M2519" t="s">
        <v>6</v>
      </c>
      <c r="N2519" t="b">
        <v>0</v>
      </c>
      <c r="O2519">
        <v>0</v>
      </c>
      <c r="P2519">
        <v>1</v>
      </c>
      <c r="Q2519">
        <v>0</v>
      </c>
      <c r="R2519">
        <v>0</v>
      </c>
    </row>
    <row r="2520" spans="1:18" x14ac:dyDescent="0.25">
      <c r="A2520" t="s">
        <v>11</v>
      </c>
      <c r="B2520" t="s">
        <v>8</v>
      </c>
      <c r="C2520">
        <v>4</v>
      </c>
      <c r="D2520">
        <v>5</v>
      </c>
      <c r="E2520">
        <v>2</v>
      </c>
      <c r="F2520" s="15">
        <v>46041</v>
      </c>
      <c r="G2520" t="s">
        <v>320</v>
      </c>
      <c r="H2520">
        <v>4</v>
      </c>
      <c r="I2520">
        <v>2026</v>
      </c>
      <c r="J2520">
        <v>1</v>
      </c>
      <c r="K2520" t="s">
        <v>87</v>
      </c>
      <c r="L2520" t="s">
        <v>7</v>
      </c>
      <c r="M2520" t="s">
        <v>6</v>
      </c>
      <c r="N2520" t="b">
        <v>0</v>
      </c>
      <c r="O2520">
        <v>1</v>
      </c>
      <c r="P2520">
        <v>0</v>
      </c>
      <c r="Q2520">
        <v>0</v>
      </c>
      <c r="R2520">
        <v>0</v>
      </c>
    </row>
    <row r="2521" spans="1:18" x14ac:dyDescent="0.25">
      <c r="A2521" t="s">
        <v>11</v>
      </c>
      <c r="B2521" t="s">
        <v>8</v>
      </c>
      <c r="C2521">
        <v>4</v>
      </c>
      <c r="D2521">
        <v>5</v>
      </c>
      <c r="E2521">
        <v>2</v>
      </c>
      <c r="F2521" s="15">
        <v>46041</v>
      </c>
      <c r="G2521" t="s">
        <v>320</v>
      </c>
      <c r="H2521">
        <v>4</v>
      </c>
      <c r="I2521">
        <v>2026</v>
      </c>
      <c r="J2521">
        <v>1</v>
      </c>
      <c r="K2521" t="s">
        <v>87</v>
      </c>
      <c r="L2521" t="s">
        <v>321</v>
      </c>
      <c r="M2521" t="s">
        <v>6</v>
      </c>
      <c r="N2521" t="b">
        <v>0</v>
      </c>
      <c r="O2521">
        <v>1</v>
      </c>
      <c r="P2521">
        <v>0</v>
      </c>
      <c r="Q2521">
        <v>0</v>
      </c>
      <c r="R2521">
        <v>0</v>
      </c>
    </row>
    <row r="2522" spans="1:18" x14ac:dyDescent="0.25">
      <c r="A2522" t="s">
        <v>11</v>
      </c>
      <c r="B2522" t="s">
        <v>8</v>
      </c>
      <c r="C2522">
        <v>4</v>
      </c>
      <c r="D2522">
        <v>5</v>
      </c>
      <c r="E2522">
        <v>2</v>
      </c>
      <c r="F2522" s="15">
        <v>46041</v>
      </c>
      <c r="G2522" t="s">
        <v>320</v>
      </c>
      <c r="H2522">
        <v>4</v>
      </c>
      <c r="I2522">
        <v>2026</v>
      </c>
      <c r="J2522">
        <v>1</v>
      </c>
      <c r="K2522" t="s">
        <v>87</v>
      </c>
      <c r="L2522" t="s">
        <v>352</v>
      </c>
      <c r="M2522" t="s">
        <v>6</v>
      </c>
      <c r="N2522" t="b">
        <v>0</v>
      </c>
      <c r="O2522">
        <v>1</v>
      </c>
      <c r="P2522">
        <v>0</v>
      </c>
      <c r="Q2522">
        <v>0</v>
      </c>
      <c r="R2522">
        <v>0</v>
      </c>
    </row>
    <row r="2523" spans="1:18" x14ac:dyDescent="0.25">
      <c r="A2523" t="s">
        <v>352</v>
      </c>
      <c r="B2523" t="s">
        <v>6</v>
      </c>
      <c r="C2523">
        <v>1</v>
      </c>
      <c r="D2523">
        <v>5</v>
      </c>
      <c r="E2523">
        <v>2</v>
      </c>
      <c r="F2523" s="15">
        <v>46041</v>
      </c>
      <c r="G2523" t="s">
        <v>320</v>
      </c>
      <c r="H2523">
        <v>4</v>
      </c>
      <c r="I2523">
        <v>2026</v>
      </c>
      <c r="J2523">
        <v>1</v>
      </c>
      <c r="K2523" t="s">
        <v>87</v>
      </c>
      <c r="L2523" t="s">
        <v>7</v>
      </c>
      <c r="M2523" t="s">
        <v>6</v>
      </c>
      <c r="N2523" t="b">
        <v>0</v>
      </c>
      <c r="O2523">
        <v>0</v>
      </c>
      <c r="P2523">
        <v>1</v>
      </c>
      <c r="Q2523">
        <v>0</v>
      </c>
      <c r="R2523">
        <v>0</v>
      </c>
    </row>
    <row r="2524" spans="1:18" x14ac:dyDescent="0.25">
      <c r="A2524" t="s">
        <v>352</v>
      </c>
      <c r="B2524" t="s">
        <v>6</v>
      </c>
      <c r="C2524">
        <v>1</v>
      </c>
      <c r="D2524">
        <v>5</v>
      </c>
      <c r="E2524">
        <v>2</v>
      </c>
      <c r="F2524" s="15">
        <v>46041</v>
      </c>
      <c r="G2524" t="s">
        <v>320</v>
      </c>
      <c r="H2524">
        <v>4</v>
      </c>
      <c r="I2524">
        <v>2026</v>
      </c>
      <c r="J2524">
        <v>1</v>
      </c>
      <c r="K2524" t="s">
        <v>87</v>
      </c>
      <c r="L2524" t="s">
        <v>321</v>
      </c>
      <c r="M2524" t="s">
        <v>6</v>
      </c>
      <c r="N2524" t="b">
        <v>0</v>
      </c>
      <c r="O2524">
        <v>0</v>
      </c>
      <c r="P2524">
        <v>1</v>
      </c>
      <c r="Q2524">
        <v>0</v>
      </c>
      <c r="R2524">
        <v>0</v>
      </c>
    </row>
    <row r="2525" spans="1:18" x14ac:dyDescent="0.25">
      <c r="A2525" t="s">
        <v>352</v>
      </c>
      <c r="B2525" t="s">
        <v>6</v>
      </c>
      <c r="C2525">
        <v>1</v>
      </c>
      <c r="D2525">
        <v>5</v>
      </c>
      <c r="E2525">
        <v>2</v>
      </c>
      <c r="F2525" s="15">
        <v>46041</v>
      </c>
      <c r="G2525" t="s">
        <v>320</v>
      </c>
      <c r="H2525">
        <v>4</v>
      </c>
      <c r="I2525">
        <v>2026</v>
      </c>
      <c r="J2525">
        <v>1</v>
      </c>
      <c r="K2525" t="s">
        <v>87</v>
      </c>
      <c r="L2525" t="s">
        <v>11</v>
      </c>
      <c r="M2525" t="s">
        <v>8</v>
      </c>
      <c r="N2525" t="b">
        <v>0</v>
      </c>
      <c r="O2525">
        <v>0</v>
      </c>
      <c r="P2525">
        <v>1</v>
      </c>
      <c r="Q2525">
        <v>0</v>
      </c>
      <c r="R2525">
        <v>1</v>
      </c>
    </row>
    <row r="2526" spans="1:18" x14ac:dyDescent="0.25">
      <c r="A2526" t="s">
        <v>7</v>
      </c>
      <c r="B2526" t="s">
        <v>6</v>
      </c>
      <c r="C2526">
        <v>4</v>
      </c>
      <c r="D2526">
        <v>5</v>
      </c>
      <c r="E2526">
        <v>2</v>
      </c>
      <c r="F2526" s="15">
        <v>46048</v>
      </c>
      <c r="G2526" t="s">
        <v>338</v>
      </c>
      <c r="H2526">
        <v>4</v>
      </c>
      <c r="I2526">
        <v>2026</v>
      </c>
      <c r="J2526">
        <v>1</v>
      </c>
      <c r="K2526" t="s">
        <v>87</v>
      </c>
      <c r="L2526" t="s">
        <v>20</v>
      </c>
      <c r="M2526" t="s">
        <v>6</v>
      </c>
      <c r="N2526" t="b">
        <v>0</v>
      </c>
      <c r="O2526">
        <v>0</v>
      </c>
      <c r="P2526">
        <v>1</v>
      </c>
      <c r="Q2526">
        <v>0</v>
      </c>
      <c r="R2526">
        <v>0</v>
      </c>
    </row>
    <row r="2527" spans="1:18" x14ac:dyDescent="0.25">
      <c r="A2527" t="s">
        <v>7</v>
      </c>
      <c r="B2527" t="s">
        <v>6</v>
      </c>
      <c r="C2527">
        <v>4</v>
      </c>
      <c r="D2527">
        <v>5</v>
      </c>
      <c r="E2527">
        <v>2</v>
      </c>
      <c r="F2527" s="15">
        <v>46048</v>
      </c>
      <c r="G2527" t="s">
        <v>338</v>
      </c>
      <c r="H2527">
        <v>4</v>
      </c>
      <c r="I2527">
        <v>2026</v>
      </c>
      <c r="J2527">
        <v>1</v>
      </c>
      <c r="K2527" t="s">
        <v>87</v>
      </c>
      <c r="L2527" t="s">
        <v>9</v>
      </c>
      <c r="M2527" t="s">
        <v>6</v>
      </c>
      <c r="N2527" t="b">
        <v>0</v>
      </c>
      <c r="O2527">
        <v>0</v>
      </c>
      <c r="P2527">
        <v>1</v>
      </c>
      <c r="Q2527">
        <v>0</v>
      </c>
      <c r="R2527">
        <v>0</v>
      </c>
    </row>
    <row r="2528" spans="1:18" x14ac:dyDescent="0.25">
      <c r="A2528" t="s">
        <v>7</v>
      </c>
      <c r="B2528" t="s">
        <v>6</v>
      </c>
      <c r="C2528">
        <v>4</v>
      </c>
      <c r="D2528">
        <v>5</v>
      </c>
      <c r="E2528">
        <v>2</v>
      </c>
      <c r="F2528" s="15">
        <v>46048</v>
      </c>
      <c r="G2528" t="s">
        <v>338</v>
      </c>
      <c r="H2528">
        <v>4</v>
      </c>
      <c r="I2528">
        <v>2026</v>
      </c>
      <c r="J2528">
        <v>1</v>
      </c>
      <c r="K2528" t="s">
        <v>87</v>
      </c>
      <c r="L2528" t="s">
        <v>17</v>
      </c>
      <c r="M2528" t="s">
        <v>8</v>
      </c>
      <c r="N2528" t="b">
        <v>0</v>
      </c>
      <c r="O2528">
        <v>0</v>
      </c>
      <c r="P2528">
        <v>1</v>
      </c>
      <c r="Q2528">
        <v>0</v>
      </c>
      <c r="R2528">
        <v>1</v>
      </c>
    </row>
    <row r="2529" spans="1:18" x14ac:dyDescent="0.25">
      <c r="A2529" t="s">
        <v>20</v>
      </c>
      <c r="B2529" t="s">
        <v>6</v>
      </c>
      <c r="C2529">
        <v>1</v>
      </c>
      <c r="D2529">
        <v>5</v>
      </c>
      <c r="E2529">
        <v>2</v>
      </c>
      <c r="F2529" s="15">
        <v>46048</v>
      </c>
      <c r="G2529" t="s">
        <v>338</v>
      </c>
      <c r="H2529">
        <v>4</v>
      </c>
      <c r="I2529">
        <v>2026</v>
      </c>
      <c r="J2529">
        <v>1</v>
      </c>
      <c r="K2529" t="s">
        <v>87</v>
      </c>
      <c r="L2529" t="s">
        <v>7</v>
      </c>
      <c r="M2529" t="s">
        <v>6</v>
      </c>
      <c r="N2529" t="b">
        <v>0</v>
      </c>
      <c r="O2529">
        <v>0</v>
      </c>
      <c r="P2529">
        <v>1</v>
      </c>
      <c r="Q2529">
        <v>0</v>
      </c>
      <c r="R2529">
        <v>0</v>
      </c>
    </row>
    <row r="2530" spans="1:18" x14ac:dyDescent="0.25">
      <c r="A2530" t="s">
        <v>20</v>
      </c>
      <c r="B2530" t="s">
        <v>6</v>
      </c>
      <c r="C2530">
        <v>1</v>
      </c>
      <c r="D2530">
        <v>5</v>
      </c>
      <c r="E2530">
        <v>2</v>
      </c>
      <c r="F2530" s="15">
        <v>46048</v>
      </c>
      <c r="G2530" t="s">
        <v>338</v>
      </c>
      <c r="H2530">
        <v>4</v>
      </c>
      <c r="I2530">
        <v>2026</v>
      </c>
      <c r="J2530">
        <v>1</v>
      </c>
      <c r="K2530" t="s">
        <v>87</v>
      </c>
      <c r="L2530" t="s">
        <v>9</v>
      </c>
      <c r="M2530" t="s">
        <v>6</v>
      </c>
      <c r="N2530" t="b">
        <v>0</v>
      </c>
      <c r="O2530">
        <v>0</v>
      </c>
      <c r="P2530">
        <v>1</v>
      </c>
      <c r="Q2530">
        <v>0</v>
      </c>
      <c r="R2530">
        <v>0</v>
      </c>
    </row>
    <row r="2531" spans="1:18" x14ac:dyDescent="0.25">
      <c r="A2531" t="s">
        <v>20</v>
      </c>
      <c r="B2531" t="s">
        <v>6</v>
      </c>
      <c r="C2531">
        <v>1</v>
      </c>
      <c r="D2531">
        <v>5</v>
      </c>
      <c r="E2531">
        <v>2</v>
      </c>
      <c r="F2531" s="15">
        <v>46048</v>
      </c>
      <c r="G2531" t="s">
        <v>338</v>
      </c>
      <c r="H2531">
        <v>4</v>
      </c>
      <c r="I2531">
        <v>2026</v>
      </c>
      <c r="J2531">
        <v>1</v>
      </c>
      <c r="K2531" t="s">
        <v>87</v>
      </c>
      <c r="L2531" t="s">
        <v>17</v>
      </c>
      <c r="M2531" t="s">
        <v>8</v>
      </c>
      <c r="N2531" t="b">
        <v>0</v>
      </c>
      <c r="O2531">
        <v>0</v>
      </c>
      <c r="P2531">
        <v>1</v>
      </c>
      <c r="Q2531">
        <v>0</v>
      </c>
      <c r="R2531">
        <v>1</v>
      </c>
    </row>
    <row r="2532" spans="1:18" x14ac:dyDescent="0.25">
      <c r="A2532" t="s">
        <v>9</v>
      </c>
      <c r="B2532" t="s">
        <v>6</v>
      </c>
      <c r="C2532">
        <v>3</v>
      </c>
      <c r="D2532">
        <v>5</v>
      </c>
      <c r="E2532">
        <v>2</v>
      </c>
      <c r="F2532" s="15">
        <v>46048</v>
      </c>
      <c r="G2532" t="s">
        <v>338</v>
      </c>
      <c r="H2532">
        <v>4</v>
      </c>
      <c r="I2532">
        <v>2026</v>
      </c>
      <c r="J2532">
        <v>1</v>
      </c>
      <c r="K2532" t="s">
        <v>87</v>
      </c>
      <c r="L2532" t="s">
        <v>7</v>
      </c>
      <c r="M2532" t="s">
        <v>6</v>
      </c>
      <c r="N2532" t="b">
        <v>0</v>
      </c>
      <c r="O2532">
        <v>0</v>
      </c>
      <c r="P2532">
        <v>1</v>
      </c>
      <c r="Q2532">
        <v>0</v>
      </c>
      <c r="R2532">
        <v>0</v>
      </c>
    </row>
    <row r="2533" spans="1:18" x14ac:dyDescent="0.25">
      <c r="A2533" t="s">
        <v>9</v>
      </c>
      <c r="B2533" t="s">
        <v>6</v>
      </c>
      <c r="C2533">
        <v>3</v>
      </c>
      <c r="D2533">
        <v>5</v>
      </c>
      <c r="E2533">
        <v>2</v>
      </c>
      <c r="F2533" s="15">
        <v>46048</v>
      </c>
      <c r="G2533" t="s">
        <v>338</v>
      </c>
      <c r="H2533">
        <v>4</v>
      </c>
      <c r="I2533">
        <v>2026</v>
      </c>
      <c r="J2533">
        <v>1</v>
      </c>
      <c r="K2533" t="s">
        <v>87</v>
      </c>
      <c r="L2533" t="s">
        <v>20</v>
      </c>
      <c r="M2533" t="s">
        <v>6</v>
      </c>
      <c r="N2533" t="b">
        <v>0</v>
      </c>
      <c r="O2533">
        <v>0</v>
      </c>
      <c r="P2533">
        <v>1</v>
      </c>
      <c r="Q2533">
        <v>0</v>
      </c>
      <c r="R2533">
        <v>0</v>
      </c>
    </row>
    <row r="2534" spans="1:18" x14ac:dyDescent="0.25">
      <c r="A2534" t="s">
        <v>9</v>
      </c>
      <c r="B2534" t="s">
        <v>6</v>
      </c>
      <c r="C2534">
        <v>3</v>
      </c>
      <c r="D2534">
        <v>5</v>
      </c>
      <c r="E2534">
        <v>2</v>
      </c>
      <c r="F2534" s="15">
        <v>46048</v>
      </c>
      <c r="G2534" t="s">
        <v>338</v>
      </c>
      <c r="H2534">
        <v>4</v>
      </c>
      <c r="I2534">
        <v>2026</v>
      </c>
      <c r="J2534">
        <v>1</v>
      </c>
      <c r="K2534" t="s">
        <v>87</v>
      </c>
      <c r="L2534" t="s">
        <v>17</v>
      </c>
      <c r="M2534" t="s">
        <v>8</v>
      </c>
      <c r="N2534" t="b">
        <v>0</v>
      </c>
      <c r="O2534">
        <v>0</v>
      </c>
      <c r="P2534">
        <v>1</v>
      </c>
      <c r="Q2534">
        <v>0</v>
      </c>
      <c r="R2534">
        <v>1</v>
      </c>
    </row>
    <row r="2535" spans="1:18" x14ac:dyDescent="0.25">
      <c r="A2535" t="s">
        <v>17</v>
      </c>
      <c r="B2535" t="s">
        <v>8</v>
      </c>
      <c r="C2535">
        <v>2</v>
      </c>
      <c r="D2535">
        <v>5</v>
      </c>
      <c r="E2535">
        <v>2</v>
      </c>
      <c r="F2535" s="15">
        <v>46048</v>
      </c>
      <c r="G2535" t="s">
        <v>338</v>
      </c>
      <c r="H2535">
        <v>4</v>
      </c>
      <c r="I2535">
        <v>2026</v>
      </c>
      <c r="J2535">
        <v>1</v>
      </c>
      <c r="K2535" t="s">
        <v>87</v>
      </c>
      <c r="L2535" t="s">
        <v>7</v>
      </c>
      <c r="M2535" t="s">
        <v>6</v>
      </c>
      <c r="N2535" t="b">
        <v>0</v>
      </c>
      <c r="O2535">
        <v>1</v>
      </c>
      <c r="P2535">
        <v>0</v>
      </c>
      <c r="Q2535">
        <v>0</v>
      </c>
      <c r="R2535">
        <v>0</v>
      </c>
    </row>
    <row r="2536" spans="1:18" x14ac:dyDescent="0.25">
      <c r="A2536" t="s">
        <v>17</v>
      </c>
      <c r="B2536" t="s">
        <v>8</v>
      </c>
      <c r="C2536">
        <v>2</v>
      </c>
      <c r="D2536">
        <v>5</v>
      </c>
      <c r="E2536">
        <v>2</v>
      </c>
      <c r="F2536" s="15">
        <v>46048</v>
      </c>
      <c r="G2536" t="s">
        <v>338</v>
      </c>
      <c r="H2536">
        <v>4</v>
      </c>
      <c r="I2536">
        <v>2026</v>
      </c>
      <c r="J2536">
        <v>1</v>
      </c>
      <c r="K2536" t="s">
        <v>87</v>
      </c>
      <c r="L2536" t="s">
        <v>20</v>
      </c>
      <c r="M2536" t="s">
        <v>6</v>
      </c>
      <c r="N2536" t="b">
        <v>0</v>
      </c>
      <c r="O2536">
        <v>1</v>
      </c>
      <c r="P2536">
        <v>0</v>
      </c>
      <c r="Q2536">
        <v>0</v>
      </c>
      <c r="R2536">
        <v>0</v>
      </c>
    </row>
    <row r="2537" spans="1:18" x14ac:dyDescent="0.25">
      <c r="A2537" t="s">
        <v>17</v>
      </c>
      <c r="B2537" t="s">
        <v>8</v>
      </c>
      <c r="C2537">
        <v>2</v>
      </c>
      <c r="D2537">
        <v>5</v>
      </c>
      <c r="E2537">
        <v>2</v>
      </c>
      <c r="F2537" s="15">
        <v>46048</v>
      </c>
      <c r="G2537" t="s">
        <v>338</v>
      </c>
      <c r="H2537">
        <v>4</v>
      </c>
      <c r="I2537">
        <v>2026</v>
      </c>
      <c r="J2537">
        <v>1</v>
      </c>
      <c r="K2537" t="s">
        <v>87</v>
      </c>
      <c r="L2537" t="s">
        <v>9</v>
      </c>
      <c r="M2537" t="s">
        <v>6</v>
      </c>
      <c r="N2537" t="b">
        <v>0</v>
      </c>
      <c r="O2537">
        <v>1</v>
      </c>
      <c r="P2537">
        <v>0</v>
      </c>
      <c r="Q2537">
        <v>0</v>
      </c>
      <c r="R2537">
        <v>0</v>
      </c>
    </row>
    <row r="2538" spans="1:18" x14ac:dyDescent="0.25">
      <c r="A2538" t="s">
        <v>20</v>
      </c>
      <c r="B2538" t="s">
        <v>6</v>
      </c>
      <c r="C2538">
        <v>2</v>
      </c>
      <c r="D2538">
        <v>1</v>
      </c>
      <c r="E2538">
        <v>1</v>
      </c>
      <c r="F2538" s="15">
        <v>45992</v>
      </c>
      <c r="G2538" t="s">
        <v>112</v>
      </c>
      <c r="H2538">
        <v>4</v>
      </c>
      <c r="I2538">
        <v>2025</v>
      </c>
      <c r="J2538">
        <v>12</v>
      </c>
      <c r="K2538" t="s">
        <v>87</v>
      </c>
      <c r="L2538" t="s">
        <v>57</v>
      </c>
      <c r="M2538" t="s">
        <v>6</v>
      </c>
      <c r="N2538" t="b">
        <v>0</v>
      </c>
      <c r="O2538">
        <v>0</v>
      </c>
      <c r="P2538">
        <v>1</v>
      </c>
      <c r="Q2538">
        <v>0</v>
      </c>
      <c r="R2538">
        <v>0</v>
      </c>
    </row>
    <row r="2539" spans="1:18" x14ac:dyDescent="0.25">
      <c r="A2539" t="s">
        <v>20</v>
      </c>
      <c r="B2539" t="s">
        <v>6</v>
      </c>
      <c r="C2539">
        <v>2</v>
      </c>
      <c r="D2539">
        <v>1</v>
      </c>
      <c r="E2539">
        <v>1</v>
      </c>
      <c r="F2539" s="15">
        <v>45992</v>
      </c>
      <c r="G2539" t="s">
        <v>112</v>
      </c>
      <c r="H2539">
        <v>4</v>
      </c>
      <c r="I2539">
        <v>2025</v>
      </c>
      <c r="J2539">
        <v>12</v>
      </c>
      <c r="K2539" t="s">
        <v>87</v>
      </c>
      <c r="L2539" t="s">
        <v>11</v>
      </c>
      <c r="M2539" t="s">
        <v>6</v>
      </c>
      <c r="N2539" t="b">
        <v>0</v>
      </c>
      <c r="O2539">
        <v>0</v>
      </c>
      <c r="P2539">
        <v>1</v>
      </c>
      <c r="Q2539">
        <v>0</v>
      </c>
      <c r="R2539">
        <v>0</v>
      </c>
    </row>
    <row r="2540" spans="1:18" x14ac:dyDescent="0.25">
      <c r="A2540" t="s">
        <v>20</v>
      </c>
      <c r="B2540" t="s">
        <v>6</v>
      </c>
      <c r="C2540">
        <v>2</v>
      </c>
      <c r="D2540">
        <v>1</v>
      </c>
      <c r="E2540">
        <v>1</v>
      </c>
      <c r="F2540" s="15">
        <v>45992</v>
      </c>
      <c r="G2540" t="s">
        <v>112</v>
      </c>
      <c r="H2540">
        <v>4</v>
      </c>
      <c r="I2540">
        <v>2025</v>
      </c>
      <c r="J2540">
        <v>12</v>
      </c>
      <c r="K2540" t="s">
        <v>87</v>
      </c>
      <c r="L2540" t="s">
        <v>9</v>
      </c>
      <c r="M2540" t="s">
        <v>8</v>
      </c>
      <c r="N2540" t="b">
        <v>0</v>
      </c>
      <c r="O2540">
        <v>0</v>
      </c>
      <c r="P2540">
        <v>1</v>
      </c>
      <c r="Q2540">
        <v>0</v>
      </c>
      <c r="R2540">
        <v>1</v>
      </c>
    </row>
    <row r="2541" spans="1:18" x14ac:dyDescent="0.25">
      <c r="A2541" t="s">
        <v>57</v>
      </c>
      <c r="B2541" t="s">
        <v>6</v>
      </c>
      <c r="C2541">
        <v>4</v>
      </c>
      <c r="D2541">
        <v>1</v>
      </c>
      <c r="E2541">
        <v>1</v>
      </c>
      <c r="F2541" s="15">
        <v>45992</v>
      </c>
      <c r="G2541" t="s">
        <v>112</v>
      </c>
      <c r="H2541">
        <v>4</v>
      </c>
      <c r="I2541">
        <v>2025</v>
      </c>
      <c r="J2541">
        <v>12</v>
      </c>
      <c r="K2541" t="s">
        <v>87</v>
      </c>
      <c r="L2541" t="s">
        <v>20</v>
      </c>
      <c r="M2541" t="s">
        <v>6</v>
      </c>
      <c r="N2541" t="b">
        <v>0</v>
      </c>
      <c r="O2541">
        <v>0</v>
      </c>
      <c r="P2541">
        <v>1</v>
      </c>
      <c r="Q2541">
        <v>0</v>
      </c>
      <c r="R2541">
        <v>0</v>
      </c>
    </row>
    <row r="2542" spans="1:18" x14ac:dyDescent="0.25">
      <c r="A2542" t="s">
        <v>57</v>
      </c>
      <c r="B2542" t="s">
        <v>6</v>
      </c>
      <c r="C2542">
        <v>4</v>
      </c>
      <c r="D2542">
        <v>1</v>
      </c>
      <c r="E2542">
        <v>1</v>
      </c>
      <c r="F2542" s="15">
        <v>45992</v>
      </c>
      <c r="G2542" t="s">
        <v>112</v>
      </c>
      <c r="H2542">
        <v>4</v>
      </c>
      <c r="I2542">
        <v>2025</v>
      </c>
      <c r="J2542">
        <v>12</v>
      </c>
      <c r="K2542" t="s">
        <v>87</v>
      </c>
      <c r="L2542" t="s">
        <v>11</v>
      </c>
      <c r="M2542" t="s">
        <v>6</v>
      </c>
      <c r="N2542" t="b">
        <v>0</v>
      </c>
      <c r="O2542">
        <v>0</v>
      </c>
      <c r="P2542">
        <v>1</v>
      </c>
      <c r="Q2542">
        <v>0</v>
      </c>
      <c r="R2542">
        <v>0</v>
      </c>
    </row>
    <row r="2543" spans="1:18" x14ac:dyDescent="0.25">
      <c r="A2543" t="s">
        <v>57</v>
      </c>
      <c r="B2543" t="s">
        <v>6</v>
      </c>
      <c r="C2543">
        <v>4</v>
      </c>
      <c r="D2543">
        <v>1</v>
      </c>
      <c r="E2543">
        <v>1</v>
      </c>
      <c r="F2543" s="15">
        <v>45992</v>
      </c>
      <c r="G2543" t="s">
        <v>112</v>
      </c>
      <c r="H2543">
        <v>4</v>
      </c>
      <c r="I2543">
        <v>2025</v>
      </c>
      <c r="J2543">
        <v>12</v>
      </c>
      <c r="K2543" t="s">
        <v>87</v>
      </c>
      <c r="L2543" t="s">
        <v>9</v>
      </c>
      <c r="M2543" t="s">
        <v>8</v>
      </c>
      <c r="N2543" t="b">
        <v>0</v>
      </c>
      <c r="O2543">
        <v>0</v>
      </c>
      <c r="P2543">
        <v>1</v>
      </c>
      <c r="Q2543">
        <v>0</v>
      </c>
      <c r="R2543">
        <v>1</v>
      </c>
    </row>
    <row r="2544" spans="1:18" x14ac:dyDescent="0.25">
      <c r="A2544" t="s">
        <v>11</v>
      </c>
      <c r="B2544" t="s">
        <v>6</v>
      </c>
      <c r="C2544">
        <v>1</v>
      </c>
      <c r="D2544">
        <v>1</v>
      </c>
      <c r="E2544">
        <v>1</v>
      </c>
      <c r="F2544" s="15">
        <v>45992</v>
      </c>
      <c r="G2544" t="s">
        <v>112</v>
      </c>
      <c r="H2544">
        <v>4</v>
      </c>
      <c r="I2544">
        <v>2025</v>
      </c>
      <c r="J2544">
        <v>12</v>
      </c>
      <c r="K2544" t="s">
        <v>87</v>
      </c>
      <c r="L2544" t="s">
        <v>20</v>
      </c>
      <c r="M2544" t="s">
        <v>6</v>
      </c>
      <c r="N2544" t="b">
        <v>0</v>
      </c>
      <c r="O2544">
        <v>0</v>
      </c>
      <c r="P2544">
        <v>1</v>
      </c>
      <c r="Q2544">
        <v>0</v>
      </c>
      <c r="R2544">
        <v>0</v>
      </c>
    </row>
    <row r="2545" spans="1:18" x14ac:dyDescent="0.25">
      <c r="A2545" t="s">
        <v>11</v>
      </c>
      <c r="B2545" t="s">
        <v>6</v>
      </c>
      <c r="C2545">
        <v>1</v>
      </c>
      <c r="D2545">
        <v>1</v>
      </c>
      <c r="E2545">
        <v>1</v>
      </c>
      <c r="F2545" s="15">
        <v>45992</v>
      </c>
      <c r="G2545" t="s">
        <v>112</v>
      </c>
      <c r="H2545">
        <v>4</v>
      </c>
      <c r="I2545">
        <v>2025</v>
      </c>
      <c r="J2545">
        <v>12</v>
      </c>
      <c r="K2545" t="s">
        <v>87</v>
      </c>
      <c r="L2545" t="s">
        <v>57</v>
      </c>
      <c r="M2545" t="s">
        <v>6</v>
      </c>
      <c r="N2545" t="b">
        <v>0</v>
      </c>
      <c r="O2545">
        <v>0</v>
      </c>
      <c r="P2545">
        <v>1</v>
      </c>
      <c r="Q2545">
        <v>0</v>
      </c>
      <c r="R2545">
        <v>0</v>
      </c>
    </row>
    <row r="2546" spans="1:18" x14ac:dyDescent="0.25">
      <c r="A2546" t="s">
        <v>11</v>
      </c>
      <c r="B2546" t="s">
        <v>6</v>
      </c>
      <c r="C2546">
        <v>1</v>
      </c>
      <c r="D2546">
        <v>1</v>
      </c>
      <c r="E2546">
        <v>1</v>
      </c>
      <c r="F2546" s="15">
        <v>45992</v>
      </c>
      <c r="G2546" t="s">
        <v>112</v>
      </c>
      <c r="H2546">
        <v>4</v>
      </c>
      <c r="I2546">
        <v>2025</v>
      </c>
      <c r="J2546">
        <v>12</v>
      </c>
      <c r="K2546" t="s">
        <v>87</v>
      </c>
      <c r="L2546" t="s">
        <v>9</v>
      </c>
      <c r="M2546" t="s">
        <v>8</v>
      </c>
      <c r="N2546" t="b">
        <v>0</v>
      </c>
      <c r="O2546">
        <v>0</v>
      </c>
      <c r="P2546">
        <v>1</v>
      </c>
      <c r="Q2546">
        <v>0</v>
      </c>
      <c r="R2546">
        <v>1</v>
      </c>
    </row>
    <row r="2547" spans="1:18" x14ac:dyDescent="0.25">
      <c r="A2547" t="s">
        <v>9</v>
      </c>
      <c r="B2547" t="s">
        <v>8</v>
      </c>
      <c r="C2547">
        <v>3</v>
      </c>
      <c r="D2547">
        <v>1</v>
      </c>
      <c r="E2547">
        <v>1</v>
      </c>
      <c r="F2547" s="15">
        <v>45992</v>
      </c>
      <c r="G2547" t="s">
        <v>112</v>
      </c>
      <c r="H2547">
        <v>4</v>
      </c>
      <c r="I2547">
        <v>2025</v>
      </c>
      <c r="J2547">
        <v>12</v>
      </c>
      <c r="K2547" t="s">
        <v>87</v>
      </c>
      <c r="L2547" t="s">
        <v>20</v>
      </c>
      <c r="M2547" t="s">
        <v>6</v>
      </c>
      <c r="N2547" t="b">
        <v>0</v>
      </c>
      <c r="O2547">
        <v>1</v>
      </c>
      <c r="P2547">
        <v>0</v>
      </c>
      <c r="Q2547">
        <v>0</v>
      </c>
      <c r="R2547">
        <v>0</v>
      </c>
    </row>
    <row r="2548" spans="1:18" x14ac:dyDescent="0.25">
      <c r="A2548" t="s">
        <v>9</v>
      </c>
      <c r="B2548" t="s">
        <v>8</v>
      </c>
      <c r="C2548">
        <v>3</v>
      </c>
      <c r="D2548">
        <v>1</v>
      </c>
      <c r="E2548">
        <v>1</v>
      </c>
      <c r="F2548" s="15">
        <v>45992</v>
      </c>
      <c r="G2548" t="s">
        <v>112</v>
      </c>
      <c r="H2548">
        <v>4</v>
      </c>
      <c r="I2548">
        <v>2025</v>
      </c>
      <c r="J2548">
        <v>12</v>
      </c>
      <c r="K2548" t="s">
        <v>87</v>
      </c>
      <c r="L2548" t="s">
        <v>57</v>
      </c>
      <c r="M2548" t="s">
        <v>6</v>
      </c>
      <c r="N2548" t="b">
        <v>0</v>
      </c>
      <c r="O2548">
        <v>1</v>
      </c>
      <c r="P2548">
        <v>0</v>
      </c>
      <c r="Q2548">
        <v>0</v>
      </c>
      <c r="R2548">
        <v>0</v>
      </c>
    </row>
    <row r="2549" spans="1:18" x14ac:dyDescent="0.25">
      <c r="A2549" t="s">
        <v>9</v>
      </c>
      <c r="B2549" t="s">
        <v>8</v>
      </c>
      <c r="C2549">
        <v>3</v>
      </c>
      <c r="D2549">
        <v>1</v>
      </c>
      <c r="E2549">
        <v>1</v>
      </c>
      <c r="F2549" s="15">
        <v>45992</v>
      </c>
      <c r="G2549" t="s">
        <v>112</v>
      </c>
      <c r="H2549">
        <v>4</v>
      </c>
      <c r="I2549">
        <v>2025</v>
      </c>
      <c r="J2549">
        <v>12</v>
      </c>
      <c r="K2549" t="s">
        <v>87</v>
      </c>
      <c r="L2549" t="s">
        <v>11</v>
      </c>
      <c r="M2549" t="s">
        <v>6</v>
      </c>
      <c r="N2549" t="b">
        <v>0</v>
      </c>
      <c r="O2549">
        <v>1</v>
      </c>
      <c r="P2549">
        <v>0</v>
      </c>
      <c r="Q2549">
        <v>0</v>
      </c>
      <c r="R2549">
        <v>0</v>
      </c>
    </row>
    <row r="2550" spans="1:18" x14ac:dyDescent="0.25">
      <c r="A2550" t="s">
        <v>20</v>
      </c>
      <c r="B2550" t="s">
        <v>6</v>
      </c>
      <c r="C2550">
        <v>3</v>
      </c>
      <c r="D2550">
        <v>4</v>
      </c>
      <c r="E2550">
        <v>1</v>
      </c>
      <c r="F2550" s="15">
        <v>45873</v>
      </c>
      <c r="G2550" t="s">
        <v>239</v>
      </c>
      <c r="H2550">
        <v>3</v>
      </c>
      <c r="I2550">
        <v>2025</v>
      </c>
      <c r="J2550">
        <v>8</v>
      </c>
      <c r="K2550" t="s">
        <v>87</v>
      </c>
      <c r="L2550" t="s">
        <v>41</v>
      </c>
      <c r="M2550" t="s">
        <v>6</v>
      </c>
      <c r="N2550" t="b">
        <v>0</v>
      </c>
      <c r="O2550">
        <v>0</v>
      </c>
      <c r="P2550">
        <v>1</v>
      </c>
      <c r="Q2550">
        <v>0</v>
      </c>
      <c r="R2550">
        <v>0</v>
      </c>
    </row>
    <row r="2551" spans="1:18" x14ac:dyDescent="0.25">
      <c r="A2551" t="s">
        <v>20</v>
      </c>
      <c r="B2551" t="s">
        <v>6</v>
      </c>
      <c r="C2551">
        <v>3</v>
      </c>
      <c r="D2551">
        <v>4</v>
      </c>
      <c r="E2551">
        <v>1</v>
      </c>
      <c r="F2551" s="15">
        <v>45873</v>
      </c>
      <c r="G2551" t="s">
        <v>239</v>
      </c>
      <c r="H2551">
        <v>3</v>
      </c>
      <c r="I2551">
        <v>2025</v>
      </c>
      <c r="J2551">
        <v>8</v>
      </c>
      <c r="K2551" t="s">
        <v>87</v>
      </c>
      <c r="L2551" t="s">
        <v>15</v>
      </c>
      <c r="M2551" t="s">
        <v>8</v>
      </c>
      <c r="N2551" t="b">
        <v>0</v>
      </c>
      <c r="O2551">
        <v>0</v>
      </c>
      <c r="P2551">
        <v>1</v>
      </c>
      <c r="Q2551">
        <v>0</v>
      </c>
      <c r="R2551">
        <v>1</v>
      </c>
    </row>
    <row r="2552" spans="1:18" x14ac:dyDescent="0.25">
      <c r="A2552" t="s">
        <v>41</v>
      </c>
      <c r="B2552" t="s">
        <v>6</v>
      </c>
      <c r="C2552">
        <v>2</v>
      </c>
      <c r="D2552">
        <v>4</v>
      </c>
      <c r="E2552">
        <v>1</v>
      </c>
      <c r="F2552" s="15">
        <v>45873</v>
      </c>
      <c r="G2552" t="s">
        <v>239</v>
      </c>
      <c r="H2552">
        <v>3</v>
      </c>
      <c r="I2552">
        <v>2025</v>
      </c>
      <c r="J2552">
        <v>8</v>
      </c>
      <c r="K2552" t="s">
        <v>87</v>
      </c>
      <c r="L2552" t="s">
        <v>20</v>
      </c>
      <c r="M2552" t="s">
        <v>6</v>
      </c>
      <c r="N2552" t="b">
        <v>0</v>
      </c>
      <c r="O2552">
        <v>0</v>
      </c>
      <c r="P2552">
        <v>1</v>
      </c>
      <c r="Q2552">
        <v>0</v>
      </c>
      <c r="R2552">
        <v>0</v>
      </c>
    </row>
    <row r="2553" spans="1:18" x14ac:dyDescent="0.25">
      <c r="A2553" t="s">
        <v>41</v>
      </c>
      <c r="B2553" t="s">
        <v>6</v>
      </c>
      <c r="C2553">
        <v>2</v>
      </c>
      <c r="D2553">
        <v>4</v>
      </c>
      <c r="E2553">
        <v>1</v>
      </c>
      <c r="F2553" s="15">
        <v>45873</v>
      </c>
      <c r="G2553" t="s">
        <v>239</v>
      </c>
      <c r="H2553">
        <v>3</v>
      </c>
      <c r="I2553">
        <v>2025</v>
      </c>
      <c r="J2553">
        <v>8</v>
      </c>
      <c r="K2553" t="s">
        <v>87</v>
      </c>
      <c r="L2553" t="s">
        <v>15</v>
      </c>
      <c r="M2553" t="s">
        <v>8</v>
      </c>
      <c r="N2553" t="b">
        <v>0</v>
      </c>
      <c r="O2553">
        <v>0</v>
      </c>
      <c r="P2553">
        <v>1</v>
      </c>
      <c r="Q2553">
        <v>0</v>
      </c>
      <c r="R2553">
        <v>1</v>
      </c>
    </row>
    <row r="2554" spans="1:18" x14ac:dyDescent="0.25">
      <c r="A2554" t="s">
        <v>15</v>
      </c>
      <c r="B2554" t="s">
        <v>8</v>
      </c>
      <c r="C2554">
        <v>1</v>
      </c>
      <c r="D2554">
        <v>4</v>
      </c>
      <c r="E2554">
        <v>1</v>
      </c>
      <c r="F2554" s="15">
        <v>45873</v>
      </c>
      <c r="G2554" t="s">
        <v>239</v>
      </c>
      <c r="H2554">
        <v>3</v>
      </c>
      <c r="I2554">
        <v>2025</v>
      </c>
      <c r="J2554">
        <v>8</v>
      </c>
      <c r="K2554" t="s">
        <v>87</v>
      </c>
      <c r="L2554" t="s">
        <v>20</v>
      </c>
      <c r="M2554" t="s">
        <v>6</v>
      </c>
      <c r="N2554" t="b">
        <v>0</v>
      </c>
      <c r="O2554">
        <v>1</v>
      </c>
      <c r="P2554">
        <v>0</v>
      </c>
      <c r="Q2554">
        <v>0</v>
      </c>
      <c r="R2554">
        <v>0</v>
      </c>
    </row>
    <row r="2555" spans="1:18" x14ac:dyDescent="0.25">
      <c r="A2555" t="s">
        <v>15</v>
      </c>
      <c r="B2555" t="s">
        <v>8</v>
      </c>
      <c r="C2555">
        <v>1</v>
      </c>
      <c r="D2555">
        <v>4</v>
      </c>
      <c r="E2555">
        <v>1</v>
      </c>
      <c r="F2555" s="15">
        <v>45873</v>
      </c>
      <c r="G2555" t="s">
        <v>239</v>
      </c>
      <c r="H2555">
        <v>3</v>
      </c>
      <c r="I2555">
        <v>2025</v>
      </c>
      <c r="J2555">
        <v>8</v>
      </c>
      <c r="K2555" t="s">
        <v>87</v>
      </c>
      <c r="L2555" t="s">
        <v>41</v>
      </c>
      <c r="M2555" t="s">
        <v>6</v>
      </c>
      <c r="N2555" t="b">
        <v>0</v>
      </c>
      <c r="O2555">
        <v>1</v>
      </c>
      <c r="P2555">
        <v>0</v>
      </c>
      <c r="Q2555">
        <v>0</v>
      </c>
      <c r="R2555">
        <v>0</v>
      </c>
    </row>
    <row r="2556" spans="1:18" x14ac:dyDescent="0.25">
      <c r="A2556" t="s">
        <v>20</v>
      </c>
      <c r="B2556" t="s">
        <v>6</v>
      </c>
      <c r="C2556">
        <v>3</v>
      </c>
      <c r="D2556">
        <v>4</v>
      </c>
      <c r="E2556">
        <v>2</v>
      </c>
      <c r="F2556" s="15">
        <v>45957</v>
      </c>
      <c r="G2556" t="s">
        <v>268</v>
      </c>
      <c r="H2556">
        <v>5</v>
      </c>
      <c r="I2556">
        <v>2025</v>
      </c>
      <c r="J2556">
        <v>10</v>
      </c>
      <c r="K2556" t="s">
        <v>87</v>
      </c>
      <c r="L2556" t="s">
        <v>321</v>
      </c>
      <c r="M2556" t="s">
        <v>8</v>
      </c>
      <c r="N2556" t="b">
        <v>0</v>
      </c>
      <c r="O2556">
        <v>0</v>
      </c>
      <c r="P2556">
        <v>1</v>
      </c>
      <c r="Q2556">
        <v>0</v>
      </c>
      <c r="R2556">
        <v>1</v>
      </c>
    </row>
    <row r="2557" spans="1:18" x14ac:dyDescent="0.25">
      <c r="A2557" t="s">
        <v>20</v>
      </c>
      <c r="B2557" t="s">
        <v>6</v>
      </c>
      <c r="C2557">
        <v>3</v>
      </c>
      <c r="D2557">
        <v>4</v>
      </c>
      <c r="E2557">
        <v>2</v>
      </c>
      <c r="F2557" s="15">
        <v>45957</v>
      </c>
      <c r="G2557" t="s">
        <v>268</v>
      </c>
      <c r="H2557">
        <v>5</v>
      </c>
      <c r="I2557">
        <v>2025</v>
      </c>
      <c r="J2557">
        <v>10</v>
      </c>
      <c r="K2557" t="s">
        <v>87</v>
      </c>
      <c r="L2557" t="s">
        <v>41</v>
      </c>
      <c r="M2557" t="s">
        <v>6</v>
      </c>
      <c r="N2557" t="b">
        <v>0</v>
      </c>
      <c r="O2557">
        <v>0</v>
      </c>
      <c r="P2557">
        <v>1</v>
      </c>
      <c r="Q2557">
        <v>0</v>
      </c>
      <c r="R2557">
        <v>0</v>
      </c>
    </row>
    <row r="2558" spans="1:18" x14ac:dyDescent="0.25">
      <c r="A2558" t="s">
        <v>20</v>
      </c>
      <c r="B2558" t="s">
        <v>6</v>
      </c>
      <c r="C2558">
        <v>3</v>
      </c>
      <c r="D2558">
        <v>4</v>
      </c>
      <c r="E2558">
        <v>2</v>
      </c>
      <c r="F2558" s="15">
        <v>45957</v>
      </c>
      <c r="G2558" t="s">
        <v>268</v>
      </c>
      <c r="H2558">
        <v>5</v>
      </c>
      <c r="I2558">
        <v>2025</v>
      </c>
      <c r="J2558">
        <v>10</v>
      </c>
      <c r="K2558" t="s">
        <v>87</v>
      </c>
      <c r="L2558" t="s">
        <v>22</v>
      </c>
      <c r="M2558" t="s">
        <v>6</v>
      </c>
      <c r="N2558" t="b">
        <v>0</v>
      </c>
      <c r="O2558">
        <v>0</v>
      </c>
      <c r="P2558">
        <v>1</v>
      </c>
      <c r="Q2558">
        <v>0</v>
      </c>
      <c r="R2558">
        <v>0</v>
      </c>
    </row>
    <row r="2559" spans="1:18" x14ac:dyDescent="0.25">
      <c r="A2559" t="s">
        <v>20</v>
      </c>
      <c r="B2559" t="s">
        <v>6</v>
      </c>
      <c r="C2559">
        <v>3</v>
      </c>
      <c r="D2559">
        <v>4</v>
      </c>
      <c r="E2559">
        <v>2</v>
      </c>
      <c r="F2559" s="15">
        <v>45957</v>
      </c>
      <c r="G2559" t="s">
        <v>268</v>
      </c>
      <c r="H2559">
        <v>5</v>
      </c>
      <c r="I2559">
        <v>2025</v>
      </c>
      <c r="J2559">
        <v>10</v>
      </c>
      <c r="K2559" t="s">
        <v>87</v>
      </c>
      <c r="L2559" t="s">
        <v>17</v>
      </c>
      <c r="M2559" t="s">
        <v>6</v>
      </c>
      <c r="N2559" t="b">
        <v>0</v>
      </c>
      <c r="O2559">
        <v>0</v>
      </c>
      <c r="P2559">
        <v>1</v>
      </c>
      <c r="Q2559">
        <v>0</v>
      </c>
      <c r="R2559">
        <v>0</v>
      </c>
    </row>
    <row r="2560" spans="1:18" x14ac:dyDescent="0.25">
      <c r="A2560" t="s">
        <v>321</v>
      </c>
      <c r="B2560" t="s">
        <v>8</v>
      </c>
      <c r="C2560">
        <v>5</v>
      </c>
      <c r="D2560">
        <v>4</v>
      </c>
      <c r="E2560">
        <v>2</v>
      </c>
      <c r="F2560" s="15">
        <v>45957</v>
      </c>
      <c r="G2560" t="s">
        <v>268</v>
      </c>
      <c r="H2560">
        <v>5</v>
      </c>
      <c r="I2560">
        <v>2025</v>
      </c>
      <c r="J2560">
        <v>10</v>
      </c>
      <c r="K2560" t="s">
        <v>87</v>
      </c>
      <c r="L2560" t="s">
        <v>20</v>
      </c>
      <c r="M2560" t="s">
        <v>6</v>
      </c>
      <c r="N2560" t="b">
        <v>0</v>
      </c>
      <c r="O2560">
        <v>1</v>
      </c>
      <c r="P2560">
        <v>0</v>
      </c>
      <c r="Q2560">
        <v>0</v>
      </c>
      <c r="R2560">
        <v>0</v>
      </c>
    </row>
    <row r="2561" spans="1:18" x14ac:dyDescent="0.25">
      <c r="A2561" t="s">
        <v>321</v>
      </c>
      <c r="B2561" t="s">
        <v>8</v>
      </c>
      <c r="C2561">
        <v>5</v>
      </c>
      <c r="D2561">
        <v>4</v>
      </c>
      <c r="E2561">
        <v>2</v>
      </c>
      <c r="F2561" s="15">
        <v>45957</v>
      </c>
      <c r="G2561" t="s">
        <v>268</v>
      </c>
      <c r="H2561">
        <v>5</v>
      </c>
      <c r="I2561">
        <v>2025</v>
      </c>
      <c r="J2561">
        <v>10</v>
      </c>
      <c r="K2561" t="s">
        <v>87</v>
      </c>
      <c r="L2561" t="s">
        <v>41</v>
      </c>
      <c r="M2561" t="s">
        <v>6</v>
      </c>
      <c r="N2561" t="b">
        <v>0</v>
      </c>
      <c r="O2561">
        <v>1</v>
      </c>
      <c r="P2561">
        <v>0</v>
      </c>
      <c r="Q2561">
        <v>0</v>
      </c>
      <c r="R2561">
        <v>0</v>
      </c>
    </row>
    <row r="2562" spans="1:18" x14ac:dyDescent="0.25">
      <c r="A2562" t="s">
        <v>321</v>
      </c>
      <c r="B2562" t="s">
        <v>8</v>
      </c>
      <c r="C2562">
        <v>5</v>
      </c>
      <c r="D2562">
        <v>4</v>
      </c>
      <c r="E2562">
        <v>2</v>
      </c>
      <c r="F2562" s="15">
        <v>45957</v>
      </c>
      <c r="G2562" t="s">
        <v>268</v>
      </c>
      <c r="H2562">
        <v>5</v>
      </c>
      <c r="I2562">
        <v>2025</v>
      </c>
      <c r="J2562">
        <v>10</v>
      </c>
      <c r="K2562" t="s">
        <v>87</v>
      </c>
      <c r="L2562" t="s">
        <v>22</v>
      </c>
      <c r="M2562" t="s">
        <v>6</v>
      </c>
      <c r="N2562" t="b">
        <v>0</v>
      </c>
      <c r="O2562">
        <v>1</v>
      </c>
      <c r="P2562">
        <v>0</v>
      </c>
      <c r="Q2562">
        <v>0</v>
      </c>
      <c r="R2562">
        <v>0</v>
      </c>
    </row>
    <row r="2563" spans="1:18" x14ac:dyDescent="0.25">
      <c r="A2563" t="s">
        <v>321</v>
      </c>
      <c r="B2563" t="s">
        <v>8</v>
      </c>
      <c r="C2563">
        <v>5</v>
      </c>
      <c r="D2563">
        <v>4</v>
      </c>
      <c r="E2563">
        <v>2</v>
      </c>
      <c r="F2563" s="15">
        <v>45957</v>
      </c>
      <c r="G2563" t="s">
        <v>268</v>
      </c>
      <c r="H2563">
        <v>5</v>
      </c>
      <c r="I2563">
        <v>2025</v>
      </c>
      <c r="J2563">
        <v>10</v>
      </c>
      <c r="K2563" t="s">
        <v>87</v>
      </c>
      <c r="L2563" t="s">
        <v>17</v>
      </c>
      <c r="M2563" t="s">
        <v>6</v>
      </c>
      <c r="N2563" t="b">
        <v>0</v>
      </c>
      <c r="O2563">
        <v>1</v>
      </c>
      <c r="P2563">
        <v>0</v>
      </c>
      <c r="Q2563">
        <v>0</v>
      </c>
      <c r="R2563">
        <v>0</v>
      </c>
    </row>
    <row r="2564" spans="1:18" x14ac:dyDescent="0.25">
      <c r="A2564" t="s">
        <v>41</v>
      </c>
      <c r="B2564" t="s">
        <v>6</v>
      </c>
      <c r="C2564">
        <v>1</v>
      </c>
      <c r="D2564">
        <v>4</v>
      </c>
      <c r="E2564">
        <v>2</v>
      </c>
      <c r="F2564" s="15">
        <v>45957</v>
      </c>
      <c r="G2564" t="s">
        <v>268</v>
      </c>
      <c r="H2564">
        <v>5</v>
      </c>
      <c r="I2564">
        <v>2025</v>
      </c>
      <c r="J2564">
        <v>10</v>
      </c>
      <c r="K2564" t="s">
        <v>87</v>
      </c>
      <c r="L2564" t="s">
        <v>20</v>
      </c>
      <c r="M2564" t="s">
        <v>6</v>
      </c>
      <c r="N2564" t="b">
        <v>0</v>
      </c>
      <c r="O2564">
        <v>0</v>
      </c>
      <c r="P2564">
        <v>1</v>
      </c>
      <c r="Q2564">
        <v>0</v>
      </c>
      <c r="R2564">
        <v>0</v>
      </c>
    </row>
    <row r="2565" spans="1:18" x14ac:dyDescent="0.25">
      <c r="A2565" t="s">
        <v>41</v>
      </c>
      <c r="B2565" t="s">
        <v>6</v>
      </c>
      <c r="C2565">
        <v>1</v>
      </c>
      <c r="D2565">
        <v>4</v>
      </c>
      <c r="E2565">
        <v>2</v>
      </c>
      <c r="F2565" s="15">
        <v>45957</v>
      </c>
      <c r="G2565" t="s">
        <v>268</v>
      </c>
      <c r="H2565">
        <v>5</v>
      </c>
      <c r="I2565">
        <v>2025</v>
      </c>
      <c r="J2565">
        <v>10</v>
      </c>
      <c r="K2565" t="s">
        <v>87</v>
      </c>
      <c r="L2565" t="s">
        <v>321</v>
      </c>
      <c r="M2565" t="s">
        <v>8</v>
      </c>
      <c r="N2565" t="b">
        <v>0</v>
      </c>
      <c r="O2565">
        <v>0</v>
      </c>
      <c r="P2565">
        <v>1</v>
      </c>
      <c r="Q2565">
        <v>0</v>
      </c>
      <c r="R2565">
        <v>1</v>
      </c>
    </row>
    <row r="2566" spans="1:18" x14ac:dyDescent="0.25">
      <c r="A2566" t="s">
        <v>41</v>
      </c>
      <c r="B2566" t="s">
        <v>6</v>
      </c>
      <c r="C2566">
        <v>1</v>
      </c>
      <c r="D2566">
        <v>4</v>
      </c>
      <c r="E2566">
        <v>2</v>
      </c>
      <c r="F2566" s="15">
        <v>45957</v>
      </c>
      <c r="G2566" t="s">
        <v>268</v>
      </c>
      <c r="H2566">
        <v>5</v>
      </c>
      <c r="I2566">
        <v>2025</v>
      </c>
      <c r="J2566">
        <v>10</v>
      </c>
      <c r="K2566" t="s">
        <v>87</v>
      </c>
      <c r="L2566" t="s">
        <v>22</v>
      </c>
      <c r="M2566" t="s">
        <v>6</v>
      </c>
      <c r="N2566" t="b">
        <v>0</v>
      </c>
      <c r="O2566">
        <v>0</v>
      </c>
      <c r="P2566">
        <v>1</v>
      </c>
      <c r="Q2566">
        <v>0</v>
      </c>
      <c r="R2566">
        <v>0</v>
      </c>
    </row>
    <row r="2567" spans="1:18" x14ac:dyDescent="0.25">
      <c r="A2567" t="s">
        <v>41</v>
      </c>
      <c r="B2567" t="s">
        <v>6</v>
      </c>
      <c r="C2567">
        <v>1</v>
      </c>
      <c r="D2567">
        <v>4</v>
      </c>
      <c r="E2567">
        <v>2</v>
      </c>
      <c r="F2567" s="15">
        <v>45957</v>
      </c>
      <c r="G2567" t="s">
        <v>268</v>
      </c>
      <c r="H2567">
        <v>5</v>
      </c>
      <c r="I2567">
        <v>2025</v>
      </c>
      <c r="J2567">
        <v>10</v>
      </c>
      <c r="K2567" t="s">
        <v>87</v>
      </c>
      <c r="L2567" t="s">
        <v>17</v>
      </c>
      <c r="M2567" t="s">
        <v>6</v>
      </c>
      <c r="N2567" t="b">
        <v>0</v>
      </c>
      <c r="O2567">
        <v>0</v>
      </c>
      <c r="P2567">
        <v>1</v>
      </c>
      <c r="Q2567">
        <v>0</v>
      </c>
      <c r="R2567">
        <v>0</v>
      </c>
    </row>
    <row r="2568" spans="1:18" x14ac:dyDescent="0.25">
      <c r="A2568" t="s">
        <v>22</v>
      </c>
      <c r="B2568" t="s">
        <v>6</v>
      </c>
      <c r="C2568">
        <v>2</v>
      </c>
      <c r="D2568">
        <v>4</v>
      </c>
      <c r="E2568">
        <v>2</v>
      </c>
      <c r="F2568" s="15">
        <v>45957</v>
      </c>
      <c r="G2568" t="s">
        <v>268</v>
      </c>
      <c r="H2568">
        <v>5</v>
      </c>
      <c r="I2568">
        <v>2025</v>
      </c>
      <c r="J2568">
        <v>10</v>
      </c>
      <c r="K2568" t="s">
        <v>87</v>
      </c>
      <c r="L2568" t="s">
        <v>20</v>
      </c>
      <c r="M2568" t="s">
        <v>6</v>
      </c>
      <c r="N2568" t="b">
        <v>0</v>
      </c>
      <c r="O2568">
        <v>0</v>
      </c>
      <c r="P2568">
        <v>1</v>
      </c>
      <c r="Q2568">
        <v>0</v>
      </c>
      <c r="R2568">
        <v>0</v>
      </c>
    </row>
    <row r="2569" spans="1:18" x14ac:dyDescent="0.25">
      <c r="A2569" t="s">
        <v>22</v>
      </c>
      <c r="B2569" t="s">
        <v>6</v>
      </c>
      <c r="C2569">
        <v>2</v>
      </c>
      <c r="D2569">
        <v>4</v>
      </c>
      <c r="E2569">
        <v>2</v>
      </c>
      <c r="F2569" s="15">
        <v>45957</v>
      </c>
      <c r="G2569" t="s">
        <v>268</v>
      </c>
      <c r="H2569">
        <v>5</v>
      </c>
      <c r="I2569">
        <v>2025</v>
      </c>
      <c r="J2569">
        <v>10</v>
      </c>
      <c r="K2569" t="s">
        <v>87</v>
      </c>
      <c r="L2569" t="s">
        <v>321</v>
      </c>
      <c r="M2569" t="s">
        <v>8</v>
      </c>
      <c r="N2569" t="b">
        <v>0</v>
      </c>
      <c r="O2569">
        <v>0</v>
      </c>
      <c r="P2569">
        <v>1</v>
      </c>
      <c r="Q2569">
        <v>0</v>
      </c>
      <c r="R2569">
        <v>1</v>
      </c>
    </row>
    <row r="2570" spans="1:18" x14ac:dyDescent="0.25">
      <c r="A2570" t="s">
        <v>22</v>
      </c>
      <c r="B2570" t="s">
        <v>6</v>
      </c>
      <c r="C2570">
        <v>2</v>
      </c>
      <c r="D2570">
        <v>4</v>
      </c>
      <c r="E2570">
        <v>2</v>
      </c>
      <c r="F2570" s="15">
        <v>45957</v>
      </c>
      <c r="G2570" t="s">
        <v>268</v>
      </c>
      <c r="H2570">
        <v>5</v>
      </c>
      <c r="I2570">
        <v>2025</v>
      </c>
      <c r="J2570">
        <v>10</v>
      </c>
      <c r="K2570" t="s">
        <v>87</v>
      </c>
      <c r="L2570" t="s">
        <v>41</v>
      </c>
      <c r="M2570" t="s">
        <v>6</v>
      </c>
      <c r="N2570" t="b">
        <v>0</v>
      </c>
      <c r="O2570">
        <v>0</v>
      </c>
      <c r="P2570">
        <v>1</v>
      </c>
      <c r="Q2570">
        <v>0</v>
      </c>
      <c r="R2570">
        <v>0</v>
      </c>
    </row>
    <row r="2571" spans="1:18" x14ac:dyDescent="0.25">
      <c r="A2571" t="s">
        <v>22</v>
      </c>
      <c r="B2571" t="s">
        <v>6</v>
      </c>
      <c r="C2571">
        <v>2</v>
      </c>
      <c r="D2571">
        <v>4</v>
      </c>
      <c r="E2571">
        <v>2</v>
      </c>
      <c r="F2571" s="15">
        <v>45957</v>
      </c>
      <c r="G2571" t="s">
        <v>268</v>
      </c>
      <c r="H2571">
        <v>5</v>
      </c>
      <c r="I2571">
        <v>2025</v>
      </c>
      <c r="J2571">
        <v>10</v>
      </c>
      <c r="K2571" t="s">
        <v>87</v>
      </c>
      <c r="L2571" t="s">
        <v>17</v>
      </c>
      <c r="M2571" t="s">
        <v>6</v>
      </c>
      <c r="N2571" t="b">
        <v>0</v>
      </c>
      <c r="O2571">
        <v>0</v>
      </c>
      <c r="P2571">
        <v>1</v>
      </c>
      <c r="Q2571">
        <v>0</v>
      </c>
      <c r="R2571">
        <v>0</v>
      </c>
    </row>
    <row r="2572" spans="1:18" x14ac:dyDescent="0.25">
      <c r="A2572" t="s">
        <v>17</v>
      </c>
      <c r="B2572" t="s">
        <v>6</v>
      </c>
      <c r="C2572">
        <v>4</v>
      </c>
      <c r="D2572">
        <v>4</v>
      </c>
      <c r="E2572">
        <v>2</v>
      </c>
      <c r="F2572" s="15">
        <v>45957</v>
      </c>
      <c r="G2572" t="s">
        <v>268</v>
      </c>
      <c r="H2572">
        <v>5</v>
      </c>
      <c r="I2572">
        <v>2025</v>
      </c>
      <c r="J2572">
        <v>10</v>
      </c>
      <c r="K2572" t="s">
        <v>87</v>
      </c>
      <c r="L2572" t="s">
        <v>20</v>
      </c>
      <c r="M2572" t="s">
        <v>6</v>
      </c>
      <c r="N2572" t="b">
        <v>0</v>
      </c>
      <c r="O2572">
        <v>0</v>
      </c>
      <c r="P2572">
        <v>1</v>
      </c>
      <c r="Q2572">
        <v>0</v>
      </c>
      <c r="R2572">
        <v>0</v>
      </c>
    </row>
    <row r="2573" spans="1:18" x14ac:dyDescent="0.25">
      <c r="A2573" t="s">
        <v>17</v>
      </c>
      <c r="B2573" t="s">
        <v>6</v>
      </c>
      <c r="C2573">
        <v>4</v>
      </c>
      <c r="D2573">
        <v>4</v>
      </c>
      <c r="E2573">
        <v>2</v>
      </c>
      <c r="F2573" s="15">
        <v>45957</v>
      </c>
      <c r="G2573" t="s">
        <v>268</v>
      </c>
      <c r="H2573">
        <v>5</v>
      </c>
      <c r="I2573">
        <v>2025</v>
      </c>
      <c r="J2573">
        <v>10</v>
      </c>
      <c r="K2573" t="s">
        <v>87</v>
      </c>
      <c r="L2573" t="s">
        <v>321</v>
      </c>
      <c r="M2573" t="s">
        <v>8</v>
      </c>
      <c r="N2573" t="b">
        <v>0</v>
      </c>
      <c r="O2573">
        <v>0</v>
      </c>
      <c r="P2573">
        <v>1</v>
      </c>
      <c r="Q2573">
        <v>0</v>
      </c>
      <c r="R2573">
        <v>1</v>
      </c>
    </row>
    <row r="2574" spans="1:18" x14ac:dyDescent="0.25">
      <c r="A2574" t="s">
        <v>17</v>
      </c>
      <c r="B2574" t="s">
        <v>6</v>
      </c>
      <c r="C2574">
        <v>4</v>
      </c>
      <c r="D2574">
        <v>4</v>
      </c>
      <c r="E2574">
        <v>2</v>
      </c>
      <c r="F2574" s="15">
        <v>45957</v>
      </c>
      <c r="G2574" t="s">
        <v>268</v>
      </c>
      <c r="H2574">
        <v>5</v>
      </c>
      <c r="I2574">
        <v>2025</v>
      </c>
      <c r="J2574">
        <v>10</v>
      </c>
      <c r="K2574" t="s">
        <v>87</v>
      </c>
      <c r="L2574" t="s">
        <v>41</v>
      </c>
      <c r="M2574" t="s">
        <v>6</v>
      </c>
      <c r="N2574" t="b">
        <v>0</v>
      </c>
      <c r="O2574">
        <v>0</v>
      </c>
      <c r="P2574">
        <v>1</v>
      </c>
      <c r="Q2574">
        <v>0</v>
      </c>
      <c r="R2574">
        <v>0</v>
      </c>
    </row>
    <row r="2575" spans="1:18" x14ac:dyDescent="0.25">
      <c r="A2575" t="s">
        <v>17</v>
      </c>
      <c r="B2575" t="s">
        <v>6</v>
      </c>
      <c r="C2575">
        <v>4</v>
      </c>
      <c r="D2575">
        <v>4</v>
      </c>
      <c r="E2575">
        <v>2</v>
      </c>
      <c r="F2575" s="15">
        <v>45957</v>
      </c>
      <c r="G2575" t="s">
        <v>268</v>
      </c>
      <c r="H2575">
        <v>5</v>
      </c>
      <c r="I2575">
        <v>2025</v>
      </c>
      <c r="J2575">
        <v>10</v>
      </c>
      <c r="K2575" t="s">
        <v>87</v>
      </c>
      <c r="L2575" t="s">
        <v>22</v>
      </c>
      <c r="M2575" t="s">
        <v>6</v>
      </c>
      <c r="N2575" t="b">
        <v>0</v>
      </c>
      <c r="O2575">
        <v>0</v>
      </c>
      <c r="P2575">
        <v>1</v>
      </c>
      <c r="Q2575">
        <v>0</v>
      </c>
      <c r="R2575">
        <v>0</v>
      </c>
    </row>
    <row r="2576" spans="1:18" x14ac:dyDescent="0.25">
      <c r="A2576" t="s">
        <v>20</v>
      </c>
      <c r="B2576" t="s">
        <v>6</v>
      </c>
      <c r="C2576">
        <v>3</v>
      </c>
      <c r="D2576">
        <v>4</v>
      </c>
      <c r="E2576">
        <v>2</v>
      </c>
      <c r="F2576" s="15">
        <v>45971</v>
      </c>
      <c r="G2576" t="s">
        <v>270</v>
      </c>
      <c r="H2576">
        <v>4</v>
      </c>
      <c r="I2576">
        <v>2025</v>
      </c>
      <c r="J2576">
        <v>11</v>
      </c>
      <c r="K2576" t="s">
        <v>87</v>
      </c>
      <c r="L2576" t="s">
        <v>57</v>
      </c>
      <c r="M2576" t="s">
        <v>6</v>
      </c>
      <c r="N2576" t="b">
        <v>0</v>
      </c>
      <c r="O2576">
        <v>0</v>
      </c>
      <c r="P2576">
        <v>1</v>
      </c>
      <c r="Q2576">
        <v>0</v>
      </c>
      <c r="R2576">
        <v>0</v>
      </c>
    </row>
    <row r="2577" spans="1:18" x14ac:dyDescent="0.25">
      <c r="A2577" t="s">
        <v>20</v>
      </c>
      <c r="B2577" t="s">
        <v>6</v>
      </c>
      <c r="C2577">
        <v>3</v>
      </c>
      <c r="D2577">
        <v>4</v>
      </c>
      <c r="E2577">
        <v>2</v>
      </c>
      <c r="F2577" s="15">
        <v>45971</v>
      </c>
      <c r="G2577" t="s">
        <v>270</v>
      </c>
      <c r="H2577">
        <v>4</v>
      </c>
      <c r="I2577">
        <v>2025</v>
      </c>
      <c r="J2577">
        <v>11</v>
      </c>
      <c r="K2577" t="s">
        <v>87</v>
      </c>
      <c r="L2577" t="s">
        <v>321</v>
      </c>
      <c r="M2577" t="s">
        <v>6</v>
      </c>
      <c r="N2577" t="b">
        <v>0</v>
      </c>
      <c r="O2577">
        <v>0</v>
      </c>
      <c r="P2577">
        <v>1</v>
      </c>
      <c r="Q2577">
        <v>0</v>
      </c>
      <c r="R2577">
        <v>0</v>
      </c>
    </row>
    <row r="2578" spans="1:18" x14ac:dyDescent="0.25">
      <c r="A2578" t="s">
        <v>20</v>
      </c>
      <c r="B2578" t="s">
        <v>6</v>
      </c>
      <c r="C2578">
        <v>3</v>
      </c>
      <c r="D2578">
        <v>4</v>
      </c>
      <c r="E2578">
        <v>2</v>
      </c>
      <c r="F2578" s="15">
        <v>45971</v>
      </c>
      <c r="G2578" t="s">
        <v>270</v>
      </c>
      <c r="H2578">
        <v>4</v>
      </c>
      <c r="I2578">
        <v>2025</v>
      </c>
      <c r="J2578">
        <v>11</v>
      </c>
      <c r="K2578" t="s">
        <v>87</v>
      </c>
      <c r="L2578" t="s">
        <v>9</v>
      </c>
      <c r="M2578" t="s">
        <v>8</v>
      </c>
      <c r="N2578" t="b">
        <v>0</v>
      </c>
      <c r="O2578">
        <v>0</v>
      </c>
      <c r="P2578">
        <v>1</v>
      </c>
      <c r="Q2578">
        <v>0</v>
      </c>
      <c r="R2578">
        <v>1</v>
      </c>
    </row>
    <row r="2579" spans="1:18" x14ac:dyDescent="0.25">
      <c r="A2579" t="s">
        <v>57</v>
      </c>
      <c r="B2579" t="s">
        <v>6</v>
      </c>
      <c r="C2579">
        <v>4</v>
      </c>
      <c r="D2579">
        <v>4</v>
      </c>
      <c r="E2579">
        <v>2</v>
      </c>
      <c r="F2579" s="15">
        <v>45971</v>
      </c>
      <c r="G2579" t="s">
        <v>270</v>
      </c>
      <c r="H2579">
        <v>4</v>
      </c>
      <c r="I2579">
        <v>2025</v>
      </c>
      <c r="J2579">
        <v>11</v>
      </c>
      <c r="K2579" t="s">
        <v>87</v>
      </c>
      <c r="L2579" t="s">
        <v>20</v>
      </c>
      <c r="M2579" t="s">
        <v>6</v>
      </c>
      <c r="N2579" t="b">
        <v>0</v>
      </c>
      <c r="O2579">
        <v>0</v>
      </c>
      <c r="P2579">
        <v>1</v>
      </c>
      <c r="Q2579">
        <v>0</v>
      </c>
      <c r="R2579">
        <v>0</v>
      </c>
    </row>
    <row r="2580" spans="1:18" x14ac:dyDescent="0.25">
      <c r="A2580" t="s">
        <v>57</v>
      </c>
      <c r="B2580" t="s">
        <v>6</v>
      </c>
      <c r="C2580">
        <v>4</v>
      </c>
      <c r="D2580">
        <v>4</v>
      </c>
      <c r="E2580">
        <v>2</v>
      </c>
      <c r="F2580" s="15">
        <v>45971</v>
      </c>
      <c r="G2580" t="s">
        <v>270</v>
      </c>
      <c r="H2580">
        <v>4</v>
      </c>
      <c r="I2580">
        <v>2025</v>
      </c>
      <c r="J2580">
        <v>11</v>
      </c>
      <c r="K2580" t="s">
        <v>87</v>
      </c>
      <c r="L2580" t="s">
        <v>321</v>
      </c>
      <c r="M2580" t="s">
        <v>6</v>
      </c>
      <c r="N2580" t="b">
        <v>0</v>
      </c>
      <c r="O2580">
        <v>0</v>
      </c>
      <c r="P2580">
        <v>1</v>
      </c>
      <c r="Q2580">
        <v>0</v>
      </c>
      <c r="R2580">
        <v>0</v>
      </c>
    </row>
    <row r="2581" spans="1:18" x14ac:dyDescent="0.25">
      <c r="A2581" t="s">
        <v>57</v>
      </c>
      <c r="B2581" t="s">
        <v>6</v>
      </c>
      <c r="C2581">
        <v>4</v>
      </c>
      <c r="D2581">
        <v>4</v>
      </c>
      <c r="E2581">
        <v>2</v>
      </c>
      <c r="F2581" s="15">
        <v>45971</v>
      </c>
      <c r="G2581" t="s">
        <v>270</v>
      </c>
      <c r="H2581">
        <v>4</v>
      </c>
      <c r="I2581">
        <v>2025</v>
      </c>
      <c r="J2581">
        <v>11</v>
      </c>
      <c r="K2581" t="s">
        <v>87</v>
      </c>
      <c r="L2581" t="s">
        <v>9</v>
      </c>
      <c r="M2581" t="s">
        <v>8</v>
      </c>
      <c r="N2581" t="b">
        <v>0</v>
      </c>
      <c r="O2581">
        <v>0</v>
      </c>
      <c r="P2581">
        <v>1</v>
      </c>
      <c r="Q2581">
        <v>0</v>
      </c>
      <c r="R2581">
        <v>1</v>
      </c>
    </row>
    <row r="2582" spans="1:18" x14ac:dyDescent="0.25">
      <c r="A2582" t="s">
        <v>321</v>
      </c>
      <c r="B2582" t="s">
        <v>6</v>
      </c>
      <c r="C2582">
        <v>1</v>
      </c>
      <c r="D2582">
        <v>4</v>
      </c>
      <c r="E2582">
        <v>2</v>
      </c>
      <c r="F2582" s="15">
        <v>45971</v>
      </c>
      <c r="G2582" t="s">
        <v>270</v>
      </c>
      <c r="H2582">
        <v>4</v>
      </c>
      <c r="I2582">
        <v>2025</v>
      </c>
      <c r="J2582">
        <v>11</v>
      </c>
      <c r="K2582" t="s">
        <v>87</v>
      </c>
      <c r="L2582" t="s">
        <v>20</v>
      </c>
      <c r="M2582" t="s">
        <v>6</v>
      </c>
      <c r="N2582" t="b">
        <v>0</v>
      </c>
      <c r="O2582">
        <v>0</v>
      </c>
      <c r="P2582">
        <v>1</v>
      </c>
      <c r="Q2582">
        <v>0</v>
      </c>
      <c r="R2582">
        <v>0</v>
      </c>
    </row>
    <row r="2583" spans="1:18" x14ac:dyDescent="0.25">
      <c r="A2583" t="s">
        <v>321</v>
      </c>
      <c r="B2583" t="s">
        <v>6</v>
      </c>
      <c r="C2583">
        <v>1</v>
      </c>
      <c r="D2583">
        <v>4</v>
      </c>
      <c r="E2583">
        <v>2</v>
      </c>
      <c r="F2583" s="15">
        <v>45971</v>
      </c>
      <c r="G2583" t="s">
        <v>270</v>
      </c>
      <c r="H2583">
        <v>4</v>
      </c>
      <c r="I2583">
        <v>2025</v>
      </c>
      <c r="J2583">
        <v>11</v>
      </c>
      <c r="K2583" t="s">
        <v>87</v>
      </c>
      <c r="L2583" t="s">
        <v>57</v>
      </c>
      <c r="M2583" t="s">
        <v>6</v>
      </c>
      <c r="N2583" t="b">
        <v>0</v>
      </c>
      <c r="O2583">
        <v>0</v>
      </c>
      <c r="P2583">
        <v>1</v>
      </c>
      <c r="Q2583">
        <v>0</v>
      </c>
      <c r="R2583">
        <v>0</v>
      </c>
    </row>
    <row r="2584" spans="1:18" x14ac:dyDescent="0.25">
      <c r="A2584" t="s">
        <v>321</v>
      </c>
      <c r="B2584" t="s">
        <v>6</v>
      </c>
      <c r="C2584">
        <v>1</v>
      </c>
      <c r="D2584">
        <v>4</v>
      </c>
      <c r="E2584">
        <v>2</v>
      </c>
      <c r="F2584" s="15">
        <v>45971</v>
      </c>
      <c r="G2584" t="s">
        <v>270</v>
      </c>
      <c r="H2584">
        <v>4</v>
      </c>
      <c r="I2584">
        <v>2025</v>
      </c>
      <c r="J2584">
        <v>11</v>
      </c>
      <c r="K2584" t="s">
        <v>87</v>
      </c>
      <c r="L2584" t="s">
        <v>9</v>
      </c>
      <c r="M2584" t="s">
        <v>8</v>
      </c>
      <c r="N2584" t="b">
        <v>0</v>
      </c>
      <c r="O2584">
        <v>0</v>
      </c>
      <c r="P2584">
        <v>1</v>
      </c>
      <c r="Q2584">
        <v>0</v>
      </c>
      <c r="R2584">
        <v>1</v>
      </c>
    </row>
    <row r="2585" spans="1:18" x14ac:dyDescent="0.25">
      <c r="A2585" t="s">
        <v>9</v>
      </c>
      <c r="B2585" t="s">
        <v>8</v>
      </c>
      <c r="C2585">
        <v>2</v>
      </c>
      <c r="D2585">
        <v>4</v>
      </c>
      <c r="E2585">
        <v>2</v>
      </c>
      <c r="F2585" s="15">
        <v>45971</v>
      </c>
      <c r="G2585" t="s">
        <v>270</v>
      </c>
      <c r="H2585">
        <v>4</v>
      </c>
      <c r="I2585">
        <v>2025</v>
      </c>
      <c r="J2585">
        <v>11</v>
      </c>
      <c r="K2585" t="s">
        <v>87</v>
      </c>
      <c r="L2585" t="s">
        <v>20</v>
      </c>
      <c r="M2585" t="s">
        <v>6</v>
      </c>
      <c r="N2585" t="b">
        <v>0</v>
      </c>
      <c r="O2585">
        <v>1</v>
      </c>
      <c r="P2585">
        <v>0</v>
      </c>
      <c r="Q2585">
        <v>0</v>
      </c>
      <c r="R2585">
        <v>0</v>
      </c>
    </row>
    <row r="2586" spans="1:18" x14ac:dyDescent="0.25">
      <c r="A2586" t="s">
        <v>9</v>
      </c>
      <c r="B2586" t="s">
        <v>8</v>
      </c>
      <c r="C2586">
        <v>2</v>
      </c>
      <c r="D2586">
        <v>4</v>
      </c>
      <c r="E2586">
        <v>2</v>
      </c>
      <c r="F2586" s="15">
        <v>45971</v>
      </c>
      <c r="G2586" t="s">
        <v>270</v>
      </c>
      <c r="H2586">
        <v>4</v>
      </c>
      <c r="I2586">
        <v>2025</v>
      </c>
      <c r="J2586">
        <v>11</v>
      </c>
      <c r="K2586" t="s">
        <v>87</v>
      </c>
      <c r="L2586" t="s">
        <v>57</v>
      </c>
      <c r="M2586" t="s">
        <v>6</v>
      </c>
      <c r="N2586" t="b">
        <v>0</v>
      </c>
      <c r="O2586">
        <v>1</v>
      </c>
      <c r="P2586">
        <v>0</v>
      </c>
      <c r="Q2586">
        <v>0</v>
      </c>
      <c r="R2586">
        <v>0</v>
      </c>
    </row>
    <row r="2587" spans="1:18" x14ac:dyDescent="0.25">
      <c r="A2587" t="s">
        <v>9</v>
      </c>
      <c r="B2587" t="s">
        <v>8</v>
      </c>
      <c r="C2587">
        <v>2</v>
      </c>
      <c r="D2587">
        <v>4</v>
      </c>
      <c r="E2587">
        <v>2</v>
      </c>
      <c r="F2587" s="15">
        <v>45971</v>
      </c>
      <c r="G2587" t="s">
        <v>270</v>
      </c>
      <c r="H2587">
        <v>4</v>
      </c>
      <c r="I2587">
        <v>2025</v>
      </c>
      <c r="J2587">
        <v>11</v>
      </c>
      <c r="K2587" t="s">
        <v>87</v>
      </c>
      <c r="L2587" t="s">
        <v>321</v>
      </c>
      <c r="M2587" t="s">
        <v>6</v>
      </c>
      <c r="N2587" t="b">
        <v>0</v>
      </c>
      <c r="O2587">
        <v>1</v>
      </c>
      <c r="P2587">
        <v>0</v>
      </c>
      <c r="Q2587">
        <v>0</v>
      </c>
      <c r="R2587">
        <v>0</v>
      </c>
    </row>
    <row r="2588" spans="1:18" x14ac:dyDescent="0.25">
      <c r="A2588" t="s">
        <v>20</v>
      </c>
      <c r="B2588" t="s">
        <v>6</v>
      </c>
      <c r="C2588">
        <v>3</v>
      </c>
      <c r="D2588">
        <v>2</v>
      </c>
      <c r="E2588">
        <v>1</v>
      </c>
      <c r="F2588" s="15">
        <v>46027</v>
      </c>
      <c r="G2588" t="s">
        <v>165</v>
      </c>
      <c r="H2588">
        <v>5</v>
      </c>
      <c r="I2588">
        <v>2026</v>
      </c>
      <c r="J2588">
        <v>1</v>
      </c>
      <c r="K2588" t="s">
        <v>87</v>
      </c>
      <c r="L2588" t="s">
        <v>52</v>
      </c>
      <c r="M2588" t="s">
        <v>6</v>
      </c>
      <c r="N2588" t="b">
        <v>0</v>
      </c>
      <c r="O2588">
        <v>0</v>
      </c>
      <c r="P2588">
        <v>1</v>
      </c>
      <c r="Q2588">
        <v>0</v>
      </c>
      <c r="R2588">
        <v>0</v>
      </c>
    </row>
    <row r="2589" spans="1:18" x14ac:dyDescent="0.25">
      <c r="A2589" t="s">
        <v>20</v>
      </c>
      <c r="B2589" t="s">
        <v>6</v>
      </c>
      <c r="C2589">
        <v>3</v>
      </c>
      <c r="D2589">
        <v>2</v>
      </c>
      <c r="E2589">
        <v>1</v>
      </c>
      <c r="F2589" s="15">
        <v>46027</v>
      </c>
      <c r="G2589" t="s">
        <v>165</v>
      </c>
      <c r="H2589">
        <v>5</v>
      </c>
      <c r="I2589">
        <v>2026</v>
      </c>
      <c r="J2589">
        <v>1</v>
      </c>
      <c r="K2589" t="s">
        <v>87</v>
      </c>
      <c r="L2589" t="s">
        <v>326</v>
      </c>
      <c r="M2589" t="s">
        <v>6</v>
      </c>
      <c r="N2589" t="b">
        <v>0</v>
      </c>
      <c r="O2589">
        <v>0</v>
      </c>
      <c r="P2589">
        <v>1</v>
      </c>
      <c r="Q2589">
        <v>0</v>
      </c>
      <c r="R2589">
        <v>0</v>
      </c>
    </row>
    <row r="2590" spans="1:18" x14ac:dyDescent="0.25">
      <c r="A2590" t="s">
        <v>20</v>
      </c>
      <c r="B2590" t="s">
        <v>6</v>
      </c>
      <c r="C2590">
        <v>3</v>
      </c>
      <c r="D2590">
        <v>2</v>
      </c>
      <c r="E2590">
        <v>1</v>
      </c>
      <c r="F2590" s="15">
        <v>46027</v>
      </c>
      <c r="G2590" t="s">
        <v>165</v>
      </c>
      <c r="H2590">
        <v>5</v>
      </c>
      <c r="I2590">
        <v>2026</v>
      </c>
      <c r="J2590">
        <v>1</v>
      </c>
      <c r="K2590" t="s">
        <v>87</v>
      </c>
      <c r="L2590" t="s">
        <v>12</v>
      </c>
      <c r="M2590" t="s">
        <v>6</v>
      </c>
      <c r="N2590" t="b">
        <v>0</v>
      </c>
      <c r="O2590">
        <v>0</v>
      </c>
      <c r="P2590">
        <v>1</v>
      </c>
      <c r="Q2590">
        <v>0</v>
      </c>
      <c r="R2590">
        <v>0</v>
      </c>
    </row>
    <row r="2591" spans="1:18" x14ac:dyDescent="0.25">
      <c r="A2591" t="s">
        <v>20</v>
      </c>
      <c r="B2591" t="s">
        <v>6</v>
      </c>
      <c r="C2591">
        <v>3</v>
      </c>
      <c r="D2591">
        <v>2</v>
      </c>
      <c r="E2591">
        <v>1</v>
      </c>
      <c r="F2591" s="15">
        <v>46027</v>
      </c>
      <c r="G2591" t="s">
        <v>165</v>
      </c>
      <c r="H2591">
        <v>5</v>
      </c>
      <c r="I2591">
        <v>2026</v>
      </c>
      <c r="J2591">
        <v>1</v>
      </c>
      <c r="K2591" t="s">
        <v>87</v>
      </c>
      <c r="L2591" t="s">
        <v>22</v>
      </c>
      <c r="M2591" t="s">
        <v>8</v>
      </c>
      <c r="N2591" t="b">
        <v>0</v>
      </c>
      <c r="O2591">
        <v>0</v>
      </c>
      <c r="P2591">
        <v>1</v>
      </c>
      <c r="Q2591">
        <v>0</v>
      </c>
      <c r="R2591">
        <v>1</v>
      </c>
    </row>
    <row r="2592" spans="1:18" x14ac:dyDescent="0.25">
      <c r="A2592" t="s">
        <v>52</v>
      </c>
      <c r="B2592" t="s">
        <v>6</v>
      </c>
      <c r="C2592">
        <v>2</v>
      </c>
      <c r="D2592">
        <v>2</v>
      </c>
      <c r="E2592">
        <v>1</v>
      </c>
      <c r="F2592" s="15">
        <v>46027</v>
      </c>
      <c r="G2592" t="s">
        <v>165</v>
      </c>
      <c r="H2592">
        <v>5</v>
      </c>
      <c r="I2592">
        <v>2026</v>
      </c>
      <c r="J2592">
        <v>1</v>
      </c>
      <c r="K2592" t="s">
        <v>87</v>
      </c>
      <c r="L2592" t="s">
        <v>20</v>
      </c>
      <c r="M2592" t="s">
        <v>6</v>
      </c>
      <c r="N2592" t="b">
        <v>0</v>
      </c>
      <c r="O2592">
        <v>0</v>
      </c>
      <c r="P2592">
        <v>1</v>
      </c>
      <c r="Q2592">
        <v>0</v>
      </c>
      <c r="R2592">
        <v>0</v>
      </c>
    </row>
    <row r="2593" spans="1:18" x14ac:dyDescent="0.25">
      <c r="A2593" t="s">
        <v>52</v>
      </c>
      <c r="B2593" t="s">
        <v>6</v>
      </c>
      <c r="C2593">
        <v>2</v>
      </c>
      <c r="D2593">
        <v>2</v>
      </c>
      <c r="E2593">
        <v>1</v>
      </c>
      <c r="F2593" s="15">
        <v>46027</v>
      </c>
      <c r="G2593" t="s">
        <v>165</v>
      </c>
      <c r="H2593">
        <v>5</v>
      </c>
      <c r="I2593">
        <v>2026</v>
      </c>
      <c r="J2593">
        <v>1</v>
      </c>
      <c r="K2593" t="s">
        <v>87</v>
      </c>
      <c r="L2593" t="s">
        <v>326</v>
      </c>
      <c r="M2593" t="s">
        <v>6</v>
      </c>
      <c r="N2593" t="b">
        <v>0</v>
      </c>
      <c r="O2593">
        <v>0</v>
      </c>
      <c r="P2593">
        <v>1</v>
      </c>
      <c r="Q2593">
        <v>0</v>
      </c>
      <c r="R2593">
        <v>0</v>
      </c>
    </row>
    <row r="2594" spans="1:18" x14ac:dyDescent="0.25">
      <c r="A2594" t="s">
        <v>52</v>
      </c>
      <c r="B2594" t="s">
        <v>6</v>
      </c>
      <c r="C2594">
        <v>2</v>
      </c>
      <c r="D2594">
        <v>2</v>
      </c>
      <c r="E2594">
        <v>1</v>
      </c>
      <c r="F2594" s="15">
        <v>46027</v>
      </c>
      <c r="G2594" t="s">
        <v>165</v>
      </c>
      <c r="H2594">
        <v>5</v>
      </c>
      <c r="I2594">
        <v>2026</v>
      </c>
      <c r="J2594">
        <v>1</v>
      </c>
      <c r="K2594" t="s">
        <v>87</v>
      </c>
      <c r="L2594" t="s">
        <v>12</v>
      </c>
      <c r="M2594" t="s">
        <v>6</v>
      </c>
      <c r="N2594" t="b">
        <v>0</v>
      </c>
      <c r="O2594">
        <v>0</v>
      </c>
      <c r="P2594">
        <v>1</v>
      </c>
      <c r="Q2594">
        <v>0</v>
      </c>
      <c r="R2594">
        <v>0</v>
      </c>
    </row>
    <row r="2595" spans="1:18" x14ac:dyDescent="0.25">
      <c r="A2595" t="s">
        <v>52</v>
      </c>
      <c r="B2595" t="s">
        <v>6</v>
      </c>
      <c r="C2595">
        <v>2</v>
      </c>
      <c r="D2595">
        <v>2</v>
      </c>
      <c r="E2595">
        <v>1</v>
      </c>
      <c r="F2595" s="15">
        <v>46027</v>
      </c>
      <c r="G2595" t="s">
        <v>165</v>
      </c>
      <c r="H2595">
        <v>5</v>
      </c>
      <c r="I2595">
        <v>2026</v>
      </c>
      <c r="J2595">
        <v>1</v>
      </c>
      <c r="K2595" t="s">
        <v>87</v>
      </c>
      <c r="L2595" t="s">
        <v>22</v>
      </c>
      <c r="M2595" t="s">
        <v>8</v>
      </c>
      <c r="N2595" t="b">
        <v>0</v>
      </c>
      <c r="O2595">
        <v>0</v>
      </c>
      <c r="P2595">
        <v>1</v>
      </c>
      <c r="Q2595">
        <v>0</v>
      </c>
      <c r="R2595">
        <v>1</v>
      </c>
    </row>
    <row r="2596" spans="1:18" x14ac:dyDescent="0.25">
      <c r="A2596" t="s">
        <v>326</v>
      </c>
      <c r="B2596" t="s">
        <v>6</v>
      </c>
      <c r="C2596">
        <v>1</v>
      </c>
      <c r="D2596">
        <v>2</v>
      </c>
      <c r="E2596">
        <v>1</v>
      </c>
      <c r="F2596" s="15">
        <v>46027</v>
      </c>
      <c r="G2596" t="s">
        <v>165</v>
      </c>
      <c r="H2596">
        <v>5</v>
      </c>
      <c r="I2596">
        <v>2026</v>
      </c>
      <c r="J2596">
        <v>1</v>
      </c>
      <c r="K2596" t="s">
        <v>87</v>
      </c>
      <c r="L2596" t="s">
        <v>20</v>
      </c>
      <c r="M2596" t="s">
        <v>6</v>
      </c>
      <c r="N2596" t="b">
        <v>0</v>
      </c>
      <c r="O2596">
        <v>0</v>
      </c>
      <c r="P2596">
        <v>1</v>
      </c>
      <c r="Q2596">
        <v>0</v>
      </c>
      <c r="R2596">
        <v>0</v>
      </c>
    </row>
    <row r="2597" spans="1:18" x14ac:dyDescent="0.25">
      <c r="A2597" t="s">
        <v>326</v>
      </c>
      <c r="B2597" t="s">
        <v>6</v>
      </c>
      <c r="C2597">
        <v>1</v>
      </c>
      <c r="D2597">
        <v>2</v>
      </c>
      <c r="E2597">
        <v>1</v>
      </c>
      <c r="F2597" s="15">
        <v>46027</v>
      </c>
      <c r="G2597" t="s">
        <v>165</v>
      </c>
      <c r="H2597">
        <v>5</v>
      </c>
      <c r="I2597">
        <v>2026</v>
      </c>
      <c r="J2597">
        <v>1</v>
      </c>
      <c r="K2597" t="s">
        <v>87</v>
      </c>
      <c r="L2597" t="s">
        <v>52</v>
      </c>
      <c r="M2597" t="s">
        <v>6</v>
      </c>
      <c r="N2597" t="b">
        <v>0</v>
      </c>
      <c r="O2597">
        <v>0</v>
      </c>
      <c r="P2597">
        <v>1</v>
      </c>
      <c r="Q2597">
        <v>0</v>
      </c>
      <c r="R2597">
        <v>0</v>
      </c>
    </row>
    <row r="2598" spans="1:18" x14ac:dyDescent="0.25">
      <c r="A2598" t="s">
        <v>326</v>
      </c>
      <c r="B2598" t="s">
        <v>6</v>
      </c>
      <c r="C2598">
        <v>1</v>
      </c>
      <c r="D2598">
        <v>2</v>
      </c>
      <c r="E2598">
        <v>1</v>
      </c>
      <c r="F2598" s="15">
        <v>46027</v>
      </c>
      <c r="G2598" t="s">
        <v>165</v>
      </c>
      <c r="H2598">
        <v>5</v>
      </c>
      <c r="I2598">
        <v>2026</v>
      </c>
      <c r="J2598">
        <v>1</v>
      </c>
      <c r="K2598" t="s">
        <v>87</v>
      </c>
      <c r="L2598" t="s">
        <v>12</v>
      </c>
      <c r="M2598" t="s">
        <v>6</v>
      </c>
      <c r="N2598" t="b">
        <v>0</v>
      </c>
      <c r="O2598">
        <v>0</v>
      </c>
      <c r="P2598">
        <v>1</v>
      </c>
      <c r="Q2598">
        <v>0</v>
      </c>
      <c r="R2598">
        <v>0</v>
      </c>
    </row>
    <row r="2599" spans="1:18" x14ac:dyDescent="0.25">
      <c r="A2599" t="s">
        <v>326</v>
      </c>
      <c r="B2599" t="s">
        <v>6</v>
      </c>
      <c r="C2599">
        <v>1</v>
      </c>
      <c r="D2599">
        <v>2</v>
      </c>
      <c r="E2599">
        <v>1</v>
      </c>
      <c r="F2599" s="15">
        <v>46027</v>
      </c>
      <c r="G2599" t="s">
        <v>165</v>
      </c>
      <c r="H2599">
        <v>5</v>
      </c>
      <c r="I2599">
        <v>2026</v>
      </c>
      <c r="J2599">
        <v>1</v>
      </c>
      <c r="K2599" t="s">
        <v>87</v>
      </c>
      <c r="L2599" t="s">
        <v>22</v>
      </c>
      <c r="M2599" t="s">
        <v>8</v>
      </c>
      <c r="N2599" t="b">
        <v>0</v>
      </c>
      <c r="O2599">
        <v>0</v>
      </c>
      <c r="P2599">
        <v>1</v>
      </c>
      <c r="Q2599">
        <v>0</v>
      </c>
      <c r="R2599">
        <v>1</v>
      </c>
    </row>
    <row r="2600" spans="1:18" x14ac:dyDescent="0.25">
      <c r="A2600" t="s">
        <v>12</v>
      </c>
      <c r="B2600" t="s">
        <v>6</v>
      </c>
      <c r="C2600">
        <v>5</v>
      </c>
      <c r="D2600">
        <v>2</v>
      </c>
      <c r="E2600">
        <v>1</v>
      </c>
      <c r="F2600" s="15">
        <v>46027</v>
      </c>
      <c r="G2600" t="s">
        <v>165</v>
      </c>
      <c r="H2600">
        <v>5</v>
      </c>
      <c r="I2600">
        <v>2026</v>
      </c>
      <c r="J2600">
        <v>1</v>
      </c>
      <c r="K2600" t="s">
        <v>87</v>
      </c>
      <c r="L2600" t="s">
        <v>20</v>
      </c>
      <c r="M2600" t="s">
        <v>6</v>
      </c>
      <c r="N2600" t="b">
        <v>0</v>
      </c>
      <c r="O2600">
        <v>0</v>
      </c>
      <c r="P2600">
        <v>1</v>
      </c>
      <c r="Q2600">
        <v>0</v>
      </c>
      <c r="R2600">
        <v>0</v>
      </c>
    </row>
    <row r="2601" spans="1:18" x14ac:dyDescent="0.25">
      <c r="A2601" t="s">
        <v>12</v>
      </c>
      <c r="B2601" t="s">
        <v>6</v>
      </c>
      <c r="C2601">
        <v>5</v>
      </c>
      <c r="D2601">
        <v>2</v>
      </c>
      <c r="E2601">
        <v>1</v>
      </c>
      <c r="F2601" s="15">
        <v>46027</v>
      </c>
      <c r="G2601" t="s">
        <v>165</v>
      </c>
      <c r="H2601">
        <v>5</v>
      </c>
      <c r="I2601">
        <v>2026</v>
      </c>
      <c r="J2601">
        <v>1</v>
      </c>
      <c r="K2601" t="s">
        <v>87</v>
      </c>
      <c r="L2601" t="s">
        <v>52</v>
      </c>
      <c r="M2601" t="s">
        <v>6</v>
      </c>
      <c r="N2601" t="b">
        <v>0</v>
      </c>
      <c r="O2601">
        <v>0</v>
      </c>
      <c r="P2601">
        <v>1</v>
      </c>
      <c r="Q2601">
        <v>0</v>
      </c>
      <c r="R2601">
        <v>0</v>
      </c>
    </row>
    <row r="2602" spans="1:18" x14ac:dyDescent="0.25">
      <c r="A2602" t="s">
        <v>12</v>
      </c>
      <c r="B2602" t="s">
        <v>6</v>
      </c>
      <c r="C2602">
        <v>5</v>
      </c>
      <c r="D2602">
        <v>2</v>
      </c>
      <c r="E2602">
        <v>1</v>
      </c>
      <c r="F2602" s="15">
        <v>46027</v>
      </c>
      <c r="G2602" t="s">
        <v>165</v>
      </c>
      <c r="H2602">
        <v>5</v>
      </c>
      <c r="I2602">
        <v>2026</v>
      </c>
      <c r="J2602">
        <v>1</v>
      </c>
      <c r="K2602" t="s">
        <v>87</v>
      </c>
      <c r="L2602" t="s">
        <v>326</v>
      </c>
      <c r="M2602" t="s">
        <v>6</v>
      </c>
      <c r="N2602" t="b">
        <v>0</v>
      </c>
      <c r="O2602">
        <v>0</v>
      </c>
      <c r="P2602">
        <v>1</v>
      </c>
      <c r="Q2602">
        <v>0</v>
      </c>
      <c r="R2602">
        <v>0</v>
      </c>
    </row>
    <row r="2603" spans="1:18" x14ac:dyDescent="0.25">
      <c r="A2603" t="s">
        <v>12</v>
      </c>
      <c r="B2603" t="s">
        <v>6</v>
      </c>
      <c r="C2603">
        <v>5</v>
      </c>
      <c r="D2603">
        <v>2</v>
      </c>
      <c r="E2603">
        <v>1</v>
      </c>
      <c r="F2603" s="15">
        <v>46027</v>
      </c>
      <c r="G2603" t="s">
        <v>165</v>
      </c>
      <c r="H2603">
        <v>5</v>
      </c>
      <c r="I2603">
        <v>2026</v>
      </c>
      <c r="J2603">
        <v>1</v>
      </c>
      <c r="K2603" t="s">
        <v>87</v>
      </c>
      <c r="L2603" t="s">
        <v>22</v>
      </c>
      <c r="M2603" t="s">
        <v>8</v>
      </c>
      <c r="N2603" t="b">
        <v>0</v>
      </c>
      <c r="O2603">
        <v>0</v>
      </c>
      <c r="P2603">
        <v>1</v>
      </c>
      <c r="Q2603">
        <v>0</v>
      </c>
      <c r="R2603">
        <v>1</v>
      </c>
    </row>
    <row r="2604" spans="1:18" x14ac:dyDescent="0.25">
      <c r="A2604" t="s">
        <v>22</v>
      </c>
      <c r="B2604" t="s">
        <v>8</v>
      </c>
      <c r="C2604">
        <v>4</v>
      </c>
      <c r="D2604">
        <v>2</v>
      </c>
      <c r="E2604">
        <v>1</v>
      </c>
      <c r="F2604" s="15">
        <v>46027</v>
      </c>
      <c r="G2604" t="s">
        <v>165</v>
      </c>
      <c r="H2604">
        <v>5</v>
      </c>
      <c r="I2604">
        <v>2026</v>
      </c>
      <c r="J2604">
        <v>1</v>
      </c>
      <c r="K2604" t="s">
        <v>87</v>
      </c>
      <c r="L2604" t="s">
        <v>20</v>
      </c>
      <c r="M2604" t="s">
        <v>6</v>
      </c>
      <c r="N2604" t="b">
        <v>0</v>
      </c>
      <c r="O2604">
        <v>1</v>
      </c>
      <c r="P2604">
        <v>0</v>
      </c>
      <c r="Q2604">
        <v>0</v>
      </c>
      <c r="R2604">
        <v>0</v>
      </c>
    </row>
    <row r="2605" spans="1:18" x14ac:dyDescent="0.25">
      <c r="A2605" t="s">
        <v>22</v>
      </c>
      <c r="B2605" t="s">
        <v>8</v>
      </c>
      <c r="C2605">
        <v>4</v>
      </c>
      <c r="D2605">
        <v>2</v>
      </c>
      <c r="E2605">
        <v>1</v>
      </c>
      <c r="F2605" s="15">
        <v>46027</v>
      </c>
      <c r="G2605" t="s">
        <v>165</v>
      </c>
      <c r="H2605">
        <v>5</v>
      </c>
      <c r="I2605">
        <v>2026</v>
      </c>
      <c r="J2605">
        <v>1</v>
      </c>
      <c r="K2605" t="s">
        <v>87</v>
      </c>
      <c r="L2605" t="s">
        <v>52</v>
      </c>
      <c r="M2605" t="s">
        <v>6</v>
      </c>
      <c r="N2605" t="b">
        <v>0</v>
      </c>
      <c r="O2605">
        <v>1</v>
      </c>
      <c r="P2605">
        <v>0</v>
      </c>
      <c r="Q2605">
        <v>0</v>
      </c>
      <c r="R2605">
        <v>0</v>
      </c>
    </row>
    <row r="2606" spans="1:18" x14ac:dyDescent="0.25">
      <c r="A2606" t="s">
        <v>22</v>
      </c>
      <c r="B2606" t="s">
        <v>8</v>
      </c>
      <c r="C2606">
        <v>4</v>
      </c>
      <c r="D2606">
        <v>2</v>
      </c>
      <c r="E2606">
        <v>1</v>
      </c>
      <c r="F2606" s="15">
        <v>46027</v>
      </c>
      <c r="G2606" t="s">
        <v>165</v>
      </c>
      <c r="H2606">
        <v>5</v>
      </c>
      <c r="I2606">
        <v>2026</v>
      </c>
      <c r="J2606">
        <v>1</v>
      </c>
      <c r="K2606" t="s">
        <v>87</v>
      </c>
      <c r="L2606" t="s">
        <v>326</v>
      </c>
      <c r="M2606" t="s">
        <v>6</v>
      </c>
      <c r="N2606" t="b">
        <v>0</v>
      </c>
      <c r="O2606">
        <v>1</v>
      </c>
      <c r="P2606">
        <v>0</v>
      </c>
      <c r="Q2606">
        <v>0</v>
      </c>
      <c r="R2606">
        <v>0</v>
      </c>
    </row>
    <row r="2607" spans="1:18" x14ac:dyDescent="0.25">
      <c r="A2607" t="s">
        <v>22</v>
      </c>
      <c r="B2607" t="s">
        <v>8</v>
      </c>
      <c r="C2607">
        <v>4</v>
      </c>
      <c r="D2607">
        <v>2</v>
      </c>
      <c r="E2607">
        <v>1</v>
      </c>
      <c r="F2607" s="15">
        <v>46027</v>
      </c>
      <c r="G2607" t="s">
        <v>165</v>
      </c>
      <c r="H2607">
        <v>5</v>
      </c>
      <c r="I2607">
        <v>2026</v>
      </c>
      <c r="J2607">
        <v>1</v>
      </c>
      <c r="K2607" t="s">
        <v>87</v>
      </c>
      <c r="L2607" t="s">
        <v>12</v>
      </c>
      <c r="M2607" t="s">
        <v>6</v>
      </c>
      <c r="N2607" t="b">
        <v>0</v>
      </c>
      <c r="O2607">
        <v>1</v>
      </c>
      <c r="P2607">
        <v>0</v>
      </c>
      <c r="Q2607">
        <v>0</v>
      </c>
      <c r="R2607">
        <v>0</v>
      </c>
    </row>
    <row r="2608" spans="1:18" x14ac:dyDescent="0.25">
      <c r="A2608" t="s">
        <v>20</v>
      </c>
      <c r="B2608" t="s">
        <v>8</v>
      </c>
      <c r="C2608">
        <v>1</v>
      </c>
      <c r="D2608">
        <v>1</v>
      </c>
      <c r="E2608">
        <v>1</v>
      </c>
      <c r="F2608" s="15">
        <v>46034</v>
      </c>
      <c r="G2608" t="s">
        <v>297</v>
      </c>
      <c r="H2608">
        <v>4</v>
      </c>
      <c r="I2608">
        <v>2026</v>
      </c>
      <c r="J2608">
        <v>1</v>
      </c>
      <c r="K2608" t="s">
        <v>87</v>
      </c>
      <c r="L2608" t="s">
        <v>364</v>
      </c>
      <c r="M2608" t="s">
        <v>6</v>
      </c>
      <c r="N2608" t="b">
        <v>0</v>
      </c>
      <c r="O2608">
        <v>1</v>
      </c>
      <c r="P2608">
        <v>0</v>
      </c>
      <c r="Q2608">
        <v>0</v>
      </c>
      <c r="R2608">
        <v>0</v>
      </c>
    </row>
    <row r="2609" spans="1:18" x14ac:dyDescent="0.25">
      <c r="A2609" t="s">
        <v>20</v>
      </c>
      <c r="B2609" t="s">
        <v>8</v>
      </c>
      <c r="C2609">
        <v>1</v>
      </c>
      <c r="D2609">
        <v>1</v>
      </c>
      <c r="E2609">
        <v>1</v>
      </c>
      <c r="F2609" s="15">
        <v>46034</v>
      </c>
      <c r="G2609" t="s">
        <v>297</v>
      </c>
      <c r="H2609">
        <v>4</v>
      </c>
      <c r="I2609">
        <v>2026</v>
      </c>
      <c r="J2609">
        <v>1</v>
      </c>
      <c r="K2609" t="s">
        <v>87</v>
      </c>
      <c r="L2609" t="s">
        <v>27</v>
      </c>
      <c r="M2609" t="s">
        <v>6</v>
      </c>
      <c r="N2609" t="b">
        <v>0</v>
      </c>
      <c r="O2609">
        <v>1</v>
      </c>
      <c r="P2609">
        <v>0</v>
      </c>
      <c r="Q2609">
        <v>0</v>
      </c>
      <c r="R2609">
        <v>0</v>
      </c>
    </row>
    <row r="2610" spans="1:18" x14ac:dyDescent="0.25">
      <c r="A2610" t="s">
        <v>20</v>
      </c>
      <c r="B2610" t="s">
        <v>8</v>
      </c>
      <c r="C2610">
        <v>1</v>
      </c>
      <c r="D2610">
        <v>1</v>
      </c>
      <c r="E2610">
        <v>1</v>
      </c>
      <c r="F2610" s="15">
        <v>46034</v>
      </c>
      <c r="G2610" t="s">
        <v>297</v>
      </c>
      <c r="H2610">
        <v>4</v>
      </c>
      <c r="I2610">
        <v>2026</v>
      </c>
      <c r="J2610">
        <v>1</v>
      </c>
      <c r="K2610" t="s">
        <v>87</v>
      </c>
      <c r="L2610" t="s">
        <v>352</v>
      </c>
      <c r="M2610" t="s">
        <v>6</v>
      </c>
      <c r="N2610" t="b">
        <v>0</v>
      </c>
      <c r="O2610">
        <v>1</v>
      </c>
      <c r="P2610">
        <v>0</v>
      </c>
      <c r="Q2610">
        <v>0</v>
      </c>
      <c r="R2610">
        <v>0</v>
      </c>
    </row>
    <row r="2611" spans="1:18" x14ac:dyDescent="0.25">
      <c r="A2611" t="s">
        <v>364</v>
      </c>
      <c r="B2611" t="s">
        <v>6</v>
      </c>
      <c r="C2611">
        <v>4</v>
      </c>
      <c r="D2611">
        <v>1</v>
      </c>
      <c r="E2611">
        <v>1</v>
      </c>
      <c r="F2611" s="15">
        <v>46034</v>
      </c>
      <c r="G2611" t="s">
        <v>297</v>
      </c>
      <c r="H2611">
        <v>4</v>
      </c>
      <c r="I2611">
        <v>2026</v>
      </c>
      <c r="J2611">
        <v>1</v>
      </c>
      <c r="K2611" t="s">
        <v>87</v>
      </c>
      <c r="L2611" t="s">
        <v>20</v>
      </c>
      <c r="M2611" t="s">
        <v>8</v>
      </c>
      <c r="N2611" t="b">
        <v>0</v>
      </c>
      <c r="O2611">
        <v>0</v>
      </c>
      <c r="P2611">
        <v>1</v>
      </c>
      <c r="Q2611">
        <v>0</v>
      </c>
      <c r="R2611">
        <v>1</v>
      </c>
    </row>
    <row r="2612" spans="1:18" x14ac:dyDescent="0.25">
      <c r="A2612" t="s">
        <v>364</v>
      </c>
      <c r="B2612" t="s">
        <v>6</v>
      </c>
      <c r="C2612">
        <v>4</v>
      </c>
      <c r="D2612">
        <v>1</v>
      </c>
      <c r="E2612">
        <v>1</v>
      </c>
      <c r="F2612" s="15">
        <v>46034</v>
      </c>
      <c r="G2612" t="s">
        <v>297</v>
      </c>
      <c r="H2612">
        <v>4</v>
      </c>
      <c r="I2612">
        <v>2026</v>
      </c>
      <c r="J2612">
        <v>1</v>
      </c>
      <c r="K2612" t="s">
        <v>87</v>
      </c>
      <c r="L2612" t="s">
        <v>27</v>
      </c>
      <c r="M2612" t="s">
        <v>6</v>
      </c>
      <c r="N2612" t="b">
        <v>0</v>
      </c>
      <c r="O2612">
        <v>0</v>
      </c>
      <c r="P2612">
        <v>1</v>
      </c>
      <c r="Q2612">
        <v>0</v>
      </c>
      <c r="R2612">
        <v>0</v>
      </c>
    </row>
    <row r="2613" spans="1:18" x14ac:dyDescent="0.25">
      <c r="A2613" t="s">
        <v>364</v>
      </c>
      <c r="B2613" t="s">
        <v>6</v>
      </c>
      <c r="C2613">
        <v>4</v>
      </c>
      <c r="D2613">
        <v>1</v>
      </c>
      <c r="E2613">
        <v>1</v>
      </c>
      <c r="F2613" s="15">
        <v>46034</v>
      </c>
      <c r="G2613" t="s">
        <v>297</v>
      </c>
      <c r="H2613">
        <v>4</v>
      </c>
      <c r="I2613">
        <v>2026</v>
      </c>
      <c r="J2613">
        <v>1</v>
      </c>
      <c r="K2613" t="s">
        <v>87</v>
      </c>
      <c r="L2613" t="s">
        <v>352</v>
      </c>
      <c r="M2613" t="s">
        <v>6</v>
      </c>
      <c r="N2613" t="b">
        <v>0</v>
      </c>
      <c r="O2613">
        <v>0</v>
      </c>
      <c r="P2613">
        <v>1</v>
      </c>
      <c r="Q2613">
        <v>0</v>
      </c>
      <c r="R2613">
        <v>0</v>
      </c>
    </row>
    <row r="2614" spans="1:18" x14ac:dyDescent="0.25">
      <c r="A2614" t="s">
        <v>27</v>
      </c>
      <c r="B2614" t="s">
        <v>6</v>
      </c>
      <c r="C2614">
        <v>3</v>
      </c>
      <c r="D2614">
        <v>1</v>
      </c>
      <c r="E2614">
        <v>1</v>
      </c>
      <c r="F2614" s="15">
        <v>46034</v>
      </c>
      <c r="G2614" t="s">
        <v>297</v>
      </c>
      <c r="H2614">
        <v>4</v>
      </c>
      <c r="I2614">
        <v>2026</v>
      </c>
      <c r="J2614">
        <v>1</v>
      </c>
      <c r="K2614" t="s">
        <v>87</v>
      </c>
      <c r="L2614" t="s">
        <v>20</v>
      </c>
      <c r="M2614" t="s">
        <v>8</v>
      </c>
      <c r="N2614" t="b">
        <v>0</v>
      </c>
      <c r="O2614">
        <v>0</v>
      </c>
      <c r="P2614">
        <v>1</v>
      </c>
      <c r="Q2614">
        <v>0</v>
      </c>
      <c r="R2614">
        <v>1</v>
      </c>
    </row>
    <row r="2615" spans="1:18" x14ac:dyDescent="0.25">
      <c r="A2615" t="s">
        <v>27</v>
      </c>
      <c r="B2615" t="s">
        <v>6</v>
      </c>
      <c r="C2615">
        <v>3</v>
      </c>
      <c r="D2615">
        <v>1</v>
      </c>
      <c r="E2615">
        <v>1</v>
      </c>
      <c r="F2615" s="15">
        <v>46034</v>
      </c>
      <c r="G2615" t="s">
        <v>297</v>
      </c>
      <c r="H2615">
        <v>4</v>
      </c>
      <c r="I2615">
        <v>2026</v>
      </c>
      <c r="J2615">
        <v>1</v>
      </c>
      <c r="K2615" t="s">
        <v>87</v>
      </c>
      <c r="L2615" t="s">
        <v>364</v>
      </c>
      <c r="M2615" t="s">
        <v>6</v>
      </c>
      <c r="N2615" t="b">
        <v>0</v>
      </c>
      <c r="O2615">
        <v>0</v>
      </c>
      <c r="P2615">
        <v>1</v>
      </c>
      <c r="Q2615">
        <v>0</v>
      </c>
      <c r="R2615">
        <v>0</v>
      </c>
    </row>
    <row r="2616" spans="1:18" x14ac:dyDescent="0.25">
      <c r="A2616" t="s">
        <v>27</v>
      </c>
      <c r="B2616" t="s">
        <v>6</v>
      </c>
      <c r="C2616">
        <v>3</v>
      </c>
      <c r="D2616">
        <v>1</v>
      </c>
      <c r="E2616">
        <v>1</v>
      </c>
      <c r="F2616" s="15">
        <v>46034</v>
      </c>
      <c r="G2616" t="s">
        <v>297</v>
      </c>
      <c r="H2616">
        <v>4</v>
      </c>
      <c r="I2616">
        <v>2026</v>
      </c>
      <c r="J2616">
        <v>1</v>
      </c>
      <c r="K2616" t="s">
        <v>87</v>
      </c>
      <c r="L2616" t="s">
        <v>352</v>
      </c>
      <c r="M2616" t="s">
        <v>6</v>
      </c>
      <c r="N2616" t="b">
        <v>0</v>
      </c>
      <c r="O2616">
        <v>0</v>
      </c>
      <c r="P2616">
        <v>1</v>
      </c>
      <c r="Q2616">
        <v>0</v>
      </c>
      <c r="R2616">
        <v>0</v>
      </c>
    </row>
    <row r="2617" spans="1:18" x14ac:dyDescent="0.25">
      <c r="A2617" t="s">
        <v>352</v>
      </c>
      <c r="B2617" t="s">
        <v>6</v>
      </c>
      <c r="C2617">
        <v>2</v>
      </c>
      <c r="D2617">
        <v>1</v>
      </c>
      <c r="E2617">
        <v>1</v>
      </c>
      <c r="F2617" s="15">
        <v>46034</v>
      </c>
      <c r="G2617" t="s">
        <v>297</v>
      </c>
      <c r="H2617">
        <v>4</v>
      </c>
      <c r="I2617">
        <v>2026</v>
      </c>
      <c r="J2617">
        <v>1</v>
      </c>
      <c r="K2617" t="s">
        <v>87</v>
      </c>
      <c r="L2617" t="s">
        <v>20</v>
      </c>
      <c r="M2617" t="s">
        <v>8</v>
      </c>
      <c r="N2617" t="b">
        <v>0</v>
      </c>
      <c r="O2617">
        <v>0</v>
      </c>
      <c r="P2617">
        <v>1</v>
      </c>
      <c r="Q2617">
        <v>0</v>
      </c>
      <c r="R2617">
        <v>1</v>
      </c>
    </row>
    <row r="2618" spans="1:18" x14ac:dyDescent="0.25">
      <c r="A2618" t="s">
        <v>352</v>
      </c>
      <c r="B2618" t="s">
        <v>6</v>
      </c>
      <c r="C2618">
        <v>2</v>
      </c>
      <c r="D2618">
        <v>1</v>
      </c>
      <c r="E2618">
        <v>1</v>
      </c>
      <c r="F2618" s="15">
        <v>46034</v>
      </c>
      <c r="G2618" t="s">
        <v>297</v>
      </c>
      <c r="H2618">
        <v>4</v>
      </c>
      <c r="I2618">
        <v>2026</v>
      </c>
      <c r="J2618">
        <v>1</v>
      </c>
      <c r="K2618" t="s">
        <v>87</v>
      </c>
      <c r="L2618" t="s">
        <v>364</v>
      </c>
      <c r="M2618" t="s">
        <v>6</v>
      </c>
      <c r="N2618" t="b">
        <v>0</v>
      </c>
      <c r="O2618">
        <v>0</v>
      </c>
      <c r="P2618">
        <v>1</v>
      </c>
      <c r="Q2618">
        <v>0</v>
      </c>
      <c r="R2618">
        <v>0</v>
      </c>
    </row>
    <row r="2619" spans="1:18" x14ac:dyDescent="0.25">
      <c r="A2619" t="s">
        <v>352</v>
      </c>
      <c r="B2619" t="s">
        <v>6</v>
      </c>
      <c r="C2619">
        <v>2</v>
      </c>
      <c r="D2619">
        <v>1</v>
      </c>
      <c r="E2619">
        <v>1</v>
      </c>
      <c r="F2619" s="15">
        <v>46034</v>
      </c>
      <c r="G2619" t="s">
        <v>297</v>
      </c>
      <c r="H2619">
        <v>4</v>
      </c>
      <c r="I2619">
        <v>2026</v>
      </c>
      <c r="J2619">
        <v>1</v>
      </c>
      <c r="K2619" t="s">
        <v>87</v>
      </c>
      <c r="L2619" t="s">
        <v>27</v>
      </c>
      <c r="M2619" t="s">
        <v>6</v>
      </c>
      <c r="N2619" t="b">
        <v>0</v>
      </c>
      <c r="O2619">
        <v>0</v>
      </c>
      <c r="P2619">
        <v>1</v>
      </c>
      <c r="Q2619">
        <v>0</v>
      </c>
      <c r="R2619">
        <v>0</v>
      </c>
    </row>
    <row r="2620" spans="1:18" x14ac:dyDescent="0.25">
      <c r="A2620" t="s">
        <v>20</v>
      </c>
      <c r="B2620" t="s">
        <v>6</v>
      </c>
      <c r="C2620">
        <v>3</v>
      </c>
      <c r="D2620">
        <v>5</v>
      </c>
      <c r="E2620">
        <v>1</v>
      </c>
      <c r="F2620" s="15">
        <v>46041</v>
      </c>
      <c r="G2620" t="s">
        <v>315</v>
      </c>
      <c r="H2620">
        <v>4</v>
      </c>
      <c r="I2620">
        <v>2026</v>
      </c>
      <c r="J2620">
        <v>1</v>
      </c>
      <c r="K2620" t="s">
        <v>87</v>
      </c>
      <c r="L2620" t="s">
        <v>52</v>
      </c>
      <c r="M2620" t="s">
        <v>6</v>
      </c>
      <c r="N2620" t="b">
        <v>0</v>
      </c>
      <c r="O2620">
        <v>0</v>
      </c>
      <c r="P2620">
        <v>1</v>
      </c>
      <c r="Q2620">
        <v>0</v>
      </c>
      <c r="R2620">
        <v>0</v>
      </c>
    </row>
    <row r="2621" spans="1:18" x14ac:dyDescent="0.25">
      <c r="A2621" t="s">
        <v>20</v>
      </c>
      <c r="B2621" t="s">
        <v>6</v>
      </c>
      <c r="C2621">
        <v>3</v>
      </c>
      <c r="D2621">
        <v>5</v>
      </c>
      <c r="E2621">
        <v>1</v>
      </c>
      <c r="F2621" s="15">
        <v>46041</v>
      </c>
      <c r="G2621" t="s">
        <v>315</v>
      </c>
      <c r="H2621">
        <v>4</v>
      </c>
      <c r="I2621">
        <v>2026</v>
      </c>
      <c r="J2621">
        <v>1</v>
      </c>
      <c r="K2621" t="s">
        <v>87</v>
      </c>
      <c r="L2621" t="s">
        <v>352</v>
      </c>
      <c r="M2621" t="s">
        <v>6</v>
      </c>
      <c r="N2621" t="b">
        <v>0</v>
      </c>
      <c r="O2621">
        <v>0</v>
      </c>
      <c r="P2621">
        <v>1</v>
      </c>
      <c r="Q2621">
        <v>0</v>
      </c>
      <c r="R2621">
        <v>0</v>
      </c>
    </row>
    <row r="2622" spans="1:18" x14ac:dyDescent="0.25">
      <c r="A2622" t="s">
        <v>20</v>
      </c>
      <c r="B2622" t="s">
        <v>6</v>
      </c>
      <c r="C2622">
        <v>3</v>
      </c>
      <c r="D2622">
        <v>5</v>
      </c>
      <c r="E2622">
        <v>1</v>
      </c>
      <c r="F2622" s="15">
        <v>46041</v>
      </c>
      <c r="G2622" t="s">
        <v>315</v>
      </c>
      <c r="H2622">
        <v>4</v>
      </c>
      <c r="I2622">
        <v>2026</v>
      </c>
      <c r="J2622">
        <v>1</v>
      </c>
      <c r="K2622" t="s">
        <v>87</v>
      </c>
      <c r="L2622" t="s">
        <v>432</v>
      </c>
      <c r="M2622" t="s">
        <v>8</v>
      </c>
      <c r="N2622" t="b">
        <v>0</v>
      </c>
      <c r="O2622">
        <v>0</v>
      </c>
      <c r="P2622">
        <v>1</v>
      </c>
      <c r="Q2622">
        <v>0</v>
      </c>
      <c r="R2622">
        <v>1</v>
      </c>
    </row>
    <row r="2623" spans="1:18" x14ac:dyDescent="0.25">
      <c r="A2623" t="s">
        <v>52</v>
      </c>
      <c r="B2623" t="s">
        <v>6</v>
      </c>
      <c r="C2623">
        <v>2</v>
      </c>
      <c r="D2623">
        <v>5</v>
      </c>
      <c r="E2623">
        <v>1</v>
      </c>
      <c r="F2623" s="15">
        <v>46041</v>
      </c>
      <c r="G2623" t="s">
        <v>315</v>
      </c>
      <c r="H2623">
        <v>4</v>
      </c>
      <c r="I2623">
        <v>2026</v>
      </c>
      <c r="J2623">
        <v>1</v>
      </c>
      <c r="K2623" t="s">
        <v>87</v>
      </c>
      <c r="L2623" t="s">
        <v>20</v>
      </c>
      <c r="M2623" t="s">
        <v>6</v>
      </c>
      <c r="N2623" t="b">
        <v>0</v>
      </c>
      <c r="O2623">
        <v>0</v>
      </c>
      <c r="P2623">
        <v>1</v>
      </c>
      <c r="Q2623">
        <v>0</v>
      </c>
      <c r="R2623">
        <v>0</v>
      </c>
    </row>
    <row r="2624" spans="1:18" x14ac:dyDescent="0.25">
      <c r="A2624" t="s">
        <v>52</v>
      </c>
      <c r="B2624" t="s">
        <v>6</v>
      </c>
      <c r="C2624">
        <v>2</v>
      </c>
      <c r="D2624">
        <v>5</v>
      </c>
      <c r="E2624">
        <v>1</v>
      </c>
      <c r="F2624" s="15">
        <v>46041</v>
      </c>
      <c r="G2624" t="s">
        <v>315</v>
      </c>
      <c r="H2624">
        <v>4</v>
      </c>
      <c r="I2624">
        <v>2026</v>
      </c>
      <c r="J2624">
        <v>1</v>
      </c>
      <c r="K2624" t="s">
        <v>87</v>
      </c>
      <c r="L2624" t="s">
        <v>352</v>
      </c>
      <c r="M2624" t="s">
        <v>6</v>
      </c>
      <c r="N2624" t="b">
        <v>0</v>
      </c>
      <c r="O2624">
        <v>0</v>
      </c>
      <c r="P2624">
        <v>1</v>
      </c>
      <c r="Q2624">
        <v>0</v>
      </c>
      <c r="R2624">
        <v>0</v>
      </c>
    </row>
    <row r="2625" spans="1:18" x14ac:dyDescent="0.25">
      <c r="A2625" t="s">
        <v>52</v>
      </c>
      <c r="B2625" t="s">
        <v>6</v>
      </c>
      <c r="C2625">
        <v>2</v>
      </c>
      <c r="D2625">
        <v>5</v>
      </c>
      <c r="E2625">
        <v>1</v>
      </c>
      <c r="F2625" s="15">
        <v>46041</v>
      </c>
      <c r="G2625" t="s">
        <v>315</v>
      </c>
      <c r="H2625">
        <v>4</v>
      </c>
      <c r="I2625">
        <v>2026</v>
      </c>
      <c r="J2625">
        <v>1</v>
      </c>
      <c r="K2625" t="s">
        <v>87</v>
      </c>
      <c r="L2625" t="s">
        <v>432</v>
      </c>
      <c r="M2625" t="s">
        <v>8</v>
      </c>
      <c r="N2625" t="b">
        <v>0</v>
      </c>
      <c r="O2625">
        <v>0</v>
      </c>
      <c r="P2625">
        <v>1</v>
      </c>
      <c r="Q2625">
        <v>0</v>
      </c>
      <c r="R2625">
        <v>1</v>
      </c>
    </row>
    <row r="2626" spans="1:18" x14ac:dyDescent="0.25">
      <c r="A2626" t="s">
        <v>352</v>
      </c>
      <c r="B2626" t="s">
        <v>6</v>
      </c>
      <c r="C2626">
        <v>4</v>
      </c>
      <c r="D2626">
        <v>5</v>
      </c>
      <c r="E2626">
        <v>1</v>
      </c>
      <c r="F2626" s="15">
        <v>46041</v>
      </c>
      <c r="G2626" t="s">
        <v>315</v>
      </c>
      <c r="H2626">
        <v>4</v>
      </c>
      <c r="I2626">
        <v>2026</v>
      </c>
      <c r="J2626">
        <v>1</v>
      </c>
      <c r="K2626" t="s">
        <v>87</v>
      </c>
      <c r="L2626" t="s">
        <v>20</v>
      </c>
      <c r="M2626" t="s">
        <v>6</v>
      </c>
      <c r="N2626" t="b">
        <v>0</v>
      </c>
      <c r="O2626">
        <v>0</v>
      </c>
      <c r="P2626">
        <v>1</v>
      </c>
      <c r="Q2626">
        <v>0</v>
      </c>
      <c r="R2626">
        <v>0</v>
      </c>
    </row>
    <row r="2627" spans="1:18" x14ac:dyDescent="0.25">
      <c r="A2627" t="s">
        <v>352</v>
      </c>
      <c r="B2627" t="s">
        <v>6</v>
      </c>
      <c r="C2627">
        <v>4</v>
      </c>
      <c r="D2627">
        <v>5</v>
      </c>
      <c r="E2627">
        <v>1</v>
      </c>
      <c r="F2627" s="15">
        <v>46041</v>
      </c>
      <c r="G2627" t="s">
        <v>315</v>
      </c>
      <c r="H2627">
        <v>4</v>
      </c>
      <c r="I2627">
        <v>2026</v>
      </c>
      <c r="J2627">
        <v>1</v>
      </c>
      <c r="K2627" t="s">
        <v>87</v>
      </c>
      <c r="L2627" t="s">
        <v>52</v>
      </c>
      <c r="M2627" t="s">
        <v>6</v>
      </c>
      <c r="N2627" t="b">
        <v>0</v>
      </c>
      <c r="O2627">
        <v>0</v>
      </c>
      <c r="P2627">
        <v>1</v>
      </c>
      <c r="Q2627">
        <v>0</v>
      </c>
      <c r="R2627">
        <v>0</v>
      </c>
    </row>
    <row r="2628" spans="1:18" x14ac:dyDescent="0.25">
      <c r="A2628" t="s">
        <v>352</v>
      </c>
      <c r="B2628" t="s">
        <v>6</v>
      </c>
      <c r="C2628">
        <v>4</v>
      </c>
      <c r="D2628">
        <v>5</v>
      </c>
      <c r="E2628">
        <v>1</v>
      </c>
      <c r="F2628" s="15">
        <v>46041</v>
      </c>
      <c r="G2628" t="s">
        <v>315</v>
      </c>
      <c r="H2628">
        <v>4</v>
      </c>
      <c r="I2628">
        <v>2026</v>
      </c>
      <c r="J2628">
        <v>1</v>
      </c>
      <c r="K2628" t="s">
        <v>87</v>
      </c>
      <c r="L2628" t="s">
        <v>432</v>
      </c>
      <c r="M2628" t="s">
        <v>8</v>
      </c>
      <c r="N2628" t="b">
        <v>0</v>
      </c>
      <c r="O2628">
        <v>0</v>
      </c>
      <c r="P2628">
        <v>1</v>
      </c>
      <c r="Q2628">
        <v>0</v>
      </c>
      <c r="R2628">
        <v>1</v>
      </c>
    </row>
    <row r="2629" spans="1:18" x14ac:dyDescent="0.25">
      <c r="A2629" t="s">
        <v>432</v>
      </c>
      <c r="B2629" t="s">
        <v>8</v>
      </c>
      <c r="C2629">
        <v>1</v>
      </c>
      <c r="D2629">
        <v>5</v>
      </c>
      <c r="E2629">
        <v>1</v>
      </c>
      <c r="F2629" s="15">
        <v>46041</v>
      </c>
      <c r="G2629" t="s">
        <v>315</v>
      </c>
      <c r="H2629">
        <v>4</v>
      </c>
      <c r="I2629">
        <v>2026</v>
      </c>
      <c r="J2629">
        <v>1</v>
      </c>
      <c r="K2629" t="s">
        <v>87</v>
      </c>
      <c r="L2629" t="s">
        <v>20</v>
      </c>
      <c r="M2629" t="s">
        <v>6</v>
      </c>
      <c r="N2629" t="b">
        <v>0</v>
      </c>
      <c r="O2629">
        <v>1</v>
      </c>
      <c r="P2629">
        <v>0</v>
      </c>
      <c r="Q2629">
        <v>0</v>
      </c>
      <c r="R2629">
        <v>0</v>
      </c>
    </row>
    <row r="2630" spans="1:18" x14ac:dyDescent="0.25">
      <c r="A2630" t="s">
        <v>432</v>
      </c>
      <c r="B2630" t="s">
        <v>8</v>
      </c>
      <c r="C2630">
        <v>1</v>
      </c>
      <c r="D2630">
        <v>5</v>
      </c>
      <c r="E2630">
        <v>1</v>
      </c>
      <c r="F2630" s="15">
        <v>46041</v>
      </c>
      <c r="G2630" t="s">
        <v>315</v>
      </c>
      <c r="H2630">
        <v>4</v>
      </c>
      <c r="I2630">
        <v>2026</v>
      </c>
      <c r="J2630">
        <v>1</v>
      </c>
      <c r="K2630" t="s">
        <v>87</v>
      </c>
      <c r="L2630" t="s">
        <v>52</v>
      </c>
      <c r="M2630" t="s">
        <v>6</v>
      </c>
      <c r="N2630" t="b">
        <v>0</v>
      </c>
      <c r="O2630">
        <v>1</v>
      </c>
      <c r="P2630">
        <v>0</v>
      </c>
      <c r="Q2630">
        <v>0</v>
      </c>
      <c r="R2630">
        <v>0</v>
      </c>
    </row>
    <row r="2631" spans="1:18" x14ac:dyDescent="0.25">
      <c r="A2631" t="s">
        <v>432</v>
      </c>
      <c r="B2631" t="s">
        <v>8</v>
      </c>
      <c r="C2631">
        <v>1</v>
      </c>
      <c r="D2631">
        <v>5</v>
      </c>
      <c r="E2631">
        <v>1</v>
      </c>
      <c r="F2631" s="15">
        <v>46041</v>
      </c>
      <c r="G2631" t="s">
        <v>315</v>
      </c>
      <c r="H2631">
        <v>4</v>
      </c>
      <c r="I2631">
        <v>2026</v>
      </c>
      <c r="J2631">
        <v>1</v>
      </c>
      <c r="K2631" t="s">
        <v>87</v>
      </c>
      <c r="L2631" t="s">
        <v>352</v>
      </c>
      <c r="M2631" t="s">
        <v>6</v>
      </c>
      <c r="N2631" t="b">
        <v>0</v>
      </c>
      <c r="O2631">
        <v>1</v>
      </c>
      <c r="P2631">
        <v>0</v>
      </c>
      <c r="Q2631">
        <v>0</v>
      </c>
      <c r="R2631">
        <v>0</v>
      </c>
    </row>
    <row r="2632" spans="1:18" x14ac:dyDescent="0.25">
      <c r="A2632" t="s">
        <v>20</v>
      </c>
      <c r="B2632" t="s">
        <v>6</v>
      </c>
      <c r="C2632">
        <v>1</v>
      </c>
      <c r="D2632">
        <v>4</v>
      </c>
      <c r="E2632">
        <v>2</v>
      </c>
      <c r="F2632" s="15">
        <v>46041</v>
      </c>
      <c r="G2632" t="s">
        <v>319</v>
      </c>
      <c r="H2632">
        <v>4</v>
      </c>
      <c r="I2632">
        <v>2026</v>
      </c>
      <c r="J2632">
        <v>1</v>
      </c>
      <c r="K2632" t="s">
        <v>87</v>
      </c>
      <c r="L2632" t="s">
        <v>364</v>
      </c>
      <c r="M2632" t="s">
        <v>8</v>
      </c>
      <c r="N2632" t="b">
        <v>0</v>
      </c>
      <c r="O2632">
        <v>0</v>
      </c>
      <c r="P2632">
        <v>1</v>
      </c>
      <c r="Q2632">
        <v>0</v>
      </c>
      <c r="R2632">
        <v>1</v>
      </c>
    </row>
    <row r="2633" spans="1:18" x14ac:dyDescent="0.25">
      <c r="A2633" t="s">
        <v>20</v>
      </c>
      <c r="B2633" t="s">
        <v>6</v>
      </c>
      <c r="C2633">
        <v>1</v>
      </c>
      <c r="D2633">
        <v>4</v>
      </c>
      <c r="E2633">
        <v>2</v>
      </c>
      <c r="F2633" s="15">
        <v>46041</v>
      </c>
      <c r="G2633" t="s">
        <v>319</v>
      </c>
      <c r="H2633">
        <v>4</v>
      </c>
      <c r="I2633">
        <v>2026</v>
      </c>
      <c r="J2633">
        <v>1</v>
      </c>
      <c r="K2633" t="s">
        <v>87</v>
      </c>
      <c r="L2633" t="s">
        <v>44</v>
      </c>
      <c r="M2633" t="s">
        <v>6</v>
      </c>
      <c r="N2633" t="b">
        <v>0</v>
      </c>
      <c r="O2633">
        <v>0</v>
      </c>
      <c r="P2633">
        <v>1</v>
      </c>
      <c r="Q2633">
        <v>0</v>
      </c>
      <c r="R2633">
        <v>0</v>
      </c>
    </row>
    <row r="2634" spans="1:18" x14ac:dyDescent="0.25">
      <c r="A2634" t="s">
        <v>20</v>
      </c>
      <c r="B2634" t="s">
        <v>6</v>
      </c>
      <c r="C2634">
        <v>1</v>
      </c>
      <c r="D2634">
        <v>4</v>
      </c>
      <c r="E2634">
        <v>2</v>
      </c>
      <c r="F2634" s="15">
        <v>46041</v>
      </c>
      <c r="G2634" t="s">
        <v>319</v>
      </c>
      <c r="H2634">
        <v>4</v>
      </c>
      <c r="I2634">
        <v>2026</v>
      </c>
      <c r="J2634">
        <v>1</v>
      </c>
      <c r="K2634" t="s">
        <v>87</v>
      </c>
      <c r="L2634" t="s">
        <v>9</v>
      </c>
      <c r="M2634" t="s">
        <v>6</v>
      </c>
      <c r="N2634" t="b">
        <v>0</v>
      </c>
      <c r="O2634">
        <v>0</v>
      </c>
      <c r="P2634">
        <v>1</v>
      </c>
      <c r="Q2634">
        <v>0</v>
      </c>
      <c r="R2634">
        <v>0</v>
      </c>
    </row>
    <row r="2635" spans="1:18" x14ac:dyDescent="0.25">
      <c r="A2635" t="s">
        <v>364</v>
      </c>
      <c r="B2635" t="s">
        <v>8</v>
      </c>
      <c r="C2635">
        <v>3</v>
      </c>
      <c r="D2635">
        <v>4</v>
      </c>
      <c r="E2635">
        <v>2</v>
      </c>
      <c r="F2635" s="15">
        <v>46041</v>
      </c>
      <c r="G2635" t="s">
        <v>319</v>
      </c>
      <c r="H2635">
        <v>4</v>
      </c>
      <c r="I2635">
        <v>2026</v>
      </c>
      <c r="J2635">
        <v>1</v>
      </c>
      <c r="K2635" t="s">
        <v>87</v>
      </c>
      <c r="L2635" t="s">
        <v>20</v>
      </c>
      <c r="M2635" t="s">
        <v>6</v>
      </c>
      <c r="N2635" t="b">
        <v>0</v>
      </c>
      <c r="O2635">
        <v>1</v>
      </c>
      <c r="P2635">
        <v>0</v>
      </c>
      <c r="Q2635">
        <v>0</v>
      </c>
      <c r="R2635">
        <v>0</v>
      </c>
    </row>
    <row r="2636" spans="1:18" x14ac:dyDescent="0.25">
      <c r="A2636" t="s">
        <v>364</v>
      </c>
      <c r="B2636" t="s">
        <v>8</v>
      </c>
      <c r="C2636">
        <v>3</v>
      </c>
      <c r="D2636">
        <v>4</v>
      </c>
      <c r="E2636">
        <v>2</v>
      </c>
      <c r="F2636" s="15">
        <v>46041</v>
      </c>
      <c r="G2636" t="s">
        <v>319</v>
      </c>
      <c r="H2636">
        <v>4</v>
      </c>
      <c r="I2636">
        <v>2026</v>
      </c>
      <c r="J2636">
        <v>1</v>
      </c>
      <c r="K2636" t="s">
        <v>87</v>
      </c>
      <c r="L2636" t="s">
        <v>44</v>
      </c>
      <c r="M2636" t="s">
        <v>6</v>
      </c>
      <c r="N2636" t="b">
        <v>0</v>
      </c>
      <c r="O2636">
        <v>1</v>
      </c>
      <c r="P2636">
        <v>0</v>
      </c>
      <c r="Q2636">
        <v>0</v>
      </c>
      <c r="R2636">
        <v>0</v>
      </c>
    </row>
    <row r="2637" spans="1:18" x14ac:dyDescent="0.25">
      <c r="A2637" t="s">
        <v>364</v>
      </c>
      <c r="B2637" t="s">
        <v>8</v>
      </c>
      <c r="C2637">
        <v>3</v>
      </c>
      <c r="D2637">
        <v>4</v>
      </c>
      <c r="E2637">
        <v>2</v>
      </c>
      <c r="F2637" s="15">
        <v>46041</v>
      </c>
      <c r="G2637" t="s">
        <v>319</v>
      </c>
      <c r="H2637">
        <v>4</v>
      </c>
      <c r="I2637">
        <v>2026</v>
      </c>
      <c r="J2637">
        <v>1</v>
      </c>
      <c r="K2637" t="s">
        <v>87</v>
      </c>
      <c r="L2637" t="s">
        <v>9</v>
      </c>
      <c r="M2637" t="s">
        <v>6</v>
      </c>
      <c r="N2637" t="b">
        <v>0</v>
      </c>
      <c r="O2637">
        <v>1</v>
      </c>
      <c r="P2637">
        <v>0</v>
      </c>
      <c r="Q2637">
        <v>0</v>
      </c>
      <c r="R2637">
        <v>0</v>
      </c>
    </row>
    <row r="2638" spans="1:18" x14ac:dyDescent="0.25">
      <c r="A2638" t="s">
        <v>44</v>
      </c>
      <c r="B2638" t="s">
        <v>6</v>
      </c>
      <c r="C2638">
        <v>4</v>
      </c>
      <c r="D2638">
        <v>4</v>
      </c>
      <c r="E2638">
        <v>2</v>
      </c>
      <c r="F2638" s="15">
        <v>46041</v>
      </c>
      <c r="G2638" t="s">
        <v>319</v>
      </c>
      <c r="H2638">
        <v>4</v>
      </c>
      <c r="I2638">
        <v>2026</v>
      </c>
      <c r="J2638">
        <v>1</v>
      </c>
      <c r="K2638" t="s">
        <v>87</v>
      </c>
      <c r="L2638" t="s">
        <v>20</v>
      </c>
      <c r="M2638" t="s">
        <v>6</v>
      </c>
      <c r="N2638" t="b">
        <v>0</v>
      </c>
      <c r="O2638">
        <v>0</v>
      </c>
      <c r="P2638">
        <v>1</v>
      </c>
      <c r="Q2638">
        <v>0</v>
      </c>
      <c r="R2638">
        <v>0</v>
      </c>
    </row>
    <row r="2639" spans="1:18" x14ac:dyDescent="0.25">
      <c r="A2639" t="s">
        <v>44</v>
      </c>
      <c r="B2639" t="s">
        <v>6</v>
      </c>
      <c r="C2639">
        <v>4</v>
      </c>
      <c r="D2639">
        <v>4</v>
      </c>
      <c r="E2639">
        <v>2</v>
      </c>
      <c r="F2639" s="15">
        <v>46041</v>
      </c>
      <c r="G2639" t="s">
        <v>319</v>
      </c>
      <c r="H2639">
        <v>4</v>
      </c>
      <c r="I2639">
        <v>2026</v>
      </c>
      <c r="J2639">
        <v>1</v>
      </c>
      <c r="K2639" t="s">
        <v>87</v>
      </c>
      <c r="L2639" t="s">
        <v>364</v>
      </c>
      <c r="M2639" t="s">
        <v>8</v>
      </c>
      <c r="N2639" t="b">
        <v>0</v>
      </c>
      <c r="O2639">
        <v>0</v>
      </c>
      <c r="P2639">
        <v>1</v>
      </c>
      <c r="Q2639">
        <v>0</v>
      </c>
      <c r="R2639">
        <v>1</v>
      </c>
    </row>
    <row r="2640" spans="1:18" x14ac:dyDescent="0.25">
      <c r="A2640" t="s">
        <v>44</v>
      </c>
      <c r="B2640" t="s">
        <v>6</v>
      </c>
      <c r="C2640">
        <v>4</v>
      </c>
      <c r="D2640">
        <v>4</v>
      </c>
      <c r="E2640">
        <v>2</v>
      </c>
      <c r="F2640" s="15">
        <v>46041</v>
      </c>
      <c r="G2640" t="s">
        <v>319</v>
      </c>
      <c r="H2640">
        <v>4</v>
      </c>
      <c r="I2640">
        <v>2026</v>
      </c>
      <c r="J2640">
        <v>1</v>
      </c>
      <c r="K2640" t="s">
        <v>87</v>
      </c>
      <c r="L2640" t="s">
        <v>9</v>
      </c>
      <c r="M2640" t="s">
        <v>6</v>
      </c>
      <c r="N2640" t="b">
        <v>0</v>
      </c>
      <c r="O2640">
        <v>0</v>
      </c>
      <c r="P2640">
        <v>1</v>
      </c>
      <c r="Q2640">
        <v>0</v>
      </c>
      <c r="R2640">
        <v>0</v>
      </c>
    </row>
    <row r="2641" spans="1:18" x14ac:dyDescent="0.25">
      <c r="A2641" t="s">
        <v>9</v>
      </c>
      <c r="B2641" t="s">
        <v>6</v>
      </c>
      <c r="C2641">
        <v>2</v>
      </c>
      <c r="D2641">
        <v>4</v>
      </c>
      <c r="E2641">
        <v>2</v>
      </c>
      <c r="F2641" s="15">
        <v>46041</v>
      </c>
      <c r="G2641" t="s">
        <v>319</v>
      </c>
      <c r="H2641">
        <v>4</v>
      </c>
      <c r="I2641">
        <v>2026</v>
      </c>
      <c r="J2641">
        <v>1</v>
      </c>
      <c r="K2641" t="s">
        <v>87</v>
      </c>
      <c r="L2641" t="s">
        <v>20</v>
      </c>
      <c r="M2641" t="s">
        <v>6</v>
      </c>
      <c r="N2641" t="b">
        <v>0</v>
      </c>
      <c r="O2641">
        <v>0</v>
      </c>
      <c r="P2641">
        <v>1</v>
      </c>
      <c r="Q2641">
        <v>0</v>
      </c>
      <c r="R2641">
        <v>0</v>
      </c>
    </row>
    <row r="2642" spans="1:18" x14ac:dyDescent="0.25">
      <c r="A2642" t="s">
        <v>9</v>
      </c>
      <c r="B2642" t="s">
        <v>6</v>
      </c>
      <c r="C2642">
        <v>2</v>
      </c>
      <c r="D2642">
        <v>4</v>
      </c>
      <c r="E2642">
        <v>2</v>
      </c>
      <c r="F2642" s="15">
        <v>46041</v>
      </c>
      <c r="G2642" t="s">
        <v>319</v>
      </c>
      <c r="H2642">
        <v>4</v>
      </c>
      <c r="I2642">
        <v>2026</v>
      </c>
      <c r="J2642">
        <v>1</v>
      </c>
      <c r="K2642" t="s">
        <v>87</v>
      </c>
      <c r="L2642" t="s">
        <v>364</v>
      </c>
      <c r="M2642" t="s">
        <v>8</v>
      </c>
      <c r="N2642" t="b">
        <v>0</v>
      </c>
      <c r="O2642">
        <v>0</v>
      </c>
      <c r="P2642">
        <v>1</v>
      </c>
      <c r="Q2642">
        <v>0</v>
      </c>
      <c r="R2642">
        <v>1</v>
      </c>
    </row>
    <row r="2643" spans="1:18" x14ac:dyDescent="0.25">
      <c r="A2643" t="s">
        <v>9</v>
      </c>
      <c r="B2643" t="s">
        <v>6</v>
      </c>
      <c r="C2643">
        <v>2</v>
      </c>
      <c r="D2643">
        <v>4</v>
      </c>
      <c r="E2643">
        <v>2</v>
      </c>
      <c r="F2643" s="15">
        <v>46041</v>
      </c>
      <c r="G2643" t="s">
        <v>319</v>
      </c>
      <c r="H2643">
        <v>4</v>
      </c>
      <c r="I2643">
        <v>2026</v>
      </c>
      <c r="J2643">
        <v>1</v>
      </c>
      <c r="K2643" t="s">
        <v>87</v>
      </c>
      <c r="L2643" t="s">
        <v>44</v>
      </c>
      <c r="M2643" t="s">
        <v>6</v>
      </c>
      <c r="N2643" t="b">
        <v>0</v>
      </c>
      <c r="O2643">
        <v>0</v>
      </c>
      <c r="P2643">
        <v>1</v>
      </c>
      <c r="Q2643">
        <v>0</v>
      </c>
      <c r="R2643">
        <v>0</v>
      </c>
    </row>
    <row r="2644" spans="1:18" x14ac:dyDescent="0.25">
      <c r="A2644" t="s">
        <v>52</v>
      </c>
      <c r="B2644" t="s">
        <v>6</v>
      </c>
      <c r="C2644">
        <v>1</v>
      </c>
      <c r="D2644">
        <v>4</v>
      </c>
      <c r="E2644">
        <v>1</v>
      </c>
      <c r="F2644" s="15">
        <v>45915</v>
      </c>
      <c r="G2644" t="s">
        <v>243</v>
      </c>
      <c r="H2644">
        <v>3</v>
      </c>
      <c r="I2644">
        <v>2025</v>
      </c>
      <c r="J2644">
        <v>9</v>
      </c>
      <c r="K2644" t="s">
        <v>87</v>
      </c>
      <c r="L2644" t="s">
        <v>42</v>
      </c>
      <c r="M2644" t="s">
        <v>6</v>
      </c>
      <c r="N2644" t="b">
        <v>0</v>
      </c>
      <c r="O2644">
        <v>0</v>
      </c>
      <c r="P2644">
        <v>1</v>
      </c>
      <c r="Q2644">
        <v>0</v>
      </c>
      <c r="R2644">
        <v>0</v>
      </c>
    </row>
    <row r="2645" spans="1:18" x14ac:dyDescent="0.25">
      <c r="A2645" t="s">
        <v>52</v>
      </c>
      <c r="B2645" t="s">
        <v>6</v>
      </c>
      <c r="C2645">
        <v>1</v>
      </c>
      <c r="D2645">
        <v>4</v>
      </c>
      <c r="E2645">
        <v>1</v>
      </c>
      <c r="F2645" s="15">
        <v>45915</v>
      </c>
      <c r="G2645" t="s">
        <v>243</v>
      </c>
      <c r="H2645">
        <v>3</v>
      </c>
      <c r="I2645">
        <v>2025</v>
      </c>
      <c r="J2645">
        <v>9</v>
      </c>
      <c r="K2645" t="s">
        <v>87</v>
      </c>
      <c r="L2645" t="s">
        <v>12</v>
      </c>
      <c r="M2645" t="s">
        <v>8</v>
      </c>
      <c r="N2645" t="b">
        <v>0</v>
      </c>
      <c r="O2645">
        <v>0</v>
      </c>
      <c r="P2645">
        <v>1</v>
      </c>
      <c r="Q2645">
        <v>0</v>
      </c>
      <c r="R2645">
        <v>1</v>
      </c>
    </row>
    <row r="2646" spans="1:18" x14ac:dyDescent="0.25">
      <c r="A2646" t="s">
        <v>42</v>
      </c>
      <c r="B2646" t="s">
        <v>6</v>
      </c>
      <c r="C2646">
        <v>3</v>
      </c>
      <c r="D2646">
        <v>4</v>
      </c>
      <c r="E2646">
        <v>1</v>
      </c>
      <c r="F2646" s="15">
        <v>45915</v>
      </c>
      <c r="G2646" t="s">
        <v>243</v>
      </c>
      <c r="H2646">
        <v>3</v>
      </c>
      <c r="I2646">
        <v>2025</v>
      </c>
      <c r="J2646">
        <v>9</v>
      </c>
      <c r="K2646" t="s">
        <v>87</v>
      </c>
      <c r="L2646" t="s">
        <v>52</v>
      </c>
      <c r="M2646" t="s">
        <v>6</v>
      </c>
      <c r="N2646" t="b">
        <v>0</v>
      </c>
      <c r="O2646">
        <v>0</v>
      </c>
      <c r="P2646">
        <v>1</v>
      </c>
      <c r="Q2646">
        <v>0</v>
      </c>
      <c r="R2646">
        <v>0</v>
      </c>
    </row>
    <row r="2647" spans="1:18" x14ac:dyDescent="0.25">
      <c r="A2647" t="s">
        <v>42</v>
      </c>
      <c r="B2647" t="s">
        <v>6</v>
      </c>
      <c r="C2647">
        <v>3</v>
      </c>
      <c r="D2647">
        <v>4</v>
      </c>
      <c r="E2647">
        <v>1</v>
      </c>
      <c r="F2647" s="15">
        <v>45915</v>
      </c>
      <c r="G2647" t="s">
        <v>243</v>
      </c>
      <c r="H2647">
        <v>3</v>
      </c>
      <c r="I2647">
        <v>2025</v>
      </c>
      <c r="J2647">
        <v>9</v>
      </c>
      <c r="K2647" t="s">
        <v>87</v>
      </c>
      <c r="L2647" t="s">
        <v>12</v>
      </c>
      <c r="M2647" t="s">
        <v>8</v>
      </c>
      <c r="N2647" t="b">
        <v>0</v>
      </c>
      <c r="O2647">
        <v>0</v>
      </c>
      <c r="P2647">
        <v>1</v>
      </c>
      <c r="Q2647">
        <v>0</v>
      </c>
      <c r="R2647">
        <v>1</v>
      </c>
    </row>
    <row r="2648" spans="1:18" x14ac:dyDescent="0.25">
      <c r="A2648" t="s">
        <v>12</v>
      </c>
      <c r="B2648" t="s">
        <v>8</v>
      </c>
      <c r="C2648">
        <v>2</v>
      </c>
      <c r="D2648">
        <v>4</v>
      </c>
      <c r="E2648">
        <v>1</v>
      </c>
      <c r="F2648" s="15">
        <v>45915</v>
      </c>
      <c r="G2648" t="s">
        <v>243</v>
      </c>
      <c r="H2648">
        <v>3</v>
      </c>
      <c r="I2648">
        <v>2025</v>
      </c>
      <c r="J2648">
        <v>9</v>
      </c>
      <c r="K2648" t="s">
        <v>87</v>
      </c>
      <c r="L2648" t="s">
        <v>52</v>
      </c>
      <c r="M2648" t="s">
        <v>6</v>
      </c>
      <c r="N2648" t="b">
        <v>0</v>
      </c>
      <c r="O2648">
        <v>1</v>
      </c>
      <c r="P2648">
        <v>0</v>
      </c>
      <c r="Q2648">
        <v>0</v>
      </c>
      <c r="R2648">
        <v>0</v>
      </c>
    </row>
    <row r="2649" spans="1:18" x14ac:dyDescent="0.25">
      <c r="A2649" t="s">
        <v>12</v>
      </c>
      <c r="B2649" t="s">
        <v>8</v>
      </c>
      <c r="C2649">
        <v>2</v>
      </c>
      <c r="D2649">
        <v>4</v>
      </c>
      <c r="E2649">
        <v>1</v>
      </c>
      <c r="F2649" s="15">
        <v>45915</v>
      </c>
      <c r="G2649" t="s">
        <v>243</v>
      </c>
      <c r="H2649">
        <v>3</v>
      </c>
      <c r="I2649">
        <v>2025</v>
      </c>
      <c r="J2649">
        <v>9</v>
      </c>
      <c r="K2649" t="s">
        <v>87</v>
      </c>
      <c r="L2649" t="s">
        <v>42</v>
      </c>
      <c r="M2649" t="s">
        <v>6</v>
      </c>
      <c r="N2649" t="b">
        <v>0</v>
      </c>
      <c r="O2649">
        <v>1</v>
      </c>
      <c r="P2649">
        <v>0</v>
      </c>
      <c r="Q2649">
        <v>0</v>
      </c>
      <c r="R2649">
        <v>0</v>
      </c>
    </row>
    <row r="2650" spans="1:18" x14ac:dyDescent="0.25">
      <c r="A2650" t="s">
        <v>52</v>
      </c>
      <c r="B2650" t="s">
        <v>6</v>
      </c>
      <c r="C2650">
        <v>2</v>
      </c>
      <c r="D2650">
        <v>4</v>
      </c>
      <c r="E2650">
        <v>1</v>
      </c>
      <c r="F2650" s="15">
        <v>45922</v>
      </c>
      <c r="G2650" t="s">
        <v>244</v>
      </c>
      <c r="H2650">
        <v>4</v>
      </c>
      <c r="I2650">
        <v>2025</v>
      </c>
      <c r="J2650">
        <v>9</v>
      </c>
      <c r="K2650" t="s">
        <v>87</v>
      </c>
      <c r="L2650" t="s">
        <v>28</v>
      </c>
      <c r="M2650" t="s">
        <v>6</v>
      </c>
      <c r="N2650" t="b">
        <v>0</v>
      </c>
      <c r="O2650">
        <v>0</v>
      </c>
      <c r="P2650">
        <v>1</v>
      </c>
      <c r="Q2650">
        <v>0</v>
      </c>
      <c r="R2650">
        <v>0</v>
      </c>
    </row>
    <row r="2651" spans="1:18" x14ac:dyDescent="0.25">
      <c r="A2651" t="s">
        <v>52</v>
      </c>
      <c r="B2651" t="s">
        <v>6</v>
      </c>
      <c r="C2651">
        <v>2</v>
      </c>
      <c r="D2651">
        <v>4</v>
      </c>
      <c r="E2651">
        <v>1</v>
      </c>
      <c r="F2651" s="15">
        <v>45922</v>
      </c>
      <c r="G2651" t="s">
        <v>244</v>
      </c>
      <c r="H2651">
        <v>4</v>
      </c>
      <c r="I2651">
        <v>2025</v>
      </c>
      <c r="J2651">
        <v>9</v>
      </c>
      <c r="K2651" t="s">
        <v>87</v>
      </c>
      <c r="L2651" t="s">
        <v>41</v>
      </c>
      <c r="M2651" t="s">
        <v>8</v>
      </c>
      <c r="N2651" t="b">
        <v>0</v>
      </c>
      <c r="O2651">
        <v>0</v>
      </c>
      <c r="P2651">
        <v>1</v>
      </c>
      <c r="Q2651">
        <v>0</v>
      </c>
      <c r="R2651">
        <v>1</v>
      </c>
    </row>
    <row r="2652" spans="1:18" x14ac:dyDescent="0.25">
      <c r="A2652" t="s">
        <v>52</v>
      </c>
      <c r="B2652" t="s">
        <v>6</v>
      </c>
      <c r="C2652">
        <v>2</v>
      </c>
      <c r="D2652">
        <v>4</v>
      </c>
      <c r="E2652">
        <v>1</v>
      </c>
      <c r="F2652" s="15">
        <v>45922</v>
      </c>
      <c r="G2652" t="s">
        <v>244</v>
      </c>
      <c r="H2652">
        <v>4</v>
      </c>
      <c r="I2652">
        <v>2025</v>
      </c>
      <c r="J2652">
        <v>9</v>
      </c>
      <c r="K2652" t="s">
        <v>87</v>
      </c>
      <c r="L2652" t="s">
        <v>50</v>
      </c>
      <c r="M2652" t="s">
        <v>6</v>
      </c>
      <c r="N2652" t="b">
        <v>0</v>
      </c>
      <c r="O2652">
        <v>0</v>
      </c>
      <c r="P2652">
        <v>1</v>
      </c>
      <c r="Q2652">
        <v>0</v>
      </c>
      <c r="R2652">
        <v>0</v>
      </c>
    </row>
    <row r="2653" spans="1:18" x14ac:dyDescent="0.25">
      <c r="A2653" t="s">
        <v>28</v>
      </c>
      <c r="B2653" t="s">
        <v>6</v>
      </c>
      <c r="C2653">
        <v>4</v>
      </c>
      <c r="D2653">
        <v>4</v>
      </c>
      <c r="E2653">
        <v>1</v>
      </c>
      <c r="F2653" s="15">
        <v>45922</v>
      </c>
      <c r="G2653" t="s">
        <v>244</v>
      </c>
      <c r="H2653">
        <v>4</v>
      </c>
      <c r="I2653">
        <v>2025</v>
      </c>
      <c r="J2653">
        <v>9</v>
      </c>
      <c r="K2653" t="s">
        <v>87</v>
      </c>
      <c r="L2653" t="s">
        <v>52</v>
      </c>
      <c r="M2653" t="s">
        <v>6</v>
      </c>
      <c r="N2653" t="b">
        <v>0</v>
      </c>
      <c r="O2653">
        <v>0</v>
      </c>
      <c r="P2653">
        <v>1</v>
      </c>
      <c r="Q2653">
        <v>0</v>
      </c>
      <c r="R2653">
        <v>0</v>
      </c>
    </row>
    <row r="2654" spans="1:18" x14ac:dyDescent="0.25">
      <c r="A2654" t="s">
        <v>28</v>
      </c>
      <c r="B2654" t="s">
        <v>6</v>
      </c>
      <c r="C2654">
        <v>4</v>
      </c>
      <c r="D2654">
        <v>4</v>
      </c>
      <c r="E2654">
        <v>1</v>
      </c>
      <c r="F2654" s="15">
        <v>45922</v>
      </c>
      <c r="G2654" t="s">
        <v>244</v>
      </c>
      <c r="H2654">
        <v>4</v>
      </c>
      <c r="I2654">
        <v>2025</v>
      </c>
      <c r="J2654">
        <v>9</v>
      </c>
      <c r="K2654" t="s">
        <v>87</v>
      </c>
      <c r="L2654" t="s">
        <v>41</v>
      </c>
      <c r="M2654" t="s">
        <v>8</v>
      </c>
      <c r="N2654" t="b">
        <v>0</v>
      </c>
      <c r="O2654">
        <v>0</v>
      </c>
      <c r="P2654">
        <v>1</v>
      </c>
      <c r="Q2654">
        <v>0</v>
      </c>
      <c r="R2654">
        <v>1</v>
      </c>
    </row>
    <row r="2655" spans="1:18" x14ac:dyDescent="0.25">
      <c r="A2655" t="s">
        <v>28</v>
      </c>
      <c r="B2655" t="s">
        <v>6</v>
      </c>
      <c r="C2655">
        <v>4</v>
      </c>
      <c r="D2655">
        <v>4</v>
      </c>
      <c r="E2655">
        <v>1</v>
      </c>
      <c r="F2655" s="15">
        <v>45922</v>
      </c>
      <c r="G2655" t="s">
        <v>244</v>
      </c>
      <c r="H2655">
        <v>4</v>
      </c>
      <c r="I2655">
        <v>2025</v>
      </c>
      <c r="J2655">
        <v>9</v>
      </c>
      <c r="K2655" t="s">
        <v>87</v>
      </c>
      <c r="L2655" t="s">
        <v>50</v>
      </c>
      <c r="M2655" t="s">
        <v>6</v>
      </c>
      <c r="N2655" t="b">
        <v>0</v>
      </c>
      <c r="O2655">
        <v>0</v>
      </c>
      <c r="P2655">
        <v>1</v>
      </c>
      <c r="Q2655">
        <v>0</v>
      </c>
      <c r="R2655">
        <v>0</v>
      </c>
    </row>
    <row r="2656" spans="1:18" x14ac:dyDescent="0.25">
      <c r="A2656" t="s">
        <v>41</v>
      </c>
      <c r="B2656" t="s">
        <v>8</v>
      </c>
      <c r="C2656">
        <v>1</v>
      </c>
      <c r="D2656">
        <v>4</v>
      </c>
      <c r="E2656">
        <v>1</v>
      </c>
      <c r="F2656" s="15">
        <v>45922</v>
      </c>
      <c r="G2656" t="s">
        <v>244</v>
      </c>
      <c r="H2656">
        <v>4</v>
      </c>
      <c r="I2656">
        <v>2025</v>
      </c>
      <c r="J2656">
        <v>9</v>
      </c>
      <c r="K2656" t="s">
        <v>87</v>
      </c>
      <c r="L2656" t="s">
        <v>52</v>
      </c>
      <c r="M2656" t="s">
        <v>6</v>
      </c>
      <c r="N2656" t="b">
        <v>0</v>
      </c>
      <c r="O2656">
        <v>1</v>
      </c>
      <c r="P2656">
        <v>0</v>
      </c>
      <c r="Q2656">
        <v>0</v>
      </c>
      <c r="R2656">
        <v>0</v>
      </c>
    </row>
    <row r="2657" spans="1:18" x14ac:dyDescent="0.25">
      <c r="A2657" t="s">
        <v>41</v>
      </c>
      <c r="B2657" t="s">
        <v>8</v>
      </c>
      <c r="C2657">
        <v>1</v>
      </c>
      <c r="D2657">
        <v>4</v>
      </c>
      <c r="E2657">
        <v>1</v>
      </c>
      <c r="F2657" s="15">
        <v>45922</v>
      </c>
      <c r="G2657" t="s">
        <v>244</v>
      </c>
      <c r="H2657">
        <v>4</v>
      </c>
      <c r="I2657">
        <v>2025</v>
      </c>
      <c r="J2657">
        <v>9</v>
      </c>
      <c r="K2657" t="s">
        <v>87</v>
      </c>
      <c r="L2657" t="s">
        <v>28</v>
      </c>
      <c r="M2657" t="s">
        <v>6</v>
      </c>
      <c r="N2657" t="b">
        <v>0</v>
      </c>
      <c r="O2657">
        <v>1</v>
      </c>
      <c r="P2657">
        <v>0</v>
      </c>
      <c r="Q2657">
        <v>0</v>
      </c>
      <c r="R2657">
        <v>0</v>
      </c>
    </row>
    <row r="2658" spans="1:18" x14ac:dyDescent="0.25">
      <c r="A2658" t="s">
        <v>41</v>
      </c>
      <c r="B2658" t="s">
        <v>8</v>
      </c>
      <c r="C2658">
        <v>1</v>
      </c>
      <c r="D2658">
        <v>4</v>
      </c>
      <c r="E2658">
        <v>1</v>
      </c>
      <c r="F2658" s="15">
        <v>45922</v>
      </c>
      <c r="G2658" t="s">
        <v>244</v>
      </c>
      <c r="H2658">
        <v>4</v>
      </c>
      <c r="I2658">
        <v>2025</v>
      </c>
      <c r="J2658">
        <v>9</v>
      </c>
      <c r="K2658" t="s">
        <v>87</v>
      </c>
      <c r="L2658" t="s">
        <v>50</v>
      </c>
      <c r="M2658" t="s">
        <v>6</v>
      </c>
      <c r="N2658" t="b">
        <v>0</v>
      </c>
      <c r="O2658">
        <v>1</v>
      </c>
      <c r="P2658">
        <v>0</v>
      </c>
      <c r="Q2658">
        <v>0</v>
      </c>
      <c r="R2658">
        <v>0</v>
      </c>
    </row>
    <row r="2659" spans="1:18" x14ac:dyDescent="0.25">
      <c r="A2659" t="s">
        <v>50</v>
      </c>
      <c r="B2659" t="s">
        <v>6</v>
      </c>
      <c r="C2659">
        <v>3</v>
      </c>
      <c r="D2659">
        <v>4</v>
      </c>
      <c r="E2659">
        <v>1</v>
      </c>
      <c r="F2659" s="15">
        <v>45922</v>
      </c>
      <c r="G2659" t="s">
        <v>244</v>
      </c>
      <c r="H2659">
        <v>4</v>
      </c>
      <c r="I2659">
        <v>2025</v>
      </c>
      <c r="J2659">
        <v>9</v>
      </c>
      <c r="K2659" t="s">
        <v>87</v>
      </c>
      <c r="L2659" t="s">
        <v>52</v>
      </c>
      <c r="M2659" t="s">
        <v>6</v>
      </c>
      <c r="N2659" t="b">
        <v>0</v>
      </c>
      <c r="O2659">
        <v>0</v>
      </c>
      <c r="P2659">
        <v>1</v>
      </c>
      <c r="Q2659">
        <v>0</v>
      </c>
      <c r="R2659">
        <v>0</v>
      </c>
    </row>
    <row r="2660" spans="1:18" x14ac:dyDescent="0.25">
      <c r="A2660" t="s">
        <v>50</v>
      </c>
      <c r="B2660" t="s">
        <v>6</v>
      </c>
      <c r="C2660">
        <v>3</v>
      </c>
      <c r="D2660">
        <v>4</v>
      </c>
      <c r="E2660">
        <v>1</v>
      </c>
      <c r="F2660" s="15">
        <v>45922</v>
      </c>
      <c r="G2660" t="s">
        <v>244</v>
      </c>
      <c r="H2660">
        <v>4</v>
      </c>
      <c r="I2660">
        <v>2025</v>
      </c>
      <c r="J2660">
        <v>9</v>
      </c>
      <c r="K2660" t="s">
        <v>87</v>
      </c>
      <c r="L2660" t="s">
        <v>28</v>
      </c>
      <c r="M2660" t="s">
        <v>6</v>
      </c>
      <c r="N2660" t="b">
        <v>0</v>
      </c>
      <c r="O2660">
        <v>0</v>
      </c>
      <c r="P2660">
        <v>1</v>
      </c>
      <c r="Q2660">
        <v>0</v>
      </c>
      <c r="R2660">
        <v>0</v>
      </c>
    </row>
    <row r="2661" spans="1:18" x14ac:dyDescent="0.25">
      <c r="A2661" t="s">
        <v>50</v>
      </c>
      <c r="B2661" t="s">
        <v>6</v>
      </c>
      <c r="C2661">
        <v>3</v>
      </c>
      <c r="D2661">
        <v>4</v>
      </c>
      <c r="E2661">
        <v>1</v>
      </c>
      <c r="F2661" s="15">
        <v>45922</v>
      </c>
      <c r="G2661" t="s">
        <v>244</v>
      </c>
      <c r="H2661">
        <v>4</v>
      </c>
      <c r="I2661">
        <v>2025</v>
      </c>
      <c r="J2661">
        <v>9</v>
      </c>
      <c r="K2661" t="s">
        <v>87</v>
      </c>
      <c r="L2661" t="s">
        <v>41</v>
      </c>
      <c r="M2661" t="s">
        <v>8</v>
      </c>
      <c r="N2661" t="b">
        <v>0</v>
      </c>
      <c r="O2661">
        <v>0</v>
      </c>
      <c r="P2661">
        <v>1</v>
      </c>
      <c r="Q2661">
        <v>0</v>
      </c>
      <c r="R2661">
        <v>1</v>
      </c>
    </row>
    <row r="2662" spans="1:18" x14ac:dyDescent="0.25">
      <c r="A2662" t="s">
        <v>52</v>
      </c>
      <c r="B2662" t="s">
        <v>8</v>
      </c>
      <c r="C2662">
        <v>3</v>
      </c>
      <c r="D2662">
        <v>3</v>
      </c>
      <c r="E2662">
        <v>2</v>
      </c>
      <c r="F2662" s="15">
        <v>46027</v>
      </c>
      <c r="G2662" t="s">
        <v>237</v>
      </c>
      <c r="H2662">
        <v>5</v>
      </c>
      <c r="I2662">
        <v>2026</v>
      </c>
      <c r="J2662">
        <v>1</v>
      </c>
      <c r="K2662" t="s">
        <v>87</v>
      </c>
      <c r="L2662" t="s">
        <v>326</v>
      </c>
      <c r="M2662" t="s">
        <v>6</v>
      </c>
      <c r="N2662" t="b">
        <v>0</v>
      </c>
      <c r="O2662">
        <v>1</v>
      </c>
      <c r="P2662">
        <v>0</v>
      </c>
      <c r="Q2662">
        <v>0</v>
      </c>
      <c r="R2662">
        <v>0</v>
      </c>
    </row>
    <row r="2663" spans="1:18" x14ac:dyDescent="0.25">
      <c r="A2663" t="s">
        <v>52</v>
      </c>
      <c r="B2663" t="s">
        <v>8</v>
      </c>
      <c r="C2663">
        <v>3</v>
      </c>
      <c r="D2663">
        <v>3</v>
      </c>
      <c r="E2663">
        <v>2</v>
      </c>
      <c r="F2663" s="15">
        <v>46027</v>
      </c>
      <c r="G2663" t="s">
        <v>237</v>
      </c>
      <c r="H2663">
        <v>5</v>
      </c>
      <c r="I2663">
        <v>2026</v>
      </c>
      <c r="J2663">
        <v>1</v>
      </c>
      <c r="K2663" t="s">
        <v>87</v>
      </c>
      <c r="L2663" t="s">
        <v>11</v>
      </c>
      <c r="M2663" t="s">
        <v>6</v>
      </c>
      <c r="N2663" t="b">
        <v>0</v>
      </c>
      <c r="O2663">
        <v>1</v>
      </c>
      <c r="P2663">
        <v>0</v>
      </c>
      <c r="Q2663">
        <v>0</v>
      </c>
      <c r="R2663">
        <v>0</v>
      </c>
    </row>
    <row r="2664" spans="1:18" x14ac:dyDescent="0.25">
      <c r="A2664" t="s">
        <v>52</v>
      </c>
      <c r="B2664" t="s">
        <v>8</v>
      </c>
      <c r="C2664">
        <v>3</v>
      </c>
      <c r="D2664">
        <v>3</v>
      </c>
      <c r="E2664">
        <v>2</v>
      </c>
      <c r="F2664" s="15">
        <v>46027</v>
      </c>
      <c r="G2664" t="s">
        <v>237</v>
      </c>
      <c r="H2664">
        <v>5</v>
      </c>
      <c r="I2664">
        <v>2026</v>
      </c>
      <c r="J2664">
        <v>1</v>
      </c>
      <c r="K2664" t="s">
        <v>87</v>
      </c>
      <c r="L2664" t="s">
        <v>44</v>
      </c>
      <c r="M2664" t="s">
        <v>6</v>
      </c>
      <c r="N2664" t="b">
        <v>0</v>
      </c>
      <c r="O2664">
        <v>1</v>
      </c>
      <c r="P2664">
        <v>0</v>
      </c>
      <c r="Q2664">
        <v>0</v>
      </c>
      <c r="R2664">
        <v>0</v>
      </c>
    </row>
    <row r="2665" spans="1:18" x14ac:dyDescent="0.25">
      <c r="A2665" t="s">
        <v>52</v>
      </c>
      <c r="B2665" t="s">
        <v>8</v>
      </c>
      <c r="C2665">
        <v>3</v>
      </c>
      <c r="D2665">
        <v>3</v>
      </c>
      <c r="E2665">
        <v>2</v>
      </c>
      <c r="F2665" s="15">
        <v>46027</v>
      </c>
      <c r="G2665" t="s">
        <v>237</v>
      </c>
      <c r="H2665">
        <v>5</v>
      </c>
      <c r="I2665">
        <v>2026</v>
      </c>
      <c r="J2665">
        <v>1</v>
      </c>
      <c r="K2665" t="s">
        <v>87</v>
      </c>
      <c r="L2665" t="s">
        <v>352</v>
      </c>
      <c r="M2665" t="s">
        <v>6</v>
      </c>
      <c r="N2665" t="b">
        <v>0</v>
      </c>
      <c r="O2665">
        <v>1</v>
      </c>
      <c r="P2665">
        <v>0</v>
      </c>
      <c r="Q2665">
        <v>0</v>
      </c>
      <c r="R2665">
        <v>0</v>
      </c>
    </row>
    <row r="2666" spans="1:18" x14ac:dyDescent="0.25">
      <c r="A2666" t="s">
        <v>326</v>
      </c>
      <c r="B2666" t="s">
        <v>6</v>
      </c>
      <c r="C2666">
        <v>5</v>
      </c>
      <c r="D2666">
        <v>3</v>
      </c>
      <c r="E2666">
        <v>2</v>
      </c>
      <c r="F2666" s="15">
        <v>46027</v>
      </c>
      <c r="G2666" t="s">
        <v>237</v>
      </c>
      <c r="H2666">
        <v>5</v>
      </c>
      <c r="I2666">
        <v>2026</v>
      </c>
      <c r="J2666">
        <v>1</v>
      </c>
      <c r="K2666" t="s">
        <v>87</v>
      </c>
      <c r="L2666" t="s">
        <v>52</v>
      </c>
      <c r="M2666" t="s">
        <v>8</v>
      </c>
      <c r="N2666" t="b">
        <v>0</v>
      </c>
      <c r="O2666">
        <v>0</v>
      </c>
      <c r="P2666">
        <v>1</v>
      </c>
      <c r="Q2666">
        <v>0</v>
      </c>
      <c r="R2666">
        <v>1</v>
      </c>
    </row>
    <row r="2667" spans="1:18" x14ac:dyDescent="0.25">
      <c r="A2667" t="s">
        <v>326</v>
      </c>
      <c r="B2667" t="s">
        <v>6</v>
      </c>
      <c r="C2667">
        <v>5</v>
      </c>
      <c r="D2667">
        <v>3</v>
      </c>
      <c r="E2667">
        <v>2</v>
      </c>
      <c r="F2667" s="15">
        <v>46027</v>
      </c>
      <c r="G2667" t="s">
        <v>237</v>
      </c>
      <c r="H2667">
        <v>5</v>
      </c>
      <c r="I2667">
        <v>2026</v>
      </c>
      <c r="J2667">
        <v>1</v>
      </c>
      <c r="K2667" t="s">
        <v>87</v>
      </c>
      <c r="L2667" t="s">
        <v>11</v>
      </c>
      <c r="M2667" t="s">
        <v>6</v>
      </c>
      <c r="N2667" t="b">
        <v>0</v>
      </c>
      <c r="O2667">
        <v>0</v>
      </c>
      <c r="P2667">
        <v>1</v>
      </c>
      <c r="Q2667">
        <v>0</v>
      </c>
      <c r="R2667">
        <v>0</v>
      </c>
    </row>
    <row r="2668" spans="1:18" x14ac:dyDescent="0.25">
      <c r="A2668" t="s">
        <v>326</v>
      </c>
      <c r="B2668" t="s">
        <v>6</v>
      </c>
      <c r="C2668">
        <v>5</v>
      </c>
      <c r="D2668">
        <v>3</v>
      </c>
      <c r="E2668">
        <v>2</v>
      </c>
      <c r="F2668" s="15">
        <v>46027</v>
      </c>
      <c r="G2668" t="s">
        <v>237</v>
      </c>
      <c r="H2668">
        <v>5</v>
      </c>
      <c r="I2668">
        <v>2026</v>
      </c>
      <c r="J2668">
        <v>1</v>
      </c>
      <c r="K2668" t="s">
        <v>87</v>
      </c>
      <c r="L2668" t="s">
        <v>44</v>
      </c>
      <c r="M2668" t="s">
        <v>6</v>
      </c>
      <c r="N2668" t="b">
        <v>0</v>
      </c>
      <c r="O2668">
        <v>0</v>
      </c>
      <c r="P2668">
        <v>1</v>
      </c>
      <c r="Q2668">
        <v>0</v>
      </c>
      <c r="R2668">
        <v>0</v>
      </c>
    </row>
    <row r="2669" spans="1:18" x14ac:dyDescent="0.25">
      <c r="A2669" t="s">
        <v>326</v>
      </c>
      <c r="B2669" t="s">
        <v>6</v>
      </c>
      <c r="C2669">
        <v>5</v>
      </c>
      <c r="D2669">
        <v>3</v>
      </c>
      <c r="E2669">
        <v>2</v>
      </c>
      <c r="F2669" s="15">
        <v>46027</v>
      </c>
      <c r="G2669" t="s">
        <v>237</v>
      </c>
      <c r="H2669">
        <v>5</v>
      </c>
      <c r="I2669">
        <v>2026</v>
      </c>
      <c r="J2669">
        <v>1</v>
      </c>
      <c r="K2669" t="s">
        <v>87</v>
      </c>
      <c r="L2669" t="s">
        <v>352</v>
      </c>
      <c r="M2669" t="s">
        <v>6</v>
      </c>
      <c r="N2669" t="b">
        <v>0</v>
      </c>
      <c r="O2669">
        <v>0</v>
      </c>
      <c r="P2669">
        <v>1</v>
      </c>
      <c r="Q2669">
        <v>0</v>
      </c>
      <c r="R2669">
        <v>0</v>
      </c>
    </row>
    <row r="2670" spans="1:18" x14ac:dyDescent="0.25">
      <c r="A2670" t="s">
        <v>11</v>
      </c>
      <c r="B2670" t="s">
        <v>6</v>
      </c>
      <c r="C2670">
        <v>4</v>
      </c>
      <c r="D2670">
        <v>3</v>
      </c>
      <c r="E2670">
        <v>2</v>
      </c>
      <c r="F2670" s="15">
        <v>46027</v>
      </c>
      <c r="G2670" t="s">
        <v>237</v>
      </c>
      <c r="H2670">
        <v>5</v>
      </c>
      <c r="I2670">
        <v>2026</v>
      </c>
      <c r="J2670">
        <v>1</v>
      </c>
      <c r="K2670" t="s">
        <v>87</v>
      </c>
      <c r="L2670" t="s">
        <v>52</v>
      </c>
      <c r="M2670" t="s">
        <v>8</v>
      </c>
      <c r="N2670" t="b">
        <v>0</v>
      </c>
      <c r="O2670">
        <v>0</v>
      </c>
      <c r="P2670">
        <v>1</v>
      </c>
      <c r="Q2670">
        <v>0</v>
      </c>
      <c r="R2670">
        <v>1</v>
      </c>
    </row>
    <row r="2671" spans="1:18" x14ac:dyDescent="0.25">
      <c r="A2671" t="s">
        <v>11</v>
      </c>
      <c r="B2671" t="s">
        <v>6</v>
      </c>
      <c r="C2671">
        <v>4</v>
      </c>
      <c r="D2671">
        <v>3</v>
      </c>
      <c r="E2671">
        <v>2</v>
      </c>
      <c r="F2671" s="15">
        <v>46027</v>
      </c>
      <c r="G2671" t="s">
        <v>237</v>
      </c>
      <c r="H2671">
        <v>5</v>
      </c>
      <c r="I2671">
        <v>2026</v>
      </c>
      <c r="J2671">
        <v>1</v>
      </c>
      <c r="K2671" t="s">
        <v>87</v>
      </c>
      <c r="L2671" t="s">
        <v>326</v>
      </c>
      <c r="M2671" t="s">
        <v>6</v>
      </c>
      <c r="N2671" t="b">
        <v>0</v>
      </c>
      <c r="O2671">
        <v>0</v>
      </c>
      <c r="P2671">
        <v>1</v>
      </c>
      <c r="Q2671">
        <v>0</v>
      </c>
      <c r="R2671">
        <v>0</v>
      </c>
    </row>
    <row r="2672" spans="1:18" x14ac:dyDescent="0.25">
      <c r="A2672" t="s">
        <v>11</v>
      </c>
      <c r="B2672" t="s">
        <v>6</v>
      </c>
      <c r="C2672">
        <v>4</v>
      </c>
      <c r="D2672">
        <v>3</v>
      </c>
      <c r="E2672">
        <v>2</v>
      </c>
      <c r="F2672" s="15">
        <v>46027</v>
      </c>
      <c r="G2672" t="s">
        <v>237</v>
      </c>
      <c r="H2672">
        <v>5</v>
      </c>
      <c r="I2672">
        <v>2026</v>
      </c>
      <c r="J2672">
        <v>1</v>
      </c>
      <c r="K2672" t="s">
        <v>87</v>
      </c>
      <c r="L2672" t="s">
        <v>44</v>
      </c>
      <c r="M2672" t="s">
        <v>6</v>
      </c>
      <c r="N2672" t="b">
        <v>0</v>
      </c>
      <c r="O2672">
        <v>0</v>
      </c>
      <c r="P2672">
        <v>1</v>
      </c>
      <c r="Q2672">
        <v>0</v>
      </c>
      <c r="R2672">
        <v>0</v>
      </c>
    </row>
    <row r="2673" spans="1:18" x14ac:dyDescent="0.25">
      <c r="A2673" t="s">
        <v>11</v>
      </c>
      <c r="B2673" t="s">
        <v>6</v>
      </c>
      <c r="C2673">
        <v>4</v>
      </c>
      <c r="D2673">
        <v>3</v>
      </c>
      <c r="E2673">
        <v>2</v>
      </c>
      <c r="F2673" s="15">
        <v>46027</v>
      </c>
      <c r="G2673" t="s">
        <v>237</v>
      </c>
      <c r="H2673">
        <v>5</v>
      </c>
      <c r="I2673">
        <v>2026</v>
      </c>
      <c r="J2673">
        <v>1</v>
      </c>
      <c r="K2673" t="s">
        <v>87</v>
      </c>
      <c r="L2673" t="s">
        <v>352</v>
      </c>
      <c r="M2673" t="s">
        <v>6</v>
      </c>
      <c r="N2673" t="b">
        <v>0</v>
      </c>
      <c r="O2673">
        <v>0</v>
      </c>
      <c r="P2673">
        <v>1</v>
      </c>
      <c r="Q2673">
        <v>0</v>
      </c>
      <c r="R2673">
        <v>0</v>
      </c>
    </row>
    <row r="2674" spans="1:18" x14ac:dyDescent="0.25">
      <c r="A2674" t="s">
        <v>44</v>
      </c>
      <c r="B2674" t="s">
        <v>6</v>
      </c>
      <c r="C2674">
        <v>1</v>
      </c>
      <c r="D2674">
        <v>3</v>
      </c>
      <c r="E2674">
        <v>2</v>
      </c>
      <c r="F2674" s="15">
        <v>46027</v>
      </c>
      <c r="G2674" t="s">
        <v>237</v>
      </c>
      <c r="H2674">
        <v>5</v>
      </c>
      <c r="I2674">
        <v>2026</v>
      </c>
      <c r="J2674">
        <v>1</v>
      </c>
      <c r="K2674" t="s">
        <v>87</v>
      </c>
      <c r="L2674" t="s">
        <v>52</v>
      </c>
      <c r="M2674" t="s">
        <v>8</v>
      </c>
      <c r="N2674" t="b">
        <v>0</v>
      </c>
      <c r="O2674">
        <v>0</v>
      </c>
      <c r="P2674">
        <v>1</v>
      </c>
      <c r="Q2674">
        <v>0</v>
      </c>
      <c r="R2674">
        <v>1</v>
      </c>
    </row>
    <row r="2675" spans="1:18" x14ac:dyDescent="0.25">
      <c r="A2675" t="s">
        <v>44</v>
      </c>
      <c r="B2675" t="s">
        <v>6</v>
      </c>
      <c r="C2675">
        <v>1</v>
      </c>
      <c r="D2675">
        <v>3</v>
      </c>
      <c r="E2675">
        <v>2</v>
      </c>
      <c r="F2675" s="15">
        <v>46027</v>
      </c>
      <c r="G2675" t="s">
        <v>237</v>
      </c>
      <c r="H2675">
        <v>5</v>
      </c>
      <c r="I2675">
        <v>2026</v>
      </c>
      <c r="J2675">
        <v>1</v>
      </c>
      <c r="K2675" t="s">
        <v>87</v>
      </c>
      <c r="L2675" t="s">
        <v>326</v>
      </c>
      <c r="M2675" t="s">
        <v>6</v>
      </c>
      <c r="N2675" t="b">
        <v>0</v>
      </c>
      <c r="O2675">
        <v>0</v>
      </c>
      <c r="P2675">
        <v>1</v>
      </c>
      <c r="Q2675">
        <v>0</v>
      </c>
      <c r="R2675">
        <v>0</v>
      </c>
    </row>
    <row r="2676" spans="1:18" x14ac:dyDescent="0.25">
      <c r="A2676" t="s">
        <v>44</v>
      </c>
      <c r="B2676" t="s">
        <v>6</v>
      </c>
      <c r="C2676">
        <v>1</v>
      </c>
      <c r="D2676">
        <v>3</v>
      </c>
      <c r="E2676">
        <v>2</v>
      </c>
      <c r="F2676" s="15">
        <v>46027</v>
      </c>
      <c r="G2676" t="s">
        <v>237</v>
      </c>
      <c r="H2676">
        <v>5</v>
      </c>
      <c r="I2676">
        <v>2026</v>
      </c>
      <c r="J2676">
        <v>1</v>
      </c>
      <c r="K2676" t="s">
        <v>87</v>
      </c>
      <c r="L2676" t="s">
        <v>11</v>
      </c>
      <c r="M2676" t="s">
        <v>6</v>
      </c>
      <c r="N2676" t="b">
        <v>0</v>
      </c>
      <c r="O2676">
        <v>0</v>
      </c>
      <c r="P2676">
        <v>1</v>
      </c>
      <c r="Q2676">
        <v>0</v>
      </c>
      <c r="R2676">
        <v>0</v>
      </c>
    </row>
    <row r="2677" spans="1:18" x14ac:dyDescent="0.25">
      <c r="A2677" t="s">
        <v>44</v>
      </c>
      <c r="B2677" t="s">
        <v>6</v>
      </c>
      <c r="C2677">
        <v>1</v>
      </c>
      <c r="D2677">
        <v>3</v>
      </c>
      <c r="E2677">
        <v>2</v>
      </c>
      <c r="F2677" s="15">
        <v>46027</v>
      </c>
      <c r="G2677" t="s">
        <v>237</v>
      </c>
      <c r="H2677">
        <v>5</v>
      </c>
      <c r="I2677">
        <v>2026</v>
      </c>
      <c r="J2677">
        <v>1</v>
      </c>
      <c r="K2677" t="s">
        <v>87</v>
      </c>
      <c r="L2677" t="s">
        <v>352</v>
      </c>
      <c r="M2677" t="s">
        <v>6</v>
      </c>
      <c r="N2677" t="b">
        <v>0</v>
      </c>
      <c r="O2677">
        <v>0</v>
      </c>
      <c r="P2677">
        <v>1</v>
      </c>
      <c r="Q2677">
        <v>0</v>
      </c>
      <c r="R2677">
        <v>0</v>
      </c>
    </row>
    <row r="2678" spans="1:18" x14ac:dyDescent="0.25">
      <c r="A2678" t="s">
        <v>352</v>
      </c>
      <c r="B2678" t="s">
        <v>6</v>
      </c>
      <c r="C2678">
        <v>2</v>
      </c>
      <c r="D2678">
        <v>3</v>
      </c>
      <c r="E2678">
        <v>2</v>
      </c>
      <c r="F2678" s="15">
        <v>46027</v>
      </c>
      <c r="G2678" t="s">
        <v>237</v>
      </c>
      <c r="H2678">
        <v>5</v>
      </c>
      <c r="I2678">
        <v>2026</v>
      </c>
      <c r="J2678">
        <v>1</v>
      </c>
      <c r="K2678" t="s">
        <v>87</v>
      </c>
      <c r="L2678" t="s">
        <v>52</v>
      </c>
      <c r="M2678" t="s">
        <v>8</v>
      </c>
      <c r="N2678" t="b">
        <v>0</v>
      </c>
      <c r="O2678">
        <v>0</v>
      </c>
      <c r="P2678">
        <v>1</v>
      </c>
      <c r="Q2678">
        <v>0</v>
      </c>
      <c r="R2678">
        <v>1</v>
      </c>
    </row>
    <row r="2679" spans="1:18" x14ac:dyDescent="0.25">
      <c r="A2679" t="s">
        <v>352</v>
      </c>
      <c r="B2679" t="s">
        <v>6</v>
      </c>
      <c r="C2679">
        <v>2</v>
      </c>
      <c r="D2679">
        <v>3</v>
      </c>
      <c r="E2679">
        <v>2</v>
      </c>
      <c r="F2679" s="15">
        <v>46027</v>
      </c>
      <c r="G2679" t="s">
        <v>237</v>
      </c>
      <c r="H2679">
        <v>5</v>
      </c>
      <c r="I2679">
        <v>2026</v>
      </c>
      <c r="J2679">
        <v>1</v>
      </c>
      <c r="K2679" t="s">
        <v>87</v>
      </c>
      <c r="L2679" t="s">
        <v>326</v>
      </c>
      <c r="M2679" t="s">
        <v>6</v>
      </c>
      <c r="N2679" t="b">
        <v>0</v>
      </c>
      <c r="O2679">
        <v>0</v>
      </c>
      <c r="P2679">
        <v>1</v>
      </c>
      <c r="Q2679">
        <v>0</v>
      </c>
      <c r="R2679">
        <v>0</v>
      </c>
    </row>
    <row r="2680" spans="1:18" x14ac:dyDescent="0.25">
      <c r="A2680" t="s">
        <v>352</v>
      </c>
      <c r="B2680" t="s">
        <v>6</v>
      </c>
      <c r="C2680">
        <v>2</v>
      </c>
      <c r="D2680">
        <v>3</v>
      </c>
      <c r="E2680">
        <v>2</v>
      </c>
      <c r="F2680" s="15">
        <v>46027</v>
      </c>
      <c r="G2680" t="s">
        <v>237</v>
      </c>
      <c r="H2680">
        <v>5</v>
      </c>
      <c r="I2680">
        <v>2026</v>
      </c>
      <c r="J2680">
        <v>1</v>
      </c>
      <c r="K2680" t="s">
        <v>87</v>
      </c>
      <c r="L2680" t="s">
        <v>11</v>
      </c>
      <c r="M2680" t="s">
        <v>6</v>
      </c>
      <c r="N2680" t="b">
        <v>0</v>
      </c>
      <c r="O2680">
        <v>0</v>
      </c>
      <c r="P2680">
        <v>1</v>
      </c>
      <c r="Q2680">
        <v>0</v>
      </c>
      <c r="R2680">
        <v>0</v>
      </c>
    </row>
    <row r="2681" spans="1:18" x14ac:dyDescent="0.25">
      <c r="A2681" t="s">
        <v>352</v>
      </c>
      <c r="B2681" t="s">
        <v>6</v>
      </c>
      <c r="C2681">
        <v>2</v>
      </c>
      <c r="D2681">
        <v>3</v>
      </c>
      <c r="E2681">
        <v>2</v>
      </c>
      <c r="F2681" s="15">
        <v>46027</v>
      </c>
      <c r="G2681" t="s">
        <v>237</v>
      </c>
      <c r="H2681">
        <v>5</v>
      </c>
      <c r="I2681">
        <v>2026</v>
      </c>
      <c r="J2681">
        <v>1</v>
      </c>
      <c r="K2681" t="s">
        <v>87</v>
      </c>
      <c r="L2681" t="s">
        <v>44</v>
      </c>
      <c r="M2681" t="s">
        <v>6</v>
      </c>
      <c r="N2681" t="b">
        <v>0</v>
      </c>
      <c r="O2681">
        <v>0</v>
      </c>
      <c r="P2681">
        <v>1</v>
      </c>
      <c r="Q2681">
        <v>0</v>
      </c>
      <c r="R2681">
        <v>0</v>
      </c>
    </row>
    <row r="2682" spans="1:18" x14ac:dyDescent="0.25">
      <c r="A2682" t="s">
        <v>52</v>
      </c>
      <c r="B2682" t="s">
        <v>8</v>
      </c>
      <c r="C2682">
        <v>2</v>
      </c>
      <c r="D2682">
        <v>6</v>
      </c>
      <c r="E2682">
        <v>1</v>
      </c>
      <c r="F2682" s="15">
        <v>46048</v>
      </c>
      <c r="G2682" t="s">
        <v>332</v>
      </c>
      <c r="H2682">
        <v>4</v>
      </c>
      <c r="I2682">
        <v>2026</v>
      </c>
      <c r="J2682">
        <v>1</v>
      </c>
      <c r="K2682" t="s">
        <v>87</v>
      </c>
      <c r="L2682" t="s">
        <v>28</v>
      </c>
      <c r="M2682" t="s">
        <v>6</v>
      </c>
      <c r="N2682" t="b">
        <v>0</v>
      </c>
      <c r="O2682">
        <v>1</v>
      </c>
      <c r="P2682">
        <v>0</v>
      </c>
      <c r="Q2682">
        <v>0</v>
      </c>
      <c r="R2682">
        <v>0</v>
      </c>
    </row>
    <row r="2683" spans="1:18" x14ac:dyDescent="0.25">
      <c r="A2683" t="s">
        <v>52</v>
      </c>
      <c r="B2683" t="s">
        <v>8</v>
      </c>
      <c r="C2683">
        <v>2</v>
      </c>
      <c r="D2683">
        <v>6</v>
      </c>
      <c r="E2683">
        <v>1</v>
      </c>
      <c r="F2683" s="15">
        <v>46048</v>
      </c>
      <c r="G2683" t="s">
        <v>332</v>
      </c>
      <c r="H2683">
        <v>4</v>
      </c>
      <c r="I2683">
        <v>2026</v>
      </c>
      <c r="J2683">
        <v>1</v>
      </c>
      <c r="K2683" t="s">
        <v>87</v>
      </c>
      <c r="L2683" t="s">
        <v>434</v>
      </c>
      <c r="M2683" t="s">
        <v>6</v>
      </c>
      <c r="N2683" t="b">
        <v>0</v>
      </c>
      <c r="O2683">
        <v>1</v>
      </c>
      <c r="P2683">
        <v>0</v>
      </c>
      <c r="Q2683">
        <v>0</v>
      </c>
      <c r="R2683">
        <v>0</v>
      </c>
    </row>
    <row r="2684" spans="1:18" x14ac:dyDescent="0.25">
      <c r="A2684" t="s">
        <v>52</v>
      </c>
      <c r="B2684" t="s">
        <v>8</v>
      </c>
      <c r="C2684">
        <v>2</v>
      </c>
      <c r="D2684">
        <v>6</v>
      </c>
      <c r="E2684">
        <v>1</v>
      </c>
      <c r="F2684" s="15">
        <v>46048</v>
      </c>
      <c r="G2684" t="s">
        <v>332</v>
      </c>
      <c r="H2684">
        <v>4</v>
      </c>
      <c r="I2684">
        <v>2026</v>
      </c>
      <c r="J2684">
        <v>1</v>
      </c>
      <c r="K2684" t="s">
        <v>87</v>
      </c>
      <c r="L2684" t="s">
        <v>41</v>
      </c>
      <c r="M2684" t="s">
        <v>6</v>
      </c>
      <c r="N2684" t="b">
        <v>0</v>
      </c>
      <c r="O2684">
        <v>1</v>
      </c>
      <c r="P2684">
        <v>0</v>
      </c>
      <c r="Q2684">
        <v>0</v>
      </c>
      <c r="R2684">
        <v>0</v>
      </c>
    </row>
    <row r="2685" spans="1:18" x14ac:dyDescent="0.25">
      <c r="A2685" t="s">
        <v>28</v>
      </c>
      <c r="B2685" t="s">
        <v>6</v>
      </c>
      <c r="C2685">
        <v>3</v>
      </c>
      <c r="D2685">
        <v>6</v>
      </c>
      <c r="E2685">
        <v>1</v>
      </c>
      <c r="F2685" s="15">
        <v>46048</v>
      </c>
      <c r="G2685" t="s">
        <v>332</v>
      </c>
      <c r="H2685">
        <v>4</v>
      </c>
      <c r="I2685">
        <v>2026</v>
      </c>
      <c r="J2685">
        <v>1</v>
      </c>
      <c r="K2685" t="s">
        <v>87</v>
      </c>
      <c r="L2685" t="s">
        <v>52</v>
      </c>
      <c r="M2685" t="s">
        <v>8</v>
      </c>
      <c r="N2685" t="b">
        <v>0</v>
      </c>
      <c r="O2685">
        <v>0</v>
      </c>
      <c r="P2685">
        <v>1</v>
      </c>
      <c r="Q2685">
        <v>0</v>
      </c>
      <c r="R2685">
        <v>1</v>
      </c>
    </row>
    <row r="2686" spans="1:18" x14ac:dyDescent="0.25">
      <c r="A2686" t="s">
        <v>28</v>
      </c>
      <c r="B2686" t="s">
        <v>6</v>
      </c>
      <c r="C2686">
        <v>3</v>
      </c>
      <c r="D2686">
        <v>6</v>
      </c>
      <c r="E2686">
        <v>1</v>
      </c>
      <c r="F2686" s="15">
        <v>46048</v>
      </c>
      <c r="G2686" t="s">
        <v>332</v>
      </c>
      <c r="H2686">
        <v>4</v>
      </c>
      <c r="I2686">
        <v>2026</v>
      </c>
      <c r="J2686">
        <v>1</v>
      </c>
      <c r="K2686" t="s">
        <v>87</v>
      </c>
      <c r="L2686" t="s">
        <v>434</v>
      </c>
      <c r="M2686" t="s">
        <v>6</v>
      </c>
      <c r="N2686" t="b">
        <v>0</v>
      </c>
      <c r="O2686">
        <v>0</v>
      </c>
      <c r="P2686">
        <v>1</v>
      </c>
      <c r="Q2686">
        <v>0</v>
      </c>
      <c r="R2686">
        <v>0</v>
      </c>
    </row>
    <row r="2687" spans="1:18" x14ac:dyDescent="0.25">
      <c r="A2687" t="s">
        <v>28</v>
      </c>
      <c r="B2687" t="s">
        <v>6</v>
      </c>
      <c r="C2687">
        <v>3</v>
      </c>
      <c r="D2687">
        <v>6</v>
      </c>
      <c r="E2687">
        <v>1</v>
      </c>
      <c r="F2687" s="15">
        <v>46048</v>
      </c>
      <c r="G2687" t="s">
        <v>332</v>
      </c>
      <c r="H2687">
        <v>4</v>
      </c>
      <c r="I2687">
        <v>2026</v>
      </c>
      <c r="J2687">
        <v>1</v>
      </c>
      <c r="K2687" t="s">
        <v>87</v>
      </c>
      <c r="L2687" t="s">
        <v>41</v>
      </c>
      <c r="M2687" t="s">
        <v>6</v>
      </c>
      <c r="N2687" t="b">
        <v>0</v>
      </c>
      <c r="O2687">
        <v>0</v>
      </c>
      <c r="P2687">
        <v>1</v>
      </c>
      <c r="Q2687">
        <v>0</v>
      </c>
      <c r="R2687">
        <v>0</v>
      </c>
    </row>
    <row r="2688" spans="1:18" x14ac:dyDescent="0.25">
      <c r="A2688" t="s">
        <v>434</v>
      </c>
      <c r="B2688" t="s">
        <v>6</v>
      </c>
      <c r="C2688">
        <v>1</v>
      </c>
      <c r="D2688">
        <v>6</v>
      </c>
      <c r="E2688">
        <v>1</v>
      </c>
      <c r="F2688" s="15">
        <v>46048</v>
      </c>
      <c r="G2688" t="s">
        <v>332</v>
      </c>
      <c r="H2688">
        <v>4</v>
      </c>
      <c r="I2688">
        <v>2026</v>
      </c>
      <c r="J2688">
        <v>1</v>
      </c>
      <c r="K2688" t="s">
        <v>87</v>
      </c>
      <c r="L2688" t="s">
        <v>52</v>
      </c>
      <c r="M2688" t="s">
        <v>8</v>
      </c>
      <c r="N2688" t="b">
        <v>0</v>
      </c>
      <c r="O2688">
        <v>0</v>
      </c>
      <c r="P2688">
        <v>1</v>
      </c>
      <c r="Q2688">
        <v>0</v>
      </c>
      <c r="R2688">
        <v>1</v>
      </c>
    </row>
    <row r="2689" spans="1:18" x14ac:dyDescent="0.25">
      <c r="A2689" t="s">
        <v>434</v>
      </c>
      <c r="B2689" t="s">
        <v>6</v>
      </c>
      <c r="C2689">
        <v>1</v>
      </c>
      <c r="D2689">
        <v>6</v>
      </c>
      <c r="E2689">
        <v>1</v>
      </c>
      <c r="F2689" s="15">
        <v>46048</v>
      </c>
      <c r="G2689" t="s">
        <v>332</v>
      </c>
      <c r="H2689">
        <v>4</v>
      </c>
      <c r="I2689">
        <v>2026</v>
      </c>
      <c r="J2689">
        <v>1</v>
      </c>
      <c r="K2689" t="s">
        <v>87</v>
      </c>
      <c r="L2689" t="s">
        <v>28</v>
      </c>
      <c r="M2689" t="s">
        <v>6</v>
      </c>
      <c r="N2689" t="b">
        <v>0</v>
      </c>
      <c r="O2689">
        <v>0</v>
      </c>
      <c r="P2689">
        <v>1</v>
      </c>
      <c r="Q2689">
        <v>0</v>
      </c>
      <c r="R2689">
        <v>0</v>
      </c>
    </row>
    <row r="2690" spans="1:18" x14ac:dyDescent="0.25">
      <c r="A2690" t="s">
        <v>434</v>
      </c>
      <c r="B2690" t="s">
        <v>6</v>
      </c>
      <c r="C2690">
        <v>1</v>
      </c>
      <c r="D2690">
        <v>6</v>
      </c>
      <c r="E2690">
        <v>1</v>
      </c>
      <c r="F2690" s="15">
        <v>46048</v>
      </c>
      <c r="G2690" t="s">
        <v>332</v>
      </c>
      <c r="H2690">
        <v>4</v>
      </c>
      <c r="I2690">
        <v>2026</v>
      </c>
      <c r="J2690">
        <v>1</v>
      </c>
      <c r="K2690" t="s">
        <v>87</v>
      </c>
      <c r="L2690" t="s">
        <v>41</v>
      </c>
      <c r="M2690" t="s">
        <v>6</v>
      </c>
      <c r="N2690" t="b">
        <v>0</v>
      </c>
      <c r="O2690">
        <v>0</v>
      </c>
      <c r="P2690">
        <v>1</v>
      </c>
      <c r="Q2690">
        <v>0</v>
      </c>
      <c r="R2690">
        <v>0</v>
      </c>
    </row>
    <row r="2691" spans="1:18" x14ac:dyDescent="0.25">
      <c r="A2691" t="s">
        <v>41</v>
      </c>
      <c r="B2691" t="s">
        <v>6</v>
      </c>
      <c r="C2691">
        <v>4</v>
      </c>
      <c r="D2691">
        <v>6</v>
      </c>
      <c r="E2691">
        <v>1</v>
      </c>
      <c r="F2691" s="15">
        <v>46048</v>
      </c>
      <c r="G2691" t="s">
        <v>332</v>
      </c>
      <c r="H2691">
        <v>4</v>
      </c>
      <c r="I2691">
        <v>2026</v>
      </c>
      <c r="J2691">
        <v>1</v>
      </c>
      <c r="K2691" t="s">
        <v>87</v>
      </c>
      <c r="L2691" t="s">
        <v>52</v>
      </c>
      <c r="M2691" t="s">
        <v>8</v>
      </c>
      <c r="N2691" t="b">
        <v>0</v>
      </c>
      <c r="O2691">
        <v>0</v>
      </c>
      <c r="P2691">
        <v>1</v>
      </c>
      <c r="Q2691">
        <v>0</v>
      </c>
      <c r="R2691">
        <v>1</v>
      </c>
    </row>
    <row r="2692" spans="1:18" x14ac:dyDescent="0.25">
      <c r="A2692" t="s">
        <v>41</v>
      </c>
      <c r="B2692" t="s">
        <v>6</v>
      </c>
      <c r="C2692">
        <v>4</v>
      </c>
      <c r="D2692">
        <v>6</v>
      </c>
      <c r="E2692">
        <v>1</v>
      </c>
      <c r="F2692" s="15">
        <v>46048</v>
      </c>
      <c r="G2692" t="s">
        <v>332</v>
      </c>
      <c r="H2692">
        <v>4</v>
      </c>
      <c r="I2692">
        <v>2026</v>
      </c>
      <c r="J2692">
        <v>1</v>
      </c>
      <c r="K2692" t="s">
        <v>87</v>
      </c>
      <c r="L2692" t="s">
        <v>28</v>
      </c>
      <c r="M2692" t="s">
        <v>6</v>
      </c>
      <c r="N2692" t="b">
        <v>0</v>
      </c>
      <c r="O2692">
        <v>0</v>
      </c>
      <c r="P2692">
        <v>1</v>
      </c>
      <c r="Q2692">
        <v>0</v>
      </c>
      <c r="R2692">
        <v>0</v>
      </c>
    </row>
    <row r="2693" spans="1:18" x14ac:dyDescent="0.25">
      <c r="A2693" t="s">
        <v>41</v>
      </c>
      <c r="B2693" t="s">
        <v>6</v>
      </c>
      <c r="C2693">
        <v>4</v>
      </c>
      <c r="D2693">
        <v>6</v>
      </c>
      <c r="E2693">
        <v>1</v>
      </c>
      <c r="F2693" s="15">
        <v>46048</v>
      </c>
      <c r="G2693" t="s">
        <v>332</v>
      </c>
      <c r="H2693">
        <v>4</v>
      </c>
      <c r="I2693">
        <v>2026</v>
      </c>
      <c r="J2693">
        <v>1</v>
      </c>
      <c r="K2693" t="s">
        <v>87</v>
      </c>
      <c r="L2693" t="s">
        <v>434</v>
      </c>
      <c r="M2693" t="s">
        <v>6</v>
      </c>
      <c r="N2693" t="b">
        <v>0</v>
      </c>
      <c r="O2693">
        <v>0</v>
      </c>
      <c r="P2693">
        <v>1</v>
      </c>
      <c r="Q2693">
        <v>0</v>
      </c>
      <c r="R2693">
        <v>0</v>
      </c>
    </row>
    <row r="2694" spans="1:18" x14ac:dyDescent="0.25">
      <c r="A2694" t="s">
        <v>57</v>
      </c>
      <c r="B2694" t="s">
        <v>6</v>
      </c>
      <c r="C2694">
        <v>4</v>
      </c>
      <c r="D2694">
        <v>1</v>
      </c>
      <c r="E2694">
        <v>2</v>
      </c>
      <c r="F2694" s="15">
        <v>45943</v>
      </c>
      <c r="G2694" t="s">
        <v>129</v>
      </c>
      <c r="H2694">
        <v>4</v>
      </c>
      <c r="I2694">
        <v>2025</v>
      </c>
      <c r="J2694">
        <v>10</v>
      </c>
      <c r="K2694" t="s">
        <v>87</v>
      </c>
      <c r="L2694" t="s">
        <v>28</v>
      </c>
      <c r="M2694" t="s">
        <v>8</v>
      </c>
      <c r="N2694" t="b">
        <v>0</v>
      </c>
      <c r="O2694">
        <v>0</v>
      </c>
      <c r="P2694">
        <v>1</v>
      </c>
      <c r="Q2694">
        <v>0</v>
      </c>
      <c r="R2694">
        <v>1</v>
      </c>
    </row>
    <row r="2695" spans="1:18" x14ac:dyDescent="0.25">
      <c r="A2695" t="s">
        <v>57</v>
      </c>
      <c r="B2695" t="s">
        <v>6</v>
      </c>
      <c r="C2695">
        <v>4</v>
      </c>
      <c r="D2695">
        <v>1</v>
      </c>
      <c r="E2695">
        <v>2</v>
      </c>
      <c r="F2695" s="15">
        <v>45943</v>
      </c>
      <c r="G2695" t="s">
        <v>129</v>
      </c>
      <c r="H2695">
        <v>4</v>
      </c>
      <c r="I2695">
        <v>2025</v>
      </c>
      <c r="J2695">
        <v>10</v>
      </c>
      <c r="K2695" t="s">
        <v>87</v>
      </c>
      <c r="L2695" t="s">
        <v>53</v>
      </c>
      <c r="M2695" t="s">
        <v>6</v>
      </c>
      <c r="N2695" t="b">
        <v>0</v>
      </c>
      <c r="O2695">
        <v>0</v>
      </c>
      <c r="P2695">
        <v>1</v>
      </c>
      <c r="Q2695">
        <v>0</v>
      </c>
      <c r="R2695">
        <v>0</v>
      </c>
    </row>
    <row r="2696" spans="1:18" x14ac:dyDescent="0.25">
      <c r="A2696" t="s">
        <v>57</v>
      </c>
      <c r="B2696" t="s">
        <v>6</v>
      </c>
      <c r="C2696">
        <v>4</v>
      </c>
      <c r="D2696">
        <v>1</v>
      </c>
      <c r="E2696">
        <v>2</v>
      </c>
      <c r="F2696" s="15">
        <v>45943</v>
      </c>
      <c r="G2696" t="s">
        <v>129</v>
      </c>
      <c r="H2696">
        <v>4</v>
      </c>
      <c r="I2696">
        <v>2025</v>
      </c>
      <c r="J2696">
        <v>10</v>
      </c>
      <c r="K2696" t="s">
        <v>87</v>
      </c>
      <c r="L2696" t="s">
        <v>352</v>
      </c>
      <c r="M2696" t="s">
        <v>6</v>
      </c>
      <c r="N2696" t="b">
        <v>0</v>
      </c>
      <c r="O2696">
        <v>0</v>
      </c>
      <c r="P2696">
        <v>1</v>
      </c>
      <c r="Q2696">
        <v>0</v>
      </c>
      <c r="R2696">
        <v>0</v>
      </c>
    </row>
    <row r="2697" spans="1:18" x14ac:dyDescent="0.25">
      <c r="A2697" t="s">
        <v>28</v>
      </c>
      <c r="B2697" t="s">
        <v>8</v>
      </c>
      <c r="C2697">
        <v>3</v>
      </c>
      <c r="D2697">
        <v>1</v>
      </c>
      <c r="E2697">
        <v>2</v>
      </c>
      <c r="F2697" s="15">
        <v>45943</v>
      </c>
      <c r="G2697" t="s">
        <v>129</v>
      </c>
      <c r="H2697">
        <v>4</v>
      </c>
      <c r="I2697">
        <v>2025</v>
      </c>
      <c r="J2697">
        <v>10</v>
      </c>
      <c r="K2697" t="s">
        <v>87</v>
      </c>
      <c r="L2697" t="s">
        <v>57</v>
      </c>
      <c r="M2697" t="s">
        <v>6</v>
      </c>
      <c r="N2697" t="b">
        <v>0</v>
      </c>
      <c r="O2697">
        <v>1</v>
      </c>
      <c r="P2697">
        <v>0</v>
      </c>
      <c r="Q2697">
        <v>0</v>
      </c>
      <c r="R2697">
        <v>0</v>
      </c>
    </row>
    <row r="2698" spans="1:18" x14ac:dyDescent="0.25">
      <c r="A2698" t="s">
        <v>28</v>
      </c>
      <c r="B2698" t="s">
        <v>8</v>
      </c>
      <c r="C2698">
        <v>3</v>
      </c>
      <c r="D2698">
        <v>1</v>
      </c>
      <c r="E2698">
        <v>2</v>
      </c>
      <c r="F2698" s="15">
        <v>45943</v>
      </c>
      <c r="G2698" t="s">
        <v>129</v>
      </c>
      <c r="H2698">
        <v>4</v>
      </c>
      <c r="I2698">
        <v>2025</v>
      </c>
      <c r="J2698">
        <v>10</v>
      </c>
      <c r="K2698" t="s">
        <v>87</v>
      </c>
      <c r="L2698" t="s">
        <v>53</v>
      </c>
      <c r="M2698" t="s">
        <v>6</v>
      </c>
      <c r="N2698" t="b">
        <v>0</v>
      </c>
      <c r="O2698">
        <v>1</v>
      </c>
      <c r="P2698">
        <v>0</v>
      </c>
      <c r="Q2698">
        <v>0</v>
      </c>
      <c r="R2698">
        <v>0</v>
      </c>
    </row>
    <row r="2699" spans="1:18" x14ac:dyDescent="0.25">
      <c r="A2699" t="s">
        <v>28</v>
      </c>
      <c r="B2699" t="s">
        <v>8</v>
      </c>
      <c r="C2699">
        <v>3</v>
      </c>
      <c r="D2699">
        <v>1</v>
      </c>
      <c r="E2699">
        <v>2</v>
      </c>
      <c r="F2699" s="15">
        <v>45943</v>
      </c>
      <c r="G2699" t="s">
        <v>129</v>
      </c>
      <c r="H2699">
        <v>4</v>
      </c>
      <c r="I2699">
        <v>2025</v>
      </c>
      <c r="J2699">
        <v>10</v>
      </c>
      <c r="K2699" t="s">
        <v>87</v>
      </c>
      <c r="L2699" t="s">
        <v>352</v>
      </c>
      <c r="M2699" t="s">
        <v>6</v>
      </c>
      <c r="N2699" t="b">
        <v>0</v>
      </c>
      <c r="O2699">
        <v>1</v>
      </c>
      <c r="P2699">
        <v>0</v>
      </c>
      <c r="Q2699">
        <v>0</v>
      </c>
      <c r="R2699">
        <v>0</v>
      </c>
    </row>
    <row r="2700" spans="1:18" x14ac:dyDescent="0.25">
      <c r="A2700" t="s">
        <v>53</v>
      </c>
      <c r="B2700" t="s">
        <v>6</v>
      </c>
      <c r="C2700">
        <v>1</v>
      </c>
      <c r="D2700">
        <v>1</v>
      </c>
      <c r="E2700">
        <v>2</v>
      </c>
      <c r="F2700" s="15">
        <v>45943</v>
      </c>
      <c r="G2700" t="s">
        <v>129</v>
      </c>
      <c r="H2700">
        <v>4</v>
      </c>
      <c r="I2700">
        <v>2025</v>
      </c>
      <c r="J2700">
        <v>10</v>
      </c>
      <c r="K2700" t="s">
        <v>87</v>
      </c>
      <c r="L2700" t="s">
        <v>57</v>
      </c>
      <c r="M2700" t="s">
        <v>6</v>
      </c>
      <c r="N2700" t="b">
        <v>0</v>
      </c>
      <c r="O2700">
        <v>0</v>
      </c>
      <c r="P2700">
        <v>1</v>
      </c>
      <c r="Q2700">
        <v>0</v>
      </c>
      <c r="R2700">
        <v>0</v>
      </c>
    </row>
    <row r="2701" spans="1:18" x14ac:dyDescent="0.25">
      <c r="A2701" t="s">
        <v>53</v>
      </c>
      <c r="B2701" t="s">
        <v>6</v>
      </c>
      <c r="C2701">
        <v>1</v>
      </c>
      <c r="D2701">
        <v>1</v>
      </c>
      <c r="E2701">
        <v>2</v>
      </c>
      <c r="F2701" s="15">
        <v>45943</v>
      </c>
      <c r="G2701" t="s">
        <v>129</v>
      </c>
      <c r="H2701">
        <v>4</v>
      </c>
      <c r="I2701">
        <v>2025</v>
      </c>
      <c r="J2701">
        <v>10</v>
      </c>
      <c r="K2701" t="s">
        <v>87</v>
      </c>
      <c r="L2701" t="s">
        <v>28</v>
      </c>
      <c r="M2701" t="s">
        <v>8</v>
      </c>
      <c r="N2701" t="b">
        <v>0</v>
      </c>
      <c r="O2701">
        <v>0</v>
      </c>
      <c r="P2701">
        <v>1</v>
      </c>
      <c r="Q2701">
        <v>0</v>
      </c>
      <c r="R2701">
        <v>1</v>
      </c>
    </row>
    <row r="2702" spans="1:18" x14ac:dyDescent="0.25">
      <c r="A2702" t="s">
        <v>53</v>
      </c>
      <c r="B2702" t="s">
        <v>6</v>
      </c>
      <c r="C2702">
        <v>1</v>
      </c>
      <c r="D2702">
        <v>1</v>
      </c>
      <c r="E2702">
        <v>2</v>
      </c>
      <c r="F2702" s="15">
        <v>45943</v>
      </c>
      <c r="G2702" t="s">
        <v>129</v>
      </c>
      <c r="H2702">
        <v>4</v>
      </c>
      <c r="I2702">
        <v>2025</v>
      </c>
      <c r="J2702">
        <v>10</v>
      </c>
      <c r="K2702" t="s">
        <v>87</v>
      </c>
      <c r="L2702" t="s">
        <v>352</v>
      </c>
      <c r="M2702" t="s">
        <v>6</v>
      </c>
      <c r="N2702" t="b">
        <v>0</v>
      </c>
      <c r="O2702">
        <v>0</v>
      </c>
      <c r="P2702">
        <v>1</v>
      </c>
      <c r="Q2702">
        <v>0</v>
      </c>
      <c r="R2702">
        <v>0</v>
      </c>
    </row>
    <row r="2703" spans="1:18" x14ac:dyDescent="0.25">
      <c r="A2703" t="s">
        <v>352</v>
      </c>
      <c r="B2703" t="s">
        <v>6</v>
      </c>
      <c r="C2703">
        <v>2</v>
      </c>
      <c r="D2703">
        <v>1</v>
      </c>
      <c r="E2703">
        <v>2</v>
      </c>
      <c r="F2703" s="15">
        <v>45943</v>
      </c>
      <c r="G2703" t="s">
        <v>129</v>
      </c>
      <c r="H2703">
        <v>4</v>
      </c>
      <c r="I2703">
        <v>2025</v>
      </c>
      <c r="J2703">
        <v>10</v>
      </c>
      <c r="K2703" t="s">
        <v>87</v>
      </c>
      <c r="L2703" t="s">
        <v>57</v>
      </c>
      <c r="M2703" t="s">
        <v>6</v>
      </c>
      <c r="N2703" t="b">
        <v>0</v>
      </c>
      <c r="O2703">
        <v>0</v>
      </c>
      <c r="P2703">
        <v>1</v>
      </c>
      <c r="Q2703">
        <v>0</v>
      </c>
      <c r="R2703">
        <v>0</v>
      </c>
    </row>
    <row r="2704" spans="1:18" x14ac:dyDescent="0.25">
      <c r="A2704" t="s">
        <v>352</v>
      </c>
      <c r="B2704" t="s">
        <v>6</v>
      </c>
      <c r="C2704">
        <v>2</v>
      </c>
      <c r="D2704">
        <v>1</v>
      </c>
      <c r="E2704">
        <v>2</v>
      </c>
      <c r="F2704" s="15">
        <v>45943</v>
      </c>
      <c r="G2704" t="s">
        <v>129</v>
      </c>
      <c r="H2704">
        <v>4</v>
      </c>
      <c r="I2704">
        <v>2025</v>
      </c>
      <c r="J2704">
        <v>10</v>
      </c>
      <c r="K2704" t="s">
        <v>87</v>
      </c>
      <c r="L2704" t="s">
        <v>28</v>
      </c>
      <c r="M2704" t="s">
        <v>8</v>
      </c>
      <c r="N2704" t="b">
        <v>0</v>
      </c>
      <c r="O2704">
        <v>0</v>
      </c>
      <c r="P2704">
        <v>1</v>
      </c>
      <c r="Q2704">
        <v>0</v>
      </c>
      <c r="R2704">
        <v>1</v>
      </c>
    </row>
    <row r="2705" spans="1:18" x14ac:dyDescent="0.25">
      <c r="A2705" t="s">
        <v>352</v>
      </c>
      <c r="B2705" t="s">
        <v>6</v>
      </c>
      <c r="C2705">
        <v>2</v>
      </c>
      <c r="D2705">
        <v>1</v>
      </c>
      <c r="E2705">
        <v>2</v>
      </c>
      <c r="F2705" s="15">
        <v>45943</v>
      </c>
      <c r="G2705" t="s">
        <v>129</v>
      </c>
      <c r="H2705">
        <v>4</v>
      </c>
      <c r="I2705">
        <v>2025</v>
      </c>
      <c r="J2705">
        <v>10</v>
      </c>
      <c r="K2705" t="s">
        <v>87</v>
      </c>
      <c r="L2705" t="s">
        <v>53</v>
      </c>
      <c r="M2705" t="s">
        <v>6</v>
      </c>
      <c r="N2705" t="b">
        <v>0</v>
      </c>
      <c r="O2705">
        <v>0</v>
      </c>
      <c r="P2705">
        <v>1</v>
      </c>
      <c r="Q2705">
        <v>0</v>
      </c>
      <c r="R2705">
        <v>0</v>
      </c>
    </row>
    <row r="2706" spans="1:18" x14ac:dyDescent="0.25">
      <c r="A2706" t="s">
        <v>57</v>
      </c>
      <c r="B2706" t="s">
        <v>6</v>
      </c>
      <c r="C2706">
        <v>3</v>
      </c>
      <c r="D2706">
        <v>4</v>
      </c>
      <c r="E2706">
        <v>2</v>
      </c>
      <c r="F2706" s="15">
        <v>45964</v>
      </c>
      <c r="G2706" t="s">
        <v>269</v>
      </c>
      <c r="H2706">
        <v>4</v>
      </c>
      <c r="I2706">
        <v>2025</v>
      </c>
      <c r="J2706">
        <v>11</v>
      </c>
      <c r="K2706" t="s">
        <v>87</v>
      </c>
      <c r="L2706" t="s">
        <v>321</v>
      </c>
      <c r="M2706" t="s">
        <v>8</v>
      </c>
      <c r="N2706" t="b">
        <v>0</v>
      </c>
      <c r="O2706">
        <v>0</v>
      </c>
      <c r="P2706">
        <v>1</v>
      </c>
      <c r="Q2706">
        <v>0</v>
      </c>
      <c r="R2706">
        <v>1</v>
      </c>
    </row>
    <row r="2707" spans="1:18" x14ac:dyDescent="0.25">
      <c r="A2707" t="s">
        <v>57</v>
      </c>
      <c r="B2707" t="s">
        <v>6</v>
      </c>
      <c r="C2707">
        <v>3</v>
      </c>
      <c r="D2707">
        <v>4</v>
      </c>
      <c r="E2707">
        <v>2</v>
      </c>
      <c r="F2707" s="15">
        <v>45964</v>
      </c>
      <c r="G2707" t="s">
        <v>269</v>
      </c>
      <c r="H2707">
        <v>4</v>
      </c>
      <c r="I2707">
        <v>2025</v>
      </c>
      <c r="J2707">
        <v>11</v>
      </c>
      <c r="K2707" t="s">
        <v>87</v>
      </c>
      <c r="L2707" t="s">
        <v>42</v>
      </c>
      <c r="M2707" t="s">
        <v>6</v>
      </c>
      <c r="N2707" t="b">
        <v>0</v>
      </c>
      <c r="O2707">
        <v>0</v>
      </c>
      <c r="P2707">
        <v>1</v>
      </c>
      <c r="Q2707">
        <v>0</v>
      </c>
      <c r="R2707">
        <v>0</v>
      </c>
    </row>
    <row r="2708" spans="1:18" x14ac:dyDescent="0.25">
      <c r="A2708" t="s">
        <v>57</v>
      </c>
      <c r="B2708" t="s">
        <v>6</v>
      </c>
      <c r="C2708">
        <v>3</v>
      </c>
      <c r="D2708">
        <v>4</v>
      </c>
      <c r="E2708">
        <v>2</v>
      </c>
      <c r="F2708" s="15">
        <v>45964</v>
      </c>
      <c r="G2708" t="s">
        <v>269</v>
      </c>
      <c r="H2708">
        <v>4</v>
      </c>
      <c r="I2708">
        <v>2025</v>
      </c>
      <c r="J2708">
        <v>11</v>
      </c>
      <c r="K2708" t="s">
        <v>87</v>
      </c>
      <c r="L2708" t="s">
        <v>18</v>
      </c>
      <c r="M2708" t="s">
        <v>6</v>
      </c>
      <c r="N2708" t="b">
        <v>0</v>
      </c>
      <c r="O2708">
        <v>0</v>
      </c>
      <c r="P2708">
        <v>1</v>
      </c>
      <c r="Q2708">
        <v>0</v>
      </c>
      <c r="R2708">
        <v>0</v>
      </c>
    </row>
    <row r="2709" spans="1:18" x14ac:dyDescent="0.25">
      <c r="A2709" t="s">
        <v>321</v>
      </c>
      <c r="B2709" t="s">
        <v>8</v>
      </c>
      <c r="C2709">
        <v>1</v>
      </c>
      <c r="D2709">
        <v>4</v>
      </c>
      <c r="E2709">
        <v>2</v>
      </c>
      <c r="F2709" s="15">
        <v>45964</v>
      </c>
      <c r="G2709" t="s">
        <v>269</v>
      </c>
      <c r="H2709">
        <v>4</v>
      </c>
      <c r="I2709">
        <v>2025</v>
      </c>
      <c r="J2709">
        <v>11</v>
      </c>
      <c r="K2709" t="s">
        <v>87</v>
      </c>
      <c r="L2709" t="s">
        <v>57</v>
      </c>
      <c r="M2709" t="s">
        <v>6</v>
      </c>
      <c r="N2709" t="b">
        <v>0</v>
      </c>
      <c r="O2709">
        <v>1</v>
      </c>
      <c r="P2709">
        <v>0</v>
      </c>
      <c r="Q2709">
        <v>0</v>
      </c>
      <c r="R2709">
        <v>0</v>
      </c>
    </row>
    <row r="2710" spans="1:18" x14ac:dyDescent="0.25">
      <c r="A2710" t="s">
        <v>321</v>
      </c>
      <c r="B2710" t="s">
        <v>8</v>
      </c>
      <c r="C2710">
        <v>1</v>
      </c>
      <c r="D2710">
        <v>4</v>
      </c>
      <c r="E2710">
        <v>2</v>
      </c>
      <c r="F2710" s="15">
        <v>45964</v>
      </c>
      <c r="G2710" t="s">
        <v>269</v>
      </c>
      <c r="H2710">
        <v>4</v>
      </c>
      <c r="I2710">
        <v>2025</v>
      </c>
      <c r="J2710">
        <v>11</v>
      </c>
      <c r="K2710" t="s">
        <v>87</v>
      </c>
      <c r="L2710" t="s">
        <v>42</v>
      </c>
      <c r="M2710" t="s">
        <v>6</v>
      </c>
      <c r="N2710" t="b">
        <v>0</v>
      </c>
      <c r="O2710">
        <v>1</v>
      </c>
      <c r="P2710">
        <v>0</v>
      </c>
      <c r="Q2710">
        <v>0</v>
      </c>
      <c r="R2710">
        <v>0</v>
      </c>
    </row>
    <row r="2711" spans="1:18" x14ac:dyDescent="0.25">
      <c r="A2711" t="s">
        <v>321</v>
      </c>
      <c r="B2711" t="s">
        <v>8</v>
      </c>
      <c r="C2711">
        <v>1</v>
      </c>
      <c r="D2711">
        <v>4</v>
      </c>
      <c r="E2711">
        <v>2</v>
      </c>
      <c r="F2711" s="15">
        <v>45964</v>
      </c>
      <c r="G2711" t="s">
        <v>269</v>
      </c>
      <c r="H2711">
        <v>4</v>
      </c>
      <c r="I2711">
        <v>2025</v>
      </c>
      <c r="J2711">
        <v>11</v>
      </c>
      <c r="K2711" t="s">
        <v>87</v>
      </c>
      <c r="L2711" t="s">
        <v>18</v>
      </c>
      <c r="M2711" t="s">
        <v>6</v>
      </c>
      <c r="N2711" t="b">
        <v>0</v>
      </c>
      <c r="O2711">
        <v>1</v>
      </c>
      <c r="P2711">
        <v>0</v>
      </c>
      <c r="Q2711">
        <v>0</v>
      </c>
      <c r="R2711">
        <v>0</v>
      </c>
    </row>
    <row r="2712" spans="1:18" x14ac:dyDescent="0.25">
      <c r="A2712" t="s">
        <v>42</v>
      </c>
      <c r="B2712" t="s">
        <v>6</v>
      </c>
      <c r="C2712">
        <v>2</v>
      </c>
      <c r="D2712">
        <v>4</v>
      </c>
      <c r="E2712">
        <v>2</v>
      </c>
      <c r="F2712" s="15">
        <v>45964</v>
      </c>
      <c r="G2712" t="s">
        <v>269</v>
      </c>
      <c r="H2712">
        <v>4</v>
      </c>
      <c r="I2712">
        <v>2025</v>
      </c>
      <c r="J2712">
        <v>11</v>
      </c>
      <c r="K2712" t="s">
        <v>87</v>
      </c>
      <c r="L2712" t="s">
        <v>57</v>
      </c>
      <c r="M2712" t="s">
        <v>6</v>
      </c>
      <c r="N2712" t="b">
        <v>0</v>
      </c>
      <c r="O2712">
        <v>0</v>
      </c>
      <c r="P2712">
        <v>1</v>
      </c>
      <c r="Q2712">
        <v>0</v>
      </c>
      <c r="R2712">
        <v>0</v>
      </c>
    </row>
    <row r="2713" spans="1:18" x14ac:dyDescent="0.25">
      <c r="A2713" t="s">
        <v>42</v>
      </c>
      <c r="B2713" t="s">
        <v>6</v>
      </c>
      <c r="C2713">
        <v>2</v>
      </c>
      <c r="D2713">
        <v>4</v>
      </c>
      <c r="E2713">
        <v>2</v>
      </c>
      <c r="F2713" s="15">
        <v>45964</v>
      </c>
      <c r="G2713" t="s">
        <v>269</v>
      </c>
      <c r="H2713">
        <v>4</v>
      </c>
      <c r="I2713">
        <v>2025</v>
      </c>
      <c r="J2713">
        <v>11</v>
      </c>
      <c r="K2713" t="s">
        <v>87</v>
      </c>
      <c r="L2713" t="s">
        <v>321</v>
      </c>
      <c r="M2713" t="s">
        <v>8</v>
      </c>
      <c r="N2713" t="b">
        <v>0</v>
      </c>
      <c r="O2713">
        <v>0</v>
      </c>
      <c r="P2713">
        <v>1</v>
      </c>
      <c r="Q2713">
        <v>0</v>
      </c>
      <c r="R2713">
        <v>1</v>
      </c>
    </row>
    <row r="2714" spans="1:18" x14ac:dyDescent="0.25">
      <c r="A2714" t="s">
        <v>42</v>
      </c>
      <c r="B2714" t="s">
        <v>6</v>
      </c>
      <c r="C2714">
        <v>2</v>
      </c>
      <c r="D2714">
        <v>4</v>
      </c>
      <c r="E2714">
        <v>2</v>
      </c>
      <c r="F2714" s="15">
        <v>45964</v>
      </c>
      <c r="G2714" t="s">
        <v>269</v>
      </c>
      <c r="H2714">
        <v>4</v>
      </c>
      <c r="I2714">
        <v>2025</v>
      </c>
      <c r="J2714">
        <v>11</v>
      </c>
      <c r="K2714" t="s">
        <v>87</v>
      </c>
      <c r="L2714" t="s">
        <v>18</v>
      </c>
      <c r="M2714" t="s">
        <v>6</v>
      </c>
      <c r="N2714" t="b">
        <v>0</v>
      </c>
      <c r="O2714">
        <v>0</v>
      </c>
      <c r="P2714">
        <v>1</v>
      </c>
      <c r="Q2714">
        <v>0</v>
      </c>
      <c r="R2714">
        <v>0</v>
      </c>
    </row>
    <row r="2715" spans="1:18" x14ac:dyDescent="0.25">
      <c r="A2715" t="s">
        <v>18</v>
      </c>
      <c r="B2715" t="s">
        <v>6</v>
      </c>
      <c r="C2715">
        <v>4</v>
      </c>
      <c r="D2715">
        <v>4</v>
      </c>
      <c r="E2715">
        <v>2</v>
      </c>
      <c r="F2715" s="15">
        <v>45964</v>
      </c>
      <c r="G2715" t="s">
        <v>269</v>
      </c>
      <c r="H2715">
        <v>4</v>
      </c>
      <c r="I2715">
        <v>2025</v>
      </c>
      <c r="J2715">
        <v>11</v>
      </c>
      <c r="K2715" t="s">
        <v>87</v>
      </c>
      <c r="L2715" t="s">
        <v>57</v>
      </c>
      <c r="M2715" t="s">
        <v>6</v>
      </c>
      <c r="N2715" t="b">
        <v>0</v>
      </c>
      <c r="O2715">
        <v>0</v>
      </c>
      <c r="P2715">
        <v>1</v>
      </c>
      <c r="Q2715">
        <v>0</v>
      </c>
      <c r="R2715">
        <v>0</v>
      </c>
    </row>
    <row r="2716" spans="1:18" x14ac:dyDescent="0.25">
      <c r="A2716" t="s">
        <v>18</v>
      </c>
      <c r="B2716" t="s">
        <v>6</v>
      </c>
      <c r="C2716">
        <v>4</v>
      </c>
      <c r="D2716">
        <v>4</v>
      </c>
      <c r="E2716">
        <v>2</v>
      </c>
      <c r="F2716" s="15">
        <v>45964</v>
      </c>
      <c r="G2716" t="s">
        <v>269</v>
      </c>
      <c r="H2716">
        <v>4</v>
      </c>
      <c r="I2716">
        <v>2025</v>
      </c>
      <c r="J2716">
        <v>11</v>
      </c>
      <c r="K2716" t="s">
        <v>87</v>
      </c>
      <c r="L2716" t="s">
        <v>321</v>
      </c>
      <c r="M2716" t="s">
        <v>8</v>
      </c>
      <c r="N2716" t="b">
        <v>0</v>
      </c>
      <c r="O2716">
        <v>0</v>
      </c>
      <c r="P2716">
        <v>1</v>
      </c>
      <c r="Q2716">
        <v>0</v>
      </c>
      <c r="R2716">
        <v>1</v>
      </c>
    </row>
    <row r="2717" spans="1:18" x14ac:dyDescent="0.25">
      <c r="A2717" t="s">
        <v>18</v>
      </c>
      <c r="B2717" t="s">
        <v>6</v>
      </c>
      <c r="C2717">
        <v>4</v>
      </c>
      <c r="D2717">
        <v>4</v>
      </c>
      <c r="E2717">
        <v>2</v>
      </c>
      <c r="F2717" s="15">
        <v>45964</v>
      </c>
      <c r="G2717" t="s">
        <v>269</v>
      </c>
      <c r="H2717">
        <v>4</v>
      </c>
      <c r="I2717">
        <v>2025</v>
      </c>
      <c r="J2717">
        <v>11</v>
      </c>
      <c r="K2717" t="s">
        <v>87</v>
      </c>
      <c r="L2717" t="s">
        <v>42</v>
      </c>
      <c r="M2717" t="s">
        <v>6</v>
      </c>
      <c r="N2717" t="b">
        <v>0</v>
      </c>
      <c r="O2717">
        <v>0</v>
      </c>
      <c r="P2717">
        <v>1</v>
      </c>
      <c r="Q2717">
        <v>0</v>
      </c>
      <c r="R2717">
        <v>0</v>
      </c>
    </row>
    <row r="2718" spans="1:18" x14ac:dyDescent="0.25">
      <c r="A2718" t="s">
        <v>28</v>
      </c>
      <c r="B2718" t="s">
        <v>8</v>
      </c>
      <c r="C2718">
        <v>3</v>
      </c>
      <c r="D2718">
        <v>2</v>
      </c>
      <c r="E2718">
        <v>1</v>
      </c>
      <c r="F2718" s="15">
        <v>45951</v>
      </c>
      <c r="G2718" t="s">
        <v>154</v>
      </c>
      <c r="H2718">
        <v>4</v>
      </c>
      <c r="I2718">
        <v>2025</v>
      </c>
      <c r="J2718">
        <v>10</v>
      </c>
      <c r="K2718" t="s">
        <v>87</v>
      </c>
      <c r="L2718" t="s">
        <v>58</v>
      </c>
      <c r="M2718" t="s">
        <v>6</v>
      </c>
      <c r="N2718" t="b">
        <v>0</v>
      </c>
      <c r="O2718">
        <v>1</v>
      </c>
      <c r="P2718">
        <v>0</v>
      </c>
      <c r="Q2718">
        <v>0</v>
      </c>
      <c r="R2718">
        <v>0</v>
      </c>
    </row>
    <row r="2719" spans="1:18" x14ac:dyDescent="0.25">
      <c r="A2719" t="s">
        <v>28</v>
      </c>
      <c r="B2719" t="s">
        <v>8</v>
      </c>
      <c r="C2719">
        <v>3</v>
      </c>
      <c r="D2719">
        <v>2</v>
      </c>
      <c r="E2719">
        <v>1</v>
      </c>
      <c r="F2719" s="15">
        <v>45951</v>
      </c>
      <c r="G2719" t="s">
        <v>154</v>
      </c>
      <c r="H2719">
        <v>4</v>
      </c>
      <c r="I2719">
        <v>2025</v>
      </c>
      <c r="J2719">
        <v>10</v>
      </c>
      <c r="K2719" t="s">
        <v>87</v>
      </c>
      <c r="L2719" t="s">
        <v>9</v>
      </c>
      <c r="M2719" t="s">
        <v>6</v>
      </c>
      <c r="N2719" t="b">
        <v>0</v>
      </c>
      <c r="O2719">
        <v>1</v>
      </c>
      <c r="P2719">
        <v>0</v>
      </c>
      <c r="Q2719">
        <v>0</v>
      </c>
      <c r="R2719">
        <v>0</v>
      </c>
    </row>
    <row r="2720" spans="1:18" x14ac:dyDescent="0.25">
      <c r="A2720" t="s">
        <v>28</v>
      </c>
      <c r="B2720" t="s">
        <v>8</v>
      </c>
      <c r="C2720">
        <v>3</v>
      </c>
      <c r="D2720">
        <v>2</v>
      </c>
      <c r="E2720">
        <v>1</v>
      </c>
      <c r="F2720" s="15">
        <v>45951</v>
      </c>
      <c r="G2720" t="s">
        <v>154</v>
      </c>
      <c r="H2720">
        <v>4</v>
      </c>
      <c r="I2720">
        <v>2025</v>
      </c>
      <c r="J2720">
        <v>10</v>
      </c>
      <c r="K2720" t="s">
        <v>87</v>
      </c>
      <c r="L2720" t="s">
        <v>352</v>
      </c>
      <c r="M2720" t="s">
        <v>6</v>
      </c>
      <c r="N2720" t="b">
        <v>0</v>
      </c>
      <c r="O2720">
        <v>1</v>
      </c>
      <c r="P2720">
        <v>0</v>
      </c>
      <c r="Q2720">
        <v>0</v>
      </c>
      <c r="R2720">
        <v>0</v>
      </c>
    </row>
    <row r="2721" spans="1:18" x14ac:dyDescent="0.25">
      <c r="A2721" t="s">
        <v>58</v>
      </c>
      <c r="B2721" t="s">
        <v>6</v>
      </c>
      <c r="C2721">
        <v>1</v>
      </c>
      <c r="D2721">
        <v>2</v>
      </c>
      <c r="E2721">
        <v>1</v>
      </c>
      <c r="F2721" s="15">
        <v>45951</v>
      </c>
      <c r="G2721" t="s">
        <v>154</v>
      </c>
      <c r="H2721">
        <v>4</v>
      </c>
      <c r="I2721">
        <v>2025</v>
      </c>
      <c r="J2721">
        <v>10</v>
      </c>
      <c r="K2721" t="s">
        <v>87</v>
      </c>
      <c r="L2721" t="s">
        <v>28</v>
      </c>
      <c r="M2721" t="s">
        <v>8</v>
      </c>
      <c r="N2721" t="b">
        <v>0</v>
      </c>
      <c r="O2721">
        <v>0</v>
      </c>
      <c r="P2721">
        <v>1</v>
      </c>
      <c r="Q2721">
        <v>0</v>
      </c>
      <c r="R2721">
        <v>1</v>
      </c>
    </row>
    <row r="2722" spans="1:18" x14ac:dyDescent="0.25">
      <c r="A2722" t="s">
        <v>58</v>
      </c>
      <c r="B2722" t="s">
        <v>6</v>
      </c>
      <c r="C2722">
        <v>1</v>
      </c>
      <c r="D2722">
        <v>2</v>
      </c>
      <c r="E2722">
        <v>1</v>
      </c>
      <c r="F2722" s="15">
        <v>45951</v>
      </c>
      <c r="G2722" t="s">
        <v>154</v>
      </c>
      <c r="H2722">
        <v>4</v>
      </c>
      <c r="I2722">
        <v>2025</v>
      </c>
      <c r="J2722">
        <v>10</v>
      </c>
      <c r="K2722" t="s">
        <v>87</v>
      </c>
      <c r="L2722" t="s">
        <v>9</v>
      </c>
      <c r="M2722" t="s">
        <v>6</v>
      </c>
      <c r="N2722" t="b">
        <v>0</v>
      </c>
      <c r="O2722">
        <v>0</v>
      </c>
      <c r="P2722">
        <v>1</v>
      </c>
      <c r="Q2722">
        <v>0</v>
      </c>
      <c r="R2722">
        <v>0</v>
      </c>
    </row>
    <row r="2723" spans="1:18" x14ac:dyDescent="0.25">
      <c r="A2723" t="s">
        <v>58</v>
      </c>
      <c r="B2723" t="s">
        <v>6</v>
      </c>
      <c r="C2723">
        <v>1</v>
      </c>
      <c r="D2723">
        <v>2</v>
      </c>
      <c r="E2723">
        <v>1</v>
      </c>
      <c r="F2723" s="15">
        <v>45951</v>
      </c>
      <c r="G2723" t="s">
        <v>154</v>
      </c>
      <c r="H2723">
        <v>4</v>
      </c>
      <c r="I2723">
        <v>2025</v>
      </c>
      <c r="J2723">
        <v>10</v>
      </c>
      <c r="K2723" t="s">
        <v>87</v>
      </c>
      <c r="L2723" t="s">
        <v>352</v>
      </c>
      <c r="M2723" t="s">
        <v>6</v>
      </c>
      <c r="N2723" t="b">
        <v>0</v>
      </c>
      <c r="O2723">
        <v>0</v>
      </c>
      <c r="P2723">
        <v>1</v>
      </c>
      <c r="Q2723">
        <v>0</v>
      </c>
      <c r="R2723">
        <v>0</v>
      </c>
    </row>
    <row r="2724" spans="1:18" x14ac:dyDescent="0.25">
      <c r="A2724" t="s">
        <v>9</v>
      </c>
      <c r="B2724" t="s">
        <v>6</v>
      </c>
      <c r="C2724">
        <v>2</v>
      </c>
      <c r="D2724">
        <v>2</v>
      </c>
      <c r="E2724">
        <v>1</v>
      </c>
      <c r="F2724" s="15">
        <v>45951</v>
      </c>
      <c r="G2724" t="s">
        <v>154</v>
      </c>
      <c r="H2724">
        <v>4</v>
      </c>
      <c r="I2724">
        <v>2025</v>
      </c>
      <c r="J2724">
        <v>10</v>
      </c>
      <c r="K2724" t="s">
        <v>87</v>
      </c>
      <c r="L2724" t="s">
        <v>28</v>
      </c>
      <c r="M2724" t="s">
        <v>8</v>
      </c>
      <c r="N2724" t="b">
        <v>0</v>
      </c>
      <c r="O2724">
        <v>0</v>
      </c>
      <c r="P2724">
        <v>1</v>
      </c>
      <c r="Q2724">
        <v>0</v>
      </c>
      <c r="R2724">
        <v>1</v>
      </c>
    </row>
    <row r="2725" spans="1:18" x14ac:dyDescent="0.25">
      <c r="A2725" t="s">
        <v>9</v>
      </c>
      <c r="B2725" t="s">
        <v>6</v>
      </c>
      <c r="C2725">
        <v>2</v>
      </c>
      <c r="D2725">
        <v>2</v>
      </c>
      <c r="E2725">
        <v>1</v>
      </c>
      <c r="F2725" s="15">
        <v>45951</v>
      </c>
      <c r="G2725" t="s">
        <v>154</v>
      </c>
      <c r="H2725">
        <v>4</v>
      </c>
      <c r="I2725">
        <v>2025</v>
      </c>
      <c r="J2725">
        <v>10</v>
      </c>
      <c r="K2725" t="s">
        <v>87</v>
      </c>
      <c r="L2725" t="s">
        <v>58</v>
      </c>
      <c r="M2725" t="s">
        <v>6</v>
      </c>
      <c r="N2725" t="b">
        <v>0</v>
      </c>
      <c r="O2725">
        <v>0</v>
      </c>
      <c r="P2725">
        <v>1</v>
      </c>
      <c r="Q2725">
        <v>0</v>
      </c>
      <c r="R2725">
        <v>0</v>
      </c>
    </row>
    <row r="2726" spans="1:18" x14ac:dyDescent="0.25">
      <c r="A2726" t="s">
        <v>9</v>
      </c>
      <c r="B2726" t="s">
        <v>6</v>
      </c>
      <c r="C2726">
        <v>2</v>
      </c>
      <c r="D2726">
        <v>2</v>
      </c>
      <c r="E2726">
        <v>1</v>
      </c>
      <c r="F2726" s="15">
        <v>45951</v>
      </c>
      <c r="G2726" t="s">
        <v>154</v>
      </c>
      <c r="H2726">
        <v>4</v>
      </c>
      <c r="I2726">
        <v>2025</v>
      </c>
      <c r="J2726">
        <v>10</v>
      </c>
      <c r="K2726" t="s">
        <v>87</v>
      </c>
      <c r="L2726" t="s">
        <v>352</v>
      </c>
      <c r="M2726" t="s">
        <v>6</v>
      </c>
      <c r="N2726" t="b">
        <v>0</v>
      </c>
      <c r="O2726">
        <v>0</v>
      </c>
      <c r="P2726">
        <v>1</v>
      </c>
      <c r="Q2726">
        <v>0</v>
      </c>
      <c r="R2726">
        <v>0</v>
      </c>
    </row>
    <row r="2727" spans="1:18" x14ac:dyDescent="0.25">
      <c r="A2727" t="s">
        <v>352</v>
      </c>
      <c r="B2727" t="s">
        <v>6</v>
      </c>
      <c r="C2727">
        <v>4</v>
      </c>
      <c r="D2727">
        <v>2</v>
      </c>
      <c r="E2727">
        <v>1</v>
      </c>
      <c r="F2727" s="15">
        <v>45951</v>
      </c>
      <c r="G2727" t="s">
        <v>154</v>
      </c>
      <c r="H2727">
        <v>4</v>
      </c>
      <c r="I2727">
        <v>2025</v>
      </c>
      <c r="J2727">
        <v>10</v>
      </c>
      <c r="K2727" t="s">
        <v>87</v>
      </c>
      <c r="L2727" t="s">
        <v>28</v>
      </c>
      <c r="M2727" t="s">
        <v>8</v>
      </c>
      <c r="N2727" t="b">
        <v>0</v>
      </c>
      <c r="O2727">
        <v>0</v>
      </c>
      <c r="P2727">
        <v>1</v>
      </c>
      <c r="Q2727">
        <v>0</v>
      </c>
      <c r="R2727">
        <v>1</v>
      </c>
    </row>
    <row r="2728" spans="1:18" x14ac:dyDescent="0.25">
      <c r="A2728" t="s">
        <v>352</v>
      </c>
      <c r="B2728" t="s">
        <v>6</v>
      </c>
      <c r="C2728">
        <v>4</v>
      </c>
      <c r="D2728">
        <v>2</v>
      </c>
      <c r="E2728">
        <v>1</v>
      </c>
      <c r="F2728" s="15">
        <v>45951</v>
      </c>
      <c r="G2728" t="s">
        <v>154</v>
      </c>
      <c r="H2728">
        <v>4</v>
      </c>
      <c r="I2728">
        <v>2025</v>
      </c>
      <c r="J2728">
        <v>10</v>
      </c>
      <c r="K2728" t="s">
        <v>87</v>
      </c>
      <c r="L2728" t="s">
        <v>58</v>
      </c>
      <c r="M2728" t="s">
        <v>6</v>
      </c>
      <c r="N2728" t="b">
        <v>0</v>
      </c>
      <c r="O2728">
        <v>0</v>
      </c>
      <c r="P2728">
        <v>1</v>
      </c>
      <c r="Q2728">
        <v>0</v>
      </c>
      <c r="R2728">
        <v>0</v>
      </c>
    </row>
    <row r="2729" spans="1:18" x14ac:dyDescent="0.25">
      <c r="A2729" t="s">
        <v>352</v>
      </c>
      <c r="B2729" t="s">
        <v>6</v>
      </c>
      <c r="C2729">
        <v>4</v>
      </c>
      <c r="D2729">
        <v>2</v>
      </c>
      <c r="E2729">
        <v>1</v>
      </c>
      <c r="F2729" s="15">
        <v>45951</v>
      </c>
      <c r="G2729" t="s">
        <v>154</v>
      </c>
      <c r="H2729">
        <v>4</v>
      </c>
      <c r="I2729">
        <v>2025</v>
      </c>
      <c r="J2729">
        <v>10</v>
      </c>
      <c r="K2729" t="s">
        <v>87</v>
      </c>
      <c r="L2729" t="s">
        <v>9</v>
      </c>
      <c r="M2729" t="s">
        <v>6</v>
      </c>
      <c r="N2729" t="b">
        <v>0</v>
      </c>
      <c r="O2729">
        <v>0</v>
      </c>
      <c r="P2729">
        <v>1</v>
      </c>
      <c r="Q2729">
        <v>0</v>
      </c>
      <c r="R2729">
        <v>0</v>
      </c>
    </row>
    <row r="2730" spans="1:18" x14ac:dyDescent="0.25">
      <c r="A2730" t="s">
        <v>28</v>
      </c>
      <c r="B2730" t="s">
        <v>8</v>
      </c>
      <c r="C2730">
        <v>2</v>
      </c>
      <c r="D2730">
        <v>2</v>
      </c>
      <c r="E2730">
        <v>2</v>
      </c>
      <c r="F2730" s="15">
        <v>45971</v>
      </c>
      <c r="G2730" t="s">
        <v>181</v>
      </c>
      <c r="H2730">
        <v>4</v>
      </c>
      <c r="I2730">
        <v>2025</v>
      </c>
      <c r="J2730">
        <v>11</v>
      </c>
      <c r="K2730" t="s">
        <v>87</v>
      </c>
      <c r="L2730" t="s">
        <v>53</v>
      </c>
      <c r="M2730" t="s">
        <v>6</v>
      </c>
      <c r="N2730" t="b">
        <v>0</v>
      </c>
      <c r="O2730">
        <v>1</v>
      </c>
      <c r="P2730">
        <v>0</v>
      </c>
      <c r="Q2730">
        <v>0</v>
      </c>
      <c r="R2730">
        <v>0</v>
      </c>
    </row>
    <row r="2731" spans="1:18" x14ac:dyDescent="0.25">
      <c r="A2731" t="s">
        <v>28</v>
      </c>
      <c r="B2731" t="s">
        <v>8</v>
      </c>
      <c r="C2731">
        <v>2</v>
      </c>
      <c r="D2731">
        <v>2</v>
      </c>
      <c r="E2731">
        <v>2</v>
      </c>
      <c r="F2731" s="15">
        <v>45971</v>
      </c>
      <c r="G2731" t="s">
        <v>181</v>
      </c>
      <c r="H2731">
        <v>4</v>
      </c>
      <c r="I2731">
        <v>2025</v>
      </c>
      <c r="J2731">
        <v>11</v>
      </c>
      <c r="K2731" t="s">
        <v>87</v>
      </c>
      <c r="L2731" t="s">
        <v>15</v>
      </c>
      <c r="M2731" t="s">
        <v>6</v>
      </c>
      <c r="N2731" t="b">
        <v>0</v>
      </c>
      <c r="O2731">
        <v>1</v>
      </c>
      <c r="P2731">
        <v>0</v>
      </c>
      <c r="Q2731">
        <v>0</v>
      </c>
      <c r="R2731">
        <v>0</v>
      </c>
    </row>
    <row r="2732" spans="1:18" x14ac:dyDescent="0.25">
      <c r="A2732" t="s">
        <v>28</v>
      </c>
      <c r="B2732" t="s">
        <v>8</v>
      </c>
      <c r="C2732">
        <v>2</v>
      </c>
      <c r="D2732">
        <v>2</v>
      </c>
      <c r="E2732">
        <v>2</v>
      </c>
      <c r="F2732" s="15">
        <v>45971</v>
      </c>
      <c r="G2732" t="s">
        <v>181</v>
      </c>
      <c r="H2732">
        <v>4</v>
      </c>
      <c r="I2732">
        <v>2025</v>
      </c>
      <c r="J2732">
        <v>11</v>
      </c>
      <c r="K2732" t="s">
        <v>87</v>
      </c>
      <c r="L2732" t="s">
        <v>18</v>
      </c>
      <c r="M2732" t="s">
        <v>6</v>
      </c>
      <c r="N2732" t="b">
        <v>0</v>
      </c>
      <c r="O2732">
        <v>1</v>
      </c>
      <c r="P2732">
        <v>0</v>
      </c>
      <c r="Q2732">
        <v>0</v>
      </c>
      <c r="R2732">
        <v>0</v>
      </c>
    </row>
    <row r="2733" spans="1:18" x14ac:dyDescent="0.25">
      <c r="A2733" t="s">
        <v>53</v>
      </c>
      <c r="B2733" t="s">
        <v>6</v>
      </c>
      <c r="C2733">
        <v>4</v>
      </c>
      <c r="D2733">
        <v>2</v>
      </c>
      <c r="E2733">
        <v>2</v>
      </c>
      <c r="F2733" s="15">
        <v>45971</v>
      </c>
      <c r="G2733" t="s">
        <v>181</v>
      </c>
      <c r="H2733">
        <v>4</v>
      </c>
      <c r="I2733">
        <v>2025</v>
      </c>
      <c r="J2733">
        <v>11</v>
      </c>
      <c r="K2733" t="s">
        <v>87</v>
      </c>
      <c r="L2733" t="s">
        <v>28</v>
      </c>
      <c r="M2733" t="s">
        <v>8</v>
      </c>
      <c r="N2733" t="b">
        <v>0</v>
      </c>
      <c r="O2733">
        <v>0</v>
      </c>
      <c r="P2733">
        <v>1</v>
      </c>
      <c r="Q2733">
        <v>0</v>
      </c>
      <c r="R2733">
        <v>1</v>
      </c>
    </row>
    <row r="2734" spans="1:18" x14ac:dyDescent="0.25">
      <c r="A2734" t="s">
        <v>53</v>
      </c>
      <c r="B2734" t="s">
        <v>6</v>
      </c>
      <c r="C2734">
        <v>4</v>
      </c>
      <c r="D2734">
        <v>2</v>
      </c>
      <c r="E2734">
        <v>2</v>
      </c>
      <c r="F2734" s="15">
        <v>45971</v>
      </c>
      <c r="G2734" t="s">
        <v>181</v>
      </c>
      <c r="H2734">
        <v>4</v>
      </c>
      <c r="I2734">
        <v>2025</v>
      </c>
      <c r="J2734">
        <v>11</v>
      </c>
      <c r="K2734" t="s">
        <v>87</v>
      </c>
      <c r="L2734" t="s">
        <v>15</v>
      </c>
      <c r="M2734" t="s">
        <v>6</v>
      </c>
      <c r="N2734" t="b">
        <v>0</v>
      </c>
      <c r="O2734">
        <v>0</v>
      </c>
      <c r="P2734">
        <v>1</v>
      </c>
      <c r="Q2734">
        <v>0</v>
      </c>
      <c r="R2734">
        <v>0</v>
      </c>
    </row>
    <row r="2735" spans="1:18" x14ac:dyDescent="0.25">
      <c r="A2735" t="s">
        <v>53</v>
      </c>
      <c r="B2735" t="s">
        <v>6</v>
      </c>
      <c r="C2735">
        <v>4</v>
      </c>
      <c r="D2735">
        <v>2</v>
      </c>
      <c r="E2735">
        <v>2</v>
      </c>
      <c r="F2735" s="15">
        <v>45971</v>
      </c>
      <c r="G2735" t="s">
        <v>181</v>
      </c>
      <c r="H2735">
        <v>4</v>
      </c>
      <c r="I2735">
        <v>2025</v>
      </c>
      <c r="J2735">
        <v>11</v>
      </c>
      <c r="K2735" t="s">
        <v>87</v>
      </c>
      <c r="L2735" t="s">
        <v>18</v>
      </c>
      <c r="M2735" t="s">
        <v>6</v>
      </c>
      <c r="N2735" t="b">
        <v>0</v>
      </c>
      <c r="O2735">
        <v>0</v>
      </c>
      <c r="P2735">
        <v>1</v>
      </c>
      <c r="Q2735">
        <v>0</v>
      </c>
      <c r="R2735">
        <v>0</v>
      </c>
    </row>
    <row r="2736" spans="1:18" x14ac:dyDescent="0.25">
      <c r="A2736" t="s">
        <v>15</v>
      </c>
      <c r="B2736" t="s">
        <v>6</v>
      </c>
      <c r="C2736">
        <v>3</v>
      </c>
      <c r="D2736">
        <v>2</v>
      </c>
      <c r="E2736">
        <v>2</v>
      </c>
      <c r="F2736" s="15">
        <v>45971</v>
      </c>
      <c r="G2736" t="s">
        <v>181</v>
      </c>
      <c r="H2736">
        <v>4</v>
      </c>
      <c r="I2736">
        <v>2025</v>
      </c>
      <c r="J2736">
        <v>11</v>
      </c>
      <c r="K2736" t="s">
        <v>87</v>
      </c>
      <c r="L2736" t="s">
        <v>28</v>
      </c>
      <c r="M2736" t="s">
        <v>8</v>
      </c>
      <c r="N2736" t="b">
        <v>0</v>
      </c>
      <c r="O2736">
        <v>0</v>
      </c>
      <c r="P2736">
        <v>1</v>
      </c>
      <c r="Q2736">
        <v>0</v>
      </c>
      <c r="R2736">
        <v>1</v>
      </c>
    </row>
    <row r="2737" spans="1:18" x14ac:dyDescent="0.25">
      <c r="A2737" t="s">
        <v>15</v>
      </c>
      <c r="B2737" t="s">
        <v>6</v>
      </c>
      <c r="C2737">
        <v>3</v>
      </c>
      <c r="D2737">
        <v>2</v>
      </c>
      <c r="E2737">
        <v>2</v>
      </c>
      <c r="F2737" s="15">
        <v>45971</v>
      </c>
      <c r="G2737" t="s">
        <v>181</v>
      </c>
      <c r="H2737">
        <v>4</v>
      </c>
      <c r="I2737">
        <v>2025</v>
      </c>
      <c r="J2737">
        <v>11</v>
      </c>
      <c r="K2737" t="s">
        <v>87</v>
      </c>
      <c r="L2737" t="s">
        <v>53</v>
      </c>
      <c r="M2737" t="s">
        <v>6</v>
      </c>
      <c r="N2737" t="b">
        <v>0</v>
      </c>
      <c r="O2737">
        <v>0</v>
      </c>
      <c r="P2737">
        <v>1</v>
      </c>
      <c r="Q2737">
        <v>0</v>
      </c>
      <c r="R2737">
        <v>0</v>
      </c>
    </row>
    <row r="2738" spans="1:18" x14ac:dyDescent="0.25">
      <c r="A2738" t="s">
        <v>15</v>
      </c>
      <c r="B2738" t="s">
        <v>6</v>
      </c>
      <c r="C2738">
        <v>3</v>
      </c>
      <c r="D2738">
        <v>2</v>
      </c>
      <c r="E2738">
        <v>2</v>
      </c>
      <c r="F2738" s="15">
        <v>45971</v>
      </c>
      <c r="G2738" t="s">
        <v>181</v>
      </c>
      <c r="H2738">
        <v>4</v>
      </c>
      <c r="I2738">
        <v>2025</v>
      </c>
      <c r="J2738">
        <v>11</v>
      </c>
      <c r="K2738" t="s">
        <v>87</v>
      </c>
      <c r="L2738" t="s">
        <v>18</v>
      </c>
      <c r="M2738" t="s">
        <v>6</v>
      </c>
      <c r="N2738" t="b">
        <v>0</v>
      </c>
      <c r="O2738">
        <v>0</v>
      </c>
      <c r="P2738">
        <v>1</v>
      </c>
      <c r="Q2738">
        <v>0</v>
      </c>
      <c r="R2738">
        <v>0</v>
      </c>
    </row>
    <row r="2739" spans="1:18" x14ac:dyDescent="0.25">
      <c r="A2739" t="s">
        <v>18</v>
      </c>
      <c r="B2739" t="s">
        <v>6</v>
      </c>
      <c r="C2739">
        <v>1</v>
      </c>
      <c r="D2739">
        <v>2</v>
      </c>
      <c r="E2739">
        <v>2</v>
      </c>
      <c r="F2739" s="15">
        <v>45971</v>
      </c>
      <c r="G2739" t="s">
        <v>181</v>
      </c>
      <c r="H2739">
        <v>4</v>
      </c>
      <c r="I2739">
        <v>2025</v>
      </c>
      <c r="J2739">
        <v>11</v>
      </c>
      <c r="K2739" t="s">
        <v>87</v>
      </c>
      <c r="L2739" t="s">
        <v>28</v>
      </c>
      <c r="M2739" t="s">
        <v>8</v>
      </c>
      <c r="N2739" t="b">
        <v>0</v>
      </c>
      <c r="O2739">
        <v>0</v>
      </c>
      <c r="P2739">
        <v>1</v>
      </c>
      <c r="Q2739">
        <v>0</v>
      </c>
      <c r="R2739">
        <v>1</v>
      </c>
    </row>
    <row r="2740" spans="1:18" x14ac:dyDescent="0.25">
      <c r="A2740" t="s">
        <v>18</v>
      </c>
      <c r="B2740" t="s">
        <v>6</v>
      </c>
      <c r="C2740">
        <v>1</v>
      </c>
      <c r="D2740">
        <v>2</v>
      </c>
      <c r="E2740">
        <v>2</v>
      </c>
      <c r="F2740" s="15">
        <v>45971</v>
      </c>
      <c r="G2740" t="s">
        <v>181</v>
      </c>
      <c r="H2740">
        <v>4</v>
      </c>
      <c r="I2740">
        <v>2025</v>
      </c>
      <c r="J2740">
        <v>11</v>
      </c>
      <c r="K2740" t="s">
        <v>87</v>
      </c>
      <c r="L2740" t="s">
        <v>53</v>
      </c>
      <c r="M2740" t="s">
        <v>6</v>
      </c>
      <c r="N2740" t="b">
        <v>0</v>
      </c>
      <c r="O2740">
        <v>0</v>
      </c>
      <c r="P2740">
        <v>1</v>
      </c>
      <c r="Q2740">
        <v>0</v>
      </c>
      <c r="R2740">
        <v>0</v>
      </c>
    </row>
    <row r="2741" spans="1:18" x14ac:dyDescent="0.25">
      <c r="A2741" t="s">
        <v>18</v>
      </c>
      <c r="B2741" t="s">
        <v>6</v>
      </c>
      <c r="C2741">
        <v>1</v>
      </c>
      <c r="D2741">
        <v>2</v>
      </c>
      <c r="E2741">
        <v>2</v>
      </c>
      <c r="F2741" s="15">
        <v>45971</v>
      </c>
      <c r="G2741" t="s">
        <v>181</v>
      </c>
      <c r="H2741">
        <v>4</v>
      </c>
      <c r="I2741">
        <v>2025</v>
      </c>
      <c r="J2741">
        <v>11</v>
      </c>
      <c r="K2741" t="s">
        <v>87</v>
      </c>
      <c r="L2741" t="s">
        <v>15</v>
      </c>
      <c r="M2741" t="s">
        <v>6</v>
      </c>
      <c r="N2741" t="b">
        <v>0</v>
      </c>
      <c r="O2741">
        <v>0</v>
      </c>
      <c r="P2741">
        <v>1</v>
      </c>
      <c r="Q2741">
        <v>0</v>
      </c>
      <c r="R2741">
        <v>0</v>
      </c>
    </row>
    <row r="2742" spans="1:18" x14ac:dyDescent="0.25">
      <c r="A2742" t="s">
        <v>28</v>
      </c>
      <c r="B2742" t="s">
        <v>6</v>
      </c>
      <c r="C2742">
        <v>2</v>
      </c>
      <c r="D2742">
        <v>3</v>
      </c>
      <c r="E2742">
        <v>1</v>
      </c>
      <c r="F2742" s="15">
        <v>45873</v>
      </c>
      <c r="G2742" t="s">
        <v>192</v>
      </c>
      <c r="H2742">
        <v>3</v>
      </c>
      <c r="I2742">
        <v>2025</v>
      </c>
      <c r="J2742">
        <v>8</v>
      </c>
      <c r="K2742" t="s">
        <v>87</v>
      </c>
      <c r="L2742" t="s">
        <v>12</v>
      </c>
      <c r="M2742" t="s">
        <v>8</v>
      </c>
      <c r="N2742" t="b">
        <v>0</v>
      </c>
      <c r="O2742">
        <v>0</v>
      </c>
      <c r="P2742">
        <v>1</v>
      </c>
      <c r="Q2742">
        <v>0</v>
      </c>
      <c r="R2742">
        <v>1</v>
      </c>
    </row>
    <row r="2743" spans="1:18" x14ac:dyDescent="0.25">
      <c r="A2743" t="s">
        <v>28</v>
      </c>
      <c r="B2743" t="s">
        <v>6</v>
      </c>
      <c r="C2743">
        <v>2</v>
      </c>
      <c r="D2743">
        <v>3</v>
      </c>
      <c r="E2743">
        <v>1</v>
      </c>
      <c r="F2743" s="15">
        <v>45873</v>
      </c>
      <c r="G2743" t="s">
        <v>192</v>
      </c>
      <c r="H2743">
        <v>3</v>
      </c>
      <c r="I2743">
        <v>2025</v>
      </c>
      <c r="J2743">
        <v>8</v>
      </c>
      <c r="K2743" t="s">
        <v>87</v>
      </c>
      <c r="L2743" t="s">
        <v>17</v>
      </c>
      <c r="M2743" t="s">
        <v>6</v>
      </c>
      <c r="N2743" t="b">
        <v>0</v>
      </c>
      <c r="O2743">
        <v>0</v>
      </c>
      <c r="P2743">
        <v>1</v>
      </c>
      <c r="Q2743">
        <v>0</v>
      </c>
      <c r="R2743">
        <v>0</v>
      </c>
    </row>
    <row r="2744" spans="1:18" x14ac:dyDescent="0.25">
      <c r="A2744" t="s">
        <v>12</v>
      </c>
      <c r="B2744" t="s">
        <v>8</v>
      </c>
      <c r="C2744">
        <v>3</v>
      </c>
      <c r="D2744">
        <v>3</v>
      </c>
      <c r="E2744">
        <v>1</v>
      </c>
      <c r="F2744" s="15">
        <v>45873</v>
      </c>
      <c r="G2744" t="s">
        <v>192</v>
      </c>
      <c r="H2744">
        <v>3</v>
      </c>
      <c r="I2744">
        <v>2025</v>
      </c>
      <c r="J2744">
        <v>8</v>
      </c>
      <c r="K2744" t="s">
        <v>87</v>
      </c>
      <c r="L2744" t="s">
        <v>28</v>
      </c>
      <c r="M2744" t="s">
        <v>6</v>
      </c>
      <c r="N2744" t="b">
        <v>0</v>
      </c>
      <c r="O2744">
        <v>1</v>
      </c>
      <c r="P2744">
        <v>0</v>
      </c>
      <c r="Q2744">
        <v>0</v>
      </c>
      <c r="R2744">
        <v>0</v>
      </c>
    </row>
    <row r="2745" spans="1:18" x14ac:dyDescent="0.25">
      <c r="A2745" t="s">
        <v>12</v>
      </c>
      <c r="B2745" t="s">
        <v>8</v>
      </c>
      <c r="C2745">
        <v>3</v>
      </c>
      <c r="D2745">
        <v>3</v>
      </c>
      <c r="E2745">
        <v>1</v>
      </c>
      <c r="F2745" s="15">
        <v>45873</v>
      </c>
      <c r="G2745" t="s">
        <v>192</v>
      </c>
      <c r="H2745">
        <v>3</v>
      </c>
      <c r="I2745">
        <v>2025</v>
      </c>
      <c r="J2745">
        <v>8</v>
      </c>
      <c r="K2745" t="s">
        <v>87</v>
      </c>
      <c r="L2745" t="s">
        <v>17</v>
      </c>
      <c r="M2745" t="s">
        <v>6</v>
      </c>
      <c r="N2745" t="b">
        <v>0</v>
      </c>
      <c r="O2745">
        <v>1</v>
      </c>
      <c r="P2745">
        <v>0</v>
      </c>
      <c r="Q2745">
        <v>0</v>
      </c>
      <c r="R2745">
        <v>0</v>
      </c>
    </row>
    <row r="2746" spans="1:18" x14ac:dyDescent="0.25">
      <c r="A2746" t="s">
        <v>17</v>
      </c>
      <c r="B2746" t="s">
        <v>6</v>
      </c>
      <c r="C2746">
        <v>1</v>
      </c>
      <c r="D2746">
        <v>3</v>
      </c>
      <c r="E2746">
        <v>1</v>
      </c>
      <c r="F2746" s="15">
        <v>45873</v>
      </c>
      <c r="G2746" t="s">
        <v>192</v>
      </c>
      <c r="H2746">
        <v>3</v>
      </c>
      <c r="I2746">
        <v>2025</v>
      </c>
      <c r="J2746">
        <v>8</v>
      </c>
      <c r="K2746" t="s">
        <v>87</v>
      </c>
      <c r="L2746" t="s">
        <v>28</v>
      </c>
      <c r="M2746" t="s">
        <v>6</v>
      </c>
      <c r="N2746" t="b">
        <v>0</v>
      </c>
      <c r="O2746">
        <v>0</v>
      </c>
      <c r="P2746">
        <v>1</v>
      </c>
      <c r="Q2746">
        <v>0</v>
      </c>
      <c r="R2746">
        <v>0</v>
      </c>
    </row>
    <row r="2747" spans="1:18" x14ac:dyDescent="0.25">
      <c r="A2747" t="s">
        <v>17</v>
      </c>
      <c r="B2747" t="s">
        <v>6</v>
      </c>
      <c r="C2747">
        <v>1</v>
      </c>
      <c r="D2747">
        <v>3</v>
      </c>
      <c r="E2747">
        <v>1</v>
      </c>
      <c r="F2747" s="15">
        <v>45873</v>
      </c>
      <c r="G2747" t="s">
        <v>192</v>
      </c>
      <c r="H2747">
        <v>3</v>
      </c>
      <c r="I2747">
        <v>2025</v>
      </c>
      <c r="J2747">
        <v>8</v>
      </c>
      <c r="K2747" t="s">
        <v>87</v>
      </c>
      <c r="L2747" t="s">
        <v>12</v>
      </c>
      <c r="M2747" t="s">
        <v>8</v>
      </c>
      <c r="N2747" t="b">
        <v>0</v>
      </c>
      <c r="O2747">
        <v>0</v>
      </c>
      <c r="P2747">
        <v>1</v>
      </c>
      <c r="Q2747">
        <v>0</v>
      </c>
      <c r="R2747">
        <v>1</v>
      </c>
    </row>
    <row r="2748" spans="1:18" x14ac:dyDescent="0.25">
      <c r="A2748" t="s">
        <v>28</v>
      </c>
      <c r="B2748" t="s">
        <v>6</v>
      </c>
      <c r="C2748">
        <v>2</v>
      </c>
      <c r="D2748">
        <v>3</v>
      </c>
      <c r="E2748">
        <v>1</v>
      </c>
      <c r="F2748" s="15">
        <v>45908</v>
      </c>
      <c r="G2748" t="s">
        <v>196</v>
      </c>
      <c r="H2748">
        <v>4</v>
      </c>
      <c r="I2748">
        <v>2025</v>
      </c>
      <c r="J2748">
        <v>9</v>
      </c>
      <c r="K2748" t="s">
        <v>87</v>
      </c>
      <c r="L2748" t="s">
        <v>42</v>
      </c>
      <c r="M2748" t="s">
        <v>8</v>
      </c>
      <c r="N2748" t="b">
        <v>0</v>
      </c>
      <c r="O2748">
        <v>0</v>
      </c>
      <c r="P2748">
        <v>1</v>
      </c>
      <c r="Q2748">
        <v>0</v>
      </c>
      <c r="R2748">
        <v>1</v>
      </c>
    </row>
    <row r="2749" spans="1:18" x14ac:dyDescent="0.25">
      <c r="A2749" t="s">
        <v>28</v>
      </c>
      <c r="B2749" t="s">
        <v>6</v>
      </c>
      <c r="C2749">
        <v>2</v>
      </c>
      <c r="D2749">
        <v>3</v>
      </c>
      <c r="E2749">
        <v>1</v>
      </c>
      <c r="F2749" s="15">
        <v>45908</v>
      </c>
      <c r="G2749" t="s">
        <v>196</v>
      </c>
      <c r="H2749">
        <v>4</v>
      </c>
      <c r="I2749">
        <v>2025</v>
      </c>
      <c r="J2749">
        <v>9</v>
      </c>
      <c r="K2749" t="s">
        <v>87</v>
      </c>
      <c r="L2749" t="s">
        <v>12</v>
      </c>
      <c r="M2749" t="s">
        <v>6</v>
      </c>
      <c r="N2749" t="b">
        <v>0</v>
      </c>
      <c r="O2749">
        <v>0</v>
      </c>
      <c r="P2749">
        <v>1</v>
      </c>
      <c r="Q2749">
        <v>0</v>
      </c>
      <c r="R2749">
        <v>0</v>
      </c>
    </row>
    <row r="2750" spans="1:18" x14ac:dyDescent="0.25">
      <c r="A2750" t="s">
        <v>28</v>
      </c>
      <c r="B2750" t="s">
        <v>6</v>
      </c>
      <c r="C2750">
        <v>2</v>
      </c>
      <c r="D2750">
        <v>3</v>
      </c>
      <c r="E2750">
        <v>1</v>
      </c>
      <c r="F2750" s="15">
        <v>45908</v>
      </c>
      <c r="G2750" t="s">
        <v>196</v>
      </c>
      <c r="H2750">
        <v>4</v>
      </c>
      <c r="I2750">
        <v>2025</v>
      </c>
      <c r="J2750">
        <v>9</v>
      </c>
      <c r="K2750" t="s">
        <v>87</v>
      </c>
      <c r="L2750" t="s">
        <v>9</v>
      </c>
      <c r="M2750" t="s">
        <v>6</v>
      </c>
      <c r="N2750" t="b">
        <v>0</v>
      </c>
      <c r="O2750">
        <v>0</v>
      </c>
      <c r="P2750">
        <v>1</v>
      </c>
      <c r="Q2750">
        <v>0</v>
      </c>
      <c r="R2750">
        <v>0</v>
      </c>
    </row>
    <row r="2751" spans="1:18" x14ac:dyDescent="0.25">
      <c r="A2751" t="s">
        <v>42</v>
      </c>
      <c r="B2751" t="s">
        <v>8</v>
      </c>
      <c r="C2751">
        <v>1</v>
      </c>
      <c r="D2751">
        <v>3</v>
      </c>
      <c r="E2751">
        <v>1</v>
      </c>
      <c r="F2751" s="15">
        <v>45908</v>
      </c>
      <c r="G2751" t="s">
        <v>196</v>
      </c>
      <c r="H2751">
        <v>4</v>
      </c>
      <c r="I2751">
        <v>2025</v>
      </c>
      <c r="J2751">
        <v>9</v>
      </c>
      <c r="K2751" t="s">
        <v>87</v>
      </c>
      <c r="L2751" t="s">
        <v>28</v>
      </c>
      <c r="M2751" t="s">
        <v>6</v>
      </c>
      <c r="N2751" t="b">
        <v>0</v>
      </c>
      <c r="O2751">
        <v>1</v>
      </c>
      <c r="P2751">
        <v>0</v>
      </c>
      <c r="Q2751">
        <v>0</v>
      </c>
      <c r="R2751">
        <v>0</v>
      </c>
    </row>
    <row r="2752" spans="1:18" x14ac:dyDescent="0.25">
      <c r="A2752" t="s">
        <v>42</v>
      </c>
      <c r="B2752" t="s">
        <v>8</v>
      </c>
      <c r="C2752">
        <v>1</v>
      </c>
      <c r="D2752">
        <v>3</v>
      </c>
      <c r="E2752">
        <v>1</v>
      </c>
      <c r="F2752" s="15">
        <v>45908</v>
      </c>
      <c r="G2752" t="s">
        <v>196</v>
      </c>
      <c r="H2752">
        <v>4</v>
      </c>
      <c r="I2752">
        <v>2025</v>
      </c>
      <c r="J2752">
        <v>9</v>
      </c>
      <c r="K2752" t="s">
        <v>87</v>
      </c>
      <c r="L2752" t="s">
        <v>12</v>
      </c>
      <c r="M2752" t="s">
        <v>6</v>
      </c>
      <c r="N2752" t="b">
        <v>0</v>
      </c>
      <c r="O2752">
        <v>1</v>
      </c>
      <c r="P2752">
        <v>0</v>
      </c>
      <c r="Q2752">
        <v>0</v>
      </c>
      <c r="R2752">
        <v>0</v>
      </c>
    </row>
    <row r="2753" spans="1:18" x14ac:dyDescent="0.25">
      <c r="A2753" t="s">
        <v>42</v>
      </c>
      <c r="B2753" t="s">
        <v>8</v>
      </c>
      <c r="C2753">
        <v>1</v>
      </c>
      <c r="D2753">
        <v>3</v>
      </c>
      <c r="E2753">
        <v>1</v>
      </c>
      <c r="F2753" s="15">
        <v>45908</v>
      </c>
      <c r="G2753" t="s">
        <v>196</v>
      </c>
      <c r="H2753">
        <v>4</v>
      </c>
      <c r="I2753">
        <v>2025</v>
      </c>
      <c r="J2753">
        <v>9</v>
      </c>
      <c r="K2753" t="s">
        <v>87</v>
      </c>
      <c r="L2753" t="s">
        <v>9</v>
      </c>
      <c r="M2753" t="s">
        <v>6</v>
      </c>
      <c r="N2753" t="b">
        <v>0</v>
      </c>
      <c r="O2753">
        <v>1</v>
      </c>
      <c r="P2753">
        <v>0</v>
      </c>
      <c r="Q2753">
        <v>0</v>
      </c>
      <c r="R2753">
        <v>0</v>
      </c>
    </row>
    <row r="2754" spans="1:18" x14ac:dyDescent="0.25">
      <c r="A2754" t="s">
        <v>12</v>
      </c>
      <c r="B2754" t="s">
        <v>6</v>
      </c>
      <c r="C2754">
        <v>4</v>
      </c>
      <c r="D2754">
        <v>3</v>
      </c>
      <c r="E2754">
        <v>1</v>
      </c>
      <c r="F2754" s="15">
        <v>45908</v>
      </c>
      <c r="G2754" t="s">
        <v>196</v>
      </c>
      <c r="H2754">
        <v>4</v>
      </c>
      <c r="I2754">
        <v>2025</v>
      </c>
      <c r="J2754">
        <v>9</v>
      </c>
      <c r="K2754" t="s">
        <v>87</v>
      </c>
      <c r="L2754" t="s">
        <v>28</v>
      </c>
      <c r="M2754" t="s">
        <v>6</v>
      </c>
      <c r="N2754" t="b">
        <v>0</v>
      </c>
      <c r="O2754">
        <v>0</v>
      </c>
      <c r="P2754">
        <v>1</v>
      </c>
      <c r="Q2754">
        <v>0</v>
      </c>
      <c r="R2754">
        <v>0</v>
      </c>
    </row>
    <row r="2755" spans="1:18" x14ac:dyDescent="0.25">
      <c r="A2755" t="s">
        <v>12</v>
      </c>
      <c r="B2755" t="s">
        <v>6</v>
      </c>
      <c r="C2755">
        <v>4</v>
      </c>
      <c r="D2755">
        <v>3</v>
      </c>
      <c r="E2755">
        <v>1</v>
      </c>
      <c r="F2755" s="15">
        <v>45908</v>
      </c>
      <c r="G2755" t="s">
        <v>196</v>
      </c>
      <c r="H2755">
        <v>4</v>
      </c>
      <c r="I2755">
        <v>2025</v>
      </c>
      <c r="J2755">
        <v>9</v>
      </c>
      <c r="K2755" t="s">
        <v>87</v>
      </c>
      <c r="L2755" t="s">
        <v>42</v>
      </c>
      <c r="M2755" t="s">
        <v>8</v>
      </c>
      <c r="N2755" t="b">
        <v>0</v>
      </c>
      <c r="O2755">
        <v>0</v>
      </c>
      <c r="P2755">
        <v>1</v>
      </c>
      <c r="Q2755">
        <v>0</v>
      </c>
      <c r="R2755">
        <v>1</v>
      </c>
    </row>
    <row r="2756" spans="1:18" x14ac:dyDescent="0.25">
      <c r="A2756" t="s">
        <v>12</v>
      </c>
      <c r="B2756" t="s">
        <v>6</v>
      </c>
      <c r="C2756">
        <v>4</v>
      </c>
      <c r="D2756">
        <v>3</v>
      </c>
      <c r="E2756">
        <v>1</v>
      </c>
      <c r="F2756" s="15">
        <v>45908</v>
      </c>
      <c r="G2756" t="s">
        <v>196</v>
      </c>
      <c r="H2756">
        <v>4</v>
      </c>
      <c r="I2756">
        <v>2025</v>
      </c>
      <c r="J2756">
        <v>9</v>
      </c>
      <c r="K2756" t="s">
        <v>87</v>
      </c>
      <c r="L2756" t="s">
        <v>9</v>
      </c>
      <c r="M2756" t="s">
        <v>6</v>
      </c>
      <c r="N2756" t="b">
        <v>0</v>
      </c>
      <c r="O2756">
        <v>0</v>
      </c>
      <c r="P2756">
        <v>1</v>
      </c>
      <c r="Q2756">
        <v>0</v>
      </c>
      <c r="R2756">
        <v>0</v>
      </c>
    </row>
    <row r="2757" spans="1:18" x14ac:dyDescent="0.25">
      <c r="A2757" t="s">
        <v>9</v>
      </c>
      <c r="B2757" t="s">
        <v>6</v>
      </c>
      <c r="C2757">
        <v>3</v>
      </c>
      <c r="D2757">
        <v>3</v>
      </c>
      <c r="E2757">
        <v>1</v>
      </c>
      <c r="F2757" s="15">
        <v>45908</v>
      </c>
      <c r="G2757" t="s">
        <v>196</v>
      </c>
      <c r="H2757">
        <v>4</v>
      </c>
      <c r="I2757">
        <v>2025</v>
      </c>
      <c r="J2757">
        <v>9</v>
      </c>
      <c r="K2757" t="s">
        <v>87</v>
      </c>
      <c r="L2757" t="s">
        <v>28</v>
      </c>
      <c r="M2757" t="s">
        <v>6</v>
      </c>
      <c r="N2757" t="b">
        <v>0</v>
      </c>
      <c r="O2757">
        <v>0</v>
      </c>
      <c r="P2757">
        <v>1</v>
      </c>
      <c r="Q2757">
        <v>0</v>
      </c>
      <c r="R2757">
        <v>0</v>
      </c>
    </row>
    <row r="2758" spans="1:18" x14ac:dyDescent="0.25">
      <c r="A2758" t="s">
        <v>9</v>
      </c>
      <c r="B2758" t="s">
        <v>6</v>
      </c>
      <c r="C2758">
        <v>3</v>
      </c>
      <c r="D2758">
        <v>3</v>
      </c>
      <c r="E2758">
        <v>1</v>
      </c>
      <c r="F2758" s="15">
        <v>45908</v>
      </c>
      <c r="G2758" t="s">
        <v>196</v>
      </c>
      <c r="H2758">
        <v>4</v>
      </c>
      <c r="I2758">
        <v>2025</v>
      </c>
      <c r="J2758">
        <v>9</v>
      </c>
      <c r="K2758" t="s">
        <v>87</v>
      </c>
      <c r="L2758" t="s">
        <v>42</v>
      </c>
      <c r="M2758" t="s">
        <v>8</v>
      </c>
      <c r="N2758" t="b">
        <v>0</v>
      </c>
      <c r="O2758">
        <v>0</v>
      </c>
      <c r="P2758">
        <v>1</v>
      </c>
      <c r="Q2758">
        <v>0</v>
      </c>
      <c r="R2758">
        <v>1</v>
      </c>
    </row>
    <row r="2759" spans="1:18" x14ac:dyDescent="0.25">
      <c r="A2759" t="s">
        <v>9</v>
      </c>
      <c r="B2759" t="s">
        <v>6</v>
      </c>
      <c r="C2759">
        <v>3</v>
      </c>
      <c r="D2759">
        <v>3</v>
      </c>
      <c r="E2759">
        <v>1</v>
      </c>
      <c r="F2759" s="15">
        <v>45908</v>
      </c>
      <c r="G2759" t="s">
        <v>196</v>
      </c>
      <c r="H2759">
        <v>4</v>
      </c>
      <c r="I2759">
        <v>2025</v>
      </c>
      <c r="J2759">
        <v>9</v>
      </c>
      <c r="K2759" t="s">
        <v>87</v>
      </c>
      <c r="L2759" t="s">
        <v>12</v>
      </c>
      <c r="M2759" t="s">
        <v>6</v>
      </c>
      <c r="N2759" t="b">
        <v>0</v>
      </c>
      <c r="O2759">
        <v>0</v>
      </c>
      <c r="P2759">
        <v>1</v>
      </c>
      <c r="Q2759">
        <v>0</v>
      </c>
      <c r="R2759">
        <v>0</v>
      </c>
    </row>
    <row r="2760" spans="1:18" x14ac:dyDescent="0.25">
      <c r="A2760" t="s">
        <v>28</v>
      </c>
      <c r="B2760" t="s">
        <v>8</v>
      </c>
      <c r="C2760">
        <v>1</v>
      </c>
      <c r="D2760">
        <v>3</v>
      </c>
      <c r="E2760">
        <v>1</v>
      </c>
      <c r="F2760" s="15">
        <v>45999</v>
      </c>
      <c r="G2760" t="s">
        <v>209</v>
      </c>
      <c r="H2760">
        <v>4</v>
      </c>
      <c r="I2760">
        <v>2025</v>
      </c>
      <c r="J2760">
        <v>12</v>
      </c>
      <c r="K2760" t="s">
        <v>87</v>
      </c>
      <c r="L2760" t="s">
        <v>11</v>
      </c>
      <c r="M2760" t="s">
        <v>6</v>
      </c>
      <c r="N2760" t="b">
        <v>0</v>
      </c>
      <c r="O2760">
        <v>1</v>
      </c>
      <c r="P2760">
        <v>0</v>
      </c>
      <c r="Q2760">
        <v>0</v>
      </c>
      <c r="R2760">
        <v>0</v>
      </c>
    </row>
    <row r="2761" spans="1:18" x14ac:dyDescent="0.25">
      <c r="A2761" t="s">
        <v>28</v>
      </c>
      <c r="B2761" t="s">
        <v>8</v>
      </c>
      <c r="C2761">
        <v>1</v>
      </c>
      <c r="D2761">
        <v>3</v>
      </c>
      <c r="E2761">
        <v>1</v>
      </c>
      <c r="F2761" s="15">
        <v>45999</v>
      </c>
      <c r="G2761" t="s">
        <v>209</v>
      </c>
      <c r="H2761">
        <v>4</v>
      </c>
      <c r="I2761">
        <v>2025</v>
      </c>
      <c r="J2761">
        <v>12</v>
      </c>
      <c r="K2761" t="s">
        <v>87</v>
      </c>
      <c r="L2761" t="s">
        <v>29</v>
      </c>
      <c r="M2761" t="s">
        <v>6</v>
      </c>
      <c r="N2761" t="b">
        <v>0</v>
      </c>
      <c r="O2761">
        <v>1</v>
      </c>
      <c r="P2761">
        <v>0</v>
      </c>
      <c r="Q2761">
        <v>0</v>
      </c>
      <c r="R2761">
        <v>0</v>
      </c>
    </row>
    <row r="2762" spans="1:18" x14ac:dyDescent="0.25">
      <c r="A2762" t="s">
        <v>28</v>
      </c>
      <c r="B2762" t="s">
        <v>8</v>
      </c>
      <c r="C2762">
        <v>1</v>
      </c>
      <c r="D2762">
        <v>3</v>
      </c>
      <c r="E2762">
        <v>1</v>
      </c>
      <c r="F2762" s="15">
        <v>45999</v>
      </c>
      <c r="G2762" t="s">
        <v>209</v>
      </c>
      <c r="H2762">
        <v>4</v>
      </c>
      <c r="I2762">
        <v>2025</v>
      </c>
      <c r="J2762">
        <v>12</v>
      </c>
      <c r="K2762" t="s">
        <v>87</v>
      </c>
      <c r="L2762" t="s">
        <v>17</v>
      </c>
      <c r="M2762" t="s">
        <v>6</v>
      </c>
      <c r="N2762" t="b">
        <v>0</v>
      </c>
      <c r="O2762">
        <v>1</v>
      </c>
      <c r="P2762">
        <v>0</v>
      </c>
      <c r="Q2762">
        <v>0</v>
      </c>
      <c r="R2762">
        <v>0</v>
      </c>
    </row>
    <row r="2763" spans="1:18" x14ac:dyDescent="0.25">
      <c r="A2763" t="s">
        <v>11</v>
      </c>
      <c r="B2763" t="s">
        <v>6</v>
      </c>
      <c r="C2763">
        <v>4</v>
      </c>
      <c r="D2763">
        <v>3</v>
      </c>
      <c r="E2763">
        <v>1</v>
      </c>
      <c r="F2763" s="15">
        <v>45999</v>
      </c>
      <c r="G2763" t="s">
        <v>209</v>
      </c>
      <c r="H2763">
        <v>4</v>
      </c>
      <c r="I2763">
        <v>2025</v>
      </c>
      <c r="J2763">
        <v>12</v>
      </c>
      <c r="K2763" t="s">
        <v>87</v>
      </c>
      <c r="L2763" t="s">
        <v>28</v>
      </c>
      <c r="M2763" t="s">
        <v>8</v>
      </c>
      <c r="N2763" t="b">
        <v>0</v>
      </c>
      <c r="O2763">
        <v>0</v>
      </c>
      <c r="P2763">
        <v>1</v>
      </c>
      <c r="Q2763">
        <v>0</v>
      </c>
      <c r="R2763">
        <v>1</v>
      </c>
    </row>
    <row r="2764" spans="1:18" x14ac:dyDescent="0.25">
      <c r="A2764" t="s">
        <v>11</v>
      </c>
      <c r="B2764" t="s">
        <v>6</v>
      </c>
      <c r="C2764">
        <v>4</v>
      </c>
      <c r="D2764">
        <v>3</v>
      </c>
      <c r="E2764">
        <v>1</v>
      </c>
      <c r="F2764" s="15">
        <v>45999</v>
      </c>
      <c r="G2764" t="s">
        <v>209</v>
      </c>
      <c r="H2764">
        <v>4</v>
      </c>
      <c r="I2764">
        <v>2025</v>
      </c>
      <c r="J2764">
        <v>12</v>
      </c>
      <c r="K2764" t="s">
        <v>87</v>
      </c>
      <c r="L2764" t="s">
        <v>29</v>
      </c>
      <c r="M2764" t="s">
        <v>6</v>
      </c>
      <c r="N2764" t="b">
        <v>0</v>
      </c>
      <c r="O2764">
        <v>0</v>
      </c>
      <c r="P2764">
        <v>1</v>
      </c>
      <c r="Q2764">
        <v>0</v>
      </c>
      <c r="R2764">
        <v>0</v>
      </c>
    </row>
    <row r="2765" spans="1:18" x14ac:dyDescent="0.25">
      <c r="A2765" t="s">
        <v>11</v>
      </c>
      <c r="B2765" t="s">
        <v>6</v>
      </c>
      <c r="C2765">
        <v>4</v>
      </c>
      <c r="D2765">
        <v>3</v>
      </c>
      <c r="E2765">
        <v>1</v>
      </c>
      <c r="F2765" s="15">
        <v>45999</v>
      </c>
      <c r="G2765" t="s">
        <v>209</v>
      </c>
      <c r="H2765">
        <v>4</v>
      </c>
      <c r="I2765">
        <v>2025</v>
      </c>
      <c r="J2765">
        <v>12</v>
      </c>
      <c r="K2765" t="s">
        <v>87</v>
      </c>
      <c r="L2765" t="s">
        <v>17</v>
      </c>
      <c r="M2765" t="s">
        <v>6</v>
      </c>
      <c r="N2765" t="b">
        <v>0</v>
      </c>
      <c r="O2765">
        <v>0</v>
      </c>
      <c r="P2765">
        <v>1</v>
      </c>
      <c r="Q2765">
        <v>0</v>
      </c>
      <c r="R2765">
        <v>0</v>
      </c>
    </row>
    <row r="2766" spans="1:18" x14ac:dyDescent="0.25">
      <c r="A2766" t="s">
        <v>29</v>
      </c>
      <c r="B2766" t="s">
        <v>6</v>
      </c>
      <c r="C2766">
        <v>3</v>
      </c>
      <c r="D2766">
        <v>3</v>
      </c>
      <c r="E2766">
        <v>1</v>
      </c>
      <c r="F2766" s="15">
        <v>45999</v>
      </c>
      <c r="G2766" t="s">
        <v>209</v>
      </c>
      <c r="H2766">
        <v>4</v>
      </c>
      <c r="I2766">
        <v>2025</v>
      </c>
      <c r="J2766">
        <v>12</v>
      </c>
      <c r="K2766" t="s">
        <v>87</v>
      </c>
      <c r="L2766" t="s">
        <v>28</v>
      </c>
      <c r="M2766" t="s">
        <v>8</v>
      </c>
      <c r="N2766" t="b">
        <v>0</v>
      </c>
      <c r="O2766">
        <v>0</v>
      </c>
      <c r="P2766">
        <v>1</v>
      </c>
      <c r="Q2766">
        <v>0</v>
      </c>
      <c r="R2766">
        <v>1</v>
      </c>
    </row>
    <row r="2767" spans="1:18" x14ac:dyDescent="0.25">
      <c r="A2767" t="s">
        <v>29</v>
      </c>
      <c r="B2767" t="s">
        <v>6</v>
      </c>
      <c r="C2767">
        <v>3</v>
      </c>
      <c r="D2767">
        <v>3</v>
      </c>
      <c r="E2767">
        <v>1</v>
      </c>
      <c r="F2767" s="15">
        <v>45999</v>
      </c>
      <c r="G2767" t="s">
        <v>209</v>
      </c>
      <c r="H2767">
        <v>4</v>
      </c>
      <c r="I2767">
        <v>2025</v>
      </c>
      <c r="J2767">
        <v>12</v>
      </c>
      <c r="K2767" t="s">
        <v>87</v>
      </c>
      <c r="L2767" t="s">
        <v>11</v>
      </c>
      <c r="M2767" t="s">
        <v>6</v>
      </c>
      <c r="N2767" t="b">
        <v>0</v>
      </c>
      <c r="O2767">
        <v>0</v>
      </c>
      <c r="P2767">
        <v>1</v>
      </c>
      <c r="Q2767">
        <v>0</v>
      </c>
      <c r="R2767">
        <v>0</v>
      </c>
    </row>
    <row r="2768" spans="1:18" x14ac:dyDescent="0.25">
      <c r="A2768" t="s">
        <v>29</v>
      </c>
      <c r="B2768" t="s">
        <v>6</v>
      </c>
      <c r="C2768">
        <v>3</v>
      </c>
      <c r="D2768">
        <v>3</v>
      </c>
      <c r="E2768">
        <v>1</v>
      </c>
      <c r="F2768" s="15">
        <v>45999</v>
      </c>
      <c r="G2768" t="s">
        <v>209</v>
      </c>
      <c r="H2768">
        <v>4</v>
      </c>
      <c r="I2768">
        <v>2025</v>
      </c>
      <c r="J2768">
        <v>12</v>
      </c>
      <c r="K2768" t="s">
        <v>87</v>
      </c>
      <c r="L2768" t="s">
        <v>17</v>
      </c>
      <c r="M2768" t="s">
        <v>6</v>
      </c>
      <c r="N2768" t="b">
        <v>0</v>
      </c>
      <c r="O2768">
        <v>0</v>
      </c>
      <c r="P2768">
        <v>1</v>
      </c>
      <c r="Q2768">
        <v>0</v>
      </c>
      <c r="R2768">
        <v>0</v>
      </c>
    </row>
    <row r="2769" spans="1:18" x14ac:dyDescent="0.25">
      <c r="A2769" t="s">
        <v>17</v>
      </c>
      <c r="B2769" t="s">
        <v>6</v>
      </c>
      <c r="C2769">
        <v>2</v>
      </c>
      <c r="D2769">
        <v>3</v>
      </c>
      <c r="E2769">
        <v>1</v>
      </c>
      <c r="F2769" s="15">
        <v>45999</v>
      </c>
      <c r="G2769" t="s">
        <v>209</v>
      </c>
      <c r="H2769">
        <v>4</v>
      </c>
      <c r="I2769">
        <v>2025</v>
      </c>
      <c r="J2769">
        <v>12</v>
      </c>
      <c r="K2769" t="s">
        <v>87</v>
      </c>
      <c r="L2769" t="s">
        <v>28</v>
      </c>
      <c r="M2769" t="s">
        <v>8</v>
      </c>
      <c r="N2769" t="b">
        <v>0</v>
      </c>
      <c r="O2769">
        <v>0</v>
      </c>
      <c r="P2769">
        <v>1</v>
      </c>
      <c r="Q2769">
        <v>0</v>
      </c>
      <c r="R2769">
        <v>1</v>
      </c>
    </row>
    <row r="2770" spans="1:18" x14ac:dyDescent="0.25">
      <c r="A2770" t="s">
        <v>17</v>
      </c>
      <c r="B2770" t="s">
        <v>6</v>
      </c>
      <c r="C2770">
        <v>2</v>
      </c>
      <c r="D2770">
        <v>3</v>
      </c>
      <c r="E2770">
        <v>1</v>
      </c>
      <c r="F2770" s="15">
        <v>45999</v>
      </c>
      <c r="G2770" t="s">
        <v>209</v>
      </c>
      <c r="H2770">
        <v>4</v>
      </c>
      <c r="I2770">
        <v>2025</v>
      </c>
      <c r="J2770">
        <v>12</v>
      </c>
      <c r="K2770" t="s">
        <v>87</v>
      </c>
      <c r="L2770" t="s">
        <v>11</v>
      </c>
      <c r="M2770" t="s">
        <v>6</v>
      </c>
      <c r="N2770" t="b">
        <v>0</v>
      </c>
      <c r="O2770">
        <v>0</v>
      </c>
      <c r="P2770">
        <v>1</v>
      </c>
      <c r="Q2770">
        <v>0</v>
      </c>
      <c r="R2770">
        <v>0</v>
      </c>
    </row>
    <row r="2771" spans="1:18" x14ac:dyDescent="0.25">
      <c r="A2771" t="s">
        <v>17</v>
      </c>
      <c r="B2771" t="s">
        <v>6</v>
      </c>
      <c r="C2771">
        <v>2</v>
      </c>
      <c r="D2771">
        <v>3</v>
      </c>
      <c r="E2771">
        <v>1</v>
      </c>
      <c r="F2771" s="15">
        <v>45999</v>
      </c>
      <c r="G2771" t="s">
        <v>209</v>
      </c>
      <c r="H2771">
        <v>4</v>
      </c>
      <c r="I2771">
        <v>2025</v>
      </c>
      <c r="J2771">
        <v>12</v>
      </c>
      <c r="K2771" t="s">
        <v>87</v>
      </c>
      <c r="L2771" t="s">
        <v>29</v>
      </c>
      <c r="M2771" t="s">
        <v>6</v>
      </c>
      <c r="N2771" t="b">
        <v>0</v>
      </c>
      <c r="O2771">
        <v>0</v>
      </c>
      <c r="P2771">
        <v>1</v>
      </c>
      <c r="Q2771">
        <v>0</v>
      </c>
      <c r="R2771">
        <v>0</v>
      </c>
    </row>
    <row r="2772" spans="1:18" x14ac:dyDescent="0.25">
      <c r="A2772" t="s">
        <v>28</v>
      </c>
      <c r="B2772" t="s">
        <v>6</v>
      </c>
      <c r="C2772">
        <v>2</v>
      </c>
      <c r="D2772">
        <v>3</v>
      </c>
      <c r="E2772">
        <v>2</v>
      </c>
      <c r="F2772" s="15">
        <v>45880</v>
      </c>
      <c r="G2772" t="s">
        <v>217</v>
      </c>
      <c r="H2772">
        <v>4</v>
      </c>
      <c r="I2772">
        <v>2025</v>
      </c>
      <c r="J2772">
        <v>8</v>
      </c>
      <c r="K2772" t="s">
        <v>87</v>
      </c>
      <c r="L2772" t="s">
        <v>45</v>
      </c>
      <c r="M2772" t="s">
        <v>6</v>
      </c>
      <c r="N2772" t="b">
        <v>0</v>
      </c>
      <c r="O2772">
        <v>0</v>
      </c>
      <c r="P2772">
        <v>1</v>
      </c>
      <c r="Q2772">
        <v>0</v>
      </c>
      <c r="R2772">
        <v>0</v>
      </c>
    </row>
    <row r="2773" spans="1:18" x14ac:dyDescent="0.25">
      <c r="A2773" t="s">
        <v>28</v>
      </c>
      <c r="B2773" t="s">
        <v>6</v>
      </c>
      <c r="C2773">
        <v>2</v>
      </c>
      <c r="D2773">
        <v>3</v>
      </c>
      <c r="E2773">
        <v>2</v>
      </c>
      <c r="F2773" s="15">
        <v>45880</v>
      </c>
      <c r="G2773" t="s">
        <v>217</v>
      </c>
      <c r="H2773">
        <v>4</v>
      </c>
      <c r="I2773">
        <v>2025</v>
      </c>
      <c r="J2773">
        <v>8</v>
      </c>
      <c r="K2773" t="s">
        <v>87</v>
      </c>
      <c r="L2773" t="s">
        <v>12</v>
      </c>
      <c r="M2773" t="s">
        <v>8</v>
      </c>
      <c r="N2773" t="b">
        <v>0</v>
      </c>
      <c r="O2773">
        <v>0</v>
      </c>
      <c r="P2773">
        <v>1</v>
      </c>
      <c r="Q2773">
        <v>0</v>
      </c>
      <c r="R2773">
        <v>1</v>
      </c>
    </row>
    <row r="2774" spans="1:18" x14ac:dyDescent="0.25">
      <c r="A2774" t="s">
        <v>28</v>
      </c>
      <c r="B2774" t="s">
        <v>6</v>
      </c>
      <c r="C2774">
        <v>2</v>
      </c>
      <c r="D2774">
        <v>3</v>
      </c>
      <c r="E2774">
        <v>2</v>
      </c>
      <c r="F2774" s="15">
        <v>45880</v>
      </c>
      <c r="G2774" t="s">
        <v>217</v>
      </c>
      <c r="H2774">
        <v>4</v>
      </c>
      <c r="I2774">
        <v>2025</v>
      </c>
      <c r="J2774">
        <v>8</v>
      </c>
      <c r="K2774" t="s">
        <v>87</v>
      </c>
      <c r="L2774" t="s">
        <v>352</v>
      </c>
      <c r="M2774" t="s">
        <v>6</v>
      </c>
      <c r="N2774" t="b">
        <v>0</v>
      </c>
      <c r="O2774">
        <v>0</v>
      </c>
      <c r="P2774">
        <v>1</v>
      </c>
      <c r="Q2774">
        <v>0</v>
      </c>
      <c r="R2774">
        <v>0</v>
      </c>
    </row>
    <row r="2775" spans="1:18" x14ac:dyDescent="0.25">
      <c r="A2775" t="s">
        <v>45</v>
      </c>
      <c r="B2775" t="s">
        <v>6</v>
      </c>
      <c r="C2775">
        <v>4</v>
      </c>
      <c r="D2775">
        <v>3</v>
      </c>
      <c r="E2775">
        <v>2</v>
      </c>
      <c r="F2775" s="15">
        <v>45880</v>
      </c>
      <c r="G2775" t="s">
        <v>217</v>
      </c>
      <c r="H2775">
        <v>4</v>
      </c>
      <c r="I2775">
        <v>2025</v>
      </c>
      <c r="J2775">
        <v>8</v>
      </c>
      <c r="K2775" t="s">
        <v>87</v>
      </c>
      <c r="L2775" t="s">
        <v>28</v>
      </c>
      <c r="M2775" t="s">
        <v>6</v>
      </c>
      <c r="N2775" t="b">
        <v>0</v>
      </c>
      <c r="O2775">
        <v>0</v>
      </c>
      <c r="P2775">
        <v>1</v>
      </c>
      <c r="Q2775">
        <v>0</v>
      </c>
      <c r="R2775">
        <v>0</v>
      </c>
    </row>
    <row r="2776" spans="1:18" x14ac:dyDescent="0.25">
      <c r="A2776" t="s">
        <v>45</v>
      </c>
      <c r="B2776" t="s">
        <v>6</v>
      </c>
      <c r="C2776">
        <v>4</v>
      </c>
      <c r="D2776">
        <v>3</v>
      </c>
      <c r="E2776">
        <v>2</v>
      </c>
      <c r="F2776" s="15">
        <v>45880</v>
      </c>
      <c r="G2776" t="s">
        <v>217</v>
      </c>
      <c r="H2776">
        <v>4</v>
      </c>
      <c r="I2776">
        <v>2025</v>
      </c>
      <c r="J2776">
        <v>8</v>
      </c>
      <c r="K2776" t="s">
        <v>87</v>
      </c>
      <c r="L2776" t="s">
        <v>12</v>
      </c>
      <c r="M2776" t="s">
        <v>8</v>
      </c>
      <c r="N2776" t="b">
        <v>0</v>
      </c>
      <c r="O2776">
        <v>0</v>
      </c>
      <c r="P2776">
        <v>1</v>
      </c>
      <c r="Q2776">
        <v>0</v>
      </c>
      <c r="R2776">
        <v>1</v>
      </c>
    </row>
    <row r="2777" spans="1:18" x14ac:dyDescent="0.25">
      <c r="A2777" t="s">
        <v>45</v>
      </c>
      <c r="B2777" t="s">
        <v>6</v>
      </c>
      <c r="C2777">
        <v>4</v>
      </c>
      <c r="D2777">
        <v>3</v>
      </c>
      <c r="E2777">
        <v>2</v>
      </c>
      <c r="F2777" s="15">
        <v>45880</v>
      </c>
      <c r="G2777" t="s">
        <v>217</v>
      </c>
      <c r="H2777">
        <v>4</v>
      </c>
      <c r="I2777">
        <v>2025</v>
      </c>
      <c r="J2777">
        <v>8</v>
      </c>
      <c r="K2777" t="s">
        <v>87</v>
      </c>
      <c r="L2777" t="s">
        <v>352</v>
      </c>
      <c r="M2777" t="s">
        <v>6</v>
      </c>
      <c r="N2777" t="b">
        <v>0</v>
      </c>
      <c r="O2777">
        <v>0</v>
      </c>
      <c r="P2777">
        <v>1</v>
      </c>
      <c r="Q2777">
        <v>0</v>
      </c>
      <c r="R2777">
        <v>0</v>
      </c>
    </row>
    <row r="2778" spans="1:18" x14ac:dyDescent="0.25">
      <c r="A2778" t="s">
        <v>12</v>
      </c>
      <c r="B2778" t="s">
        <v>8</v>
      </c>
      <c r="C2778">
        <v>3</v>
      </c>
      <c r="D2778">
        <v>3</v>
      </c>
      <c r="E2778">
        <v>2</v>
      </c>
      <c r="F2778" s="15">
        <v>45880</v>
      </c>
      <c r="G2778" t="s">
        <v>217</v>
      </c>
      <c r="H2778">
        <v>4</v>
      </c>
      <c r="I2778">
        <v>2025</v>
      </c>
      <c r="J2778">
        <v>8</v>
      </c>
      <c r="K2778" t="s">
        <v>87</v>
      </c>
      <c r="L2778" t="s">
        <v>28</v>
      </c>
      <c r="M2778" t="s">
        <v>6</v>
      </c>
      <c r="N2778" t="b">
        <v>0</v>
      </c>
      <c r="O2778">
        <v>1</v>
      </c>
      <c r="P2778">
        <v>0</v>
      </c>
      <c r="Q2778">
        <v>0</v>
      </c>
      <c r="R2778">
        <v>0</v>
      </c>
    </row>
    <row r="2779" spans="1:18" x14ac:dyDescent="0.25">
      <c r="A2779" t="s">
        <v>12</v>
      </c>
      <c r="B2779" t="s">
        <v>8</v>
      </c>
      <c r="C2779">
        <v>3</v>
      </c>
      <c r="D2779">
        <v>3</v>
      </c>
      <c r="E2779">
        <v>2</v>
      </c>
      <c r="F2779" s="15">
        <v>45880</v>
      </c>
      <c r="G2779" t="s">
        <v>217</v>
      </c>
      <c r="H2779">
        <v>4</v>
      </c>
      <c r="I2779">
        <v>2025</v>
      </c>
      <c r="J2779">
        <v>8</v>
      </c>
      <c r="K2779" t="s">
        <v>87</v>
      </c>
      <c r="L2779" t="s">
        <v>45</v>
      </c>
      <c r="M2779" t="s">
        <v>6</v>
      </c>
      <c r="N2779" t="b">
        <v>0</v>
      </c>
      <c r="O2779">
        <v>1</v>
      </c>
      <c r="P2779">
        <v>0</v>
      </c>
      <c r="Q2779">
        <v>0</v>
      </c>
      <c r="R2779">
        <v>0</v>
      </c>
    </row>
    <row r="2780" spans="1:18" x14ac:dyDescent="0.25">
      <c r="A2780" t="s">
        <v>12</v>
      </c>
      <c r="B2780" t="s">
        <v>8</v>
      </c>
      <c r="C2780">
        <v>3</v>
      </c>
      <c r="D2780">
        <v>3</v>
      </c>
      <c r="E2780">
        <v>2</v>
      </c>
      <c r="F2780" s="15">
        <v>45880</v>
      </c>
      <c r="G2780" t="s">
        <v>217</v>
      </c>
      <c r="H2780">
        <v>4</v>
      </c>
      <c r="I2780">
        <v>2025</v>
      </c>
      <c r="J2780">
        <v>8</v>
      </c>
      <c r="K2780" t="s">
        <v>87</v>
      </c>
      <c r="L2780" t="s">
        <v>352</v>
      </c>
      <c r="M2780" t="s">
        <v>6</v>
      </c>
      <c r="N2780" t="b">
        <v>0</v>
      </c>
      <c r="O2780">
        <v>1</v>
      </c>
      <c r="P2780">
        <v>0</v>
      </c>
      <c r="Q2780">
        <v>0</v>
      </c>
      <c r="R2780">
        <v>0</v>
      </c>
    </row>
    <row r="2781" spans="1:18" x14ac:dyDescent="0.25">
      <c r="A2781" t="s">
        <v>352</v>
      </c>
      <c r="B2781" t="s">
        <v>6</v>
      </c>
      <c r="C2781">
        <v>1</v>
      </c>
      <c r="D2781">
        <v>3</v>
      </c>
      <c r="E2781">
        <v>2</v>
      </c>
      <c r="F2781" s="15">
        <v>45880</v>
      </c>
      <c r="G2781" t="s">
        <v>217</v>
      </c>
      <c r="H2781">
        <v>4</v>
      </c>
      <c r="I2781">
        <v>2025</v>
      </c>
      <c r="J2781">
        <v>8</v>
      </c>
      <c r="K2781" t="s">
        <v>87</v>
      </c>
      <c r="L2781" t="s">
        <v>28</v>
      </c>
      <c r="M2781" t="s">
        <v>6</v>
      </c>
      <c r="N2781" t="b">
        <v>0</v>
      </c>
      <c r="O2781">
        <v>0</v>
      </c>
      <c r="P2781">
        <v>1</v>
      </c>
      <c r="Q2781">
        <v>0</v>
      </c>
      <c r="R2781">
        <v>0</v>
      </c>
    </row>
    <row r="2782" spans="1:18" x14ac:dyDescent="0.25">
      <c r="A2782" t="s">
        <v>352</v>
      </c>
      <c r="B2782" t="s">
        <v>6</v>
      </c>
      <c r="C2782">
        <v>1</v>
      </c>
      <c r="D2782">
        <v>3</v>
      </c>
      <c r="E2782">
        <v>2</v>
      </c>
      <c r="F2782" s="15">
        <v>45880</v>
      </c>
      <c r="G2782" t="s">
        <v>217</v>
      </c>
      <c r="H2782">
        <v>4</v>
      </c>
      <c r="I2782">
        <v>2025</v>
      </c>
      <c r="J2782">
        <v>8</v>
      </c>
      <c r="K2782" t="s">
        <v>87</v>
      </c>
      <c r="L2782" t="s">
        <v>45</v>
      </c>
      <c r="M2782" t="s">
        <v>6</v>
      </c>
      <c r="N2782" t="b">
        <v>0</v>
      </c>
      <c r="O2782">
        <v>0</v>
      </c>
      <c r="P2782">
        <v>1</v>
      </c>
      <c r="Q2782">
        <v>0</v>
      </c>
      <c r="R2782">
        <v>0</v>
      </c>
    </row>
    <row r="2783" spans="1:18" x14ac:dyDescent="0.25">
      <c r="A2783" t="s">
        <v>352</v>
      </c>
      <c r="B2783" t="s">
        <v>6</v>
      </c>
      <c r="C2783">
        <v>1</v>
      </c>
      <c r="D2783">
        <v>3</v>
      </c>
      <c r="E2783">
        <v>2</v>
      </c>
      <c r="F2783" s="15">
        <v>45880</v>
      </c>
      <c r="G2783" t="s">
        <v>217</v>
      </c>
      <c r="H2783">
        <v>4</v>
      </c>
      <c r="I2783">
        <v>2025</v>
      </c>
      <c r="J2783">
        <v>8</v>
      </c>
      <c r="K2783" t="s">
        <v>87</v>
      </c>
      <c r="L2783" t="s">
        <v>12</v>
      </c>
      <c r="M2783" t="s">
        <v>8</v>
      </c>
      <c r="N2783" t="b">
        <v>0</v>
      </c>
      <c r="O2783">
        <v>0</v>
      </c>
      <c r="P2783">
        <v>1</v>
      </c>
      <c r="Q2783">
        <v>0</v>
      </c>
      <c r="R2783">
        <v>1</v>
      </c>
    </row>
    <row r="2784" spans="1:18" x14ac:dyDescent="0.25">
      <c r="A2784" t="s">
        <v>28</v>
      </c>
      <c r="B2784" t="s">
        <v>8</v>
      </c>
      <c r="C2784">
        <v>1</v>
      </c>
      <c r="D2784">
        <v>4</v>
      </c>
      <c r="E2784">
        <v>2</v>
      </c>
      <c r="F2784" s="15">
        <v>45985</v>
      </c>
      <c r="G2784" t="s">
        <v>271</v>
      </c>
      <c r="H2784">
        <v>3</v>
      </c>
      <c r="I2784">
        <v>2025</v>
      </c>
      <c r="J2784">
        <v>11</v>
      </c>
      <c r="K2784" t="s">
        <v>87</v>
      </c>
      <c r="L2784" t="s">
        <v>43</v>
      </c>
      <c r="M2784" t="s">
        <v>6</v>
      </c>
      <c r="N2784" t="b">
        <v>0</v>
      </c>
      <c r="O2784">
        <v>1</v>
      </c>
      <c r="P2784">
        <v>0</v>
      </c>
      <c r="Q2784">
        <v>0</v>
      </c>
      <c r="R2784">
        <v>0</v>
      </c>
    </row>
    <row r="2785" spans="1:18" x14ac:dyDescent="0.25">
      <c r="A2785" t="s">
        <v>28</v>
      </c>
      <c r="B2785" t="s">
        <v>8</v>
      </c>
      <c r="C2785">
        <v>1</v>
      </c>
      <c r="D2785">
        <v>4</v>
      </c>
      <c r="E2785">
        <v>2</v>
      </c>
      <c r="F2785" s="15">
        <v>45985</v>
      </c>
      <c r="G2785" t="s">
        <v>271</v>
      </c>
      <c r="H2785">
        <v>3</v>
      </c>
      <c r="I2785">
        <v>2025</v>
      </c>
      <c r="J2785">
        <v>11</v>
      </c>
      <c r="K2785" t="s">
        <v>87</v>
      </c>
      <c r="L2785" t="s">
        <v>27</v>
      </c>
      <c r="M2785" t="s">
        <v>6</v>
      </c>
      <c r="N2785" t="b">
        <v>0</v>
      </c>
      <c r="O2785">
        <v>1</v>
      </c>
      <c r="P2785">
        <v>0</v>
      </c>
      <c r="Q2785">
        <v>0</v>
      </c>
      <c r="R2785">
        <v>0</v>
      </c>
    </row>
    <row r="2786" spans="1:18" x14ac:dyDescent="0.25">
      <c r="A2786" t="s">
        <v>43</v>
      </c>
      <c r="B2786" t="s">
        <v>6</v>
      </c>
      <c r="C2786">
        <v>3</v>
      </c>
      <c r="D2786">
        <v>4</v>
      </c>
      <c r="E2786">
        <v>2</v>
      </c>
      <c r="F2786" s="15">
        <v>45985</v>
      </c>
      <c r="G2786" t="s">
        <v>271</v>
      </c>
      <c r="H2786">
        <v>3</v>
      </c>
      <c r="I2786">
        <v>2025</v>
      </c>
      <c r="J2786">
        <v>11</v>
      </c>
      <c r="K2786" t="s">
        <v>87</v>
      </c>
      <c r="L2786" t="s">
        <v>28</v>
      </c>
      <c r="M2786" t="s">
        <v>8</v>
      </c>
      <c r="N2786" t="b">
        <v>0</v>
      </c>
      <c r="O2786">
        <v>0</v>
      </c>
      <c r="P2786">
        <v>1</v>
      </c>
      <c r="Q2786">
        <v>0</v>
      </c>
      <c r="R2786">
        <v>1</v>
      </c>
    </row>
    <row r="2787" spans="1:18" x14ac:dyDescent="0.25">
      <c r="A2787" t="s">
        <v>43</v>
      </c>
      <c r="B2787" t="s">
        <v>6</v>
      </c>
      <c r="C2787">
        <v>3</v>
      </c>
      <c r="D2787">
        <v>4</v>
      </c>
      <c r="E2787">
        <v>2</v>
      </c>
      <c r="F2787" s="15">
        <v>45985</v>
      </c>
      <c r="G2787" t="s">
        <v>271</v>
      </c>
      <c r="H2787">
        <v>3</v>
      </c>
      <c r="I2787">
        <v>2025</v>
      </c>
      <c r="J2787">
        <v>11</v>
      </c>
      <c r="K2787" t="s">
        <v>87</v>
      </c>
      <c r="L2787" t="s">
        <v>27</v>
      </c>
      <c r="M2787" t="s">
        <v>6</v>
      </c>
      <c r="N2787" t="b">
        <v>0</v>
      </c>
      <c r="O2787">
        <v>0</v>
      </c>
      <c r="P2787">
        <v>1</v>
      </c>
      <c r="Q2787">
        <v>0</v>
      </c>
      <c r="R2787">
        <v>0</v>
      </c>
    </row>
    <row r="2788" spans="1:18" x14ac:dyDescent="0.25">
      <c r="A2788" t="s">
        <v>27</v>
      </c>
      <c r="B2788" t="s">
        <v>6</v>
      </c>
      <c r="C2788">
        <v>2</v>
      </c>
      <c r="D2788">
        <v>4</v>
      </c>
      <c r="E2788">
        <v>2</v>
      </c>
      <c r="F2788" s="15">
        <v>45985</v>
      </c>
      <c r="G2788" t="s">
        <v>271</v>
      </c>
      <c r="H2788">
        <v>3</v>
      </c>
      <c r="I2788">
        <v>2025</v>
      </c>
      <c r="J2788">
        <v>11</v>
      </c>
      <c r="K2788" t="s">
        <v>87</v>
      </c>
      <c r="L2788" t="s">
        <v>28</v>
      </c>
      <c r="M2788" t="s">
        <v>8</v>
      </c>
      <c r="N2788" t="b">
        <v>0</v>
      </c>
      <c r="O2788">
        <v>0</v>
      </c>
      <c r="P2788">
        <v>1</v>
      </c>
      <c r="Q2788">
        <v>0</v>
      </c>
      <c r="R2788">
        <v>1</v>
      </c>
    </row>
    <row r="2789" spans="1:18" x14ac:dyDescent="0.25">
      <c r="A2789" t="s">
        <v>27</v>
      </c>
      <c r="B2789" t="s">
        <v>6</v>
      </c>
      <c r="C2789">
        <v>2</v>
      </c>
      <c r="D2789">
        <v>4</v>
      </c>
      <c r="E2789">
        <v>2</v>
      </c>
      <c r="F2789" s="15">
        <v>45985</v>
      </c>
      <c r="G2789" t="s">
        <v>271</v>
      </c>
      <c r="H2789">
        <v>3</v>
      </c>
      <c r="I2789">
        <v>2025</v>
      </c>
      <c r="J2789">
        <v>11</v>
      </c>
      <c r="K2789" t="s">
        <v>87</v>
      </c>
      <c r="L2789" t="s">
        <v>43</v>
      </c>
      <c r="M2789" t="s">
        <v>6</v>
      </c>
      <c r="N2789" t="b">
        <v>0</v>
      </c>
      <c r="O2789">
        <v>0</v>
      </c>
      <c r="P2789">
        <v>1</v>
      </c>
      <c r="Q2789">
        <v>0</v>
      </c>
      <c r="R2789">
        <v>0</v>
      </c>
    </row>
    <row r="2790" spans="1:18" x14ac:dyDescent="0.25">
      <c r="A2790" t="s">
        <v>28</v>
      </c>
      <c r="B2790" t="s">
        <v>6</v>
      </c>
      <c r="C2790">
        <v>1</v>
      </c>
      <c r="D2790">
        <v>5</v>
      </c>
      <c r="E2790">
        <v>1</v>
      </c>
      <c r="F2790" s="15">
        <v>46034</v>
      </c>
      <c r="G2790" t="s">
        <v>301</v>
      </c>
      <c r="H2790">
        <v>4</v>
      </c>
      <c r="I2790">
        <v>2026</v>
      </c>
      <c r="J2790">
        <v>1</v>
      </c>
      <c r="K2790" t="s">
        <v>87</v>
      </c>
      <c r="L2790" t="s">
        <v>433</v>
      </c>
      <c r="M2790" t="s">
        <v>6</v>
      </c>
      <c r="N2790" t="b">
        <v>0</v>
      </c>
      <c r="O2790">
        <v>0</v>
      </c>
      <c r="P2790">
        <v>1</v>
      </c>
      <c r="Q2790">
        <v>0</v>
      </c>
      <c r="R2790">
        <v>0</v>
      </c>
    </row>
    <row r="2791" spans="1:18" x14ac:dyDescent="0.25">
      <c r="A2791" t="s">
        <v>28</v>
      </c>
      <c r="B2791" t="s">
        <v>6</v>
      </c>
      <c r="C2791">
        <v>1</v>
      </c>
      <c r="D2791">
        <v>5</v>
      </c>
      <c r="E2791">
        <v>1</v>
      </c>
      <c r="F2791" s="15">
        <v>46034</v>
      </c>
      <c r="G2791" t="s">
        <v>301</v>
      </c>
      <c r="H2791">
        <v>4</v>
      </c>
      <c r="I2791">
        <v>2026</v>
      </c>
      <c r="J2791">
        <v>1</v>
      </c>
      <c r="K2791" t="s">
        <v>87</v>
      </c>
      <c r="L2791" t="s">
        <v>11</v>
      </c>
      <c r="M2791" t="s">
        <v>8</v>
      </c>
      <c r="N2791" t="b">
        <v>0</v>
      </c>
      <c r="O2791">
        <v>0</v>
      </c>
      <c r="P2791">
        <v>1</v>
      </c>
      <c r="Q2791">
        <v>0</v>
      </c>
      <c r="R2791">
        <v>1</v>
      </c>
    </row>
    <row r="2792" spans="1:18" x14ac:dyDescent="0.25">
      <c r="A2792" t="s">
        <v>28</v>
      </c>
      <c r="B2792" t="s">
        <v>6</v>
      </c>
      <c r="C2792">
        <v>1</v>
      </c>
      <c r="D2792">
        <v>5</v>
      </c>
      <c r="E2792">
        <v>1</v>
      </c>
      <c r="F2792" s="15">
        <v>46034</v>
      </c>
      <c r="G2792" t="s">
        <v>301</v>
      </c>
      <c r="H2792">
        <v>4</v>
      </c>
      <c r="I2792">
        <v>2026</v>
      </c>
      <c r="J2792">
        <v>1</v>
      </c>
      <c r="K2792" t="s">
        <v>87</v>
      </c>
      <c r="L2792" t="s">
        <v>432</v>
      </c>
      <c r="M2792" t="s">
        <v>6</v>
      </c>
      <c r="N2792" t="b">
        <v>0</v>
      </c>
      <c r="O2792">
        <v>0</v>
      </c>
      <c r="P2792">
        <v>1</v>
      </c>
      <c r="Q2792">
        <v>0</v>
      </c>
      <c r="R2792">
        <v>0</v>
      </c>
    </row>
    <row r="2793" spans="1:18" x14ac:dyDescent="0.25">
      <c r="A2793" t="s">
        <v>433</v>
      </c>
      <c r="B2793" t="s">
        <v>6</v>
      </c>
      <c r="C2793">
        <v>4</v>
      </c>
      <c r="D2793">
        <v>5</v>
      </c>
      <c r="E2793">
        <v>1</v>
      </c>
      <c r="F2793" s="15">
        <v>46034</v>
      </c>
      <c r="G2793" t="s">
        <v>301</v>
      </c>
      <c r="H2793">
        <v>4</v>
      </c>
      <c r="I2793">
        <v>2026</v>
      </c>
      <c r="J2793">
        <v>1</v>
      </c>
      <c r="K2793" t="s">
        <v>87</v>
      </c>
      <c r="L2793" t="s">
        <v>28</v>
      </c>
      <c r="M2793" t="s">
        <v>6</v>
      </c>
      <c r="N2793" t="b">
        <v>0</v>
      </c>
      <c r="O2793">
        <v>0</v>
      </c>
      <c r="P2793">
        <v>1</v>
      </c>
      <c r="Q2793">
        <v>0</v>
      </c>
      <c r="R2793">
        <v>0</v>
      </c>
    </row>
    <row r="2794" spans="1:18" x14ac:dyDescent="0.25">
      <c r="A2794" t="s">
        <v>433</v>
      </c>
      <c r="B2794" t="s">
        <v>6</v>
      </c>
      <c r="C2794">
        <v>4</v>
      </c>
      <c r="D2794">
        <v>5</v>
      </c>
      <c r="E2794">
        <v>1</v>
      </c>
      <c r="F2794" s="15">
        <v>46034</v>
      </c>
      <c r="G2794" t="s">
        <v>301</v>
      </c>
      <c r="H2794">
        <v>4</v>
      </c>
      <c r="I2794">
        <v>2026</v>
      </c>
      <c r="J2794">
        <v>1</v>
      </c>
      <c r="K2794" t="s">
        <v>87</v>
      </c>
      <c r="L2794" t="s">
        <v>11</v>
      </c>
      <c r="M2794" t="s">
        <v>8</v>
      </c>
      <c r="N2794" t="b">
        <v>0</v>
      </c>
      <c r="O2794">
        <v>0</v>
      </c>
      <c r="P2794">
        <v>1</v>
      </c>
      <c r="Q2794">
        <v>0</v>
      </c>
      <c r="R2794">
        <v>1</v>
      </c>
    </row>
    <row r="2795" spans="1:18" x14ac:dyDescent="0.25">
      <c r="A2795" t="s">
        <v>433</v>
      </c>
      <c r="B2795" t="s">
        <v>6</v>
      </c>
      <c r="C2795">
        <v>4</v>
      </c>
      <c r="D2795">
        <v>5</v>
      </c>
      <c r="E2795">
        <v>1</v>
      </c>
      <c r="F2795" s="15">
        <v>46034</v>
      </c>
      <c r="G2795" t="s">
        <v>301</v>
      </c>
      <c r="H2795">
        <v>4</v>
      </c>
      <c r="I2795">
        <v>2026</v>
      </c>
      <c r="J2795">
        <v>1</v>
      </c>
      <c r="K2795" t="s">
        <v>87</v>
      </c>
      <c r="L2795" t="s">
        <v>432</v>
      </c>
      <c r="M2795" t="s">
        <v>6</v>
      </c>
      <c r="N2795" t="b">
        <v>0</v>
      </c>
      <c r="O2795">
        <v>0</v>
      </c>
      <c r="P2795">
        <v>1</v>
      </c>
      <c r="Q2795">
        <v>0</v>
      </c>
      <c r="R2795">
        <v>0</v>
      </c>
    </row>
    <row r="2796" spans="1:18" x14ac:dyDescent="0.25">
      <c r="A2796" t="s">
        <v>11</v>
      </c>
      <c r="B2796" t="s">
        <v>8</v>
      </c>
      <c r="C2796">
        <v>2</v>
      </c>
      <c r="D2796">
        <v>5</v>
      </c>
      <c r="E2796">
        <v>1</v>
      </c>
      <c r="F2796" s="15">
        <v>46034</v>
      </c>
      <c r="G2796" t="s">
        <v>301</v>
      </c>
      <c r="H2796">
        <v>4</v>
      </c>
      <c r="I2796">
        <v>2026</v>
      </c>
      <c r="J2796">
        <v>1</v>
      </c>
      <c r="K2796" t="s">
        <v>87</v>
      </c>
      <c r="L2796" t="s">
        <v>28</v>
      </c>
      <c r="M2796" t="s">
        <v>6</v>
      </c>
      <c r="N2796" t="b">
        <v>0</v>
      </c>
      <c r="O2796">
        <v>1</v>
      </c>
      <c r="P2796">
        <v>0</v>
      </c>
      <c r="Q2796">
        <v>0</v>
      </c>
      <c r="R2796">
        <v>0</v>
      </c>
    </row>
    <row r="2797" spans="1:18" x14ac:dyDescent="0.25">
      <c r="A2797" t="s">
        <v>11</v>
      </c>
      <c r="B2797" t="s">
        <v>8</v>
      </c>
      <c r="C2797">
        <v>2</v>
      </c>
      <c r="D2797">
        <v>5</v>
      </c>
      <c r="E2797">
        <v>1</v>
      </c>
      <c r="F2797" s="15">
        <v>46034</v>
      </c>
      <c r="G2797" t="s">
        <v>301</v>
      </c>
      <c r="H2797">
        <v>4</v>
      </c>
      <c r="I2797">
        <v>2026</v>
      </c>
      <c r="J2797">
        <v>1</v>
      </c>
      <c r="K2797" t="s">
        <v>87</v>
      </c>
      <c r="L2797" t="s">
        <v>433</v>
      </c>
      <c r="M2797" t="s">
        <v>6</v>
      </c>
      <c r="N2797" t="b">
        <v>0</v>
      </c>
      <c r="O2797">
        <v>1</v>
      </c>
      <c r="P2797">
        <v>0</v>
      </c>
      <c r="Q2797">
        <v>0</v>
      </c>
      <c r="R2797">
        <v>0</v>
      </c>
    </row>
    <row r="2798" spans="1:18" x14ac:dyDescent="0.25">
      <c r="A2798" t="s">
        <v>11</v>
      </c>
      <c r="B2798" t="s">
        <v>8</v>
      </c>
      <c r="C2798">
        <v>2</v>
      </c>
      <c r="D2798">
        <v>5</v>
      </c>
      <c r="E2798">
        <v>1</v>
      </c>
      <c r="F2798" s="15">
        <v>46034</v>
      </c>
      <c r="G2798" t="s">
        <v>301</v>
      </c>
      <c r="H2798">
        <v>4</v>
      </c>
      <c r="I2798">
        <v>2026</v>
      </c>
      <c r="J2798">
        <v>1</v>
      </c>
      <c r="K2798" t="s">
        <v>87</v>
      </c>
      <c r="L2798" t="s">
        <v>432</v>
      </c>
      <c r="M2798" t="s">
        <v>6</v>
      </c>
      <c r="N2798" t="b">
        <v>0</v>
      </c>
      <c r="O2798">
        <v>1</v>
      </c>
      <c r="P2798">
        <v>0</v>
      </c>
      <c r="Q2798">
        <v>0</v>
      </c>
      <c r="R2798">
        <v>0</v>
      </c>
    </row>
    <row r="2799" spans="1:18" x14ac:dyDescent="0.25">
      <c r="A2799" t="s">
        <v>432</v>
      </c>
      <c r="B2799" t="s">
        <v>6</v>
      </c>
      <c r="C2799">
        <v>3</v>
      </c>
      <c r="D2799">
        <v>5</v>
      </c>
      <c r="E2799">
        <v>1</v>
      </c>
      <c r="F2799" s="15">
        <v>46034</v>
      </c>
      <c r="G2799" t="s">
        <v>301</v>
      </c>
      <c r="H2799">
        <v>4</v>
      </c>
      <c r="I2799">
        <v>2026</v>
      </c>
      <c r="J2799">
        <v>1</v>
      </c>
      <c r="K2799" t="s">
        <v>87</v>
      </c>
      <c r="L2799" t="s">
        <v>28</v>
      </c>
      <c r="M2799" t="s">
        <v>6</v>
      </c>
      <c r="N2799" t="b">
        <v>0</v>
      </c>
      <c r="O2799">
        <v>0</v>
      </c>
      <c r="P2799">
        <v>1</v>
      </c>
      <c r="Q2799">
        <v>0</v>
      </c>
      <c r="R2799">
        <v>0</v>
      </c>
    </row>
    <row r="2800" spans="1:18" x14ac:dyDescent="0.25">
      <c r="A2800" t="s">
        <v>432</v>
      </c>
      <c r="B2800" t="s">
        <v>6</v>
      </c>
      <c r="C2800">
        <v>3</v>
      </c>
      <c r="D2800">
        <v>5</v>
      </c>
      <c r="E2800">
        <v>1</v>
      </c>
      <c r="F2800" s="15">
        <v>46034</v>
      </c>
      <c r="G2800" t="s">
        <v>301</v>
      </c>
      <c r="H2800">
        <v>4</v>
      </c>
      <c r="I2800">
        <v>2026</v>
      </c>
      <c r="J2800">
        <v>1</v>
      </c>
      <c r="K2800" t="s">
        <v>87</v>
      </c>
      <c r="L2800" t="s">
        <v>433</v>
      </c>
      <c r="M2800" t="s">
        <v>6</v>
      </c>
      <c r="N2800" t="b">
        <v>0</v>
      </c>
      <c r="O2800">
        <v>0</v>
      </c>
      <c r="P2800">
        <v>1</v>
      </c>
      <c r="Q2800">
        <v>0</v>
      </c>
      <c r="R2800">
        <v>0</v>
      </c>
    </row>
    <row r="2801" spans="1:18" x14ac:dyDescent="0.25">
      <c r="A2801" t="s">
        <v>432</v>
      </c>
      <c r="B2801" t="s">
        <v>6</v>
      </c>
      <c r="C2801">
        <v>3</v>
      </c>
      <c r="D2801">
        <v>5</v>
      </c>
      <c r="E2801">
        <v>1</v>
      </c>
      <c r="F2801" s="15">
        <v>46034</v>
      </c>
      <c r="G2801" t="s">
        <v>301</v>
      </c>
      <c r="H2801">
        <v>4</v>
      </c>
      <c r="I2801">
        <v>2026</v>
      </c>
      <c r="J2801">
        <v>1</v>
      </c>
      <c r="K2801" t="s">
        <v>87</v>
      </c>
      <c r="L2801" t="s">
        <v>11</v>
      </c>
      <c r="M2801" t="s">
        <v>8</v>
      </c>
      <c r="N2801" t="b">
        <v>0</v>
      </c>
      <c r="O2801">
        <v>0</v>
      </c>
      <c r="P2801">
        <v>1</v>
      </c>
      <c r="Q2801">
        <v>0</v>
      </c>
      <c r="R2801">
        <v>1</v>
      </c>
    </row>
    <row r="2802" spans="1:18" x14ac:dyDescent="0.25">
      <c r="A2802" t="s">
        <v>28</v>
      </c>
      <c r="B2802" t="s">
        <v>63</v>
      </c>
      <c r="C2802">
        <v>3</v>
      </c>
      <c r="D2802">
        <v>1</v>
      </c>
      <c r="E2802">
        <v>2</v>
      </c>
      <c r="F2802" s="15">
        <v>46034</v>
      </c>
      <c r="G2802" t="s">
        <v>304</v>
      </c>
      <c r="H2802">
        <v>4</v>
      </c>
      <c r="I2802">
        <v>2026</v>
      </c>
      <c r="J2802">
        <v>1</v>
      </c>
      <c r="K2802" t="s">
        <v>87</v>
      </c>
      <c r="L2802" t="s">
        <v>41</v>
      </c>
      <c r="M2802" t="s">
        <v>63</v>
      </c>
      <c r="N2802" t="b">
        <v>0</v>
      </c>
      <c r="O2802">
        <v>0</v>
      </c>
      <c r="P2802">
        <v>0</v>
      </c>
      <c r="Q2802">
        <v>1</v>
      </c>
      <c r="R2802">
        <v>0</v>
      </c>
    </row>
    <row r="2803" spans="1:18" x14ac:dyDescent="0.25">
      <c r="A2803" t="s">
        <v>28</v>
      </c>
      <c r="B2803" t="s">
        <v>63</v>
      </c>
      <c r="C2803">
        <v>3</v>
      </c>
      <c r="D2803">
        <v>1</v>
      </c>
      <c r="E2803">
        <v>2</v>
      </c>
      <c r="F2803" s="15">
        <v>46034</v>
      </c>
      <c r="G2803" t="s">
        <v>304</v>
      </c>
      <c r="H2803">
        <v>4</v>
      </c>
      <c r="I2803">
        <v>2026</v>
      </c>
      <c r="J2803">
        <v>1</v>
      </c>
      <c r="K2803" t="s">
        <v>87</v>
      </c>
      <c r="L2803" t="s">
        <v>326</v>
      </c>
      <c r="M2803" t="s">
        <v>63</v>
      </c>
      <c r="N2803" t="b">
        <v>0</v>
      </c>
      <c r="O2803">
        <v>0</v>
      </c>
      <c r="P2803">
        <v>0</v>
      </c>
      <c r="Q2803">
        <v>1</v>
      </c>
      <c r="R2803">
        <v>0</v>
      </c>
    </row>
    <row r="2804" spans="1:18" x14ac:dyDescent="0.25">
      <c r="A2804" t="s">
        <v>28</v>
      </c>
      <c r="B2804" t="s">
        <v>63</v>
      </c>
      <c r="C2804">
        <v>3</v>
      </c>
      <c r="D2804">
        <v>1</v>
      </c>
      <c r="E2804">
        <v>2</v>
      </c>
      <c r="F2804" s="15">
        <v>46034</v>
      </c>
      <c r="G2804" t="s">
        <v>304</v>
      </c>
      <c r="H2804">
        <v>4</v>
      </c>
      <c r="I2804">
        <v>2026</v>
      </c>
      <c r="J2804">
        <v>1</v>
      </c>
      <c r="K2804" t="s">
        <v>87</v>
      </c>
      <c r="L2804" t="s">
        <v>44</v>
      </c>
      <c r="M2804" t="s">
        <v>63</v>
      </c>
      <c r="N2804" t="b">
        <v>0</v>
      </c>
      <c r="O2804">
        <v>0</v>
      </c>
      <c r="P2804">
        <v>0</v>
      </c>
      <c r="Q2804">
        <v>1</v>
      </c>
      <c r="R2804">
        <v>0</v>
      </c>
    </row>
    <row r="2805" spans="1:18" x14ac:dyDescent="0.25">
      <c r="A2805" t="s">
        <v>41</v>
      </c>
      <c r="B2805" t="s">
        <v>63</v>
      </c>
      <c r="C2805">
        <v>2</v>
      </c>
      <c r="D2805">
        <v>1</v>
      </c>
      <c r="E2805">
        <v>2</v>
      </c>
      <c r="F2805" s="15">
        <v>46034</v>
      </c>
      <c r="G2805" t="s">
        <v>304</v>
      </c>
      <c r="H2805">
        <v>4</v>
      </c>
      <c r="I2805">
        <v>2026</v>
      </c>
      <c r="J2805">
        <v>1</v>
      </c>
      <c r="K2805" t="s">
        <v>87</v>
      </c>
      <c r="L2805" t="s">
        <v>28</v>
      </c>
      <c r="M2805" t="s">
        <v>63</v>
      </c>
      <c r="N2805" t="b">
        <v>0</v>
      </c>
      <c r="O2805">
        <v>0</v>
      </c>
      <c r="P2805">
        <v>0</v>
      </c>
      <c r="Q2805">
        <v>1</v>
      </c>
      <c r="R2805">
        <v>0</v>
      </c>
    </row>
    <row r="2806" spans="1:18" x14ac:dyDescent="0.25">
      <c r="A2806" t="s">
        <v>41</v>
      </c>
      <c r="B2806" t="s">
        <v>63</v>
      </c>
      <c r="C2806">
        <v>2</v>
      </c>
      <c r="D2806">
        <v>1</v>
      </c>
      <c r="E2806">
        <v>2</v>
      </c>
      <c r="F2806" s="15">
        <v>46034</v>
      </c>
      <c r="G2806" t="s">
        <v>304</v>
      </c>
      <c r="H2806">
        <v>4</v>
      </c>
      <c r="I2806">
        <v>2026</v>
      </c>
      <c r="J2806">
        <v>1</v>
      </c>
      <c r="K2806" t="s">
        <v>87</v>
      </c>
      <c r="L2806" t="s">
        <v>326</v>
      </c>
      <c r="M2806" t="s">
        <v>63</v>
      </c>
      <c r="N2806" t="b">
        <v>0</v>
      </c>
      <c r="O2806">
        <v>0</v>
      </c>
      <c r="P2806">
        <v>0</v>
      </c>
      <c r="Q2806">
        <v>1</v>
      </c>
      <c r="R2806">
        <v>0</v>
      </c>
    </row>
    <row r="2807" spans="1:18" x14ac:dyDescent="0.25">
      <c r="A2807" t="s">
        <v>41</v>
      </c>
      <c r="B2807" t="s">
        <v>63</v>
      </c>
      <c r="C2807">
        <v>2</v>
      </c>
      <c r="D2807">
        <v>1</v>
      </c>
      <c r="E2807">
        <v>2</v>
      </c>
      <c r="F2807" s="15">
        <v>46034</v>
      </c>
      <c r="G2807" t="s">
        <v>304</v>
      </c>
      <c r="H2807">
        <v>4</v>
      </c>
      <c r="I2807">
        <v>2026</v>
      </c>
      <c r="J2807">
        <v>1</v>
      </c>
      <c r="K2807" t="s">
        <v>87</v>
      </c>
      <c r="L2807" t="s">
        <v>44</v>
      </c>
      <c r="M2807" t="s">
        <v>63</v>
      </c>
      <c r="N2807" t="b">
        <v>0</v>
      </c>
      <c r="O2807">
        <v>0</v>
      </c>
      <c r="P2807">
        <v>0</v>
      </c>
      <c r="Q2807">
        <v>1</v>
      </c>
      <c r="R2807">
        <v>0</v>
      </c>
    </row>
    <row r="2808" spans="1:18" x14ac:dyDescent="0.25">
      <c r="A2808" t="s">
        <v>326</v>
      </c>
      <c r="B2808" t="s">
        <v>63</v>
      </c>
      <c r="C2808">
        <v>1</v>
      </c>
      <c r="D2808">
        <v>1</v>
      </c>
      <c r="E2808">
        <v>2</v>
      </c>
      <c r="F2808" s="15">
        <v>46034</v>
      </c>
      <c r="G2808" t="s">
        <v>304</v>
      </c>
      <c r="H2808">
        <v>4</v>
      </c>
      <c r="I2808">
        <v>2026</v>
      </c>
      <c r="J2808">
        <v>1</v>
      </c>
      <c r="K2808" t="s">
        <v>87</v>
      </c>
      <c r="L2808" t="s">
        <v>28</v>
      </c>
      <c r="M2808" t="s">
        <v>63</v>
      </c>
      <c r="N2808" t="b">
        <v>0</v>
      </c>
      <c r="O2808">
        <v>0</v>
      </c>
      <c r="P2808">
        <v>0</v>
      </c>
      <c r="Q2808">
        <v>1</v>
      </c>
      <c r="R2808">
        <v>0</v>
      </c>
    </row>
    <row r="2809" spans="1:18" x14ac:dyDescent="0.25">
      <c r="A2809" t="s">
        <v>326</v>
      </c>
      <c r="B2809" t="s">
        <v>63</v>
      </c>
      <c r="C2809">
        <v>1</v>
      </c>
      <c r="D2809">
        <v>1</v>
      </c>
      <c r="E2809">
        <v>2</v>
      </c>
      <c r="F2809" s="15">
        <v>46034</v>
      </c>
      <c r="G2809" t="s">
        <v>304</v>
      </c>
      <c r="H2809">
        <v>4</v>
      </c>
      <c r="I2809">
        <v>2026</v>
      </c>
      <c r="J2809">
        <v>1</v>
      </c>
      <c r="K2809" t="s">
        <v>87</v>
      </c>
      <c r="L2809" t="s">
        <v>41</v>
      </c>
      <c r="M2809" t="s">
        <v>63</v>
      </c>
      <c r="N2809" t="b">
        <v>0</v>
      </c>
      <c r="O2809">
        <v>0</v>
      </c>
      <c r="P2809">
        <v>0</v>
      </c>
      <c r="Q2809">
        <v>1</v>
      </c>
      <c r="R2809">
        <v>0</v>
      </c>
    </row>
    <row r="2810" spans="1:18" x14ac:dyDescent="0.25">
      <c r="A2810" t="s">
        <v>326</v>
      </c>
      <c r="B2810" t="s">
        <v>63</v>
      </c>
      <c r="C2810">
        <v>1</v>
      </c>
      <c r="D2810">
        <v>1</v>
      </c>
      <c r="E2810">
        <v>2</v>
      </c>
      <c r="F2810" s="15">
        <v>46034</v>
      </c>
      <c r="G2810" t="s">
        <v>304</v>
      </c>
      <c r="H2810">
        <v>4</v>
      </c>
      <c r="I2810">
        <v>2026</v>
      </c>
      <c r="J2810">
        <v>1</v>
      </c>
      <c r="K2810" t="s">
        <v>87</v>
      </c>
      <c r="L2810" t="s">
        <v>44</v>
      </c>
      <c r="M2810" t="s">
        <v>63</v>
      </c>
      <c r="N2810" t="b">
        <v>0</v>
      </c>
      <c r="O2810">
        <v>0</v>
      </c>
      <c r="P2810">
        <v>0</v>
      </c>
      <c r="Q2810">
        <v>1</v>
      </c>
      <c r="R2810">
        <v>0</v>
      </c>
    </row>
    <row r="2811" spans="1:18" x14ac:dyDescent="0.25">
      <c r="A2811" t="s">
        <v>44</v>
      </c>
      <c r="B2811" t="s">
        <v>63</v>
      </c>
      <c r="C2811">
        <v>4</v>
      </c>
      <c r="D2811">
        <v>1</v>
      </c>
      <c r="E2811">
        <v>2</v>
      </c>
      <c r="F2811" s="15">
        <v>46034</v>
      </c>
      <c r="G2811" t="s">
        <v>304</v>
      </c>
      <c r="H2811">
        <v>4</v>
      </c>
      <c r="I2811">
        <v>2026</v>
      </c>
      <c r="J2811">
        <v>1</v>
      </c>
      <c r="K2811" t="s">
        <v>87</v>
      </c>
      <c r="L2811" t="s">
        <v>28</v>
      </c>
      <c r="M2811" t="s">
        <v>63</v>
      </c>
      <c r="N2811" t="b">
        <v>0</v>
      </c>
      <c r="O2811">
        <v>0</v>
      </c>
      <c r="P2811">
        <v>0</v>
      </c>
      <c r="Q2811">
        <v>1</v>
      </c>
      <c r="R2811">
        <v>0</v>
      </c>
    </row>
    <row r="2812" spans="1:18" x14ac:dyDescent="0.25">
      <c r="A2812" t="s">
        <v>44</v>
      </c>
      <c r="B2812" t="s">
        <v>63</v>
      </c>
      <c r="C2812">
        <v>4</v>
      </c>
      <c r="D2812">
        <v>1</v>
      </c>
      <c r="E2812">
        <v>2</v>
      </c>
      <c r="F2812" s="15">
        <v>46034</v>
      </c>
      <c r="G2812" t="s">
        <v>304</v>
      </c>
      <c r="H2812">
        <v>4</v>
      </c>
      <c r="I2812">
        <v>2026</v>
      </c>
      <c r="J2812">
        <v>1</v>
      </c>
      <c r="K2812" t="s">
        <v>87</v>
      </c>
      <c r="L2812" t="s">
        <v>41</v>
      </c>
      <c r="M2812" t="s">
        <v>63</v>
      </c>
      <c r="N2812" t="b">
        <v>0</v>
      </c>
      <c r="O2812">
        <v>0</v>
      </c>
      <c r="P2812">
        <v>0</v>
      </c>
      <c r="Q2812">
        <v>1</v>
      </c>
      <c r="R2812">
        <v>0</v>
      </c>
    </row>
    <row r="2813" spans="1:18" x14ac:dyDescent="0.25">
      <c r="A2813" t="s">
        <v>44</v>
      </c>
      <c r="B2813" t="s">
        <v>63</v>
      </c>
      <c r="C2813">
        <v>4</v>
      </c>
      <c r="D2813">
        <v>1</v>
      </c>
      <c r="E2813">
        <v>2</v>
      </c>
      <c r="F2813" s="15">
        <v>46034</v>
      </c>
      <c r="G2813" t="s">
        <v>304</v>
      </c>
      <c r="H2813">
        <v>4</v>
      </c>
      <c r="I2813">
        <v>2026</v>
      </c>
      <c r="J2813">
        <v>1</v>
      </c>
      <c r="K2813" t="s">
        <v>87</v>
      </c>
      <c r="L2813" t="s">
        <v>326</v>
      </c>
      <c r="M2813" t="s">
        <v>63</v>
      </c>
      <c r="N2813" t="b">
        <v>0</v>
      </c>
      <c r="O2813">
        <v>0</v>
      </c>
      <c r="P2813">
        <v>0</v>
      </c>
      <c r="Q2813">
        <v>1</v>
      </c>
      <c r="R2813">
        <v>0</v>
      </c>
    </row>
    <row r="2814" spans="1:18" x14ac:dyDescent="0.25">
      <c r="A2814" t="s">
        <v>28</v>
      </c>
      <c r="B2814" t="s">
        <v>6</v>
      </c>
      <c r="C2814">
        <v>1</v>
      </c>
      <c r="D2814">
        <v>5</v>
      </c>
      <c r="E2814">
        <v>2</v>
      </c>
      <c r="F2814" s="15">
        <v>46062</v>
      </c>
      <c r="G2814" t="s">
        <v>362</v>
      </c>
      <c r="H2814">
        <v>3</v>
      </c>
      <c r="I2814">
        <v>2026</v>
      </c>
      <c r="J2814">
        <v>2</v>
      </c>
      <c r="K2814" t="s">
        <v>87</v>
      </c>
      <c r="L2814" t="s">
        <v>364</v>
      </c>
      <c r="M2814" t="s">
        <v>8</v>
      </c>
      <c r="N2814" t="b">
        <v>0</v>
      </c>
      <c r="O2814">
        <v>0</v>
      </c>
      <c r="P2814">
        <v>1</v>
      </c>
      <c r="Q2814">
        <v>0</v>
      </c>
      <c r="R2814">
        <v>1</v>
      </c>
    </row>
    <row r="2815" spans="1:18" x14ac:dyDescent="0.25">
      <c r="A2815" t="s">
        <v>28</v>
      </c>
      <c r="B2815" t="s">
        <v>6</v>
      </c>
      <c r="C2815">
        <v>1</v>
      </c>
      <c r="D2815">
        <v>5</v>
      </c>
      <c r="E2815">
        <v>2</v>
      </c>
      <c r="F2815" s="15">
        <v>46062</v>
      </c>
      <c r="G2815" t="s">
        <v>362</v>
      </c>
      <c r="H2815">
        <v>3</v>
      </c>
      <c r="I2815">
        <v>2026</v>
      </c>
      <c r="J2815">
        <v>2</v>
      </c>
      <c r="K2815" t="s">
        <v>87</v>
      </c>
      <c r="L2815" t="s">
        <v>433</v>
      </c>
      <c r="M2815" t="s">
        <v>6</v>
      </c>
      <c r="N2815" t="b">
        <v>0</v>
      </c>
      <c r="O2815">
        <v>0</v>
      </c>
      <c r="P2815">
        <v>1</v>
      </c>
      <c r="Q2815">
        <v>0</v>
      </c>
      <c r="R2815">
        <v>0</v>
      </c>
    </row>
    <row r="2816" spans="1:18" x14ac:dyDescent="0.25">
      <c r="A2816" t="s">
        <v>364</v>
      </c>
      <c r="B2816" t="s">
        <v>8</v>
      </c>
      <c r="C2816">
        <v>2</v>
      </c>
      <c r="D2816">
        <v>5</v>
      </c>
      <c r="E2816">
        <v>2</v>
      </c>
      <c r="F2816" s="15">
        <v>46062</v>
      </c>
      <c r="G2816" t="s">
        <v>362</v>
      </c>
      <c r="H2816">
        <v>3</v>
      </c>
      <c r="I2816">
        <v>2026</v>
      </c>
      <c r="J2816">
        <v>2</v>
      </c>
      <c r="K2816" t="s">
        <v>87</v>
      </c>
      <c r="L2816" t="s">
        <v>28</v>
      </c>
      <c r="M2816" t="s">
        <v>6</v>
      </c>
      <c r="N2816" t="b">
        <v>0</v>
      </c>
      <c r="O2816">
        <v>1</v>
      </c>
      <c r="P2816">
        <v>0</v>
      </c>
      <c r="Q2816">
        <v>0</v>
      </c>
      <c r="R2816">
        <v>0</v>
      </c>
    </row>
    <row r="2817" spans="1:18" x14ac:dyDescent="0.25">
      <c r="A2817" t="s">
        <v>364</v>
      </c>
      <c r="B2817" t="s">
        <v>8</v>
      </c>
      <c r="C2817">
        <v>2</v>
      </c>
      <c r="D2817">
        <v>5</v>
      </c>
      <c r="E2817">
        <v>2</v>
      </c>
      <c r="F2817" s="15">
        <v>46062</v>
      </c>
      <c r="G2817" t="s">
        <v>362</v>
      </c>
      <c r="H2817">
        <v>3</v>
      </c>
      <c r="I2817">
        <v>2026</v>
      </c>
      <c r="J2817">
        <v>2</v>
      </c>
      <c r="K2817" t="s">
        <v>87</v>
      </c>
      <c r="L2817" t="s">
        <v>433</v>
      </c>
      <c r="M2817" t="s">
        <v>6</v>
      </c>
      <c r="N2817" t="b">
        <v>0</v>
      </c>
      <c r="O2817">
        <v>1</v>
      </c>
      <c r="P2817">
        <v>0</v>
      </c>
      <c r="Q2817">
        <v>0</v>
      </c>
      <c r="R2817">
        <v>0</v>
      </c>
    </row>
    <row r="2818" spans="1:18" x14ac:dyDescent="0.25">
      <c r="A2818" t="s">
        <v>433</v>
      </c>
      <c r="B2818" t="s">
        <v>6</v>
      </c>
      <c r="C2818">
        <v>3</v>
      </c>
      <c r="D2818">
        <v>5</v>
      </c>
      <c r="E2818">
        <v>2</v>
      </c>
      <c r="F2818" s="15">
        <v>46062</v>
      </c>
      <c r="G2818" t="s">
        <v>362</v>
      </c>
      <c r="H2818">
        <v>3</v>
      </c>
      <c r="I2818">
        <v>2026</v>
      </c>
      <c r="J2818">
        <v>2</v>
      </c>
      <c r="K2818" t="s">
        <v>87</v>
      </c>
      <c r="L2818" t="s">
        <v>28</v>
      </c>
      <c r="M2818" t="s">
        <v>6</v>
      </c>
      <c r="N2818" t="b">
        <v>0</v>
      </c>
      <c r="O2818">
        <v>0</v>
      </c>
      <c r="P2818">
        <v>1</v>
      </c>
      <c r="Q2818">
        <v>0</v>
      </c>
      <c r="R2818">
        <v>0</v>
      </c>
    </row>
    <row r="2819" spans="1:18" x14ac:dyDescent="0.25">
      <c r="A2819" t="s">
        <v>433</v>
      </c>
      <c r="B2819" t="s">
        <v>6</v>
      </c>
      <c r="C2819">
        <v>3</v>
      </c>
      <c r="D2819">
        <v>5</v>
      </c>
      <c r="E2819">
        <v>2</v>
      </c>
      <c r="F2819" s="15">
        <v>46062</v>
      </c>
      <c r="G2819" t="s">
        <v>362</v>
      </c>
      <c r="H2819">
        <v>3</v>
      </c>
      <c r="I2819">
        <v>2026</v>
      </c>
      <c r="J2819">
        <v>2</v>
      </c>
      <c r="K2819" t="s">
        <v>87</v>
      </c>
      <c r="L2819" t="s">
        <v>364</v>
      </c>
      <c r="M2819" t="s">
        <v>8</v>
      </c>
      <c r="N2819" t="b">
        <v>0</v>
      </c>
      <c r="O2819">
        <v>0</v>
      </c>
      <c r="P2819">
        <v>1</v>
      </c>
      <c r="Q2819">
        <v>0</v>
      </c>
      <c r="R2819">
        <v>1</v>
      </c>
    </row>
    <row r="2820" spans="1:18" x14ac:dyDescent="0.25">
      <c r="A2820" t="s">
        <v>61</v>
      </c>
      <c r="B2820" t="s">
        <v>8</v>
      </c>
      <c r="C2820">
        <v>4</v>
      </c>
      <c r="D2820">
        <v>2</v>
      </c>
      <c r="E2820">
        <v>1</v>
      </c>
      <c r="F2820" s="15">
        <v>45964</v>
      </c>
      <c r="G2820" t="s">
        <v>156</v>
      </c>
      <c r="H2820">
        <v>5</v>
      </c>
      <c r="I2820">
        <v>2025</v>
      </c>
      <c r="J2820">
        <v>11</v>
      </c>
      <c r="K2820" t="s">
        <v>87</v>
      </c>
      <c r="L2820" t="s">
        <v>62</v>
      </c>
      <c r="M2820" t="s">
        <v>6</v>
      </c>
      <c r="N2820" t="b">
        <v>0</v>
      </c>
      <c r="O2820">
        <v>1</v>
      </c>
      <c r="P2820">
        <v>0</v>
      </c>
      <c r="Q2820">
        <v>0</v>
      </c>
      <c r="R2820">
        <v>0</v>
      </c>
    </row>
    <row r="2821" spans="1:18" x14ac:dyDescent="0.25">
      <c r="A2821" t="s">
        <v>61</v>
      </c>
      <c r="B2821" t="s">
        <v>8</v>
      </c>
      <c r="C2821">
        <v>4</v>
      </c>
      <c r="D2821">
        <v>2</v>
      </c>
      <c r="E2821">
        <v>1</v>
      </c>
      <c r="F2821" s="15">
        <v>45964</v>
      </c>
      <c r="G2821" t="s">
        <v>156</v>
      </c>
      <c r="H2821">
        <v>5</v>
      </c>
      <c r="I2821">
        <v>2025</v>
      </c>
      <c r="J2821">
        <v>11</v>
      </c>
      <c r="K2821" t="s">
        <v>87</v>
      </c>
      <c r="L2821" t="s">
        <v>16</v>
      </c>
      <c r="M2821" t="s">
        <v>6</v>
      </c>
      <c r="N2821" t="b">
        <v>0</v>
      </c>
      <c r="O2821">
        <v>1</v>
      </c>
      <c r="P2821">
        <v>0</v>
      </c>
      <c r="Q2821">
        <v>0</v>
      </c>
      <c r="R2821">
        <v>0</v>
      </c>
    </row>
    <row r="2822" spans="1:18" x14ac:dyDescent="0.25">
      <c r="A2822" t="s">
        <v>61</v>
      </c>
      <c r="B2822" t="s">
        <v>8</v>
      </c>
      <c r="C2822">
        <v>4</v>
      </c>
      <c r="D2822">
        <v>2</v>
      </c>
      <c r="E2822">
        <v>1</v>
      </c>
      <c r="F2822" s="15">
        <v>45964</v>
      </c>
      <c r="G2822" t="s">
        <v>156</v>
      </c>
      <c r="H2822">
        <v>5</v>
      </c>
      <c r="I2822">
        <v>2025</v>
      </c>
      <c r="J2822">
        <v>11</v>
      </c>
      <c r="K2822" t="s">
        <v>87</v>
      </c>
      <c r="L2822" t="s">
        <v>22</v>
      </c>
      <c r="M2822" t="s">
        <v>6</v>
      </c>
      <c r="N2822" t="b">
        <v>0</v>
      </c>
      <c r="O2822">
        <v>1</v>
      </c>
      <c r="P2822">
        <v>0</v>
      </c>
      <c r="Q2822">
        <v>0</v>
      </c>
      <c r="R2822">
        <v>0</v>
      </c>
    </row>
    <row r="2823" spans="1:18" x14ac:dyDescent="0.25">
      <c r="A2823" t="s">
        <v>61</v>
      </c>
      <c r="B2823" t="s">
        <v>8</v>
      </c>
      <c r="C2823">
        <v>4</v>
      </c>
      <c r="D2823">
        <v>2</v>
      </c>
      <c r="E2823">
        <v>1</v>
      </c>
      <c r="F2823" s="15">
        <v>45964</v>
      </c>
      <c r="G2823" t="s">
        <v>156</v>
      </c>
      <c r="H2823">
        <v>5</v>
      </c>
      <c r="I2823">
        <v>2025</v>
      </c>
      <c r="J2823">
        <v>11</v>
      </c>
      <c r="K2823" t="s">
        <v>87</v>
      </c>
      <c r="L2823" t="s">
        <v>18</v>
      </c>
      <c r="M2823" t="s">
        <v>6</v>
      </c>
      <c r="N2823" t="b">
        <v>0</v>
      </c>
      <c r="O2823">
        <v>1</v>
      </c>
      <c r="P2823">
        <v>0</v>
      </c>
      <c r="Q2823">
        <v>0</v>
      </c>
      <c r="R2823">
        <v>0</v>
      </c>
    </row>
    <row r="2824" spans="1:18" x14ac:dyDescent="0.25">
      <c r="A2824" t="s">
        <v>62</v>
      </c>
      <c r="B2824" t="s">
        <v>6</v>
      </c>
      <c r="C2824">
        <v>5</v>
      </c>
      <c r="D2824">
        <v>2</v>
      </c>
      <c r="E2824">
        <v>1</v>
      </c>
      <c r="F2824" s="15">
        <v>45964</v>
      </c>
      <c r="G2824" t="s">
        <v>156</v>
      </c>
      <c r="H2824">
        <v>5</v>
      </c>
      <c r="I2824">
        <v>2025</v>
      </c>
      <c r="J2824">
        <v>11</v>
      </c>
      <c r="K2824" t="s">
        <v>87</v>
      </c>
      <c r="L2824" t="s">
        <v>61</v>
      </c>
      <c r="M2824" t="s">
        <v>8</v>
      </c>
      <c r="N2824" t="b">
        <v>0</v>
      </c>
      <c r="O2824">
        <v>0</v>
      </c>
      <c r="P2824">
        <v>1</v>
      </c>
      <c r="Q2824">
        <v>0</v>
      </c>
      <c r="R2824">
        <v>1</v>
      </c>
    </row>
    <row r="2825" spans="1:18" x14ac:dyDescent="0.25">
      <c r="A2825" t="s">
        <v>62</v>
      </c>
      <c r="B2825" t="s">
        <v>6</v>
      </c>
      <c r="C2825">
        <v>5</v>
      </c>
      <c r="D2825">
        <v>2</v>
      </c>
      <c r="E2825">
        <v>1</v>
      </c>
      <c r="F2825" s="15">
        <v>45964</v>
      </c>
      <c r="G2825" t="s">
        <v>156</v>
      </c>
      <c r="H2825">
        <v>5</v>
      </c>
      <c r="I2825">
        <v>2025</v>
      </c>
      <c r="J2825">
        <v>11</v>
      </c>
      <c r="K2825" t="s">
        <v>87</v>
      </c>
      <c r="L2825" t="s">
        <v>16</v>
      </c>
      <c r="M2825" t="s">
        <v>6</v>
      </c>
      <c r="N2825" t="b">
        <v>0</v>
      </c>
      <c r="O2825">
        <v>0</v>
      </c>
      <c r="P2825">
        <v>1</v>
      </c>
      <c r="Q2825">
        <v>0</v>
      </c>
      <c r="R2825">
        <v>0</v>
      </c>
    </row>
    <row r="2826" spans="1:18" x14ac:dyDescent="0.25">
      <c r="A2826" t="s">
        <v>62</v>
      </c>
      <c r="B2826" t="s">
        <v>6</v>
      </c>
      <c r="C2826">
        <v>5</v>
      </c>
      <c r="D2826">
        <v>2</v>
      </c>
      <c r="E2826">
        <v>1</v>
      </c>
      <c r="F2826" s="15">
        <v>45964</v>
      </c>
      <c r="G2826" t="s">
        <v>156</v>
      </c>
      <c r="H2826">
        <v>5</v>
      </c>
      <c r="I2826">
        <v>2025</v>
      </c>
      <c r="J2826">
        <v>11</v>
      </c>
      <c r="K2826" t="s">
        <v>87</v>
      </c>
      <c r="L2826" t="s">
        <v>22</v>
      </c>
      <c r="M2826" t="s">
        <v>6</v>
      </c>
      <c r="N2826" t="b">
        <v>0</v>
      </c>
      <c r="O2826">
        <v>0</v>
      </c>
      <c r="P2826">
        <v>1</v>
      </c>
      <c r="Q2826">
        <v>0</v>
      </c>
      <c r="R2826">
        <v>0</v>
      </c>
    </row>
    <row r="2827" spans="1:18" x14ac:dyDescent="0.25">
      <c r="A2827" t="s">
        <v>62</v>
      </c>
      <c r="B2827" t="s">
        <v>6</v>
      </c>
      <c r="C2827">
        <v>5</v>
      </c>
      <c r="D2827">
        <v>2</v>
      </c>
      <c r="E2827">
        <v>1</v>
      </c>
      <c r="F2827" s="15">
        <v>45964</v>
      </c>
      <c r="G2827" t="s">
        <v>156</v>
      </c>
      <c r="H2827">
        <v>5</v>
      </c>
      <c r="I2827">
        <v>2025</v>
      </c>
      <c r="J2827">
        <v>11</v>
      </c>
      <c r="K2827" t="s">
        <v>87</v>
      </c>
      <c r="L2827" t="s">
        <v>18</v>
      </c>
      <c r="M2827" t="s">
        <v>6</v>
      </c>
      <c r="N2827" t="b">
        <v>0</v>
      </c>
      <c r="O2827">
        <v>0</v>
      </c>
      <c r="P2827">
        <v>1</v>
      </c>
      <c r="Q2827">
        <v>0</v>
      </c>
      <c r="R2827">
        <v>0</v>
      </c>
    </row>
    <row r="2828" spans="1:18" x14ac:dyDescent="0.25">
      <c r="A2828" t="s">
        <v>16</v>
      </c>
      <c r="B2828" t="s">
        <v>6</v>
      </c>
      <c r="C2828">
        <v>1</v>
      </c>
      <c r="D2828">
        <v>2</v>
      </c>
      <c r="E2828">
        <v>1</v>
      </c>
      <c r="F2828" s="15">
        <v>45964</v>
      </c>
      <c r="G2828" t="s">
        <v>156</v>
      </c>
      <c r="H2828">
        <v>5</v>
      </c>
      <c r="I2828">
        <v>2025</v>
      </c>
      <c r="J2828">
        <v>11</v>
      </c>
      <c r="K2828" t="s">
        <v>87</v>
      </c>
      <c r="L2828" t="s">
        <v>61</v>
      </c>
      <c r="M2828" t="s">
        <v>8</v>
      </c>
      <c r="N2828" t="b">
        <v>0</v>
      </c>
      <c r="O2828">
        <v>0</v>
      </c>
      <c r="P2828">
        <v>1</v>
      </c>
      <c r="Q2828">
        <v>0</v>
      </c>
      <c r="R2828">
        <v>1</v>
      </c>
    </row>
    <row r="2829" spans="1:18" x14ac:dyDescent="0.25">
      <c r="A2829" t="s">
        <v>16</v>
      </c>
      <c r="B2829" t="s">
        <v>6</v>
      </c>
      <c r="C2829">
        <v>1</v>
      </c>
      <c r="D2829">
        <v>2</v>
      </c>
      <c r="E2829">
        <v>1</v>
      </c>
      <c r="F2829" s="15">
        <v>45964</v>
      </c>
      <c r="G2829" t="s">
        <v>156</v>
      </c>
      <c r="H2829">
        <v>5</v>
      </c>
      <c r="I2829">
        <v>2025</v>
      </c>
      <c r="J2829">
        <v>11</v>
      </c>
      <c r="K2829" t="s">
        <v>87</v>
      </c>
      <c r="L2829" t="s">
        <v>62</v>
      </c>
      <c r="M2829" t="s">
        <v>6</v>
      </c>
      <c r="N2829" t="b">
        <v>0</v>
      </c>
      <c r="O2829">
        <v>0</v>
      </c>
      <c r="P2829">
        <v>1</v>
      </c>
      <c r="Q2829">
        <v>0</v>
      </c>
      <c r="R2829">
        <v>0</v>
      </c>
    </row>
    <row r="2830" spans="1:18" x14ac:dyDescent="0.25">
      <c r="A2830" t="s">
        <v>16</v>
      </c>
      <c r="B2830" t="s">
        <v>6</v>
      </c>
      <c r="C2830">
        <v>1</v>
      </c>
      <c r="D2830">
        <v>2</v>
      </c>
      <c r="E2830">
        <v>1</v>
      </c>
      <c r="F2830" s="15">
        <v>45964</v>
      </c>
      <c r="G2830" t="s">
        <v>156</v>
      </c>
      <c r="H2830">
        <v>5</v>
      </c>
      <c r="I2830">
        <v>2025</v>
      </c>
      <c r="J2830">
        <v>11</v>
      </c>
      <c r="K2830" t="s">
        <v>87</v>
      </c>
      <c r="L2830" t="s">
        <v>22</v>
      </c>
      <c r="M2830" t="s">
        <v>6</v>
      </c>
      <c r="N2830" t="b">
        <v>0</v>
      </c>
      <c r="O2830">
        <v>0</v>
      </c>
      <c r="P2830">
        <v>1</v>
      </c>
      <c r="Q2830">
        <v>0</v>
      </c>
      <c r="R2830">
        <v>0</v>
      </c>
    </row>
    <row r="2831" spans="1:18" x14ac:dyDescent="0.25">
      <c r="A2831" t="s">
        <v>16</v>
      </c>
      <c r="B2831" t="s">
        <v>6</v>
      </c>
      <c r="C2831">
        <v>1</v>
      </c>
      <c r="D2831">
        <v>2</v>
      </c>
      <c r="E2831">
        <v>1</v>
      </c>
      <c r="F2831" s="15">
        <v>45964</v>
      </c>
      <c r="G2831" t="s">
        <v>156</v>
      </c>
      <c r="H2831">
        <v>5</v>
      </c>
      <c r="I2831">
        <v>2025</v>
      </c>
      <c r="J2831">
        <v>11</v>
      </c>
      <c r="K2831" t="s">
        <v>87</v>
      </c>
      <c r="L2831" t="s">
        <v>18</v>
      </c>
      <c r="M2831" t="s">
        <v>6</v>
      </c>
      <c r="N2831" t="b">
        <v>0</v>
      </c>
      <c r="O2831">
        <v>0</v>
      </c>
      <c r="P2831">
        <v>1</v>
      </c>
      <c r="Q2831">
        <v>0</v>
      </c>
      <c r="R2831">
        <v>0</v>
      </c>
    </row>
    <row r="2832" spans="1:18" x14ac:dyDescent="0.25">
      <c r="A2832" t="s">
        <v>22</v>
      </c>
      <c r="B2832" t="s">
        <v>6</v>
      </c>
      <c r="C2832">
        <v>3</v>
      </c>
      <c r="D2832">
        <v>2</v>
      </c>
      <c r="E2832">
        <v>1</v>
      </c>
      <c r="F2832" s="15">
        <v>45964</v>
      </c>
      <c r="G2832" t="s">
        <v>156</v>
      </c>
      <c r="H2832">
        <v>5</v>
      </c>
      <c r="I2832">
        <v>2025</v>
      </c>
      <c r="J2832">
        <v>11</v>
      </c>
      <c r="K2832" t="s">
        <v>87</v>
      </c>
      <c r="L2832" t="s">
        <v>61</v>
      </c>
      <c r="M2832" t="s">
        <v>8</v>
      </c>
      <c r="N2832" t="b">
        <v>0</v>
      </c>
      <c r="O2832">
        <v>0</v>
      </c>
      <c r="P2832">
        <v>1</v>
      </c>
      <c r="Q2832">
        <v>0</v>
      </c>
      <c r="R2832">
        <v>1</v>
      </c>
    </row>
    <row r="2833" spans="1:18" x14ac:dyDescent="0.25">
      <c r="A2833" t="s">
        <v>22</v>
      </c>
      <c r="B2833" t="s">
        <v>6</v>
      </c>
      <c r="C2833">
        <v>3</v>
      </c>
      <c r="D2833">
        <v>2</v>
      </c>
      <c r="E2833">
        <v>1</v>
      </c>
      <c r="F2833" s="15">
        <v>45964</v>
      </c>
      <c r="G2833" t="s">
        <v>156</v>
      </c>
      <c r="H2833">
        <v>5</v>
      </c>
      <c r="I2833">
        <v>2025</v>
      </c>
      <c r="J2833">
        <v>11</v>
      </c>
      <c r="K2833" t="s">
        <v>87</v>
      </c>
      <c r="L2833" t="s">
        <v>62</v>
      </c>
      <c r="M2833" t="s">
        <v>6</v>
      </c>
      <c r="N2833" t="b">
        <v>0</v>
      </c>
      <c r="O2833">
        <v>0</v>
      </c>
      <c r="P2833">
        <v>1</v>
      </c>
      <c r="Q2833">
        <v>0</v>
      </c>
      <c r="R2833">
        <v>0</v>
      </c>
    </row>
    <row r="2834" spans="1:18" x14ac:dyDescent="0.25">
      <c r="A2834" t="s">
        <v>22</v>
      </c>
      <c r="B2834" t="s">
        <v>6</v>
      </c>
      <c r="C2834">
        <v>3</v>
      </c>
      <c r="D2834">
        <v>2</v>
      </c>
      <c r="E2834">
        <v>1</v>
      </c>
      <c r="F2834" s="15">
        <v>45964</v>
      </c>
      <c r="G2834" t="s">
        <v>156</v>
      </c>
      <c r="H2834">
        <v>5</v>
      </c>
      <c r="I2834">
        <v>2025</v>
      </c>
      <c r="J2834">
        <v>11</v>
      </c>
      <c r="K2834" t="s">
        <v>87</v>
      </c>
      <c r="L2834" t="s">
        <v>16</v>
      </c>
      <c r="M2834" t="s">
        <v>6</v>
      </c>
      <c r="N2834" t="b">
        <v>0</v>
      </c>
      <c r="O2834">
        <v>0</v>
      </c>
      <c r="P2834">
        <v>1</v>
      </c>
      <c r="Q2834">
        <v>0</v>
      </c>
      <c r="R2834">
        <v>0</v>
      </c>
    </row>
    <row r="2835" spans="1:18" x14ac:dyDescent="0.25">
      <c r="A2835" t="s">
        <v>22</v>
      </c>
      <c r="B2835" t="s">
        <v>6</v>
      </c>
      <c r="C2835">
        <v>3</v>
      </c>
      <c r="D2835">
        <v>2</v>
      </c>
      <c r="E2835">
        <v>1</v>
      </c>
      <c r="F2835" s="15">
        <v>45964</v>
      </c>
      <c r="G2835" t="s">
        <v>156</v>
      </c>
      <c r="H2835">
        <v>5</v>
      </c>
      <c r="I2835">
        <v>2025</v>
      </c>
      <c r="J2835">
        <v>11</v>
      </c>
      <c r="K2835" t="s">
        <v>87</v>
      </c>
      <c r="L2835" t="s">
        <v>18</v>
      </c>
      <c r="M2835" t="s">
        <v>6</v>
      </c>
      <c r="N2835" t="b">
        <v>0</v>
      </c>
      <c r="O2835">
        <v>0</v>
      </c>
      <c r="P2835">
        <v>1</v>
      </c>
      <c r="Q2835">
        <v>0</v>
      </c>
      <c r="R2835">
        <v>0</v>
      </c>
    </row>
    <row r="2836" spans="1:18" x14ac:dyDescent="0.25">
      <c r="A2836" t="s">
        <v>18</v>
      </c>
      <c r="B2836" t="s">
        <v>6</v>
      </c>
      <c r="C2836">
        <v>2</v>
      </c>
      <c r="D2836">
        <v>2</v>
      </c>
      <c r="E2836">
        <v>1</v>
      </c>
      <c r="F2836" s="15">
        <v>45964</v>
      </c>
      <c r="G2836" t="s">
        <v>156</v>
      </c>
      <c r="H2836">
        <v>5</v>
      </c>
      <c r="I2836">
        <v>2025</v>
      </c>
      <c r="J2836">
        <v>11</v>
      </c>
      <c r="K2836" t="s">
        <v>87</v>
      </c>
      <c r="L2836" t="s">
        <v>61</v>
      </c>
      <c r="M2836" t="s">
        <v>8</v>
      </c>
      <c r="N2836" t="b">
        <v>0</v>
      </c>
      <c r="O2836">
        <v>0</v>
      </c>
      <c r="P2836">
        <v>1</v>
      </c>
      <c r="Q2836">
        <v>0</v>
      </c>
      <c r="R2836">
        <v>1</v>
      </c>
    </row>
    <row r="2837" spans="1:18" x14ac:dyDescent="0.25">
      <c r="A2837" t="s">
        <v>18</v>
      </c>
      <c r="B2837" t="s">
        <v>6</v>
      </c>
      <c r="C2837">
        <v>2</v>
      </c>
      <c r="D2837">
        <v>2</v>
      </c>
      <c r="E2837">
        <v>1</v>
      </c>
      <c r="F2837" s="15">
        <v>45964</v>
      </c>
      <c r="G2837" t="s">
        <v>156</v>
      </c>
      <c r="H2837">
        <v>5</v>
      </c>
      <c r="I2837">
        <v>2025</v>
      </c>
      <c r="J2837">
        <v>11</v>
      </c>
      <c r="K2837" t="s">
        <v>87</v>
      </c>
      <c r="L2837" t="s">
        <v>62</v>
      </c>
      <c r="M2837" t="s">
        <v>6</v>
      </c>
      <c r="N2837" t="b">
        <v>0</v>
      </c>
      <c r="O2837">
        <v>0</v>
      </c>
      <c r="P2837">
        <v>1</v>
      </c>
      <c r="Q2837">
        <v>0</v>
      </c>
      <c r="R2837">
        <v>0</v>
      </c>
    </row>
    <row r="2838" spans="1:18" x14ac:dyDescent="0.25">
      <c r="A2838" t="s">
        <v>18</v>
      </c>
      <c r="B2838" t="s">
        <v>6</v>
      </c>
      <c r="C2838">
        <v>2</v>
      </c>
      <c r="D2838">
        <v>2</v>
      </c>
      <c r="E2838">
        <v>1</v>
      </c>
      <c r="F2838" s="15">
        <v>45964</v>
      </c>
      <c r="G2838" t="s">
        <v>156</v>
      </c>
      <c r="H2838">
        <v>5</v>
      </c>
      <c r="I2838">
        <v>2025</v>
      </c>
      <c r="J2838">
        <v>11</v>
      </c>
      <c r="K2838" t="s">
        <v>87</v>
      </c>
      <c r="L2838" t="s">
        <v>16</v>
      </c>
      <c r="M2838" t="s">
        <v>6</v>
      </c>
      <c r="N2838" t="b">
        <v>0</v>
      </c>
      <c r="O2838">
        <v>0</v>
      </c>
      <c r="P2838">
        <v>1</v>
      </c>
      <c r="Q2838">
        <v>0</v>
      </c>
      <c r="R2838">
        <v>0</v>
      </c>
    </row>
    <row r="2839" spans="1:18" x14ac:dyDescent="0.25">
      <c r="A2839" t="s">
        <v>18</v>
      </c>
      <c r="B2839" t="s">
        <v>6</v>
      </c>
      <c r="C2839">
        <v>2</v>
      </c>
      <c r="D2839">
        <v>2</v>
      </c>
      <c r="E2839">
        <v>1</v>
      </c>
      <c r="F2839" s="15">
        <v>45964</v>
      </c>
      <c r="G2839" t="s">
        <v>156</v>
      </c>
      <c r="H2839">
        <v>5</v>
      </c>
      <c r="I2839">
        <v>2025</v>
      </c>
      <c r="J2839">
        <v>11</v>
      </c>
      <c r="K2839" t="s">
        <v>87</v>
      </c>
      <c r="L2839" t="s">
        <v>22</v>
      </c>
      <c r="M2839" t="s">
        <v>6</v>
      </c>
      <c r="N2839" t="b">
        <v>0</v>
      </c>
      <c r="O2839">
        <v>0</v>
      </c>
      <c r="P2839">
        <v>1</v>
      </c>
      <c r="Q2839">
        <v>0</v>
      </c>
      <c r="R2839">
        <v>0</v>
      </c>
    </row>
    <row r="2840" spans="1:18" x14ac:dyDescent="0.25">
      <c r="A2840" t="s">
        <v>48</v>
      </c>
      <c r="B2840" t="s">
        <v>6</v>
      </c>
      <c r="C2840">
        <v>4</v>
      </c>
      <c r="D2840">
        <v>2</v>
      </c>
      <c r="E2840">
        <v>1</v>
      </c>
      <c r="F2840" s="15">
        <v>45894</v>
      </c>
      <c r="G2840" t="s">
        <v>147</v>
      </c>
      <c r="H2840">
        <v>5</v>
      </c>
      <c r="I2840">
        <v>2025</v>
      </c>
      <c r="J2840">
        <v>8</v>
      </c>
      <c r="K2840" t="s">
        <v>87</v>
      </c>
      <c r="L2840" t="s">
        <v>47</v>
      </c>
      <c r="M2840" t="s">
        <v>8</v>
      </c>
      <c r="N2840" t="b">
        <v>0</v>
      </c>
      <c r="O2840">
        <v>0</v>
      </c>
      <c r="P2840">
        <v>1</v>
      </c>
      <c r="Q2840">
        <v>0</v>
      </c>
      <c r="R2840">
        <v>1</v>
      </c>
    </row>
    <row r="2841" spans="1:18" x14ac:dyDescent="0.25">
      <c r="A2841" t="s">
        <v>48</v>
      </c>
      <c r="B2841" t="s">
        <v>6</v>
      </c>
      <c r="C2841">
        <v>4</v>
      </c>
      <c r="D2841">
        <v>2</v>
      </c>
      <c r="E2841">
        <v>1</v>
      </c>
      <c r="F2841" s="15">
        <v>45894</v>
      </c>
      <c r="G2841" t="s">
        <v>147</v>
      </c>
      <c r="H2841">
        <v>5</v>
      </c>
      <c r="I2841">
        <v>2025</v>
      </c>
      <c r="J2841">
        <v>8</v>
      </c>
      <c r="K2841" t="s">
        <v>87</v>
      </c>
      <c r="L2841" t="s">
        <v>11</v>
      </c>
      <c r="M2841" t="s">
        <v>6</v>
      </c>
      <c r="N2841" t="b">
        <v>0</v>
      </c>
      <c r="O2841">
        <v>0</v>
      </c>
      <c r="P2841">
        <v>1</v>
      </c>
      <c r="Q2841">
        <v>0</v>
      </c>
      <c r="R2841">
        <v>0</v>
      </c>
    </row>
    <row r="2842" spans="1:18" x14ac:dyDescent="0.25">
      <c r="A2842" t="s">
        <v>48</v>
      </c>
      <c r="B2842" t="s">
        <v>6</v>
      </c>
      <c r="C2842">
        <v>4</v>
      </c>
      <c r="D2842">
        <v>2</v>
      </c>
      <c r="E2842">
        <v>1</v>
      </c>
      <c r="F2842" s="15">
        <v>45894</v>
      </c>
      <c r="G2842" t="s">
        <v>147</v>
      </c>
      <c r="H2842">
        <v>5</v>
      </c>
      <c r="I2842">
        <v>2025</v>
      </c>
      <c r="J2842">
        <v>8</v>
      </c>
      <c r="K2842" t="s">
        <v>87</v>
      </c>
      <c r="L2842" t="s">
        <v>17</v>
      </c>
      <c r="M2842" t="s">
        <v>6</v>
      </c>
      <c r="N2842" t="b">
        <v>0</v>
      </c>
      <c r="O2842">
        <v>0</v>
      </c>
      <c r="P2842">
        <v>1</v>
      </c>
      <c r="Q2842">
        <v>0</v>
      </c>
      <c r="R2842">
        <v>0</v>
      </c>
    </row>
    <row r="2843" spans="1:18" x14ac:dyDescent="0.25">
      <c r="A2843" t="s">
        <v>48</v>
      </c>
      <c r="B2843" t="s">
        <v>6</v>
      </c>
      <c r="C2843">
        <v>4</v>
      </c>
      <c r="D2843">
        <v>2</v>
      </c>
      <c r="E2843">
        <v>1</v>
      </c>
      <c r="F2843" s="15">
        <v>45894</v>
      </c>
      <c r="G2843" t="s">
        <v>147</v>
      </c>
      <c r="H2843">
        <v>5</v>
      </c>
      <c r="I2843">
        <v>2025</v>
      </c>
      <c r="J2843">
        <v>8</v>
      </c>
      <c r="K2843" t="s">
        <v>87</v>
      </c>
      <c r="L2843" t="s">
        <v>352</v>
      </c>
      <c r="M2843" t="s">
        <v>6</v>
      </c>
      <c r="N2843" t="b">
        <v>0</v>
      </c>
      <c r="O2843">
        <v>0</v>
      </c>
      <c r="P2843">
        <v>1</v>
      </c>
      <c r="Q2843">
        <v>0</v>
      </c>
      <c r="R2843">
        <v>0</v>
      </c>
    </row>
    <row r="2844" spans="1:18" x14ac:dyDescent="0.25">
      <c r="A2844" t="s">
        <v>47</v>
      </c>
      <c r="B2844" t="s">
        <v>8</v>
      </c>
      <c r="C2844">
        <v>2</v>
      </c>
      <c r="D2844">
        <v>2</v>
      </c>
      <c r="E2844">
        <v>1</v>
      </c>
      <c r="F2844" s="15">
        <v>45894</v>
      </c>
      <c r="G2844" t="s">
        <v>147</v>
      </c>
      <c r="H2844">
        <v>5</v>
      </c>
      <c r="I2844">
        <v>2025</v>
      </c>
      <c r="J2844">
        <v>8</v>
      </c>
      <c r="K2844" t="s">
        <v>87</v>
      </c>
      <c r="L2844" t="s">
        <v>48</v>
      </c>
      <c r="M2844" t="s">
        <v>6</v>
      </c>
      <c r="N2844" t="b">
        <v>0</v>
      </c>
      <c r="O2844">
        <v>1</v>
      </c>
      <c r="P2844">
        <v>0</v>
      </c>
      <c r="Q2844">
        <v>0</v>
      </c>
      <c r="R2844">
        <v>0</v>
      </c>
    </row>
    <row r="2845" spans="1:18" x14ac:dyDescent="0.25">
      <c r="A2845" t="s">
        <v>47</v>
      </c>
      <c r="B2845" t="s">
        <v>8</v>
      </c>
      <c r="C2845">
        <v>2</v>
      </c>
      <c r="D2845">
        <v>2</v>
      </c>
      <c r="E2845">
        <v>1</v>
      </c>
      <c r="F2845" s="15">
        <v>45894</v>
      </c>
      <c r="G2845" t="s">
        <v>147</v>
      </c>
      <c r="H2845">
        <v>5</v>
      </c>
      <c r="I2845">
        <v>2025</v>
      </c>
      <c r="J2845">
        <v>8</v>
      </c>
      <c r="K2845" t="s">
        <v>87</v>
      </c>
      <c r="L2845" t="s">
        <v>11</v>
      </c>
      <c r="M2845" t="s">
        <v>6</v>
      </c>
      <c r="N2845" t="b">
        <v>0</v>
      </c>
      <c r="O2845">
        <v>1</v>
      </c>
      <c r="P2845">
        <v>0</v>
      </c>
      <c r="Q2845">
        <v>0</v>
      </c>
      <c r="R2845">
        <v>0</v>
      </c>
    </row>
    <row r="2846" spans="1:18" x14ac:dyDescent="0.25">
      <c r="A2846" t="s">
        <v>47</v>
      </c>
      <c r="B2846" t="s">
        <v>8</v>
      </c>
      <c r="C2846">
        <v>2</v>
      </c>
      <c r="D2846">
        <v>2</v>
      </c>
      <c r="E2846">
        <v>1</v>
      </c>
      <c r="F2846" s="15">
        <v>45894</v>
      </c>
      <c r="G2846" t="s">
        <v>147</v>
      </c>
      <c r="H2846">
        <v>5</v>
      </c>
      <c r="I2846">
        <v>2025</v>
      </c>
      <c r="J2846">
        <v>8</v>
      </c>
      <c r="K2846" t="s">
        <v>87</v>
      </c>
      <c r="L2846" t="s">
        <v>17</v>
      </c>
      <c r="M2846" t="s">
        <v>6</v>
      </c>
      <c r="N2846" t="b">
        <v>0</v>
      </c>
      <c r="O2846">
        <v>1</v>
      </c>
      <c r="P2846">
        <v>0</v>
      </c>
      <c r="Q2846">
        <v>0</v>
      </c>
      <c r="R2846">
        <v>0</v>
      </c>
    </row>
    <row r="2847" spans="1:18" x14ac:dyDescent="0.25">
      <c r="A2847" t="s">
        <v>47</v>
      </c>
      <c r="B2847" t="s">
        <v>8</v>
      </c>
      <c r="C2847">
        <v>2</v>
      </c>
      <c r="D2847">
        <v>2</v>
      </c>
      <c r="E2847">
        <v>1</v>
      </c>
      <c r="F2847" s="15">
        <v>45894</v>
      </c>
      <c r="G2847" t="s">
        <v>147</v>
      </c>
      <c r="H2847">
        <v>5</v>
      </c>
      <c r="I2847">
        <v>2025</v>
      </c>
      <c r="J2847">
        <v>8</v>
      </c>
      <c r="K2847" t="s">
        <v>87</v>
      </c>
      <c r="L2847" t="s">
        <v>352</v>
      </c>
      <c r="M2847" t="s">
        <v>6</v>
      </c>
      <c r="N2847" t="b">
        <v>0</v>
      </c>
      <c r="O2847">
        <v>1</v>
      </c>
      <c r="P2847">
        <v>0</v>
      </c>
      <c r="Q2847">
        <v>0</v>
      </c>
      <c r="R2847">
        <v>0</v>
      </c>
    </row>
    <row r="2848" spans="1:18" x14ac:dyDescent="0.25">
      <c r="A2848" t="s">
        <v>11</v>
      </c>
      <c r="B2848" t="s">
        <v>6</v>
      </c>
      <c r="C2848">
        <v>1</v>
      </c>
      <c r="D2848">
        <v>2</v>
      </c>
      <c r="E2848">
        <v>1</v>
      </c>
      <c r="F2848" s="15">
        <v>45894</v>
      </c>
      <c r="G2848" t="s">
        <v>147</v>
      </c>
      <c r="H2848">
        <v>5</v>
      </c>
      <c r="I2848">
        <v>2025</v>
      </c>
      <c r="J2848">
        <v>8</v>
      </c>
      <c r="K2848" t="s">
        <v>87</v>
      </c>
      <c r="L2848" t="s">
        <v>48</v>
      </c>
      <c r="M2848" t="s">
        <v>6</v>
      </c>
      <c r="N2848" t="b">
        <v>0</v>
      </c>
      <c r="O2848">
        <v>0</v>
      </c>
      <c r="P2848">
        <v>1</v>
      </c>
      <c r="Q2848">
        <v>0</v>
      </c>
      <c r="R2848">
        <v>0</v>
      </c>
    </row>
    <row r="2849" spans="1:18" x14ac:dyDescent="0.25">
      <c r="A2849" t="s">
        <v>11</v>
      </c>
      <c r="B2849" t="s">
        <v>6</v>
      </c>
      <c r="C2849">
        <v>1</v>
      </c>
      <c r="D2849">
        <v>2</v>
      </c>
      <c r="E2849">
        <v>1</v>
      </c>
      <c r="F2849" s="15">
        <v>45894</v>
      </c>
      <c r="G2849" t="s">
        <v>147</v>
      </c>
      <c r="H2849">
        <v>5</v>
      </c>
      <c r="I2849">
        <v>2025</v>
      </c>
      <c r="J2849">
        <v>8</v>
      </c>
      <c r="K2849" t="s">
        <v>87</v>
      </c>
      <c r="L2849" t="s">
        <v>47</v>
      </c>
      <c r="M2849" t="s">
        <v>8</v>
      </c>
      <c r="N2849" t="b">
        <v>0</v>
      </c>
      <c r="O2849">
        <v>0</v>
      </c>
      <c r="P2849">
        <v>1</v>
      </c>
      <c r="Q2849">
        <v>0</v>
      </c>
      <c r="R2849">
        <v>1</v>
      </c>
    </row>
    <row r="2850" spans="1:18" x14ac:dyDescent="0.25">
      <c r="A2850" t="s">
        <v>11</v>
      </c>
      <c r="B2850" t="s">
        <v>6</v>
      </c>
      <c r="C2850">
        <v>1</v>
      </c>
      <c r="D2850">
        <v>2</v>
      </c>
      <c r="E2850">
        <v>1</v>
      </c>
      <c r="F2850" s="15">
        <v>45894</v>
      </c>
      <c r="G2850" t="s">
        <v>147</v>
      </c>
      <c r="H2850">
        <v>5</v>
      </c>
      <c r="I2850">
        <v>2025</v>
      </c>
      <c r="J2850">
        <v>8</v>
      </c>
      <c r="K2850" t="s">
        <v>87</v>
      </c>
      <c r="L2850" t="s">
        <v>17</v>
      </c>
      <c r="M2850" t="s">
        <v>6</v>
      </c>
      <c r="N2850" t="b">
        <v>0</v>
      </c>
      <c r="O2850">
        <v>0</v>
      </c>
      <c r="P2850">
        <v>1</v>
      </c>
      <c r="Q2850">
        <v>0</v>
      </c>
      <c r="R2850">
        <v>0</v>
      </c>
    </row>
    <row r="2851" spans="1:18" x14ac:dyDescent="0.25">
      <c r="A2851" t="s">
        <v>11</v>
      </c>
      <c r="B2851" t="s">
        <v>6</v>
      </c>
      <c r="C2851">
        <v>1</v>
      </c>
      <c r="D2851">
        <v>2</v>
      </c>
      <c r="E2851">
        <v>1</v>
      </c>
      <c r="F2851" s="15">
        <v>45894</v>
      </c>
      <c r="G2851" t="s">
        <v>147</v>
      </c>
      <c r="H2851">
        <v>5</v>
      </c>
      <c r="I2851">
        <v>2025</v>
      </c>
      <c r="J2851">
        <v>8</v>
      </c>
      <c r="K2851" t="s">
        <v>87</v>
      </c>
      <c r="L2851" t="s">
        <v>352</v>
      </c>
      <c r="M2851" t="s">
        <v>6</v>
      </c>
      <c r="N2851" t="b">
        <v>0</v>
      </c>
      <c r="O2851">
        <v>0</v>
      </c>
      <c r="P2851">
        <v>1</v>
      </c>
      <c r="Q2851">
        <v>0</v>
      </c>
      <c r="R2851">
        <v>0</v>
      </c>
    </row>
    <row r="2852" spans="1:18" x14ac:dyDescent="0.25">
      <c r="A2852" t="s">
        <v>17</v>
      </c>
      <c r="B2852" t="s">
        <v>6</v>
      </c>
      <c r="C2852">
        <v>3</v>
      </c>
      <c r="D2852">
        <v>2</v>
      </c>
      <c r="E2852">
        <v>1</v>
      </c>
      <c r="F2852" s="15">
        <v>45894</v>
      </c>
      <c r="G2852" t="s">
        <v>147</v>
      </c>
      <c r="H2852">
        <v>5</v>
      </c>
      <c r="I2852">
        <v>2025</v>
      </c>
      <c r="J2852">
        <v>8</v>
      </c>
      <c r="K2852" t="s">
        <v>87</v>
      </c>
      <c r="L2852" t="s">
        <v>48</v>
      </c>
      <c r="M2852" t="s">
        <v>6</v>
      </c>
      <c r="N2852" t="b">
        <v>0</v>
      </c>
      <c r="O2852">
        <v>0</v>
      </c>
      <c r="P2852">
        <v>1</v>
      </c>
      <c r="Q2852">
        <v>0</v>
      </c>
      <c r="R2852">
        <v>0</v>
      </c>
    </row>
    <row r="2853" spans="1:18" x14ac:dyDescent="0.25">
      <c r="A2853" t="s">
        <v>17</v>
      </c>
      <c r="B2853" t="s">
        <v>6</v>
      </c>
      <c r="C2853">
        <v>3</v>
      </c>
      <c r="D2853">
        <v>2</v>
      </c>
      <c r="E2853">
        <v>1</v>
      </c>
      <c r="F2853" s="15">
        <v>45894</v>
      </c>
      <c r="G2853" t="s">
        <v>147</v>
      </c>
      <c r="H2853">
        <v>5</v>
      </c>
      <c r="I2853">
        <v>2025</v>
      </c>
      <c r="J2853">
        <v>8</v>
      </c>
      <c r="K2853" t="s">
        <v>87</v>
      </c>
      <c r="L2853" t="s">
        <v>47</v>
      </c>
      <c r="M2853" t="s">
        <v>8</v>
      </c>
      <c r="N2853" t="b">
        <v>0</v>
      </c>
      <c r="O2853">
        <v>0</v>
      </c>
      <c r="P2853">
        <v>1</v>
      </c>
      <c r="Q2853">
        <v>0</v>
      </c>
      <c r="R2853">
        <v>1</v>
      </c>
    </row>
    <row r="2854" spans="1:18" x14ac:dyDescent="0.25">
      <c r="A2854" t="s">
        <v>17</v>
      </c>
      <c r="B2854" t="s">
        <v>6</v>
      </c>
      <c r="C2854">
        <v>3</v>
      </c>
      <c r="D2854">
        <v>2</v>
      </c>
      <c r="E2854">
        <v>1</v>
      </c>
      <c r="F2854" s="15">
        <v>45894</v>
      </c>
      <c r="G2854" t="s">
        <v>147</v>
      </c>
      <c r="H2854">
        <v>5</v>
      </c>
      <c r="I2854">
        <v>2025</v>
      </c>
      <c r="J2854">
        <v>8</v>
      </c>
      <c r="K2854" t="s">
        <v>87</v>
      </c>
      <c r="L2854" t="s">
        <v>11</v>
      </c>
      <c r="M2854" t="s">
        <v>6</v>
      </c>
      <c r="N2854" t="b">
        <v>0</v>
      </c>
      <c r="O2854">
        <v>0</v>
      </c>
      <c r="P2854">
        <v>1</v>
      </c>
      <c r="Q2854">
        <v>0</v>
      </c>
      <c r="R2854">
        <v>0</v>
      </c>
    </row>
    <row r="2855" spans="1:18" x14ac:dyDescent="0.25">
      <c r="A2855" t="s">
        <v>17</v>
      </c>
      <c r="B2855" t="s">
        <v>6</v>
      </c>
      <c r="C2855">
        <v>3</v>
      </c>
      <c r="D2855">
        <v>2</v>
      </c>
      <c r="E2855">
        <v>1</v>
      </c>
      <c r="F2855" s="15">
        <v>45894</v>
      </c>
      <c r="G2855" t="s">
        <v>147</v>
      </c>
      <c r="H2855">
        <v>5</v>
      </c>
      <c r="I2855">
        <v>2025</v>
      </c>
      <c r="J2855">
        <v>8</v>
      </c>
      <c r="K2855" t="s">
        <v>87</v>
      </c>
      <c r="L2855" t="s">
        <v>352</v>
      </c>
      <c r="M2855" t="s">
        <v>6</v>
      </c>
      <c r="N2855" t="b">
        <v>0</v>
      </c>
      <c r="O2855">
        <v>0</v>
      </c>
      <c r="P2855">
        <v>1</v>
      </c>
      <c r="Q2855">
        <v>0</v>
      </c>
      <c r="R2855">
        <v>0</v>
      </c>
    </row>
    <row r="2856" spans="1:18" x14ac:dyDescent="0.25">
      <c r="A2856" t="s">
        <v>352</v>
      </c>
      <c r="B2856" t="s">
        <v>6</v>
      </c>
      <c r="C2856">
        <v>5</v>
      </c>
      <c r="D2856">
        <v>2</v>
      </c>
      <c r="E2856">
        <v>1</v>
      </c>
      <c r="F2856" s="15">
        <v>45894</v>
      </c>
      <c r="G2856" t="s">
        <v>147</v>
      </c>
      <c r="H2856">
        <v>5</v>
      </c>
      <c r="I2856">
        <v>2025</v>
      </c>
      <c r="J2856">
        <v>8</v>
      </c>
      <c r="K2856" t="s">
        <v>87</v>
      </c>
      <c r="L2856" t="s">
        <v>48</v>
      </c>
      <c r="M2856" t="s">
        <v>6</v>
      </c>
      <c r="N2856" t="b">
        <v>0</v>
      </c>
      <c r="O2856">
        <v>0</v>
      </c>
      <c r="P2856">
        <v>1</v>
      </c>
      <c r="Q2856">
        <v>0</v>
      </c>
      <c r="R2856">
        <v>0</v>
      </c>
    </row>
    <row r="2857" spans="1:18" x14ac:dyDescent="0.25">
      <c r="A2857" t="s">
        <v>352</v>
      </c>
      <c r="B2857" t="s">
        <v>6</v>
      </c>
      <c r="C2857">
        <v>5</v>
      </c>
      <c r="D2857">
        <v>2</v>
      </c>
      <c r="E2857">
        <v>1</v>
      </c>
      <c r="F2857" s="15">
        <v>45894</v>
      </c>
      <c r="G2857" t="s">
        <v>147</v>
      </c>
      <c r="H2857">
        <v>5</v>
      </c>
      <c r="I2857">
        <v>2025</v>
      </c>
      <c r="J2857">
        <v>8</v>
      </c>
      <c r="K2857" t="s">
        <v>87</v>
      </c>
      <c r="L2857" t="s">
        <v>47</v>
      </c>
      <c r="M2857" t="s">
        <v>8</v>
      </c>
      <c r="N2857" t="b">
        <v>0</v>
      </c>
      <c r="O2857">
        <v>0</v>
      </c>
      <c r="P2857">
        <v>1</v>
      </c>
      <c r="Q2857">
        <v>0</v>
      </c>
      <c r="R2857">
        <v>1</v>
      </c>
    </row>
    <row r="2858" spans="1:18" x14ac:dyDescent="0.25">
      <c r="A2858" t="s">
        <v>352</v>
      </c>
      <c r="B2858" t="s">
        <v>6</v>
      </c>
      <c r="C2858">
        <v>5</v>
      </c>
      <c r="D2858">
        <v>2</v>
      </c>
      <c r="E2858">
        <v>1</v>
      </c>
      <c r="F2858" s="15">
        <v>45894</v>
      </c>
      <c r="G2858" t="s">
        <v>147</v>
      </c>
      <c r="H2858">
        <v>5</v>
      </c>
      <c r="I2858">
        <v>2025</v>
      </c>
      <c r="J2858">
        <v>8</v>
      </c>
      <c r="K2858" t="s">
        <v>87</v>
      </c>
      <c r="L2858" t="s">
        <v>11</v>
      </c>
      <c r="M2858" t="s">
        <v>6</v>
      </c>
      <c r="N2858" t="b">
        <v>0</v>
      </c>
      <c r="O2858">
        <v>0</v>
      </c>
      <c r="P2858">
        <v>1</v>
      </c>
      <c r="Q2858">
        <v>0</v>
      </c>
      <c r="R2858">
        <v>0</v>
      </c>
    </row>
    <row r="2859" spans="1:18" x14ac:dyDescent="0.25">
      <c r="A2859" t="s">
        <v>352</v>
      </c>
      <c r="B2859" t="s">
        <v>6</v>
      </c>
      <c r="C2859">
        <v>5</v>
      </c>
      <c r="D2859">
        <v>2</v>
      </c>
      <c r="E2859">
        <v>1</v>
      </c>
      <c r="F2859" s="15">
        <v>45894</v>
      </c>
      <c r="G2859" t="s">
        <v>147</v>
      </c>
      <c r="H2859">
        <v>5</v>
      </c>
      <c r="I2859">
        <v>2025</v>
      </c>
      <c r="J2859">
        <v>8</v>
      </c>
      <c r="K2859" t="s">
        <v>87</v>
      </c>
      <c r="L2859" t="s">
        <v>17</v>
      </c>
      <c r="M2859" t="s">
        <v>6</v>
      </c>
      <c r="N2859" t="b">
        <v>0</v>
      </c>
      <c r="O2859">
        <v>0</v>
      </c>
      <c r="P2859">
        <v>1</v>
      </c>
      <c r="Q2859">
        <v>0</v>
      </c>
      <c r="R2859">
        <v>0</v>
      </c>
    </row>
    <row r="2860" spans="1:18" x14ac:dyDescent="0.25">
      <c r="A2860" t="s">
        <v>434</v>
      </c>
      <c r="B2860" t="s">
        <v>8</v>
      </c>
      <c r="C2860">
        <v>3</v>
      </c>
      <c r="D2860">
        <v>6</v>
      </c>
      <c r="E2860">
        <v>2</v>
      </c>
      <c r="F2860" s="15">
        <v>46034</v>
      </c>
      <c r="G2860" t="s">
        <v>309</v>
      </c>
      <c r="H2860">
        <v>4</v>
      </c>
      <c r="I2860">
        <v>2026</v>
      </c>
      <c r="J2860">
        <v>1</v>
      </c>
      <c r="K2860" t="s">
        <v>87</v>
      </c>
      <c r="L2860" t="s">
        <v>296</v>
      </c>
      <c r="M2860" t="s">
        <v>6</v>
      </c>
      <c r="N2860" t="b">
        <v>0</v>
      </c>
      <c r="O2860">
        <v>1</v>
      </c>
      <c r="P2860">
        <v>0</v>
      </c>
      <c r="Q2860">
        <v>0</v>
      </c>
      <c r="R2860">
        <v>0</v>
      </c>
    </row>
    <row r="2861" spans="1:18" x14ac:dyDescent="0.25">
      <c r="A2861" t="s">
        <v>434</v>
      </c>
      <c r="B2861" t="s">
        <v>8</v>
      </c>
      <c r="C2861">
        <v>3</v>
      </c>
      <c r="D2861">
        <v>6</v>
      </c>
      <c r="E2861">
        <v>2</v>
      </c>
      <c r="F2861" s="15">
        <v>46034</v>
      </c>
      <c r="G2861" t="s">
        <v>309</v>
      </c>
      <c r="H2861">
        <v>4</v>
      </c>
      <c r="I2861">
        <v>2026</v>
      </c>
      <c r="J2861">
        <v>1</v>
      </c>
      <c r="K2861" t="s">
        <v>87</v>
      </c>
      <c r="L2861" t="s">
        <v>22</v>
      </c>
      <c r="M2861" t="s">
        <v>6</v>
      </c>
      <c r="N2861" t="b">
        <v>0</v>
      </c>
      <c r="O2861">
        <v>1</v>
      </c>
      <c r="P2861">
        <v>0</v>
      </c>
      <c r="Q2861">
        <v>0</v>
      </c>
      <c r="R2861">
        <v>0</v>
      </c>
    </row>
    <row r="2862" spans="1:18" x14ac:dyDescent="0.25">
      <c r="A2862" t="s">
        <v>434</v>
      </c>
      <c r="B2862" t="s">
        <v>8</v>
      </c>
      <c r="C2862">
        <v>3</v>
      </c>
      <c r="D2862">
        <v>6</v>
      </c>
      <c r="E2862">
        <v>2</v>
      </c>
      <c r="F2862" s="15">
        <v>46034</v>
      </c>
      <c r="G2862" t="s">
        <v>309</v>
      </c>
      <c r="H2862">
        <v>4</v>
      </c>
      <c r="I2862">
        <v>2026</v>
      </c>
      <c r="J2862">
        <v>1</v>
      </c>
      <c r="K2862" t="s">
        <v>87</v>
      </c>
      <c r="L2862" t="s">
        <v>9</v>
      </c>
      <c r="M2862" t="s">
        <v>6</v>
      </c>
      <c r="N2862" t="b">
        <v>0</v>
      </c>
      <c r="O2862">
        <v>1</v>
      </c>
      <c r="P2862">
        <v>0</v>
      </c>
      <c r="Q2862">
        <v>0</v>
      </c>
      <c r="R2862">
        <v>0</v>
      </c>
    </row>
    <row r="2863" spans="1:18" x14ac:dyDescent="0.25">
      <c r="A2863" t="s">
        <v>296</v>
      </c>
      <c r="B2863" t="s">
        <v>6</v>
      </c>
      <c r="C2863">
        <v>2</v>
      </c>
      <c r="D2863">
        <v>6</v>
      </c>
      <c r="E2863">
        <v>2</v>
      </c>
      <c r="F2863" s="15">
        <v>46034</v>
      </c>
      <c r="G2863" t="s">
        <v>309</v>
      </c>
      <c r="H2863">
        <v>4</v>
      </c>
      <c r="I2863">
        <v>2026</v>
      </c>
      <c r="J2863">
        <v>1</v>
      </c>
      <c r="K2863" t="s">
        <v>87</v>
      </c>
      <c r="L2863" t="s">
        <v>434</v>
      </c>
      <c r="M2863" t="s">
        <v>8</v>
      </c>
      <c r="N2863" t="b">
        <v>0</v>
      </c>
      <c r="O2863">
        <v>0</v>
      </c>
      <c r="P2863">
        <v>1</v>
      </c>
      <c r="Q2863">
        <v>0</v>
      </c>
      <c r="R2863">
        <v>1</v>
      </c>
    </row>
    <row r="2864" spans="1:18" x14ac:dyDescent="0.25">
      <c r="A2864" t="s">
        <v>296</v>
      </c>
      <c r="B2864" t="s">
        <v>6</v>
      </c>
      <c r="C2864">
        <v>2</v>
      </c>
      <c r="D2864">
        <v>6</v>
      </c>
      <c r="E2864">
        <v>2</v>
      </c>
      <c r="F2864" s="15">
        <v>46034</v>
      </c>
      <c r="G2864" t="s">
        <v>309</v>
      </c>
      <c r="H2864">
        <v>4</v>
      </c>
      <c r="I2864">
        <v>2026</v>
      </c>
      <c r="J2864">
        <v>1</v>
      </c>
      <c r="K2864" t="s">
        <v>87</v>
      </c>
      <c r="L2864" t="s">
        <v>22</v>
      </c>
      <c r="M2864" t="s">
        <v>6</v>
      </c>
      <c r="N2864" t="b">
        <v>0</v>
      </c>
      <c r="O2864">
        <v>0</v>
      </c>
      <c r="P2864">
        <v>1</v>
      </c>
      <c r="Q2864">
        <v>0</v>
      </c>
      <c r="R2864">
        <v>0</v>
      </c>
    </row>
    <row r="2865" spans="1:18" x14ac:dyDescent="0.25">
      <c r="A2865" t="s">
        <v>296</v>
      </c>
      <c r="B2865" t="s">
        <v>6</v>
      </c>
      <c r="C2865">
        <v>2</v>
      </c>
      <c r="D2865">
        <v>6</v>
      </c>
      <c r="E2865">
        <v>2</v>
      </c>
      <c r="F2865" s="15">
        <v>46034</v>
      </c>
      <c r="G2865" t="s">
        <v>309</v>
      </c>
      <c r="H2865">
        <v>4</v>
      </c>
      <c r="I2865">
        <v>2026</v>
      </c>
      <c r="J2865">
        <v>1</v>
      </c>
      <c r="K2865" t="s">
        <v>87</v>
      </c>
      <c r="L2865" t="s">
        <v>9</v>
      </c>
      <c r="M2865" t="s">
        <v>6</v>
      </c>
      <c r="N2865" t="b">
        <v>0</v>
      </c>
      <c r="O2865">
        <v>0</v>
      </c>
      <c r="P2865">
        <v>1</v>
      </c>
      <c r="Q2865">
        <v>0</v>
      </c>
      <c r="R2865">
        <v>0</v>
      </c>
    </row>
    <row r="2866" spans="1:18" x14ac:dyDescent="0.25">
      <c r="A2866" t="s">
        <v>22</v>
      </c>
      <c r="B2866" t="s">
        <v>6</v>
      </c>
      <c r="C2866">
        <v>4</v>
      </c>
      <c r="D2866">
        <v>6</v>
      </c>
      <c r="E2866">
        <v>2</v>
      </c>
      <c r="F2866" s="15">
        <v>46034</v>
      </c>
      <c r="G2866" t="s">
        <v>309</v>
      </c>
      <c r="H2866">
        <v>4</v>
      </c>
      <c r="I2866">
        <v>2026</v>
      </c>
      <c r="J2866">
        <v>1</v>
      </c>
      <c r="K2866" t="s">
        <v>87</v>
      </c>
      <c r="L2866" t="s">
        <v>434</v>
      </c>
      <c r="M2866" t="s">
        <v>8</v>
      </c>
      <c r="N2866" t="b">
        <v>0</v>
      </c>
      <c r="O2866">
        <v>0</v>
      </c>
      <c r="P2866">
        <v>1</v>
      </c>
      <c r="Q2866">
        <v>0</v>
      </c>
      <c r="R2866">
        <v>1</v>
      </c>
    </row>
    <row r="2867" spans="1:18" x14ac:dyDescent="0.25">
      <c r="A2867" t="s">
        <v>22</v>
      </c>
      <c r="B2867" t="s">
        <v>6</v>
      </c>
      <c r="C2867">
        <v>4</v>
      </c>
      <c r="D2867">
        <v>6</v>
      </c>
      <c r="E2867">
        <v>2</v>
      </c>
      <c r="F2867" s="15">
        <v>46034</v>
      </c>
      <c r="G2867" t="s">
        <v>309</v>
      </c>
      <c r="H2867">
        <v>4</v>
      </c>
      <c r="I2867">
        <v>2026</v>
      </c>
      <c r="J2867">
        <v>1</v>
      </c>
      <c r="K2867" t="s">
        <v>87</v>
      </c>
      <c r="L2867" t="s">
        <v>296</v>
      </c>
      <c r="M2867" t="s">
        <v>6</v>
      </c>
      <c r="N2867" t="b">
        <v>0</v>
      </c>
      <c r="O2867">
        <v>0</v>
      </c>
      <c r="P2867">
        <v>1</v>
      </c>
      <c r="Q2867">
        <v>0</v>
      </c>
      <c r="R2867">
        <v>0</v>
      </c>
    </row>
    <row r="2868" spans="1:18" x14ac:dyDescent="0.25">
      <c r="A2868" t="s">
        <v>22</v>
      </c>
      <c r="B2868" t="s">
        <v>6</v>
      </c>
      <c r="C2868">
        <v>4</v>
      </c>
      <c r="D2868">
        <v>6</v>
      </c>
      <c r="E2868">
        <v>2</v>
      </c>
      <c r="F2868" s="15">
        <v>46034</v>
      </c>
      <c r="G2868" t="s">
        <v>309</v>
      </c>
      <c r="H2868">
        <v>4</v>
      </c>
      <c r="I2868">
        <v>2026</v>
      </c>
      <c r="J2868">
        <v>1</v>
      </c>
      <c r="K2868" t="s">
        <v>87</v>
      </c>
      <c r="L2868" t="s">
        <v>9</v>
      </c>
      <c r="M2868" t="s">
        <v>6</v>
      </c>
      <c r="N2868" t="b">
        <v>0</v>
      </c>
      <c r="O2868">
        <v>0</v>
      </c>
      <c r="P2868">
        <v>1</v>
      </c>
      <c r="Q2868">
        <v>0</v>
      </c>
      <c r="R2868">
        <v>0</v>
      </c>
    </row>
    <row r="2869" spans="1:18" x14ac:dyDescent="0.25">
      <c r="A2869" t="s">
        <v>9</v>
      </c>
      <c r="B2869" t="s">
        <v>6</v>
      </c>
      <c r="C2869">
        <v>1</v>
      </c>
      <c r="D2869">
        <v>6</v>
      </c>
      <c r="E2869">
        <v>2</v>
      </c>
      <c r="F2869" s="15">
        <v>46034</v>
      </c>
      <c r="G2869" t="s">
        <v>309</v>
      </c>
      <c r="H2869">
        <v>4</v>
      </c>
      <c r="I2869">
        <v>2026</v>
      </c>
      <c r="J2869">
        <v>1</v>
      </c>
      <c r="K2869" t="s">
        <v>87</v>
      </c>
      <c r="L2869" t="s">
        <v>434</v>
      </c>
      <c r="M2869" t="s">
        <v>8</v>
      </c>
      <c r="N2869" t="b">
        <v>0</v>
      </c>
      <c r="O2869">
        <v>0</v>
      </c>
      <c r="P2869">
        <v>1</v>
      </c>
      <c r="Q2869">
        <v>0</v>
      </c>
      <c r="R2869">
        <v>1</v>
      </c>
    </row>
    <row r="2870" spans="1:18" x14ac:dyDescent="0.25">
      <c r="A2870" t="s">
        <v>9</v>
      </c>
      <c r="B2870" t="s">
        <v>6</v>
      </c>
      <c r="C2870">
        <v>1</v>
      </c>
      <c r="D2870">
        <v>6</v>
      </c>
      <c r="E2870">
        <v>2</v>
      </c>
      <c r="F2870" s="15">
        <v>46034</v>
      </c>
      <c r="G2870" t="s">
        <v>309</v>
      </c>
      <c r="H2870">
        <v>4</v>
      </c>
      <c r="I2870">
        <v>2026</v>
      </c>
      <c r="J2870">
        <v>1</v>
      </c>
      <c r="K2870" t="s">
        <v>87</v>
      </c>
      <c r="L2870" t="s">
        <v>296</v>
      </c>
      <c r="M2870" t="s">
        <v>6</v>
      </c>
      <c r="N2870" t="b">
        <v>0</v>
      </c>
      <c r="O2870">
        <v>0</v>
      </c>
      <c r="P2870">
        <v>1</v>
      </c>
      <c r="Q2870">
        <v>0</v>
      </c>
      <c r="R2870">
        <v>0</v>
      </c>
    </row>
    <row r="2871" spans="1:18" x14ac:dyDescent="0.25">
      <c r="A2871" t="s">
        <v>9</v>
      </c>
      <c r="B2871" t="s">
        <v>6</v>
      </c>
      <c r="C2871">
        <v>1</v>
      </c>
      <c r="D2871">
        <v>6</v>
      </c>
      <c r="E2871">
        <v>2</v>
      </c>
      <c r="F2871" s="15">
        <v>46034</v>
      </c>
      <c r="G2871" t="s">
        <v>309</v>
      </c>
      <c r="H2871">
        <v>4</v>
      </c>
      <c r="I2871">
        <v>2026</v>
      </c>
      <c r="J2871">
        <v>1</v>
      </c>
      <c r="K2871" t="s">
        <v>87</v>
      </c>
      <c r="L2871" t="s">
        <v>22</v>
      </c>
      <c r="M2871" t="s">
        <v>6</v>
      </c>
      <c r="N2871" t="b">
        <v>0</v>
      </c>
      <c r="O2871">
        <v>0</v>
      </c>
      <c r="P2871">
        <v>1</v>
      </c>
      <c r="Q2871">
        <v>0</v>
      </c>
      <c r="R2871">
        <v>0</v>
      </c>
    </row>
    <row r="2872" spans="1:18" x14ac:dyDescent="0.25">
      <c r="A2872" t="s">
        <v>364</v>
      </c>
      <c r="B2872" t="s">
        <v>63</v>
      </c>
      <c r="C2872">
        <v>3</v>
      </c>
      <c r="D2872">
        <v>1</v>
      </c>
      <c r="E2872">
        <v>1</v>
      </c>
      <c r="F2872" s="15">
        <v>46048</v>
      </c>
      <c r="G2872" t="s">
        <v>327</v>
      </c>
      <c r="H2872">
        <v>4</v>
      </c>
      <c r="I2872">
        <v>2026</v>
      </c>
      <c r="J2872">
        <v>1</v>
      </c>
      <c r="K2872" t="s">
        <v>87</v>
      </c>
      <c r="L2872" t="s">
        <v>433</v>
      </c>
      <c r="M2872" t="s">
        <v>63</v>
      </c>
      <c r="N2872" t="b">
        <v>0</v>
      </c>
      <c r="O2872">
        <v>0</v>
      </c>
      <c r="P2872">
        <v>0</v>
      </c>
      <c r="Q2872">
        <v>1</v>
      </c>
      <c r="R2872">
        <v>0</v>
      </c>
    </row>
    <row r="2873" spans="1:18" x14ac:dyDescent="0.25">
      <c r="A2873" t="s">
        <v>364</v>
      </c>
      <c r="B2873" t="s">
        <v>63</v>
      </c>
      <c r="C2873">
        <v>3</v>
      </c>
      <c r="D2873">
        <v>1</v>
      </c>
      <c r="E2873">
        <v>1</v>
      </c>
      <c r="F2873" s="15">
        <v>46048</v>
      </c>
      <c r="G2873" t="s">
        <v>327</v>
      </c>
      <c r="H2873">
        <v>4</v>
      </c>
      <c r="I2873">
        <v>2026</v>
      </c>
      <c r="J2873">
        <v>1</v>
      </c>
      <c r="K2873" t="s">
        <v>87</v>
      </c>
      <c r="L2873" t="s">
        <v>11</v>
      </c>
      <c r="M2873" t="s">
        <v>63</v>
      </c>
      <c r="N2873" t="b">
        <v>0</v>
      </c>
      <c r="O2873">
        <v>0</v>
      </c>
      <c r="P2873">
        <v>0</v>
      </c>
      <c r="Q2873">
        <v>1</v>
      </c>
      <c r="R2873">
        <v>0</v>
      </c>
    </row>
    <row r="2874" spans="1:18" x14ac:dyDescent="0.25">
      <c r="A2874" t="s">
        <v>364</v>
      </c>
      <c r="B2874" t="s">
        <v>63</v>
      </c>
      <c r="C2874">
        <v>3</v>
      </c>
      <c r="D2874">
        <v>1</v>
      </c>
      <c r="E2874">
        <v>1</v>
      </c>
      <c r="F2874" s="15">
        <v>46048</v>
      </c>
      <c r="G2874" t="s">
        <v>327</v>
      </c>
      <c r="H2874">
        <v>4</v>
      </c>
      <c r="I2874">
        <v>2026</v>
      </c>
      <c r="J2874">
        <v>1</v>
      </c>
      <c r="K2874" t="s">
        <v>87</v>
      </c>
      <c r="L2874" t="s">
        <v>17</v>
      </c>
      <c r="M2874" t="s">
        <v>63</v>
      </c>
      <c r="N2874" t="b">
        <v>0</v>
      </c>
      <c r="O2874">
        <v>0</v>
      </c>
      <c r="P2874">
        <v>0</v>
      </c>
      <c r="Q2874">
        <v>1</v>
      </c>
      <c r="R2874">
        <v>0</v>
      </c>
    </row>
    <row r="2875" spans="1:18" x14ac:dyDescent="0.25">
      <c r="A2875" t="s">
        <v>433</v>
      </c>
      <c r="B2875" t="s">
        <v>63</v>
      </c>
      <c r="C2875">
        <v>1</v>
      </c>
      <c r="D2875">
        <v>1</v>
      </c>
      <c r="E2875">
        <v>1</v>
      </c>
      <c r="F2875" s="15">
        <v>46048</v>
      </c>
      <c r="G2875" t="s">
        <v>327</v>
      </c>
      <c r="H2875">
        <v>4</v>
      </c>
      <c r="I2875">
        <v>2026</v>
      </c>
      <c r="J2875">
        <v>1</v>
      </c>
      <c r="K2875" t="s">
        <v>87</v>
      </c>
      <c r="L2875" t="s">
        <v>364</v>
      </c>
      <c r="M2875" t="s">
        <v>63</v>
      </c>
      <c r="N2875" t="b">
        <v>0</v>
      </c>
      <c r="O2875">
        <v>0</v>
      </c>
      <c r="P2875">
        <v>0</v>
      </c>
      <c r="Q2875">
        <v>1</v>
      </c>
      <c r="R2875">
        <v>0</v>
      </c>
    </row>
    <row r="2876" spans="1:18" x14ac:dyDescent="0.25">
      <c r="A2876" t="s">
        <v>433</v>
      </c>
      <c r="B2876" t="s">
        <v>63</v>
      </c>
      <c r="C2876">
        <v>1</v>
      </c>
      <c r="D2876">
        <v>1</v>
      </c>
      <c r="E2876">
        <v>1</v>
      </c>
      <c r="F2876" s="15">
        <v>46048</v>
      </c>
      <c r="G2876" t="s">
        <v>327</v>
      </c>
      <c r="H2876">
        <v>4</v>
      </c>
      <c r="I2876">
        <v>2026</v>
      </c>
      <c r="J2876">
        <v>1</v>
      </c>
      <c r="K2876" t="s">
        <v>87</v>
      </c>
      <c r="L2876" t="s">
        <v>11</v>
      </c>
      <c r="M2876" t="s">
        <v>63</v>
      </c>
      <c r="N2876" t="b">
        <v>0</v>
      </c>
      <c r="O2876">
        <v>0</v>
      </c>
      <c r="P2876">
        <v>0</v>
      </c>
      <c r="Q2876">
        <v>1</v>
      </c>
      <c r="R2876">
        <v>0</v>
      </c>
    </row>
    <row r="2877" spans="1:18" x14ac:dyDescent="0.25">
      <c r="A2877" t="s">
        <v>433</v>
      </c>
      <c r="B2877" t="s">
        <v>63</v>
      </c>
      <c r="C2877">
        <v>1</v>
      </c>
      <c r="D2877">
        <v>1</v>
      </c>
      <c r="E2877">
        <v>1</v>
      </c>
      <c r="F2877" s="15">
        <v>46048</v>
      </c>
      <c r="G2877" t="s">
        <v>327</v>
      </c>
      <c r="H2877">
        <v>4</v>
      </c>
      <c r="I2877">
        <v>2026</v>
      </c>
      <c r="J2877">
        <v>1</v>
      </c>
      <c r="K2877" t="s">
        <v>87</v>
      </c>
      <c r="L2877" t="s">
        <v>17</v>
      </c>
      <c r="M2877" t="s">
        <v>63</v>
      </c>
      <c r="N2877" t="b">
        <v>0</v>
      </c>
      <c r="O2877">
        <v>0</v>
      </c>
      <c r="P2877">
        <v>0</v>
      </c>
      <c r="Q2877">
        <v>1</v>
      </c>
      <c r="R2877">
        <v>0</v>
      </c>
    </row>
    <row r="2878" spans="1:18" x14ac:dyDescent="0.25">
      <c r="A2878" t="s">
        <v>11</v>
      </c>
      <c r="B2878" t="s">
        <v>63</v>
      </c>
      <c r="C2878">
        <v>2</v>
      </c>
      <c r="D2878">
        <v>1</v>
      </c>
      <c r="E2878">
        <v>1</v>
      </c>
      <c r="F2878" s="15">
        <v>46048</v>
      </c>
      <c r="G2878" t="s">
        <v>327</v>
      </c>
      <c r="H2878">
        <v>4</v>
      </c>
      <c r="I2878">
        <v>2026</v>
      </c>
      <c r="J2878">
        <v>1</v>
      </c>
      <c r="K2878" t="s">
        <v>87</v>
      </c>
      <c r="L2878" t="s">
        <v>364</v>
      </c>
      <c r="M2878" t="s">
        <v>63</v>
      </c>
      <c r="N2878" t="b">
        <v>0</v>
      </c>
      <c r="O2878">
        <v>0</v>
      </c>
      <c r="P2878">
        <v>0</v>
      </c>
      <c r="Q2878">
        <v>1</v>
      </c>
      <c r="R2878">
        <v>0</v>
      </c>
    </row>
    <row r="2879" spans="1:18" x14ac:dyDescent="0.25">
      <c r="A2879" t="s">
        <v>11</v>
      </c>
      <c r="B2879" t="s">
        <v>63</v>
      </c>
      <c r="C2879">
        <v>2</v>
      </c>
      <c r="D2879">
        <v>1</v>
      </c>
      <c r="E2879">
        <v>1</v>
      </c>
      <c r="F2879" s="15">
        <v>46048</v>
      </c>
      <c r="G2879" t="s">
        <v>327</v>
      </c>
      <c r="H2879">
        <v>4</v>
      </c>
      <c r="I2879">
        <v>2026</v>
      </c>
      <c r="J2879">
        <v>1</v>
      </c>
      <c r="K2879" t="s">
        <v>87</v>
      </c>
      <c r="L2879" t="s">
        <v>433</v>
      </c>
      <c r="M2879" t="s">
        <v>63</v>
      </c>
      <c r="N2879" t="b">
        <v>0</v>
      </c>
      <c r="O2879">
        <v>0</v>
      </c>
      <c r="P2879">
        <v>0</v>
      </c>
      <c r="Q2879">
        <v>1</v>
      </c>
      <c r="R2879">
        <v>0</v>
      </c>
    </row>
    <row r="2880" spans="1:18" x14ac:dyDescent="0.25">
      <c r="A2880" t="s">
        <v>11</v>
      </c>
      <c r="B2880" t="s">
        <v>63</v>
      </c>
      <c r="C2880">
        <v>2</v>
      </c>
      <c r="D2880">
        <v>1</v>
      </c>
      <c r="E2880">
        <v>1</v>
      </c>
      <c r="F2880" s="15">
        <v>46048</v>
      </c>
      <c r="G2880" t="s">
        <v>327</v>
      </c>
      <c r="H2880">
        <v>4</v>
      </c>
      <c r="I2880">
        <v>2026</v>
      </c>
      <c r="J2880">
        <v>1</v>
      </c>
      <c r="K2880" t="s">
        <v>87</v>
      </c>
      <c r="L2880" t="s">
        <v>17</v>
      </c>
      <c r="M2880" t="s">
        <v>63</v>
      </c>
      <c r="N2880" t="b">
        <v>0</v>
      </c>
      <c r="O2880">
        <v>0</v>
      </c>
      <c r="P2880">
        <v>0</v>
      </c>
      <c r="Q2880">
        <v>1</v>
      </c>
      <c r="R2880">
        <v>0</v>
      </c>
    </row>
    <row r="2881" spans="1:18" x14ac:dyDescent="0.25">
      <c r="A2881" t="s">
        <v>17</v>
      </c>
      <c r="B2881" t="s">
        <v>63</v>
      </c>
      <c r="C2881">
        <v>4</v>
      </c>
      <c r="D2881">
        <v>1</v>
      </c>
      <c r="E2881">
        <v>1</v>
      </c>
      <c r="F2881" s="15">
        <v>46048</v>
      </c>
      <c r="G2881" t="s">
        <v>327</v>
      </c>
      <c r="H2881">
        <v>4</v>
      </c>
      <c r="I2881">
        <v>2026</v>
      </c>
      <c r="J2881">
        <v>1</v>
      </c>
      <c r="K2881" t="s">
        <v>87</v>
      </c>
      <c r="L2881" t="s">
        <v>364</v>
      </c>
      <c r="M2881" t="s">
        <v>63</v>
      </c>
      <c r="N2881" t="b">
        <v>0</v>
      </c>
      <c r="O2881">
        <v>0</v>
      </c>
      <c r="P2881">
        <v>0</v>
      </c>
      <c r="Q2881">
        <v>1</v>
      </c>
      <c r="R2881">
        <v>0</v>
      </c>
    </row>
    <row r="2882" spans="1:18" x14ac:dyDescent="0.25">
      <c r="A2882" t="s">
        <v>17</v>
      </c>
      <c r="B2882" t="s">
        <v>63</v>
      </c>
      <c r="C2882">
        <v>4</v>
      </c>
      <c r="D2882">
        <v>1</v>
      </c>
      <c r="E2882">
        <v>1</v>
      </c>
      <c r="F2882" s="15">
        <v>46048</v>
      </c>
      <c r="G2882" t="s">
        <v>327</v>
      </c>
      <c r="H2882">
        <v>4</v>
      </c>
      <c r="I2882">
        <v>2026</v>
      </c>
      <c r="J2882">
        <v>1</v>
      </c>
      <c r="K2882" t="s">
        <v>87</v>
      </c>
      <c r="L2882" t="s">
        <v>433</v>
      </c>
      <c r="M2882" t="s">
        <v>63</v>
      </c>
      <c r="N2882" t="b">
        <v>0</v>
      </c>
      <c r="O2882">
        <v>0</v>
      </c>
      <c r="P2882">
        <v>0</v>
      </c>
      <c r="Q2882">
        <v>1</v>
      </c>
      <c r="R2882">
        <v>0</v>
      </c>
    </row>
    <row r="2883" spans="1:18" x14ac:dyDescent="0.25">
      <c r="A2883" t="s">
        <v>17</v>
      </c>
      <c r="B2883" t="s">
        <v>63</v>
      </c>
      <c r="C2883">
        <v>4</v>
      </c>
      <c r="D2883">
        <v>1</v>
      </c>
      <c r="E2883">
        <v>1</v>
      </c>
      <c r="F2883" s="15">
        <v>46048</v>
      </c>
      <c r="G2883" t="s">
        <v>327</v>
      </c>
      <c r="H2883">
        <v>4</v>
      </c>
      <c r="I2883">
        <v>2026</v>
      </c>
      <c r="J2883">
        <v>1</v>
      </c>
      <c r="K2883" t="s">
        <v>87</v>
      </c>
      <c r="L2883" t="s">
        <v>11</v>
      </c>
      <c r="M2883" t="s">
        <v>63</v>
      </c>
      <c r="N2883" t="b">
        <v>0</v>
      </c>
      <c r="O2883">
        <v>0</v>
      </c>
      <c r="P2883">
        <v>0</v>
      </c>
      <c r="Q2883">
        <v>1</v>
      </c>
      <c r="R2883">
        <v>0</v>
      </c>
    </row>
    <row r="2884" spans="1:18" x14ac:dyDescent="0.25">
      <c r="A2884" t="s">
        <v>41</v>
      </c>
      <c r="B2884" t="s">
        <v>8</v>
      </c>
      <c r="C2884">
        <v>1</v>
      </c>
      <c r="D2884">
        <v>1</v>
      </c>
      <c r="E2884">
        <v>2</v>
      </c>
      <c r="F2884" s="15">
        <v>45887</v>
      </c>
      <c r="G2884" t="s">
        <v>122</v>
      </c>
      <c r="H2884">
        <v>3</v>
      </c>
      <c r="I2884">
        <v>2025</v>
      </c>
      <c r="J2884">
        <v>8</v>
      </c>
      <c r="K2884" t="s">
        <v>87</v>
      </c>
      <c r="L2884" t="s">
        <v>12</v>
      </c>
      <c r="M2884" t="s">
        <v>6</v>
      </c>
      <c r="N2884" t="b">
        <v>0</v>
      </c>
      <c r="O2884">
        <v>1</v>
      </c>
      <c r="P2884">
        <v>0</v>
      </c>
      <c r="Q2884">
        <v>0</v>
      </c>
      <c r="R2884">
        <v>0</v>
      </c>
    </row>
    <row r="2885" spans="1:18" x14ac:dyDescent="0.25">
      <c r="A2885" t="s">
        <v>41</v>
      </c>
      <c r="B2885" t="s">
        <v>8</v>
      </c>
      <c r="C2885">
        <v>1</v>
      </c>
      <c r="D2885">
        <v>1</v>
      </c>
      <c r="E2885">
        <v>2</v>
      </c>
      <c r="F2885" s="15">
        <v>45887</v>
      </c>
      <c r="G2885" t="s">
        <v>122</v>
      </c>
      <c r="H2885">
        <v>3</v>
      </c>
      <c r="I2885">
        <v>2025</v>
      </c>
      <c r="J2885">
        <v>8</v>
      </c>
      <c r="K2885" t="s">
        <v>87</v>
      </c>
      <c r="L2885" t="s">
        <v>9</v>
      </c>
      <c r="M2885" t="s">
        <v>6</v>
      </c>
      <c r="N2885" t="b">
        <v>0</v>
      </c>
      <c r="O2885">
        <v>1</v>
      </c>
      <c r="P2885">
        <v>0</v>
      </c>
      <c r="Q2885">
        <v>0</v>
      </c>
      <c r="R2885">
        <v>0</v>
      </c>
    </row>
    <row r="2886" spans="1:18" x14ac:dyDescent="0.25">
      <c r="A2886" t="s">
        <v>12</v>
      </c>
      <c r="B2886" t="s">
        <v>6</v>
      </c>
      <c r="C2886">
        <v>2</v>
      </c>
      <c r="D2886">
        <v>1</v>
      </c>
      <c r="E2886">
        <v>2</v>
      </c>
      <c r="F2886" s="15">
        <v>45887</v>
      </c>
      <c r="G2886" t="s">
        <v>122</v>
      </c>
      <c r="H2886">
        <v>3</v>
      </c>
      <c r="I2886">
        <v>2025</v>
      </c>
      <c r="J2886">
        <v>8</v>
      </c>
      <c r="K2886" t="s">
        <v>87</v>
      </c>
      <c r="L2886" t="s">
        <v>41</v>
      </c>
      <c r="M2886" t="s">
        <v>8</v>
      </c>
      <c r="N2886" t="b">
        <v>0</v>
      </c>
      <c r="O2886">
        <v>0</v>
      </c>
      <c r="P2886">
        <v>1</v>
      </c>
      <c r="Q2886">
        <v>0</v>
      </c>
      <c r="R2886">
        <v>1</v>
      </c>
    </row>
    <row r="2887" spans="1:18" x14ac:dyDescent="0.25">
      <c r="A2887" t="s">
        <v>12</v>
      </c>
      <c r="B2887" t="s">
        <v>6</v>
      </c>
      <c r="C2887">
        <v>2</v>
      </c>
      <c r="D2887">
        <v>1</v>
      </c>
      <c r="E2887">
        <v>2</v>
      </c>
      <c r="F2887" s="15">
        <v>45887</v>
      </c>
      <c r="G2887" t="s">
        <v>122</v>
      </c>
      <c r="H2887">
        <v>3</v>
      </c>
      <c r="I2887">
        <v>2025</v>
      </c>
      <c r="J2887">
        <v>8</v>
      </c>
      <c r="K2887" t="s">
        <v>87</v>
      </c>
      <c r="L2887" t="s">
        <v>9</v>
      </c>
      <c r="M2887" t="s">
        <v>6</v>
      </c>
      <c r="N2887" t="b">
        <v>0</v>
      </c>
      <c r="O2887">
        <v>0</v>
      </c>
      <c r="P2887">
        <v>1</v>
      </c>
      <c r="Q2887">
        <v>0</v>
      </c>
      <c r="R2887">
        <v>0</v>
      </c>
    </row>
    <row r="2888" spans="1:18" x14ac:dyDescent="0.25">
      <c r="A2888" t="s">
        <v>9</v>
      </c>
      <c r="B2888" t="s">
        <v>6</v>
      </c>
      <c r="C2888">
        <v>3</v>
      </c>
      <c r="D2888">
        <v>1</v>
      </c>
      <c r="E2888">
        <v>2</v>
      </c>
      <c r="F2888" s="15">
        <v>45887</v>
      </c>
      <c r="G2888" t="s">
        <v>122</v>
      </c>
      <c r="H2888">
        <v>3</v>
      </c>
      <c r="I2888">
        <v>2025</v>
      </c>
      <c r="J2888">
        <v>8</v>
      </c>
      <c r="K2888" t="s">
        <v>87</v>
      </c>
      <c r="L2888" t="s">
        <v>41</v>
      </c>
      <c r="M2888" t="s">
        <v>8</v>
      </c>
      <c r="N2888" t="b">
        <v>0</v>
      </c>
      <c r="O2888">
        <v>0</v>
      </c>
      <c r="P2888">
        <v>1</v>
      </c>
      <c r="Q2888">
        <v>0</v>
      </c>
      <c r="R2888">
        <v>1</v>
      </c>
    </row>
    <row r="2889" spans="1:18" x14ac:dyDescent="0.25">
      <c r="A2889" t="s">
        <v>9</v>
      </c>
      <c r="B2889" t="s">
        <v>6</v>
      </c>
      <c r="C2889">
        <v>3</v>
      </c>
      <c r="D2889">
        <v>1</v>
      </c>
      <c r="E2889">
        <v>2</v>
      </c>
      <c r="F2889" s="15">
        <v>45887</v>
      </c>
      <c r="G2889" t="s">
        <v>122</v>
      </c>
      <c r="H2889">
        <v>3</v>
      </c>
      <c r="I2889">
        <v>2025</v>
      </c>
      <c r="J2889">
        <v>8</v>
      </c>
      <c r="K2889" t="s">
        <v>87</v>
      </c>
      <c r="L2889" t="s">
        <v>12</v>
      </c>
      <c r="M2889" t="s">
        <v>6</v>
      </c>
      <c r="N2889" t="b">
        <v>0</v>
      </c>
      <c r="O2889">
        <v>0</v>
      </c>
      <c r="P2889">
        <v>1</v>
      </c>
      <c r="Q2889">
        <v>0</v>
      </c>
      <c r="R2889">
        <v>0</v>
      </c>
    </row>
    <row r="2890" spans="1:18" x14ac:dyDescent="0.25">
      <c r="A2890" t="s">
        <v>41</v>
      </c>
      <c r="B2890" t="s">
        <v>6</v>
      </c>
      <c r="C2890">
        <v>5</v>
      </c>
      <c r="D2890">
        <v>3</v>
      </c>
      <c r="E2890">
        <v>1</v>
      </c>
      <c r="F2890" s="15">
        <v>45957</v>
      </c>
      <c r="G2890" t="s">
        <v>203</v>
      </c>
      <c r="H2890">
        <v>5</v>
      </c>
      <c r="I2890">
        <v>2025</v>
      </c>
      <c r="J2890">
        <v>10</v>
      </c>
      <c r="K2890" t="s">
        <v>87</v>
      </c>
      <c r="L2890" t="s">
        <v>42</v>
      </c>
      <c r="M2890" t="s">
        <v>6</v>
      </c>
      <c r="N2890" t="b">
        <v>0</v>
      </c>
      <c r="O2890">
        <v>0</v>
      </c>
      <c r="P2890">
        <v>1</v>
      </c>
      <c r="Q2890">
        <v>0</v>
      </c>
      <c r="R2890">
        <v>0</v>
      </c>
    </row>
    <row r="2891" spans="1:18" x14ac:dyDescent="0.25">
      <c r="A2891" t="s">
        <v>41</v>
      </c>
      <c r="B2891" t="s">
        <v>6</v>
      </c>
      <c r="C2891">
        <v>5</v>
      </c>
      <c r="D2891">
        <v>3</v>
      </c>
      <c r="E2891">
        <v>1</v>
      </c>
      <c r="F2891" s="15">
        <v>45957</v>
      </c>
      <c r="G2891" t="s">
        <v>203</v>
      </c>
      <c r="H2891">
        <v>5</v>
      </c>
      <c r="I2891">
        <v>2025</v>
      </c>
      <c r="J2891">
        <v>10</v>
      </c>
      <c r="K2891" t="s">
        <v>87</v>
      </c>
      <c r="L2891" t="s">
        <v>16</v>
      </c>
      <c r="M2891" t="s">
        <v>6</v>
      </c>
      <c r="N2891" t="b">
        <v>0</v>
      </c>
      <c r="O2891">
        <v>0</v>
      </c>
      <c r="P2891">
        <v>1</v>
      </c>
      <c r="Q2891">
        <v>0</v>
      </c>
      <c r="R2891">
        <v>0</v>
      </c>
    </row>
    <row r="2892" spans="1:18" x14ac:dyDescent="0.25">
      <c r="A2892" t="s">
        <v>41</v>
      </c>
      <c r="B2892" t="s">
        <v>6</v>
      </c>
      <c r="C2892">
        <v>5</v>
      </c>
      <c r="D2892">
        <v>3</v>
      </c>
      <c r="E2892">
        <v>1</v>
      </c>
      <c r="F2892" s="15">
        <v>45957</v>
      </c>
      <c r="G2892" t="s">
        <v>203</v>
      </c>
      <c r="H2892">
        <v>5</v>
      </c>
      <c r="I2892">
        <v>2025</v>
      </c>
      <c r="J2892">
        <v>10</v>
      </c>
      <c r="K2892" t="s">
        <v>87</v>
      </c>
      <c r="L2892" t="s">
        <v>11</v>
      </c>
      <c r="M2892" t="s">
        <v>8</v>
      </c>
      <c r="N2892" t="b">
        <v>0</v>
      </c>
      <c r="O2892">
        <v>0</v>
      </c>
      <c r="P2892">
        <v>1</v>
      </c>
      <c r="Q2892">
        <v>0</v>
      </c>
      <c r="R2892">
        <v>1</v>
      </c>
    </row>
    <row r="2893" spans="1:18" x14ac:dyDescent="0.25">
      <c r="A2893" t="s">
        <v>41</v>
      </c>
      <c r="B2893" t="s">
        <v>6</v>
      </c>
      <c r="C2893">
        <v>5</v>
      </c>
      <c r="D2893">
        <v>3</v>
      </c>
      <c r="E2893">
        <v>1</v>
      </c>
      <c r="F2893" s="15">
        <v>45957</v>
      </c>
      <c r="G2893" t="s">
        <v>203</v>
      </c>
      <c r="H2893">
        <v>5</v>
      </c>
      <c r="I2893">
        <v>2025</v>
      </c>
      <c r="J2893">
        <v>10</v>
      </c>
      <c r="K2893" t="s">
        <v>87</v>
      </c>
      <c r="L2893" t="s">
        <v>22</v>
      </c>
      <c r="M2893" t="s">
        <v>6</v>
      </c>
      <c r="N2893" t="b">
        <v>0</v>
      </c>
      <c r="O2893">
        <v>0</v>
      </c>
      <c r="P2893">
        <v>1</v>
      </c>
      <c r="Q2893">
        <v>0</v>
      </c>
      <c r="R2893">
        <v>0</v>
      </c>
    </row>
    <row r="2894" spans="1:18" x14ac:dyDescent="0.25">
      <c r="A2894" t="s">
        <v>42</v>
      </c>
      <c r="B2894" t="s">
        <v>6</v>
      </c>
      <c r="C2894">
        <v>4</v>
      </c>
      <c r="D2894">
        <v>3</v>
      </c>
      <c r="E2894">
        <v>1</v>
      </c>
      <c r="F2894" s="15">
        <v>45957</v>
      </c>
      <c r="G2894" t="s">
        <v>203</v>
      </c>
      <c r="H2894">
        <v>5</v>
      </c>
      <c r="I2894">
        <v>2025</v>
      </c>
      <c r="J2894">
        <v>10</v>
      </c>
      <c r="K2894" t="s">
        <v>87</v>
      </c>
      <c r="L2894" t="s">
        <v>41</v>
      </c>
      <c r="M2894" t="s">
        <v>6</v>
      </c>
      <c r="N2894" t="b">
        <v>0</v>
      </c>
      <c r="O2894">
        <v>0</v>
      </c>
      <c r="P2894">
        <v>1</v>
      </c>
      <c r="Q2894">
        <v>0</v>
      </c>
      <c r="R2894">
        <v>0</v>
      </c>
    </row>
    <row r="2895" spans="1:18" x14ac:dyDescent="0.25">
      <c r="A2895" t="s">
        <v>42</v>
      </c>
      <c r="B2895" t="s">
        <v>6</v>
      </c>
      <c r="C2895">
        <v>4</v>
      </c>
      <c r="D2895">
        <v>3</v>
      </c>
      <c r="E2895">
        <v>1</v>
      </c>
      <c r="F2895" s="15">
        <v>45957</v>
      </c>
      <c r="G2895" t="s">
        <v>203</v>
      </c>
      <c r="H2895">
        <v>5</v>
      </c>
      <c r="I2895">
        <v>2025</v>
      </c>
      <c r="J2895">
        <v>10</v>
      </c>
      <c r="K2895" t="s">
        <v>87</v>
      </c>
      <c r="L2895" t="s">
        <v>16</v>
      </c>
      <c r="M2895" t="s">
        <v>6</v>
      </c>
      <c r="N2895" t="b">
        <v>0</v>
      </c>
      <c r="O2895">
        <v>0</v>
      </c>
      <c r="P2895">
        <v>1</v>
      </c>
      <c r="Q2895">
        <v>0</v>
      </c>
      <c r="R2895">
        <v>0</v>
      </c>
    </row>
    <row r="2896" spans="1:18" x14ac:dyDescent="0.25">
      <c r="A2896" t="s">
        <v>42</v>
      </c>
      <c r="B2896" t="s">
        <v>6</v>
      </c>
      <c r="C2896">
        <v>4</v>
      </c>
      <c r="D2896">
        <v>3</v>
      </c>
      <c r="E2896">
        <v>1</v>
      </c>
      <c r="F2896" s="15">
        <v>45957</v>
      </c>
      <c r="G2896" t="s">
        <v>203</v>
      </c>
      <c r="H2896">
        <v>5</v>
      </c>
      <c r="I2896">
        <v>2025</v>
      </c>
      <c r="J2896">
        <v>10</v>
      </c>
      <c r="K2896" t="s">
        <v>87</v>
      </c>
      <c r="L2896" t="s">
        <v>11</v>
      </c>
      <c r="M2896" t="s">
        <v>8</v>
      </c>
      <c r="N2896" t="b">
        <v>0</v>
      </c>
      <c r="O2896">
        <v>0</v>
      </c>
      <c r="P2896">
        <v>1</v>
      </c>
      <c r="Q2896">
        <v>0</v>
      </c>
      <c r="R2896">
        <v>1</v>
      </c>
    </row>
    <row r="2897" spans="1:18" x14ac:dyDescent="0.25">
      <c r="A2897" t="s">
        <v>42</v>
      </c>
      <c r="B2897" t="s">
        <v>6</v>
      </c>
      <c r="C2897">
        <v>4</v>
      </c>
      <c r="D2897">
        <v>3</v>
      </c>
      <c r="E2897">
        <v>1</v>
      </c>
      <c r="F2897" s="15">
        <v>45957</v>
      </c>
      <c r="G2897" t="s">
        <v>203</v>
      </c>
      <c r="H2897">
        <v>5</v>
      </c>
      <c r="I2897">
        <v>2025</v>
      </c>
      <c r="J2897">
        <v>10</v>
      </c>
      <c r="K2897" t="s">
        <v>87</v>
      </c>
      <c r="L2897" t="s">
        <v>22</v>
      </c>
      <c r="M2897" t="s">
        <v>6</v>
      </c>
      <c r="N2897" t="b">
        <v>0</v>
      </c>
      <c r="O2897">
        <v>0</v>
      </c>
      <c r="P2897">
        <v>1</v>
      </c>
      <c r="Q2897">
        <v>0</v>
      </c>
      <c r="R2897">
        <v>0</v>
      </c>
    </row>
    <row r="2898" spans="1:18" x14ac:dyDescent="0.25">
      <c r="A2898" t="s">
        <v>16</v>
      </c>
      <c r="B2898" t="s">
        <v>6</v>
      </c>
      <c r="C2898">
        <v>1</v>
      </c>
      <c r="D2898">
        <v>3</v>
      </c>
      <c r="E2898">
        <v>1</v>
      </c>
      <c r="F2898" s="15">
        <v>45957</v>
      </c>
      <c r="G2898" t="s">
        <v>203</v>
      </c>
      <c r="H2898">
        <v>5</v>
      </c>
      <c r="I2898">
        <v>2025</v>
      </c>
      <c r="J2898">
        <v>10</v>
      </c>
      <c r="K2898" t="s">
        <v>87</v>
      </c>
      <c r="L2898" t="s">
        <v>41</v>
      </c>
      <c r="M2898" t="s">
        <v>6</v>
      </c>
      <c r="N2898" t="b">
        <v>0</v>
      </c>
      <c r="O2898">
        <v>0</v>
      </c>
      <c r="P2898">
        <v>1</v>
      </c>
      <c r="Q2898">
        <v>0</v>
      </c>
      <c r="R2898">
        <v>0</v>
      </c>
    </row>
    <row r="2899" spans="1:18" x14ac:dyDescent="0.25">
      <c r="A2899" t="s">
        <v>16</v>
      </c>
      <c r="B2899" t="s">
        <v>6</v>
      </c>
      <c r="C2899">
        <v>1</v>
      </c>
      <c r="D2899">
        <v>3</v>
      </c>
      <c r="E2899">
        <v>1</v>
      </c>
      <c r="F2899" s="15">
        <v>45957</v>
      </c>
      <c r="G2899" t="s">
        <v>203</v>
      </c>
      <c r="H2899">
        <v>5</v>
      </c>
      <c r="I2899">
        <v>2025</v>
      </c>
      <c r="J2899">
        <v>10</v>
      </c>
      <c r="K2899" t="s">
        <v>87</v>
      </c>
      <c r="L2899" t="s">
        <v>42</v>
      </c>
      <c r="M2899" t="s">
        <v>6</v>
      </c>
      <c r="N2899" t="b">
        <v>0</v>
      </c>
      <c r="O2899">
        <v>0</v>
      </c>
      <c r="P2899">
        <v>1</v>
      </c>
      <c r="Q2899">
        <v>0</v>
      </c>
      <c r="R2899">
        <v>0</v>
      </c>
    </row>
    <row r="2900" spans="1:18" x14ac:dyDescent="0.25">
      <c r="A2900" t="s">
        <v>16</v>
      </c>
      <c r="B2900" t="s">
        <v>6</v>
      </c>
      <c r="C2900">
        <v>1</v>
      </c>
      <c r="D2900">
        <v>3</v>
      </c>
      <c r="E2900">
        <v>1</v>
      </c>
      <c r="F2900" s="15">
        <v>45957</v>
      </c>
      <c r="G2900" t="s">
        <v>203</v>
      </c>
      <c r="H2900">
        <v>5</v>
      </c>
      <c r="I2900">
        <v>2025</v>
      </c>
      <c r="J2900">
        <v>10</v>
      </c>
      <c r="K2900" t="s">
        <v>87</v>
      </c>
      <c r="L2900" t="s">
        <v>11</v>
      </c>
      <c r="M2900" t="s">
        <v>8</v>
      </c>
      <c r="N2900" t="b">
        <v>0</v>
      </c>
      <c r="O2900">
        <v>0</v>
      </c>
      <c r="P2900">
        <v>1</v>
      </c>
      <c r="Q2900">
        <v>0</v>
      </c>
      <c r="R2900">
        <v>1</v>
      </c>
    </row>
    <row r="2901" spans="1:18" x14ac:dyDescent="0.25">
      <c r="A2901" t="s">
        <v>16</v>
      </c>
      <c r="B2901" t="s">
        <v>6</v>
      </c>
      <c r="C2901">
        <v>1</v>
      </c>
      <c r="D2901">
        <v>3</v>
      </c>
      <c r="E2901">
        <v>1</v>
      </c>
      <c r="F2901" s="15">
        <v>45957</v>
      </c>
      <c r="G2901" t="s">
        <v>203</v>
      </c>
      <c r="H2901">
        <v>5</v>
      </c>
      <c r="I2901">
        <v>2025</v>
      </c>
      <c r="J2901">
        <v>10</v>
      </c>
      <c r="K2901" t="s">
        <v>87</v>
      </c>
      <c r="L2901" t="s">
        <v>22</v>
      </c>
      <c r="M2901" t="s">
        <v>6</v>
      </c>
      <c r="N2901" t="b">
        <v>0</v>
      </c>
      <c r="O2901">
        <v>0</v>
      </c>
      <c r="P2901">
        <v>1</v>
      </c>
      <c r="Q2901">
        <v>0</v>
      </c>
      <c r="R2901">
        <v>0</v>
      </c>
    </row>
    <row r="2902" spans="1:18" x14ac:dyDescent="0.25">
      <c r="A2902" t="s">
        <v>11</v>
      </c>
      <c r="B2902" t="s">
        <v>8</v>
      </c>
      <c r="C2902">
        <v>3</v>
      </c>
      <c r="D2902">
        <v>3</v>
      </c>
      <c r="E2902">
        <v>1</v>
      </c>
      <c r="F2902" s="15">
        <v>45957</v>
      </c>
      <c r="G2902" t="s">
        <v>203</v>
      </c>
      <c r="H2902">
        <v>5</v>
      </c>
      <c r="I2902">
        <v>2025</v>
      </c>
      <c r="J2902">
        <v>10</v>
      </c>
      <c r="K2902" t="s">
        <v>87</v>
      </c>
      <c r="L2902" t="s">
        <v>41</v>
      </c>
      <c r="M2902" t="s">
        <v>6</v>
      </c>
      <c r="N2902" t="b">
        <v>0</v>
      </c>
      <c r="O2902">
        <v>1</v>
      </c>
      <c r="P2902">
        <v>0</v>
      </c>
      <c r="Q2902">
        <v>0</v>
      </c>
      <c r="R2902">
        <v>0</v>
      </c>
    </row>
    <row r="2903" spans="1:18" x14ac:dyDescent="0.25">
      <c r="A2903" t="s">
        <v>11</v>
      </c>
      <c r="B2903" t="s">
        <v>8</v>
      </c>
      <c r="C2903">
        <v>3</v>
      </c>
      <c r="D2903">
        <v>3</v>
      </c>
      <c r="E2903">
        <v>1</v>
      </c>
      <c r="F2903" s="15">
        <v>45957</v>
      </c>
      <c r="G2903" t="s">
        <v>203</v>
      </c>
      <c r="H2903">
        <v>5</v>
      </c>
      <c r="I2903">
        <v>2025</v>
      </c>
      <c r="J2903">
        <v>10</v>
      </c>
      <c r="K2903" t="s">
        <v>87</v>
      </c>
      <c r="L2903" t="s">
        <v>42</v>
      </c>
      <c r="M2903" t="s">
        <v>6</v>
      </c>
      <c r="N2903" t="b">
        <v>0</v>
      </c>
      <c r="O2903">
        <v>1</v>
      </c>
      <c r="P2903">
        <v>0</v>
      </c>
      <c r="Q2903">
        <v>0</v>
      </c>
      <c r="R2903">
        <v>0</v>
      </c>
    </row>
    <row r="2904" spans="1:18" x14ac:dyDescent="0.25">
      <c r="A2904" t="s">
        <v>11</v>
      </c>
      <c r="B2904" t="s">
        <v>8</v>
      </c>
      <c r="C2904">
        <v>3</v>
      </c>
      <c r="D2904">
        <v>3</v>
      </c>
      <c r="E2904">
        <v>1</v>
      </c>
      <c r="F2904" s="15">
        <v>45957</v>
      </c>
      <c r="G2904" t="s">
        <v>203</v>
      </c>
      <c r="H2904">
        <v>5</v>
      </c>
      <c r="I2904">
        <v>2025</v>
      </c>
      <c r="J2904">
        <v>10</v>
      </c>
      <c r="K2904" t="s">
        <v>87</v>
      </c>
      <c r="L2904" t="s">
        <v>16</v>
      </c>
      <c r="M2904" t="s">
        <v>6</v>
      </c>
      <c r="N2904" t="b">
        <v>0</v>
      </c>
      <c r="O2904">
        <v>1</v>
      </c>
      <c r="P2904">
        <v>0</v>
      </c>
      <c r="Q2904">
        <v>0</v>
      </c>
      <c r="R2904">
        <v>0</v>
      </c>
    </row>
    <row r="2905" spans="1:18" x14ac:dyDescent="0.25">
      <c r="A2905" t="s">
        <v>11</v>
      </c>
      <c r="B2905" t="s">
        <v>8</v>
      </c>
      <c r="C2905">
        <v>3</v>
      </c>
      <c r="D2905">
        <v>3</v>
      </c>
      <c r="E2905">
        <v>1</v>
      </c>
      <c r="F2905" s="15">
        <v>45957</v>
      </c>
      <c r="G2905" t="s">
        <v>203</v>
      </c>
      <c r="H2905">
        <v>5</v>
      </c>
      <c r="I2905">
        <v>2025</v>
      </c>
      <c r="J2905">
        <v>10</v>
      </c>
      <c r="K2905" t="s">
        <v>87</v>
      </c>
      <c r="L2905" t="s">
        <v>22</v>
      </c>
      <c r="M2905" t="s">
        <v>6</v>
      </c>
      <c r="N2905" t="b">
        <v>0</v>
      </c>
      <c r="O2905">
        <v>1</v>
      </c>
      <c r="P2905">
        <v>0</v>
      </c>
      <c r="Q2905">
        <v>0</v>
      </c>
      <c r="R2905">
        <v>0</v>
      </c>
    </row>
    <row r="2906" spans="1:18" x14ac:dyDescent="0.25">
      <c r="A2906" t="s">
        <v>22</v>
      </c>
      <c r="B2906" t="s">
        <v>6</v>
      </c>
      <c r="C2906">
        <v>2</v>
      </c>
      <c r="D2906">
        <v>3</v>
      </c>
      <c r="E2906">
        <v>1</v>
      </c>
      <c r="F2906" s="15">
        <v>45957</v>
      </c>
      <c r="G2906" t="s">
        <v>203</v>
      </c>
      <c r="H2906">
        <v>5</v>
      </c>
      <c r="I2906">
        <v>2025</v>
      </c>
      <c r="J2906">
        <v>10</v>
      </c>
      <c r="K2906" t="s">
        <v>87</v>
      </c>
      <c r="L2906" t="s">
        <v>41</v>
      </c>
      <c r="M2906" t="s">
        <v>6</v>
      </c>
      <c r="N2906" t="b">
        <v>0</v>
      </c>
      <c r="O2906">
        <v>0</v>
      </c>
      <c r="P2906">
        <v>1</v>
      </c>
      <c r="Q2906">
        <v>0</v>
      </c>
      <c r="R2906">
        <v>0</v>
      </c>
    </row>
    <row r="2907" spans="1:18" x14ac:dyDescent="0.25">
      <c r="A2907" t="s">
        <v>22</v>
      </c>
      <c r="B2907" t="s">
        <v>6</v>
      </c>
      <c r="C2907">
        <v>2</v>
      </c>
      <c r="D2907">
        <v>3</v>
      </c>
      <c r="E2907">
        <v>1</v>
      </c>
      <c r="F2907" s="15">
        <v>45957</v>
      </c>
      <c r="G2907" t="s">
        <v>203</v>
      </c>
      <c r="H2907">
        <v>5</v>
      </c>
      <c r="I2907">
        <v>2025</v>
      </c>
      <c r="J2907">
        <v>10</v>
      </c>
      <c r="K2907" t="s">
        <v>87</v>
      </c>
      <c r="L2907" t="s">
        <v>42</v>
      </c>
      <c r="M2907" t="s">
        <v>6</v>
      </c>
      <c r="N2907" t="b">
        <v>0</v>
      </c>
      <c r="O2907">
        <v>0</v>
      </c>
      <c r="P2907">
        <v>1</v>
      </c>
      <c r="Q2907">
        <v>0</v>
      </c>
      <c r="R2907">
        <v>0</v>
      </c>
    </row>
    <row r="2908" spans="1:18" x14ac:dyDescent="0.25">
      <c r="A2908" t="s">
        <v>22</v>
      </c>
      <c r="B2908" t="s">
        <v>6</v>
      </c>
      <c r="C2908">
        <v>2</v>
      </c>
      <c r="D2908">
        <v>3</v>
      </c>
      <c r="E2908">
        <v>1</v>
      </c>
      <c r="F2908" s="15">
        <v>45957</v>
      </c>
      <c r="G2908" t="s">
        <v>203</v>
      </c>
      <c r="H2908">
        <v>5</v>
      </c>
      <c r="I2908">
        <v>2025</v>
      </c>
      <c r="J2908">
        <v>10</v>
      </c>
      <c r="K2908" t="s">
        <v>87</v>
      </c>
      <c r="L2908" t="s">
        <v>16</v>
      </c>
      <c r="M2908" t="s">
        <v>6</v>
      </c>
      <c r="N2908" t="b">
        <v>0</v>
      </c>
      <c r="O2908">
        <v>0</v>
      </c>
      <c r="P2908">
        <v>1</v>
      </c>
      <c r="Q2908">
        <v>0</v>
      </c>
      <c r="R2908">
        <v>0</v>
      </c>
    </row>
    <row r="2909" spans="1:18" x14ac:dyDescent="0.25">
      <c r="A2909" t="s">
        <v>22</v>
      </c>
      <c r="B2909" t="s">
        <v>6</v>
      </c>
      <c r="C2909">
        <v>2</v>
      </c>
      <c r="D2909">
        <v>3</v>
      </c>
      <c r="E2909">
        <v>1</v>
      </c>
      <c r="F2909" s="15">
        <v>45957</v>
      </c>
      <c r="G2909" t="s">
        <v>203</v>
      </c>
      <c r="H2909">
        <v>5</v>
      </c>
      <c r="I2909">
        <v>2025</v>
      </c>
      <c r="J2909">
        <v>10</v>
      </c>
      <c r="K2909" t="s">
        <v>87</v>
      </c>
      <c r="L2909" t="s">
        <v>11</v>
      </c>
      <c r="M2909" t="s">
        <v>8</v>
      </c>
      <c r="N2909" t="b">
        <v>0</v>
      </c>
      <c r="O2909">
        <v>0</v>
      </c>
      <c r="P2909">
        <v>1</v>
      </c>
      <c r="Q2909">
        <v>0</v>
      </c>
      <c r="R2909">
        <v>1</v>
      </c>
    </row>
    <row r="2910" spans="1:18" x14ac:dyDescent="0.25">
      <c r="A2910" t="s">
        <v>41</v>
      </c>
      <c r="B2910" t="s">
        <v>6</v>
      </c>
      <c r="C2910">
        <v>2</v>
      </c>
      <c r="D2910">
        <v>4</v>
      </c>
      <c r="E2910">
        <v>2</v>
      </c>
      <c r="F2910" s="15">
        <v>45867</v>
      </c>
      <c r="G2910" t="s">
        <v>259</v>
      </c>
      <c r="H2910">
        <v>3</v>
      </c>
      <c r="I2910">
        <v>2025</v>
      </c>
      <c r="J2910">
        <v>7</v>
      </c>
      <c r="K2910" t="s">
        <v>87</v>
      </c>
      <c r="L2910" t="s">
        <v>39</v>
      </c>
      <c r="M2910" t="s">
        <v>6</v>
      </c>
      <c r="N2910" t="b">
        <v>0</v>
      </c>
      <c r="O2910">
        <v>0</v>
      </c>
      <c r="P2910">
        <v>1</v>
      </c>
      <c r="Q2910">
        <v>0</v>
      </c>
      <c r="R2910">
        <v>0</v>
      </c>
    </row>
    <row r="2911" spans="1:18" x14ac:dyDescent="0.25">
      <c r="A2911" t="s">
        <v>41</v>
      </c>
      <c r="B2911" t="s">
        <v>6</v>
      </c>
      <c r="C2911">
        <v>2</v>
      </c>
      <c r="D2911">
        <v>4</v>
      </c>
      <c r="E2911">
        <v>2</v>
      </c>
      <c r="F2911" s="15">
        <v>45867</v>
      </c>
      <c r="G2911" t="s">
        <v>259</v>
      </c>
      <c r="H2911">
        <v>3</v>
      </c>
      <c r="I2911">
        <v>2025</v>
      </c>
      <c r="J2911">
        <v>7</v>
      </c>
      <c r="K2911" t="s">
        <v>87</v>
      </c>
      <c r="L2911" t="s">
        <v>352</v>
      </c>
      <c r="M2911" t="s">
        <v>8</v>
      </c>
      <c r="N2911" t="b">
        <v>0</v>
      </c>
      <c r="O2911">
        <v>0</v>
      </c>
      <c r="P2911">
        <v>1</v>
      </c>
      <c r="Q2911">
        <v>0</v>
      </c>
      <c r="R2911">
        <v>1</v>
      </c>
    </row>
    <row r="2912" spans="1:18" x14ac:dyDescent="0.25">
      <c r="A2912" t="s">
        <v>39</v>
      </c>
      <c r="B2912" t="s">
        <v>6</v>
      </c>
      <c r="C2912">
        <v>1</v>
      </c>
      <c r="D2912">
        <v>4</v>
      </c>
      <c r="E2912">
        <v>2</v>
      </c>
      <c r="F2912" s="15">
        <v>45867</v>
      </c>
      <c r="G2912" t="s">
        <v>259</v>
      </c>
      <c r="H2912">
        <v>3</v>
      </c>
      <c r="I2912">
        <v>2025</v>
      </c>
      <c r="J2912">
        <v>7</v>
      </c>
      <c r="K2912" t="s">
        <v>87</v>
      </c>
      <c r="L2912" t="s">
        <v>41</v>
      </c>
      <c r="M2912" t="s">
        <v>6</v>
      </c>
      <c r="N2912" t="b">
        <v>0</v>
      </c>
      <c r="O2912">
        <v>0</v>
      </c>
      <c r="P2912">
        <v>1</v>
      </c>
      <c r="Q2912">
        <v>0</v>
      </c>
      <c r="R2912">
        <v>0</v>
      </c>
    </row>
    <row r="2913" spans="1:18" x14ac:dyDescent="0.25">
      <c r="A2913" t="s">
        <v>39</v>
      </c>
      <c r="B2913" t="s">
        <v>6</v>
      </c>
      <c r="C2913">
        <v>1</v>
      </c>
      <c r="D2913">
        <v>4</v>
      </c>
      <c r="E2913">
        <v>2</v>
      </c>
      <c r="F2913" s="15">
        <v>45867</v>
      </c>
      <c r="G2913" t="s">
        <v>259</v>
      </c>
      <c r="H2913">
        <v>3</v>
      </c>
      <c r="I2913">
        <v>2025</v>
      </c>
      <c r="J2913">
        <v>7</v>
      </c>
      <c r="K2913" t="s">
        <v>87</v>
      </c>
      <c r="L2913" t="s">
        <v>352</v>
      </c>
      <c r="M2913" t="s">
        <v>8</v>
      </c>
      <c r="N2913" t="b">
        <v>0</v>
      </c>
      <c r="O2913">
        <v>0</v>
      </c>
      <c r="P2913">
        <v>1</v>
      </c>
      <c r="Q2913">
        <v>0</v>
      </c>
      <c r="R2913">
        <v>1</v>
      </c>
    </row>
    <row r="2914" spans="1:18" x14ac:dyDescent="0.25">
      <c r="A2914" t="s">
        <v>352</v>
      </c>
      <c r="B2914" t="s">
        <v>8</v>
      </c>
      <c r="C2914">
        <v>3</v>
      </c>
      <c r="D2914">
        <v>4</v>
      </c>
      <c r="E2914">
        <v>2</v>
      </c>
      <c r="F2914" s="15">
        <v>45867</v>
      </c>
      <c r="G2914" t="s">
        <v>259</v>
      </c>
      <c r="H2914">
        <v>3</v>
      </c>
      <c r="I2914">
        <v>2025</v>
      </c>
      <c r="J2914">
        <v>7</v>
      </c>
      <c r="K2914" t="s">
        <v>87</v>
      </c>
      <c r="L2914" t="s">
        <v>41</v>
      </c>
      <c r="M2914" t="s">
        <v>6</v>
      </c>
      <c r="N2914" t="b">
        <v>0</v>
      </c>
      <c r="O2914">
        <v>1</v>
      </c>
      <c r="P2914">
        <v>0</v>
      </c>
      <c r="Q2914">
        <v>0</v>
      </c>
      <c r="R2914">
        <v>0</v>
      </c>
    </row>
    <row r="2915" spans="1:18" x14ac:dyDescent="0.25">
      <c r="A2915" t="s">
        <v>352</v>
      </c>
      <c r="B2915" t="s">
        <v>8</v>
      </c>
      <c r="C2915">
        <v>3</v>
      </c>
      <c r="D2915">
        <v>4</v>
      </c>
      <c r="E2915">
        <v>2</v>
      </c>
      <c r="F2915" s="15">
        <v>45867</v>
      </c>
      <c r="G2915" t="s">
        <v>259</v>
      </c>
      <c r="H2915">
        <v>3</v>
      </c>
      <c r="I2915">
        <v>2025</v>
      </c>
      <c r="J2915">
        <v>7</v>
      </c>
      <c r="K2915" t="s">
        <v>87</v>
      </c>
      <c r="L2915" t="s">
        <v>39</v>
      </c>
      <c r="M2915" t="s">
        <v>6</v>
      </c>
      <c r="N2915" t="b">
        <v>0</v>
      </c>
      <c r="O2915">
        <v>1</v>
      </c>
      <c r="P2915">
        <v>0</v>
      </c>
      <c r="Q2915">
        <v>0</v>
      </c>
      <c r="R2915">
        <v>0</v>
      </c>
    </row>
    <row r="2916" spans="1:18" x14ac:dyDescent="0.25">
      <c r="A2916" t="s">
        <v>41</v>
      </c>
      <c r="B2916" t="s">
        <v>6</v>
      </c>
      <c r="C2916">
        <v>1</v>
      </c>
      <c r="D2916">
        <v>2</v>
      </c>
      <c r="E2916">
        <v>1</v>
      </c>
      <c r="F2916" s="15">
        <v>46055</v>
      </c>
      <c r="G2916" t="s">
        <v>342</v>
      </c>
      <c r="H2916">
        <v>4</v>
      </c>
      <c r="I2916">
        <v>2026</v>
      </c>
      <c r="J2916">
        <v>2</v>
      </c>
      <c r="K2916" t="s">
        <v>87</v>
      </c>
      <c r="L2916" t="s">
        <v>433</v>
      </c>
      <c r="M2916" t="s">
        <v>6</v>
      </c>
      <c r="N2916" t="b">
        <v>0</v>
      </c>
      <c r="O2916">
        <v>0</v>
      </c>
      <c r="P2916">
        <v>1</v>
      </c>
      <c r="Q2916">
        <v>0</v>
      </c>
      <c r="R2916">
        <v>0</v>
      </c>
    </row>
    <row r="2917" spans="1:18" x14ac:dyDescent="0.25">
      <c r="A2917" t="s">
        <v>41</v>
      </c>
      <c r="B2917" t="s">
        <v>6</v>
      </c>
      <c r="C2917">
        <v>1</v>
      </c>
      <c r="D2917">
        <v>2</v>
      </c>
      <c r="E2917">
        <v>1</v>
      </c>
      <c r="F2917" s="15">
        <v>46055</v>
      </c>
      <c r="G2917" t="s">
        <v>342</v>
      </c>
      <c r="H2917">
        <v>4</v>
      </c>
      <c r="I2917">
        <v>2026</v>
      </c>
      <c r="J2917">
        <v>2</v>
      </c>
      <c r="K2917" t="s">
        <v>87</v>
      </c>
      <c r="L2917" t="s">
        <v>9</v>
      </c>
      <c r="M2917" t="s">
        <v>8</v>
      </c>
      <c r="N2917" t="b">
        <v>0</v>
      </c>
      <c r="O2917">
        <v>0</v>
      </c>
      <c r="P2917">
        <v>1</v>
      </c>
      <c r="Q2917">
        <v>0</v>
      </c>
      <c r="R2917">
        <v>1</v>
      </c>
    </row>
    <row r="2918" spans="1:18" x14ac:dyDescent="0.25">
      <c r="A2918" t="s">
        <v>41</v>
      </c>
      <c r="B2918" t="s">
        <v>6</v>
      </c>
      <c r="C2918">
        <v>1</v>
      </c>
      <c r="D2918">
        <v>2</v>
      </c>
      <c r="E2918">
        <v>1</v>
      </c>
      <c r="F2918" s="15">
        <v>46055</v>
      </c>
      <c r="G2918" t="s">
        <v>342</v>
      </c>
      <c r="H2918">
        <v>4</v>
      </c>
      <c r="I2918">
        <v>2026</v>
      </c>
      <c r="J2918">
        <v>2</v>
      </c>
      <c r="K2918" t="s">
        <v>87</v>
      </c>
      <c r="L2918" t="s">
        <v>17</v>
      </c>
      <c r="M2918" t="s">
        <v>6</v>
      </c>
      <c r="N2918" t="b">
        <v>0</v>
      </c>
      <c r="O2918">
        <v>0</v>
      </c>
      <c r="P2918">
        <v>1</v>
      </c>
      <c r="Q2918">
        <v>0</v>
      </c>
      <c r="R2918">
        <v>0</v>
      </c>
    </row>
    <row r="2919" spans="1:18" x14ac:dyDescent="0.25">
      <c r="A2919" t="s">
        <v>433</v>
      </c>
      <c r="B2919" t="s">
        <v>6</v>
      </c>
      <c r="C2919">
        <v>3</v>
      </c>
      <c r="D2919">
        <v>2</v>
      </c>
      <c r="E2919">
        <v>1</v>
      </c>
      <c r="F2919" s="15">
        <v>46055</v>
      </c>
      <c r="G2919" t="s">
        <v>342</v>
      </c>
      <c r="H2919">
        <v>4</v>
      </c>
      <c r="I2919">
        <v>2026</v>
      </c>
      <c r="J2919">
        <v>2</v>
      </c>
      <c r="K2919" t="s">
        <v>87</v>
      </c>
      <c r="L2919" t="s">
        <v>41</v>
      </c>
      <c r="M2919" t="s">
        <v>6</v>
      </c>
      <c r="N2919" t="b">
        <v>0</v>
      </c>
      <c r="O2919">
        <v>0</v>
      </c>
      <c r="P2919">
        <v>1</v>
      </c>
      <c r="Q2919">
        <v>0</v>
      </c>
      <c r="R2919">
        <v>0</v>
      </c>
    </row>
    <row r="2920" spans="1:18" x14ac:dyDescent="0.25">
      <c r="A2920" t="s">
        <v>433</v>
      </c>
      <c r="B2920" t="s">
        <v>6</v>
      </c>
      <c r="C2920">
        <v>3</v>
      </c>
      <c r="D2920">
        <v>2</v>
      </c>
      <c r="E2920">
        <v>1</v>
      </c>
      <c r="F2920" s="15">
        <v>46055</v>
      </c>
      <c r="G2920" t="s">
        <v>342</v>
      </c>
      <c r="H2920">
        <v>4</v>
      </c>
      <c r="I2920">
        <v>2026</v>
      </c>
      <c r="J2920">
        <v>2</v>
      </c>
      <c r="K2920" t="s">
        <v>87</v>
      </c>
      <c r="L2920" t="s">
        <v>9</v>
      </c>
      <c r="M2920" t="s">
        <v>8</v>
      </c>
      <c r="N2920" t="b">
        <v>0</v>
      </c>
      <c r="O2920">
        <v>0</v>
      </c>
      <c r="P2920">
        <v>1</v>
      </c>
      <c r="Q2920">
        <v>0</v>
      </c>
      <c r="R2920">
        <v>1</v>
      </c>
    </row>
    <row r="2921" spans="1:18" x14ac:dyDescent="0.25">
      <c r="A2921" t="s">
        <v>433</v>
      </c>
      <c r="B2921" t="s">
        <v>6</v>
      </c>
      <c r="C2921">
        <v>3</v>
      </c>
      <c r="D2921">
        <v>2</v>
      </c>
      <c r="E2921">
        <v>1</v>
      </c>
      <c r="F2921" s="15">
        <v>46055</v>
      </c>
      <c r="G2921" t="s">
        <v>342</v>
      </c>
      <c r="H2921">
        <v>4</v>
      </c>
      <c r="I2921">
        <v>2026</v>
      </c>
      <c r="J2921">
        <v>2</v>
      </c>
      <c r="K2921" t="s">
        <v>87</v>
      </c>
      <c r="L2921" t="s">
        <v>17</v>
      </c>
      <c r="M2921" t="s">
        <v>6</v>
      </c>
      <c r="N2921" t="b">
        <v>0</v>
      </c>
      <c r="O2921">
        <v>0</v>
      </c>
      <c r="P2921">
        <v>1</v>
      </c>
      <c r="Q2921">
        <v>0</v>
      </c>
      <c r="R2921">
        <v>0</v>
      </c>
    </row>
    <row r="2922" spans="1:18" x14ac:dyDescent="0.25">
      <c r="A2922" t="s">
        <v>9</v>
      </c>
      <c r="B2922" t="s">
        <v>8</v>
      </c>
      <c r="C2922">
        <v>2</v>
      </c>
      <c r="D2922">
        <v>2</v>
      </c>
      <c r="E2922">
        <v>1</v>
      </c>
      <c r="F2922" s="15">
        <v>46055</v>
      </c>
      <c r="G2922" t="s">
        <v>342</v>
      </c>
      <c r="H2922">
        <v>4</v>
      </c>
      <c r="I2922">
        <v>2026</v>
      </c>
      <c r="J2922">
        <v>2</v>
      </c>
      <c r="K2922" t="s">
        <v>87</v>
      </c>
      <c r="L2922" t="s">
        <v>41</v>
      </c>
      <c r="M2922" t="s">
        <v>6</v>
      </c>
      <c r="N2922" t="b">
        <v>0</v>
      </c>
      <c r="O2922">
        <v>1</v>
      </c>
      <c r="P2922">
        <v>0</v>
      </c>
      <c r="Q2922">
        <v>0</v>
      </c>
      <c r="R2922">
        <v>0</v>
      </c>
    </row>
    <row r="2923" spans="1:18" x14ac:dyDescent="0.25">
      <c r="A2923" t="s">
        <v>9</v>
      </c>
      <c r="B2923" t="s">
        <v>8</v>
      </c>
      <c r="C2923">
        <v>2</v>
      </c>
      <c r="D2923">
        <v>2</v>
      </c>
      <c r="E2923">
        <v>1</v>
      </c>
      <c r="F2923" s="15">
        <v>46055</v>
      </c>
      <c r="G2923" t="s">
        <v>342</v>
      </c>
      <c r="H2923">
        <v>4</v>
      </c>
      <c r="I2923">
        <v>2026</v>
      </c>
      <c r="J2923">
        <v>2</v>
      </c>
      <c r="K2923" t="s">
        <v>87</v>
      </c>
      <c r="L2923" t="s">
        <v>433</v>
      </c>
      <c r="M2923" t="s">
        <v>6</v>
      </c>
      <c r="N2923" t="b">
        <v>0</v>
      </c>
      <c r="O2923">
        <v>1</v>
      </c>
      <c r="P2923">
        <v>0</v>
      </c>
      <c r="Q2923">
        <v>0</v>
      </c>
      <c r="R2923">
        <v>0</v>
      </c>
    </row>
    <row r="2924" spans="1:18" x14ac:dyDescent="0.25">
      <c r="A2924" t="s">
        <v>9</v>
      </c>
      <c r="B2924" t="s">
        <v>8</v>
      </c>
      <c r="C2924">
        <v>2</v>
      </c>
      <c r="D2924">
        <v>2</v>
      </c>
      <c r="E2924">
        <v>1</v>
      </c>
      <c r="F2924" s="15">
        <v>46055</v>
      </c>
      <c r="G2924" t="s">
        <v>342</v>
      </c>
      <c r="H2924">
        <v>4</v>
      </c>
      <c r="I2924">
        <v>2026</v>
      </c>
      <c r="J2924">
        <v>2</v>
      </c>
      <c r="K2924" t="s">
        <v>87</v>
      </c>
      <c r="L2924" t="s">
        <v>17</v>
      </c>
      <c r="M2924" t="s">
        <v>6</v>
      </c>
      <c r="N2924" t="b">
        <v>0</v>
      </c>
      <c r="O2924">
        <v>1</v>
      </c>
      <c r="P2924">
        <v>0</v>
      </c>
      <c r="Q2924">
        <v>0</v>
      </c>
      <c r="R2924">
        <v>0</v>
      </c>
    </row>
    <row r="2925" spans="1:18" x14ac:dyDescent="0.25">
      <c r="A2925" t="s">
        <v>17</v>
      </c>
      <c r="B2925" t="s">
        <v>6</v>
      </c>
      <c r="C2925">
        <v>4</v>
      </c>
      <c r="D2925">
        <v>2</v>
      </c>
      <c r="E2925">
        <v>1</v>
      </c>
      <c r="F2925" s="15">
        <v>46055</v>
      </c>
      <c r="G2925" t="s">
        <v>342</v>
      </c>
      <c r="H2925">
        <v>4</v>
      </c>
      <c r="I2925">
        <v>2026</v>
      </c>
      <c r="J2925">
        <v>2</v>
      </c>
      <c r="K2925" t="s">
        <v>87</v>
      </c>
      <c r="L2925" t="s">
        <v>41</v>
      </c>
      <c r="M2925" t="s">
        <v>6</v>
      </c>
      <c r="N2925" t="b">
        <v>0</v>
      </c>
      <c r="O2925">
        <v>0</v>
      </c>
      <c r="P2925">
        <v>1</v>
      </c>
      <c r="Q2925">
        <v>0</v>
      </c>
      <c r="R2925">
        <v>0</v>
      </c>
    </row>
    <row r="2926" spans="1:18" x14ac:dyDescent="0.25">
      <c r="A2926" t="s">
        <v>17</v>
      </c>
      <c r="B2926" t="s">
        <v>6</v>
      </c>
      <c r="C2926">
        <v>4</v>
      </c>
      <c r="D2926">
        <v>2</v>
      </c>
      <c r="E2926">
        <v>1</v>
      </c>
      <c r="F2926" s="15">
        <v>46055</v>
      </c>
      <c r="G2926" t="s">
        <v>342</v>
      </c>
      <c r="H2926">
        <v>4</v>
      </c>
      <c r="I2926">
        <v>2026</v>
      </c>
      <c r="J2926">
        <v>2</v>
      </c>
      <c r="K2926" t="s">
        <v>87</v>
      </c>
      <c r="L2926" t="s">
        <v>433</v>
      </c>
      <c r="M2926" t="s">
        <v>6</v>
      </c>
      <c r="N2926" t="b">
        <v>0</v>
      </c>
      <c r="O2926">
        <v>0</v>
      </c>
      <c r="P2926">
        <v>1</v>
      </c>
      <c r="Q2926">
        <v>0</v>
      </c>
      <c r="R2926">
        <v>0</v>
      </c>
    </row>
    <row r="2927" spans="1:18" x14ac:dyDescent="0.25">
      <c r="A2927" t="s">
        <v>17</v>
      </c>
      <c r="B2927" t="s">
        <v>6</v>
      </c>
      <c r="C2927">
        <v>4</v>
      </c>
      <c r="D2927">
        <v>2</v>
      </c>
      <c r="E2927">
        <v>1</v>
      </c>
      <c r="F2927" s="15">
        <v>46055</v>
      </c>
      <c r="G2927" t="s">
        <v>342</v>
      </c>
      <c r="H2927">
        <v>4</v>
      </c>
      <c r="I2927">
        <v>2026</v>
      </c>
      <c r="J2927">
        <v>2</v>
      </c>
      <c r="K2927" t="s">
        <v>87</v>
      </c>
      <c r="L2927" t="s">
        <v>9</v>
      </c>
      <c r="M2927" t="s">
        <v>8</v>
      </c>
      <c r="N2927" t="b">
        <v>0</v>
      </c>
      <c r="O2927">
        <v>0</v>
      </c>
      <c r="P2927">
        <v>1</v>
      </c>
      <c r="Q2927">
        <v>0</v>
      </c>
      <c r="R2927">
        <v>1</v>
      </c>
    </row>
    <row r="2928" spans="1:18" x14ac:dyDescent="0.25">
      <c r="A2928" t="s">
        <v>434</v>
      </c>
      <c r="B2928" t="s">
        <v>8</v>
      </c>
      <c r="C2928">
        <v>2</v>
      </c>
      <c r="D2928">
        <v>4</v>
      </c>
      <c r="E2928">
        <v>1</v>
      </c>
      <c r="F2928" s="15">
        <v>46083</v>
      </c>
      <c r="G2928" t="s">
        <v>390</v>
      </c>
      <c r="H2928">
        <v>4</v>
      </c>
      <c r="I2928">
        <v>2026</v>
      </c>
      <c r="J2928">
        <v>3</v>
      </c>
      <c r="K2928" t="s">
        <v>87</v>
      </c>
      <c r="L2928" t="s">
        <v>11</v>
      </c>
      <c r="M2928" t="s">
        <v>6</v>
      </c>
      <c r="N2928" t="b">
        <v>0</v>
      </c>
      <c r="O2928">
        <v>1</v>
      </c>
      <c r="P2928">
        <v>0</v>
      </c>
      <c r="Q2928">
        <v>0</v>
      </c>
      <c r="R2928">
        <v>0</v>
      </c>
    </row>
    <row r="2929" spans="1:18" x14ac:dyDescent="0.25">
      <c r="A2929" t="s">
        <v>434</v>
      </c>
      <c r="B2929" t="s">
        <v>8</v>
      </c>
      <c r="C2929">
        <v>2</v>
      </c>
      <c r="D2929">
        <v>4</v>
      </c>
      <c r="E2929">
        <v>1</v>
      </c>
      <c r="F2929" s="15">
        <v>46083</v>
      </c>
      <c r="G2929" t="s">
        <v>390</v>
      </c>
      <c r="H2929">
        <v>4</v>
      </c>
      <c r="I2929">
        <v>2026</v>
      </c>
      <c r="J2929">
        <v>3</v>
      </c>
      <c r="K2929" t="s">
        <v>87</v>
      </c>
      <c r="L2929" t="s">
        <v>386</v>
      </c>
      <c r="M2929" t="s">
        <v>6</v>
      </c>
      <c r="N2929" t="b">
        <v>0</v>
      </c>
      <c r="O2929">
        <v>1</v>
      </c>
      <c r="P2929">
        <v>0</v>
      </c>
      <c r="Q2929">
        <v>0</v>
      </c>
      <c r="R2929">
        <v>0</v>
      </c>
    </row>
    <row r="2930" spans="1:18" x14ac:dyDescent="0.25">
      <c r="A2930" t="s">
        <v>434</v>
      </c>
      <c r="B2930" t="s">
        <v>8</v>
      </c>
      <c r="C2930">
        <v>2</v>
      </c>
      <c r="D2930">
        <v>4</v>
      </c>
      <c r="E2930">
        <v>1</v>
      </c>
      <c r="F2930" s="15">
        <v>46083</v>
      </c>
      <c r="G2930" t="s">
        <v>390</v>
      </c>
      <c r="H2930">
        <v>4</v>
      </c>
      <c r="I2930">
        <v>2026</v>
      </c>
      <c r="J2930">
        <v>3</v>
      </c>
      <c r="K2930" t="s">
        <v>87</v>
      </c>
      <c r="L2930" t="s">
        <v>52</v>
      </c>
      <c r="M2930" t="s">
        <v>6</v>
      </c>
      <c r="N2930" t="b">
        <v>0</v>
      </c>
      <c r="O2930">
        <v>1</v>
      </c>
      <c r="P2930">
        <v>0</v>
      </c>
      <c r="Q2930">
        <v>0</v>
      </c>
      <c r="R2930">
        <v>0</v>
      </c>
    </row>
    <row r="2931" spans="1:18" x14ac:dyDescent="0.25">
      <c r="A2931" t="s">
        <v>11</v>
      </c>
      <c r="B2931" t="s">
        <v>6</v>
      </c>
      <c r="C2931">
        <v>1</v>
      </c>
      <c r="D2931">
        <v>4</v>
      </c>
      <c r="E2931">
        <v>1</v>
      </c>
      <c r="F2931" s="15">
        <v>46083</v>
      </c>
      <c r="G2931" t="s">
        <v>390</v>
      </c>
      <c r="H2931">
        <v>4</v>
      </c>
      <c r="I2931">
        <v>2026</v>
      </c>
      <c r="J2931">
        <v>3</v>
      </c>
      <c r="K2931" t="s">
        <v>87</v>
      </c>
      <c r="L2931" t="s">
        <v>434</v>
      </c>
      <c r="M2931" t="s">
        <v>8</v>
      </c>
      <c r="N2931" t="b">
        <v>0</v>
      </c>
      <c r="O2931">
        <v>0</v>
      </c>
      <c r="P2931">
        <v>1</v>
      </c>
      <c r="Q2931">
        <v>0</v>
      </c>
      <c r="R2931">
        <v>1</v>
      </c>
    </row>
    <row r="2932" spans="1:18" x14ac:dyDescent="0.25">
      <c r="A2932" t="s">
        <v>11</v>
      </c>
      <c r="B2932" t="s">
        <v>6</v>
      </c>
      <c r="C2932">
        <v>1</v>
      </c>
      <c r="D2932">
        <v>4</v>
      </c>
      <c r="E2932">
        <v>1</v>
      </c>
      <c r="F2932" s="15">
        <v>46083</v>
      </c>
      <c r="G2932" t="s">
        <v>390</v>
      </c>
      <c r="H2932">
        <v>4</v>
      </c>
      <c r="I2932">
        <v>2026</v>
      </c>
      <c r="J2932">
        <v>3</v>
      </c>
      <c r="K2932" t="s">
        <v>87</v>
      </c>
      <c r="L2932" t="s">
        <v>386</v>
      </c>
      <c r="M2932" t="s">
        <v>6</v>
      </c>
      <c r="N2932" t="b">
        <v>0</v>
      </c>
      <c r="O2932">
        <v>0</v>
      </c>
      <c r="P2932">
        <v>1</v>
      </c>
      <c r="Q2932">
        <v>0</v>
      </c>
      <c r="R2932">
        <v>0</v>
      </c>
    </row>
    <row r="2933" spans="1:18" x14ac:dyDescent="0.25">
      <c r="A2933" t="s">
        <v>11</v>
      </c>
      <c r="B2933" t="s">
        <v>6</v>
      </c>
      <c r="C2933">
        <v>1</v>
      </c>
      <c r="D2933">
        <v>4</v>
      </c>
      <c r="E2933">
        <v>1</v>
      </c>
      <c r="F2933" s="15">
        <v>46083</v>
      </c>
      <c r="G2933" t="s">
        <v>390</v>
      </c>
      <c r="H2933">
        <v>4</v>
      </c>
      <c r="I2933">
        <v>2026</v>
      </c>
      <c r="J2933">
        <v>3</v>
      </c>
      <c r="K2933" t="s">
        <v>87</v>
      </c>
      <c r="L2933" t="s">
        <v>52</v>
      </c>
      <c r="M2933" t="s">
        <v>6</v>
      </c>
      <c r="N2933" t="b">
        <v>0</v>
      </c>
      <c r="O2933">
        <v>0</v>
      </c>
      <c r="P2933">
        <v>1</v>
      </c>
      <c r="Q2933">
        <v>0</v>
      </c>
      <c r="R2933">
        <v>0</v>
      </c>
    </row>
    <row r="2934" spans="1:18" x14ac:dyDescent="0.25">
      <c r="A2934" t="s">
        <v>386</v>
      </c>
      <c r="B2934" t="s">
        <v>6</v>
      </c>
      <c r="C2934">
        <v>3</v>
      </c>
      <c r="D2934">
        <v>4</v>
      </c>
      <c r="E2934">
        <v>1</v>
      </c>
      <c r="F2934" s="15">
        <v>46083</v>
      </c>
      <c r="G2934" t="s">
        <v>390</v>
      </c>
      <c r="H2934">
        <v>4</v>
      </c>
      <c r="I2934">
        <v>2026</v>
      </c>
      <c r="J2934">
        <v>3</v>
      </c>
      <c r="K2934" t="s">
        <v>87</v>
      </c>
      <c r="L2934" t="s">
        <v>434</v>
      </c>
      <c r="M2934" t="s">
        <v>8</v>
      </c>
      <c r="N2934" t="b">
        <v>0</v>
      </c>
      <c r="O2934">
        <v>0</v>
      </c>
      <c r="P2934">
        <v>1</v>
      </c>
      <c r="Q2934">
        <v>0</v>
      </c>
      <c r="R2934">
        <v>1</v>
      </c>
    </row>
    <row r="2935" spans="1:18" x14ac:dyDescent="0.25">
      <c r="A2935" t="s">
        <v>386</v>
      </c>
      <c r="B2935" t="s">
        <v>6</v>
      </c>
      <c r="C2935">
        <v>3</v>
      </c>
      <c r="D2935">
        <v>4</v>
      </c>
      <c r="E2935">
        <v>1</v>
      </c>
      <c r="F2935" s="15">
        <v>46083</v>
      </c>
      <c r="G2935" t="s">
        <v>390</v>
      </c>
      <c r="H2935">
        <v>4</v>
      </c>
      <c r="I2935">
        <v>2026</v>
      </c>
      <c r="J2935">
        <v>3</v>
      </c>
      <c r="K2935" t="s">
        <v>87</v>
      </c>
      <c r="L2935" t="s">
        <v>11</v>
      </c>
      <c r="M2935" t="s">
        <v>6</v>
      </c>
      <c r="N2935" t="b">
        <v>0</v>
      </c>
      <c r="O2935">
        <v>0</v>
      </c>
      <c r="P2935">
        <v>1</v>
      </c>
      <c r="Q2935">
        <v>0</v>
      </c>
      <c r="R2935">
        <v>0</v>
      </c>
    </row>
    <row r="2936" spans="1:18" x14ac:dyDescent="0.25">
      <c r="A2936" t="s">
        <v>386</v>
      </c>
      <c r="B2936" t="s">
        <v>6</v>
      </c>
      <c r="C2936">
        <v>3</v>
      </c>
      <c r="D2936">
        <v>4</v>
      </c>
      <c r="E2936">
        <v>1</v>
      </c>
      <c r="F2936" s="15">
        <v>46083</v>
      </c>
      <c r="G2936" t="s">
        <v>390</v>
      </c>
      <c r="H2936">
        <v>4</v>
      </c>
      <c r="I2936">
        <v>2026</v>
      </c>
      <c r="J2936">
        <v>3</v>
      </c>
      <c r="K2936" t="s">
        <v>87</v>
      </c>
      <c r="L2936" t="s">
        <v>52</v>
      </c>
      <c r="M2936" t="s">
        <v>6</v>
      </c>
      <c r="N2936" t="b">
        <v>0</v>
      </c>
      <c r="O2936">
        <v>0</v>
      </c>
      <c r="P2936">
        <v>1</v>
      </c>
      <c r="Q2936">
        <v>0</v>
      </c>
      <c r="R2936">
        <v>0</v>
      </c>
    </row>
    <row r="2937" spans="1:18" x14ac:dyDescent="0.25">
      <c r="A2937" t="s">
        <v>52</v>
      </c>
      <c r="B2937" t="s">
        <v>6</v>
      </c>
      <c r="C2937">
        <v>4</v>
      </c>
      <c r="D2937">
        <v>4</v>
      </c>
      <c r="E2937">
        <v>1</v>
      </c>
      <c r="F2937" s="15">
        <v>46083</v>
      </c>
      <c r="G2937" t="s">
        <v>390</v>
      </c>
      <c r="H2937">
        <v>4</v>
      </c>
      <c r="I2937">
        <v>2026</v>
      </c>
      <c r="J2937">
        <v>3</v>
      </c>
      <c r="K2937" t="s">
        <v>87</v>
      </c>
      <c r="L2937" t="s">
        <v>434</v>
      </c>
      <c r="M2937" t="s">
        <v>8</v>
      </c>
      <c r="N2937" t="b">
        <v>0</v>
      </c>
      <c r="O2937">
        <v>0</v>
      </c>
      <c r="P2937">
        <v>1</v>
      </c>
      <c r="Q2937">
        <v>0</v>
      </c>
      <c r="R2937">
        <v>1</v>
      </c>
    </row>
    <row r="2938" spans="1:18" x14ac:dyDescent="0.25">
      <c r="A2938" t="s">
        <v>52</v>
      </c>
      <c r="B2938" t="s">
        <v>6</v>
      </c>
      <c r="C2938">
        <v>4</v>
      </c>
      <c r="D2938">
        <v>4</v>
      </c>
      <c r="E2938">
        <v>1</v>
      </c>
      <c r="F2938" s="15">
        <v>46083</v>
      </c>
      <c r="G2938" t="s">
        <v>390</v>
      </c>
      <c r="H2938">
        <v>4</v>
      </c>
      <c r="I2938">
        <v>2026</v>
      </c>
      <c r="J2938">
        <v>3</v>
      </c>
      <c r="K2938" t="s">
        <v>87</v>
      </c>
      <c r="L2938" t="s">
        <v>11</v>
      </c>
      <c r="M2938" t="s">
        <v>6</v>
      </c>
      <c r="N2938" t="b">
        <v>0</v>
      </c>
      <c r="O2938">
        <v>0</v>
      </c>
      <c r="P2938">
        <v>1</v>
      </c>
      <c r="Q2938">
        <v>0</v>
      </c>
      <c r="R2938">
        <v>0</v>
      </c>
    </row>
    <row r="2939" spans="1:18" x14ac:dyDescent="0.25">
      <c r="A2939" t="s">
        <v>52</v>
      </c>
      <c r="B2939" t="s">
        <v>6</v>
      </c>
      <c r="C2939">
        <v>4</v>
      </c>
      <c r="D2939">
        <v>4</v>
      </c>
      <c r="E2939">
        <v>1</v>
      </c>
      <c r="F2939" s="15">
        <v>46083</v>
      </c>
      <c r="G2939" t="s">
        <v>390</v>
      </c>
      <c r="H2939">
        <v>4</v>
      </c>
      <c r="I2939">
        <v>2026</v>
      </c>
      <c r="J2939">
        <v>3</v>
      </c>
      <c r="K2939" t="s">
        <v>87</v>
      </c>
      <c r="L2939" t="s">
        <v>386</v>
      </c>
      <c r="M2939" t="s">
        <v>6</v>
      </c>
      <c r="N2939" t="b">
        <v>0</v>
      </c>
      <c r="O2939">
        <v>0</v>
      </c>
      <c r="P2939">
        <v>1</v>
      </c>
      <c r="Q2939">
        <v>0</v>
      </c>
      <c r="R2939">
        <v>0</v>
      </c>
    </row>
    <row r="2940" spans="1:18" x14ac:dyDescent="0.25">
      <c r="A2940" t="s">
        <v>434</v>
      </c>
      <c r="B2940" t="s">
        <v>8</v>
      </c>
      <c r="C2940">
        <v>1</v>
      </c>
      <c r="D2940">
        <v>5</v>
      </c>
      <c r="E2940">
        <v>2</v>
      </c>
      <c r="F2940" s="15">
        <v>46083</v>
      </c>
      <c r="G2940" t="s">
        <v>397</v>
      </c>
      <c r="H2940">
        <v>4</v>
      </c>
      <c r="I2940">
        <v>2026</v>
      </c>
      <c r="J2940">
        <v>3</v>
      </c>
      <c r="K2940" t="s">
        <v>87</v>
      </c>
      <c r="L2940" t="s">
        <v>9</v>
      </c>
      <c r="M2940" t="s">
        <v>6</v>
      </c>
      <c r="N2940" t="b">
        <v>0</v>
      </c>
      <c r="O2940">
        <v>1</v>
      </c>
      <c r="P2940">
        <v>0</v>
      </c>
      <c r="Q2940">
        <v>0</v>
      </c>
      <c r="R2940">
        <v>0</v>
      </c>
    </row>
    <row r="2941" spans="1:18" x14ac:dyDescent="0.25">
      <c r="A2941" t="s">
        <v>434</v>
      </c>
      <c r="B2941" t="s">
        <v>8</v>
      </c>
      <c r="C2941">
        <v>1</v>
      </c>
      <c r="D2941">
        <v>5</v>
      </c>
      <c r="E2941">
        <v>2</v>
      </c>
      <c r="F2941" s="15">
        <v>46083</v>
      </c>
      <c r="G2941" t="s">
        <v>397</v>
      </c>
      <c r="H2941">
        <v>4</v>
      </c>
      <c r="I2941">
        <v>2026</v>
      </c>
      <c r="J2941">
        <v>3</v>
      </c>
      <c r="K2941" t="s">
        <v>87</v>
      </c>
      <c r="L2941" t="s">
        <v>28</v>
      </c>
      <c r="M2941" t="s">
        <v>6</v>
      </c>
      <c r="N2941" t="b">
        <v>0</v>
      </c>
      <c r="O2941">
        <v>1</v>
      </c>
      <c r="P2941">
        <v>0</v>
      </c>
      <c r="Q2941">
        <v>0</v>
      </c>
      <c r="R2941">
        <v>0</v>
      </c>
    </row>
    <row r="2942" spans="1:18" x14ac:dyDescent="0.25">
      <c r="A2942" t="s">
        <v>434</v>
      </c>
      <c r="B2942" t="s">
        <v>8</v>
      </c>
      <c r="C2942">
        <v>1</v>
      </c>
      <c r="D2942">
        <v>5</v>
      </c>
      <c r="E2942">
        <v>2</v>
      </c>
      <c r="F2942" s="15">
        <v>46083</v>
      </c>
      <c r="G2942" t="s">
        <v>397</v>
      </c>
      <c r="H2942">
        <v>4</v>
      </c>
      <c r="I2942">
        <v>2026</v>
      </c>
      <c r="J2942">
        <v>3</v>
      </c>
      <c r="K2942" t="s">
        <v>87</v>
      </c>
      <c r="L2942" t="s">
        <v>436</v>
      </c>
      <c r="M2942" t="s">
        <v>6</v>
      </c>
      <c r="N2942" t="b">
        <v>0</v>
      </c>
      <c r="O2942">
        <v>1</v>
      </c>
      <c r="P2942">
        <v>0</v>
      </c>
      <c r="Q2942">
        <v>0</v>
      </c>
      <c r="R2942">
        <v>0</v>
      </c>
    </row>
    <row r="2943" spans="1:18" x14ac:dyDescent="0.25">
      <c r="A2943" t="s">
        <v>9</v>
      </c>
      <c r="B2943" t="s">
        <v>6</v>
      </c>
      <c r="C2943">
        <v>2</v>
      </c>
      <c r="D2943">
        <v>5</v>
      </c>
      <c r="E2943">
        <v>2</v>
      </c>
      <c r="F2943" s="15">
        <v>46083</v>
      </c>
      <c r="G2943" t="s">
        <v>397</v>
      </c>
      <c r="H2943">
        <v>4</v>
      </c>
      <c r="I2943">
        <v>2026</v>
      </c>
      <c r="J2943">
        <v>3</v>
      </c>
      <c r="K2943" t="s">
        <v>87</v>
      </c>
      <c r="L2943" t="s">
        <v>434</v>
      </c>
      <c r="M2943" t="s">
        <v>8</v>
      </c>
      <c r="N2943" t="b">
        <v>0</v>
      </c>
      <c r="O2943">
        <v>0</v>
      </c>
      <c r="P2943">
        <v>1</v>
      </c>
      <c r="Q2943">
        <v>0</v>
      </c>
      <c r="R2943">
        <v>1</v>
      </c>
    </row>
    <row r="2944" spans="1:18" x14ac:dyDescent="0.25">
      <c r="A2944" t="s">
        <v>9</v>
      </c>
      <c r="B2944" t="s">
        <v>6</v>
      </c>
      <c r="C2944">
        <v>2</v>
      </c>
      <c r="D2944">
        <v>5</v>
      </c>
      <c r="E2944">
        <v>2</v>
      </c>
      <c r="F2944" s="15">
        <v>46083</v>
      </c>
      <c r="G2944" t="s">
        <v>397</v>
      </c>
      <c r="H2944">
        <v>4</v>
      </c>
      <c r="I2944">
        <v>2026</v>
      </c>
      <c r="J2944">
        <v>3</v>
      </c>
      <c r="K2944" t="s">
        <v>87</v>
      </c>
      <c r="L2944" t="s">
        <v>28</v>
      </c>
      <c r="M2944" t="s">
        <v>6</v>
      </c>
      <c r="N2944" t="b">
        <v>0</v>
      </c>
      <c r="O2944">
        <v>0</v>
      </c>
      <c r="P2944">
        <v>1</v>
      </c>
      <c r="Q2944">
        <v>0</v>
      </c>
      <c r="R2944">
        <v>0</v>
      </c>
    </row>
    <row r="2945" spans="1:18" x14ac:dyDescent="0.25">
      <c r="A2945" t="s">
        <v>9</v>
      </c>
      <c r="B2945" t="s">
        <v>6</v>
      </c>
      <c r="C2945">
        <v>2</v>
      </c>
      <c r="D2945">
        <v>5</v>
      </c>
      <c r="E2945">
        <v>2</v>
      </c>
      <c r="F2945" s="15">
        <v>46083</v>
      </c>
      <c r="G2945" t="s">
        <v>397</v>
      </c>
      <c r="H2945">
        <v>4</v>
      </c>
      <c r="I2945">
        <v>2026</v>
      </c>
      <c r="J2945">
        <v>3</v>
      </c>
      <c r="K2945" t="s">
        <v>87</v>
      </c>
      <c r="L2945" t="s">
        <v>436</v>
      </c>
      <c r="M2945" t="s">
        <v>6</v>
      </c>
      <c r="N2945" t="b">
        <v>0</v>
      </c>
      <c r="O2945">
        <v>0</v>
      </c>
      <c r="P2945">
        <v>1</v>
      </c>
      <c r="Q2945">
        <v>0</v>
      </c>
      <c r="R2945">
        <v>0</v>
      </c>
    </row>
    <row r="2946" spans="1:18" x14ac:dyDescent="0.25">
      <c r="A2946" t="s">
        <v>28</v>
      </c>
      <c r="B2946" t="s">
        <v>6</v>
      </c>
      <c r="C2946">
        <v>3</v>
      </c>
      <c r="D2946">
        <v>5</v>
      </c>
      <c r="E2946">
        <v>2</v>
      </c>
      <c r="F2946" s="15">
        <v>46083</v>
      </c>
      <c r="G2946" t="s">
        <v>397</v>
      </c>
      <c r="H2946">
        <v>4</v>
      </c>
      <c r="I2946">
        <v>2026</v>
      </c>
      <c r="J2946">
        <v>3</v>
      </c>
      <c r="K2946" t="s">
        <v>87</v>
      </c>
      <c r="L2946" t="s">
        <v>434</v>
      </c>
      <c r="M2946" t="s">
        <v>8</v>
      </c>
      <c r="N2946" t="b">
        <v>0</v>
      </c>
      <c r="O2946">
        <v>0</v>
      </c>
      <c r="P2946">
        <v>1</v>
      </c>
      <c r="Q2946">
        <v>0</v>
      </c>
      <c r="R2946">
        <v>1</v>
      </c>
    </row>
    <row r="2947" spans="1:18" x14ac:dyDescent="0.25">
      <c r="A2947" t="s">
        <v>28</v>
      </c>
      <c r="B2947" t="s">
        <v>6</v>
      </c>
      <c r="C2947">
        <v>3</v>
      </c>
      <c r="D2947">
        <v>5</v>
      </c>
      <c r="E2947">
        <v>2</v>
      </c>
      <c r="F2947" s="15">
        <v>46083</v>
      </c>
      <c r="G2947" t="s">
        <v>397</v>
      </c>
      <c r="H2947">
        <v>4</v>
      </c>
      <c r="I2947">
        <v>2026</v>
      </c>
      <c r="J2947">
        <v>3</v>
      </c>
      <c r="K2947" t="s">
        <v>87</v>
      </c>
      <c r="L2947" t="s">
        <v>9</v>
      </c>
      <c r="M2947" t="s">
        <v>6</v>
      </c>
      <c r="N2947" t="b">
        <v>0</v>
      </c>
      <c r="O2947">
        <v>0</v>
      </c>
      <c r="P2947">
        <v>1</v>
      </c>
      <c r="Q2947">
        <v>0</v>
      </c>
      <c r="R2947">
        <v>0</v>
      </c>
    </row>
    <row r="2948" spans="1:18" x14ac:dyDescent="0.25">
      <c r="A2948" t="s">
        <v>28</v>
      </c>
      <c r="B2948" t="s">
        <v>6</v>
      </c>
      <c r="C2948">
        <v>3</v>
      </c>
      <c r="D2948">
        <v>5</v>
      </c>
      <c r="E2948">
        <v>2</v>
      </c>
      <c r="F2948" s="15">
        <v>46083</v>
      </c>
      <c r="G2948" t="s">
        <v>397</v>
      </c>
      <c r="H2948">
        <v>4</v>
      </c>
      <c r="I2948">
        <v>2026</v>
      </c>
      <c r="J2948">
        <v>3</v>
      </c>
      <c r="K2948" t="s">
        <v>87</v>
      </c>
      <c r="L2948" t="s">
        <v>436</v>
      </c>
      <c r="M2948" t="s">
        <v>6</v>
      </c>
      <c r="N2948" t="b">
        <v>0</v>
      </c>
      <c r="O2948">
        <v>0</v>
      </c>
      <c r="P2948">
        <v>1</v>
      </c>
      <c r="Q2948">
        <v>0</v>
      </c>
      <c r="R2948">
        <v>0</v>
      </c>
    </row>
    <row r="2949" spans="1:18" x14ac:dyDescent="0.25">
      <c r="A2949" t="s">
        <v>436</v>
      </c>
      <c r="B2949" t="s">
        <v>6</v>
      </c>
      <c r="C2949">
        <v>4</v>
      </c>
      <c r="D2949">
        <v>5</v>
      </c>
      <c r="E2949">
        <v>2</v>
      </c>
      <c r="F2949" s="15">
        <v>46083</v>
      </c>
      <c r="G2949" t="s">
        <v>397</v>
      </c>
      <c r="H2949">
        <v>4</v>
      </c>
      <c r="I2949">
        <v>2026</v>
      </c>
      <c r="J2949">
        <v>3</v>
      </c>
      <c r="K2949" t="s">
        <v>87</v>
      </c>
      <c r="L2949" t="s">
        <v>434</v>
      </c>
      <c r="M2949" t="s">
        <v>8</v>
      </c>
      <c r="N2949" t="b">
        <v>0</v>
      </c>
      <c r="O2949">
        <v>0</v>
      </c>
      <c r="P2949">
        <v>1</v>
      </c>
      <c r="Q2949">
        <v>0</v>
      </c>
      <c r="R2949">
        <v>1</v>
      </c>
    </row>
    <row r="2950" spans="1:18" x14ac:dyDescent="0.25">
      <c r="A2950" t="s">
        <v>436</v>
      </c>
      <c r="B2950" t="s">
        <v>6</v>
      </c>
      <c r="C2950">
        <v>4</v>
      </c>
      <c r="D2950">
        <v>5</v>
      </c>
      <c r="E2950">
        <v>2</v>
      </c>
      <c r="F2950" s="15">
        <v>46083</v>
      </c>
      <c r="G2950" t="s">
        <v>397</v>
      </c>
      <c r="H2950">
        <v>4</v>
      </c>
      <c r="I2950">
        <v>2026</v>
      </c>
      <c r="J2950">
        <v>3</v>
      </c>
      <c r="K2950" t="s">
        <v>87</v>
      </c>
      <c r="L2950" t="s">
        <v>9</v>
      </c>
      <c r="M2950" t="s">
        <v>6</v>
      </c>
      <c r="N2950" t="b">
        <v>0</v>
      </c>
      <c r="O2950">
        <v>0</v>
      </c>
      <c r="P2950">
        <v>1</v>
      </c>
      <c r="Q2950">
        <v>0</v>
      </c>
      <c r="R2950">
        <v>0</v>
      </c>
    </row>
    <row r="2951" spans="1:18" x14ac:dyDescent="0.25">
      <c r="A2951" t="s">
        <v>436</v>
      </c>
      <c r="B2951" t="s">
        <v>6</v>
      </c>
      <c r="C2951">
        <v>4</v>
      </c>
      <c r="D2951">
        <v>5</v>
      </c>
      <c r="E2951">
        <v>2</v>
      </c>
      <c r="F2951" s="15">
        <v>46083</v>
      </c>
      <c r="G2951" t="s">
        <v>397</v>
      </c>
      <c r="H2951">
        <v>4</v>
      </c>
      <c r="I2951">
        <v>2026</v>
      </c>
      <c r="J2951">
        <v>3</v>
      </c>
      <c r="K2951" t="s">
        <v>87</v>
      </c>
      <c r="L2951" t="s">
        <v>28</v>
      </c>
      <c r="M2951" t="s">
        <v>6</v>
      </c>
      <c r="N2951" t="b">
        <v>0</v>
      </c>
      <c r="O2951">
        <v>0</v>
      </c>
      <c r="P2951">
        <v>1</v>
      </c>
      <c r="Q2951">
        <v>0</v>
      </c>
      <c r="R2951">
        <v>0</v>
      </c>
    </row>
    <row r="2952" spans="1:18" x14ac:dyDescent="0.25">
      <c r="A2952" t="s">
        <v>434</v>
      </c>
      <c r="B2952" t="s">
        <v>8</v>
      </c>
      <c r="C2952">
        <v>1</v>
      </c>
      <c r="D2952">
        <v>2</v>
      </c>
      <c r="E2952">
        <v>1</v>
      </c>
      <c r="F2952" s="15">
        <v>46090</v>
      </c>
      <c r="G2952" t="s">
        <v>408</v>
      </c>
      <c r="H2952">
        <v>4</v>
      </c>
      <c r="I2952">
        <v>2026</v>
      </c>
      <c r="J2952">
        <v>3</v>
      </c>
      <c r="K2952" t="s">
        <v>87</v>
      </c>
      <c r="L2952" t="s">
        <v>352</v>
      </c>
      <c r="M2952" t="s">
        <v>6</v>
      </c>
      <c r="N2952" t="b">
        <v>0</v>
      </c>
      <c r="O2952">
        <v>1</v>
      </c>
      <c r="P2952">
        <v>0</v>
      </c>
      <c r="Q2952">
        <v>0</v>
      </c>
      <c r="R2952">
        <v>0</v>
      </c>
    </row>
    <row r="2953" spans="1:18" x14ac:dyDescent="0.25">
      <c r="A2953" t="s">
        <v>434</v>
      </c>
      <c r="B2953" t="s">
        <v>8</v>
      </c>
      <c r="C2953">
        <v>1</v>
      </c>
      <c r="D2953">
        <v>2</v>
      </c>
      <c r="E2953">
        <v>1</v>
      </c>
      <c r="F2953" s="15">
        <v>46090</v>
      </c>
      <c r="G2953" t="s">
        <v>408</v>
      </c>
      <c r="H2953">
        <v>4</v>
      </c>
      <c r="I2953">
        <v>2026</v>
      </c>
      <c r="J2953">
        <v>3</v>
      </c>
      <c r="K2953" t="s">
        <v>87</v>
      </c>
      <c r="L2953" t="s">
        <v>321</v>
      </c>
      <c r="M2953" t="s">
        <v>6</v>
      </c>
      <c r="N2953" t="b">
        <v>0</v>
      </c>
      <c r="O2953">
        <v>1</v>
      </c>
      <c r="P2953">
        <v>0</v>
      </c>
      <c r="Q2953">
        <v>0</v>
      </c>
      <c r="R2953">
        <v>0</v>
      </c>
    </row>
    <row r="2954" spans="1:18" x14ac:dyDescent="0.25">
      <c r="A2954" t="s">
        <v>434</v>
      </c>
      <c r="B2954" t="s">
        <v>8</v>
      </c>
      <c r="C2954">
        <v>1</v>
      </c>
      <c r="D2954">
        <v>2</v>
      </c>
      <c r="E2954">
        <v>1</v>
      </c>
      <c r="F2954" s="15">
        <v>46090</v>
      </c>
      <c r="G2954" t="s">
        <v>408</v>
      </c>
      <c r="H2954">
        <v>4</v>
      </c>
      <c r="I2954">
        <v>2026</v>
      </c>
      <c r="J2954">
        <v>3</v>
      </c>
      <c r="K2954" t="s">
        <v>87</v>
      </c>
      <c r="L2954" t="s">
        <v>19</v>
      </c>
      <c r="M2954" t="s">
        <v>6</v>
      </c>
      <c r="N2954" t="b">
        <v>0</v>
      </c>
      <c r="O2954">
        <v>1</v>
      </c>
      <c r="P2954">
        <v>0</v>
      </c>
      <c r="Q2954">
        <v>0</v>
      </c>
      <c r="R2954">
        <v>0</v>
      </c>
    </row>
    <row r="2955" spans="1:18" x14ac:dyDescent="0.25">
      <c r="A2955" t="s">
        <v>352</v>
      </c>
      <c r="B2955" t="s">
        <v>6</v>
      </c>
      <c r="C2955">
        <v>2</v>
      </c>
      <c r="D2955">
        <v>2</v>
      </c>
      <c r="E2955">
        <v>1</v>
      </c>
      <c r="F2955" s="15">
        <v>46090</v>
      </c>
      <c r="G2955" t="s">
        <v>408</v>
      </c>
      <c r="H2955">
        <v>4</v>
      </c>
      <c r="I2955">
        <v>2026</v>
      </c>
      <c r="J2955">
        <v>3</v>
      </c>
      <c r="K2955" t="s">
        <v>87</v>
      </c>
      <c r="L2955" t="s">
        <v>434</v>
      </c>
      <c r="M2955" t="s">
        <v>8</v>
      </c>
      <c r="N2955" t="b">
        <v>0</v>
      </c>
      <c r="O2955">
        <v>0</v>
      </c>
      <c r="P2955">
        <v>1</v>
      </c>
      <c r="Q2955">
        <v>0</v>
      </c>
      <c r="R2955">
        <v>1</v>
      </c>
    </row>
    <row r="2956" spans="1:18" x14ac:dyDescent="0.25">
      <c r="A2956" t="s">
        <v>352</v>
      </c>
      <c r="B2956" t="s">
        <v>6</v>
      </c>
      <c r="C2956">
        <v>2</v>
      </c>
      <c r="D2956">
        <v>2</v>
      </c>
      <c r="E2956">
        <v>1</v>
      </c>
      <c r="F2956" s="15">
        <v>46090</v>
      </c>
      <c r="G2956" t="s">
        <v>408</v>
      </c>
      <c r="H2956">
        <v>4</v>
      </c>
      <c r="I2956">
        <v>2026</v>
      </c>
      <c r="J2956">
        <v>3</v>
      </c>
      <c r="K2956" t="s">
        <v>87</v>
      </c>
      <c r="L2956" t="s">
        <v>321</v>
      </c>
      <c r="M2956" t="s">
        <v>6</v>
      </c>
      <c r="N2956" t="b">
        <v>0</v>
      </c>
      <c r="O2956">
        <v>0</v>
      </c>
      <c r="P2956">
        <v>1</v>
      </c>
      <c r="Q2956">
        <v>0</v>
      </c>
      <c r="R2956">
        <v>0</v>
      </c>
    </row>
    <row r="2957" spans="1:18" x14ac:dyDescent="0.25">
      <c r="A2957" t="s">
        <v>352</v>
      </c>
      <c r="B2957" t="s">
        <v>6</v>
      </c>
      <c r="C2957">
        <v>2</v>
      </c>
      <c r="D2957">
        <v>2</v>
      </c>
      <c r="E2957">
        <v>1</v>
      </c>
      <c r="F2957" s="15">
        <v>46090</v>
      </c>
      <c r="G2957" t="s">
        <v>408</v>
      </c>
      <c r="H2957">
        <v>4</v>
      </c>
      <c r="I2957">
        <v>2026</v>
      </c>
      <c r="J2957">
        <v>3</v>
      </c>
      <c r="K2957" t="s">
        <v>87</v>
      </c>
      <c r="L2957" t="s">
        <v>19</v>
      </c>
      <c r="M2957" t="s">
        <v>6</v>
      </c>
      <c r="N2957" t="b">
        <v>0</v>
      </c>
      <c r="O2957">
        <v>0</v>
      </c>
      <c r="P2957">
        <v>1</v>
      </c>
      <c r="Q2957">
        <v>0</v>
      </c>
      <c r="R2957">
        <v>0</v>
      </c>
    </row>
    <row r="2958" spans="1:18" x14ac:dyDescent="0.25">
      <c r="A2958" t="s">
        <v>321</v>
      </c>
      <c r="B2958" t="s">
        <v>6</v>
      </c>
      <c r="C2958">
        <v>3</v>
      </c>
      <c r="D2958">
        <v>2</v>
      </c>
      <c r="E2958">
        <v>1</v>
      </c>
      <c r="F2958" s="15">
        <v>46090</v>
      </c>
      <c r="G2958" t="s">
        <v>408</v>
      </c>
      <c r="H2958">
        <v>4</v>
      </c>
      <c r="I2958">
        <v>2026</v>
      </c>
      <c r="J2958">
        <v>3</v>
      </c>
      <c r="K2958" t="s">
        <v>87</v>
      </c>
      <c r="L2958" t="s">
        <v>434</v>
      </c>
      <c r="M2958" t="s">
        <v>8</v>
      </c>
      <c r="N2958" t="b">
        <v>0</v>
      </c>
      <c r="O2958">
        <v>0</v>
      </c>
      <c r="P2958">
        <v>1</v>
      </c>
      <c r="Q2958">
        <v>0</v>
      </c>
      <c r="R2958">
        <v>1</v>
      </c>
    </row>
    <row r="2959" spans="1:18" x14ac:dyDescent="0.25">
      <c r="A2959" t="s">
        <v>321</v>
      </c>
      <c r="B2959" t="s">
        <v>6</v>
      </c>
      <c r="C2959">
        <v>3</v>
      </c>
      <c r="D2959">
        <v>2</v>
      </c>
      <c r="E2959">
        <v>1</v>
      </c>
      <c r="F2959" s="15">
        <v>46090</v>
      </c>
      <c r="G2959" t="s">
        <v>408</v>
      </c>
      <c r="H2959">
        <v>4</v>
      </c>
      <c r="I2959">
        <v>2026</v>
      </c>
      <c r="J2959">
        <v>3</v>
      </c>
      <c r="K2959" t="s">
        <v>87</v>
      </c>
      <c r="L2959" t="s">
        <v>352</v>
      </c>
      <c r="M2959" t="s">
        <v>6</v>
      </c>
      <c r="N2959" t="b">
        <v>0</v>
      </c>
      <c r="O2959">
        <v>0</v>
      </c>
      <c r="P2959">
        <v>1</v>
      </c>
      <c r="Q2959">
        <v>0</v>
      </c>
      <c r="R2959">
        <v>0</v>
      </c>
    </row>
    <row r="2960" spans="1:18" x14ac:dyDescent="0.25">
      <c r="A2960" t="s">
        <v>321</v>
      </c>
      <c r="B2960" t="s">
        <v>6</v>
      </c>
      <c r="C2960">
        <v>3</v>
      </c>
      <c r="D2960">
        <v>2</v>
      </c>
      <c r="E2960">
        <v>1</v>
      </c>
      <c r="F2960" s="15">
        <v>46090</v>
      </c>
      <c r="G2960" t="s">
        <v>408</v>
      </c>
      <c r="H2960">
        <v>4</v>
      </c>
      <c r="I2960">
        <v>2026</v>
      </c>
      <c r="J2960">
        <v>3</v>
      </c>
      <c r="K2960" t="s">
        <v>87</v>
      </c>
      <c r="L2960" t="s">
        <v>19</v>
      </c>
      <c r="M2960" t="s">
        <v>6</v>
      </c>
      <c r="N2960" t="b">
        <v>0</v>
      </c>
      <c r="O2960">
        <v>0</v>
      </c>
      <c r="P2960">
        <v>1</v>
      </c>
      <c r="Q2960">
        <v>0</v>
      </c>
      <c r="R2960">
        <v>0</v>
      </c>
    </row>
    <row r="2961" spans="1:18" x14ac:dyDescent="0.25">
      <c r="A2961" t="s">
        <v>19</v>
      </c>
      <c r="B2961" t="s">
        <v>6</v>
      </c>
      <c r="C2961">
        <v>4</v>
      </c>
      <c r="D2961">
        <v>2</v>
      </c>
      <c r="E2961">
        <v>1</v>
      </c>
      <c r="F2961" s="15">
        <v>46090</v>
      </c>
      <c r="G2961" t="s">
        <v>408</v>
      </c>
      <c r="H2961">
        <v>4</v>
      </c>
      <c r="I2961">
        <v>2026</v>
      </c>
      <c r="J2961">
        <v>3</v>
      </c>
      <c r="K2961" t="s">
        <v>87</v>
      </c>
      <c r="L2961" t="s">
        <v>434</v>
      </c>
      <c r="M2961" t="s">
        <v>8</v>
      </c>
      <c r="N2961" t="b">
        <v>0</v>
      </c>
      <c r="O2961">
        <v>0</v>
      </c>
      <c r="P2961">
        <v>1</v>
      </c>
      <c r="Q2961">
        <v>0</v>
      </c>
      <c r="R2961">
        <v>1</v>
      </c>
    </row>
    <row r="2962" spans="1:18" x14ac:dyDescent="0.25">
      <c r="A2962" t="s">
        <v>19</v>
      </c>
      <c r="B2962" t="s">
        <v>6</v>
      </c>
      <c r="C2962">
        <v>4</v>
      </c>
      <c r="D2962">
        <v>2</v>
      </c>
      <c r="E2962">
        <v>1</v>
      </c>
      <c r="F2962" s="15">
        <v>46090</v>
      </c>
      <c r="G2962" t="s">
        <v>408</v>
      </c>
      <c r="H2962">
        <v>4</v>
      </c>
      <c r="I2962">
        <v>2026</v>
      </c>
      <c r="J2962">
        <v>3</v>
      </c>
      <c r="K2962" t="s">
        <v>87</v>
      </c>
      <c r="L2962" t="s">
        <v>352</v>
      </c>
      <c r="M2962" t="s">
        <v>6</v>
      </c>
      <c r="N2962" t="b">
        <v>0</v>
      </c>
      <c r="O2962">
        <v>0</v>
      </c>
      <c r="P2962">
        <v>1</v>
      </c>
      <c r="Q2962">
        <v>0</v>
      </c>
      <c r="R2962">
        <v>0</v>
      </c>
    </row>
    <row r="2963" spans="1:18" x14ac:dyDescent="0.25">
      <c r="A2963" t="s">
        <v>19</v>
      </c>
      <c r="B2963" t="s">
        <v>6</v>
      </c>
      <c r="C2963">
        <v>4</v>
      </c>
      <c r="D2963">
        <v>2</v>
      </c>
      <c r="E2963">
        <v>1</v>
      </c>
      <c r="F2963" s="15">
        <v>46090</v>
      </c>
      <c r="G2963" t="s">
        <v>408</v>
      </c>
      <c r="H2963">
        <v>4</v>
      </c>
      <c r="I2963">
        <v>2026</v>
      </c>
      <c r="J2963">
        <v>3</v>
      </c>
      <c r="K2963" t="s">
        <v>87</v>
      </c>
      <c r="L2963" t="s">
        <v>321</v>
      </c>
      <c r="M2963" t="s">
        <v>6</v>
      </c>
      <c r="N2963" t="b">
        <v>0</v>
      </c>
      <c r="O2963">
        <v>0</v>
      </c>
      <c r="P2963">
        <v>1</v>
      </c>
      <c r="Q2963">
        <v>0</v>
      </c>
      <c r="R2963">
        <v>0</v>
      </c>
    </row>
    <row r="2964" spans="1:18" x14ac:dyDescent="0.25">
      <c r="A2964" t="s">
        <v>434</v>
      </c>
      <c r="B2964" t="s">
        <v>8</v>
      </c>
      <c r="C2964">
        <v>4</v>
      </c>
      <c r="D2964">
        <v>1</v>
      </c>
      <c r="E2964">
        <v>2</v>
      </c>
      <c r="F2964" s="15">
        <v>46090</v>
      </c>
      <c r="G2964" t="s">
        <v>414</v>
      </c>
      <c r="H2964">
        <v>4</v>
      </c>
      <c r="I2964">
        <v>2026</v>
      </c>
      <c r="J2964">
        <v>3</v>
      </c>
      <c r="K2964" t="s">
        <v>87</v>
      </c>
      <c r="L2964" t="s">
        <v>401</v>
      </c>
      <c r="M2964" t="s">
        <v>6</v>
      </c>
      <c r="N2964" t="b">
        <v>0</v>
      </c>
      <c r="O2964">
        <v>1</v>
      </c>
      <c r="P2964">
        <v>0</v>
      </c>
      <c r="Q2964">
        <v>0</v>
      </c>
      <c r="R2964">
        <v>0</v>
      </c>
    </row>
    <row r="2965" spans="1:18" x14ac:dyDescent="0.25">
      <c r="A2965" t="s">
        <v>434</v>
      </c>
      <c r="B2965" t="s">
        <v>8</v>
      </c>
      <c r="C2965">
        <v>4</v>
      </c>
      <c r="D2965">
        <v>1</v>
      </c>
      <c r="E2965">
        <v>2</v>
      </c>
      <c r="F2965" s="15">
        <v>46090</v>
      </c>
      <c r="G2965" t="s">
        <v>414</v>
      </c>
      <c r="H2965">
        <v>4</v>
      </c>
      <c r="I2965">
        <v>2026</v>
      </c>
      <c r="J2965">
        <v>3</v>
      </c>
      <c r="K2965" t="s">
        <v>87</v>
      </c>
      <c r="L2965" t="s">
        <v>51</v>
      </c>
      <c r="M2965" t="s">
        <v>6</v>
      </c>
      <c r="N2965" t="b">
        <v>0</v>
      </c>
      <c r="O2965">
        <v>1</v>
      </c>
      <c r="P2965">
        <v>0</v>
      </c>
      <c r="Q2965">
        <v>0</v>
      </c>
      <c r="R2965">
        <v>0</v>
      </c>
    </row>
    <row r="2966" spans="1:18" x14ac:dyDescent="0.25">
      <c r="A2966" t="s">
        <v>434</v>
      </c>
      <c r="B2966" t="s">
        <v>8</v>
      </c>
      <c r="C2966">
        <v>4</v>
      </c>
      <c r="D2966">
        <v>1</v>
      </c>
      <c r="E2966">
        <v>2</v>
      </c>
      <c r="F2966" s="15">
        <v>46090</v>
      </c>
      <c r="G2966" t="s">
        <v>414</v>
      </c>
      <c r="H2966">
        <v>4</v>
      </c>
      <c r="I2966">
        <v>2026</v>
      </c>
      <c r="J2966">
        <v>3</v>
      </c>
      <c r="K2966" t="s">
        <v>87</v>
      </c>
      <c r="L2966" t="s">
        <v>16</v>
      </c>
      <c r="M2966" t="s">
        <v>6</v>
      </c>
      <c r="N2966" t="b">
        <v>0</v>
      </c>
      <c r="O2966">
        <v>1</v>
      </c>
      <c r="P2966">
        <v>0</v>
      </c>
      <c r="Q2966">
        <v>0</v>
      </c>
      <c r="R2966">
        <v>0</v>
      </c>
    </row>
    <row r="2967" spans="1:18" x14ac:dyDescent="0.25">
      <c r="A2967" t="s">
        <v>401</v>
      </c>
      <c r="B2967" t="s">
        <v>6</v>
      </c>
      <c r="C2967">
        <v>1</v>
      </c>
      <c r="D2967">
        <v>1</v>
      </c>
      <c r="E2967">
        <v>2</v>
      </c>
      <c r="F2967" s="15">
        <v>46090</v>
      </c>
      <c r="G2967" t="s">
        <v>414</v>
      </c>
      <c r="H2967">
        <v>4</v>
      </c>
      <c r="I2967">
        <v>2026</v>
      </c>
      <c r="J2967">
        <v>3</v>
      </c>
      <c r="K2967" t="s">
        <v>87</v>
      </c>
      <c r="L2967" t="s">
        <v>434</v>
      </c>
      <c r="M2967" t="s">
        <v>8</v>
      </c>
      <c r="N2967" t="b">
        <v>0</v>
      </c>
      <c r="O2967">
        <v>0</v>
      </c>
      <c r="P2967">
        <v>1</v>
      </c>
      <c r="Q2967">
        <v>0</v>
      </c>
      <c r="R2967">
        <v>1</v>
      </c>
    </row>
    <row r="2968" spans="1:18" x14ac:dyDescent="0.25">
      <c r="A2968" t="s">
        <v>401</v>
      </c>
      <c r="B2968" t="s">
        <v>6</v>
      </c>
      <c r="C2968">
        <v>1</v>
      </c>
      <c r="D2968">
        <v>1</v>
      </c>
      <c r="E2968">
        <v>2</v>
      </c>
      <c r="F2968" s="15">
        <v>46090</v>
      </c>
      <c r="G2968" t="s">
        <v>414</v>
      </c>
      <c r="H2968">
        <v>4</v>
      </c>
      <c r="I2968">
        <v>2026</v>
      </c>
      <c r="J2968">
        <v>3</v>
      </c>
      <c r="K2968" t="s">
        <v>87</v>
      </c>
      <c r="L2968" t="s">
        <v>51</v>
      </c>
      <c r="M2968" t="s">
        <v>6</v>
      </c>
      <c r="N2968" t="b">
        <v>0</v>
      </c>
      <c r="O2968">
        <v>0</v>
      </c>
      <c r="P2968">
        <v>1</v>
      </c>
      <c r="Q2968">
        <v>0</v>
      </c>
      <c r="R2968">
        <v>0</v>
      </c>
    </row>
    <row r="2969" spans="1:18" x14ac:dyDescent="0.25">
      <c r="A2969" t="s">
        <v>401</v>
      </c>
      <c r="B2969" t="s">
        <v>6</v>
      </c>
      <c r="C2969">
        <v>1</v>
      </c>
      <c r="D2969">
        <v>1</v>
      </c>
      <c r="E2969">
        <v>2</v>
      </c>
      <c r="F2969" s="15">
        <v>46090</v>
      </c>
      <c r="G2969" t="s">
        <v>414</v>
      </c>
      <c r="H2969">
        <v>4</v>
      </c>
      <c r="I2969">
        <v>2026</v>
      </c>
      <c r="J2969">
        <v>3</v>
      </c>
      <c r="K2969" t="s">
        <v>87</v>
      </c>
      <c r="L2969" t="s">
        <v>16</v>
      </c>
      <c r="M2969" t="s">
        <v>6</v>
      </c>
      <c r="N2969" t="b">
        <v>0</v>
      </c>
      <c r="O2969">
        <v>0</v>
      </c>
      <c r="P2969">
        <v>1</v>
      </c>
      <c r="Q2969">
        <v>0</v>
      </c>
      <c r="R2969">
        <v>0</v>
      </c>
    </row>
    <row r="2970" spans="1:18" x14ac:dyDescent="0.25">
      <c r="A2970" t="s">
        <v>51</v>
      </c>
      <c r="B2970" t="s">
        <v>6</v>
      </c>
      <c r="C2970">
        <v>2</v>
      </c>
      <c r="D2970">
        <v>1</v>
      </c>
      <c r="E2970">
        <v>2</v>
      </c>
      <c r="F2970" s="15">
        <v>46090</v>
      </c>
      <c r="G2970" t="s">
        <v>414</v>
      </c>
      <c r="H2970">
        <v>4</v>
      </c>
      <c r="I2970">
        <v>2026</v>
      </c>
      <c r="J2970">
        <v>3</v>
      </c>
      <c r="K2970" t="s">
        <v>87</v>
      </c>
      <c r="L2970" t="s">
        <v>434</v>
      </c>
      <c r="M2970" t="s">
        <v>8</v>
      </c>
      <c r="N2970" t="b">
        <v>0</v>
      </c>
      <c r="O2970">
        <v>0</v>
      </c>
      <c r="P2970">
        <v>1</v>
      </c>
      <c r="Q2970">
        <v>0</v>
      </c>
      <c r="R2970">
        <v>1</v>
      </c>
    </row>
    <row r="2971" spans="1:18" x14ac:dyDescent="0.25">
      <c r="A2971" t="s">
        <v>51</v>
      </c>
      <c r="B2971" t="s">
        <v>6</v>
      </c>
      <c r="C2971">
        <v>2</v>
      </c>
      <c r="D2971">
        <v>1</v>
      </c>
      <c r="E2971">
        <v>2</v>
      </c>
      <c r="F2971" s="15">
        <v>46090</v>
      </c>
      <c r="G2971" t="s">
        <v>414</v>
      </c>
      <c r="H2971">
        <v>4</v>
      </c>
      <c r="I2971">
        <v>2026</v>
      </c>
      <c r="J2971">
        <v>3</v>
      </c>
      <c r="K2971" t="s">
        <v>87</v>
      </c>
      <c r="L2971" t="s">
        <v>401</v>
      </c>
      <c r="M2971" t="s">
        <v>6</v>
      </c>
      <c r="N2971" t="b">
        <v>0</v>
      </c>
      <c r="O2971">
        <v>0</v>
      </c>
      <c r="P2971">
        <v>1</v>
      </c>
      <c r="Q2971">
        <v>0</v>
      </c>
      <c r="R2971">
        <v>0</v>
      </c>
    </row>
    <row r="2972" spans="1:18" x14ac:dyDescent="0.25">
      <c r="A2972" t="s">
        <v>51</v>
      </c>
      <c r="B2972" t="s">
        <v>6</v>
      </c>
      <c r="C2972">
        <v>2</v>
      </c>
      <c r="D2972">
        <v>1</v>
      </c>
      <c r="E2972">
        <v>2</v>
      </c>
      <c r="F2972" s="15">
        <v>46090</v>
      </c>
      <c r="G2972" t="s">
        <v>414</v>
      </c>
      <c r="H2972">
        <v>4</v>
      </c>
      <c r="I2972">
        <v>2026</v>
      </c>
      <c r="J2972">
        <v>3</v>
      </c>
      <c r="K2972" t="s">
        <v>87</v>
      </c>
      <c r="L2972" t="s">
        <v>16</v>
      </c>
      <c r="M2972" t="s">
        <v>6</v>
      </c>
      <c r="N2972" t="b">
        <v>0</v>
      </c>
      <c r="O2972">
        <v>0</v>
      </c>
      <c r="P2972">
        <v>1</v>
      </c>
      <c r="Q2972">
        <v>0</v>
      </c>
      <c r="R2972">
        <v>0</v>
      </c>
    </row>
    <row r="2973" spans="1:18" x14ac:dyDescent="0.25">
      <c r="A2973" t="s">
        <v>16</v>
      </c>
      <c r="B2973" t="s">
        <v>6</v>
      </c>
      <c r="C2973">
        <v>3</v>
      </c>
      <c r="D2973">
        <v>1</v>
      </c>
      <c r="E2973">
        <v>2</v>
      </c>
      <c r="F2973" s="15">
        <v>46090</v>
      </c>
      <c r="G2973" t="s">
        <v>414</v>
      </c>
      <c r="H2973">
        <v>4</v>
      </c>
      <c r="I2973">
        <v>2026</v>
      </c>
      <c r="J2973">
        <v>3</v>
      </c>
      <c r="K2973" t="s">
        <v>87</v>
      </c>
      <c r="L2973" t="s">
        <v>434</v>
      </c>
      <c r="M2973" t="s">
        <v>8</v>
      </c>
      <c r="N2973" t="b">
        <v>0</v>
      </c>
      <c r="O2973">
        <v>0</v>
      </c>
      <c r="P2973">
        <v>1</v>
      </c>
      <c r="Q2973">
        <v>0</v>
      </c>
      <c r="R2973">
        <v>1</v>
      </c>
    </row>
    <row r="2974" spans="1:18" x14ac:dyDescent="0.25">
      <c r="A2974" t="s">
        <v>16</v>
      </c>
      <c r="B2974" t="s">
        <v>6</v>
      </c>
      <c r="C2974">
        <v>3</v>
      </c>
      <c r="D2974">
        <v>1</v>
      </c>
      <c r="E2974">
        <v>2</v>
      </c>
      <c r="F2974" s="15">
        <v>46090</v>
      </c>
      <c r="G2974" t="s">
        <v>414</v>
      </c>
      <c r="H2974">
        <v>4</v>
      </c>
      <c r="I2974">
        <v>2026</v>
      </c>
      <c r="J2974">
        <v>3</v>
      </c>
      <c r="K2974" t="s">
        <v>87</v>
      </c>
      <c r="L2974" t="s">
        <v>401</v>
      </c>
      <c r="M2974" t="s">
        <v>6</v>
      </c>
      <c r="N2974" t="b">
        <v>0</v>
      </c>
      <c r="O2974">
        <v>0</v>
      </c>
      <c r="P2974">
        <v>1</v>
      </c>
      <c r="Q2974">
        <v>0</v>
      </c>
      <c r="R2974">
        <v>0</v>
      </c>
    </row>
    <row r="2975" spans="1:18" x14ac:dyDescent="0.25">
      <c r="A2975" t="s">
        <v>16</v>
      </c>
      <c r="B2975" t="s">
        <v>6</v>
      </c>
      <c r="C2975">
        <v>3</v>
      </c>
      <c r="D2975">
        <v>1</v>
      </c>
      <c r="E2975">
        <v>2</v>
      </c>
      <c r="F2975" s="15">
        <v>46090</v>
      </c>
      <c r="G2975" t="s">
        <v>414</v>
      </c>
      <c r="H2975">
        <v>4</v>
      </c>
      <c r="I2975">
        <v>2026</v>
      </c>
      <c r="J2975">
        <v>3</v>
      </c>
      <c r="K2975" t="s">
        <v>87</v>
      </c>
      <c r="L2975" t="s">
        <v>51</v>
      </c>
      <c r="M2975" t="s">
        <v>6</v>
      </c>
      <c r="N2975" t="b">
        <v>0</v>
      </c>
      <c r="O2975">
        <v>0</v>
      </c>
      <c r="P2975">
        <v>1</v>
      </c>
      <c r="Q2975">
        <v>0</v>
      </c>
      <c r="R2975">
        <v>0</v>
      </c>
    </row>
    <row r="2976" spans="1:18" x14ac:dyDescent="0.25">
      <c r="A2976" t="s">
        <v>60</v>
      </c>
      <c r="B2976" t="s">
        <v>6</v>
      </c>
      <c r="C2976">
        <v>2</v>
      </c>
      <c r="D2976">
        <v>3</v>
      </c>
      <c r="E2976">
        <v>2</v>
      </c>
      <c r="F2976" s="15">
        <v>45971</v>
      </c>
      <c r="G2976" t="s">
        <v>229</v>
      </c>
      <c r="H2976">
        <v>4</v>
      </c>
      <c r="I2976">
        <v>2025</v>
      </c>
      <c r="J2976">
        <v>11</v>
      </c>
      <c r="K2976" t="s">
        <v>87</v>
      </c>
      <c r="L2976" t="s">
        <v>11</v>
      </c>
      <c r="M2976" t="s">
        <v>8</v>
      </c>
      <c r="N2976" t="b">
        <v>0</v>
      </c>
      <c r="O2976">
        <v>0</v>
      </c>
      <c r="P2976">
        <v>1</v>
      </c>
      <c r="Q2976">
        <v>0</v>
      </c>
      <c r="R2976">
        <v>1</v>
      </c>
    </row>
    <row r="2977" spans="1:18" x14ac:dyDescent="0.25">
      <c r="A2977" t="s">
        <v>60</v>
      </c>
      <c r="B2977" t="s">
        <v>6</v>
      </c>
      <c r="C2977">
        <v>2</v>
      </c>
      <c r="D2977">
        <v>3</v>
      </c>
      <c r="E2977">
        <v>2</v>
      </c>
      <c r="F2977" s="15">
        <v>45971</v>
      </c>
      <c r="G2977" t="s">
        <v>229</v>
      </c>
      <c r="H2977">
        <v>4</v>
      </c>
      <c r="I2977">
        <v>2025</v>
      </c>
      <c r="J2977">
        <v>11</v>
      </c>
      <c r="K2977" t="s">
        <v>87</v>
      </c>
      <c r="L2977" t="s">
        <v>22</v>
      </c>
      <c r="M2977" t="s">
        <v>6</v>
      </c>
      <c r="N2977" t="b">
        <v>0</v>
      </c>
      <c r="O2977">
        <v>0</v>
      </c>
      <c r="P2977">
        <v>1</v>
      </c>
      <c r="Q2977">
        <v>0</v>
      </c>
      <c r="R2977">
        <v>0</v>
      </c>
    </row>
    <row r="2978" spans="1:18" x14ac:dyDescent="0.25">
      <c r="A2978" t="s">
        <v>60</v>
      </c>
      <c r="B2978" t="s">
        <v>6</v>
      </c>
      <c r="C2978">
        <v>2</v>
      </c>
      <c r="D2978">
        <v>3</v>
      </c>
      <c r="E2978">
        <v>2</v>
      </c>
      <c r="F2978" s="15">
        <v>45971</v>
      </c>
      <c r="G2978" t="s">
        <v>229</v>
      </c>
      <c r="H2978">
        <v>4</v>
      </c>
      <c r="I2978">
        <v>2025</v>
      </c>
      <c r="J2978">
        <v>11</v>
      </c>
      <c r="K2978" t="s">
        <v>87</v>
      </c>
      <c r="L2978" t="s">
        <v>17</v>
      </c>
      <c r="M2978" t="s">
        <v>6</v>
      </c>
      <c r="N2978" t="b">
        <v>0</v>
      </c>
      <c r="O2978">
        <v>0</v>
      </c>
      <c r="P2978">
        <v>1</v>
      </c>
      <c r="Q2978">
        <v>0</v>
      </c>
      <c r="R2978">
        <v>0</v>
      </c>
    </row>
    <row r="2979" spans="1:18" x14ac:dyDescent="0.25">
      <c r="A2979" t="s">
        <v>11</v>
      </c>
      <c r="B2979" t="s">
        <v>8</v>
      </c>
      <c r="C2979">
        <v>4</v>
      </c>
      <c r="D2979">
        <v>3</v>
      </c>
      <c r="E2979">
        <v>2</v>
      </c>
      <c r="F2979" s="15">
        <v>45971</v>
      </c>
      <c r="G2979" t="s">
        <v>229</v>
      </c>
      <c r="H2979">
        <v>4</v>
      </c>
      <c r="I2979">
        <v>2025</v>
      </c>
      <c r="J2979">
        <v>11</v>
      </c>
      <c r="K2979" t="s">
        <v>87</v>
      </c>
      <c r="L2979" t="s">
        <v>60</v>
      </c>
      <c r="M2979" t="s">
        <v>6</v>
      </c>
      <c r="N2979" t="b">
        <v>0</v>
      </c>
      <c r="O2979">
        <v>1</v>
      </c>
      <c r="P2979">
        <v>0</v>
      </c>
      <c r="Q2979">
        <v>0</v>
      </c>
      <c r="R2979">
        <v>0</v>
      </c>
    </row>
    <row r="2980" spans="1:18" x14ac:dyDescent="0.25">
      <c r="A2980" t="s">
        <v>11</v>
      </c>
      <c r="B2980" t="s">
        <v>8</v>
      </c>
      <c r="C2980">
        <v>4</v>
      </c>
      <c r="D2980">
        <v>3</v>
      </c>
      <c r="E2980">
        <v>2</v>
      </c>
      <c r="F2980" s="15">
        <v>45971</v>
      </c>
      <c r="G2980" t="s">
        <v>229</v>
      </c>
      <c r="H2980">
        <v>4</v>
      </c>
      <c r="I2980">
        <v>2025</v>
      </c>
      <c r="J2980">
        <v>11</v>
      </c>
      <c r="K2980" t="s">
        <v>87</v>
      </c>
      <c r="L2980" t="s">
        <v>22</v>
      </c>
      <c r="M2980" t="s">
        <v>6</v>
      </c>
      <c r="N2980" t="b">
        <v>0</v>
      </c>
      <c r="O2980">
        <v>1</v>
      </c>
      <c r="P2980">
        <v>0</v>
      </c>
      <c r="Q2980">
        <v>0</v>
      </c>
      <c r="R2980">
        <v>0</v>
      </c>
    </row>
    <row r="2981" spans="1:18" x14ac:dyDescent="0.25">
      <c r="A2981" t="s">
        <v>11</v>
      </c>
      <c r="B2981" t="s">
        <v>8</v>
      </c>
      <c r="C2981">
        <v>4</v>
      </c>
      <c r="D2981">
        <v>3</v>
      </c>
      <c r="E2981">
        <v>2</v>
      </c>
      <c r="F2981" s="15">
        <v>45971</v>
      </c>
      <c r="G2981" t="s">
        <v>229</v>
      </c>
      <c r="H2981">
        <v>4</v>
      </c>
      <c r="I2981">
        <v>2025</v>
      </c>
      <c r="J2981">
        <v>11</v>
      </c>
      <c r="K2981" t="s">
        <v>87</v>
      </c>
      <c r="L2981" t="s">
        <v>17</v>
      </c>
      <c r="M2981" t="s">
        <v>6</v>
      </c>
      <c r="N2981" t="b">
        <v>0</v>
      </c>
      <c r="O2981">
        <v>1</v>
      </c>
      <c r="P2981">
        <v>0</v>
      </c>
      <c r="Q2981">
        <v>0</v>
      </c>
      <c r="R2981">
        <v>0</v>
      </c>
    </row>
    <row r="2982" spans="1:18" x14ac:dyDescent="0.25">
      <c r="A2982" t="s">
        <v>22</v>
      </c>
      <c r="B2982" t="s">
        <v>6</v>
      </c>
      <c r="C2982">
        <v>3</v>
      </c>
      <c r="D2982">
        <v>3</v>
      </c>
      <c r="E2982">
        <v>2</v>
      </c>
      <c r="F2982" s="15">
        <v>45971</v>
      </c>
      <c r="G2982" t="s">
        <v>229</v>
      </c>
      <c r="H2982">
        <v>4</v>
      </c>
      <c r="I2982">
        <v>2025</v>
      </c>
      <c r="J2982">
        <v>11</v>
      </c>
      <c r="K2982" t="s">
        <v>87</v>
      </c>
      <c r="L2982" t="s">
        <v>60</v>
      </c>
      <c r="M2982" t="s">
        <v>6</v>
      </c>
      <c r="N2982" t="b">
        <v>0</v>
      </c>
      <c r="O2982">
        <v>0</v>
      </c>
      <c r="P2982">
        <v>1</v>
      </c>
      <c r="Q2982">
        <v>0</v>
      </c>
      <c r="R2982">
        <v>0</v>
      </c>
    </row>
    <row r="2983" spans="1:18" x14ac:dyDescent="0.25">
      <c r="A2983" t="s">
        <v>22</v>
      </c>
      <c r="B2983" t="s">
        <v>6</v>
      </c>
      <c r="C2983">
        <v>3</v>
      </c>
      <c r="D2983">
        <v>3</v>
      </c>
      <c r="E2983">
        <v>2</v>
      </c>
      <c r="F2983" s="15">
        <v>45971</v>
      </c>
      <c r="G2983" t="s">
        <v>229</v>
      </c>
      <c r="H2983">
        <v>4</v>
      </c>
      <c r="I2983">
        <v>2025</v>
      </c>
      <c r="J2983">
        <v>11</v>
      </c>
      <c r="K2983" t="s">
        <v>87</v>
      </c>
      <c r="L2983" t="s">
        <v>11</v>
      </c>
      <c r="M2983" t="s">
        <v>8</v>
      </c>
      <c r="N2983" t="b">
        <v>0</v>
      </c>
      <c r="O2983">
        <v>0</v>
      </c>
      <c r="P2983">
        <v>1</v>
      </c>
      <c r="Q2983">
        <v>0</v>
      </c>
      <c r="R2983">
        <v>1</v>
      </c>
    </row>
    <row r="2984" spans="1:18" x14ac:dyDescent="0.25">
      <c r="A2984" t="s">
        <v>22</v>
      </c>
      <c r="B2984" t="s">
        <v>6</v>
      </c>
      <c r="C2984">
        <v>3</v>
      </c>
      <c r="D2984">
        <v>3</v>
      </c>
      <c r="E2984">
        <v>2</v>
      </c>
      <c r="F2984" s="15">
        <v>45971</v>
      </c>
      <c r="G2984" t="s">
        <v>229</v>
      </c>
      <c r="H2984">
        <v>4</v>
      </c>
      <c r="I2984">
        <v>2025</v>
      </c>
      <c r="J2984">
        <v>11</v>
      </c>
      <c r="K2984" t="s">
        <v>87</v>
      </c>
      <c r="L2984" t="s">
        <v>17</v>
      </c>
      <c r="M2984" t="s">
        <v>6</v>
      </c>
      <c r="N2984" t="b">
        <v>0</v>
      </c>
      <c r="O2984">
        <v>0</v>
      </c>
      <c r="P2984">
        <v>1</v>
      </c>
      <c r="Q2984">
        <v>0</v>
      </c>
      <c r="R2984">
        <v>0</v>
      </c>
    </row>
    <row r="2985" spans="1:18" x14ac:dyDescent="0.25">
      <c r="A2985" t="s">
        <v>17</v>
      </c>
      <c r="B2985" t="s">
        <v>6</v>
      </c>
      <c r="C2985">
        <v>1</v>
      </c>
      <c r="D2985">
        <v>3</v>
      </c>
      <c r="E2985">
        <v>2</v>
      </c>
      <c r="F2985" s="15">
        <v>45971</v>
      </c>
      <c r="G2985" t="s">
        <v>229</v>
      </c>
      <c r="H2985">
        <v>4</v>
      </c>
      <c r="I2985">
        <v>2025</v>
      </c>
      <c r="J2985">
        <v>11</v>
      </c>
      <c r="K2985" t="s">
        <v>87</v>
      </c>
      <c r="L2985" t="s">
        <v>60</v>
      </c>
      <c r="M2985" t="s">
        <v>6</v>
      </c>
      <c r="N2985" t="b">
        <v>0</v>
      </c>
      <c r="O2985">
        <v>0</v>
      </c>
      <c r="P2985">
        <v>1</v>
      </c>
      <c r="Q2985">
        <v>0</v>
      </c>
      <c r="R2985">
        <v>0</v>
      </c>
    </row>
    <row r="2986" spans="1:18" x14ac:dyDescent="0.25">
      <c r="A2986" t="s">
        <v>17</v>
      </c>
      <c r="B2986" t="s">
        <v>6</v>
      </c>
      <c r="C2986">
        <v>1</v>
      </c>
      <c r="D2986">
        <v>3</v>
      </c>
      <c r="E2986">
        <v>2</v>
      </c>
      <c r="F2986" s="15">
        <v>45971</v>
      </c>
      <c r="G2986" t="s">
        <v>229</v>
      </c>
      <c r="H2986">
        <v>4</v>
      </c>
      <c r="I2986">
        <v>2025</v>
      </c>
      <c r="J2986">
        <v>11</v>
      </c>
      <c r="K2986" t="s">
        <v>87</v>
      </c>
      <c r="L2986" t="s">
        <v>11</v>
      </c>
      <c r="M2986" t="s">
        <v>8</v>
      </c>
      <c r="N2986" t="b">
        <v>0</v>
      </c>
      <c r="O2986">
        <v>0</v>
      </c>
      <c r="P2986">
        <v>1</v>
      </c>
      <c r="Q2986">
        <v>0</v>
      </c>
      <c r="R2986">
        <v>1</v>
      </c>
    </row>
    <row r="2987" spans="1:18" x14ac:dyDescent="0.25">
      <c r="A2987" t="s">
        <v>17</v>
      </c>
      <c r="B2987" t="s">
        <v>6</v>
      </c>
      <c r="C2987">
        <v>1</v>
      </c>
      <c r="D2987">
        <v>3</v>
      </c>
      <c r="E2987">
        <v>2</v>
      </c>
      <c r="F2987" s="15">
        <v>45971</v>
      </c>
      <c r="G2987" t="s">
        <v>229</v>
      </c>
      <c r="H2987">
        <v>4</v>
      </c>
      <c r="I2987">
        <v>2025</v>
      </c>
      <c r="J2987">
        <v>11</v>
      </c>
      <c r="K2987" t="s">
        <v>87</v>
      </c>
      <c r="L2987" t="s">
        <v>22</v>
      </c>
      <c r="M2987" t="s">
        <v>6</v>
      </c>
      <c r="N2987" t="b">
        <v>0</v>
      </c>
      <c r="O2987">
        <v>0</v>
      </c>
      <c r="P2987">
        <v>1</v>
      </c>
      <c r="Q2987">
        <v>0</v>
      </c>
      <c r="R2987">
        <v>0</v>
      </c>
    </row>
    <row r="2988" spans="1:18" x14ac:dyDescent="0.25">
      <c r="A2988" t="s">
        <v>56</v>
      </c>
      <c r="B2988" t="s">
        <v>6</v>
      </c>
      <c r="C2988">
        <v>2</v>
      </c>
      <c r="D2988">
        <v>2</v>
      </c>
      <c r="E2988">
        <v>1</v>
      </c>
      <c r="F2988" s="15">
        <v>45978</v>
      </c>
      <c r="G2988" t="s">
        <v>158</v>
      </c>
      <c r="H2988">
        <v>3</v>
      </c>
      <c r="I2988">
        <v>2025</v>
      </c>
      <c r="J2988">
        <v>11</v>
      </c>
      <c r="K2988" t="s">
        <v>87</v>
      </c>
      <c r="L2988" t="s">
        <v>15</v>
      </c>
      <c r="M2988" t="s">
        <v>8</v>
      </c>
      <c r="N2988" t="b">
        <v>0</v>
      </c>
      <c r="O2988">
        <v>0</v>
      </c>
      <c r="P2988">
        <v>1</v>
      </c>
      <c r="Q2988">
        <v>0</v>
      </c>
      <c r="R2988">
        <v>1</v>
      </c>
    </row>
    <row r="2989" spans="1:18" x14ac:dyDescent="0.25">
      <c r="A2989" t="s">
        <v>56</v>
      </c>
      <c r="B2989" t="s">
        <v>6</v>
      </c>
      <c r="C2989">
        <v>2</v>
      </c>
      <c r="D2989">
        <v>2</v>
      </c>
      <c r="E2989">
        <v>1</v>
      </c>
      <c r="F2989" s="15">
        <v>45978</v>
      </c>
      <c r="G2989" t="s">
        <v>158</v>
      </c>
      <c r="H2989">
        <v>3</v>
      </c>
      <c r="I2989">
        <v>2025</v>
      </c>
      <c r="J2989">
        <v>11</v>
      </c>
      <c r="K2989" t="s">
        <v>87</v>
      </c>
      <c r="L2989" t="s">
        <v>9</v>
      </c>
      <c r="M2989" t="s">
        <v>6</v>
      </c>
      <c r="N2989" t="b">
        <v>0</v>
      </c>
      <c r="O2989">
        <v>0</v>
      </c>
      <c r="P2989">
        <v>1</v>
      </c>
      <c r="Q2989">
        <v>0</v>
      </c>
      <c r="R2989">
        <v>0</v>
      </c>
    </row>
    <row r="2990" spans="1:18" x14ac:dyDescent="0.25">
      <c r="A2990" t="s">
        <v>15</v>
      </c>
      <c r="B2990" t="s">
        <v>8</v>
      </c>
      <c r="C2990">
        <v>3</v>
      </c>
      <c r="D2990">
        <v>2</v>
      </c>
      <c r="E2990">
        <v>1</v>
      </c>
      <c r="F2990" s="15">
        <v>45978</v>
      </c>
      <c r="G2990" t="s">
        <v>158</v>
      </c>
      <c r="H2990">
        <v>3</v>
      </c>
      <c r="I2990">
        <v>2025</v>
      </c>
      <c r="J2990">
        <v>11</v>
      </c>
      <c r="K2990" t="s">
        <v>87</v>
      </c>
      <c r="L2990" t="s">
        <v>56</v>
      </c>
      <c r="M2990" t="s">
        <v>6</v>
      </c>
      <c r="N2990" t="b">
        <v>0</v>
      </c>
      <c r="O2990">
        <v>1</v>
      </c>
      <c r="P2990">
        <v>0</v>
      </c>
      <c r="Q2990">
        <v>0</v>
      </c>
      <c r="R2990">
        <v>0</v>
      </c>
    </row>
    <row r="2991" spans="1:18" x14ac:dyDescent="0.25">
      <c r="A2991" t="s">
        <v>15</v>
      </c>
      <c r="B2991" t="s">
        <v>8</v>
      </c>
      <c r="C2991">
        <v>3</v>
      </c>
      <c r="D2991">
        <v>2</v>
      </c>
      <c r="E2991">
        <v>1</v>
      </c>
      <c r="F2991" s="15">
        <v>45978</v>
      </c>
      <c r="G2991" t="s">
        <v>158</v>
      </c>
      <c r="H2991">
        <v>3</v>
      </c>
      <c r="I2991">
        <v>2025</v>
      </c>
      <c r="J2991">
        <v>11</v>
      </c>
      <c r="K2991" t="s">
        <v>87</v>
      </c>
      <c r="L2991" t="s">
        <v>9</v>
      </c>
      <c r="M2991" t="s">
        <v>6</v>
      </c>
      <c r="N2991" t="b">
        <v>0</v>
      </c>
      <c r="O2991">
        <v>1</v>
      </c>
      <c r="P2991">
        <v>0</v>
      </c>
      <c r="Q2991">
        <v>0</v>
      </c>
      <c r="R2991">
        <v>0</v>
      </c>
    </row>
    <row r="2992" spans="1:18" x14ac:dyDescent="0.25">
      <c r="A2992" t="s">
        <v>9</v>
      </c>
      <c r="B2992" t="s">
        <v>6</v>
      </c>
      <c r="C2992">
        <v>1</v>
      </c>
      <c r="D2992">
        <v>2</v>
      </c>
      <c r="E2992">
        <v>1</v>
      </c>
      <c r="F2992" s="15">
        <v>45978</v>
      </c>
      <c r="G2992" t="s">
        <v>158</v>
      </c>
      <c r="H2992">
        <v>3</v>
      </c>
      <c r="I2992">
        <v>2025</v>
      </c>
      <c r="J2992">
        <v>11</v>
      </c>
      <c r="K2992" t="s">
        <v>87</v>
      </c>
      <c r="L2992" t="s">
        <v>56</v>
      </c>
      <c r="M2992" t="s">
        <v>6</v>
      </c>
      <c r="N2992" t="b">
        <v>0</v>
      </c>
      <c r="O2992">
        <v>0</v>
      </c>
      <c r="P2992">
        <v>1</v>
      </c>
      <c r="Q2992">
        <v>0</v>
      </c>
      <c r="R2992">
        <v>0</v>
      </c>
    </row>
    <row r="2993" spans="1:18" x14ac:dyDescent="0.25">
      <c r="A2993" t="s">
        <v>9</v>
      </c>
      <c r="B2993" t="s">
        <v>6</v>
      </c>
      <c r="C2993">
        <v>1</v>
      </c>
      <c r="D2993">
        <v>2</v>
      </c>
      <c r="E2993">
        <v>1</v>
      </c>
      <c r="F2993" s="15">
        <v>45978</v>
      </c>
      <c r="G2993" t="s">
        <v>158</v>
      </c>
      <c r="H2993">
        <v>3</v>
      </c>
      <c r="I2993">
        <v>2025</v>
      </c>
      <c r="J2993">
        <v>11</v>
      </c>
      <c r="K2993" t="s">
        <v>87</v>
      </c>
      <c r="L2993" t="s">
        <v>15</v>
      </c>
      <c r="M2993" t="s">
        <v>8</v>
      </c>
      <c r="N2993" t="b">
        <v>0</v>
      </c>
      <c r="O2993">
        <v>0</v>
      </c>
      <c r="P2993">
        <v>1</v>
      </c>
      <c r="Q2993">
        <v>0</v>
      </c>
      <c r="R2993">
        <v>1</v>
      </c>
    </row>
    <row r="2994" spans="1:18" x14ac:dyDescent="0.25">
      <c r="A2994" t="s">
        <v>15</v>
      </c>
      <c r="B2994" t="s">
        <v>8</v>
      </c>
      <c r="C2994">
        <v>1</v>
      </c>
      <c r="D2994">
        <v>2</v>
      </c>
      <c r="E2994">
        <v>1</v>
      </c>
      <c r="F2994" s="15">
        <v>45867</v>
      </c>
      <c r="G2994" t="s">
        <v>143</v>
      </c>
      <c r="H2994">
        <v>3</v>
      </c>
      <c r="I2994">
        <v>2025</v>
      </c>
      <c r="J2994">
        <v>7</v>
      </c>
      <c r="K2994" t="s">
        <v>87</v>
      </c>
      <c r="L2994" t="s">
        <v>40</v>
      </c>
      <c r="M2994" t="s">
        <v>6</v>
      </c>
      <c r="N2994" t="b">
        <v>0</v>
      </c>
      <c r="O2994">
        <v>1</v>
      </c>
      <c r="P2994">
        <v>0</v>
      </c>
      <c r="Q2994">
        <v>0</v>
      </c>
      <c r="R2994">
        <v>0</v>
      </c>
    </row>
    <row r="2995" spans="1:18" x14ac:dyDescent="0.25">
      <c r="A2995" t="s">
        <v>15</v>
      </c>
      <c r="B2995" t="s">
        <v>8</v>
      </c>
      <c r="C2995">
        <v>1</v>
      </c>
      <c r="D2995">
        <v>2</v>
      </c>
      <c r="E2995">
        <v>1</v>
      </c>
      <c r="F2995" s="15">
        <v>45867</v>
      </c>
      <c r="G2995" t="s">
        <v>143</v>
      </c>
      <c r="H2995">
        <v>3</v>
      </c>
      <c r="I2995">
        <v>2025</v>
      </c>
      <c r="J2995">
        <v>7</v>
      </c>
      <c r="K2995" t="s">
        <v>87</v>
      </c>
      <c r="L2995" t="s">
        <v>39</v>
      </c>
      <c r="M2995" t="s">
        <v>6</v>
      </c>
      <c r="N2995" t="b">
        <v>0</v>
      </c>
      <c r="O2995">
        <v>1</v>
      </c>
      <c r="P2995">
        <v>0</v>
      </c>
      <c r="Q2995">
        <v>0</v>
      </c>
      <c r="R2995">
        <v>0</v>
      </c>
    </row>
    <row r="2996" spans="1:18" x14ac:dyDescent="0.25">
      <c r="A2996" t="s">
        <v>40</v>
      </c>
      <c r="B2996" t="s">
        <v>6</v>
      </c>
      <c r="C2996">
        <v>2</v>
      </c>
      <c r="D2996">
        <v>2</v>
      </c>
      <c r="E2996">
        <v>1</v>
      </c>
      <c r="F2996" s="15">
        <v>45867</v>
      </c>
      <c r="G2996" t="s">
        <v>143</v>
      </c>
      <c r="H2996">
        <v>3</v>
      </c>
      <c r="I2996">
        <v>2025</v>
      </c>
      <c r="J2996">
        <v>7</v>
      </c>
      <c r="K2996" t="s">
        <v>87</v>
      </c>
      <c r="L2996" t="s">
        <v>15</v>
      </c>
      <c r="M2996" t="s">
        <v>8</v>
      </c>
      <c r="N2996" t="b">
        <v>0</v>
      </c>
      <c r="O2996">
        <v>0</v>
      </c>
      <c r="P2996">
        <v>1</v>
      </c>
      <c r="Q2996">
        <v>0</v>
      </c>
      <c r="R2996">
        <v>1</v>
      </c>
    </row>
    <row r="2997" spans="1:18" x14ac:dyDescent="0.25">
      <c r="A2997" t="s">
        <v>40</v>
      </c>
      <c r="B2997" t="s">
        <v>6</v>
      </c>
      <c r="C2997">
        <v>2</v>
      </c>
      <c r="D2997">
        <v>2</v>
      </c>
      <c r="E2997">
        <v>1</v>
      </c>
      <c r="F2997" s="15">
        <v>45867</v>
      </c>
      <c r="G2997" t="s">
        <v>143</v>
      </c>
      <c r="H2997">
        <v>3</v>
      </c>
      <c r="I2997">
        <v>2025</v>
      </c>
      <c r="J2997">
        <v>7</v>
      </c>
      <c r="K2997" t="s">
        <v>87</v>
      </c>
      <c r="L2997" t="s">
        <v>39</v>
      </c>
      <c r="M2997" t="s">
        <v>6</v>
      </c>
      <c r="N2997" t="b">
        <v>0</v>
      </c>
      <c r="O2997">
        <v>0</v>
      </c>
      <c r="P2997">
        <v>1</v>
      </c>
      <c r="Q2997">
        <v>0</v>
      </c>
      <c r="R2997">
        <v>0</v>
      </c>
    </row>
    <row r="2998" spans="1:18" x14ac:dyDescent="0.25">
      <c r="A2998" t="s">
        <v>39</v>
      </c>
      <c r="B2998" t="s">
        <v>6</v>
      </c>
      <c r="C2998">
        <v>3</v>
      </c>
      <c r="D2998">
        <v>2</v>
      </c>
      <c r="E2998">
        <v>1</v>
      </c>
      <c r="F2998" s="15">
        <v>45867</v>
      </c>
      <c r="G2998" t="s">
        <v>143</v>
      </c>
      <c r="H2998">
        <v>3</v>
      </c>
      <c r="I2998">
        <v>2025</v>
      </c>
      <c r="J2998">
        <v>7</v>
      </c>
      <c r="K2998" t="s">
        <v>87</v>
      </c>
      <c r="L2998" t="s">
        <v>15</v>
      </c>
      <c r="M2998" t="s">
        <v>8</v>
      </c>
      <c r="N2998" t="b">
        <v>0</v>
      </c>
      <c r="O2998">
        <v>0</v>
      </c>
      <c r="P2998">
        <v>1</v>
      </c>
      <c r="Q2998">
        <v>0</v>
      </c>
      <c r="R2998">
        <v>1</v>
      </c>
    </row>
    <row r="2999" spans="1:18" x14ac:dyDescent="0.25">
      <c r="A2999" t="s">
        <v>39</v>
      </c>
      <c r="B2999" t="s">
        <v>6</v>
      </c>
      <c r="C2999">
        <v>3</v>
      </c>
      <c r="D2999">
        <v>2</v>
      </c>
      <c r="E2999">
        <v>1</v>
      </c>
      <c r="F2999" s="15">
        <v>45867</v>
      </c>
      <c r="G2999" t="s">
        <v>143</v>
      </c>
      <c r="H2999">
        <v>3</v>
      </c>
      <c r="I2999">
        <v>2025</v>
      </c>
      <c r="J2999">
        <v>7</v>
      </c>
      <c r="K2999" t="s">
        <v>87</v>
      </c>
      <c r="L2999" t="s">
        <v>40</v>
      </c>
      <c r="M2999" t="s">
        <v>6</v>
      </c>
      <c r="N2999" t="b">
        <v>0</v>
      </c>
      <c r="O2999">
        <v>0</v>
      </c>
      <c r="P2999">
        <v>1</v>
      </c>
      <c r="Q2999">
        <v>0</v>
      </c>
      <c r="R2999">
        <v>0</v>
      </c>
    </row>
    <row r="3000" spans="1:18" x14ac:dyDescent="0.25">
      <c r="A3000" t="s">
        <v>12</v>
      </c>
      <c r="B3000" t="s">
        <v>6</v>
      </c>
      <c r="C3000">
        <v>4</v>
      </c>
      <c r="D3000">
        <v>2</v>
      </c>
      <c r="E3000">
        <v>2</v>
      </c>
      <c r="F3000" s="15">
        <v>46062</v>
      </c>
      <c r="G3000" t="s">
        <v>359</v>
      </c>
      <c r="H3000">
        <v>4</v>
      </c>
      <c r="I3000">
        <v>2026</v>
      </c>
      <c r="J3000">
        <v>2</v>
      </c>
      <c r="K3000" t="s">
        <v>87</v>
      </c>
      <c r="L3000" t="s">
        <v>9</v>
      </c>
      <c r="M3000" t="s">
        <v>6</v>
      </c>
      <c r="N3000" t="b">
        <v>0</v>
      </c>
      <c r="O3000">
        <v>0</v>
      </c>
      <c r="P3000">
        <v>1</v>
      </c>
      <c r="Q3000">
        <v>0</v>
      </c>
      <c r="R3000">
        <v>0</v>
      </c>
    </row>
    <row r="3001" spans="1:18" x14ac:dyDescent="0.25">
      <c r="A3001" t="s">
        <v>12</v>
      </c>
      <c r="B3001" t="s">
        <v>6</v>
      </c>
      <c r="C3001">
        <v>4</v>
      </c>
      <c r="D3001">
        <v>2</v>
      </c>
      <c r="E3001">
        <v>2</v>
      </c>
      <c r="F3001" s="15">
        <v>46062</v>
      </c>
      <c r="G3001" t="s">
        <v>359</v>
      </c>
      <c r="H3001">
        <v>4</v>
      </c>
      <c r="I3001">
        <v>2026</v>
      </c>
      <c r="J3001">
        <v>2</v>
      </c>
      <c r="K3001" t="s">
        <v>87</v>
      </c>
      <c r="L3001" t="s">
        <v>17</v>
      </c>
      <c r="M3001" t="s">
        <v>6</v>
      </c>
      <c r="N3001" t="b">
        <v>0</v>
      </c>
      <c r="O3001">
        <v>0</v>
      </c>
      <c r="P3001">
        <v>1</v>
      </c>
      <c r="Q3001">
        <v>0</v>
      </c>
      <c r="R3001">
        <v>0</v>
      </c>
    </row>
    <row r="3002" spans="1:18" x14ac:dyDescent="0.25">
      <c r="A3002" t="s">
        <v>12</v>
      </c>
      <c r="B3002" t="s">
        <v>6</v>
      </c>
      <c r="C3002">
        <v>4</v>
      </c>
      <c r="D3002">
        <v>2</v>
      </c>
      <c r="E3002">
        <v>2</v>
      </c>
      <c r="F3002" s="15">
        <v>46062</v>
      </c>
      <c r="G3002" t="s">
        <v>359</v>
      </c>
      <c r="H3002">
        <v>4</v>
      </c>
      <c r="I3002">
        <v>2026</v>
      </c>
      <c r="J3002">
        <v>2</v>
      </c>
      <c r="K3002" t="s">
        <v>87</v>
      </c>
      <c r="L3002" t="s">
        <v>352</v>
      </c>
      <c r="M3002" t="s">
        <v>8</v>
      </c>
      <c r="N3002" t="b">
        <v>0</v>
      </c>
      <c r="O3002">
        <v>0</v>
      </c>
      <c r="P3002">
        <v>1</v>
      </c>
      <c r="Q3002">
        <v>0</v>
      </c>
      <c r="R3002">
        <v>1</v>
      </c>
    </row>
    <row r="3003" spans="1:18" x14ac:dyDescent="0.25">
      <c r="A3003" t="s">
        <v>9</v>
      </c>
      <c r="B3003" t="s">
        <v>6</v>
      </c>
      <c r="C3003">
        <v>2</v>
      </c>
      <c r="D3003">
        <v>2</v>
      </c>
      <c r="E3003">
        <v>2</v>
      </c>
      <c r="F3003" s="15">
        <v>46062</v>
      </c>
      <c r="G3003" t="s">
        <v>359</v>
      </c>
      <c r="H3003">
        <v>4</v>
      </c>
      <c r="I3003">
        <v>2026</v>
      </c>
      <c r="J3003">
        <v>2</v>
      </c>
      <c r="K3003" t="s">
        <v>87</v>
      </c>
      <c r="L3003" t="s">
        <v>12</v>
      </c>
      <c r="M3003" t="s">
        <v>6</v>
      </c>
      <c r="N3003" t="b">
        <v>0</v>
      </c>
      <c r="O3003">
        <v>0</v>
      </c>
      <c r="P3003">
        <v>1</v>
      </c>
      <c r="Q3003">
        <v>0</v>
      </c>
      <c r="R3003">
        <v>0</v>
      </c>
    </row>
    <row r="3004" spans="1:18" x14ac:dyDescent="0.25">
      <c r="A3004" t="s">
        <v>9</v>
      </c>
      <c r="B3004" t="s">
        <v>6</v>
      </c>
      <c r="C3004">
        <v>2</v>
      </c>
      <c r="D3004">
        <v>2</v>
      </c>
      <c r="E3004">
        <v>2</v>
      </c>
      <c r="F3004" s="15">
        <v>46062</v>
      </c>
      <c r="G3004" t="s">
        <v>359</v>
      </c>
      <c r="H3004">
        <v>4</v>
      </c>
      <c r="I3004">
        <v>2026</v>
      </c>
      <c r="J3004">
        <v>2</v>
      </c>
      <c r="K3004" t="s">
        <v>87</v>
      </c>
      <c r="L3004" t="s">
        <v>17</v>
      </c>
      <c r="M3004" t="s">
        <v>6</v>
      </c>
      <c r="N3004" t="b">
        <v>0</v>
      </c>
      <c r="O3004">
        <v>0</v>
      </c>
      <c r="P3004">
        <v>1</v>
      </c>
      <c r="Q3004">
        <v>0</v>
      </c>
      <c r="R3004">
        <v>0</v>
      </c>
    </row>
    <row r="3005" spans="1:18" x14ac:dyDescent="0.25">
      <c r="A3005" t="s">
        <v>9</v>
      </c>
      <c r="B3005" t="s">
        <v>6</v>
      </c>
      <c r="C3005">
        <v>2</v>
      </c>
      <c r="D3005">
        <v>2</v>
      </c>
      <c r="E3005">
        <v>2</v>
      </c>
      <c r="F3005" s="15">
        <v>46062</v>
      </c>
      <c r="G3005" t="s">
        <v>359</v>
      </c>
      <c r="H3005">
        <v>4</v>
      </c>
      <c r="I3005">
        <v>2026</v>
      </c>
      <c r="J3005">
        <v>2</v>
      </c>
      <c r="K3005" t="s">
        <v>87</v>
      </c>
      <c r="L3005" t="s">
        <v>352</v>
      </c>
      <c r="M3005" t="s">
        <v>8</v>
      </c>
      <c r="N3005" t="b">
        <v>0</v>
      </c>
      <c r="O3005">
        <v>0</v>
      </c>
      <c r="P3005">
        <v>1</v>
      </c>
      <c r="Q3005">
        <v>0</v>
      </c>
      <c r="R3005">
        <v>1</v>
      </c>
    </row>
    <row r="3006" spans="1:18" x14ac:dyDescent="0.25">
      <c r="A3006" t="s">
        <v>17</v>
      </c>
      <c r="B3006" t="s">
        <v>6</v>
      </c>
      <c r="C3006">
        <v>3</v>
      </c>
      <c r="D3006">
        <v>2</v>
      </c>
      <c r="E3006">
        <v>2</v>
      </c>
      <c r="F3006" s="15">
        <v>46062</v>
      </c>
      <c r="G3006" t="s">
        <v>359</v>
      </c>
      <c r="H3006">
        <v>4</v>
      </c>
      <c r="I3006">
        <v>2026</v>
      </c>
      <c r="J3006">
        <v>2</v>
      </c>
      <c r="K3006" t="s">
        <v>87</v>
      </c>
      <c r="L3006" t="s">
        <v>12</v>
      </c>
      <c r="M3006" t="s">
        <v>6</v>
      </c>
      <c r="N3006" t="b">
        <v>0</v>
      </c>
      <c r="O3006">
        <v>0</v>
      </c>
      <c r="P3006">
        <v>1</v>
      </c>
      <c r="Q3006">
        <v>0</v>
      </c>
      <c r="R3006">
        <v>0</v>
      </c>
    </row>
    <row r="3007" spans="1:18" x14ac:dyDescent="0.25">
      <c r="A3007" t="s">
        <v>17</v>
      </c>
      <c r="B3007" t="s">
        <v>6</v>
      </c>
      <c r="C3007">
        <v>3</v>
      </c>
      <c r="D3007">
        <v>2</v>
      </c>
      <c r="E3007">
        <v>2</v>
      </c>
      <c r="F3007" s="15">
        <v>46062</v>
      </c>
      <c r="G3007" t="s">
        <v>359</v>
      </c>
      <c r="H3007">
        <v>4</v>
      </c>
      <c r="I3007">
        <v>2026</v>
      </c>
      <c r="J3007">
        <v>2</v>
      </c>
      <c r="K3007" t="s">
        <v>87</v>
      </c>
      <c r="L3007" t="s">
        <v>9</v>
      </c>
      <c r="M3007" t="s">
        <v>6</v>
      </c>
      <c r="N3007" t="b">
        <v>0</v>
      </c>
      <c r="O3007">
        <v>0</v>
      </c>
      <c r="P3007">
        <v>1</v>
      </c>
      <c r="Q3007">
        <v>0</v>
      </c>
      <c r="R3007">
        <v>0</v>
      </c>
    </row>
    <row r="3008" spans="1:18" x14ac:dyDescent="0.25">
      <c r="A3008" t="s">
        <v>17</v>
      </c>
      <c r="B3008" t="s">
        <v>6</v>
      </c>
      <c r="C3008">
        <v>3</v>
      </c>
      <c r="D3008">
        <v>2</v>
      </c>
      <c r="E3008">
        <v>2</v>
      </c>
      <c r="F3008" s="15">
        <v>46062</v>
      </c>
      <c r="G3008" t="s">
        <v>359</v>
      </c>
      <c r="H3008">
        <v>4</v>
      </c>
      <c r="I3008">
        <v>2026</v>
      </c>
      <c r="J3008">
        <v>2</v>
      </c>
      <c r="K3008" t="s">
        <v>87</v>
      </c>
      <c r="L3008" t="s">
        <v>352</v>
      </c>
      <c r="M3008" t="s">
        <v>8</v>
      </c>
      <c r="N3008" t="b">
        <v>0</v>
      </c>
      <c r="O3008">
        <v>0</v>
      </c>
      <c r="P3008">
        <v>1</v>
      </c>
      <c r="Q3008">
        <v>0</v>
      </c>
      <c r="R3008">
        <v>1</v>
      </c>
    </row>
    <row r="3009" spans="1:18" x14ac:dyDescent="0.25">
      <c r="A3009" t="s">
        <v>352</v>
      </c>
      <c r="B3009" t="s">
        <v>8</v>
      </c>
      <c r="C3009">
        <v>1</v>
      </c>
      <c r="D3009">
        <v>2</v>
      </c>
      <c r="E3009">
        <v>2</v>
      </c>
      <c r="F3009" s="15">
        <v>46062</v>
      </c>
      <c r="G3009" t="s">
        <v>359</v>
      </c>
      <c r="H3009">
        <v>4</v>
      </c>
      <c r="I3009">
        <v>2026</v>
      </c>
      <c r="J3009">
        <v>2</v>
      </c>
      <c r="K3009" t="s">
        <v>87</v>
      </c>
      <c r="L3009" t="s">
        <v>12</v>
      </c>
      <c r="M3009" t="s">
        <v>6</v>
      </c>
      <c r="N3009" t="b">
        <v>0</v>
      </c>
      <c r="O3009">
        <v>1</v>
      </c>
      <c r="P3009">
        <v>0</v>
      </c>
      <c r="Q3009">
        <v>0</v>
      </c>
      <c r="R3009">
        <v>0</v>
      </c>
    </row>
    <row r="3010" spans="1:18" x14ac:dyDescent="0.25">
      <c r="A3010" t="s">
        <v>352</v>
      </c>
      <c r="B3010" t="s">
        <v>8</v>
      </c>
      <c r="C3010">
        <v>1</v>
      </c>
      <c r="D3010">
        <v>2</v>
      </c>
      <c r="E3010">
        <v>2</v>
      </c>
      <c r="F3010" s="15">
        <v>46062</v>
      </c>
      <c r="G3010" t="s">
        <v>359</v>
      </c>
      <c r="H3010">
        <v>4</v>
      </c>
      <c r="I3010">
        <v>2026</v>
      </c>
      <c r="J3010">
        <v>2</v>
      </c>
      <c r="K3010" t="s">
        <v>87</v>
      </c>
      <c r="L3010" t="s">
        <v>9</v>
      </c>
      <c r="M3010" t="s">
        <v>6</v>
      </c>
      <c r="N3010" t="b">
        <v>0</v>
      </c>
      <c r="O3010">
        <v>1</v>
      </c>
      <c r="P3010">
        <v>0</v>
      </c>
      <c r="Q3010">
        <v>0</v>
      </c>
      <c r="R3010">
        <v>0</v>
      </c>
    </row>
    <row r="3011" spans="1:18" x14ac:dyDescent="0.25">
      <c r="A3011" t="s">
        <v>352</v>
      </c>
      <c r="B3011" t="s">
        <v>8</v>
      </c>
      <c r="C3011">
        <v>1</v>
      </c>
      <c r="D3011">
        <v>2</v>
      </c>
      <c r="E3011">
        <v>2</v>
      </c>
      <c r="F3011" s="15">
        <v>46062</v>
      </c>
      <c r="G3011" t="s">
        <v>359</v>
      </c>
      <c r="H3011">
        <v>4</v>
      </c>
      <c r="I3011">
        <v>2026</v>
      </c>
      <c r="J3011">
        <v>2</v>
      </c>
      <c r="K3011" t="s">
        <v>87</v>
      </c>
      <c r="L3011" t="s">
        <v>17</v>
      </c>
      <c r="M3011" t="s">
        <v>6</v>
      </c>
      <c r="N3011" t="b">
        <v>0</v>
      </c>
      <c r="O3011">
        <v>1</v>
      </c>
      <c r="P3011">
        <v>0</v>
      </c>
      <c r="Q3011">
        <v>0</v>
      </c>
      <c r="R3011">
        <v>0</v>
      </c>
    </row>
    <row r="3012" spans="1:18" x14ac:dyDescent="0.25">
      <c r="A3012" t="s">
        <v>76</v>
      </c>
      <c r="B3012" t="s">
        <v>6</v>
      </c>
      <c r="D3012">
        <v>1</v>
      </c>
      <c r="E3012">
        <v>2</v>
      </c>
      <c r="F3012" s="15">
        <v>45859</v>
      </c>
      <c r="G3012" t="s">
        <v>118</v>
      </c>
      <c r="H3012">
        <v>4</v>
      </c>
      <c r="I3012">
        <v>2025</v>
      </c>
      <c r="J3012">
        <v>7</v>
      </c>
      <c r="K3012" t="s">
        <v>87</v>
      </c>
      <c r="L3012" t="s">
        <v>39</v>
      </c>
      <c r="M3012" t="s">
        <v>8</v>
      </c>
      <c r="N3012" t="b">
        <v>0</v>
      </c>
      <c r="O3012">
        <v>0</v>
      </c>
      <c r="P3012">
        <v>1</v>
      </c>
      <c r="Q3012">
        <v>0</v>
      </c>
      <c r="R3012">
        <v>1</v>
      </c>
    </row>
    <row r="3013" spans="1:18" x14ac:dyDescent="0.25">
      <c r="A3013" t="s">
        <v>76</v>
      </c>
      <c r="B3013" t="s">
        <v>6</v>
      </c>
      <c r="D3013">
        <v>1</v>
      </c>
      <c r="E3013">
        <v>2</v>
      </c>
      <c r="F3013" s="15">
        <v>45859</v>
      </c>
      <c r="G3013" t="s">
        <v>118</v>
      </c>
      <c r="H3013">
        <v>4</v>
      </c>
      <c r="I3013">
        <v>2025</v>
      </c>
      <c r="J3013">
        <v>7</v>
      </c>
      <c r="K3013" t="s">
        <v>87</v>
      </c>
      <c r="L3013" t="s">
        <v>39</v>
      </c>
      <c r="M3013" t="s">
        <v>8</v>
      </c>
      <c r="N3013" t="b">
        <v>0</v>
      </c>
      <c r="O3013">
        <v>0</v>
      </c>
      <c r="P3013">
        <v>1</v>
      </c>
      <c r="Q3013">
        <v>0</v>
      </c>
      <c r="R3013">
        <v>1</v>
      </c>
    </row>
    <row r="3014" spans="1:18" x14ac:dyDescent="0.25">
      <c r="A3014" t="s">
        <v>76</v>
      </c>
      <c r="B3014" t="s">
        <v>6</v>
      </c>
      <c r="D3014">
        <v>1</v>
      </c>
      <c r="E3014">
        <v>2</v>
      </c>
      <c r="F3014" s="15">
        <v>45859</v>
      </c>
      <c r="G3014" t="s">
        <v>118</v>
      </c>
      <c r="H3014">
        <v>4</v>
      </c>
      <c r="I3014">
        <v>2025</v>
      </c>
      <c r="J3014">
        <v>7</v>
      </c>
      <c r="K3014" t="s">
        <v>87</v>
      </c>
      <c r="L3014" t="s">
        <v>39</v>
      </c>
      <c r="M3014" t="s">
        <v>8</v>
      </c>
      <c r="N3014" t="b">
        <v>0</v>
      </c>
      <c r="O3014">
        <v>0</v>
      </c>
      <c r="P3014">
        <v>1</v>
      </c>
      <c r="Q3014">
        <v>0</v>
      </c>
      <c r="R3014">
        <v>1</v>
      </c>
    </row>
    <row r="3015" spans="1:18" x14ac:dyDescent="0.25">
      <c r="A3015" t="s">
        <v>39</v>
      </c>
      <c r="B3015" t="s">
        <v>8</v>
      </c>
      <c r="D3015">
        <v>1</v>
      </c>
      <c r="E3015">
        <v>2</v>
      </c>
      <c r="F3015" s="15">
        <v>45859</v>
      </c>
      <c r="G3015" t="s">
        <v>118</v>
      </c>
      <c r="H3015">
        <v>4</v>
      </c>
      <c r="I3015">
        <v>2025</v>
      </c>
      <c r="J3015">
        <v>7</v>
      </c>
      <c r="K3015" t="s">
        <v>87</v>
      </c>
      <c r="L3015" t="s">
        <v>76</v>
      </c>
      <c r="M3015" t="s">
        <v>6</v>
      </c>
      <c r="N3015" t="b">
        <v>0</v>
      </c>
      <c r="O3015">
        <v>1</v>
      </c>
      <c r="P3015">
        <v>0</v>
      </c>
      <c r="Q3015">
        <v>0</v>
      </c>
      <c r="R3015">
        <v>0</v>
      </c>
    </row>
    <row r="3016" spans="1:18" x14ac:dyDescent="0.25">
      <c r="A3016" t="s">
        <v>39</v>
      </c>
      <c r="B3016" t="s">
        <v>8</v>
      </c>
      <c r="D3016">
        <v>1</v>
      </c>
      <c r="E3016">
        <v>2</v>
      </c>
      <c r="F3016" s="15">
        <v>45859</v>
      </c>
      <c r="G3016" t="s">
        <v>118</v>
      </c>
      <c r="H3016">
        <v>4</v>
      </c>
      <c r="I3016">
        <v>2025</v>
      </c>
      <c r="J3016">
        <v>7</v>
      </c>
      <c r="K3016" t="s">
        <v>87</v>
      </c>
      <c r="L3016" t="s">
        <v>76</v>
      </c>
      <c r="M3016" t="s">
        <v>6</v>
      </c>
      <c r="N3016" t="b">
        <v>0</v>
      </c>
      <c r="O3016">
        <v>1</v>
      </c>
      <c r="P3016">
        <v>0</v>
      </c>
      <c r="Q3016">
        <v>0</v>
      </c>
      <c r="R3016">
        <v>0</v>
      </c>
    </row>
    <row r="3017" spans="1:18" x14ac:dyDescent="0.25">
      <c r="A3017" t="s">
        <v>39</v>
      </c>
      <c r="B3017" t="s">
        <v>8</v>
      </c>
      <c r="D3017">
        <v>1</v>
      </c>
      <c r="E3017">
        <v>2</v>
      </c>
      <c r="F3017" s="15">
        <v>45859</v>
      </c>
      <c r="G3017" t="s">
        <v>118</v>
      </c>
      <c r="H3017">
        <v>4</v>
      </c>
      <c r="I3017">
        <v>2025</v>
      </c>
      <c r="J3017">
        <v>7</v>
      </c>
      <c r="K3017" t="s">
        <v>87</v>
      </c>
      <c r="L3017" t="s">
        <v>76</v>
      </c>
      <c r="M3017" t="s">
        <v>6</v>
      </c>
      <c r="N3017" t="b">
        <v>0</v>
      </c>
      <c r="O3017">
        <v>1</v>
      </c>
      <c r="P3017">
        <v>0</v>
      </c>
      <c r="Q3017">
        <v>0</v>
      </c>
      <c r="R3017">
        <v>0</v>
      </c>
    </row>
    <row r="3018" spans="1:18" x14ac:dyDescent="0.25">
      <c r="A3018" t="s">
        <v>20</v>
      </c>
      <c r="B3018" t="s">
        <v>8</v>
      </c>
      <c r="C3018">
        <v>1</v>
      </c>
      <c r="D3018">
        <v>1</v>
      </c>
      <c r="E3018">
        <v>1</v>
      </c>
      <c r="F3018" s="15">
        <v>46076</v>
      </c>
      <c r="G3018" t="s">
        <v>376</v>
      </c>
      <c r="H3018">
        <v>4</v>
      </c>
      <c r="I3018">
        <v>2026</v>
      </c>
      <c r="J3018">
        <v>2</v>
      </c>
      <c r="K3018" t="s">
        <v>87</v>
      </c>
      <c r="L3018" t="s">
        <v>436</v>
      </c>
      <c r="M3018" t="s">
        <v>6</v>
      </c>
      <c r="N3018" t="b">
        <v>0</v>
      </c>
      <c r="O3018">
        <v>1</v>
      </c>
      <c r="P3018">
        <v>0</v>
      </c>
      <c r="Q3018">
        <v>0</v>
      </c>
      <c r="R3018">
        <v>0</v>
      </c>
    </row>
    <row r="3019" spans="1:18" x14ac:dyDescent="0.25">
      <c r="A3019" t="s">
        <v>20</v>
      </c>
      <c r="B3019" t="s">
        <v>8</v>
      </c>
      <c r="C3019">
        <v>1</v>
      </c>
      <c r="D3019">
        <v>1</v>
      </c>
      <c r="E3019">
        <v>1</v>
      </c>
      <c r="F3019" s="15">
        <v>46076</v>
      </c>
      <c r="G3019" t="s">
        <v>376</v>
      </c>
      <c r="H3019">
        <v>4</v>
      </c>
      <c r="I3019">
        <v>2026</v>
      </c>
      <c r="J3019">
        <v>2</v>
      </c>
      <c r="K3019" t="s">
        <v>87</v>
      </c>
      <c r="L3019" t="s">
        <v>10</v>
      </c>
      <c r="M3019" t="s">
        <v>6</v>
      </c>
      <c r="N3019" t="b">
        <v>0</v>
      </c>
      <c r="O3019">
        <v>1</v>
      </c>
      <c r="P3019">
        <v>0</v>
      </c>
      <c r="Q3019">
        <v>0</v>
      </c>
      <c r="R3019">
        <v>0</v>
      </c>
    </row>
    <row r="3020" spans="1:18" x14ac:dyDescent="0.25">
      <c r="A3020" t="s">
        <v>20</v>
      </c>
      <c r="B3020" t="s">
        <v>8</v>
      </c>
      <c r="C3020">
        <v>1</v>
      </c>
      <c r="D3020">
        <v>1</v>
      </c>
      <c r="E3020">
        <v>1</v>
      </c>
      <c r="F3020" s="15">
        <v>46076</v>
      </c>
      <c r="G3020" t="s">
        <v>376</v>
      </c>
      <c r="H3020">
        <v>4</v>
      </c>
      <c r="I3020">
        <v>2026</v>
      </c>
      <c r="J3020">
        <v>2</v>
      </c>
      <c r="K3020" t="s">
        <v>87</v>
      </c>
      <c r="L3020" t="s">
        <v>16</v>
      </c>
      <c r="M3020" t="s">
        <v>6</v>
      </c>
      <c r="N3020" t="b">
        <v>0</v>
      </c>
      <c r="O3020">
        <v>1</v>
      </c>
      <c r="P3020">
        <v>0</v>
      </c>
      <c r="Q3020">
        <v>0</v>
      </c>
      <c r="R3020">
        <v>0</v>
      </c>
    </row>
    <row r="3021" spans="1:18" x14ac:dyDescent="0.25">
      <c r="A3021" t="s">
        <v>436</v>
      </c>
      <c r="B3021" t="s">
        <v>6</v>
      </c>
      <c r="C3021">
        <v>2</v>
      </c>
      <c r="D3021">
        <v>1</v>
      </c>
      <c r="E3021">
        <v>1</v>
      </c>
      <c r="F3021" s="15">
        <v>46076</v>
      </c>
      <c r="G3021" t="s">
        <v>376</v>
      </c>
      <c r="H3021">
        <v>4</v>
      </c>
      <c r="I3021">
        <v>2026</v>
      </c>
      <c r="J3021">
        <v>2</v>
      </c>
      <c r="K3021" t="s">
        <v>87</v>
      </c>
      <c r="L3021" t="s">
        <v>20</v>
      </c>
      <c r="M3021" t="s">
        <v>8</v>
      </c>
      <c r="N3021" t="b">
        <v>0</v>
      </c>
      <c r="O3021">
        <v>0</v>
      </c>
      <c r="P3021">
        <v>1</v>
      </c>
      <c r="Q3021">
        <v>0</v>
      </c>
      <c r="R3021">
        <v>1</v>
      </c>
    </row>
    <row r="3022" spans="1:18" x14ac:dyDescent="0.25">
      <c r="A3022" t="s">
        <v>436</v>
      </c>
      <c r="B3022" t="s">
        <v>6</v>
      </c>
      <c r="C3022">
        <v>2</v>
      </c>
      <c r="D3022">
        <v>1</v>
      </c>
      <c r="E3022">
        <v>1</v>
      </c>
      <c r="F3022" s="15">
        <v>46076</v>
      </c>
      <c r="G3022" t="s">
        <v>376</v>
      </c>
      <c r="H3022">
        <v>4</v>
      </c>
      <c r="I3022">
        <v>2026</v>
      </c>
      <c r="J3022">
        <v>2</v>
      </c>
      <c r="K3022" t="s">
        <v>87</v>
      </c>
      <c r="L3022" t="s">
        <v>10</v>
      </c>
      <c r="M3022" t="s">
        <v>6</v>
      </c>
      <c r="N3022" t="b">
        <v>0</v>
      </c>
      <c r="O3022">
        <v>0</v>
      </c>
      <c r="P3022">
        <v>1</v>
      </c>
      <c r="Q3022">
        <v>0</v>
      </c>
      <c r="R3022">
        <v>0</v>
      </c>
    </row>
    <row r="3023" spans="1:18" x14ac:dyDescent="0.25">
      <c r="A3023" t="s">
        <v>436</v>
      </c>
      <c r="B3023" t="s">
        <v>6</v>
      </c>
      <c r="C3023">
        <v>2</v>
      </c>
      <c r="D3023">
        <v>1</v>
      </c>
      <c r="E3023">
        <v>1</v>
      </c>
      <c r="F3023" s="15">
        <v>46076</v>
      </c>
      <c r="G3023" t="s">
        <v>376</v>
      </c>
      <c r="H3023">
        <v>4</v>
      </c>
      <c r="I3023">
        <v>2026</v>
      </c>
      <c r="J3023">
        <v>2</v>
      </c>
      <c r="K3023" t="s">
        <v>87</v>
      </c>
      <c r="L3023" t="s">
        <v>16</v>
      </c>
      <c r="M3023" t="s">
        <v>6</v>
      </c>
      <c r="N3023" t="b">
        <v>0</v>
      </c>
      <c r="O3023">
        <v>0</v>
      </c>
      <c r="P3023">
        <v>1</v>
      </c>
      <c r="Q3023">
        <v>0</v>
      </c>
      <c r="R3023">
        <v>0</v>
      </c>
    </row>
    <row r="3024" spans="1:18" x14ac:dyDescent="0.25">
      <c r="A3024" t="s">
        <v>10</v>
      </c>
      <c r="B3024" t="s">
        <v>6</v>
      </c>
      <c r="C3024">
        <v>3</v>
      </c>
      <c r="D3024">
        <v>1</v>
      </c>
      <c r="E3024">
        <v>1</v>
      </c>
      <c r="F3024" s="15">
        <v>46076</v>
      </c>
      <c r="G3024" t="s">
        <v>376</v>
      </c>
      <c r="H3024">
        <v>4</v>
      </c>
      <c r="I3024">
        <v>2026</v>
      </c>
      <c r="J3024">
        <v>2</v>
      </c>
      <c r="K3024" t="s">
        <v>87</v>
      </c>
      <c r="L3024" t="s">
        <v>20</v>
      </c>
      <c r="M3024" t="s">
        <v>8</v>
      </c>
      <c r="N3024" t="b">
        <v>0</v>
      </c>
      <c r="O3024">
        <v>0</v>
      </c>
      <c r="P3024">
        <v>1</v>
      </c>
      <c r="Q3024">
        <v>0</v>
      </c>
      <c r="R3024">
        <v>1</v>
      </c>
    </row>
    <row r="3025" spans="1:18" x14ac:dyDescent="0.25">
      <c r="A3025" t="s">
        <v>10</v>
      </c>
      <c r="B3025" t="s">
        <v>6</v>
      </c>
      <c r="C3025">
        <v>3</v>
      </c>
      <c r="D3025">
        <v>1</v>
      </c>
      <c r="E3025">
        <v>1</v>
      </c>
      <c r="F3025" s="15">
        <v>46076</v>
      </c>
      <c r="G3025" t="s">
        <v>376</v>
      </c>
      <c r="H3025">
        <v>4</v>
      </c>
      <c r="I3025">
        <v>2026</v>
      </c>
      <c r="J3025">
        <v>2</v>
      </c>
      <c r="K3025" t="s">
        <v>87</v>
      </c>
      <c r="L3025" t="s">
        <v>436</v>
      </c>
      <c r="M3025" t="s">
        <v>6</v>
      </c>
      <c r="N3025" t="b">
        <v>0</v>
      </c>
      <c r="O3025">
        <v>0</v>
      </c>
      <c r="P3025">
        <v>1</v>
      </c>
      <c r="Q3025">
        <v>0</v>
      </c>
      <c r="R3025">
        <v>0</v>
      </c>
    </row>
    <row r="3026" spans="1:18" x14ac:dyDescent="0.25">
      <c r="A3026" t="s">
        <v>10</v>
      </c>
      <c r="B3026" t="s">
        <v>6</v>
      </c>
      <c r="C3026">
        <v>3</v>
      </c>
      <c r="D3026">
        <v>1</v>
      </c>
      <c r="E3026">
        <v>1</v>
      </c>
      <c r="F3026" s="15">
        <v>46076</v>
      </c>
      <c r="G3026" t="s">
        <v>376</v>
      </c>
      <c r="H3026">
        <v>4</v>
      </c>
      <c r="I3026">
        <v>2026</v>
      </c>
      <c r="J3026">
        <v>2</v>
      </c>
      <c r="K3026" t="s">
        <v>87</v>
      </c>
      <c r="L3026" t="s">
        <v>16</v>
      </c>
      <c r="M3026" t="s">
        <v>6</v>
      </c>
      <c r="N3026" t="b">
        <v>0</v>
      </c>
      <c r="O3026">
        <v>0</v>
      </c>
      <c r="P3026">
        <v>1</v>
      </c>
      <c r="Q3026">
        <v>0</v>
      </c>
      <c r="R3026">
        <v>0</v>
      </c>
    </row>
    <row r="3027" spans="1:18" x14ac:dyDescent="0.25">
      <c r="A3027" t="s">
        <v>16</v>
      </c>
      <c r="B3027" t="s">
        <v>6</v>
      </c>
      <c r="C3027">
        <v>4</v>
      </c>
      <c r="D3027">
        <v>1</v>
      </c>
      <c r="E3027">
        <v>1</v>
      </c>
      <c r="F3027" s="15">
        <v>46076</v>
      </c>
      <c r="G3027" t="s">
        <v>376</v>
      </c>
      <c r="H3027">
        <v>4</v>
      </c>
      <c r="I3027">
        <v>2026</v>
      </c>
      <c r="J3027">
        <v>2</v>
      </c>
      <c r="K3027" t="s">
        <v>87</v>
      </c>
      <c r="L3027" t="s">
        <v>20</v>
      </c>
      <c r="M3027" t="s">
        <v>8</v>
      </c>
      <c r="N3027" t="b">
        <v>0</v>
      </c>
      <c r="O3027">
        <v>0</v>
      </c>
      <c r="P3027">
        <v>1</v>
      </c>
      <c r="Q3027">
        <v>0</v>
      </c>
      <c r="R3027">
        <v>1</v>
      </c>
    </row>
    <row r="3028" spans="1:18" x14ac:dyDescent="0.25">
      <c r="A3028" t="s">
        <v>16</v>
      </c>
      <c r="B3028" t="s">
        <v>6</v>
      </c>
      <c r="C3028">
        <v>4</v>
      </c>
      <c r="D3028">
        <v>1</v>
      </c>
      <c r="E3028">
        <v>1</v>
      </c>
      <c r="F3028" s="15">
        <v>46076</v>
      </c>
      <c r="G3028" t="s">
        <v>376</v>
      </c>
      <c r="H3028">
        <v>4</v>
      </c>
      <c r="I3028">
        <v>2026</v>
      </c>
      <c r="J3028">
        <v>2</v>
      </c>
      <c r="K3028" t="s">
        <v>87</v>
      </c>
      <c r="L3028" t="s">
        <v>436</v>
      </c>
      <c r="M3028" t="s">
        <v>6</v>
      </c>
      <c r="N3028" t="b">
        <v>0</v>
      </c>
      <c r="O3028">
        <v>0</v>
      </c>
      <c r="P3028">
        <v>1</v>
      </c>
      <c r="Q3028">
        <v>0</v>
      </c>
      <c r="R3028">
        <v>0</v>
      </c>
    </row>
    <row r="3029" spans="1:18" x14ac:dyDescent="0.25">
      <c r="A3029" t="s">
        <v>16</v>
      </c>
      <c r="B3029" t="s">
        <v>6</v>
      </c>
      <c r="C3029">
        <v>4</v>
      </c>
      <c r="D3029">
        <v>1</v>
      </c>
      <c r="E3029">
        <v>1</v>
      </c>
      <c r="F3029" s="15">
        <v>46076</v>
      </c>
      <c r="G3029" t="s">
        <v>376</v>
      </c>
      <c r="H3029">
        <v>4</v>
      </c>
      <c r="I3029">
        <v>2026</v>
      </c>
      <c r="J3029">
        <v>2</v>
      </c>
      <c r="K3029" t="s">
        <v>87</v>
      </c>
      <c r="L3029" t="s">
        <v>10</v>
      </c>
      <c r="M3029" t="s">
        <v>6</v>
      </c>
      <c r="N3029" t="b">
        <v>0</v>
      </c>
      <c r="O3029">
        <v>0</v>
      </c>
      <c r="P3029">
        <v>1</v>
      </c>
      <c r="Q3029">
        <v>0</v>
      </c>
      <c r="R3029">
        <v>0</v>
      </c>
    </row>
    <row r="3030" spans="1:18" x14ac:dyDescent="0.25">
      <c r="A3030" t="s">
        <v>17</v>
      </c>
      <c r="B3030" t="s">
        <v>8</v>
      </c>
      <c r="C3030">
        <v>1</v>
      </c>
      <c r="D3030">
        <v>2</v>
      </c>
      <c r="E3030">
        <v>1</v>
      </c>
      <c r="F3030" s="15">
        <v>46076</v>
      </c>
      <c r="G3030" t="s">
        <v>377</v>
      </c>
      <c r="H3030">
        <v>4</v>
      </c>
      <c r="I3030">
        <v>2026</v>
      </c>
      <c r="J3030">
        <v>2</v>
      </c>
      <c r="K3030" t="s">
        <v>87</v>
      </c>
      <c r="L3030" t="s">
        <v>28</v>
      </c>
      <c r="M3030" t="s">
        <v>6</v>
      </c>
      <c r="N3030" t="b">
        <v>0</v>
      </c>
      <c r="O3030">
        <v>1</v>
      </c>
      <c r="P3030">
        <v>0</v>
      </c>
      <c r="Q3030">
        <v>0</v>
      </c>
      <c r="R3030">
        <v>0</v>
      </c>
    </row>
    <row r="3031" spans="1:18" x14ac:dyDescent="0.25">
      <c r="A3031" t="s">
        <v>17</v>
      </c>
      <c r="B3031" t="s">
        <v>8</v>
      </c>
      <c r="C3031">
        <v>1</v>
      </c>
      <c r="D3031">
        <v>2</v>
      </c>
      <c r="E3031">
        <v>1</v>
      </c>
      <c r="F3031" s="15">
        <v>46076</v>
      </c>
      <c r="G3031" t="s">
        <v>377</v>
      </c>
      <c r="H3031">
        <v>4</v>
      </c>
      <c r="I3031">
        <v>2026</v>
      </c>
      <c r="J3031">
        <v>2</v>
      </c>
      <c r="K3031" t="s">
        <v>87</v>
      </c>
      <c r="L3031" t="s">
        <v>52</v>
      </c>
      <c r="M3031" t="s">
        <v>6</v>
      </c>
      <c r="N3031" t="b">
        <v>0</v>
      </c>
      <c r="O3031">
        <v>1</v>
      </c>
      <c r="P3031">
        <v>0</v>
      </c>
      <c r="Q3031">
        <v>0</v>
      </c>
      <c r="R3031">
        <v>0</v>
      </c>
    </row>
    <row r="3032" spans="1:18" x14ac:dyDescent="0.25">
      <c r="A3032" t="s">
        <v>17</v>
      </c>
      <c r="B3032" t="s">
        <v>8</v>
      </c>
      <c r="C3032">
        <v>1</v>
      </c>
      <c r="D3032">
        <v>2</v>
      </c>
      <c r="E3032">
        <v>1</v>
      </c>
      <c r="F3032" s="15">
        <v>46076</v>
      </c>
      <c r="G3032" t="s">
        <v>377</v>
      </c>
      <c r="H3032">
        <v>4</v>
      </c>
      <c r="I3032">
        <v>2026</v>
      </c>
      <c r="J3032">
        <v>2</v>
      </c>
      <c r="K3032" t="s">
        <v>87</v>
      </c>
      <c r="L3032" t="s">
        <v>19</v>
      </c>
      <c r="M3032" t="s">
        <v>6</v>
      </c>
      <c r="N3032" t="b">
        <v>0</v>
      </c>
      <c r="O3032">
        <v>1</v>
      </c>
      <c r="P3032">
        <v>0</v>
      </c>
      <c r="Q3032">
        <v>0</v>
      </c>
      <c r="R3032">
        <v>0</v>
      </c>
    </row>
    <row r="3033" spans="1:18" x14ac:dyDescent="0.25">
      <c r="A3033" t="s">
        <v>28</v>
      </c>
      <c r="B3033" t="s">
        <v>6</v>
      </c>
      <c r="C3033">
        <v>2</v>
      </c>
      <c r="D3033">
        <v>2</v>
      </c>
      <c r="E3033">
        <v>1</v>
      </c>
      <c r="F3033" s="15">
        <v>46076</v>
      </c>
      <c r="G3033" t="s">
        <v>377</v>
      </c>
      <c r="H3033">
        <v>4</v>
      </c>
      <c r="I3033">
        <v>2026</v>
      </c>
      <c r="J3033">
        <v>2</v>
      </c>
      <c r="K3033" t="s">
        <v>87</v>
      </c>
      <c r="L3033" t="s">
        <v>17</v>
      </c>
      <c r="M3033" t="s">
        <v>8</v>
      </c>
      <c r="N3033" t="b">
        <v>0</v>
      </c>
      <c r="O3033">
        <v>0</v>
      </c>
      <c r="P3033">
        <v>1</v>
      </c>
      <c r="Q3033">
        <v>0</v>
      </c>
      <c r="R3033">
        <v>1</v>
      </c>
    </row>
    <row r="3034" spans="1:18" x14ac:dyDescent="0.25">
      <c r="A3034" t="s">
        <v>28</v>
      </c>
      <c r="B3034" t="s">
        <v>6</v>
      </c>
      <c r="C3034">
        <v>2</v>
      </c>
      <c r="D3034">
        <v>2</v>
      </c>
      <c r="E3034">
        <v>1</v>
      </c>
      <c r="F3034" s="15">
        <v>46076</v>
      </c>
      <c r="G3034" t="s">
        <v>377</v>
      </c>
      <c r="H3034">
        <v>4</v>
      </c>
      <c r="I3034">
        <v>2026</v>
      </c>
      <c r="J3034">
        <v>2</v>
      </c>
      <c r="K3034" t="s">
        <v>87</v>
      </c>
      <c r="L3034" t="s">
        <v>52</v>
      </c>
      <c r="M3034" t="s">
        <v>6</v>
      </c>
      <c r="N3034" t="b">
        <v>0</v>
      </c>
      <c r="O3034">
        <v>0</v>
      </c>
      <c r="P3034">
        <v>1</v>
      </c>
      <c r="Q3034">
        <v>0</v>
      </c>
      <c r="R3034">
        <v>0</v>
      </c>
    </row>
    <row r="3035" spans="1:18" x14ac:dyDescent="0.25">
      <c r="A3035" t="s">
        <v>28</v>
      </c>
      <c r="B3035" t="s">
        <v>6</v>
      </c>
      <c r="C3035">
        <v>2</v>
      </c>
      <c r="D3035">
        <v>2</v>
      </c>
      <c r="E3035">
        <v>1</v>
      </c>
      <c r="F3035" s="15">
        <v>46076</v>
      </c>
      <c r="G3035" t="s">
        <v>377</v>
      </c>
      <c r="H3035">
        <v>4</v>
      </c>
      <c r="I3035">
        <v>2026</v>
      </c>
      <c r="J3035">
        <v>2</v>
      </c>
      <c r="K3035" t="s">
        <v>87</v>
      </c>
      <c r="L3035" t="s">
        <v>19</v>
      </c>
      <c r="M3035" t="s">
        <v>6</v>
      </c>
      <c r="N3035" t="b">
        <v>0</v>
      </c>
      <c r="O3035">
        <v>0</v>
      </c>
      <c r="P3035">
        <v>1</v>
      </c>
      <c r="Q3035">
        <v>0</v>
      </c>
      <c r="R3035">
        <v>0</v>
      </c>
    </row>
    <row r="3036" spans="1:18" x14ac:dyDescent="0.25">
      <c r="A3036" t="s">
        <v>52</v>
      </c>
      <c r="B3036" t="s">
        <v>6</v>
      </c>
      <c r="C3036">
        <v>3</v>
      </c>
      <c r="D3036">
        <v>2</v>
      </c>
      <c r="E3036">
        <v>1</v>
      </c>
      <c r="F3036" s="15">
        <v>46076</v>
      </c>
      <c r="G3036" t="s">
        <v>377</v>
      </c>
      <c r="H3036">
        <v>4</v>
      </c>
      <c r="I3036">
        <v>2026</v>
      </c>
      <c r="J3036">
        <v>2</v>
      </c>
      <c r="K3036" t="s">
        <v>87</v>
      </c>
      <c r="L3036" t="s">
        <v>17</v>
      </c>
      <c r="M3036" t="s">
        <v>8</v>
      </c>
      <c r="N3036" t="b">
        <v>0</v>
      </c>
      <c r="O3036">
        <v>0</v>
      </c>
      <c r="P3036">
        <v>1</v>
      </c>
      <c r="Q3036">
        <v>0</v>
      </c>
      <c r="R3036">
        <v>1</v>
      </c>
    </row>
    <row r="3037" spans="1:18" x14ac:dyDescent="0.25">
      <c r="A3037" t="s">
        <v>52</v>
      </c>
      <c r="B3037" t="s">
        <v>6</v>
      </c>
      <c r="C3037">
        <v>3</v>
      </c>
      <c r="D3037">
        <v>2</v>
      </c>
      <c r="E3037">
        <v>1</v>
      </c>
      <c r="F3037" s="15">
        <v>46076</v>
      </c>
      <c r="G3037" t="s">
        <v>377</v>
      </c>
      <c r="H3037">
        <v>4</v>
      </c>
      <c r="I3037">
        <v>2026</v>
      </c>
      <c r="J3037">
        <v>2</v>
      </c>
      <c r="K3037" t="s">
        <v>87</v>
      </c>
      <c r="L3037" t="s">
        <v>28</v>
      </c>
      <c r="M3037" t="s">
        <v>6</v>
      </c>
      <c r="N3037" t="b">
        <v>0</v>
      </c>
      <c r="O3037">
        <v>0</v>
      </c>
      <c r="P3037">
        <v>1</v>
      </c>
      <c r="Q3037">
        <v>0</v>
      </c>
      <c r="R3037">
        <v>0</v>
      </c>
    </row>
    <row r="3038" spans="1:18" x14ac:dyDescent="0.25">
      <c r="A3038" t="s">
        <v>52</v>
      </c>
      <c r="B3038" t="s">
        <v>6</v>
      </c>
      <c r="C3038">
        <v>3</v>
      </c>
      <c r="D3038">
        <v>2</v>
      </c>
      <c r="E3038">
        <v>1</v>
      </c>
      <c r="F3038" s="15">
        <v>46076</v>
      </c>
      <c r="G3038" t="s">
        <v>377</v>
      </c>
      <c r="H3038">
        <v>4</v>
      </c>
      <c r="I3038">
        <v>2026</v>
      </c>
      <c r="J3038">
        <v>2</v>
      </c>
      <c r="K3038" t="s">
        <v>87</v>
      </c>
      <c r="L3038" t="s">
        <v>19</v>
      </c>
      <c r="M3038" t="s">
        <v>6</v>
      </c>
      <c r="N3038" t="b">
        <v>0</v>
      </c>
      <c r="O3038">
        <v>0</v>
      </c>
      <c r="P3038">
        <v>1</v>
      </c>
      <c r="Q3038">
        <v>0</v>
      </c>
      <c r="R3038">
        <v>0</v>
      </c>
    </row>
    <row r="3039" spans="1:18" x14ac:dyDescent="0.25">
      <c r="A3039" t="s">
        <v>19</v>
      </c>
      <c r="B3039" t="s">
        <v>6</v>
      </c>
      <c r="C3039">
        <v>4</v>
      </c>
      <c r="D3039">
        <v>2</v>
      </c>
      <c r="E3039">
        <v>1</v>
      </c>
      <c r="F3039" s="15">
        <v>46076</v>
      </c>
      <c r="G3039" t="s">
        <v>377</v>
      </c>
      <c r="H3039">
        <v>4</v>
      </c>
      <c r="I3039">
        <v>2026</v>
      </c>
      <c r="J3039">
        <v>2</v>
      </c>
      <c r="K3039" t="s">
        <v>87</v>
      </c>
      <c r="L3039" t="s">
        <v>17</v>
      </c>
      <c r="M3039" t="s">
        <v>8</v>
      </c>
      <c r="N3039" t="b">
        <v>0</v>
      </c>
      <c r="O3039">
        <v>0</v>
      </c>
      <c r="P3039">
        <v>1</v>
      </c>
      <c r="Q3039">
        <v>0</v>
      </c>
      <c r="R3039">
        <v>1</v>
      </c>
    </row>
    <row r="3040" spans="1:18" x14ac:dyDescent="0.25">
      <c r="A3040" t="s">
        <v>19</v>
      </c>
      <c r="B3040" t="s">
        <v>6</v>
      </c>
      <c r="C3040">
        <v>4</v>
      </c>
      <c r="D3040">
        <v>2</v>
      </c>
      <c r="E3040">
        <v>1</v>
      </c>
      <c r="F3040" s="15">
        <v>46076</v>
      </c>
      <c r="G3040" t="s">
        <v>377</v>
      </c>
      <c r="H3040">
        <v>4</v>
      </c>
      <c r="I3040">
        <v>2026</v>
      </c>
      <c r="J3040">
        <v>2</v>
      </c>
      <c r="K3040" t="s">
        <v>87</v>
      </c>
      <c r="L3040" t="s">
        <v>28</v>
      </c>
      <c r="M3040" t="s">
        <v>6</v>
      </c>
      <c r="N3040" t="b">
        <v>0</v>
      </c>
      <c r="O3040">
        <v>0</v>
      </c>
      <c r="P3040">
        <v>1</v>
      </c>
      <c r="Q3040">
        <v>0</v>
      </c>
      <c r="R3040">
        <v>0</v>
      </c>
    </row>
    <row r="3041" spans="1:18" x14ac:dyDescent="0.25">
      <c r="A3041" t="s">
        <v>19</v>
      </c>
      <c r="B3041" t="s">
        <v>6</v>
      </c>
      <c r="C3041">
        <v>4</v>
      </c>
      <c r="D3041">
        <v>2</v>
      </c>
      <c r="E3041">
        <v>1</v>
      </c>
      <c r="F3041" s="15">
        <v>46076</v>
      </c>
      <c r="G3041" t="s">
        <v>377</v>
      </c>
      <c r="H3041">
        <v>4</v>
      </c>
      <c r="I3041">
        <v>2026</v>
      </c>
      <c r="J3041">
        <v>2</v>
      </c>
      <c r="K3041" t="s">
        <v>87</v>
      </c>
      <c r="L3041" t="s">
        <v>52</v>
      </c>
      <c r="M3041" t="s">
        <v>6</v>
      </c>
      <c r="N3041" t="b">
        <v>0</v>
      </c>
      <c r="O3041">
        <v>0</v>
      </c>
      <c r="P3041">
        <v>1</v>
      </c>
      <c r="Q3041">
        <v>0</v>
      </c>
      <c r="R3041">
        <v>0</v>
      </c>
    </row>
    <row r="3042" spans="1:18" x14ac:dyDescent="0.25">
      <c r="A3042" t="s">
        <v>13</v>
      </c>
      <c r="B3042" t="s">
        <v>6</v>
      </c>
      <c r="C3042">
        <v>1</v>
      </c>
      <c r="D3042">
        <v>3</v>
      </c>
      <c r="E3042">
        <v>1</v>
      </c>
      <c r="F3042" s="15">
        <v>46076</v>
      </c>
      <c r="G3042" t="s">
        <v>378</v>
      </c>
      <c r="H3042">
        <v>4</v>
      </c>
      <c r="I3042">
        <v>2026</v>
      </c>
      <c r="J3042">
        <v>2</v>
      </c>
      <c r="K3042" t="s">
        <v>87</v>
      </c>
      <c r="L3042" t="s">
        <v>9</v>
      </c>
      <c r="M3042" t="s">
        <v>8</v>
      </c>
      <c r="N3042" t="b">
        <v>0</v>
      </c>
      <c r="O3042">
        <v>0</v>
      </c>
      <c r="P3042">
        <v>1</v>
      </c>
      <c r="Q3042">
        <v>0</v>
      </c>
      <c r="R3042">
        <v>1</v>
      </c>
    </row>
    <row r="3043" spans="1:18" x14ac:dyDescent="0.25">
      <c r="A3043" t="s">
        <v>13</v>
      </c>
      <c r="B3043" t="s">
        <v>6</v>
      </c>
      <c r="C3043">
        <v>1</v>
      </c>
      <c r="D3043">
        <v>3</v>
      </c>
      <c r="E3043">
        <v>1</v>
      </c>
      <c r="F3043" s="15">
        <v>46076</v>
      </c>
      <c r="G3043" t="s">
        <v>378</v>
      </c>
      <c r="H3043">
        <v>4</v>
      </c>
      <c r="I3043">
        <v>2026</v>
      </c>
      <c r="J3043">
        <v>2</v>
      </c>
      <c r="K3043" t="s">
        <v>87</v>
      </c>
      <c r="L3043" t="s">
        <v>11</v>
      </c>
      <c r="M3043" t="s">
        <v>6</v>
      </c>
      <c r="N3043" t="b">
        <v>0</v>
      </c>
      <c r="O3043">
        <v>0</v>
      </c>
      <c r="P3043">
        <v>1</v>
      </c>
      <c r="Q3043">
        <v>0</v>
      </c>
      <c r="R3043">
        <v>0</v>
      </c>
    </row>
    <row r="3044" spans="1:18" x14ac:dyDescent="0.25">
      <c r="A3044" t="s">
        <v>13</v>
      </c>
      <c r="B3044" t="s">
        <v>6</v>
      </c>
      <c r="C3044">
        <v>1</v>
      </c>
      <c r="D3044">
        <v>3</v>
      </c>
      <c r="E3044">
        <v>1</v>
      </c>
      <c r="F3044" s="15">
        <v>46076</v>
      </c>
      <c r="G3044" t="s">
        <v>378</v>
      </c>
      <c r="H3044">
        <v>4</v>
      </c>
      <c r="I3044">
        <v>2026</v>
      </c>
      <c r="J3044">
        <v>2</v>
      </c>
      <c r="K3044" t="s">
        <v>87</v>
      </c>
      <c r="L3044" t="s">
        <v>14</v>
      </c>
      <c r="M3044" t="s">
        <v>6</v>
      </c>
      <c r="N3044" t="b">
        <v>0</v>
      </c>
      <c r="O3044">
        <v>0</v>
      </c>
      <c r="P3044">
        <v>1</v>
      </c>
      <c r="Q3044">
        <v>0</v>
      </c>
      <c r="R3044">
        <v>0</v>
      </c>
    </row>
    <row r="3045" spans="1:18" x14ac:dyDescent="0.25">
      <c r="A3045" t="s">
        <v>9</v>
      </c>
      <c r="B3045" t="s">
        <v>8</v>
      </c>
      <c r="C3045">
        <v>2</v>
      </c>
      <c r="D3045">
        <v>3</v>
      </c>
      <c r="E3045">
        <v>1</v>
      </c>
      <c r="F3045" s="15">
        <v>46076</v>
      </c>
      <c r="G3045" t="s">
        <v>378</v>
      </c>
      <c r="H3045">
        <v>4</v>
      </c>
      <c r="I3045">
        <v>2026</v>
      </c>
      <c r="J3045">
        <v>2</v>
      </c>
      <c r="K3045" t="s">
        <v>87</v>
      </c>
      <c r="L3045" t="s">
        <v>13</v>
      </c>
      <c r="M3045" t="s">
        <v>6</v>
      </c>
      <c r="N3045" t="b">
        <v>0</v>
      </c>
      <c r="O3045">
        <v>1</v>
      </c>
      <c r="P3045">
        <v>0</v>
      </c>
      <c r="Q3045">
        <v>0</v>
      </c>
      <c r="R3045">
        <v>0</v>
      </c>
    </row>
    <row r="3046" spans="1:18" x14ac:dyDescent="0.25">
      <c r="A3046" t="s">
        <v>9</v>
      </c>
      <c r="B3046" t="s">
        <v>8</v>
      </c>
      <c r="C3046">
        <v>2</v>
      </c>
      <c r="D3046">
        <v>3</v>
      </c>
      <c r="E3046">
        <v>1</v>
      </c>
      <c r="F3046" s="15">
        <v>46076</v>
      </c>
      <c r="G3046" t="s">
        <v>378</v>
      </c>
      <c r="H3046">
        <v>4</v>
      </c>
      <c r="I3046">
        <v>2026</v>
      </c>
      <c r="J3046">
        <v>2</v>
      </c>
      <c r="K3046" t="s">
        <v>87</v>
      </c>
      <c r="L3046" t="s">
        <v>11</v>
      </c>
      <c r="M3046" t="s">
        <v>6</v>
      </c>
      <c r="N3046" t="b">
        <v>0</v>
      </c>
      <c r="O3046">
        <v>1</v>
      </c>
      <c r="P3046">
        <v>0</v>
      </c>
      <c r="Q3046">
        <v>0</v>
      </c>
      <c r="R3046">
        <v>0</v>
      </c>
    </row>
    <row r="3047" spans="1:18" x14ac:dyDescent="0.25">
      <c r="A3047" t="s">
        <v>9</v>
      </c>
      <c r="B3047" t="s">
        <v>8</v>
      </c>
      <c r="C3047">
        <v>2</v>
      </c>
      <c r="D3047">
        <v>3</v>
      </c>
      <c r="E3047">
        <v>1</v>
      </c>
      <c r="F3047" s="15">
        <v>46076</v>
      </c>
      <c r="G3047" t="s">
        <v>378</v>
      </c>
      <c r="H3047">
        <v>4</v>
      </c>
      <c r="I3047">
        <v>2026</v>
      </c>
      <c r="J3047">
        <v>2</v>
      </c>
      <c r="K3047" t="s">
        <v>87</v>
      </c>
      <c r="L3047" t="s">
        <v>14</v>
      </c>
      <c r="M3047" t="s">
        <v>6</v>
      </c>
      <c r="N3047" t="b">
        <v>0</v>
      </c>
      <c r="O3047">
        <v>1</v>
      </c>
      <c r="P3047">
        <v>0</v>
      </c>
      <c r="Q3047">
        <v>0</v>
      </c>
      <c r="R3047">
        <v>0</v>
      </c>
    </row>
    <row r="3048" spans="1:18" x14ac:dyDescent="0.25">
      <c r="A3048" t="s">
        <v>11</v>
      </c>
      <c r="B3048" t="s">
        <v>6</v>
      </c>
      <c r="C3048">
        <v>3</v>
      </c>
      <c r="D3048">
        <v>3</v>
      </c>
      <c r="E3048">
        <v>1</v>
      </c>
      <c r="F3048" s="15">
        <v>46076</v>
      </c>
      <c r="G3048" t="s">
        <v>378</v>
      </c>
      <c r="H3048">
        <v>4</v>
      </c>
      <c r="I3048">
        <v>2026</v>
      </c>
      <c r="J3048">
        <v>2</v>
      </c>
      <c r="K3048" t="s">
        <v>87</v>
      </c>
      <c r="L3048" t="s">
        <v>13</v>
      </c>
      <c r="M3048" t="s">
        <v>6</v>
      </c>
      <c r="N3048" t="b">
        <v>0</v>
      </c>
      <c r="O3048">
        <v>0</v>
      </c>
      <c r="P3048">
        <v>1</v>
      </c>
      <c r="Q3048">
        <v>0</v>
      </c>
      <c r="R3048">
        <v>0</v>
      </c>
    </row>
    <row r="3049" spans="1:18" x14ac:dyDescent="0.25">
      <c r="A3049" t="s">
        <v>11</v>
      </c>
      <c r="B3049" t="s">
        <v>6</v>
      </c>
      <c r="C3049">
        <v>3</v>
      </c>
      <c r="D3049">
        <v>3</v>
      </c>
      <c r="E3049">
        <v>1</v>
      </c>
      <c r="F3049" s="15">
        <v>46076</v>
      </c>
      <c r="G3049" t="s">
        <v>378</v>
      </c>
      <c r="H3049">
        <v>4</v>
      </c>
      <c r="I3049">
        <v>2026</v>
      </c>
      <c r="J3049">
        <v>2</v>
      </c>
      <c r="K3049" t="s">
        <v>87</v>
      </c>
      <c r="L3049" t="s">
        <v>9</v>
      </c>
      <c r="M3049" t="s">
        <v>8</v>
      </c>
      <c r="N3049" t="b">
        <v>0</v>
      </c>
      <c r="O3049">
        <v>0</v>
      </c>
      <c r="P3049">
        <v>1</v>
      </c>
      <c r="Q3049">
        <v>0</v>
      </c>
      <c r="R3049">
        <v>1</v>
      </c>
    </row>
    <row r="3050" spans="1:18" x14ac:dyDescent="0.25">
      <c r="A3050" t="s">
        <v>11</v>
      </c>
      <c r="B3050" t="s">
        <v>6</v>
      </c>
      <c r="C3050">
        <v>3</v>
      </c>
      <c r="D3050">
        <v>3</v>
      </c>
      <c r="E3050">
        <v>1</v>
      </c>
      <c r="F3050" s="15">
        <v>46076</v>
      </c>
      <c r="G3050" t="s">
        <v>378</v>
      </c>
      <c r="H3050">
        <v>4</v>
      </c>
      <c r="I3050">
        <v>2026</v>
      </c>
      <c r="J3050">
        <v>2</v>
      </c>
      <c r="K3050" t="s">
        <v>87</v>
      </c>
      <c r="L3050" t="s">
        <v>14</v>
      </c>
      <c r="M3050" t="s">
        <v>6</v>
      </c>
      <c r="N3050" t="b">
        <v>0</v>
      </c>
      <c r="O3050">
        <v>0</v>
      </c>
      <c r="P3050">
        <v>1</v>
      </c>
      <c r="Q3050">
        <v>0</v>
      </c>
      <c r="R3050">
        <v>0</v>
      </c>
    </row>
    <row r="3051" spans="1:18" x14ac:dyDescent="0.25">
      <c r="A3051" t="s">
        <v>14</v>
      </c>
      <c r="B3051" t="s">
        <v>6</v>
      </c>
      <c r="C3051">
        <v>4</v>
      </c>
      <c r="D3051">
        <v>3</v>
      </c>
      <c r="E3051">
        <v>1</v>
      </c>
      <c r="F3051" s="15">
        <v>46076</v>
      </c>
      <c r="G3051" t="s">
        <v>378</v>
      </c>
      <c r="H3051">
        <v>4</v>
      </c>
      <c r="I3051">
        <v>2026</v>
      </c>
      <c r="J3051">
        <v>2</v>
      </c>
      <c r="K3051" t="s">
        <v>87</v>
      </c>
      <c r="L3051" t="s">
        <v>13</v>
      </c>
      <c r="M3051" t="s">
        <v>6</v>
      </c>
      <c r="N3051" t="b">
        <v>0</v>
      </c>
      <c r="O3051">
        <v>0</v>
      </c>
      <c r="P3051">
        <v>1</v>
      </c>
      <c r="Q3051">
        <v>0</v>
      </c>
      <c r="R3051">
        <v>0</v>
      </c>
    </row>
    <row r="3052" spans="1:18" x14ac:dyDescent="0.25">
      <c r="A3052" t="s">
        <v>14</v>
      </c>
      <c r="B3052" t="s">
        <v>6</v>
      </c>
      <c r="C3052">
        <v>4</v>
      </c>
      <c r="D3052">
        <v>3</v>
      </c>
      <c r="E3052">
        <v>1</v>
      </c>
      <c r="F3052" s="15">
        <v>46076</v>
      </c>
      <c r="G3052" t="s">
        <v>378</v>
      </c>
      <c r="H3052">
        <v>4</v>
      </c>
      <c r="I3052">
        <v>2026</v>
      </c>
      <c r="J3052">
        <v>2</v>
      </c>
      <c r="K3052" t="s">
        <v>87</v>
      </c>
      <c r="L3052" t="s">
        <v>9</v>
      </c>
      <c r="M3052" t="s">
        <v>8</v>
      </c>
      <c r="N3052" t="b">
        <v>0</v>
      </c>
      <c r="O3052">
        <v>0</v>
      </c>
      <c r="P3052">
        <v>1</v>
      </c>
      <c r="Q3052">
        <v>0</v>
      </c>
      <c r="R3052">
        <v>1</v>
      </c>
    </row>
    <row r="3053" spans="1:18" x14ac:dyDescent="0.25">
      <c r="A3053" t="s">
        <v>14</v>
      </c>
      <c r="B3053" t="s">
        <v>6</v>
      </c>
      <c r="C3053">
        <v>4</v>
      </c>
      <c r="D3053">
        <v>3</v>
      </c>
      <c r="E3053">
        <v>1</v>
      </c>
      <c r="F3053" s="15">
        <v>46076</v>
      </c>
      <c r="G3053" t="s">
        <v>378</v>
      </c>
      <c r="H3053">
        <v>4</v>
      </c>
      <c r="I3053">
        <v>2026</v>
      </c>
      <c r="J3053">
        <v>2</v>
      </c>
      <c r="K3053" t="s">
        <v>87</v>
      </c>
      <c r="L3053" t="s">
        <v>11</v>
      </c>
      <c r="M3053" t="s">
        <v>6</v>
      </c>
      <c r="N3053" t="b">
        <v>0</v>
      </c>
      <c r="O3053">
        <v>0</v>
      </c>
      <c r="P3053">
        <v>1</v>
      </c>
      <c r="Q3053">
        <v>0</v>
      </c>
      <c r="R3053">
        <v>0</v>
      </c>
    </row>
    <row r="3054" spans="1:18" x14ac:dyDescent="0.25">
      <c r="A3054" t="s">
        <v>7</v>
      </c>
      <c r="B3054" t="s">
        <v>8</v>
      </c>
      <c r="C3054">
        <v>1</v>
      </c>
      <c r="D3054">
        <v>4</v>
      </c>
      <c r="E3054">
        <v>1</v>
      </c>
      <c r="F3054" s="15">
        <v>46076</v>
      </c>
      <c r="G3054" t="s">
        <v>379</v>
      </c>
      <c r="H3054">
        <v>3</v>
      </c>
      <c r="I3054">
        <v>2026</v>
      </c>
      <c r="J3054">
        <v>2</v>
      </c>
      <c r="K3054" t="s">
        <v>87</v>
      </c>
      <c r="L3054" t="s">
        <v>352</v>
      </c>
      <c r="M3054" t="s">
        <v>6</v>
      </c>
      <c r="N3054" t="b">
        <v>0</v>
      </c>
      <c r="O3054">
        <v>1</v>
      </c>
      <c r="P3054">
        <v>0</v>
      </c>
      <c r="Q3054">
        <v>0</v>
      </c>
      <c r="R3054">
        <v>0</v>
      </c>
    </row>
    <row r="3055" spans="1:18" x14ac:dyDescent="0.25">
      <c r="A3055" t="s">
        <v>7</v>
      </c>
      <c r="B3055" t="s">
        <v>8</v>
      </c>
      <c r="C3055">
        <v>1</v>
      </c>
      <c r="D3055">
        <v>4</v>
      </c>
      <c r="E3055">
        <v>1</v>
      </c>
      <c r="F3055" s="15">
        <v>46076</v>
      </c>
      <c r="G3055" t="s">
        <v>379</v>
      </c>
      <c r="H3055">
        <v>3</v>
      </c>
      <c r="I3055">
        <v>2026</v>
      </c>
      <c r="J3055">
        <v>2</v>
      </c>
      <c r="K3055" t="s">
        <v>87</v>
      </c>
      <c r="L3055" t="s">
        <v>30</v>
      </c>
      <c r="M3055" t="s">
        <v>6</v>
      </c>
      <c r="N3055" t="b">
        <v>0</v>
      </c>
      <c r="O3055">
        <v>1</v>
      </c>
      <c r="P3055">
        <v>0</v>
      </c>
      <c r="Q3055">
        <v>0</v>
      </c>
      <c r="R3055">
        <v>0</v>
      </c>
    </row>
    <row r="3056" spans="1:18" x14ac:dyDescent="0.25">
      <c r="A3056" t="s">
        <v>352</v>
      </c>
      <c r="B3056" t="s">
        <v>6</v>
      </c>
      <c r="C3056">
        <v>2</v>
      </c>
      <c r="D3056">
        <v>4</v>
      </c>
      <c r="E3056">
        <v>1</v>
      </c>
      <c r="F3056" s="15">
        <v>46076</v>
      </c>
      <c r="G3056" t="s">
        <v>379</v>
      </c>
      <c r="H3056">
        <v>3</v>
      </c>
      <c r="I3056">
        <v>2026</v>
      </c>
      <c r="J3056">
        <v>2</v>
      </c>
      <c r="K3056" t="s">
        <v>87</v>
      </c>
      <c r="L3056" t="s">
        <v>7</v>
      </c>
      <c r="M3056" t="s">
        <v>8</v>
      </c>
      <c r="N3056" t="b">
        <v>0</v>
      </c>
      <c r="O3056">
        <v>0</v>
      </c>
      <c r="P3056">
        <v>1</v>
      </c>
      <c r="Q3056">
        <v>0</v>
      </c>
      <c r="R3056">
        <v>1</v>
      </c>
    </row>
    <row r="3057" spans="1:18" x14ac:dyDescent="0.25">
      <c r="A3057" t="s">
        <v>352</v>
      </c>
      <c r="B3057" t="s">
        <v>6</v>
      </c>
      <c r="C3057">
        <v>2</v>
      </c>
      <c r="D3057">
        <v>4</v>
      </c>
      <c r="E3057">
        <v>1</v>
      </c>
      <c r="F3057" s="15">
        <v>46076</v>
      </c>
      <c r="G3057" t="s">
        <v>379</v>
      </c>
      <c r="H3057">
        <v>3</v>
      </c>
      <c r="I3057">
        <v>2026</v>
      </c>
      <c r="J3057">
        <v>2</v>
      </c>
      <c r="K3057" t="s">
        <v>87</v>
      </c>
      <c r="L3057" t="s">
        <v>30</v>
      </c>
      <c r="M3057" t="s">
        <v>6</v>
      </c>
      <c r="N3057" t="b">
        <v>0</v>
      </c>
      <c r="O3057">
        <v>0</v>
      </c>
      <c r="P3057">
        <v>1</v>
      </c>
      <c r="Q3057">
        <v>0</v>
      </c>
      <c r="R3057">
        <v>0</v>
      </c>
    </row>
    <row r="3058" spans="1:18" x14ac:dyDescent="0.25">
      <c r="A3058" t="s">
        <v>30</v>
      </c>
      <c r="B3058" t="s">
        <v>6</v>
      </c>
      <c r="C3058">
        <v>3</v>
      </c>
      <c r="D3058">
        <v>4</v>
      </c>
      <c r="E3058">
        <v>1</v>
      </c>
      <c r="F3058" s="15">
        <v>46076</v>
      </c>
      <c r="G3058" t="s">
        <v>379</v>
      </c>
      <c r="H3058">
        <v>3</v>
      </c>
      <c r="I3058">
        <v>2026</v>
      </c>
      <c r="J3058">
        <v>2</v>
      </c>
      <c r="K3058" t="s">
        <v>87</v>
      </c>
      <c r="L3058" t="s">
        <v>7</v>
      </c>
      <c r="M3058" t="s">
        <v>8</v>
      </c>
      <c r="N3058" t="b">
        <v>0</v>
      </c>
      <c r="O3058">
        <v>0</v>
      </c>
      <c r="P3058">
        <v>1</v>
      </c>
      <c r="Q3058">
        <v>0</v>
      </c>
      <c r="R3058">
        <v>1</v>
      </c>
    </row>
    <row r="3059" spans="1:18" x14ac:dyDescent="0.25">
      <c r="A3059" t="s">
        <v>30</v>
      </c>
      <c r="B3059" t="s">
        <v>6</v>
      </c>
      <c r="C3059">
        <v>3</v>
      </c>
      <c r="D3059">
        <v>4</v>
      </c>
      <c r="E3059">
        <v>1</v>
      </c>
      <c r="F3059" s="15">
        <v>46076</v>
      </c>
      <c r="G3059" t="s">
        <v>379</v>
      </c>
      <c r="H3059">
        <v>3</v>
      </c>
      <c r="I3059">
        <v>2026</v>
      </c>
      <c r="J3059">
        <v>2</v>
      </c>
      <c r="K3059" t="s">
        <v>87</v>
      </c>
      <c r="L3059" t="s">
        <v>352</v>
      </c>
      <c r="M3059" t="s">
        <v>6</v>
      </c>
      <c r="N3059" t="b">
        <v>0</v>
      </c>
      <c r="O3059">
        <v>0</v>
      </c>
      <c r="P3059">
        <v>1</v>
      </c>
      <c r="Q3059">
        <v>0</v>
      </c>
      <c r="R3059">
        <v>0</v>
      </c>
    </row>
    <row r="3060" spans="1:18" x14ac:dyDescent="0.25">
      <c r="A3060" t="s">
        <v>321</v>
      </c>
      <c r="B3060" t="s">
        <v>6</v>
      </c>
      <c r="C3060">
        <v>1</v>
      </c>
      <c r="D3060">
        <v>5</v>
      </c>
      <c r="E3060">
        <v>1</v>
      </c>
      <c r="F3060" s="15">
        <v>46076</v>
      </c>
      <c r="G3060" t="s">
        <v>380</v>
      </c>
      <c r="H3060">
        <v>3</v>
      </c>
      <c r="I3060">
        <v>2026</v>
      </c>
      <c r="J3060">
        <v>2</v>
      </c>
      <c r="K3060" t="s">
        <v>87</v>
      </c>
      <c r="L3060" t="s">
        <v>41</v>
      </c>
      <c r="M3060" t="s">
        <v>6</v>
      </c>
      <c r="N3060" t="b">
        <v>0</v>
      </c>
      <c r="O3060">
        <v>0</v>
      </c>
      <c r="P3060">
        <v>1</v>
      </c>
      <c r="Q3060">
        <v>0</v>
      </c>
      <c r="R3060">
        <v>0</v>
      </c>
    </row>
    <row r="3061" spans="1:18" x14ac:dyDescent="0.25">
      <c r="A3061" t="s">
        <v>321</v>
      </c>
      <c r="B3061" t="s">
        <v>6</v>
      </c>
      <c r="C3061">
        <v>1</v>
      </c>
      <c r="D3061">
        <v>5</v>
      </c>
      <c r="E3061">
        <v>1</v>
      </c>
      <c r="F3061" s="15">
        <v>46076</v>
      </c>
      <c r="G3061" t="s">
        <v>380</v>
      </c>
      <c r="H3061">
        <v>3</v>
      </c>
      <c r="I3061">
        <v>2026</v>
      </c>
      <c r="J3061">
        <v>2</v>
      </c>
      <c r="K3061" t="s">
        <v>87</v>
      </c>
      <c r="L3061" t="s">
        <v>363</v>
      </c>
      <c r="M3061" t="s">
        <v>8</v>
      </c>
      <c r="N3061" t="b">
        <v>0</v>
      </c>
      <c r="O3061">
        <v>0</v>
      </c>
      <c r="P3061">
        <v>1</v>
      </c>
      <c r="Q3061">
        <v>0</v>
      </c>
      <c r="R3061">
        <v>1</v>
      </c>
    </row>
    <row r="3062" spans="1:18" x14ac:dyDescent="0.25">
      <c r="A3062" t="s">
        <v>41</v>
      </c>
      <c r="B3062" t="s">
        <v>6</v>
      </c>
      <c r="C3062">
        <v>2</v>
      </c>
      <c r="D3062">
        <v>5</v>
      </c>
      <c r="E3062">
        <v>1</v>
      </c>
      <c r="F3062" s="15">
        <v>46076</v>
      </c>
      <c r="G3062" t="s">
        <v>380</v>
      </c>
      <c r="H3062">
        <v>3</v>
      </c>
      <c r="I3062">
        <v>2026</v>
      </c>
      <c r="J3062">
        <v>2</v>
      </c>
      <c r="K3062" t="s">
        <v>87</v>
      </c>
      <c r="L3062" t="s">
        <v>321</v>
      </c>
      <c r="M3062" t="s">
        <v>6</v>
      </c>
      <c r="N3062" t="b">
        <v>0</v>
      </c>
      <c r="O3062">
        <v>0</v>
      </c>
      <c r="P3062">
        <v>1</v>
      </c>
      <c r="Q3062">
        <v>0</v>
      </c>
      <c r="R3062">
        <v>0</v>
      </c>
    </row>
    <row r="3063" spans="1:18" x14ac:dyDescent="0.25">
      <c r="A3063" t="s">
        <v>41</v>
      </c>
      <c r="B3063" t="s">
        <v>6</v>
      </c>
      <c r="C3063">
        <v>2</v>
      </c>
      <c r="D3063">
        <v>5</v>
      </c>
      <c r="E3063">
        <v>1</v>
      </c>
      <c r="F3063" s="15">
        <v>46076</v>
      </c>
      <c r="G3063" t="s">
        <v>380</v>
      </c>
      <c r="H3063">
        <v>3</v>
      </c>
      <c r="I3063">
        <v>2026</v>
      </c>
      <c r="J3063">
        <v>2</v>
      </c>
      <c r="K3063" t="s">
        <v>87</v>
      </c>
      <c r="L3063" t="s">
        <v>363</v>
      </c>
      <c r="M3063" t="s">
        <v>8</v>
      </c>
      <c r="N3063" t="b">
        <v>0</v>
      </c>
      <c r="O3063">
        <v>0</v>
      </c>
      <c r="P3063">
        <v>1</v>
      </c>
      <c r="Q3063">
        <v>0</v>
      </c>
      <c r="R3063">
        <v>1</v>
      </c>
    </row>
    <row r="3064" spans="1:18" x14ac:dyDescent="0.25">
      <c r="A3064" t="s">
        <v>363</v>
      </c>
      <c r="B3064" t="s">
        <v>8</v>
      </c>
      <c r="C3064">
        <v>3</v>
      </c>
      <c r="D3064">
        <v>5</v>
      </c>
      <c r="E3064">
        <v>1</v>
      </c>
      <c r="F3064" s="15">
        <v>46076</v>
      </c>
      <c r="G3064" t="s">
        <v>380</v>
      </c>
      <c r="H3064">
        <v>3</v>
      </c>
      <c r="I3064">
        <v>2026</v>
      </c>
      <c r="J3064">
        <v>2</v>
      </c>
      <c r="K3064" t="s">
        <v>87</v>
      </c>
      <c r="L3064" t="s">
        <v>321</v>
      </c>
      <c r="M3064" t="s">
        <v>6</v>
      </c>
      <c r="N3064" t="b">
        <v>0</v>
      </c>
      <c r="O3064">
        <v>1</v>
      </c>
      <c r="P3064">
        <v>0</v>
      </c>
      <c r="Q3064">
        <v>0</v>
      </c>
      <c r="R3064">
        <v>0</v>
      </c>
    </row>
    <row r="3065" spans="1:18" x14ac:dyDescent="0.25">
      <c r="A3065" t="s">
        <v>363</v>
      </c>
      <c r="B3065" t="s">
        <v>8</v>
      </c>
      <c r="C3065">
        <v>3</v>
      </c>
      <c r="D3065">
        <v>5</v>
      </c>
      <c r="E3065">
        <v>1</v>
      </c>
      <c r="F3065" s="15">
        <v>46076</v>
      </c>
      <c r="G3065" t="s">
        <v>380</v>
      </c>
      <c r="H3065">
        <v>3</v>
      </c>
      <c r="I3065">
        <v>2026</v>
      </c>
      <c r="J3065">
        <v>2</v>
      </c>
      <c r="K3065" t="s">
        <v>87</v>
      </c>
      <c r="L3065" t="s">
        <v>41</v>
      </c>
      <c r="M3065" t="s">
        <v>6</v>
      </c>
      <c r="N3065" t="b">
        <v>0</v>
      </c>
      <c r="O3065">
        <v>1</v>
      </c>
      <c r="P3065">
        <v>0</v>
      </c>
      <c r="Q3065">
        <v>0</v>
      </c>
      <c r="R3065">
        <v>0</v>
      </c>
    </row>
    <row r="3066" spans="1:18" x14ac:dyDescent="0.25">
      <c r="A3066" t="s">
        <v>9</v>
      </c>
      <c r="B3066" t="s">
        <v>6</v>
      </c>
      <c r="C3066">
        <v>1</v>
      </c>
      <c r="D3066">
        <v>1</v>
      </c>
      <c r="E3066">
        <v>2</v>
      </c>
      <c r="F3066" s="15">
        <v>46076</v>
      </c>
      <c r="G3066" t="s">
        <v>381</v>
      </c>
      <c r="H3066">
        <v>4</v>
      </c>
      <c r="I3066">
        <v>2026</v>
      </c>
      <c r="J3066">
        <v>2</v>
      </c>
      <c r="K3066" t="s">
        <v>87</v>
      </c>
      <c r="L3066" t="s">
        <v>17</v>
      </c>
      <c r="M3066" t="s">
        <v>6</v>
      </c>
      <c r="N3066" t="b">
        <v>0</v>
      </c>
      <c r="O3066">
        <v>0</v>
      </c>
      <c r="P3066">
        <v>1</v>
      </c>
      <c r="Q3066">
        <v>0</v>
      </c>
      <c r="R3066">
        <v>0</v>
      </c>
    </row>
    <row r="3067" spans="1:18" x14ac:dyDescent="0.25">
      <c r="A3067" t="s">
        <v>9</v>
      </c>
      <c r="B3067" t="s">
        <v>6</v>
      </c>
      <c r="C3067">
        <v>1</v>
      </c>
      <c r="D3067">
        <v>1</v>
      </c>
      <c r="E3067">
        <v>2</v>
      </c>
      <c r="F3067" s="15">
        <v>46076</v>
      </c>
      <c r="G3067" t="s">
        <v>381</v>
      </c>
      <c r="H3067">
        <v>4</v>
      </c>
      <c r="I3067">
        <v>2026</v>
      </c>
      <c r="J3067">
        <v>2</v>
      </c>
      <c r="K3067" t="s">
        <v>87</v>
      </c>
      <c r="L3067" t="s">
        <v>7</v>
      </c>
      <c r="M3067" t="s">
        <v>8</v>
      </c>
      <c r="N3067" t="b">
        <v>0</v>
      </c>
      <c r="O3067">
        <v>0</v>
      </c>
      <c r="P3067">
        <v>1</v>
      </c>
      <c r="Q3067">
        <v>0</v>
      </c>
      <c r="R3067">
        <v>1</v>
      </c>
    </row>
    <row r="3068" spans="1:18" x14ac:dyDescent="0.25">
      <c r="A3068" t="s">
        <v>9</v>
      </c>
      <c r="B3068" t="s">
        <v>6</v>
      </c>
      <c r="C3068">
        <v>1</v>
      </c>
      <c r="D3068">
        <v>1</v>
      </c>
      <c r="E3068">
        <v>2</v>
      </c>
      <c r="F3068" s="15">
        <v>46076</v>
      </c>
      <c r="G3068" t="s">
        <v>381</v>
      </c>
      <c r="H3068">
        <v>4</v>
      </c>
      <c r="I3068">
        <v>2026</v>
      </c>
      <c r="J3068">
        <v>2</v>
      </c>
      <c r="K3068" t="s">
        <v>87</v>
      </c>
      <c r="L3068" t="s">
        <v>20</v>
      </c>
      <c r="M3068" t="s">
        <v>6</v>
      </c>
      <c r="N3068" t="b">
        <v>0</v>
      </c>
      <c r="O3068">
        <v>0</v>
      </c>
      <c r="P3068">
        <v>1</v>
      </c>
      <c r="Q3068">
        <v>0</v>
      </c>
      <c r="R3068">
        <v>0</v>
      </c>
    </row>
    <row r="3069" spans="1:18" x14ac:dyDescent="0.25">
      <c r="A3069" t="s">
        <v>17</v>
      </c>
      <c r="B3069" t="s">
        <v>6</v>
      </c>
      <c r="C3069">
        <v>2</v>
      </c>
      <c r="D3069">
        <v>1</v>
      </c>
      <c r="E3069">
        <v>2</v>
      </c>
      <c r="F3069" s="15">
        <v>46076</v>
      </c>
      <c r="G3069" t="s">
        <v>381</v>
      </c>
      <c r="H3069">
        <v>4</v>
      </c>
      <c r="I3069">
        <v>2026</v>
      </c>
      <c r="J3069">
        <v>2</v>
      </c>
      <c r="K3069" t="s">
        <v>87</v>
      </c>
      <c r="L3069" t="s">
        <v>9</v>
      </c>
      <c r="M3069" t="s">
        <v>6</v>
      </c>
      <c r="N3069" t="b">
        <v>0</v>
      </c>
      <c r="O3069">
        <v>0</v>
      </c>
      <c r="P3069">
        <v>1</v>
      </c>
      <c r="Q3069">
        <v>0</v>
      </c>
      <c r="R3069">
        <v>0</v>
      </c>
    </row>
    <row r="3070" spans="1:18" x14ac:dyDescent="0.25">
      <c r="A3070" t="s">
        <v>17</v>
      </c>
      <c r="B3070" t="s">
        <v>6</v>
      </c>
      <c r="C3070">
        <v>2</v>
      </c>
      <c r="D3070">
        <v>1</v>
      </c>
      <c r="E3070">
        <v>2</v>
      </c>
      <c r="F3070" s="15">
        <v>46076</v>
      </c>
      <c r="G3070" t="s">
        <v>381</v>
      </c>
      <c r="H3070">
        <v>4</v>
      </c>
      <c r="I3070">
        <v>2026</v>
      </c>
      <c r="J3070">
        <v>2</v>
      </c>
      <c r="K3070" t="s">
        <v>87</v>
      </c>
      <c r="L3070" t="s">
        <v>7</v>
      </c>
      <c r="M3070" t="s">
        <v>8</v>
      </c>
      <c r="N3070" t="b">
        <v>0</v>
      </c>
      <c r="O3070">
        <v>0</v>
      </c>
      <c r="P3070">
        <v>1</v>
      </c>
      <c r="Q3070">
        <v>0</v>
      </c>
      <c r="R3070">
        <v>1</v>
      </c>
    </row>
    <row r="3071" spans="1:18" x14ac:dyDescent="0.25">
      <c r="A3071" t="s">
        <v>17</v>
      </c>
      <c r="B3071" t="s">
        <v>6</v>
      </c>
      <c r="C3071">
        <v>2</v>
      </c>
      <c r="D3071">
        <v>1</v>
      </c>
      <c r="E3071">
        <v>2</v>
      </c>
      <c r="F3071" s="15">
        <v>46076</v>
      </c>
      <c r="G3071" t="s">
        <v>381</v>
      </c>
      <c r="H3071">
        <v>4</v>
      </c>
      <c r="I3071">
        <v>2026</v>
      </c>
      <c r="J3071">
        <v>2</v>
      </c>
      <c r="K3071" t="s">
        <v>87</v>
      </c>
      <c r="L3071" t="s">
        <v>20</v>
      </c>
      <c r="M3071" t="s">
        <v>6</v>
      </c>
      <c r="N3071" t="b">
        <v>0</v>
      </c>
      <c r="O3071">
        <v>0</v>
      </c>
      <c r="P3071">
        <v>1</v>
      </c>
      <c r="Q3071">
        <v>0</v>
      </c>
      <c r="R3071">
        <v>0</v>
      </c>
    </row>
    <row r="3072" spans="1:18" x14ac:dyDescent="0.25">
      <c r="A3072" t="s">
        <v>7</v>
      </c>
      <c r="B3072" t="s">
        <v>8</v>
      </c>
      <c r="C3072">
        <v>3</v>
      </c>
      <c r="D3072">
        <v>1</v>
      </c>
      <c r="E3072">
        <v>2</v>
      </c>
      <c r="F3072" s="15">
        <v>46076</v>
      </c>
      <c r="G3072" t="s">
        <v>381</v>
      </c>
      <c r="H3072">
        <v>4</v>
      </c>
      <c r="I3072">
        <v>2026</v>
      </c>
      <c r="J3072">
        <v>2</v>
      </c>
      <c r="K3072" t="s">
        <v>87</v>
      </c>
      <c r="L3072" t="s">
        <v>9</v>
      </c>
      <c r="M3072" t="s">
        <v>6</v>
      </c>
      <c r="N3072" t="b">
        <v>0</v>
      </c>
      <c r="O3072">
        <v>1</v>
      </c>
      <c r="P3072">
        <v>0</v>
      </c>
      <c r="Q3072">
        <v>0</v>
      </c>
      <c r="R3072">
        <v>0</v>
      </c>
    </row>
    <row r="3073" spans="1:18" x14ac:dyDescent="0.25">
      <c r="A3073" t="s">
        <v>7</v>
      </c>
      <c r="B3073" t="s">
        <v>8</v>
      </c>
      <c r="C3073">
        <v>3</v>
      </c>
      <c r="D3073">
        <v>1</v>
      </c>
      <c r="E3073">
        <v>2</v>
      </c>
      <c r="F3073" s="15">
        <v>46076</v>
      </c>
      <c r="G3073" t="s">
        <v>381</v>
      </c>
      <c r="H3073">
        <v>4</v>
      </c>
      <c r="I3073">
        <v>2026</v>
      </c>
      <c r="J3073">
        <v>2</v>
      </c>
      <c r="K3073" t="s">
        <v>87</v>
      </c>
      <c r="L3073" t="s">
        <v>17</v>
      </c>
      <c r="M3073" t="s">
        <v>6</v>
      </c>
      <c r="N3073" t="b">
        <v>0</v>
      </c>
      <c r="O3073">
        <v>1</v>
      </c>
      <c r="P3073">
        <v>0</v>
      </c>
      <c r="Q3073">
        <v>0</v>
      </c>
      <c r="R3073">
        <v>0</v>
      </c>
    </row>
    <row r="3074" spans="1:18" x14ac:dyDescent="0.25">
      <c r="A3074" t="s">
        <v>7</v>
      </c>
      <c r="B3074" t="s">
        <v>8</v>
      </c>
      <c r="C3074">
        <v>3</v>
      </c>
      <c r="D3074">
        <v>1</v>
      </c>
      <c r="E3074">
        <v>2</v>
      </c>
      <c r="F3074" s="15">
        <v>46076</v>
      </c>
      <c r="G3074" t="s">
        <v>381</v>
      </c>
      <c r="H3074">
        <v>4</v>
      </c>
      <c r="I3074">
        <v>2026</v>
      </c>
      <c r="J3074">
        <v>2</v>
      </c>
      <c r="K3074" t="s">
        <v>87</v>
      </c>
      <c r="L3074" t="s">
        <v>20</v>
      </c>
      <c r="M3074" t="s">
        <v>6</v>
      </c>
      <c r="N3074" t="b">
        <v>0</v>
      </c>
      <c r="O3074">
        <v>1</v>
      </c>
      <c r="P3074">
        <v>0</v>
      </c>
      <c r="Q3074">
        <v>0</v>
      </c>
      <c r="R3074">
        <v>0</v>
      </c>
    </row>
    <row r="3075" spans="1:18" x14ac:dyDescent="0.25">
      <c r="A3075" t="s">
        <v>20</v>
      </c>
      <c r="B3075" t="s">
        <v>6</v>
      </c>
      <c r="C3075">
        <v>4</v>
      </c>
      <c r="D3075">
        <v>1</v>
      </c>
      <c r="E3075">
        <v>2</v>
      </c>
      <c r="F3075" s="15">
        <v>46076</v>
      </c>
      <c r="G3075" t="s">
        <v>381</v>
      </c>
      <c r="H3075">
        <v>4</v>
      </c>
      <c r="I3075">
        <v>2026</v>
      </c>
      <c r="J3075">
        <v>2</v>
      </c>
      <c r="K3075" t="s">
        <v>87</v>
      </c>
      <c r="L3075" t="s">
        <v>9</v>
      </c>
      <c r="M3075" t="s">
        <v>6</v>
      </c>
      <c r="N3075" t="b">
        <v>0</v>
      </c>
      <c r="O3075">
        <v>0</v>
      </c>
      <c r="P3075">
        <v>1</v>
      </c>
      <c r="Q3075">
        <v>0</v>
      </c>
      <c r="R3075">
        <v>0</v>
      </c>
    </row>
    <row r="3076" spans="1:18" x14ac:dyDescent="0.25">
      <c r="A3076" t="s">
        <v>20</v>
      </c>
      <c r="B3076" t="s">
        <v>6</v>
      </c>
      <c r="C3076">
        <v>4</v>
      </c>
      <c r="D3076">
        <v>1</v>
      </c>
      <c r="E3076">
        <v>2</v>
      </c>
      <c r="F3076" s="15">
        <v>46076</v>
      </c>
      <c r="G3076" t="s">
        <v>381</v>
      </c>
      <c r="H3076">
        <v>4</v>
      </c>
      <c r="I3076">
        <v>2026</v>
      </c>
      <c r="J3076">
        <v>2</v>
      </c>
      <c r="K3076" t="s">
        <v>87</v>
      </c>
      <c r="L3076" t="s">
        <v>17</v>
      </c>
      <c r="M3076" t="s">
        <v>6</v>
      </c>
      <c r="N3076" t="b">
        <v>0</v>
      </c>
      <c r="O3076">
        <v>0</v>
      </c>
      <c r="P3076">
        <v>1</v>
      </c>
      <c r="Q3076">
        <v>0</v>
      </c>
      <c r="R3076">
        <v>0</v>
      </c>
    </row>
    <row r="3077" spans="1:18" x14ac:dyDescent="0.25">
      <c r="A3077" t="s">
        <v>20</v>
      </c>
      <c r="B3077" t="s">
        <v>6</v>
      </c>
      <c r="C3077">
        <v>4</v>
      </c>
      <c r="D3077">
        <v>1</v>
      </c>
      <c r="E3077">
        <v>2</v>
      </c>
      <c r="F3077" s="15">
        <v>46076</v>
      </c>
      <c r="G3077" t="s">
        <v>381</v>
      </c>
      <c r="H3077">
        <v>4</v>
      </c>
      <c r="I3077">
        <v>2026</v>
      </c>
      <c r="J3077">
        <v>2</v>
      </c>
      <c r="K3077" t="s">
        <v>87</v>
      </c>
      <c r="L3077" t="s">
        <v>7</v>
      </c>
      <c r="M3077" t="s">
        <v>8</v>
      </c>
      <c r="N3077" t="b">
        <v>0</v>
      </c>
      <c r="O3077">
        <v>0</v>
      </c>
      <c r="P3077">
        <v>1</v>
      </c>
      <c r="Q3077">
        <v>0</v>
      </c>
      <c r="R3077">
        <v>1</v>
      </c>
    </row>
    <row r="3078" spans="1:18" x14ac:dyDescent="0.25">
      <c r="A3078" t="s">
        <v>16</v>
      </c>
      <c r="B3078" t="s">
        <v>6</v>
      </c>
      <c r="C3078">
        <v>1</v>
      </c>
      <c r="D3078">
        <v>2</v>
      </c>
      <c r="E3078">
        <v>2</v>
      </c>
      <c r="F3078" s="15">
        <v>46076</v>
      </c>
      <c r="G3078" t="s">
        <v>382</v>
      </c>
      <c r="H3078">
        <v>4</v>
      </c>
      <c r="I3078">
        <v>2026</v>
      </c>
      <c r="J3078">
        <v>2</v>
      </c>
      <c r="K3078" t="s">
        <v>87</v>
      </c>
      <c r="L3078" t="s">
        <v>30</v>
      </c>
      <c r="M3078" t="s">
        <v>8</v>
      </c>
      <c r="N3078" t="b">
        <v>0</v>
      </c>
      <c r="O3078">
        <v>0</v>
      </c>
      <c r="P3078">
        <v>1</v>
      </c>
      <c r="Q3078">
        <v>0</v>
      </c>
      <c r="R3078">
        <v>1</v>
      </c>
    </row>
    <row r="3079" spans="1:18" x14ac:dyDescent="0.25">
      <c r="A3079" t="s">
        <v>16</v>
      </c>
      <c r="B3079" t="s">
        <v>6</v>
      </c>
      <c r="C3079">
        <v>1</v>
      </c>
      <c r="D3079">
        <v>2</v>
      </c>
      <c r="E3079">
        <v>2</v>
      </c>
      <c r="F3079" s="15">
        <v>46076</v>
      </c>
      <c r="G3079" t="s">
        <v>382</v>
      </c>
      <c r="H3079">
        <v>4</v>
      </c>
      <c r="I3079">
        <v>2026</v>
      </c>
      <c r="J3079">
        <v>2</v>
      </c>
      <c r="K3079" t="s">
        <v>87</v>
      </c>
      <c r="L3079" t="s">
        <v>363</v>
      </c>
      <c r="M3079" t="s">
        <v>6</v>
      </c>
      <c r="N3079" t="b">
        <v>0</v>
      </c>
      <c r="O3079">
        <v>0</v>
      </c>
      <c r="P3079">
        <v>1</v>
      </c>
      <c r="Q3079">
        <v>0</v>
      </c>
      <c r="R3079">
        <v>0</v>
      </c>
    </row>
    <row r="3080" spans="1:18" x14ac:dyDescent="0.25">
      <c r="A3080" t="s">
        <v>16</v>
      </c>
      <c r="B3080" t="s">
        <v>6</v>
      </c>
      <c r="C3080">
        <v>1</v>
      </c>
      <c r="D3080">
        <v>2</v>
      </c>
      <c r="E3080">
        <v>2</v>
      </c>
      <c r="F3080" s="15">
        <v>46076</v>
      </c>
      <c r="G3080" t="s">
        <v>382</v>
      </c>
      <c r="H3080">
        <v>4</v>
      </c>
      <c r="I3080">
        <v>2026</v>
      </c>
      <c r="J3080">
        <v>2</v>
      </c>
      <c r="K3080" t="s">
        <v>87</v>
      </c>
      <c r="L3080" t="s">
        <v>52</v>
      </c>
      <c r="M3080" t="s">
        <v>6</v>
      </c>
      <c r="N3080" t="b">
        <v>0</v>
      </c>
      <c r="O3080">
        <v>0</v>
      </c>
      <c r="P3080">
        <v>1</v>
      </c>
      <c r="Q3080">
        <v>0</v>
      </c>
      <c r="R3080">
        <v>0</v>
      </c>
    </row>
    <row r="3081" spans="1:18" x14ac:dyDescent="0.25">
      <c r="A3081" t="s">
        <v>30</v>
      </c>
      <c r="B3081" t="s">
        <v>8</v>
      </c>
      <c r="C3081">
        <v>2</v>
      </c>
      <c r="D3081">
        <v>2</v>
      </c>
      <c r="E3081">
        <v>2</v>
      </c>
      <c r="F3081" s="15">
        <v>46076</v>
      </c>
      <c r="G3081" t="s">
        <v>382</v>
      </c>
      <c r="H3081">
        <v>4</v>
      </c>
      <c r="I3081">
        <v>2026</v>
      </c>
      <c r="J3081">
        <v>2</v>
      </c>
      <c r="K3081" t="s">
        <v>87</v>
      </c>
      <c r="L3081" t="s">
        <v>16</v>
      </c>
      <c r="M3081" t="s">
        <v>6</v>
      </c>
      <c r="N3081" t="b">
        <v>0</v>
      </c>
      <c r="O3081">
        <v>1</v>
      </c>
      <c r="P3081">
        <v>0</v>
      </c>
      <c r="Q3081">
        <v>0</v>
      </c>
      <c r="R3081">
        <v>0</v>
      </c>
    </row>
    <row r="3082" spans="1:18" x14ac:dyDescent="0.25">
      <c r="A3082" t="s">
        <v>30</v>
      </c>
      <c r="B3082" t="s">
        <v>8</v>
      </c>
      <c r="C3082">
        <v>2</v>
      </c>
      <c r="D3082">
        <v>2</v>
      </c>
      <c r="E3082">
        <v>2</v>
      </c>
      <c r="F3082" s="15">
        <v>46076</v>
      </c>
      <c r="G3082" t="s">
        <v>382</v>
      </c>
      <c r="H3082">
        <v>4</v>
      </c>
      <c r="I3082">
        <v>2026</v>
      </c>
      <c r="J3082">
        <v>2</v>
      </c>
      <c r="K3082" t="s">
        <v>87</v>
      </c>
      <c r="L3082" t="s">
        <v>363</v>
      </c>
      <c r="M3082" t="s">
        <v>6</v>
      </c>
      <c r="N3082" t="b">
        <v>0</v>
      </c>
      <c r="O3082">
        <v>1</v>
      </c>
      <c r="P3082">
        <v>0</v>
      </c>
      <c r="Q3082">
        <v>0</v>
      </c>
      <c r="R3082">
        <v>0</v>
      </c>
    </row>
    <row r="3083" spans="1:18" x14ac:dyDescent="0.25">
      <c r="A3083" t="s">
        <v>30</v>
      </c>
      <c r="B3083" t="s">
        <v>8</v>
      </c>
      <c r="C3083">
        <v>2</v>
      </c>
      <c r="D3083">
        <v>2</v>
      </c>
      <c r="E3083">
        <v>2</v>
      </c>
      <c r="F3083" s="15">
        <v>46076</v>
      </c>
      <c r="G3083" t="s">
        <v>382</v>
      </c>
      <c r="H3083">
        <v>4</v>
      </c>
      <c r="I3083">
        <v>2026</v>
      </c>
      <c r="J3083">
        <v>2</v>
      </c>
      <c r="K3083" t="s">
        <v>87</v>
      </c>
      <c r="L3083" t="s">
        <v>52</v>
      </c>
      <c r="M3083" t="s">
        <v>6</v>
      </c>
      <c r="N3083" t="b">
        <v>0</v>
      </c>
      <c r="O3083">
        <v>1</v>
      </c>
      <c r="P3083">
        <v>0</v>
      </c>
      <c r="Q3083">
        <v>0</v>
      </c>
      <c r="R3083">
        <v>0</v>
      </c>
    </row>
    <row r="3084" spans="1:18" x14ac:dyDescent="0.25">
      <c r="A3084" t="s">
        <v>363</v>
      </c>
      <c r="B3084" t="s">
        <v>6</v>
      </c>
      <c r="C3084">
        <v>3</v>
      </c>
      <c r="D3084">
        <v>2</v>
      </c>
      <c r="E3084">
        <v>2</v>
      </c>
      <c r="F3084" s="15">
        <v>46076</v>
      </c>
      <c r="G3084" t="s">
        <v>382</v>
      </c>
      <c r="H3084">
        <v>4</v>
      </c>
      <c r="I3084">
        <v>2026</v>
      </c>
      <c r="J3084">
        <v>2</v>
      </c>
      <c r="K3084" t="s">
        <v>87</v>
      </c>
      <c r="L3084" t="s">
        <v>16</v>
      </c>
      <c r="M3084" t="s">
        <v>6</v>
      </c>
      <c r="N3084" t="b">
        <v>0</v>
      </c>
      <c r="O3084">
        <v>0</v>
      </c>
      <c r="P3084">
        <v>1</v>
      </c>
      <c r="Q3084">
        <v>0</v>
      </c>
      <c r="R3084">
        <v>0</v>
      </c>
    </row>
    <row r="3085" spans="1:18" x14ac:dyDescent="0.25">
      <c r="A3085" t="s">
        <v>363</v>
      </c>
      <c r="B3085" t="s">
        <v>6</v>
      </c>
      <c r="C3085">
        <v>3</v>
      </c>
      <c r="D3085">
        <v>2</v>
      </c>
      <c r="E3085">
        <v>2</v>
      </c>
      <c r="F3085" s="15">
        <v>46076</v>
      </c>
      <c r="G3085" t="s">
        <v>382</v>
      </c>
      <c r="H3085">
        <v>4</v>
      </c>
      <c r="I3085">
        <v>2026</v>
      </c>
      <c r="J3085">
        <v>2</v>
      </c>
      <c r="K3085" t="s">
        <v>87</v>
      </c>
      <c r="L3085" t="s">
        <v>30</v>
      </c>
      <c r="M3085" t="s">
        <v>8</v>
      </c>
      <c r="N3085" t="b">
        <v>0</v>
      </c>
      <c r="O3085">
        <v>0</v>
      </c>
      <c r="P3085">
        <v>1</v>
      </c>
      <c r="Q3085">
        <v>0</v>
      </c>
      <c r="R3085">
        <v>1</v>
      </c>
    </row>
    <row r="3086" spans="1:18" x14ac:dyDescent="0.25">
      <c r="A3086" t="s">
        <v>363</v>
      </c>
      <c r="B3086" t="s">
        <v>6</v>
      </c>
      <c r="C3086">
        <v>3</v>
      </c>
      <c r="D3086">
        <v>2</v>
      </c>
      <c r="E3086">
        <v>2</v>
      </c>
      <c r="F3086" s="15">
        <v>46076</v>
      </c>
      <c r="G3086" t="s">
        <v>382</v>
      </c>
      <c r="H3086">
        <v>4</v>
      </c>
      <c r="I3086">
        <v>2026</v>
      </c>
      <c r="J3086">
        <v>2</v>
      </c>
      <c r="K3086" t="s">
        <v>87</v>
      </c>
      <c r="L3086" t="s">
        <v>52</v>
      </c>
      <c r="M3086" t="s">
        <v>6</v>
      </c>
      <c r="N3086" t="b">
        <v>0</v>
      </c>
      <c r="O3086">
        <v>0</v>
      </c>
      <c r="P3086">
        <v>1</v>
      </c>
      <c r="Q3086">
        <v>0</v>
      </c>
      <c r="R3086">
        <v>0</v>
      </c>
    </row>
    <row r="3087" spans="1:18" x14ac:dyDescent="0.25">
      <c r="A3087" t="s">
        <v>52</v>
      </c>
      <c r="B3087" t="s">
        <v>6</v>
      </c>
      <c r="C3087">
        <v>4</v>
      </c>
      <c r="D3087">
        <v>2</v>
      </c>
      <c r="E3087">
        <v>2</v>
      </c>
      <c r="F3087" s="15">
        <v>46076</v>
      </c>
      <c r="G3087" t="s">
        <v>382</v>
      </c>
      <c r="H3087">
        <v>4</v>
      </c>
      <c r="I3087">
        <v>2026</v>
      </c>
      <c r="J3087">
        <v>2</v>
      </c>
      <c r="K3087" t="s">
        <v>87</v>
      </c>
      <c r="L3087" t="s">
        <v>16</v>
      </c>
      <c r="M3087" t="s">
        <v>6</v>
      </c>
      <c r="N3087" t="b">
        <v>0</v>
      </c>
      <c r="O3087">
        <v>0</v>
      </c>
      <c r="P3087">
        <v>1</v>
      </c>
      <c r="Q3087">
        <v>0</v>
      </c>
      <c r="R3087">
        <v>0</v>
      </c>
    </row>
    <row r="3088" spans="1:18" x14ac:dyDescent="0.25">
      <c r="A3088" t="s">
        <v>52</v>
      </c>
      <c r="B3088" t="s">
        <v>6</v>
      </c>
      <c r="C3088">
        <v>4</v>
      </c>
      <c r="D3088">
        <v>2</v>
      </c>
      <c r="E3088">
        <v>2</v>
      </c>
      <c r="F3088" s="15">
        <v>46076</v>
      </c>
      <c r="G3088" t="s">
        <v>382</v>
      </c>
      <c r="H3088">
        <v>4</v>
      </c>
      <c r="I3088">
        <v>2026</v>
      </c>
      <c r="J3088">
        <v>2</v>
      </c>
      <c r="K3088" t="s">
        <v>87</v>
      </c>
      <c r="L3088" t="s">
        <v>30</v>
      </c>
      <c r="M3088" t="s">
        <v>8</v>
      </c>
      <c r="N3088" t="b">
        <v>0</v>
      </c>
      <c r="O3088">
        <v>0</v>
      </c>
      <c r="P3088">
        <v>1</v>
      </c>
      <c r="Q3088">
        <v>0</v>
      </c>
      <c r="R3088">
        <v>1</v>
      </c>
    </row>
    <row r="3089" spans="1:18" x14ac:dyDescent="0.25">
      <c r="A3089" t="s">
        <v>52</v>
      </c>
      <c r="B3089" t="s">
        <v>6</v>
      </c>
      <c r="C3089">
        <v>4</v>
      </c>
      <c r="D3089">
        <v>2</v>
      </c>
      <c r="E3089">
        <v>2</v>
      </c>
      <c r="F3089" s="15">
        <v>46076</v>
      </c>
      <c r="G3089" t="s">
        <v>382</v>
      </c>
      <c r="H3089">
        <v>4</v>
      </c>
      <c r="I3089">
        <v>2026</v>
      </c>
      <c r="J3089">
        <v>2</v>
      </c>
      <c r="K3089" t="s">
        <v>87</v>
      </c>
      <c r="L3089" t="s">
        <v>363</v>
      </c>
      <c r="M3089" t="s">
        <v>6</v>
      </c>
      <c r="N3089" t="b">
        <v>0</v>
      </c>
      <c r="O3089">
        <v>0</v>
      </c>
      <c r="P3089">
        <v>1</v>
      </c>
      <c r="Q3089">
        <v>0</v>
      </c>
      <c r="R3089">
        <v>0</v>
      </c>
    </row>
    <row r="3090" spans="1:18" x14ac:dyDescent="0.25">
      <c r="A3090" t="s">
        <v>19</v>
      </c>
      <c r="B3090" t="s">
        <v>6</v>
      </c>
      <c r="C3090">
        <v>1</v>
      </c>
      <c r="D3090">
        <v>3</v>
      </c>
      <c r="E3090">
        <v>2</v>
      </c>
      <c r="F3090" s="15">
        <v>46076</v>
      </c>
      <c r="G3090" t="s">
        <v>383</v>
      </c>
      <c r="H3090">
        <v>4</v>
      </c>
      <c r="I3090">
        <v>2026</v>
      </c>
      <c r="J3090">
        <v>2</v>
      </c>
      <c r="K3090" t="s">
        <v>87</v>
      </c>
      <c r="L3090" t="s">
        <v>14</v>
      </c>
      <c r="M3090" t="s">
        <v>8</v>
      </c>
      <c r="N3090" t="b">
        <v>0</v>
      </c>
      <c r="O3090">
        <v>0</v>
      </c>
      <c r="P3090">
        <v>1</v>
      </c>
      <c r="Q3090">
        <v>0</v>
      </c>
      <c r="R3090">
        <v>1</v>
      </c>
    </row>
    <row r="3091" spans="1:18" x14ac:dyDescent="0.25">
      <c r="A3091" t="s">
        <v>19</v>
      </c>
      <c r="B3091" t="s">
        <v>6</v>
      </c>
      <c r="C3091">
        <v>1</v>
      </c>
      <c r="D3091">
        <v>3</v>
      </c>
      <c r="E3091">
        <v>2</v>
      </c>
      <c r="F3091" s="15">
        <v>46076</v>
      </c>
      <c r="G3091" t="s">
        <v>383</v>
      </c>
      <c r="H3091">
        <v>4</v>
      </c>
      <c r="I3091">
        <v>2026</v>
      </c>
      <c r="J3091">
        <v>2</v>
      </c>
      <c r="K3091" t="s">
        <v>87</v>
      </c>
      <c r="L3091" t="s">
        <v>352</v>
      </c>
      <c r="M3091" t="s">
        <v>6</v>
      </c>
      <c r="N3091" t="b">
        <v>0</v>
      </c>
      <c r="O3091">
        <v>0</v>
      </c>
      <c r="P3091">
        <v>1</v>
      </c>
      <c r="Q3091">
        <v>0</v>
      </c>
      <c r="R3091">
        <v>0</v>
      </c>
    </row>
    <row r="3092" spans="1:18" x14ac:dyDescent="0.25">
      <c r="A3092" t="s">
        <v>19</v>
      </c>
      <c r="B3092" t="s">
        <v>6</v>
      </c>
      <c r="C3092">
        <v>1</v>
      </c>
      <c r="D3092">
        <v>3</v>
      </c>
      <c r="E3092">
        <v>2</v>
      </c>
      <c r="F3092" s="15">
        <v>46076</v>
      </c>
      <c r="G3092" t="s">
        <v>383</v>
      </c>
      <c r="H3092">
        <v>4</v>
      </c>
      <c r="I3092">
        <v>2026</v>
      </c>
      <c r="J3092">
        <v>2</v>
      </c>
      <c r="K3092" t="s">
        <v>87</v>
      </c>
      <c r="L3092" t="s">
        <v>41</v>
      </c>
      <c r="M3092" t="s">
        <v>6</v>
      </c>
      <c r="N3092" t="b">
        <v>0</v>
      </c>
      <c r="O3092">
        <v>0</v>
      </c>
      <c r="P3092">
        <v>1</v>
      </c>
      <c r="Q3092">
        <v>0</v>
      </c>
      <c r="R3092">
        <v>0</v>
      </c>
    </row>
    <row r="3093" spans="1:18" x14ac:dyDescent="0.25">
      <c r="A3093" t="s">
        <v>14</v>
      </c>
      <c r="B3093" t="s">
        <v>8</v>
      </c>
      <c r="C3093">
        <v>2</v>
      </c>
      <c r="D3093">
        <v>3</v>
      </c>
      <c r="E3093">
        <v>2</v>
      </c>
      <c r="F3093" s="15">
        <v>46076</v>
      </c>
      <c r="G3093" t="s">
        <v>383</v>
      </c>
      <c r="H3093">
        <v>4</v>
      </c>
      <c r="I3093">
        <v>2026</v>
      </c>
      <c r="J3093">
        <v>2</v>
      </c>
      <c r="K3093" t="s">
        <v>87</v>
      </c>
      <c r="L3093" t="s">
        <v>19</v>
      </c>
      <c r="M3093" t="s">
        <v>6</v>
      </c>
      <c r="N3093" t="b">
        <v>0</v>
      </c>
      <c r="O3093">
        <v>1</v>
      </c>
      <c r="P3093">
        <v>0</v>
      </c>
      <c r="Q3093">
        <v>0</v>
      </c>
      <c r="R3093">
        <v>0</v>
      </c>
    </row>
    <row r="3094" spans="1:18" x14ac:dyDescent="0.25">
      <c r="A3094" t="s">
        <v>14</v>
      </c>
      <c r="B3094" t="s">
        <v>8</v>
      </c>
      <c r="C3094">
        <v>2</v>
      </c>
      <c r="D3094">
        <v>3</v>
      </c>
      <c r="E3094">
        <v>2</v>
      </c>
      <c r="F3094" s="15">
        <v>46076</v>
      </c>
      <c r="G3094" t="s">
        <v>383</v>
      </c>
      <c r="H3094">
        <v>4</v>
      </c>
      <c r="I3094">
        <v>2026</v>
      </c>
      <c r="J3094">
        <v>2</v>
      </c>
      <c r="K3094" t="s">
        <v>87</v>
      </c>
      <c r="L3094" t="s">
        <v>352</v>
      </c>
      <c r="M3094" t="s">
        <v>6</v>
      </c>
      <c r="N3094" t="b">
        <v>0</v>
      </c>
      <c r="O3094">
        <v>1</v>
      </c>
      <c r="P3094">
        <v>0</v>
      </c>
      <c r="Q3094">
        <v>0</v>
      </c>
      <c r="R3094">
        <v>0</v>
      </c>
    </row>
    <row r="3095" spans="1:18" x14ac:dyDescent="0.25">
      <c r="A3095" t="s">
        <v>14</v>
      </c>
      <c r="B3095" t="s">
        <v>8</v>
      </c>
      <c r="C3095">
        <v>2</v>
      </c>
      <c r="D3095">
        <v>3</v>
      </c>
      <c r="E3095">
        <v>2</v>
      </c>
      <c r="F3095" s="15">
        <v>46076</v>
      </c>
      <c r="G3095" t="s">
        <v>383</v>
      </c>
      <c r="H3095">
        <v>4</v>
      </c>
      <c r="I3095">
        <v>2026</v>
      </c>
      <c r="J3095">
        <v>2</v>
      </c>
      <c r="K3095" t="s">
        <v>87</v>
      </c>
      <c r="L3095" t="s">
        <v>41</v>
      </c>
      <c r="M3095" t="s">
        <v>6</v>
      </c>
      <c r="N3095" t="b">
        <v>0</v>
      </c>
      <c r="O3095">
        <v>1</v>
      </c>
      <c r="P3095">
        <v>0</v>
      </c>
      <c r="Q3095">
        <v>0</v>
      </c>
      <c r="R3095">
        <v>0</v>
      </c>
    </row>
    <row r="3096" spans="1:18" x14ac:dyDescent="0.25">
      <c r="A3096" t="s">
        <v>352</v>
      </c>
      <c r="B3096" t="s">
        <v>6</v>
      </c>
      <c r="C3096">
        <v>3</v>
      </c>
      <c r="D3096">
        <v>3</v>
      </c>
      <c r="E3096">
        <v>2</v>
      </c>
      <c r="F3096" s="15">
        <v>46076</v>
      </c>
      <c r="G3096" t="s">
        <v>383</v>
      </c>
      <c r="H3096">
        <v>4</v>
      </c>
      <c r="I3096">
        <v>2026</v>
      </c>
      <c r="J3096">
        <v>2</v>
      </c>
      <c r="K3096" t="s">
        <v>87</v>
      </c>
      <c r="L3096" t="s">
        <v>19</v>
      </c>
      <c r="M3096" t="s">
        <v>6</v>
      </c>
      <c r="N3096" t="b">
        <v>0</v>
      </c>
      <c r="O3096">
        <v>0</v>
      </c>
      <c r="P3096">
        <v>1</v>
      </c>
      <c r="Q3096">
        <v>0</v>
      </c>
      <c r="R3096">
        <v>0</v>
      </c>
    </row>
    <row r="3097" spans="1:18" x14ac:dyDescent="0.25">
      <c r="A3097" t="s">
        <v>352</v>
      </c>
      <c r="B3097" t="s">
        <v>6</v>
      </c>
      <c r="C3097">
        <v>3</v>
      </c>
      <c r="D3097">
        <v>3</v>
      </c>
      <c r="E3097">
        <v>2</v>
      </c>
      <c r="F3097" s="15">
        <v>46076</v>
      </c>
      <c r="G3097" t="s">
        <v>383</v>
      </c>
      <c r="H3097">
        <v>4</v>
      </c>
      <c r="I3097">
        <v>2026</v>
      </c>
      <c r="J3097">
        <v>2</v>
      </c>
      <c r="K3097" t="s">
        <v>87</v>
      </c>
      <c r="L3097" t="s">
        <v>14</v>
      </c>
      <c r="M3097" t="s">
        <v>8</v>
      </c>
      <c r="N3097" t="b">
        <v>0</v>
      </c>
      <c r="O3097">
        <v>0</v>
      </c>
      <c r="P3097">
        <v>1</v>
      </c>
      <c r="Q3097">
        <v>0</v>
      </c>
      <c r="R3097">
        <v>1</v>
      </c>
    </row>
    <row r="3098" spans="1:18" x14ac:dyDescent="0.25">
      <c r="A3098" t="s">
        <v>352</v>
      </c>
      <c r="B3098" t="s">
        <v>6</v>
      </c>
      <c r="C3098">
        <v>3</v>
      </c>
      <c r="D3098">
        <v>3</v>
      </c>
      <c r="E3098">
        <v>2</v>
      </c>
      <c r="F3098" s="15">
        <v>46076</v>
      </c>
      <c r="G3098" t="s">
        <v>383</v>
      </c>
      <c r="H3098">
        <v>4</v>
      </c>
      <c r="I3098">
        <v>2026</v>
      </c>
      <c r="J3098">
        <v>2</v>
      </c>
      <c r="K3098" t="s">
        <v>87</v>
      </c>
      <c r="L3098" t="s">
        <v>41</v>
      </c>
      <c r="M3098" t="s">
        <v>6</v>
      </c>
      <c r="N3098" t="b">
        <v>0</v>
      </c>
      <c r="O3098">
        <v>0</v>
      </c>
      <c r="P3098">
        <v>1</v>
      </c>
      <c r="Q3098">
        <v>0</v>
      </c>
      <c r="R3098">
        <v>0</v>
      </c>
    </row>
    <row r="3099" spans="1:18" x14ac:dyDescent="0.25">
      <c r="A3099" t="s">
        <v>41</v>
      </c>
      <c r="B3099" t="s">
        <v>6</v>
      </c>
      <c r="C3099">
        <v>4</v>
      </c>
      <c r="D3099">
        <v>3</v>
      </c>
      <c r="E3099">
        <v>2</v>
      </c>
      <c r="F3099" s="15">
        <v>46076</v>
      </c>
      <c r="G3099" t="s">
        <v>383</v>
      </c>
      <c r="H3099">
        <v>4</v>
      </c>
      <c r="I3099">
        <v>2026</v>
      </c>
      <c r="J3099">
        <v>2</v>
      </c>
      <c r="K3099" t="s">
        <v>87</v>
      </c>
      <c r="L3099" t="s">
        <v>19</v>
      </c>
      <c r="M3099" t="s">
        <v>6</v>
      </c>
      <c r="N3099" t="b">
        <v>0</v>
      </c>
      <c r="O3099">
        <v>0</v>
      </c>
      <c r="P3099">
        <v>1</v>
      </c>
      <c r="Q3099">
        <v>0</v>
      </c>
      <c r="R3099">
        <v>0</v>
      </c>
    </row>
    <row r="3100" spans="1:18" x14ac:dyDescent="0.25">
      <c r="A3100" t="s">
        <v>41</v>
      </c>
      <c r="B3100" t="s">
        <v>6</v>
      </c>
      <c r="C3100">
        <v>4</v>
      </c>
      <c r="D3100">
        <v>3</v>
      </c>
      <c r="E3100">
        <v>2</v>
      </c>
      <c r="F3100" s="15">
        <v>46076</v>
      </c>
      <c r="G3100" t="s">
        <v>383</v>
      </c>
      <c r="H3100">
        <v>4</v>
      </c>
      <c r="I3100">
        <v>2026</v>
      </c>
      <c r="J3100">
        <v>2</v>
      </c>
      <c r="K3100" t="s">
        <v>87</v>
      </c>
      <c r="L3100" t="s">
        <v>14</v>
      </c>
      <c r="M3100" t="s">
        <v>8</v>
      </c>
      <c r="N3100" t="b">
        <v>0</v>
      </c>
      <c r="O3100">
        <v>0</v>
      </c>
      <c r="P3100">
        <v>1</v>
      </c>
      <c r="Q3100">
        <v>0</v>
      </c>
      <c r="R3100">
        <v>1</v>
      </c>
    </row>
    <row r="3101" spans="1:18" x14ac:dyDescent="0.25">
      <c r="A3101" t="s">
        <v>41</v>
      </c>
      <c r="B3101" t="s">
        <v>6</v>
      </c>
      <c r="C3101">
        <v>4</v>
      </c>
      <c r="D3101">
        <v>3</v>
      </c>
      <c r="E3101">
        <v>2</v>
      </c>
      <c r="F3101" s="15">
        <v>46076</v>
      </c>
      <c r="G3101" t="s">
        <v>383</v>
      </c>
      <c r="H3101">
        <v>4</v>
      </c>
      <c r="I3101">
        <v>2026</v>
      </c>
      <c r="J3101">
        <v>2</v>
      </c>
      <c r="K3101" t="s">
        <v>87</v>
      </c>
      <c r="L3101" t="s">
        <v>352</v>
      </c>
      <c r="M3101" t="s">
        <v>6</v>
      </c>
      <c r="N3101" t="b">
        <v>0</v>
      </c>
      <c r="O3101">
        <v>0</v>
      </c>
      <c r="P3101">
        <v>1</v>
      </c>
      <c r="Q3101">
        <v>0</v>
      </c>
      <c r="R3101">
        <v>0</v>
      </c>
    </row>
    <row r="3102" spans="1:18" x14ac:dyDescent="0.25">
      <c r="A3102" t="s">
        <v>436</v>
      </c>
      <c r="B3102" t="s">
        <v>8</v>
      </c>
      <c r="C3102">
        <v>1</v>
      </c>
      <c r="D3102">
        <v>4</v>
      </c>
      <c r="E3102">
        <v>2</v>
      </c>
      <c r="F3102" s="15">
        <v>46076</v>
      </c>
      <c r="G3102" t="s">
        <v>384</v>
      </c>
      <c r="H3102">
        <v>3</v>
      </c>
      <c r="I3102">
        <v>2026</v>
      </c>
      <c r="J3102">
        <v>2</v>
      </c>
      <c r="K3102" t="s">
        <v>87</v>
      </c>
      <c r="L3102" t="s">
        <v>321</v>
      </c>
      <c r="M3102" t="s">
        <v>6</v>
      </c>
      <c r="N3102" t="b">
        <v>0</v>
      </c>
      <c r="O3102">
        <v>1</v>
      </c>
      <c r="P3102">
        <v>0</v>
      </c>
      <c r="Q3102">
        <v>0</v>
      </c>
      <c r="R3102">
        <v>0</v>
      </c>
    </row>
    <row r="3103" spans="1:18" x14ac:dyDescent="0.25">
      <c r="A3103" t="s">
        <v>436</v>
      </c>
      <c r="B3103" t="s">
        <v>8</v>
      </c>
      <c r="C3103">
        <v>1</v>
      </c>
      <c r="D3103">
        <v>4</v>
      </c>
      <c r="E3103">
        <v>2</v>
      </c>
      <c r="F3103" s="15">
        <v>46076</v>
      </c>
      <c r="G3103" t="s">
        <v>384</v>
      </c>
      <c r="H3103">
        <v>3</v>
      </c>
      <c r="I3103">
        <v>2026</v>
      </c>
      <c r="J3103">
        <v>2</v>
      </c>
      <c r="K3103" t="s">
        <v>87</v>
      </c>
      <c r="L3103" t="s">
        <v>13</v>
      </c>
      <c r="M3103" t="s">
        <v>6</v>
      </c>
      <c r="N3103" t="b">
        <v>0</v>
      </c>
      <c r="O3103">
        <v>1</v>
      </c>
      <c r="P3103">
        <v>0</v>
      </c>
      <c r="Q3103">
        <v>0</v>
      </c>
      <c r="R3103">
        <v>0</v>
      </c>
    </row>
    <row r="3104" spans="1:18" x14ac:dyDescent="0.25">
      <c r="A3104" t="s">
        <v>321</v>
      </c>
      <c r="B3104" t="s">
        <v>6</v>
      </c>
      <c r="C3104">
        <v>2</v>
      </c>
      <c r="D3104">
        <v>4</v>
      </c>
      <c r="E3104">
        <v>2</v>
      </c>
      <c r="F3104" s="15">
        <v>46076</v>
      </c>
      <c r="G3104" t="s">
        <v>384</v>
      </c>
      <c r="H3104">
        <v>3</v>
      </c>
      <c r="I3104">
        <v>2026</v>
      </c>
      <c r="J3104">
        <v>2</v>
      </c>
      <c r="K3104" t="s">
        <v>87</v>
      </c>
      <c r="L3104" t="s">
        <v>436</v>
      </c>
      <c r="M3104" t="s">
        <v>8</v>
      </c>
      <c r="N3104" t="b">
        <v>0</v>
      </c>
      <c r="O3104">
        <v>0</v>
      </c>
      <c r="P3104">
        <v>1</v>
      </c>
      <c r="Q3104">
        <v>0</v>
      </c>
      <c r="R3104">
        <v>1</v>
      </c>
    </row>
    <row r="3105" spans="1:18" x14ac:dyDescent="0.25">
      <c r="A3105" t="s">
        <v>321</v>
      </c>
      <c r="B3105" t="s">
        <v>6</v>
      </c>
      <c r="C3105">
        <v>2</v>
      </c>
      <c r="D3105">
        <v>4</v>
      </c>
      <c r="E3105">
        <v>2</v>
      </c>
      <c r="F3105" s="15">
        <v>46076</v>
      </c>
      <c r="G3105" t="s">
        <v>384</v>
      </c>
      <c r="H3105">
        <v>3</v>
      </c>
      <c r="I3105">
        <v>2026</v>
      </c>
      <c r="J3105">
        <v>2</v>
      </c>
      <c r="K3105" t="s">
        <v>87</v>
      </c>
      <c r="L3105" t="s">
        <v>13</v>
      </c>
      <c r="M3105" t="s">
        <v>6</v>
      </c>
      <c r="N3105" t="b">
        <v>0</v>
      </c>
      <c r="O3105">
        <v>0</v>
      </c>
      <c r="P3105">
        <v>1</v>
      </c>
      <c r="Q3105">
        <v>0</v>
      </c>
      <c r="R3105">
        <v>0</v>
      </c>
    </row>
    <row r="3106" spans="1:18" x14ac:dyDescent="0.25">
      <c r="A3106" t="s">
        <v>13</v>
      </c>
      <c r="B3106" t="s">
        <v>6</v>
      </c>
      <c r="C3106">
        <v>3</v>
      </c>
      <c r="D3106">
        <v>4</v>
      </c>
      <c r="E3106">
        <v>2</v>
      </c>
      <c r="F3106" s="15">
        <v>46076</v>
      </c>
      <c r="G3106" t="s">
        <v>384</v>
      </c>
      <c r="H3106">
        <v>3</v>
      </c>
      <c r="I3106">
        <v>2026</v>
      </c>
      <c r="J3106">
        <v>2</v>
      </c>
      <c r="K3106" t="s">
        <v>87</v>
      </c>
      <c r="L3106" t="s">
        <v>436</v>
      </c>
      <c r="M3106" t="s">
        <v>8</v>
      </c>
      <c r="N3106" t="b">
        <v>0</v>
      </c>
      <c r="O3106">
        <v>0</v>
      </c>
      <c r="P3106">
        <v>1</v>
      </c>
      <c r="Q3106">
        <v>0</v>
      </c>
      <c r="R3106">
        <v>1</v>
      </c>
    </row>
    <row r="3107" spans="1:18" x14ac:dyDescent="0.25">
      <c r="A3107" t="s">
        <v>13</v>
      </c>
      <c r="B3107" t="s">
        <v>6</v>
      </c>
      <c r="C3107">
        <v>3</v>
      </c>
      <c r="D3107">
        <v>4</v>
      </c>
      <c r="E3107">
        <v>2</v>
      </c>
      <c r="F3107" s="15">
        <v>46076</v>
      </c>
      <c r="G3107" t="s">
        <v>384</v>
      </c>
      <c r="H3107">
        <v>3</v>
      </c>
      <c r="I3107">
        <v>2026</v>
      </c>
      <c r="J3107">
        <v>2</v>
      </c>
      <c r="K3107" t="s">
        <v>87</v>
      </c>
      <c r="L3107" t="s">
        <v>321</v>
      </c>
      <c r="M3107" t="s">
        <v>6</v>
      </c>
      <c r="N3107" t="b">
        <v>0</v>
      </c>
      <c r="O3107">
        <v>0</v>
      </c>
      <c r="P3107">
        <v>1</v>
      </c>
      <c r="Q3107">
        <v>0</v>
      </c>
      <c r="R3107">
        <v>0</v>
      </c>
    </row>
    <row r="3108" spans="1:18" x14ac:dyDescent="0.25">
      <c r="A3108" t="s">
        <v>10</v>
      </c>
      <c r="B3108" t="s">
        <v>63</v>
      </c>
      <c r="C3108">
        <v>1</v>
      </c>
      <c r="D3108">
        <v>5</v>
      </c>
      <c r="E3108">
        <v>2</v>
      </c>
      <c r="F3108" s="15">
        <v>46076</v>
      </c>
      <c r="G3108" t="s">
        <v>385</v>
      </c>
      <c r="H3108">
        <v>3</v>
      </c>
      <c r="I3108">
        <v>2026</v>
      </c>
      <c r="J3108">
        <v>2</v>
      </c>
      <c r="K3108" t="s">
        <v>87</v>
      </c>
      <c r="L3108" t="s">
        <v>11</v>
      </c>
      <c r="M3108" t="s">
        <v>63</v>
      </c>
      <c r="N3108" t="b">
        <v>0</v>
      </c>
      <c r="O3108">
        <v>0</v>
      </c>
      <c r="P3108">
        <v>0</v>
      </c>
      <c r="Q3108">
        <v>1</v>
      </c>
      <c r="R3108">
        <v>0</v>
      </c>
    </row>
    <row r="3109" spans="1:18" x14ac:dyDescent="0.25">
      <c r="A3109" t="s">
        <v>10</v>
      </c>
      <c r="B3109" t="s">
        <v>63</v>
      </c>
      <c r="C3109">
        <v>1</v>
      </c>
      <c r="D3109">
        <v>5</v>
      </c>
      <c r="E3109">
        <v>2</v>
      </c>
      <c r="F3109" s="15">
        <v>46076</v>
      </c>
      <c r="G3109" t="s">
        <v>385</v>
      </c>
      <c r="H3109">
        <v>3</v>
      </c>
      <c r="I3109">
        <v>2026</v>
      </c>
      <c r="J3109">
        <v>2</v>
      </c>
      <c r="K3109" t="s">
        <v>87</v>
      </c>
      <c r="L3109" t="s">
        <v>28</v>
      </c>
      <c r="M3109" t="s">
        <v>63</v>
      </c>
      <c r="N3109" t="b">
        <v>0</v>
      </c>
      <c r="O3109">
        <v>0</v>
      </c>
      <c r="P3109">
        <v>0</v>
      </c>
      <c r="Q3109">
        <v>1</v>
      </c>
      <c r="R3109">
        <v>0</v>
      </c>
    </row>
    <row r="3110" spans="1:18" x14ac:dyDescent="0.25">
      <c r="A3110" t="s">
        <v>11</v>
      </c>
      <c r="B3110" t="s">
        <v>63</v>
      </c>
      <c r="C3110">
        <v>2</v>
      </c>
      <c r="D3110">
        <v>5</v>
      </c>
      <c r="E3110">
        <v>2</v>
      </c>
      <c r="F3110" s="15">
        <v>46076</v>
      </c>
      <c r="G3110" t="s">
        <v>385</v>
      </c>
      <c r="H3110">
        <v>3</v>
      </c>
      <c r="I3110">
        <v>2026</v>
      </c>
      <c r="J3110">
        <v>2</v>
      </c>
      <c r="K3110" t="s">
        <v>87</v>
      </c>
      <c r="L3110" t="s">
        <v>10</v>
      </c>
      <c r="M3110" t="s">
        <v>63</v>
      </c>
      <c r="N3110" t="b">
        <v>0</v>
      </c>
      <c r="O3110">
        <v>0</v>
      </c>
      <c r="P3110">
        <v>0</v>
      </c>
      <c r="Q3110">
        <v>1</v>
      </c>
      <c r="R3110">
        <v>0</v>
      </c>
    </row>
    <row r="3111" spans="1:18" x14ac:dyDescent="0.25">
      <c r="A3111" t="s">
        <v>11</v>
      </c>
      <c r="B3111" t="s">
        <v>63</v>
      </c>
      <c r="C3111">
        <v>2</v>
      </c>
      <c r="D3111">
        <v>5</v>
      </c>
      <c r="E3111">
        <v>2</v>
      </c>
      <c r="F3111" s="15">
        <v>46076</v>
      </c>
      <c r="G3111" t="s">
        <v>385</v>
      </c>
      <c r="H3111">
        <v>3</v>
      </c>
      <c r="I3111">
        <v>2026</v>
      </c>
      <c r="J3111">
        <v>2</v>
      </c>
      <c r="K3111" t="s">
        <v>87</v>
      </c>
      <c r="L3111" t="s">
        <v>28</v>
      </c>
      <c r="M3111" t="s">
        <v>63</v>
      </c>
      <c r="N3111" t="b">
        <v>0</v>
      </c>
      <c r="O3111">
        <v>0</v>
      </c>
      <c r="P3111">
        <v>0</v>
      </c>
      <c r="Q3111">
        <v>1</v>
      </c>
      <c r="R3111">
        <v>0</v>
      </c>
    </row>
    <row r="3112" spans="1:18" x14ac:dyDescent="0.25">
      <c r="A3112" t="s">
        <v>28</v>
      </c>
      <c r="B3112" t="s">
        <v>63</v>
      </c>
      <c r="C3112">
        <v>3</v>
      </c>
      <c r="D3112">
        <v>5</v>
      </c>
      <c r="E3112">
        <v>2</v>
      </c>
      <c r="F3112" s="15">
        <v>46076</v>
      </c>
      <c r="G3112" t="s">
        <v>385</v>
      </c>
      <c r="H3112">
        <v>3</v>
      </c>
      <c r="I3112">
        <v>2026</v>
      </c>
      <c r="J3112">
        <v>2</v>
      </c>
      <c r="K3112" t="s">
        <v>87</v>
      </c>
      <c r="L3112" t="s">
        <v>10</v>
      </c>
      <c r="M3112" t="s">
        <v>63</v>
      </c>
      <c r="N3112" t="b">
        <v>0</v>
      </c>
      <c r="O3112">
        <v>0</v>
      </c>
      <c r="P3112">
        <v>0</v>
      </c>
      <c r="Q3112">
        <v>1</v>
      </c>
      <c r="R3112">
        <v>0</v>
      </c>
    </row>
    <row r="3113" spans="1:18" x14ac:dyDescent="0.25">
      <c r="A3113" t="s">
        <v>28</v>
      </c>
      <c r="B3113" t="s">
        <v>63</v>
      </c>
      <c r="C3113">
        <v>3</v>
      </c>
      <c r="D3113">
        <v>5</v>
      </c>
      <c r="E3113">
        <v>2</v>
      </c>
      <c r="F3113" s="15">
        <v>46076</v>
      </c>
      <c r="G3113" t="s">
        <v>385</v>
      </c>
      <c r="H3113">
        <v>3</v>
      </c>
      <c r="I3113">
        <v>2026</v>
      </c>
      <c r="J3113">
        <v>2</v>
      </c>
      <c r="K3113" t="s">
        <v>87</v>
      </c>
      <c r="L3113" t="s">
        <v>11</v>
      </c>
      <c r="M3113" t="s">
        <v>63</v>
      </c>
      <c r="N3113" t="b">
        <v>0</v>
      </c>
      <c r="O3113">
        <v>0</v>
      </c>
      <c r="P3113">
        <v>0</v>
      </c>
      <c r="Q3113">
        <v>1</v>
      </c>
      <c r="R3113">
        <v>0</v>
      </c>
    </row>
    <row r="3114" spans="1:18" x14ac:dyDescent="0.25">
      <c r="A3114" t="s">
        <v>351</v>
      </c>
      <c r="B3114" t="s">
        <v>63</v>
      </c>
      <c r="C3114">
        <v>1</v>
      </c>
      <c r="D3114">
        <v>1</v>
      </c>
      <c r="E3114">
        <v>1</v>
      </c>
      <c r="F3114" s="15">
        <v>46083</v>
      </c>
      <c r="G3114" t="s">
        <v>387</v>
      </c>
      <c r="H3114">
        <v>4</v>
      </c>
      <c r="I3114">
        <v>2026</v>
      </c>
      <c r="J3114">
        <v>3</v>
      </c>
      <c r="K3114" t="s">
        <v>87</v>
      </c>
      <c r="L3114" t="s">
        <v>436</v>
      </c>
      <c r="M3114" t="s">
        <v>63</v>
      </c>
      <c r="N3114" t="b">
        <v>0</v>
      </c>
      <c r="O3114">
        <v>0</v>
      </c>
      <c r="P3114">
        <v>0</v>
      </c>
      <c r="Q3114">
        <v>1</v>
      </c>
      <c r="R3114">
        <v>0</v>
      </c>
    </row>
    <row r="3115" spans="1:18" x14ac:dyDescent="0.25">
      <c r="A3115" t="s">
        <v>351</v>
      </c>
      <c r="B3115" t="s">
        <v>63</v>
      </c>
      <c r="C3115">
        <v>1</v>
      </c>
      <c r="D3115">
        <v>1</v>
      </c>
      <c r="E3115">
        <v>1</v>
      </c>
      <c r="F3115" s="15">
        <v>46083</v>
      </c>
      <c r="G3115" t="s">
        <v>387</v>
      </c>
      <c r="H3115">
        <v>4</v>
      </c>
      <c r="I3115">
        <v>2026</v>
      </c>
      <c r="J3115">
        <v>3</v>
      </c>
      <c r="K3115" t="s">
        <v>87</v>
      </c>
      <c r="L3115" t="s">
        <v>322</v>
      </c>
      <c r="M3115" t="s">
        <v>63</v>
      </c>
      <c r="N3115" t="b">
        <v>0</v>
      </c>
      <c r="O3115">
        <v>0</v>
      </c>
      <c r="P3115">
        <v>0</v>
      </c>
      <c r="Q3115">
        <v>1</v>
      </c>
      <c r="R3115">
        <v>0</v>
      </c>
    </row>
    <row r="3116" spans="1:18" x14ac:dyDescent="0.25">
      <c r="A3116" t="s">
        <v>351</v>
      </c>
      <c r="B3116" t="s">
        <v>63</v>
      </c>
      <c r="C3116">
        <v>1</v>
      </c>
      <c r="D3116">
        <v>1</v>
      </c>
      <c r="E3116">
        <v>1</v>
      </c>
      <c r="F3116" s="15">
        <v>46083</v>
      </c>
      <c r="G3116" t="s">
        <v>387</v>
      </c>
      <c r="H3116">
        <v>4</v>
      </c>
      <c r="I3116">
        <v>2026</v>
      </c>
      <c r="J3116">
        <v>3</v>
      </c>
      <c r="K3116" t="s">
        <v>87</v>
      </c>
      <c r="L3116" t="s">
        <v>352</v>
      </c>
      <c r="M3116" t="s">
        <v>63</v>
      </c>
      <c r="N3116" t="b">
        <v>0</v>
      </c>
      <c r="O3116">
        <v>0</v>
      </c>
      <c r="P3116">
        <v>0</v>
      </c>
      <c r="Q3116">
        <v>1</v>
      </c>
      <c r="R3116">
        <v>0</v>
      </c>
    </row>
    <row r="3117" spans="1:18" x14ac:dyDescent="0.25">
      <c r="A3117" t="s">
        <v>436</v>
      </c>
      <c r="B3117" t="s">
        <v>63</v>
      </c>
      <c r="C3117">
        <v>2</v>
      </c>
      <c r="D3117">
        <v>1</v>
      </c>
      <c r="E3117">
        <v>1</v>
      </c>
      <c r="F3117" s="15">
        <v>46083</v>
      </c>
      <c r="G3117" t="s">
        <v>387</v>
      </c>
      <c r="H3117">
        <v>4</v>
      </c>
      <c r="I3117">
        <v>2026</v>
      </c>
      <c r="J3117">
        <v>3</v>
      </c>
      <c r="K3117" t="s">
        <v>87</v>
      </c>
      <c r="L3117" t="s">
        <v>351</v>
      </c>
      <c r="M3117" t="s">
        <v>63</v>
      </c>
      <c r="N3117" t="b">
        <v>0</v>
      </c>
      <c r="O3117">
        <v>0</v>
      </c>
      <c r="P3117">
        <v>0</v>
      </c>
      <c r="Q3117">
        <v>1</v>
      </c>
      <c r="R3117">
        <v>0</v>
      </c>
    </row>
    <row r="3118" spans="1:18" x14ac:dyDescent="0.25">
      <c r="A3118" t="s">
        <v>436</v>
      </c>
      <c r="B3118" t="s">
        <v>63</v>
      </c>
      <c r="C3118">
        <v>2</v>
      </c>
      <c r="D3118">
        <v>1</v>
      </c>
      <c r="E3118">
        <v>1</v>
      </c>
      <c r="F3118" s="15">
        <v>46083</v>
      </c>
      <c r="G3118" t="s">
        <v>387</v>
      </c>
      <c r="H3118">
        <v>4</v>
      </c>
      <c r="I3118">
        <v>2026</v>
      </c>
      <c r="J3118">
        <v>3</v>
      </c>
      <c r="K3118" t="s">
        <v>87</v>
      </c>
      <c r="L3118" t="s">
        <v>322</v>
      </c>
      <c r="M3118" t="s">
        <v>63</v>
      </c>
      <c r="N3118" t="b">
        <v>0</v>
      </c>
      <c r="O3118">
        <v>0</v>
      </c>
      <c r="P3118">
        <v>0</v>
      </c>
      <c r="Q3118">
        <v>1</v>
      </c>
      <c r="R3118">
        <v>0</v>
      </c>
    </row>
    <row r="3119" spans="1:18" x14ac:dyDescent="0.25">
      <c r="A3119" t="s">
        <v>436</v>
      </c>
      <c r="B3119" t="s">
        <v>63</v>
      </c>
      <c r="C3119">
        <v>2</v>
      </c>
      <c r="D3119">
        <v>1</v>
      </c>
      <c r="E3119">
        <v>1</v>
      </c>
      <c r="F3119" s="15">
        <v>46083</v>
      </c>
      <c r="G3119" t="s">
        <v>387</v>
      </c>
      <c r="H3119">
        <v>4</v>
      </c>
      <c r="I3119">
        <v>2026</v>
      </c>
      <c r="J3119">
        <v>3</v>
      </c>
      <c r="K3119" t="s">
        <v>87</v>
      </c>
      <c r="L3119" t="s">
        <v>352</v>
      </c>
      <c r="M3119" t="s">
        <v>63</v>
      </c>
      <c r="N3119" t="b">
        <v>0</v>
      </c>
      <c r="O3119">
        <v>0</v>
      </c>
      <c r="P3119">
        <v>0</v>
      </c>
      <c r="Q3119">
        <v>1</v>
      </c>
      <c r="R3119">
        <v>0</v>
      </c>
    </row>
    <row r="3120" spans="1:18" x14ac:dyDescent="0.25">
      <c r="A3120" t="s">
        <v>322</v>
      </c>
      <c r="B3120" t="s">
        <v>63</v>
      </c>
      <c r="C3120">
        <v>3</v>
      </c>
      <c r="D3120">
        <v>1</v>
      </c>
      <c r="E3120">
        <v>1</v>
      </c>
      <c r="F3120" s="15">
        <v>46083</v>
      </c>
      <c r="G3120" t="s">
        <v>387</v>
      </c>
      <c r="H3120">
        <v>4</v>
      </c>
      <c r="I3120">
        <v>2026</v>
      </c>
      <c r="J3120">
        <v>3</v>
      </c>
      <c r="K3120" t="s">
        <v>87</v>
      </c>
      <c r="L3120" t="s">
        <v>351</v>
      </c>
      <c r="M3120" t="s">
        <v>63</v>
      </c>
      <c r="N3120" t="b">
        <v>0</v>
      </c>
      <c r="O3120">
        <v>0</v>
      </c>
      <c r="P3120">
        <v>0</v>
      </c>
      <c r="Q3120">
        <v>1</v>
      </c>
      <c r="R3120">
        <v>0</v>
      </c>
    </row>
    <row r="3121" spans="1:18" x14ac:dyDescent="0.25">
      <c r="A3121" t="s">
        <v>322</v>
      </c>
      <c r="B3121" t="s">
        <v>63</v>
      </c>
      <c r="C3121">
        <v>3</v>
      </c>
      <c r="D3121">
        <v>1</v>
      </c>
      <c r="E3121">
        <v>1</v>
      </c>
      <c r="F3121" s="15">
        <v>46083</v>
      </c>
      <c r="G3121" t="s">
        <v>387</v>
      </c>
      <c r="H3121">
        <v>4</v>
      </c>
      <c r="I3121">
        <v>2026</v>
      </c>
      <c r="J3121">
        <v>3</v>
      </c>
      <c r="K3121" t="s">
        <v>87</v>
      </c>
      <c r="L3121" t="s">
        <v>436</v>
      </c>
      <c r="M3121" t="s">
        <v>63</v>
      </c>
      <c r="N3121" t="b">
        <v>0</v>
      </c>
      <c r="O3121">
        <v>0</v>
      </c>
      <c r="P3121">
        <v>0</v>
      </c>
      <c r="Q3121">
        <v>1</v>
      </c>
      <c r="R3121">
        <v>0</v>
      </c>
    </row>
    <row r="3122" spans="1:18" x14ac:dyDescent="0.25">
      <c r="A3122" t="s">
        <v>322</v>
      </c>
      <c r="B3122" t="s">
        <v>63</v>
      </c>
      <c r="C3122">
        <v>3</v>
      </c>
      <c r="D3122">
        <v>1</v>
      </c>
      <c r="E3122">
        <v>1</v>
      </c>
      <c r="F3122" s="15">
        <v>46083</v>
      </c>
      <c r="G3122" t="s">
        <v>387</v>
      </c>
      <c r="H3122">
        <v>4</v>
      </c>
      <c r="I3122">
        <v>2026</v>
      </c>
      <c r="J3122">
        <v>3</v>
      </c>
      <c r="K3122" t="s">
        <v>87</v>
      </c>
      <c r="L3122" t="s">
        <v>352</v>
      </c>
      <c r="M3122" t="s">
        <v>63</v>
      </c>
      <c r="N3122" t="b">
        <v>0</v>
      </c>
      <c r="O3122">
        <v>0</v>
      </c>
      <c r="P3122">
        <v>0</v>
      </c>
      <c r="Q3122">
        <v>1</v>
      </c>
      <c r="R3122">
        <v>0</v>
      </c>
    </row>
    <row r="3123" spans="1:18" x14ac:dyDescent="0.25">
      <c r="A3123" t="s">
        <v>352</v>
      </c>
      <c r="B3123" t="s">
        <v>63</v>
      </c>
      <c r="C3123">
        <v>4</v>
      </c>
      <c r="D3123">
        <v>1</v>
      </c>
      <c r="E3123">
        <v>1</v>
      </c>
      <c r="F3123" s="15">
        <v>46083</v>
      </c>
      <c r="G3123" t="s">
        <v>387</v>
      </c>
      <c r="H3123">
        <v>4</v>
      </c>
      <c r="I3123">
        <v>2026</v>
      </c>
      <c r="J3123">
        <v>3</v>
      </c>
      <c r="K3123" t="s">
        <v>87</v>
      </c>
      <c r="L3123" t="s">
        <v>351</v>
      </c>
      <c r="M3123" t="s">
        <v>63</v>
      </c>
      <c r="N3123" t="b">
        <v>0</v>
      </c>
      <c r="O3123">
        <v>0</v>
      </c>
      <c r="P3123">
        <v>0</v>
      </c>
      <c r="Q3123">
        <v>1</v>
      </c>
      <c r="R3123">
        <v>0</v>
      </c>
    </row>
    <row r="3124" spans="1:18" x14ac:dyDescent="0.25">
      <c r="A3124" t="s">
        <v>352</v>
      </c>
      <c r="B3124" t="s">
        <v>63</v>
      </c>
      <c r="C3124">
        <v>4</v>
      </c>
      <c r="D3124">
        <v>1</v>
      </c>
      <c r="E3124">
        <v>1</v>
      </c>
      <c r="F3124" s="15">
        <v>46083</v>
      </c>
      <c r="G3124" t="s">
        <v>387</v>
      </c>
      <c r="H3124">
        <v>4</v>
      </c>
      <c r="I3124">
        <v>2026</v>
      </c>
      <c r="J3124">
        <v>3</v>
      </c>
      <c r="K3124" t="s">
        <v>87</v>
      </c>
      <c r="L3124" t="s">
        <v>436</v>
      </c>
      <c r="M3124" t="s">
        <v>63</v>
      </c>
      <c r="N3124" t="b">
        <v>0</v>
      </c>
      <c r="O3124">
        <v>0</v>
      </c>
      <c r="P3124">
        <v>0</v>
      </c>
      <c r="Q3124">
        <v>1</v>
      </c>
      <c r="R3124">
        <v>0</v>
      </c>
    </row>
    <row r="3125" spans="1:18" x14ac:dyDescent="0.25">
      <c r="A3125" t="s">
        <v>352</v>
      </c>
      <c r="B3125" t="s">
        <v>63</v>
      </c>
      <c r="C3125">
        <v>4</v>
      </c>
      <c r="D3125">
        <v>1</v>
      </c>
      <c r="E3125">
        <v>1</v>
      </c>
      <c r="F3125" s="15">
        <v>46083</v>
      </c>
      <c r="G3125" t="s">
        <v>387</v>
      </c>
      <c r="H3125">
        <v>4</v>
      </c>
      <c r="I3125">
        <v>2026</v>
      </c>
      <c r="J3125">
        <v>3</v>
      </c>
      <c r="K3125" t="s">
        <v>87</v>
      </c>
      <c r="L3125" t="s">
        <v>322</v>
      </c>
      <c r="M3125" t="s">
        <v>63</v>
      </c>
      <c r="N3125" t="b">
        <v>0</v>
      </c>
      <c r="O3125">
        <v>0</v>
      </c>
      <c r="P3125">
        <v>0</v>
      </c>
      <c r="Q3125">
        <v>1</v>
      </c>
      <c r="R3125">
        <v>0</v>
      </c>
    </row>
    <row r="3126" spans="1:18" x14ac:dyDescent="0.25">
      <c r="A3126" t="s">
        <v>9</v>
      </c>
      <c r="B3126" t="s">
        <v>63</v>
      </c>
      <c r="C3126">
        <v>1</v>
      </c>
      <c r="D3126">
        <v>2</v>
      </c>
      <c r="E3126">
        <v>1</v>
      </c>
      <c r="F3126" s="15">
        <v>46083</v>
      </c>
      <c r="G3126" t="s">
        <v>388</v>
      </c>
      <c r="H3126">
        <v>4</v>
      </c>
      <c r="I3126">
        <v>2026</v>
      </c>
      <c r="J3126">
        <v>3</v>
      </c>
      <c r="K3126" t="s">
        <v>87</v>
      </c>
      <c r="L3126" t="s">
        <v>364</v>
      </c>
      <c r="M3126" t="s">
        <v>63</v>
      </c>
      <c r="N3126" t="b">
        <v>0</v>
      </c>
      <c r="O3126">
        <v>0</v>
      </c>
      <c r="P3126">
        <v>0</v>
      </c>
      <c r="Q3126">
        <v>1</v>
      </c>
      <c r="R3126">
        <v>0</v>
      </c>
    </row>
    <row r="3127" spans="1:18" x14ac:dyDescent="0.25">
      <c r="A3127" t="s">
        <v>9</v>
      </c>
      <c r="B3127" t="s">
        <v>63</v>
      </c>
      <c r="C3127">
        <v>1</v>
      </c>
      <c r="D3127">
        <v>2</v>
      </c>
      <c r="E3127">
        <v>1</v>
      </c>
      <c r="F3127" s="15">
        <v>46083</v>
      </c>
      <c r="G3127" t="s">
        <v>388</v>
      </c>
      <c r="H3127">
        <v>4</v>
      </c>
      <c r="I3127">
        <v>2026</v>
      </c>
      <c r="J3127">
        <v>3</v>
      </c>
      <c r="K3127" t="s">
        <v>87</v>
      </c>
      <c r="L3127" t="s">
        <v>51</v>
      </c>
      <c r="M3127" t="s">
        <v>63</v>
      </c>
      <c r="N3127" t="b">
        <v>0</v>
      </c>
      <c r="O3127">
        <v>0</v>
      </c>
      <c r="P3127">
        <v>0</v>
      </c>
      <c r="Q3127">
        <v>1</v>
      </c>
      <c r="R3127">
        <v>0</v>
      </c>
    </row>
    <row r="3128" spans="1:18" x14ac:dyDescent="0.25">
      <c r="A3128" t="s">
        <v>9</v>
      </c>
      <c r="B3128" t="s">
        <v>63</v>
      </c>
      <c r="C3128">
        <v>1</v>
      </c>
      <c r="D3128">
        <v>2</v>
      </c>
      <c r="E3128">
        <v>1</v>
      </c>
      <c r="F3128" s="15">
        <v>46083</v>
      </c>
      <c r="G3128" t="s">
        <v>388</v>
      </c>
      <c r="H3128">
        <v>4</v>
      </c>
      <c r="I3128">
        <v>2026</v>
      </c>
      <c r="J3128">
        <v>3</v>
      </c>
      <c r="K3128" t="s">
        <v>87</v>
      </c>
      <c r="L3128" t="s">
        <v>7</v>
      </c>
      <c r="M3128" t="s">
        <v>63</v>
      </c>
      <c r="N3128" t="b">
        <v>0</v>
      </c>
      <c r="O3128">
        <v>0</v>
      </c>
      <c r="P3128">
        <v>0</v>
      </c>
      <c r="Q3128">
        <v>1</v>
      </c>
      <c r="R3128">
        <v>0</v>
      </c>
    </row>
    <row r="3129" spans="1:18" x14ac:dyDescent="0.25">
      <c r="A3129" t="s">
        <v>364</v>
      </c>
      <c r="B3129" t="s">
        <v>63</v>
      </c>
      <c r="C3129">
        <v>2</v>
      </c>
      <c r="D3129">
        <v>2</v>
      </c>
      <c r="E3129">
        <v>1</v>
      </c>
      <c r="F3129" s="15">
        <v>46083</v>
      </c>
      <c r="G3129" t="s">
        <v>388</v>
      </c>
      <c r="H3129">
        <v>4</v>
      </c>
      <c r="I3129">
        <v>2026</v>
      </c>
      <c r="J3129">
        <v>3</v>
      </c>
      <c r="K3129" t="s">
        <v>87</v>
      </c>
      <c r="L3129" t="s">
        <v>9</v>
      </c>
      <c r="M3129" t="s">
        <v>63</v>
      </c>
      <c r="N3129" t="b">
        <v>0</v>
      </c>
      <c r="O3129">
        <v>0</v>
      </c>
      <c r="P3129">
        <v>0</v>
      </c>
      <c r="Q3129">
        <v>1</v>
      </c>
      <c r="R3129">
        <v>0</v>
      </c>
    </row>
    <row r="3130" spans="1:18" x14ac:dyDescent="0.25">
      <c r="A3130" t="s">
        <v>364</v>
      </c>
      <c r="B3130" t="s">
        <v>63</v>
      </c>
      <c r="C3130">
        <v>2</v>
      </c>
      <c r="D3130">
        <v>2</v>
      </c>
      <c r="E3130">
        <v>1</v>
      </c>
      <c r="F3130" s="15">
        <v>46083</v>
      </c>
      <c r="G3130" t="s">
        <v>388</v>
      </c>
      <c r="H3130">
        <v>4</v>
      </c>
      <c r="I3130">
        <v>2026</v>
      </c>
      <c r="J3130">
        <v>3</v>
      </c>
      <c r="K3130" t="s">
        <v>87</v>
      </c>
      <c r="L3130" t="s">
        <v>51</v>
      </c>
      <c r="M3130" t="s">
        <v>63</v>
      </c>
      <c r="N3130" t="b">
        <v>0</v>
      </c>
      <c r="O3130">
        <v>0</v>
      </c>
      <c r="P3130">
        <v>0</v>
      </c>
      <c r="Q3130">
        <v>1</v>
      </c>
      <c r="R3130">
        <v>0</v>
      </c>
    </row>
    <row r="3131" spans="1:18" x14ac:dyDescent="0.25">
      <c r="A3131" t="s">
        <v>364</v>
      </c>
      <c r="B3131" t="s">
        <v>63</v>
      </c>
      <c r="C3131">
        <v>2</v>
      </c>
      <c r="D3131">
        <v>2</v>
      </c>
      <c r="E3131">
        <v>1</v>
      </c>
      <c r="F3131" s="15">
        <v>46083</v>
      </c>
      <c r="G3131" t="s">
        <v>388</v>
      </c>
      <c r="H3131">
        <v>4</v>
      </c>
      <c r="I3131">
        <v>2026</v>
      </c>
      <c r="J3131">
        <v>3</v>
      </c>
      <c r="K3131" t="s">
        <v>87</v>
      </c>
      <c r="L3131" t="s">
        <v>7</v>
      </c>
      <c r="M3131" t="s">
        <v>63</v>
      </c>
      <c r="N3131" t="b">
        <v>0</v>
      </c>
      <c r="O3131">
        <v>0</v>
      </c>
      <c r="P3131">
        <v>0</v>
      </c>
      <c r="Q3131">
        <v>1</v>
      </c>
      <c r="R3131">
        <v>0</v>
      </c>
    </row>
    <row r="3132" spans="1:18" x14ac:dyDescent="0.25">
      <c r="A3132" t="s">
        <v>51</v>
      </c>
      <c r="B3132" t="s">
        <v>63</v>
      </c>
      <c r="C3132">
        <v>3</v>
      </c>
      <c r="D3132">
        <v>2</v>
      </c>
      <c r="E3132">
        <v>1</v>
      </c>
      <c r="F3132" s="15">
        <v>46083</v>
      </c>
      <c r="G3132" t="s">
        <v>388</v>
      </c>
      <c r="H3132">
        <v>4</v>
      </c>
      <c r="I3132">
        <v>2026</v>
      </c>
      <c r="J3132">
        <v>3</v>
      </c>
      <c r="K3132" t="s">
        <v>87</v>
      </c>
      <c r="L3132" t="s">
        <v>9</v>
      </c>
      <c r="M3132" t="s">
        <v>63</v>
      </c>
      <c r="N3132" t="b">
        <v>0</v>
      </c>
      <c r="O3132">
        <v>0</v>
      </c>
      <c r="P3132">
        <v>0</v>
      </c>
      <c r="Q3132">
        <v>1</v>
      </c>
      <c r="R3132">
        <v>0</v>
      </c>
    </row>
    <row r="3133" spans="1:18" x14ac:dyDescent="0.25">
      <c r="A3133" t="s">
        <v>51</v>
      </c>
      <c r="B3133" t="s">
        <v>63</v>
      </c>
      <c r="C3133">
        <v>3</v>
      </c>
      <c r="D3133">
        <v>2</v>
      </c>
      <c r="E3133">
        <v>1</v>
      </c>
      <c r="F3133" s="15">
        <v>46083</v>
      </c>
      <c r="G3133" t="s">
        <v>388</v>
      </c>
      <c r="H3133">
        <v>4</v>
      </c>
      <c r="I3133">
        <v>2026</v>
      </c>
      <c r="J3133">
        <v>3</v>
      </c>
      <c r="K3133" t="s">
        <v>87</v>
      </c>
      <c r="L3133" t="s">
        <v>364</v>
      </c>
      <c r="M3133" t="s">
        <v>63</v>
      </c>
      <c r="N3133" t="b">
        <v>0</v>
      </c>
      <c r="O3133">
        <v>0</v>
      </c>
      <c r="P3133">
        <v>0</v>
      </c>
      <c r="Q3133">
        <v>1</v>
      </c>
      <c r="R3133">
        <v>0</v>
      </c>
    </row>
    <row r="3134" spans="1:18" x14ac:dyDescent="0.25">
      <c r="A3134" t="s">
        <v>51</v>
      </c>
      <c r="B3134" t="s">
        <v>63</v>
      </c>
      <c r="C3134">
        <v>3</v>
      </c>
      <c r="D3134">
        <v>2</v>
      </c>
      <c r="E3134">
        <v>1</v>
      </c>
      <c r="F3134" s="15">
        <v>46083</v>
      </c>
      <c r="G3134" t="s">
        <v>388</v>
      </c>
      <c r="H3134">
        <v>4</v>
      </c>
      <c r="I3134">
        <v>2026</v>
      </c>
      <c r="J3134">
        <v>3</v>
      </c>
      <c r="K3134" t="s">
        <v>87</v>
      </c>
      <c r="L3134" t="s">
        <v>7</v>
      </c>
      <c r="M3134" t="s">
        <v>63</v>
      </c>
      <c r="N3134" t="b">
        <v>0</v>
      </c>
      <c r="O3134">
        <v>0</v>
      </c>
      <c r="P3134">
        <v>0</v>
      </c>
      <c r="Q3134">
        <v>1</v>
      </c>
      <c r="R3134">
        <v>0</v>
      </c>
    </row>
    <row r="3135" spans="1:18" x14ac:dyDescent="0.25">
      <c r="A3135" t="s">
        <v>7</v>
      </c>
      <c r="B3135" t="s">
        <v>63</v>
      </c>
      <c r="C3135">
        <v>4</v>
      </c>
      <c r="D3135">
        <v>2</v>
      </c>
      <c r="E3135">
        <v>1</v>
      </c>
      <c r="F3135" s="15">
        <v>46083</v>
      </c>
      <c r="G3135" t="s">
        <v>388</v>
      </c>
      <c r="H3135">
        <v>4</v>
      </c>
      <c r="I3135">
        <v>2026</v>
      </c>
      <c r="J3135">
        <v>3</v>
      </c>
      <c r="K3135" t="s">
        <v>87</v>
      </c>
      <c r="L3135" t="s">
        <v>9</v>
      </c>
      <c r="M3135" t="s">
        <v>63</v>
      </c>
      <c r="N3135" t="b">
        <v>0</v>
      </c>
      <c r="O3135">
        <v>0</v>
      </c>
      <c r="P3135">
        <v>0</v>
      </c>
      <c r="Q3135">
        <v>1</v>
      </c>
      <c r="R3135">
        <v>0</v>
      </c>
    </row>
    <row r="3136" spans="1:18" x14ac:dyDescent="0.25">
      <c r="A3136" t="s">
        <v>7</v>
      </c>
      <c r="B3136" t="s">
        <v>63</v>
      </c>
      <c r="C3136">
        <v>4</v>
      </c>
      <c r="D3136">
        <v>2</v>
      </c>
      <c r="E3136">
        <v>1</v>
      </c>
      <c r="F3136" s="15">
        <v>46083</v>
      </c>
      <c r="G3136" t="s">
        <v>388</v>
      </c>
      <c r="H3136">
        <v>4</v>
      </c>
      <c r="I3136">
        <v>2026</v>
      </c>
      <c r="J3136">
        <v>3</v>
      </c>
      <c r="K3136" t="s">
        <v>87</v>
      </c>
      <c r="L3136" t="s">
        <v>364</v>
      </c>
      <c r="M3136" t="s">
        <v>63</v>
      </c>
      <c r="N3136" t="b">
        <v>0</v>
      </c>
      <c r="O3136">
        <v>0</v>
      </c>
      <c r="P3136">
        <v>0</v>
      </c>
      <c r="Q3136">
        <v>1</v>
      </c>
      <c r="R3136">
        <v>0</v>
      </c>
    </row>
    <row r="3137" spans="1:18" x14ac:dyDescent="0.25">
      <c r="A3137" t="s">
        <v>7</v>
      </c>
      <c r="B3137" t="s">
        <v>63</v>
      </c>
      <c r="C3137">
        <v>4</v>
      </c>
      <c r="D3137">
        <v>2</v>
      </c>
      <c r="E3137">
        <v>1</v>
      </c>
      <c r="F3137" s="15">
        <v>46083</v>
      </c>
      <c r="G3137" t="s">
        <v>388</v>
      </c>
      <c r="H3137">
        <v>4</v>
      </c>
      <c r="I3137">
        <v>2026</v>
      </c>
      <c r="J3137">
        <v>3</v>
      </c>
      <c r="K3137" t="s">
        <v>87</v>
      </c>
      <c r="L3137" t="s">
        <v>51</v>
      </c>
      <c r="M3137" t="s">
        <v>63</v>
      </c>
      <c r="N3137" t="b">
        <v>0</v>
      </c>
      <c r="O3137">
        <v>0</v>
      </c>
      <c r="P3137">
        <v>0</v>
      </c>
      <c r="Q3137">
        <v>1</v>
      </c>
      <c r="R3137">
        <v>0</v>
      </c>
    </row>
    <row r="3138" spans="1:18" x14ac:dyDescent="0.25">
      <c r="A3138" t="s">
        <v>13</v>
      </c>
      <c r="B3138" t="s">
        <v>6</v>
      </c>
      <c r="C3138">
        <v>1</v>
      </c>
      <c r="D3138">
        <v>3</v>
      </c>
      <c r="E3138">
        <v>1</v>
      </c>
      <c r="F3138" s="15">
        <v>46083</v>
      </c>
      <c r="G3138" t="s">
        <v>389</v>
      </c>
      <c r="H3138">
        <v>4</v>
      </c>
      <c r="I3138">
        <v>2026</v>
      </c>
      <c r="J3138">
        <v>3</v>
      </c>
      <c r="K3138" t="s">
        <v>87</v>
      </c>
      <c r="L3138" t="s">
        <v>326</v>
      </c>
      <c r="M3138" t="s">
        <v>8</v>
      </c>
      <c r="N3138" t="b">
        <v>0</v>
      </c>
      <c r="O3138">
        <v>0</v>
      </c>
      <c r="P3138">
        <v>1</v>
      </c>
      <c r="Q3138">
        <v>0</v>
      </c>
      <c r="R3138">
        <v>1</v>
      </c>
    </row>
    <row r="3139" spans="1:18" x14ac:dyDescent="0.25">
      <c r="A3139" t="s">
        <v>13</v>
      </c>
      <c r="B3139" t="s">
        <v>6</v>
      </c>
      <c r="C3139">
        <v>1</v>
      </c>
      <c r="D3139">
        <v>3</v>
      </c>
      <c r="E3139">
        <v>1</v>
      </c>
      <c r="F3139" s="15">
        <v>46083</v>
      </c>
      <c r="G3139" t="s">
        <v>389</v>
      </c>
      <c r="H3139">
        <v>4</v>
      </c>
      <c r="I3139">
        <v>2026</v>
      </c>
      <c r="J3139">
        <v>3</v>
      </c>
      <c r="K3139" t="s">
        <v>87</v>
      </c>
      <c r="L3139" t="s">
        <v>17</v>
      </c>
      <c r="M3139" t="s">
        <v>6</v>
      </c>
      <c r="N3139" t="b">
        <v>0</v>
      </c>
      <c r="O3139">
        <v>0</v>
      </c>
      <c r="P3139">
        <v>1</v>
      </c>
      <c r="Q3139">
        <v>0</v>
      </c>
      <c r="R3139">
        <v>0</v>
      </c>
    </row>
    <row r="3140" spans="1:18" x14ac:dyDescent="0.25">
      <c r="A3140" t="s">
        <v>13</v>
      </c>
      <c r="B3140" t="s">
        <v>6</v>
      </c>
      <c r="C3140">
        <v>1</v>
      </c>
      <c r="D3140">
        <v>3</v>
      </c>
      <c r="E3140">
        <v>1</v>
      </c>
      <c r="F3140" s="15">
        <v>46083</v>
      </c>
      <c r="G3140" t="s">
        <v>389</v>
      </c>
      <c r="H3140">
        <v>4</v>
      </c>
      <c r="I3140">
        <v>2026</v>
      </c>
      <c r="J3140">
        <v>3</v>
      </c>
      <c r="K3140" t="s">
        <v>87</v>
      </c>
      <c r="L3140" t="s">
        <v>28</v>
      </c>
      <c r="M3140" t="s">
        <v>6</v>
      </c>
      <c r="N3140" t="b">
        <v>0</v>
      </c>
      <c r="O3140">
        <v>0</v>
      </c>
      <c r="P3140">
        <v>1</v>
      </c>
      <c r="Q3140">
        <v>0</v>
      </c>
      <c r="R3140">
        <v>0</v>
      </c>
    </row>
    <row r="3141" spans="1:18" x14ac:dyDescent="0.25">
      <c r="A3141" t="s">
        <v>326</v>
      </c>
      <c r="B3141" t="s">
        <v>8</v>
      </c>
      <c r="C3141">
        <v>2</v>
      </c>
      <c r="D3141">
        <v>3</v>
      </c>
      <c r="E3141">
        <v>1</v>
      </c>
      <c r="F3141" s="15">
        <v>46083</v>
      </c>
      <c r="G3141" t="s">
        <v>389</v>
      </c>
      <c r="H3141">
        <v>4</v>
      </c>
      <c r="I3141">
        <v>2026</v>
      </c>
      <c r="J3141">
        <v>3</v>
      </c>
      <c r="K3141" t="s">
        <v>87</v>
      </c>
      <c r="L3141" t="s">
        <v>13</v>
      </c>
      <c r="M3141" t="s">
        <v>6</v>
      </c>
      <c r="N3141" t="b">
        <v>0</v>
      </c>
      <c r="O3141">
        <v>1</v>
      </c>
      <c r="P3141">
        <v>0</v>
      </c>
      <c r="Q3141">
        <v>0</v>
      </c>
      <c r="R3141">
        <v>0</v>
      </c>
    </row>
    <row r="3142" spans="1:18" x14ac:dyDescent="0.25">
      <c r="A3142" t="s">
        <v>326</v>
      </c>
      <c r="B3142" t="s">
        <v>8</v>
      </c>
      <c r="C3142">
        <v>2</v>
      </c>
      <c r="D3142">
        <v>3</v>
      </c>
      <c r="E3142">
        <v>1</v>
      </c>
      <c r="F3142" s="15">
        <v>46083</v>
      </c>
      <c r="G3142" t="s">
        <v>389</v>
      </c>
      <c r="H3142">
        <v>4</v>
      </c>
      <c r="I3142">
        <v>2026</v>
      </c>
      <c r="J3142">
        <v>3</v>
      </c>
      <c r="K3142" t="s">
        <v>87</v>
      </c>
      <c r="L3142" t="s">
        <v>17</v>
      </c>
      <c r="M3142" t="s">
        <v>6</v>
      </c>
      <c r="N3142" t="b">
        <v>0</v>
      </c>
      <c r="O3142">
        <v>1</v>
      </c>
      <c r="P3142">
        <v>0</v>
      </c>
      <c r="Q3142">
        <v>0</v>
      </c>
      <c r="R3142">
        <v>0</v>
      </c>
    </row>
    <row r="3143" spans="1:18" x14ac:dyDescent="0.25">
      <c r="A3143" t="s">
        <v>326</v>
      </c>
      <c r="B3143" t="s">
        <v>8</v>
      </c>
      <c r="C3143">
        <v>2</v>
      </c>
      <c r="D3143">
        <v>3</v>
      </c>
      <c r="E3143">
        <v>1</v>
      </c>
      <c r="F3143" s="15">
        <v>46083</v>
      </c>
      <c r="G3143" t="s">
        <v>389</v>
      </c>
      <c r="H3143">
        <v>4</v>
      </c>
      <c r="I3143">
        <v>2026</v>
      </c>
      <c r="J3143">
        <v>3</v>
      </c>
      <c r="K3143" t="s">
        <v>87</v>
      </c>
      <c r="L3143" t="s">
        <v>28</v>
      </c>
      <c r="M3143" t="s">
        <v>6</v>
      </c>
      <c r="N3143" t="b">
        <v>0</v>
      </c>
      <c r="O3143">
        <v>1</v>
      </c>
      <c r="P3143">
        <v>0</v>
      </c>
      <c r="Q3143">
        <v>0</v>
      </c>
      <c r="R3143">
        <v>0</v>
      </c>
    </row>
    <row r="3144" spans="1:18" x14ac:dyDescent="0.25">
      <c r="A3144" t="s">
        <v>17</v>
      </c>
      <c r="B3144" t="s">
        <v>6</v>
      </c>
      <c r="C3144">
        <v>3</v>
      </c>
      <c r="D3144">
        <v>3</v>
      </c>
      <c r="E3144">
        <v>1</v>
      </c>
      <c r="F3144" s="15">
        <v>46083</v>
      </c>
      <c r="G3144" t="s">
        <v>389</v>
      </c>
      <c r="H3144">
        <v>4</v>
      </c>
      <c r="I3144">
        <v>2026</v>
      </c>
      <c r="J3144">
        <v>3</v>
      </c>
      <c r="K3144" t="s">
        <v>87</v>
      </c>
      <c r="L3144" t="s">
        <v>13</v>
      </c>
      <c r="M3144" t="s">
        <v>6</v>
      </c>
      <c r="N3144" t="b">
        <v>0</v>
      </c>
      <c r="O3144">
        <v>0</v>
      </c>
      <c r="P3144">
        <v>1</v>
      </c>
      <c r="Q3144">
        <v>0</v>
      </c>
      <c r="R3144">
        <v>0</v>
      </c>
    </row>
    <row r="3145" spans="1:18" x14ac:dyDescent="0.25">
      <c r="A3145" t="s">
        <v>17</v>
      </c>
      <c r="B3145" t="s">
        <v>6</v>
      </c>
      <c r="C3145">
        <v>3</v>
      </c>
      <c r="D3145">
        <v>3</v>
      </c>
      <c r="E3145">
        <v>1</v>
      </c>
      <c r="F3145" s="15">
        <v>46083</v>
      </c>
      <c r="G3145" t="s">
        <v>389</v>
      </c>
      <c r="H3145">
        <v>4</v>
      </c>
      <c r="I3145">
        <v>2026</v>
      </c>
      <c r="J3145">
        <v>3</v>
      </c>
      <c r="K3145" t="s">
        <v>87</v>
      </c>
      <c r="L3145" t="s">
        <v>326</v>
      </c>
      <c r="M3145" t="s">
        <v>8</v>
      </c>
      <c r="N3145" t="b">
        <v>0</v>
      </c>
      <c r="O3145">
        <v>0</v>
      </c>
      <c r="P3145">
        <v>1</v>
      </c>
      <c r="Q3145">
        <v>0</v>
      </c>
      <c r="R3145">
        <v>1</v>
      </c>
    </row>
    <row r="3146" spans="1:18" x14ac:dyDescent="0.25">
      <c r="A3146" t="s">
        <v>17</v>
      </c>
      <c r="B3146" t="s">
        <v>6</v>
      </c>
      <c r="C3146">
        <v>3</v>
      </c>
      <c r="D3146">
        <v>3</v>
      </c>
      <c r="E3146">
        <v>1</v>
      </c>
      <c r="F3146" s="15">
        <v>46083</v>
      </c>
      <c r="G3146" t="s">
        <v>389</v>
      </c>
      <c r="H3146">
        <v>4</v>
      </c>
      <c r="I3146">
        <v>2026</v>
      </c>
      <c r="J3146">
        <v>3</v>
      </c>
      <c r="K3146" t="s">
        <v>87</v>
      </c>
      <c r="L3146" t="s">
        <v>28</v>
      </c>
      <c r="M3146" t="s">
        <v>6</v>
      </c>
      <c r="N3146" t="b">
        <v>0</v>
      </c>
      <c r="O3146">
        <v>0</v>
      </c>
      <c r="P3146">
        <v>1</v>
      </c>
      <c r="Q3146">
        <v>0</v>
      </c>
      <c r="R3146">
        <v>0</v>
      </c>
    </row>
    <row r="3147" spans="1:18" x14ac:dyDescent="0.25">
      <c r="A3147" t="s">
        <v>28</v>
      </c>
      <c r="B3147" t="s">
        <v>6</v>
      </c>
      <c r="C3147">
        <v>4</v>
      </c>
      <c r="D3147">
        <v>3</v>
      </c>
      <c r="E3147">
        <v>1</v>
      </c>
      <c r="F3147" s="15">
        <v>46083</v>
      </c>
      <c r="G3147" t="s">
        <v>389</v>
      </c>
      <c r="H3147">
        <v>4</v>
      </c>
      <c r="I3147">
        <v>2026</v>
      </c>
      <c r="J3147">
        <v>3</v>
      </c>
      <c r="K3147" t="s">
        <v>87</v>
      </c>
      <c r="L3147" t="s">
        <v>13</v>
      </c>
      <c r="M3147" t="s">
        <v>6</v>
      </c>
      <c r="N3147" t="b">
        <v>0</v>
      </c>
      <c r="O3147">
        <v>0</v>
      </c>
      <c r="P3147">
        <v>1</v>
      </c>
      <c r="Q3147">
        <v>0</v>
      </c>
      <c r="R3147">
        <v>0</v>
      </c>
    </row>
    <row r="3148" spans="1:18" x14ac:dyDescent="0.25">
      <c r="A3148" t="s">
        <v>28</v>
      </c>
      <c r="B3148" t="s">
        <v>6</v>
      </c>
      <c r="C3148">
        <v>4</v>
      </c>
      <c r="D3148">
        <v>3</v>
      </c>
      <c r="E3148">
        <v>1</v>
      </c>
      <c r="F3148" s="15">
        <v>46083</v>
      </c>
      <c r="G3148" t="s">
        <v>389</v>
      </c>
      <c r="H3148">
        <v>4</v>
      </c>
      <c r="I3148">
        <v>2026</v>
      </c>
      <c r="J3148">
        <v>3</v>
      </c>
      <c r="K3148" t="s">
        <v>87</v>
      </c>
      <c r="L3148" t="s">
        <v>326</v>
      </c>
      <c r="M3148" t="s">
        <v>8</v>
      </c>
      <c r="N3148" t="b">
        <v>0</v>
      </c>
      <c r="O3148">
        <v>0</v>
      </c>
      <c r="P3148">
        <v>1</v>
      </c>
      <c r="Q3148">
        <v>0</v>
      </c>
      <c r="R3148">
        <v>1</v>
      </c>
    </row>
    <row r="3149" spans="1:18" x14ac:dyDescent="0.25">
      <c r="A3149" t="s">
        <v>28</v>
      </c>
      <c r="B3149" t="s">
        <v>6</v>
      </c>
      <c r="C3149">
        <v>4</v>
      </c>
      <c r="D3149">
        <v>3</v>
      </c>
      <c r="E3149">
        <v>1</v>
      </c>
      <c r="F3149" s="15">
        <v>46083</v>
      </c>
      <c r="G3149" t="s">
        <v>389</v>
      </c>
      <c r="H3149">
        <v>4</v>
      </c>
      <c r="I3149">
        <v>2026</v>
      </c>
      <c r="J3149">
        <v>3</v>
      </c>
      <c r="K3149" t="s">
        <v>87</v>
      </c>
      <c r="L3149" t="s">
        <v>17</v>
      </c>
      <c r="M3149" t="s">
        <v>6</v>
      </c>
      <c r="N3149" t="b">
        <v>0</v>
      </c>
      <c r="O3149">
        <v>0</v>
      </c>
      <c r="P3149">
        <v>1</v>
      </c>
      <c r="Q3149">
        <v>0</v>
      </c>
      <c r="R3149">
        <v>0</v>
      </c>
    </row>
    <row r="3150" spans="1:18" x14ac:dyDescent="0.25">
      <c r="A3150" t="s">
        <v>433</v>
      </c>
      <c r="B3150" t="s">
        <v>6</v>
      </c>
      <c r="C3150">
        <v>3</v>
      </c>
      <c r="D3150">
        <v>6</v>
      </c>
      <c r="E3150">
        <v>1</v>
      </c>
      <c r="F3150" s="15">
        <v>46083</v>
      </c>
      <c r="G3150" t="s">
        <v>392</v>
      </c>
      <c r="H3150">
        <v>4</v>
      </c>
      <c r="I3150">
        <v>2026</v>
      </c>
      <c r="J3150">
        <v>3</v>
      </c>
      <c r="K3150" t="s">
        <v>87</v>
      </c>
      <c r="L3150" t="s">
        <v>10</v>
      </c>
      <c r="M3150" t="s">
        <v>8</v>
      </c>
      <c r="N3150" t="b">
        <v>0</v>
      </c>
      <c r="O3150">
        <v>0</v>
      </c>
      <c r="P3150">
        <v>1</v>
      </c>
      <c r="Q3150">
        <v>0</v>
      </c>
      <c r="R3150">
        <v>1</v>
      </c>
    </row>
    <row r="3151" spans="1:18" x14ac:dyDescent="0.25">
      <c r="A3151" t="s">
        <v>433</v>
      </c>
      <c r="B3151" t="s">
        <v>6</v>
      </c>
      <c r="C3151">
        <v>3</v>
      </c>
      <c r="D3151">
        <v>6</v>
      </c>
      <c r="E3151">
        <v>1</v>
      </c>
      <c r="F3151" s="15">
        <v>46083</v>
      </c>
      <c r="G3151" t="s">
        <v>392</v>
      </c>
      <c r="H3151">
        <v>4</v>
      </c>
      <c r="I3151">
        <v>2026</v>
      </c>
      <c r="J3151">
        <v>3</v>
      </c>
      <c r="K3151" t="s">
        <v>87</v>
      </c>
      <c r="L3151" t="s">
        <v>321</v>
      </c>
      <c r="M3151" t="s">
        <v>6</v>
      </c>
      <c r="N3151" t="b">
        <v>0</v>
      </c>
      <c r="O3151">
        <v>0</v>
      </c>
      <c r="P3151">
        <v>1</v>
      </c>
      <c r="Q3151">
        <v>0</v>
      </c>
      <c r="R3151">
        <v>0</v>
      </c>
    </row>
    <row r="3152" spans="1:18" x14ac:dyDescent="0.25">
      <c r="A3152" t="s">
        <v>433</v>
      </c>
      <c r="B3152" t="s">
        <v>6</v>
      </c>
      <c r="C3152">
        <v>3</v>
      </c>
      <c r="D3152">
        <v>6</v>
      </c>
      <c r="E3152">
        <v>1</v>
      </c>
      <c r="F3152" s="15">
        <v>46083</v>
      </c>
      <c r="G3152" t="s">
        <v>392</v>
      </c>
      <c r="H3152">
        <v>4</v>
      </c>
      <c r="I3152">
        <v>2026</v>
      </c>
      <c r="J3152">
        <v>3</v>
      </c>
      <c r="K3152" t="s">
        <v>87</v>
      </c>
      <c r="L3152" t="s">
        <v>12</v>
      </c>
      <c r="M3152" t="s">
        <v>6</v>
      </c>
      <c r="N3152" t="b">
        <v>0</v>
      </c>
      <c r="O3152">
        <v>0</v>
      </c>
      <c r="P3152">
        <v>1</v>
      </c>
      <c r="Q3152">
        <v>0</v>
      </c>
      <c r="R3152">
        <v>0</v>
      </c>
    </row>
    <row r="3153" spans="1:18" x14ac:dyDescent="0.25">
      <c r="A3153" t="s">
        <v>10</v>
      </c>
      <c r="B3153" t="s">
        <v>8</v>
      </c>
      <c r="C3153">
        <v>1</v>
      </c>
      <c r="D3153">
        <v>6</v>
      </c>
      <c r="E3153">
        <v>1</v>
      </c>
      <c r="F3153" s="15">
        <v>46083</v>
      </c>
      <c r="G3153" t="s">
        <v>392</v>
      </c>
      <c r="H3153">
        <v>4</v>
      </c>
      <c r="I3153">
        <v>2026</v>
      </c>
      <c r="J3153">
        <v>3</v>
      </c>
      <c r="K3153" t="s">
        <v>87</v>
      </c>
      <c r="L3153" t="s">
        <v>433</v>
      </c>
      <c r="M3153" t="s">
        <v>6</v>
      </c>
      <c r="N3153" t="b">
        <v>0</v>
      </c>
      <c r="O3153">
        <v>1</v>
      </c>
      <c r="P3153">
        <v>0</v>
      </c>
      <c r="Q3153">
        <v>0</v>
      </c>
      <c r="R3153">
        <v>0</v>
      </c>
    </row>
    <row r="3154" spans="1:18" x14ac:dyDescent="0.25">
      <c r="A3154" t="s">
        <v>10</v>
      </c>
      <c r="B3154" t="s">
        <v>8</v>
      </c>
      <c r="C3154">
        <v>1</v>
      </c>
      <c r="D3154">
        <v>6</v>
      </c>
      <c r="E3154">
        <v>1</v>
      </c>
      <c r="F3154" s="15">
        <v>46083</v>
      </c>
      <c r="G3154" t="s">
        <v>392</v>
      </c>
      <c r="H3154">
        <v>4</v>
      </c>
      <c r="I3154">
        <v>2026</v>
      </c>
      <c r="J3154">
        <v>3</v>
      </c>
      <c r="K3154" t="s">
        <v>87</v>
      </c>
      <c r="L3154" t="s">
        <v>321</v>
      </c>
      <c r="M3154" t="s">
        <v>6</v>
      </c>
      <c r="N3154" t="b">
        <v>0</v>
      </c>
      <c r="O3154">
        <v>1</v>
      </c>
      <c r="P3154">
        <v>0</v>
      </c>
      <c r="Q3154">
        <v>0</v>
      </c>
      <c r="R3154">
        <v>0</v>
      </c>
    </row>
    <row r="3155" spans="1:18" x14ac:dyDescent="0.25">
      <c r="A3155" t="s">
        <v>10</v>
      </c>
      <c r="B3155" t="s">
        <v>8</v>
      </c>
      <c r="C3155">
        <v>1</v>
      </c>
      <c r="D3155">
        <v>6</v>
      </c>
      <c r="E3155">
        <v>1</v>
      </c>
      <c r="F3155" s="15">
        <v>46083</v>
      </c>
      <c r="G3155" t="s">
        <v>392</v>
      </c>
      <c r="H3155">
        <v>4</v>
      </c>
      <c r="I3155">
        <v>2026</v>
      </c>
      <c r="J3155">
        <v>3</v>
      </c>
      <c r="K3155" t="s">
        <v>87</v>
      </c>
      <c r="L3155" t="s">
        <v>12</v>
      </c>
      <c r="M3155" t="s">
        <v>6</v>
      </c>
      <c r="N3155" t="b">
        <v>0</v>
      </c>
      <c r="O3155">
        <v>1</v>
      </c>
      <c r="P3155">
        <v>0</v>
      </c>
      <c r="Q3155">
        <v>0</v>
      </c>
      <c r="R3155">
        <v>0</v>
      </c>
    </row>
    <row r="3156" spans="1:18" x14ac:dyDescent="0.25">
      <c r="A3156" t="s">
        <v>321</v>
      </c>
      <c r="B3156" t="s">
        <v>6</v>
      </c>
      <c r="C3156">
        <v>2</v>
      </c>
      <c r="D3156">
        <v>6</v>
      </c>
      <c r="E3156">
        <v>1</v>
      </c>
      <c r="F3156" s="15">
        <v>46083</v>
      </c>
      <c r="G3156" t="s">
        <v>392</v>
      </c>
      <c r="H3156">
        <v>4</v>
      </c>
      <c r="I3156">
        <v>2026</v>
      </c>
      <c r="J3156">
        <v>3</v>
      </c>
      <c r="K3156" t="s">
        <v>87</v>
      </c>
      <c r="L3156" t="s">
        <v>433</v>
      </c>
      <c r="M3156" t="s">
        <v>6</v>
      </c>
      <c r="N3156" t="b">
        <v>0</v>
      </c>
      <c r="O3156">
        <v>0</v>
      </c>
      <c r="P3156">
        <v>1</v>
      </c>
      <c r="Q3156">
        <v>0</v>
      </c>
      <c r="R3156">
        <v>0</v>
      </c>
    </row>
    <row r="3157" spans="1:18" x14ac:dyDescent="0.25">
      <c r="A3157" t="s">
        <v>321</v>
      </c>
      <c r="B3157" t="s">
        <v>6</v>
      </c>
      <c r="C3157">
        <v>2</v>
      </c>
      <c r="D3157">
        <v>6</v>
      </c>
      <c r="E3157">
        <v>1</v>
      </c>
      <c r="F3157" s="15">
        <v>46083</v>
      </c>
      <c r="G3157" t="s">
        <v>392</v>
      </c>
      <c r="H3157">
        <v>4</v>
      </c>
      <c r="I3157">
        <v>2026</v>
      </c>
      <c r="J3157">
        <v>3</v>
      </c>
      <c r="K3157" t="s">
        <v>87</v>
      </c>
      <c r="L3157" t="s">
        <v>10</v>
      </c>
      <c r="M3157" t="s">
        <v>8</v>
      </c>
      <c r="N3157" t="b">
        <v>0</v>
      </c>
      <c r="O3157">
        <v>0</v>
      </c>
      <c r="P3157">
        <v>1</v>
      </c>
      <c r="Q3157">
        <v>0</v>
      </c>
      <c r="R3157">
        <v>1</v>
      </c>
    </row>
    <row r="3158" spans="1:18" x14ac:dyDescent="0.25">
      <c r="A3158" t="s">
        <v>321</v>
      </c>
      <c r="B3158" t="s">
        <v>6</v>
      </c>
      <c r="C3158">
        <v>2</v>
      </c>
      <c r="D3158">
        <v>6</v>
      </c>
      <c r="E3158">
        <v>1</v>
      </c>
      <c r="F3158" s="15">
        <v>46083</v>
      </c>
      <c r="G3158" t="s">
        <v>392</v>
      </c>
      <c r="H3158">
        <v>4</v>
      </c>
      <c r="I3158">
        <v>2026</v>
      </c>
      <c r="J3158">
        <v>3</v>
      </c>
      <c r="K3158" t="s">
        <v>87</v>
      </c>
      <c r="L3158" t="s">
        <v>12</v>
      </c>
      <c r="M3158" t="s">
        <v>6</v>
      </c>
      <c r="N3158" t="b">
        <v>0</v>
      </c>
      <c r="O3158">
        <v>0</v>
      </c>
      <c r="P3158">
        <v>1</v>
      </c>
      <c r="Q3158">
        <v>0</v>
      </c>
      <c r="R3158">
        <v>0</v>
      </c>
    </row>
    <row r="3159" spans="1:18" x14ac:dyDescent="0.25">
      <c r="A3159" t="s">
        <v>12</v>
      </c>
      <c r="B3159" t="s">
        <v>6</v>
      </c>
      <c r="C3159">
        <v>4</v>
      </c>
      <c r="D3159">
        <v>6</v>
      </c>
      <c r="E3159">
        <v>1</v>
      </c>
      <c r="F3159" s="15">
        <v>46083</v>
      </c>
      <c r="G3159" t="s">
        <v>392</v>
      </c>
      <c r="H3159">
        <v>4</v>
      </c>
      <c r="I3159">
        <v>2026</v>
      </c>
      <c r="J3159">
        <v>3</v>
      </c>
      <c r="K3159" t="s">
        <v>87</v>
      </c>
      <c r="L3159" t="s">
        <v>433</v>
      </c>
      <c r="M3159" t="s">
        <v>6</v>
      </c>
      <c r="N3159" t="b">
        <v>0</v>
      </c>
      <c r="O3159">
        <v>0</v>
      </c>
      <c r="P3159">
        <v>1</v>
      </c>
      <c r="Q3159">
        <v>0</v>
      </c>
      <c r="R3159">
        <v>0</v>
      </c>
    </row>
    <row r="3160" spans="1:18" x14ac:dyDescent="0.25">
      <c r="A3160" t="s">
        <v>12</v>
      </c>
      <c r="B3160" t="s">
        <v>6</v>
      </c>
      <c r="C3160">
        <v>4</v>
      </c>
      <c r="D3160">
        <v>6</v>
      </c>
      <c r="E3160">
        <v>1</v>
      </c>
      <c r="F3160" s="15">
        <v>46083</v>
      </c>
      <c r="G3160" t="s">
        <v>392</v>
      </c>
      <c r="H3160">
        <v>4</v>
      </c>
      <c r="I3160">
        <v>2026</v>
      </c>
      <c r="J3160">
        <v>3</v>
      </c>
      <c r="K3160" t="s">
        <v>87</v>
      </c>
      <c r="L3160" t="s">
        <v>10</v>
      </c>
      <c r="M3160" t="s">
        <v>8</v>
      </c>
      <c r="N3160" t="b">
        <v>0</v>
      </c>
      <c r="O3160">
        <v>0</v>
      </c>
      <c r="P3160">
        <v>1</v>
      </c>
      <c r="Q3160">
        <v>0</v>
      </c>
      <c r="R3160">
        <v>1</v>
      </c>
    </row>
    <row r="3161" spans="1:18" x14ac:dyDescent="0.25">
      <c r="A3161" t="s">
        <v>12</v>
      </c>
      <c r="B3161" t="s">
        <v>6</v>
      </c>
      <c r="C3161">
        <v>4</v>
      </c>
      <c r="D3161">
        <v>6</v>
      </c>
      <c r="E3161">
        <v>1</v>
      </c>
      <c r="F3161" s="15">
        <v>46083</v>
      </c>
      <c r="G3161" t="s">
        <v>392</v>
      </c>
      <c r="H3161">
        <v>4</v>
      </c>
      <c r="I3161">
        <v>2026</v>
      </c>
      <c r="J3161">
        <v>3</v>
      </c>
      <c r="K3161" t="s">
        <v>87</v>
      </c>
      <c r="L3161" t="s">
        <v>321</v>
      </c>
      <c r="M3161" t="s">
        <v>6</v>
      </c>
      <c r="N3161" t="b">
        <v>0</v>
      </c>
      <c r="O3161">
        <v>0</v>
      </c>
      <c r="P3161">
        <v>1</v>
      </c>
      <c r="Q3161">
        <v>0</v>
      </c>
      <c r="R3161">
        <v>0</v>
      </c>
    </row>
    <row r="3162" spans="1:18" x14ac:dyDescent="0.25">
      <c r="A3162" t="s">
        <v>14</v>
      </c>
      <c r="B3162" t="s">
        <v>6</v>
      </c>
      <c r="C3162">
        <v>1</v>
      </c>
      <c r="D3162">
        <v>5</v>
      </c>
      <c r="E3162">
        <v>1</v>
      </c>
      <c r="F3162" s="15">
        <v>46083</v>
      </c>
      <c r="G3162" t="s">
        <v>391</v>
      </c>
      <c r="H3162">
        <v>4</v>
      </c>
      <c r="I3162">
        <v>2026</v>
      </c>
      <c r="J3162">
        <v>3</v>
      </c>
      <c r="K3162" t="s">
        <v>87</v>
      </c>
      <c r="L3162" t="s">
        <v>19</v>
      </c>
      <c r="M3162" t="s">
        <v>8</v>
      </c>
      <c r="N3162" t="b">
        <v>0</v>
      </c>
      <c r="O3162">
        <v>0</v>
      </c>
      <c r="P3162">
        <v>1</v>
      </c>
      <c r="Q3162">
        <v>0</v>
      </c>
      <c r="R3162">
        <v>1</v>
      </c>
    </row>
    <row r="3163" spans="1:18" x14ac:dyDescent="0.25">
      <c r="A3163" t="s">
        <v>14</v>
      </c>
      <c r="B3163" t="s">
        <v>6</v>
      </c>
      <c r="C3163">
        <v>1</v>
      </c>
      <c r="D3163">
        <v>5</v>
      </c>
      <c r="E3163">
        <v>1</v>
      </c>
      <c r="F3163" s="15">
        <v>46083</v>
      </c>
      <c r="G3163" t="s">
        <v>391</v>
      </c>
      <c r="H3163">
        <v>4</v>
      </c>
      <c r="I3163">
        <v>2026</v>
      </c>
      <c r="J3163">
        <v>3</v>
      </c>
      <c r="K3163" t="s">
        <v>87</v>
      </c>
      <c r="L3163" t="s">
        <v>363</v>
      </c>
      <c r="M3163" t="s">
        <v>6</v>
      </c>
      <c r="N3163" t="b">
        <v>0</v>
      </c>
      <c r="O3163">
        <v>0</v>
      </c>
      <c r="P3163">
        <v>1</v>
      </c>
      <c r="Q3163">
        <v>0</v>
      </c>
      <c r="R3163">
        <v>0</v>
      </c>
    </row>
    <row r="3164" spans="1:18" x14ac:dyDescent="0.25">
      <c r="A3164" t="s">
        <v>14</v>
      </c>
      <c r="B3164" t="s">
        <v>6</v>
      </c>
      <c r="C3164">
        <v>1</v>
      </c>
      <c r="D3164">
        <v>5</v>
      </c>
      <c r="E3164">
        <v>1</v>
      </c>
      <c r="F3164" s="15">
        <v>46083</v>
      </c>
      <c r="G3164" t="s">
        <v>391</v>
      </c>
      <c r="H3164">
        <v>4</v>
      </c>
      <c r="I3164">
        <v>2026</v>
      </c>
      <c r="J3164">
        <v>3</v>
      </c>
      <c r="K3164" t="s">
        <v>87</v>
      </c>
      <c r="L3164" t="s">
        <v>20</v>
      </c>
      <c r="M3164" t="s">
        <v>6</v>
      </c>
      <c r="N3164" t="b">
        <v>0</v>
      </c>
      <c r="O3164">
        <v>0</v>
      </c>
      <c r="P3164">
        <v>1</v>
      </c>
      <c r="Q3164">
        <v>0</v>
      </c>
      <c r="R3164">
        <v>0</v>
      </c>
    </row>
    <row r="3165" spans="1:18" x14ac:dyDescent="0.25">
      <c r="A3165" t="s">
        <v>19</v>
      </c>
      <c r="B3165" t="s">
        <v>8</v>
      </c>
      <c r="C3165">
        <v>2</v>
      </c>
      <c r="D3165">
        <v>5</v>
      </c>
      <c r="E3165">
        <v>1</v>
      </c>
      <c r="F3165" s="15">
        <v>46083</v>
      </c>
      <c r="G3165" t="s">
        <v>391</v>
      </c>
      <c r="H3165">
        <v>4</v>
      </c>
      <c r="I3165">
        <v>2026</v>
      </c>
      <c r="J3165">
        <v>3</v>
      </c>
      <c r="K3165" t="s">
        <v>87</v>
      </c>
      <c r="L3165" t="s">
        <v>14</v>
      </c>
      <c r="M3165" t="s">
        <v>6</v>
      </c>
      <c r="N3165" t="b">
        <v>0</v>
      </c>
      <c r="O3165">
        <v>1</v>
      </c>
      <c r="P3165">
        <v>0</v>
      </c>
      <c r="Q3165">
        <v>0</v>
      </c>
      <c r="R3165">
        <v>0</v>
      </c>
    </row>
    <row r="3166" spans="1:18" x14ac:dyDescent="0.25">
      <c r="A3166" t="s">
        <v>19</v>
      </c>
      <c r="B3166" t="s">
        <v>8</v>
      </c>
      <c r="C3166">
        <v>2</v>
      </c>
      <c r="D3166">
        <v>5</v>
      </c>
      <c r="E3166">
        <v>1</v>
      </c>
      <c r="F3166" s="15">
        <v>46083</v>
      </c>
      <c r="G3166" t="s">
        <v>391</v>
      </c>
      <c r="H3166">
        <v>4</v>
      </c>
      <c r="I3166">
        <v>2026</v>
      </c>
      <c r="J3166">
        <v>3</v>
      </c>
      <c r="K3166" t="s">
        <v>87</v>
      </c>
      <c r="L3166" t="s">
        <v>363</v>
      </c>
      <c r="M3166" t="s">
        <v>6</v>
      </c>
      <c r="N3166" t="b">
        <v>0</v>
      </c>
      <c r="O3166">
        <v>1</v>
      </c>
      <c r="P3166">
        <v>0</v>
      </c>
      <c r="Q3166">
        <v>0</v>
      </c>
      <c r="R3166">
        <v>0</v>
      </c>
    </row>
    <row r="3167" spans="1:18" x14ac:dyDescent="0.25">
      <c r="A3167" t="s">
        <v>19</v>
      </c>
      <c r="B3167" t="s">
        <v>8</v>
      </c>
      <c r="C3167">
        <v>2</v>
      </c>
      <c r="D3167">
        <v>5</v>
      </c>
      <c r="E3167">
        <v>1</v>
      </c>
      <c r="F3167" s="15">
        <v>46083</v>
      </c>
      <c r="G3167" t="s">
        <v>391</v>
      </c>
      <c r="H3167">
        <v>4</v>
      </c>
      <c r="I3167">
        <v>2026</v>
      </c>
      <c r="J3167">
        <v>3</v>
      </c>
      <c r="K3167" t="s">
        <v>87</v>
      </c>
      <c r="L3167" t="s">
        <v>20</v>
      </c>
      <c r="M3167" t="s">
        <v>6</v>
      </c>
      <c r="N3167" t="b">
        <v>0</v>
      </c>
      <c r="O3167">
        <v>1</v>
      </c>
      <c r="P3167">
        <v>0</v>
      </c>
      <c r="Q3167">
        <v>0</v>
      </c>
      <c r="R3167">
        <v>0</v>
      </c>
    </row>
    <row r="3168" spans="1:18" x14ac:dyDescent="0.25">
      <c r="A3168" t="s">
        <v>363</v>
      </c>
      <c r="B3168" t="s">
        <v>6</v>
      </c>
      <c r="C3168">
        <v>3</v>
      </c>
      <c r="D3168">
        <v>5</v>
      </c>
      <c r="E3168">
        <v>1</v>
      </c>
      <c r="F3168" s="15">
        <v>46083</v>
      </c>
      <c r="G3168" t="s">
        <v>391</v>
      </c>
      <c r="H3168">
        <v>4</v>
      </c>
      <c r="I3168">
        <v>2026</v>
      </c>
      <c r="J3168">
        <v>3</v>
      </c>
      <c r="K3168" t="s">
        <v>87</v>
      </c>
      <c r="L3168" t="s">
        <v>14</v>
      </c>
      <c r="M3168" t="s">
        <v>6</v>
      </c>
      <c r="N3168" t="b">
        <v>0</v>
      </c>
      <c r="O3168">
        <v>0</v>
      </c>
      <c r="P3168">
        <v>1</v>
      </c>
      <c r="Q3168">
        <v>0</v>
      </c>
      <c r="R3168">
        <v>0</v>
      </c>
    </row>
    <row r="3169" spans="1:18" x14ac:dyDescent="0.25">
      <c r="A3169" t="s">
        <v>363</v>
      </c>
      <c r="B3169" t="s">
        <v>6</v>
      </c>
      <c r="C3169">
        <v>3</v>
      </c>
      <c r="D3169">
        <v>5</v>
      </c>
      <c r="E3169">
        <v>1</v>
      </c>
      <c r="F3169" s="15">
        <v>46083</v>
      </c>
      <c r="G3169" t="s">
        <v>391</v>
      </c>
      <c r="H3169">
        <v>4</v>
      </c>
      <c r="I3169">
        <v>2026</v>
      </c>
      <c r="J3169">
        <v>3</v>
      </c>
      <c r="K3169" t="s">
        <v>87</v>
      </c>
      <c r="L3169" t="s">
        <v>19</v>
      </c>
      <c r="M3169" t="s">
        <v>8</v>
      </c>
      <c r="N3169" t="b">
        <v>0</v>
      </c>
      <c r="O3169">
        <v>0</v>
      </c>
      <c r="P3169">
        <v>1</v>
      </c>
      <c r="Q3169">
        <v>0</v>
      </c>
      <c r="R3169">
        <v>1</v>
      </c>
    </row>
    <row r="3170" spans="1:18" x14ac:dyDescent="0.25">
      <c r="A3170" t="s">
        <v>363</v>
      </c>
      <c r="B3170" t="s">
        <v>6</v>
      </c>
      <c r="C3170">
        <v>3</v>
      </c>
      <c r="D3170">
        <v>5</v>
      </c>
      <c r="E3170">
        <v>1</v>
      </c>
      <c r="F3170" s="15">
        <v>46083</v>
      </c>
      <c r="G3170" t="s">
        <v>391</v>
      </c>
      <c r="H3170">
        <v>4</v>
      </c>
      <c r="I3170">
        <v>2026</v>
      </c>
      <c r="J3170">
        <v>3</v>
      </c>
      <c r="K3170" t="s">
        <v>87</v>
      </c>
      <c r="L3170" t="s">
        <v>20</v>
      </c>
      <c r="M3170" t="s">
        <v>6</v>
      </c>
      <c r="N3170" t="b">
        <v>0</v>
      </c>
      <c r="O3170">
        <v>0</v>
      </c>
      <c r="P3170">
        <v>1</v>
      </c>
      <c r="Q3170">
        <v>0</v>
      </c>
      <c r="R3170">
        <v>0</v>
      </c>
    </row>
    <row r="3171" spans="1:18" x14ac:dyDescent="0.25">
      <c r="A3171" t="s">
        <v>20</v>
      </c>
      <c r="B3171" t="s">
        <v>6</v>
      </c>
      <c r="C3171">
        <v>4</v>
      </c>
      <c r="D3171">
        <v>5</v>
      </c>
      <c r="E3171">
        <v>1</v>
      </c>
      <c r="F3171" s="15">
        <v>46083</v>
      </c>
      <c r="G3171" t="s">
        <v>391</v>
      </c>
      <c r="H3171">
        <v>4</v>
      </c>
      <c r="I3171">
        <v>2026</v>
      </c>
      <c r="J3171">
        <v>3</v>
      </c>
      <c r="K3171" t="s">
        <v>87</v>
      </c>
      <c r="L3171" t="s">
        <v>14</v>
      </c>
      <c r="M3171" t="s">
        <v>6</v>
      </c>
      <c r="N3171" t="b">
        <v>0</v>
      </c>
      <c r="O3171">
        <v>0</v>
      </c>
      <c r="P3171">
        <v>1</v>
      </c>
      <c r="Q3171">
        <v>0</v>
      </c>
      <c r="R3171">
        <v>0</v>
      </c>
    </row>
    <row r="3172" spans="1:18" x14ac:dyDescent="0.25">
      <c r="A3172" t="s">
        <v>20</v>
      </c>
      <c r="B3172" t="s">
        <v>6</v>
      </c>
      <c r="C3172">
        <v>4</v>
      </c>
      <c r="D3172">
        <v>5</v>
      </c>
      <c r="E3172">
        <v>1</v>
      </c>
      <c r="F3172" s="15">
        <v>46083</v>
      </c>
      <c r="G3172" t="s">
        <v>391</v>
      </c>
      <c r="H3172">
        <v>4</v>
      </c>
      <c r="I3172">
        <v>2026</v>
      </c>
      <c r="J3172">
        <v>3</v>
      </c>
      <c r="K3172" t="s">
        <v>87</v>
      </c>
      <c r="L3172" t="s">
        <v>19</v>
      </c>
      <c r="M3172" t="s">
        <v>8</v>
      </c>
      <c r="N3172" t="b">
        <v>0</v>
      </c>
      <c r="O3172">
        <v>0</v>
      </c>
      <c r="P3172">
        <v>1</v>
      </c>
      <c r="Q3172">
        <v>0</v>
      </c>
      <c r="R3172">
        <v>1</v>
      </c>
    </row>
    <row r="3173" spans="1:18" x14ac:dyDescent="0.25">
      <c r="A3173" t="s">
        <v>20</v>
      </c>
      <c r="B3173" t="s">
        <v>6</v>
      </c>
      <c r="C3173">
        <v>4</v>
      </c>
      <c r="D3173">
        <v>5</v>
      </c>
      <c r="E3173">
        <v>1</v>
      </c>
      <c r="F3173" s="15">
        <v>46083</v>
      </c>
      <c r="G3173" t="s">
        <v>391</v>
      </c>
      <c r="H3173">
        <v>4</v>
      </c>
      <c r="I3173">
        <v>2026</v>
      </c>
      <c r="J3173">
        <v>3</v>
      </c>
      <c r="K3173" t="s">
        <v>87</v>
      </c>
      <c r="L3173" t="s">
        <v>363</v>
      </c>
      <c r="M3173" t="s">
        <v>6</v>
      </c>
      <c r="N3173" t="b">
        <v>0</v>
      </c>
      <c r="O3173">
        <v>0</v>
      </c>
      <c r="P3173">
        <v>1</v>
      </c>
      <c r="Q3173">
        <v>0</v>
      </c>
      <c r="R3173">
        <v>0</v>
      </c>
    </row>
    <row r="3174" spans="1:18" x14ac:dyDescent="0.25">
      <c r="A3174" t="s">
        <v>433</v>
      </c>
      <c r="B3174" t="s">
        <v>6</v>
      </c>
      <c r="C3174">
        <v>1</v>
      </c>
      <c r="D3174">
        <v>6</v>
      </c>
      <c r="E3174">
        <v>2</v>
      </c>
      <c r="F3174" s="15">
        <v>46083</v>
      </c>
      <c r="G3174" t="s">
        <v>398</v>
      </c>
      <c r="H3174">
        <v>3</v>
      </c>
      <c r="I3174">
        <v>2026</v>
      </c>
      <c r="J3174">
        <v>3</v>
      </c>
      <c r="K3174" t="s">
        <v>87</v>
      </c>
      <c r="L3174" t="s">
        <v>14</v>
      </c>
      <c r="M3174" t="s">
        <v>8</v>
      </c>
      <c r="N3174" t="b">
        <v>0</v>
      </c>
      <c r="O3174">
        <v>0</v>
      </c>
      <c r="P3174">
        <v>1</v>
      </c>
      <c r="Q3174">
        <v>0</v>
      </c>
      <c r="R3174">
        <v>1</v>
      </c>
    </row>
    <row r="3175" spans="1:18" x14ac:dyDescent="0.25">
      <c r="A3175" t="s">
        <v>433</v>
      </c>
      <c r="B3175" t="s">
        <v>6</v>
      </c>
      <c r="C3175">
        <v>1</v>
      </c>
      <c r="D3175">
        <v>6</v>
      </c>
      <c r="E3175">
        <v>2</v>
      </c>
      <c r="F3175" s="15">
        <v>46083</v>
      </c>
      <c r="G3175" t="s">
        <v>398</v>
      </c>
      <c r="H3175">
        <v>3</v>
      </c>
      <c r="I3175">
        <v>2026</v>
      </c>
      <c r="J3175">
        <v>3</v>
      </c>
      <c r="K3175" t="s">
        <v>87</v>
      </c>
      <c r="L3175" t="s">
        <v>363</v>
      </c>
      <c r="M3175" t="s">
        <v>6</v>
      </c>
      <c r="N3175" t="b">
        <v>0</v>
      </c>
      <c r="O3175">
        <v>0</v>
      </c>
      <c r="P3175">
        <v>1</v>
      </c>
      <c r="Q3175">
        <v>0</v>
      </c>
      <c r="R3175">
        <v>0</v>
      </c>
    </row>
    <row r="3176" spans="1:18" x14ac:dyDescent="0.25">
      <c r="A3176" t="s">
        <v>14</v>
      </c>
      <c r="B3176" t="s">
        <v>8</v>
      </c>
      <c r="C3176">
        <v>2</v>
      </c>
      <c r="D3176">
        <v>6</v>
      </c>
      <c r="E3176">
        <v>2</v>
      </c>
      <c r="F3176" s="15">
        <v>46083</v>
      </c>
      <c r="G3176" t="s">
        <v>398</v>
      </c>
      <c r="H3176">
        <v>3</v>
      </c>
      <c r="I3176">
        <v>2026</v>
      </c>
      <c r="J3176">
        <v>3</v>
      </c>
      <c r="K3176" t="s">
        <v>87</v>
      </c>
      <c r="L3176" t="s">
        <v>433</v>
      </c>
      <c r="M3176" t="s">
        <v>6</v>
      </c>
      <c r="N3176" t="b">
        <v>0</v>
      </c>
      <c r="O3176">
        <v>1</v>
      </c>
      <c r="P3176">
        <v>0</v>
      </c>
      <c r="Q3176">
        <v>0</v>
      </c>
      <c r="R3176">
        <v>0</v>
      </c>
    </row>
    <row r="3177" spans="1:18" x14ac:dyDescent="0.25">
      <c r="A3177" t="s">
        <v>14</v>
      </c>
      <c r="B3177" t="s">
        <v>8</v>
      </c>
      <c r="C3177">
        <v>2</v>
      </c>
      <c r="D3177">
        <v>6</v>
      </c>
      <c r="E3177">
        <v>2</v>
      </c>
      <c r="F3177" s="15">
        <v>46083</v>
      </c>
      <c r="G3177" t="s">
        <v>398</v>
      </c>
      <c r="H3177">
        <v>3</v>
      </c>
      <c r="I3177">
        <v>2026</v>
      </c>
      <c r="J3177">
        <v>3</v>
      </c>
      <c r="K3177" t="s">
        <v>87</v>
      </c>
      <c r="L3177" t="s">
        <v>363</v>
      </c>
      <c r="M3177" t="s">
        <v>6</v>
      </c>
      <c r="N3177" t="b">
        <v>0</v>
      </c>
      <c r="O3177">
        <v>1</v>
      </c>
      <c r="P3177">
        <v>0</v>
      </c>
      <c r="Q3177">
        <v>0</v>
      </c>
      <c r="R3177">
        <v>0</v>
      </c>
    </row>
    <row r="3178" spans="1:18" x14ac:dyDescent="0.25">
      <c r="A3178" t="s">
        <v>363</v>
      </c>
      <c r="B3178" t="s">
        <v>6</v>
      </c>
      <c r="C3178">
        <v>3</v>
      </c>
      <c r="D3178">
        <v>6</v>
      </c>
      <c r="E3178">
        <v>2</v>
      </c>
      <c r="F3178" s="15">
        <v>46083</v>
      </c>
      <c r="G3178" t="s">
        <v>398</v>
      </c>
      <c r="H3178">
        <v>3</v>
      </c>
      <c r="I3178">
        <v>2026</v>
      </c>
      <c r="J3178">
        <v>3</v>
      </c>
      <c r="K3178" t="s">
        <v>87</v>
      </c>
      <c r="L3178" t="s">
        <v>433</v>
      </c>
      <c r="M3178" t="s">
        <v>6</v>
      </c>
      <c r="N3178" t="b">
        <v>0</v>
      </c>
      <c r="O3178">
        <v>0</v>
      </c>
      <c r="P3178">
        <v>1</v>
      </c>
      <c r="Q3178">
        <v>0</v>
      </c>
      <c r="R3178">
        <v>0</v>
      </c>
    </row>
    <row r="3179" spans="1:18" x14ac:dyDescent="0.25">
      <c r="A3179" t="s">
        <v>363</v>
      </c>
      <c r="B3179" t="s">
        <v>6</v>
      </c>
      <c r="C3179">
        <v>3</v>
      </c>
      <c r="D3179">
        <v>6</v>
      </c>
      <c r="E3179">
        <v>2</v>
      </c>
      <c r="F3179" s="15">
        <v>46083</v>
      </c>
      <c r="G3179" t="s">
        <v>398</v>
      </c>
      <c r="H3179">
        <v>3</v>
      </c>
      <c r="I3179">
        <v>2026</v>
      </c>
      <c r="J3179">
        <v>3</v>
      </c>
      <c r="K3179" t="s">
        <v>87</v>
      </c>
      <c r="L3179" t="s">
        <v>14</v>
      </c>
      <c r="M3179" t="s">
        <v>8</v>
      </c>
      <c r="N3179" t="b">
        <v>0</v>
      </c>
      <c r="O3179">
        <v>0</v>
      </c>
      <c r="P3179">
        <v>1</v>
      </c>
      <c r="Q3179">
        <v>0</v>
      </c>
      <c r="R3179">
        <v>1</v>
      </c>
    </row>
    <row r="3180" spans="1:18" x14ac:dyDescent="0.25">
      <c r="A3180" t="s">
        <v>13</v>
      </c>
      <c r="B3180" t="s">
        <v>8</v>
      </c>
      <c r="C3180">
        <v>1</v>
      </c>
      <c r="D3180">
        <v>1</v>
      </c>
      <c r="E3180">
        <v>2</v>
      </c>
      <c r="F3180" s="15">
        <v>46083</v>
      </c>
      <c r="G3180" t="s">
        <v>393</v>
      </c>
      <c r="H3180">
        <v>3</v>
      </c>
      <c r="I3180">
        <v>2026</v>
      </c>
      <c r="J3180">
        <v>3</v>
      </c>
      <c r="K3180" t="s">
        <v>87</v>
      </c>
      <c r="L3180" t="s">
        <v>12</v>
      </c>
      <c r="M3180" t="s">
        <v>6</v>
      </c>
      <c r="N3180" t="b">
        <v>0</v>
      </c>
      <c r="O3180">
        <v>1</v>
      </c>
      <c r="P3180">
        <v>0</v>
      </c>
      <c r="Q3180">
        <v>0</v>
      </c>
      <c r="R3180">
        <v>0</v>
      </c>
    </row>
    <row r="3181" spans="1:18" x14ac:dyDescent="0.25">
      <c r="A3181" t="s">
        <v>13</v>
      </c>
      <c r="B3181" t="s">
        <v>8</v>
      </c>
      <c r="C3181">
        <v>1</v>
      </c>
      <c r="D3181">
        <v>1</v>
      </c>
      <c r="E3181">
        <v>2</v>
      </c>
      <c r="F3181" s="15">
        <v>46083</v>
      </c>
      <c r="G3181" t="s">
        <v>393</v>
      </c>
      <c r="H3181">
        <v>3</v>
      </c>
      <c r="I3181">
        <v>2026</v>
      </c>
      <c r="J3181">
        <v>3</v>
      </c>
      <c r="K3181" t="s">
        <v>87</v>
      </c>
      <c r="L3181" t="s">
        <v>11</v>
      </c>
      <c r="M3181" t="s">
        <v>6</v>
      </c>
      <c r="N3181" t="b">
        <v>0</v>
      </c>
      <c r="O3181">
        <v>1</v>
      </c>
      <c r="P3181">
        <v>0</v>
      </c>
      <c r="Q3181">
        <v>0</v>
      </c>
      <c r="R3181">
        <v>0</v>
      </c>
    </row>
    <row r="3182" spans="1:18" x14ac:dyDescent="0.25">
      <c r="A3182" t="s">
        <v>12</v>
      </c>
      <c r="B3182" t="s">
        <v>6</v>
      </c>
      <c r="C3182">
        <v>2</v>
      </c>
      <c r="D3182">
        <v>1</v>
      </c>
      <c r="E3182">
        <v>2</v>
      </c>
      <c r="F3182" s="15">
        <v>46083</v>
      </c>
      <c r="G3182" t="s">
        <v>393</v>
      </c>
      <c r="H3182">
        <v>3</v>
      </c>
      <c r="I3182">
        <v>2026</v>
      </c>
      <c r="J3182">
        <v>3</v>
      </c>
      <c r="K3182" t="s">
        <v>87</v>
      </c>
      <c r="L3182" t="s">
        <v>13</v>
      </c>
      <c r="M3182" t="s">
        <v>8</v>
      </c>
      <c r="N3182" t="b">
        <v>0</v>
      </c>
      <c r="O3182">
        <v>0</v>
      </c>
      <c r="P3182">
        <v>1</v>
      </c>
      <c r="Q3182">
        <v>0</v>
      </c>
      <c r="R3182">
        <v>1</v>
      </c>
    </row>
    <row r="3183" spans="1:18" x14ac:dyDescent="0.25">
      <c r="A3183" t="s">
        <v>12</v>
      </c>
      <c r="B3183" t="s">
        <v>6</v>
      </c>
      <c r="C3183">
        <v>2</v>
      </c>
      <c r="D3183">
        <v>1</v>
      </c>
      <c r="E3183">
        <v>2</v>
      </c>
      <c r="F3183" s="15">
        <v>46083</v>
      </c>
      <c r="G3183" t="s">
        <v>393</v>
      </c>
      <c r="H3183">
        <v>3</v>
      </c>
      <c r="I3183">
        <v>2026</v>
      </c>
      <c r="J3183">
        <v>3</v>
      </c>
      <c r="K3183" t="s">
        <v>87</v>
      </c>
      <c r="L3183" t="s">
        <v>11</v>
      </c>
      <c r="M3183" t="s">
        <v>6</v>
      </c>
      <c r="N3183" t="b">
        <v>0</v>
      </c>
      <c r="O3183">
        <v>0</v>
      </c>
      <c r="P3183">
        <v>1</v>
      </c>
      <c r="Q3183">
        <v>0</v>
      </c>
      <c r="R3183">
        <v>0</v>
      </c>
    </row>
    <row r="3184" spans="1:18" x14ac:dyDescent="0.25">
      <c r="A3184" t="s">
        <v>11</v>
      </c>
      <c r="B3184" t="s">
        <v>6</v>
      </c>
      <c r="C3184">
        <v>3</v>
      </c>
      <c r="D3184">
        <v>1</v>
      </c>
      <c r="E3184">
        <v>2</v>
      </c>
      <c r="F3184" s="15">
        <v>46083</v>
      </c>
      <c r="G3184" t="s">
        <v>393</v>
      </c>
      <c r="H3184">
        <v>3</v>
      </c>
      <c r="I3184">
        <v>2026</v>
      </c>
      <c r="J3184">
        <v>3</v>
      </c>
      <c r="K3184" t="s">
        <v>87</v>
      </c>
      <c r="L3184" t="s">
        <v>13</v>
      </c>
      <c r="M3184" t="s">
        <v>8</v>
      </c>
      <c r="N3184" t="b">
        <v>0</v>
      </c>
      <c r="O3184">
        <v>0</v>
      </c>
      <c r="P3184">
        <v>1</v>
      </c>
      <c r="Q3184">
        <v>0</v>
      </c>
      <c r="R3184">
        <v>1</v>
      </c>
    </row>
    <row r="3185" spans="1:18" x14ac:dyDescent="0.25">
      <c r="A3185" t="s">
        <v>11</v>
      </c>
      <c r="B3185" t="s">
        <v>6</v>
      </c>
      <c r="C3185">
        <v>3</v>
      </c>
      <c r="D3185">
        <v>1</v>
      </c>
      <c r="E3185">
        <v>2</v>
      </c>
      <c r="F3185" s="15">
        <v>46083</v>
      </c>
      <c r="G3185" t="s">
        <v>393</v>
      </c>
      <c r="H3185">
        <v>3</v>
      </c>
      <c r="I3185">
        <v>2026</v>
      </c>
      <c r="J3185">
        <v>3</v>
      </c>
      <c r="K3185" t="s">
        <v>87</v>
      </c>
      <c r="L3185" t="s">
        <v>12</v>
      </c>
      <c r="M3185" t="s">
        <v>6</v>
      </c>
      <c r="N3185" t="b">
        <v>0</v>
      </c>
      <c r="O3185">
        <v>0</v>
      </c>
      <c r="P3185">
        <v>1</v>
      </c>
      <c r="Q3185">
        <v>0</v>
      </c>
      <c r="R3185">
        <v>0</v>
      </c>
    </row>
    <row r="3186" spans="1:18" x14ac:dyDescent="0.25">
      <c r="A3186" t="s">
        <v>16</v>
      </c>
      <c r="B3186" t="s">
        <v>6</v>
      </c>
      <c r="C3186">
        <v>1</v>
      </c>
      <c r="D3186">
        <v>2</v>
      </c>
      <c r="E3186">
        <v>2</v>
      </c>
      <c r="F3186" s="15">
        <v>46083</v>
      </c>
      <c r="G3186" t="s">
        <v>394</v>
      </c>
      <c r="H3186">
        <v>4</v>
      </c>
      <c r="I3186">
        <v>2026</v>
      </c>
      <c r="J3186">
        <v>3</v>
      </c>
      <c r="K3186" t="s">
        <v>87</v>
      </c>
      <c r="L3186" t="s">
        <v>7</v>
      </c>
      <c r="M3186" t="s">
        <v>6</v>
      </c>
      <c r="N3186" t="b">
        <v>0</v>
      </c>
      <c r="O3186">
        <v>0</v>
      </c>
      <c r="P3186">
        <v>1</v>
      </c>
      <c r="Q3186">
        <v>0</v>
      </c>
      <c r="R3186">
        <v>0</v>
      </c>
    </row>
    <row r="3187" spans="1:18" x14ac:dyDescent="0.25">
      <c r="A3187" t="s">
        <v>16</v>
      </c>
      <c r="B3187" t="s">
        <v>6</v>
      </c>
      <c r="C3187">
        <v>1</v>
      </c>
      <c r="D3187">
        <v>2</v>
      </c>
      <c r="E3187">
        <v>2</v>
      </c>
      <c r="F3187" s="15">
        <v>46083</v>
      </c>
      <c r="G3187" t="s">
        <v>394</v>
      </c>
      <c r="H3187">
        <v>4</v>
      </c>
      <c r="I3187">
        <v>2026</v>
      </c>
      <c r="J3187">
        <v>3</v>
      </c>
      <c r="K3187" t="s">
        <v>87</v>
      </c>
      <c r="L3187" t="s">
        <v>19</v>
      </c>
      <c r="M3187" t="s">
        <v>6</v>
      </c>
      <c r="N3187" t="b">
        <v>0</v>
      </c>
      <c r="O3187">
        <v>0</v>
      </c>
      <c r="P3187">
        <v>1</v>
      </c>
      <c r="Q3187">
        <v>0</v>
      </c>
      <c r="R3187">
        <v>0</v>
      </c>
    </row>
    <row r="3188" spans="1:18" x14ac:dyDescent="0.25">
      <c r="A3188" t="s">
        <v>16</v>
      </c>
      <c r="B3188" t="s">
        <v>6</v>
      </c>
      <c r="C3188">
        <v>1</v>
      </c>
      <c r="D3188">
        <v>2</v>
      </c>
      <c r="E3188">
        <v>2</v>
      </c>
      <c r="F3188" s="15">
        <v>46083</v>
      </c>
      <c r="G3188" t="s">
        <v>394</v>
      </c>
      <c r="H3188">
        <v>4</v>
      </c>
      <c r="I3188">
        <v>2026</v>
      </c>
      <c r="J3188">
        <v>3</v>
      </c>
      <c r="K3188" t="s">
        <v>87</v>
      </c>
      <c r="L3188" t="s">
        <v>322</v>
      </c>
      <c r="M3188" t="s">
        <v>8</v>
      </c>
      <c r="N3188" t="b">
        <v>0</v>
      </c>
      <c r="O3188">
        <v>0</v>
      </c>
      <c r="P3188">
        <v>1</v>
      </c>
      <c r="Q3188">
        <v>0</v>
      </c>
      <c r="R3188">
        <v>1</v>
      </c>
    </row>
    <row r="3189" spans="1:18" x14ac:dyDescent="0.25">
      <c r="A3189" t="s">
        <v>7</v>
      </c>
      <c r="B3189" t="s">
        <v>6</v>
      </c>
      <c r="C3189">
        <v>2</v>
      </c>
      <c r="D3189">
        <v>2</v>
      </c>
      <c r="E3189">
        <v>2</v>
      </c>
      <c r="F3189" s="15">
        <v>46083</v>
      </c>
      <c r="G3189" t="s">
        <v>394</v>
      </c>
      <c r="H3189">
        <v>4</v>
      </c>
      <c r="I3189">
        <v>2026</v>
      </c>
      <c r="J3189">
        <v>3</v>
      </c>
      <c r="K3189" t="s">
        <v>87</v>
      </c>
      <c r="L3189" t="s">
        <v>16</v>
      </c>
      <c r="M3189" t="s">
        <v>6</v>
      </c>
      <c r="N3189" t="b">
        <v>0</v>
      </c>
      <c r="O3189">
        <v>0</v>
      </c>
      <c r="P3189">
        <v>1</v>
      </c>
      <c r="Q3189">
        <v>0</v>
      </c>
      <c r="R3189">
        <v>0</v>
      </c>
    </row>
    <row r="3190" spans="1:18" x14ac:dyDescent="0.25">
      <c r="A3190" t="s">
        <v>7</v>
      </c>
      <c r="B3190" t="s">
        <v>6</v>
      </c>
      <c r="C3190">
        <v>2</v>
      </c>
      <c r="D3190">
        <v>2</v>
      </c>
      <c r="E3190">
        <v>2</v>
      </c>
      <c r="F3190" s="15">
        <v>46083</v>
      </c>
      <c r="G3190" t="s">
        <v>394</v>
      </c>
      <c r="H3190">
        <v>4</v>
      </c>
      <c r="I3190">
        <v>2026</v>
      </c>
      <c r="J3190">
        <v>3</v>
      </c>
      <c r="K3190" t="s">
        <v>87</v>
      </c>
      <c r="L3190" t="s">
        <v>19</v>
      </c>
      <c r="M3190" t="s">
        <v>6</v>
      </c>
      <c r="N3190" t="b">
        <v>0</v>
      </c>
      <c r="O3190">
        <v>0</v>
      </c>
      <c r="P3190">
        <v>1</v>
      </c>
      <c r="Q3190">
        <v>0</v>
      </c>
      <c r="R3190">
        <v>0</v>
      </c>
    </row>
    <row r="3191" spans="1:18" x14ac:dyDescent="0.25">
      <c r="A3191" t="s">
        <v>7</v>
      </c>
      <c r="B3191" t="s">
        <v>6</v>
      </c>
      <c r="C3191">
        <v>2</v>
      </c>
      <c r="D3191">
        <v>2</v>
      </c>
      <c r="E3191">
        <v>2</v>
      </c>
      <c r="F3191" s="15">
        <v>46083</v>
      </c>
      <c r="G3191" t="s">
        <v>394</v>
      </c>
      <c r="H3191">
        <v>4</v>
      </c>
      <c r="I3191">
        <v>2026</v>
      </c>
      <c r="J3191">
        <v>3</v>
      </c>
      <c r="K3191" t="s">
        <v>87</v>
      </c>
      <c r="L3191" t="s">
        <v>322</v>
      </c>
      <c r="M3191" t="s">
        <v>8</v>
      </c>
      <c r="N3191" t="b">
        <v>0</v>
      </c>
      <c r="O3191">
        <v>0</v>
      </c>
      <c r="P3191">
        <v>1</v>
      </c>
      <c r="Q3191">
        <v>0</v>
      </c>
      <c r="R3191">
        <v>1</v>
      </c>
    </row>
    <row r="3192" spans="1:18" x14ac:dyDescent="0.25">
      <c r="A3192" t="s">
        <v>19</v>
      </c>
      <c r="B3192" t="s">
        <v>6</v>
      </c>
      <c r="C3192">
        <v>3</v>
      </c>
      <c r="D3192">
        <v>2</v>
      </c>
      <c r="E3192">
        <v>2</v>
      </c>
      <c r="F3192" s="15">
        <v>46083</v>
      </c>
      <c r="G3192" t="s">
        <v>394</v>
      </c>
      <c r="H3192">
        <v>4</v>
      </c>
      <c r="I3192">
        <v>2026</v>
      </c>
      <c r="J3192">
        <v>3</v>
      </c>
      <c r="K3192" t="s">
        <v>87</v>
      </c>
      <c r="L3192" t="s">
        <v>16</v>
      </c>
      <c r="M3192" t="s">
        <v>6</v>
      </c>
      <c r="N3192" t="b">
        <v>0</v>
      </c>
      <c r="O3192">
        <v>0</v>
      </c>
      <c r="P3192">
        <v>1</v>
      </c>
      <c r="Q3192">
        <v>0</v>
      </c>
      <c r="R3192">
        <v>0</v>
      </c>
    </row>
    <row r="3193" spans="1:18" x14ac:dyDescent="0.25">
      <c r="A3193" t="s">
        <v>19</v>
      </c>
      <c r="B3193" t="s">
        <v>6</v>
      </c>
      <c r="C3193">
        <v>3</v>
      </c>
      <c r="D3193">
        <v>2</v>
      </c>
      <c r="E3193">
        <v>2</v>
      </c>
      <c r="F3193" s="15">
        <v>46083</v>
      </c>
      <c r="G3193" t="s">
        <v>394</v>
      </c>
      <c r="H3193">
        <v>4</v>
      </c>
      <c r="I3193">
        <v>2026</v>
      </c>
      <c r="J3193">
        <v>3</v>
      </c>
      <c r="K3193" t="s">
        <v>87</v>
      </c>
      <c r="L3193" t="s">
        <v>7</v>
      </c>
      <c r="M3193" t="s">
        <v>6</v>
      </c>
      <c r="N3193" t="b">
        <v>0</v>
      </c>
      <c r="O3193">
        <v>0</v>
      </c>
      <c r="P3193">
        <v>1</v>
      </c>
      <c r="Q3193">
        <v>0</v>
      </c>
      <c r="R3193">
        <v>0</v>
      </c>
    </row>
    <row r="3194" spans="1:18" x14ac:dyDescent="0.25">
      <c r="A3194" t="s">
        <v>19</v>
      </c>
      <c r="B3194" t="s">
        <v>6</v>
      </c>
      <c r="C3194">
        <v>3</v>
      </c>
      <c r="D3194">
        <v>2</v>
      </c>
      <c r="E3194">
        <v>2</v>
      </c>
      <c r="F3194" s="15">
        <v>46083</v>
      </c>
      <c r="G3194" t="s">
        <v>394</v>
      </c>
      <c r="H3194">
        <v>4</v>
      </c>
      <c r="I3194">
        <v>2026</v>
      </c>
      <c r="J3194">
        <v>3</v>
      </c>
      <c r="K3194" t="s">
        <v>87</v>
      </c>
      <c r="L3194" t="s">
        <v>322</v>
      </c>
      <c r="M3194" t="s">
        <v>8</v>
      </c>
      <c r="N3194" t="b">
        <v>0</v>
      </c>
      <c r="O3194">
        <v>0</v>
      </c>
      <c r="P3194">
        <v>1</v>
      </c>
      <c r="Q3194">
        <v>0</v>
      </c>
      <c r="R3194">
        <v>1</v>
      </c>
    </row>
    <row r="3195" spans="1:18" x14ac:dyDescent="0.25">
      <c r="A3195" t="s">
        <v>322</v>
      </c>
      <c r="B3195" t="s">
        <v>8</v>
      </c>
      <c r="C3195">
        <v>4</v>
      </c>
      <c r="D3195">
        <v>2</v>
      </c>
      <c r="E3195">
        <v>2</v>
      </c>
      <c r="F3195" s="15">
        <v>46083</v>
      </c>
      <c r="G3195" t="s">
        <v>394</v>
      </c>
      <c r="H3195">
        <v>4</v>
      </c>
      <c r="I3195">
        <v>2026</v>
      </c>
      <c r="J3195">
        <v>3</v>
      </c>
      <c r="K3195" t="s">
        <v>87</v>
      </c>
      <c r="L3195" t="s">
        <v>16</v>
      </c>
      <c r="M3195" t="s">
        <v>6</v>
      </c>
      <c r="N3195" t="b">
        <v>0</v>
      </c>
      <c r="O3195">
        <v>1</v>
      </c>
      <c r="P3195">
        <v>0</v>
      </c>
      <c r="Q3195">
        <v>0</v>
      </c>
      <c r="R3195">
        <v>0</v>
      </c>
    </row>
    <row r="3196" spans="1:18" x14ac:dyDescent="0.25">
      <c r="A3196" t="s">
        <v>322</v>
      </c>
      <c r="B3196" t="s">
        <v>8</v>
      </c>
      <c r="C3196">
        <v>4</v>
      </c>
      <c r="D3196">
        <v>2</v>
      </c>
      <c r="E3196">
        <v>2</v>
      </c>
      <c r="F3196" s="15">
        <v>46083</v>
      </c>
      <c r="G3196" t="s">
        <v>394</v>
      </c>
      <c r="H3196">
        <v>4</v>
      </c>
      <c r="I3196">
        <v>2026</v>
      </c>
      <c r="J3196">
        <v>3</v>
      </c>
      <c r="K3196" t="s">
        <v>87</v>
      </c>
      <c r="L3196" t="s">
        <v>7</v>
      </c>
      <c r="M3196" t="s">
        <v>6</v>
      </c>
      <c r="N3196" t="b">
        <v>0</v>
      </c>
      <c r="O3196">
        <v>1</v>
      </c>
      <c r="P3196">
        <v>0</v>
      </c>
      <c r="Q3196">
        <v>0</v>
      </c>
      <c r="R3196">
        <v>0</v>
      </c>
    </row>
    <row r="3197" spans="1:18" x14ac:dyDescent="0.25">
      <c r="A3197" t="s">
        <v>322</v>
      </c>
      <c r="B3197" t="s">
        <v>8</v>
      </c>
      <c r="C3197">
        <v>4</v>
      </c>
      <c r="D3197">
        <v>2</v>
      </c>
      <c r="E3197">
        <v>2</v>
      </c>
      <c r="F3197" s="15">
        <v>46083</v>
      </c>
      <c r="G3197" t="s">
        <v>394</v>
      </c>
      <c r="H3197">
        <v>4</v>
      </c>
      <c r="I3197">
        <v>2026</v>
      </c>
      <c r="J3197">
        <v>3</v>
      </c>
      <c r="K3197" t="s">
        <v>87</v>
      </c>
      <c r="L3197" t="s">
        <v>19</v>
      </c>
      <c r="M3197" t="s">
        <v>6</v>
      </c>
      <c r="N3197" t="b">
        <v>0</v>
      </c>
      <c r="O3197">
        <v>1</v>
      </c>
      <c r="P3197">
        <v>0</v>
      </c>
      <c r="Q3197">
        <v>0</v>
      </c>
      <c r="R3197">
        <v>0</v>
      </c>
    </row>
    <row r="3198" spans="1:18" x14ac:dyDescent="0.25">
      <c r="A3198" t="s">
        <v>52</v>
      </c>
      <c r="B3198" t="s">
        <v>6</v>
      </c>
      <c r="C3198">
        <v>1</v>
      </c>
      <c r="D3198">
        <v>3</v>
      </c>
      <c r="E3198">
        <v>2</v>
      </c>
      <c r="F3198" s="15">
        <v>46083</v>
      </c>
      <c r="G3198" t="s">
        <v>395</v>
      </c>
      <c r="H3198">
        <v>4</v>
      </c>
      <c r="I3198">
        <v>2026</v>
      </c>
      <c r="J3198">
        <v>3</v>
      </c>
      <c r="K3198" t="s">
        <v>87</v>
      </c>
      <c r="L3198" t="s">
        <v>364</v>
      </c>
      <c r="M3198" t="s">
        <v>6</v>
      </c>
      <c r="N3198" t="b">
        <v>0</v>
      </c>
      <c r="O3198">
        <v>0</v>
      </c>
      <c r="P3198">
        <v>1</v>
      </c>
      <c r="Q3198">
        <v>0</v>
      </c>
      <c r="R3198">
        <v>0</v>
      </c>
    </row>
    <row r="3199" spans="1:18" x14ac:dyDescent="0.25">
      <c r="A3199" t="s">
        <v>52</v>
      </c>
      <c r="B3199" t="s">
        <v>6</v>
      </c>
      <c r="C3199">
        <v>1</v>
      </c>
      <c r="D3199">
        <v>3</v>
      </c>
      <c r="E3199">
        <v>2</v>
      </c>
      <c r="F3199" s="15">
        <v>46083</v>
      </c>
      <c r="G3199" t="s">
        <v>395</v>
      </c>
      <c r="H3199">
        <v>4</v>
      </c>
      <c r="I3199">
        <v>2026</v>
      </c>
      <c r="J3199">
        <v>3</v>
      </c>
      <c r="K3199" t="s">
        <v>87</v>
      </c>
      <c r="L3199" t="s">
        <v>351</v>
      </c>
      <c r="M3199" t="s">
        <v>6</v>
      </c>
      <c r="N3199" t="b">
        <v>0</v>
      </c>
      <c r="O3199">
        <v>0</v>
      </c>
      <c r="P3199">
        <v>1</v>
      </c>
      <c r="Q3199">
        <v>0</v>
      </c>
      <c r="R3199">
        <v>0</v>
      </c>
    </row>
    <row r="3200" spans="1:18" x14ac:dyDescent="0.25">
      <c r="A3200" t="s">
        <v>52</v>
      </c>
      <c r="B3200" t="s">
        <v>6</v>
      </c>
      <c r="C3200">
        <v>1</v>
      </c>
      <c r="D3200">
        <v>3</v>
      </c>
      <c r="E3200">
        <v>2</v>
      </c>
      <c r="F3200" s="15">
        <v>46083</v>
      </c>
      <c r="G3200" t="s">
        <v>395</v>
      </c>
      <c r="H3200">
        <v>4</v>
      </c>
      <c r="I3200">
        <v>2026</v>
      </c>
      <c r="J3200">
        <v>3</v>
      </c>
      <c r="K3200" t="s">
        <v>87</v>
      </c>
      <c r="L3200" t="s">
        <v>10</v>
      </c>
      <c r="M3200" t="s">
        <v>8</v>
      </c>
      <c r="N3200" t="b">
        <v>0</v>
      </c>
      <c r="O3200">
        <v>0</v>
      </c>
      <c r="P3200">
        <v>1</v>
      </c>
      <c r="Q3200">
        <v>0</v>
      </c>
      <c r="R3200">
        <v>1</v>
      </c>
    </row>
    <row r="3201" spans="1:18" x14ac:dyDescent="0.25">
      <c r="A3201" t="s">
        <v>364</v>
      </c>
      <c r="B3201" t="s">
        <v>6</v>
      </c>
      <c r="C3201">
        <v>2</v>
      </c>
      <c r="D3201">
        <v>3</v>
      </c>
      <c r="E3201">
        <v>2</v>
      </c>
      <c r="F3201" s="15">
        <v>46083</v>
      </c>
      <c r="G3201" t="s">
        <v>395</v>
      </c>
      <c r="H3201">
        <v>4</v>
      </c>
      <c r="I3201">
        <v>2026</v>
      </c>
      <c r="J3201">
        <v>3</v>
      </c>
      <c r="K3201" t="s">
        <v>87</v>
      </c>
      <c r="L3201" t="s">
        <v>52</v>
      </c>
      <c r="M3201" t="s">
        <v>6</v>
      </c>
      <c r="N3201" t="b">
        <v>0</v>
      </c>
      <c r="O3201">
        <v>0</v>
      </c>
      <c r="P3201">
        <v>1</v>
      </c>
      <c r="Q3201">
        <v>0</v>
      </c>
      <c r="R3201">
        <v>0</v>
      </c>
    </row>
    <row r="3202" spans="1:18" x14ac:dyDescent="0.25">
      <c r="A3202" t="s">
        <v>364</v>
      </c>
      <c r="B3202" t="s">
        <v>6</v>
      </c>
      <c r="C3202">
        <v>2</v>
      </c>
      <c r="D3202">
        <v>3</v>
      </c>
      <c r="E3202">
        <v>2</v>
      </c>
      <c r="F3202" s="15">
        <v>46083</v>
      </c>
      <c r="G3202" t="s">
        <v>395</v>
      </c>
      <c r="H3202">
        <v>4</v>
      </c>
      <c r="I3202">
        <v>2026</v>
      </c>
      <c r="J3202">
        <v>3</v>
      </c>
      <c r="K3202" t="s">
        <v>87</v>
      </c>
      <c r="L3202" t="s">
        <v>351</v>
      </c>
      <c r="M3202" t="s">
        <v>6</v>
      </c>
      <c r="N3202" t="b">
        <v>0</v>
      </c>
      <c r="O3202">
        <v>0</v>
      </c>
      <c r="P3202">
        <v>1</v>
      </c>
      <c r="Q3202">
        <v>0</v>
      </c>
      <c r="R3202">
        <v>0</v>
      </c>
    </row>
    <row r="3203" spans="1:18" x14ac:dyDescent="0.25">
      <c r="A3203" t="s">
        <v>364</v>
      </c>
      <c r="B3203" t="s">
        <v>6</v>
      </c>
      <c r="C3203">
        <v>2</v>
      </c>
      <c r="D3203">
        <v>3</v>
      </c>
      <c r="E3203">
        <v>2</v>
      </c>
      <c r="F3203" s="15">
        <v>46083</v>
      </c>
      <c r="G3203" t="s">
        <v>395</v>
      </c>
      <c r="H3203">
        <v>4</v>
      </c>
      <c r="I3203">
        <v>2026</v>
      </c>
      <c r="J3203">
        <v>3</v>
      </c>
      <c r="K3203" t="s">
        <v>87</v>
      </c>
      <c r="L3203" t="s">
        <v>10</v>
      </c>
      <c r="M3203" t="s">
        <v>8</v>
      </c>
      <c r="N3203" t="b">
        <v>0</v>
      </c>
      <c r="O3203">
        <v>0</v>
      </c>
      <c r="P3203">
        <v>1</v>
      </c>
      <c r="Q3203">
        <v>0</v>
      </c>
      <c r="R3203">
        <v>1</v>
      </c>
    </row>
    <row r="3204" spans="1:18" x14ac:dyDescent="0.25">
      <c r="A3204" t="s">
        <v>351</v>
      </c>
      <c r="B3204" t="s">
        <v>6</v>
      </c>
      <c r="C3204">
        <v>3</v>
      </c>
      <c r="D3204">
        <v>3</v>
      </c>
      <c r="E3204">
        <v>2</v>
      </c>
      <c r="F3204" s="15">
        <v>46083</v>
      </c>
      <c r="G3204" t="s">
        <v>395</v>
      </c>
      <c r="H3204">
        <v>4</v>
      </c>
      <c r="I3204">
        <v>2026</v>
      </c>
      <c r="J3204">
        <v>3</v>
      </c>
      <c r="K3204" t="s">
        <v>87</v>
      </c>
      <c r="L3204" t="s">
        <v>52</v>
      </c>
      <c r="M3204" t="s">
        <v>6</v>
      </c>
      <c r="N3204" t="b">
        <v>0</v>
      </c>
      <c r="O3204">
        <v>0</v>
      </c>
      <c r="P3204">
        <v>1</v>
      </c>
      <c r="Q3204">
        <v>0</v>
      </c>
      <c r="R3204">
        <v>0</v>
      </c>
    </row>
    <row r="3205" spans="1:18" x14ac:dyDescent="0.25">
      <c r="A3205" t="s">
        <v>351</v>
      </c>
      <c r="B3205" t="s">
        <v>6</v>
      </c>
      <c r="C3205">
        <v>3</v>
      </c>
      <c r="D3205">
        <v>3</v>
      </c>
      <c r="E3205">
        <v>2</v>
      </c>
      <c r="F3205" s="15">
        <v>46083</v>
      </c>
      <c r="G3205" t="s">
        <v>395</v>
      </c>
      <c r="H3205">
        <v>4</v>
      </c>
      <c r="I3205">
        <v>2026</v>
      </c>
      <c r="J3205">
        <v>3</v>
      </c>
      <c r="K3205" t="s">
        <v>87</v>
      </c>
      <c r="L3205" t="s">
        <v>364</v>
      </c>
      <c r="M3205" t="s">
        <v>6</v>
      </c>
      <c r="N3205" t="b">
        <v>0</v>
      </c>
      <c r="O3205">
        <v>0</v>
      </c>
      <c r="P3205">
        <v>1</v>
      </c>
      <c r="Q3205">
        <v>0</v>
      </c>
      <c r="R3205">
        <v>0</v>
      </c>
    </row>
    <row r="3206" spans="1:18" x14ac:dyDescent="0.25">
      <c r="A3206" t="s">
        <v>351</v>
      </c>
      <c r="B3206" t="s">
        <v>6</v>
      </c>
      <c r="C3206">
        <v>3</v>
      </c>
      <c r="D3206">
        <v>3</v>
      </c>
      <c r="E3206">
        <v>2</v>
      </c>
      <c r="F3206" s="15">
        <v>46083</v>
      </c>
      <c r="G3206" t="s">
        <v>395</v>
      </c>
      <c r="H3206">
        <v>4</v>
      </c>
      <c r="I3206">
        <v>2026</v>
      </c>
      <c r="J3206">
        <v>3</v>
      </c>
      <c r="K3206" t="s">
        <v>87</v>
      </c>
      <c r="L3206" t="s">
        <v>10</v>
      </c>
      <c r="M3206" t="s">
        <v>8</v>
      </c>
      <c r="N3206" t="b">
        <v>0</v>
      </c>
      <c r="O3206">
        <v>0</v>
      </c>
      <c r="P3206">
        <v>1</v>
      </c>
      <c r="Q3206">
        <v>0</v>
      </c>
      <c r="R3206">
        <v>1</v>
      </c>
    </row>
    <row r="3207" spans="1:18" x14ac:dyDescent="0.25">
      <c r="A3207" t="s">
        <v>10</v>
      </c>
      <c r="B3207" t="s">
        <v>8</v>
      </c>
      <c r="C3207">
        <v>4</v>
      </c>
      <c r="D3207">
        <v>3</v>
      </c>
      <c r="E3207">
        <v>2</v>
      </c>
      <c r="F3207" s="15">
        <v>46083</v>
      </c>
      <c r="G3207" t="s">
        <v>395</v>
      </c>
      <c r="H3207">
        <v>4</v>
      </c>
      <c r="I3207">
        <v>2026</v>
      </c>
      <c r="J3207">
        <v>3</v>
      </c>
      <c r="K3207" t="s">
        <v>87</v>
      </c>
      <c r="L3207" t="s">
        <v>52</v>
      </c>
      <c r="M3207" t="s">
        <v>6</v>
      </c>
      <c r="N3207" t="b">
        <v>0</v>
      </c>
      <c r="O3207">
        <v>1</v>
      </c>
      <c r="P3207">
        <v>0</v>
      </c>
      <c r="Q3207">
        <v>0</v>
      </c>
      <c r="R3207">
        <v>0</v>
      </c>
    </row>
    <row r="3208" spans="1:18" x14ac:dyDescent="0.25">
      <c r="A3208" t="s">
        <v>10</v>
      </c>
      <c r="B3208" t="s">
        <v>8</v>
      </c>
      <c r="C3208">
        <v>4</v>
      </c>
      <c r="D3208">
        <v>3</v>
      </c>
      <c r="E3208">
        <v>2</v>
      </c>
      <c r="F3208" s="15">
        <v>46083</v>
      </c>
      <c r="G3208" t="s">
        <v>395</v>
      </c>
      <c r="H3208">
        <v>4</v>
      </c>
      <c r="I3208">
        <v>2026</v>
      </c>
      <c r="J3208">
        <v>3</v>
      </c>
      <c r="K3208" t="s">
        <v>87</v>
      </c>
      <c r="L3208" t="s">
        <v>364</v>
      </c>
      <c r="M3208" t="s">
        <v>6</v>
      </c>
      <c r="N3208" t="b">
        <v>0</v>
      </c>
      <c r="O3208">
        <v>1</v>
      </c>
      <c r="P3208">
        <v>0</v>
      </c>
      <c r="Q3208">
        <v>0</v>
      </c>
      <c r="R3208">
        <v>0</v>
      </c>
    </row>
    <row r="3209" spans="1:18" x14ac:dyDescent="0.25">
      <c r="A3209" t="s">
        <v>10</v>
      </c>
      <c r="B3209" t="s">
        <v>8</v>
      </c>
      <c r="C3209">
        <v>4</v>
      </c>
      <c r="D3209">
        <v>3</v>
      </c>
      <c r="E3209">
        <v>2</v>
      </c>
      <c r="F3209" s="15">
        <v>46083</v>
      </c>
      <c r="G3209" t="s">
        <v>395</v>
      </c>
      <c r="H3209">
        <v>4</v>
      </c>
      <c r="I3209">
        <v>2026</v>
      </c>
      <c r="J3209">
        <v>3</v>
      </c>
      <c r="K3209" t="s">
        <v>87</v>
      </c>
      <c r="L3209" t="s">
        <v>351</v>
      </c>
      <c r="M3209" t="s">
        <v>6</v>
      </c>
      <c r="N3209" t="b">
        <v>0</v>
      </c>
      <c r="O3209">
        <v>1</v>
      </c>
      <c r="P3209">
        <v>0</v>
      </c>
      <c r="Q3209">
        <v>0</v>
      </c>
      <c r="R3209">
        <v>0</v>
      </c>
    </row>
    <row r="3210" spans="1:18" x14ac:dyDescent="0.25">
      <c r="A3210" t="s">
        <v>352</v>
      </c>
      <c r="B3210" t="s">
        <v>63</v>
      </c>
      <c r="C3210">
        <v>1</v>
      </c>
      <c r="D3210">
        <v>4</v>
      </c>
      <c r="E3210">
        <v>2</v>
      </c>
      <c r="F3210" s="15">
        <v>46083</v>
      </c>
      <c r="G3210" t="s">
        <v>396</v>
      </c>
      <c r="H3210">
        <v>4</v>
      </c>
      <c r="I3210">
        <v>2026</v>
      </c>
      <c r="J3210">
        <v>3</v>
      </c>
      <c r="K3210" t="s">
        <v>87</v>
      </c>
      <c r="L3210" t="s">
        <v>51</v>
      </c>
      <c r="M3210" t="s">
        <v>63</v>
      </c>
      <c r="N3210" t="b">
        <v>0</v>
      </c>
      <c r="O3210">
        <v>0</v>
      </c>
      <c r="P3210">
        <v>0</v>
      </c>
      <c r="Q3210">
        <v>1</v>
      </c>
      <c r="R3210">
        <v>0</v>
      </c>
    </row>
    <row r="3211" spans="1:18" x14ac:dyDescent="0.25">
      <c r="A3211" t="s">
        <v>352</v>
      </c>
      <c r="B3211" t="s">
        <v>63</v>
      </c>
      <c r="C3211">
        <v>1</v>
      </c>
      <c r="D3211">
        <v>4</v>
      </c>
      <c r="E3211">
        <v>2</v>
      </c>
      <c r="F3211" s="15">
        <v>46083</v>
      </c>
      <c r="G3211" t="s">
        <v>396</v>
      </c>
      <c r="H3211">
        <v>4</v>
      </c>
      <c r="I3211">
        <v>2026</v>
      </c>
      <c r="J3211">
        <v>3</v>
      </c>
      <c r="K3211" t="s">
        <v>87</v>
      </c>
      <c r="L3211" t="s">
        <v>326</v>
      </c>
      <c r="M3211" t="s">
        <v>63</v>
      </c>
      <c r="N3211" t="b">
        <v>0</v>
      </c>
      <c r="O3211">
        <v>0</v>
      </c>
      <c r="P3211">
        <v>0</v>
      </c>
      <c r="Q3211">
        <v>1</v>
      </c>
      <c r="R3211">
        <v>0</v>
      </c>
    </row>
    <row r="3212" spans="1:18" x14ac:dyDescent="0.25">
      <c r="A3212" t="s">
        <v>352</v>
      </c>
      <c r="B3212" t="s">
        <v>63</v>
      </c>
      <c r="C3212">
        <v>1</v>
      </c>
      <c r="D3212">
        <v>4</v>
      </c>
      <c r="E3212">
        <v>2</v>
      </c>
      <c r="F3212" s="15">
        <v>46083</v>
      </c>
      <c r="G3212" t="s">
        <v>396</v>
      </c>
      <c r="H3212">
        <v>4</v>
      </c>
      <c r="I3212">
        <v>2026</v>
      </c>
      <c r="J3212">
        <v>3</v>
      </c>
      <c r="K3212" t="s">
        <v>87</v>
      </c>
      <c r="L3212" t="s">
        <v>321</v>
      </c>
      <c r="M3212" t="s">
        <v>63</v>
      </c>
      <c r="N3212" t="b">
        <v>0</v>
      </c>
      <c r="O3212">
        <v>0</v>
      </c>
      <c r="P3212">
        <v>0</v>
      </c>
      <c r="Q3212">
        <v>1</v>
      </c>
      <c r="R3212">
        <v>0</v>
      </c>
    </row>
    <row r="3213" spans="1:18" x14ac:dyDescent="0.25">
      <c r="A3213" t="s">
        <v>51</v>
      </c>
      <c r="B3213" t="s">
        <v>63</v>
      </c>
      <c r="C3213">
        <v>2</v>
      </c>
      <c r="D3213">
        <v>4</v>
      </c>
      <c r="E3213">
        <v>2</v>
      </c>
      <c r="F3213" s="15">
        <v>46083</v>
      </c>
      <c r="G3213" t="s">
        <v>396</v>
      </c>
      <c r="H3213">
        <v>4</v>
      </c>
      <c r="I3213">
        <v>2026</v>
      </c>
      <c r="J3213">
        <v>3</v>
      </c>
      <c r="K3213" t="s">
        <v>87</v>
      </c>
      <c r="L3213" t="s">
        <v>352</v>
      </c>
      <c r="M3213" t="s">
        <v>63</v>
      </c>
      <c r="N3213" t="b">
        <v>0</v>
      </c>
      <c r="O3213">
        <v>0</v>
      </c>
      <c r="P3213">
        <v>0</v>
      </c>
      <c r="Q3213">
        <v>1</v>
      </c>
      <c r="R3213">
        <v>0</v>
      </c>
    </row>
    <row r="3214" spans="1:18" x14ac:dyDescent="0.25">
      <c r="A3214" t="s">
        <v>51</v>
      </c>
      <c r="B3214" t="s">
        <v>63</v>
      </c>
      <c r="C3214">
        <v>2</v>
      </c>
      <c r="D3214">
        <v>4</v>
      </c>
      <c r="E3214">
        <v>2</v>
      </c>
      <c r="F3214" s="15">
        <v>46083</v>
      </c>
      <c r="G3214" t="s">
        <v>396</v>
      </c>
      <c r="H3214">
        <v>4</v>
      </c>
      <c r="I3214">
        <v>2026</v>
      </c>
      <c r="J3214">
        <v>3</v>
      </c>
      <c r="K3214" t="s">
        <v>87</v>
      </c>
      <c r="L3214" t="s">
        <v>326</v>
      </c>
      <c r="M3214" t="s">
        <v>63</v>
      </c>
      <c r="N3214" t="b">
        <v>0</v>
      </c>
      <c r="O3214">
        <v>0</v>
      </c>
      <c r="P3214">
        <v>0</v>
      </c>
      <c r="Q3214">
        <v>1</v>
      </c>
      <c r="R3214">
        <v>0</v>
      </c>
    </row>
    <row r="3215" spans="1:18" x14ac:dyDescent="0.25">
      <c r="A3215" t="s">
        <v>51</v>
      </c>
      <c r="B3215" t="s">
        <v>63</v>
      </c>
      <c r="C3215">
        <v>2</v>
      </c>
      <c r="D3215">
        <v>4</v>
      </c>
      <c r="E3215">
        <v>2</v>
      </c>
      <c r="F3215" s="15">
        <v>46083</v>
      </c>
      <c r="G3215" t="s">
        <v>396</v>
      </c>
      <c r="H3215">
        <v>4</v>
      </c>
      <c r="I3215">
        <v>2026</v>
      </c>
      <c r="J3215">
        <v>3</v>
      </c>
      <c r="K3215" t="s">
        <v>87</v>
      </c>
      <c r="L3215" t="s">
        <v>321</v>
      </c>
      <c r="M3215" t="s">
        <v>63</v>
      </c>
      <c r="N3215" t="b">
        <v>0</v>
      </c>
      <c r="O3215">
        <v>0</v>
      </c>
      <c r="P3215">
        <v>0</v>
      </c>
      <c r="Q3215">
        <v>1</v>
      </c>
      <c r="R3215">
        <v>0</v>
      </c>
    </row>
    <row r="3216" spans="1:18" x14ac:dyDescent="0.25">
      <c r="A3216" t="s">
        <v>326</v>
      </c>
      <c r="B3216" t="s">
        <v>63</v>
      </c>
      <c r="C3216">
        <v>3</v>
      </c>
      <c r="D3216">
        <v>4</v>
      </c>
      <c r="E3216">
        <v>2</v>
      </c>
      <c r="F3216" s="15">
        <v>46083</v>
      </c>
      <c r="G3216" t="s">
        <v>396</v>
      </c>
      <c r="H3216">
        <v>4</v>
      </c>
      <c r="I3216">
        <v>2026</v>
      </c>
      <c r="J3216">
        <v>3</v>
      </c>
      <c r="K3216" t="s">
        <v>87</v>
      </c>
      <c r="L3216" t="s">
        <v>352</v>
      </c>
      <c r="M3216" t="s">
        <v>63</v>
      </c>
      <c r="N3216" t="b">
        <v>0</v>
      </c>
      <c r="O3216">
        <v>0</v>
      </c>
      <c r="P3216">
        <v>0</v>
      </c>
      <c r="Q3216">
        <v>1</v>
      </c>
      <c r="R3216">
        <v>0</v>
      </c>
    </row>
    <row r="3217" spans="1:18" x14ac:dyDescent="0.25">
      <c r="A3217" t="s">
        <v>326</v>
      </c>
      <c r="B3217" t="s">
        <v>63</v>
      </c>
      <c r="C3217">
        <v>3</v>
      </c>
      <c r="D3217">
        <v>4</v>
      </c>
      <c r="E3217">
        <v>2</v>
      </c>
      <c r="F3217" s="15">
        <v>46083</v>
      </c>
      <c r="G3217" t="s">
        <v>396</v>
      </c>
      <c r="H3217">
        <v>4</v>
      </c>
      <c r="I3217">
        <v>2026</v>
      </c>
      <c r="J3217">
        <v>3</v>
      </c>
      <c r="K3217" t="s">
        <v>87</v>
      </c>
      <c r="L3217" t="s">
        <v>51</v>
      </c>
      <c r="M3217" t="s">
        <v>63</v>
      </c>
      <c r="N3217" t="b">
        <v>0</v>
      </c>
      <c r="O3217">
        <v>0</v>
      </c>
      <c r="P3217">
        <v>0</v>
      </c>
      <c r="Q3217">
        <v>1</v>
      </c>
      <c r="R3217">
        <v>0</v>
      </c>
    </row>
    <row r="3218" spans="1:18" x14ac:dyDescent="0.25">
      <c r="A3218" t="s">
        <v>326</v>
      </c>
      <c r="B3218" t="s">
        <v>63</v>
      </c>
      <c r="C3218">
        <v>3</v>
      </c>
      <c r="D3218">
        <v>4</v>
      </c>
      <c r="E3218">
        <v>2</v>
      </c>
      <c r="F3218" s="15">
        <v>46083</v>
      </c>
      <c r="G3218" t="s">
        <v>396</v>
      </c>
      <c r="H3218">
        <v>4</v>
      </c>
      <c r="I3218">
        <v>2026</v>
      </c>
      <c r="J3218">
        <v>3</v>
      </c>
      <c r="K3218" t="s">
        <v>87</v>
      </c>
      <c r="L3218" t="s">
        <v>321</v>
      </c>
      <c r="M3218" t="s">
        <v>63</v>
      </c>
      <c r="N3218" t="b">
        <v>0</v>
      </c>
      <c r="O3218">
        <v>0</v>
      </c>
      <c r="P3218">
        <v>0</v>
      </c>
      <c r="Q3218">
        <v>1</v>
      </c>
      <c r="R3218">
        <v>0</v>
      </c>
    </row>
    <row r="3219" spans="1:18" x14ac:dyDescent="0.25">
      <c r="A3219" t="s">
        <v>321</v>
      </c>
      <c r="B3219" t="s">
        <v>63</v>
      </c>
      <c r="C3219">
        <v>4</v>
      </c>
      <c r="D3219">
        <v>4</v>
      </c>
      <c r="E3219">
        <v>2</v>
      </c>
      <c r="F3219" s="15">
        <v>46083</v>
      </c>
      <c r="G3219" t="s">
        <v>396</v>
      </c>
      <c r="H3219">
        <v>4</v>
      </c>
      <c r="I3219">
        <v>2026</v>
      </c>
      <c r="J3219">
        <v>3</v>
      </c>
      <c r="K3219" t="s">
        <v>87</v>
      </c>
      <c r="L3219" t="s">
        <v>352</v>
      </c>
      <c r="M3219" t="s">
        <v>63</v>
      </c>
      <c r="N3219" t="b">
        <v>0</v>
      </c>
      <c r="O3219">
        <v>0</v>
      </c>
      <c r="P3219">
        <v>0</v>
      </c>
      <c r="Q3219">
        <v>1</v>
      </c>
      <c r="R3219">
        <v>0</v>
      </c>
    </row>
    <row r="3220" spans="1:18" x14ac:dyDescent="0.25">
      <c r="A3220" t="s">
        <v>321</v>
      </c>
      <c r="B3220" t="s">
        <v>63</v>
      </c>
      <c r="C3220">
        <v>4</v>
      </c>
      <c r="D3220">
        <v>4</v>
      </c>
      <c r="E3220">
        <v>2</v>
      </c>
      <c r="F3220" s="15">
        <v>46083</v>
      </c>
      <c r="G3220" t="s">
        <v>396</v>
      </c>
      <c r="H3220">
        <v>4</v>
      </c>
      <c r="I3220">
        <v>2026</v>
      </c>
      <c r="J3220">
        <v>3</v>
      </c>
      <c r="K3220" t="s">
        <v>87</v>
      </c>
      <c r="L3220" t="s">
        <v>51</v>
      </c>
      <c r="M3220" t="s">
        <v>63</v>
      </c>
      <c r="N3220" t="b">
        <v>0</v>
      </c>
      <c r="O3220">
        <v>0</v>
      </c>
      <c r="P3220">
        <v>0</v>
      </c>
      <c r="Q3220">
        <v>1</v>
      </c>
      <c r="R3220">
        <v>0</v>
      </c>
    </row>
    <row r="3221" spans="1:18" x14ac:dyDescent="0.25">
      <c r="A3221" t="s">
        <v>321</v>
      </c>
      <c r="B3221" t="s">
        <v>63</v>
      </c>
      <c r="C3221">
        <v>4</v>
      </c>
      <c r="D3221">
        <v>4</v>
      </c>
      <c r="E3221">
        <v>2</v>
      </c>
      <c r="F3221" s="15">
        <v>46083</v>
      </c>
      <c r="G3221" t="s">
        <v>396</v>
      </c>
      <c r="H3221">
        <v>4</v>
      </c>
      <c r="I3221">
        <v>2026</v>
      </c>
      <c r="J3221">
        <v>3</v>
      </c>
      <c r="K3221" t="s">
        <v>87</v>
      </c>
      <c r="L3221" t="s">
        <v>326</v>
      </c>
      <c r="M3221" t="s">
        <v>63</v>
      </c>
      <c r="N3221" t="b">
        <v>0</v>
      </c>
      <c r="O3221">
        <v>0</v>
      </c>
      <c r="P3221">
        <v>0</v>
      </c>
      <c r="Q3221">
        <v>1</v>
      </c>
      <c r="R3221">
        <v>0</v>
      </c>
    </row>
    <row r="3222" spans="1:18" x14ac:dyDescent="0.25">
      <c r="A3222" t="s">
        <v>433</v>
      </c>
      <c r="B3222" t="s">
        <v>63</v>
      </c>
      <c r="C3222">
        <v>3</v>
      </c>
      <c r="D3222">
        <v>3</v>
      </c>
      <c r="E3222">
        <v>1</v>
      </c>
      <c r="F3222" s="15">
        <v>46097</v>
      </c>
      <c r="G3222" t="s">
        <v>424</v>
      </c>
      <c r="H3222">
        <v>4</v>
      </c>
      <c r="I3222">
        <v>2026</v>
      </c>
      <c r="J3222">
        <v>3</v>
      </c>
      <c r="K3222" t="s">
        <v>87</v>
      </c>
      <c r="L3222" t="s">
        <v>10</v>
      </c>
      <c r="M3222" t="s">
        <v>63</v>
      </c>
      <c r="N3222" t="b">
        <v>0</v>
      </c>
      <c r="O3222">
        <v>0</v>
      </c>
      <c r="P3222">
        <v>0</v>
      </c>
      <c r="Q3222">
        <v>1</v>
      </c>
      <c r="R3222">
        <v>0</v>
      </c>
    </row>
    <row r="3223" spans="1:18" x14ac:dyDescent="0.25">
      <c r="A3223" t="s">
        <v>433</v>
      </c>
      <c r="B3223" t="s">
        <v>63</v>
      </c>
      <c r="C3223">
        <v>3</v>
      </c>
      <c r="D3223">
        <v>3</v>
      </c>
      <c r="E3223">
        <v>1</v>
      </c>
      <c r="F3223" s="15">
        <v>46097</v>
      </c>
      <c r="G3223" t="s">
        <v>424</v>
      </c>
      <c r="H3223">
        <v>4</v>
      </c>
      <c r="I3223">
        <v>2026</v>
      </c>
      <c r="J3223">
        <v>3</v>
      </c>
      <c r="K3223" t="s">
        <v>87</v>
      </c>
      <c r="L3223" t="s">
        <v>20</v>
      </c>
      <c r="M3223" t="s">
        <v>63</v>
      </c>
      <c r="N3223" t="b">
        <v>0</v>
      </c>
      <c r="O3223">
        <v>0</v>
      </c>
      <c r="P3223">
        <v>0</v>
      </c>
      <c r="Q3223">
        <v>1</v>
      </c>
      <c r="R3223">
        <v>0</v>
      </c>
    </row>
    <row r="3224" spans="1:18" x14ac:dyDescent="0.25">
      <c r="A3224" t="s">
        <v>433</v>
      </c>
      <c r="B3224" t="s">
        <v>63</v>
      </c>
      <c r="C3224">
        <v>3</v>
      </c>
      <c r="D3224">
        <v>3</v>
      </c>
      <c r="E3224">
        <v>1</v>
      </c>
      <c r="F3224" s="15">
        <v>46097</v>
      </c>
      <c r="G3224" t="s">
        <v>424</v>
      </c>
      <c r="H3224">
        <v>4</v>
      </c>
      <c r="I3224">
        <v>2026</v>
      </c>
      <c r="J3224">
        <v>3</v>
      </c>
      <c r="K3224" t="s">
        <v>87</v>
      </c>
      <c r="L3224" t="s">
        <v>13</v>
      </c>
      <c r="M3224" t="s">
        <v>63</v>
      </c>
      <c r="N3224" t="b">
        <v>0</v>
      </c>
      <c r="O3224">
        <v>0</v>
      </c>
      <c r="P3224">
        <v>0</v>
      </c>
      <c r="Q3224">
        <v>1</v>
      </c>
      <c r="R3224">
        <v>0</v>
      </c>
    </row>
    <row r="3225" spans="1:18" x14ac:dyDescent="0.25">
      <c r="A3225" t="s">
        <v>10</v>
      </c>
      <c r="B3225" t="s">
        <v>63</v>
      </c>
      <c r="C3225">
        <v>1</v>
      </c>
      <c r="D3225">
        <v>3</v>
      </c>
      <c r="E3225">
        <v>1</v>
      </c>
      <c r="F3225" s="15">
        <v>46097</v>
      </c>
      <c r="G3225" t="s">
        <v>424</v>
      </c>
      <c r="H3225">
        <v>4</v>
      </c>
      <c r="I3225">
        <v>2026</v>
      </c>
      <c r="J3225">
        <v>3</v>
      </c>
      <c r="K3225" t="s">
        <v>87</v>
      </c>
      <c r="L3225" t="s">
        <v>433</v>
      </c>
      <c r="M3225" t="s">
        <v>63</v>
      </c>
      <c r="N3225" t="b">
        <v>0</v>
      </c>
      <c r="O3225">
        <v>0</v>
      </c>
      <c r="P3225">
        <v>0</v>
      </c>
      <c r="Q3225">
        <v>1</v>
      </c>
      <c r="R3225">
        <v>0</v>
      </c>
    </row>
    <row r="3226" spans="1:18" x14ac:dyDescent="0.25">
      <c r="A3226" t="s">
        <v>10</v>
      </c>
      <c r="B3226" t="s">
        <v>63</v>
      </c>
      <c r="C3226">
        <v>1</v>
      </c>
      <c r="D3226">
        <v>3</v>
      </c>
      <c r="E3226">
        <v>1</v>
      </c>
      <c r="F3226" s="15">
        <v>46097</v>
      </c>
      <c r="G3226" t="s">
        <v>424</v>
      </c>
      <c r="H3226">
        <v>4</v>
      </c>
      <c r="I3226">
        <v>2026</v>
      </c>
      <c r="J3226">
        <v>3</v>
      </c>
      <c r="K3226" t="s">
        <v>87</v>
      </c>
      <c r="L3226" t="s">
        <v>20</v>
      </c>
      <c r="M3226" t="s">
        <v>63</v>
      </c>
      <c r="N3226" t="b">
        <v>0</v>
      </c>
      <c r="O3226">
        <v>0</v>
      </c>
      <c r="P3226">
        <v>0</v>
      </c>
      <c r="Q3226">
        <v>1</v>
      </c>
      <c r="R3226">
        <v>0</v>
      </c>
    </row>
    <row r="3227" spans="1:18" x14ac:dyDescent="0.25">
      <c r="A3227" t="s">
        <v>10</v>
      </c>
      <c r="B3227" t="s">
        <v>63</v>
      </c>
      <c r="C3227">
        <v>1</v>
      </c>
      <c r="D3227">
        <v>3</v>
      </c>
      <c r="E3227">
        <v>1</v>
      </c>
      <c r="F3227" s="15">
        <v>46097</v>
      </c>
      <c r="G3227" t="s">
        <v>424</v>
      </c>
      <c r="H3227">
        <v>4</v>
      </c>
      <c r="I3227">
        <v>2026</v>
      </c>
      <c r="J3227">
        <v>3</v>
      </c>
      <c r="K3227" t="s">
        <v>87</v>
      </c>
      <c r="L3227" t="s">
        <v>13</v>
      </c>
      <c r="M3227" t="s">
        <v>63</v>
      </c>
      <c r="N3227" t="b">
        <v>0</v>
      </c>
      <c r="O3227">
        <v>0</v>
      </c>
      <c r="P3227">
        <v>0</v>
      </c>
      <c r="Q3227">
        <v>1</v>
      </c>
      <c r="R3227">
        <v>0</v>
      </c>
    </row>
    <row r="3228" spans="1:18" x14ac:dyDescent="0.25">
      <c r="A3228" t="s">
        <v>20</v>
      </c>
      <c r="B3228" t="s">
        <v>63</v>
      </c>
      <c r="C3228">
        <v>2</v>
      </c>
      <c r="D3228">
        <v>3</v>
      </c>
      <c r="E3228">
        <v>1</v>
      </c>
      <c r="F3228" s="15">
        <v>46097</v>
      </c>
      <c r="G3228" t="s">
        <v>424</v>
      </c>
      <c r="H3228">
        <v>4</v>
      </c>
      <c r="I3228">
        <v>2026</v>
      </c>
      <c r="J3228">
        <v>3</v>
      </c>
      <c r="K3228" t="s">
        <v>87</v>
      </c>
      <c r="L3228" t="s">
        <v>433</v>
      </c>
      <c r="M3228" t="s">
        <v>63</v>
      </c>
      <c r="N3228" t="b">
        <v>0</v>
      </c>
      <c r="O3228">
        <v>0</v>
      </c>
      <c r="P3228">
        <v>0</v>
      </c>
      <c r="Q3228">
        <v>1</v>
      </c>
      <c r="R3228">
        <v>0</v>
      </c>
    </row>
    <row r="3229" spans="1:18" x14ac:dyDescent="0.25">
      <c r="A3229" t="s">
        <v>20</v>
      </c>
      <c r="B3229" t="s">
        <v>63</v>
      </c>
      <c r="C3229">
        <v>2</v>
      </c>
      <c r="D3229">
        <v>3</v>
      </c>
      <c r="E3229">
        <v>1</v>
      </c>
      <c r="F3229" s="15">
        <v>46097</v>
      </c>
      <c r="G3229" t="s">
        <v>424</v>
      </c>
      <c r="H3229">
        <v>4</v>
      </c>
      <c r="I3229">
        <v>2026</v>
      </c>
      <c r="J3229">
        <v>3</v>
      </c>
      <c r="K3229" t="s">
        <v>87</v>
      </c>
      <c r="L3229" t="s">
        <v>10</v>
      </c>
      <c r="M3229" t="s">
        <v>63</v>
      </c>
      <c r="N3229" t="b">
        <v>0</v>
      </c>
      <c r="O3229">
        <v>0</v>
      </c>
      <c r="P3229">
        <v>0</v>
      </c>
      <c r="Q3229">
        <v>1</v>
      </c>
      <c r="R3229">
        <v>0</v>
      </c>
    </row>
    <row r="3230" spans="1:18" x14ac:dyDescent="0.25">
      <c r="A3230" t="s">
        <v>20</v>
      </c>
      <c r="B3230" t="s">
        <v>63</v>
      </c>
      <c r="C3230">
        <v>2</v>
      </c>
      <c r="D3230">
        <v>3</v>
      </c>
      <c r="E3230">
        <v>1</v>
      </c>
      <c r="F3230" s="15">
        <v>46097</v>
      </c>
      <c r="G3230" t="s">
        <v>424</v>
      </c>
      <c r="H3230">
        <v>4</v>
      </c>
      <c r="I3230">
        <v>2026</v>
      </c>
      <c r="J3230">
        <v>3</v>
      </c>
      <c r="K3230" t="s">
        <v>87</v>
      </c>
      <c r="L3230" t="s">
        <v>13</v>
      </c>
      <c r="M3230" t="s">
        <v>63</v>
      </c>
      <c r="N3230" t="b">
        <v>0</v>
      </c>
      <c r="O3230">
        <v>0</v>
      </c>
      <c r="P3230">
        <v>0</v>
      </c>
      <c r="Q3230">
        <v>1</v>
      </c>
      <c r="R3230">
        <v>0</v>
      </c>
    </row>
    <row r="3231" spans="1:18" x14ac:dyDescent="0.25">
      <c r="A3231" t="s">
        <v>13</v>
      </c>
      <c r="B3231" t="s">
        <v>63</v>
      </c>
      <c r="C3231">
        <v>4</v>
      </c>
      <c r="D3231">
        <v>3</v>
      </c>
      <c r="E3231">
        <v>1</v>
      </c>
      <c r="F3231" s="15">
        <v>46097</v>
      </c>
      <c r="G3231" t="s">
        <v>424</v>
      </c>
      <c r="H3231">
        <v>4</v>
      </c>
      <c r="I3231">
        <v>2026</v>
      </c>
      <c r="J3231">
        <v>3</v>
      </c>
      <c r="K3231" t="s">
        <v>87</v>
      </c>
      <c r="L3231" t="s">
        <v>433</v>
      </c>
      <c r="M3231" t="s">
        <v>63</v>
      </c>
      <c r="N3231" t="b">
        <v>0</v>
      </c>
      <c r="O3231">
        <v>0</v>
      </c>
      <c r="P3231">
        <v>0</v>
      </c>
      <c r="Q3231">
        <v>1</v>
      </c>
      <c r="R3231">
        <v>0</v>
      </c>
    </row>
    <row r="3232" spans="1:18" x14ac:dyDescent="0.25">
      <c r="A3232" t="s">
        <v>13</v>
      </c>
      <c r="B3232" t="s">
        <v>63</v>
      </c>
      <c r="C3232">
        <v>4</v>
      </c>
      <c r="D3232">
        <v>3</v>
      </c>
      <c r="E3232">
        <v>1</v>
      </c>
      <c r="F3232" s="15">
        <v>46097</v>
      </c>
      <c r="G3232" t="s">
        <v>424</v>
      </c>
      <c r="H3232">
        <v>4</v>
      </c>
      <c r="I3232">
        <v>2026</v>
      </c>
      <c r="J3232">
        <v>3</v>
      </c>
      <c r="K3232" t="s">
        <v>87</v>
      </c>
      <c r="L3232" t="s">
        <v>10</v>
      </c>
      <c r="M3232" t="s">
        <v>63</v>
      </c>
      <c r="N3232" t="b">
        <v>0</v>
      </c>
      <c r="O3232">
        <v>0</v>
      </c>
      <c r="P3232">
        <v>0</v>
      </c>
      <c r="Q3232">
        <v>1</v>
      </c>
      <c r="R3232">
        <v>0</v>
      </c>
    </row>
    <row r="3233" spans="1:18" x14ac:dyDescent="0.25">
      <c r="A3233" t="s">
        <v>13</v>
      </c>
      <c r="B3233" t="s">
        <v>63</v>
      </c>
      <c r="C3233">
        <v>4</v>
      </c>
      <c r="D3233">
        <v>3</v>
      </c>
      <c r="E3233">
        <v>1</v>
      </c>
      <c r="F3233" s="15">
        <v>46097</v>
      </c>
      <c r="G3233" t="s">
        <v>424</v>
      </c>
      <c r="H3233">
        <v>4</v>
      </c>
      <c r="I3233">
        <v>2026</v>
      </c>
      <c r="J3233">
        <v>3</v>
      </c>
      <c r="K3233" t="s">
        <v>87</v>
      </c>
      <c r="L3233" t="s">
        <v>20</v>
      </c>
      <c r="M3233" t="s">
        <v>63</v>
      </c>
      <c r="N3233" t="b">
        <v>0</v>
      </c>
      <c r="O3233">
        <v>0</v>
      </c>
      <c r="P3233">
        <v>0</v>
      </c>
      <c r="Q3233">
        <v>1</v>
      </c>
      <c r="R3233">
        <v>0</v>
      </c>
    </row>
    <row r="3234" spans="1:18" x14ac:dyDescent="0.25">
      <c r="A3234" t="s">
        <v>433</v>
      </c>
      <c r="B3234" t="s">
        <v>6</v>
      </c>
      <c r="C3234">
        <v>1</v>
      </c>
      <c r="D3234">
        <v>3</v>
      </c>
      <c r="E3234">
        <v>2</v>
      </c>
      <c r="F3234" s="15">
        <v>46097</v>
      </c>
      <c r="G3234" t="s">
        <v>429</v>
      </c>
      <c r="H3234">
        <v>4</v>
      </c>
      <c r="I3234">
        <v>2026</v>
      </c>
      <c r="J3234">
        <v>3</v>
      </c>
      <c r="K3234" t="s">
        <v>87</v>
      </c>
      <c r="L3234" t="s">
        <v>351</v>
      </c>
      <c r="M3234" t="s">
        <v>8</v>
      </c>
      <c r="N3234" t="b">
        <v>0</v>
      </c>
      <c r="O3234">
        <v>0</v>
      </c>
      <c r="P3234">
        <v>1</v>
      </c>
      <c r="Q3234">
        <v>0</v>
      </c>
      <c r="R3234">
        <v>1</v>
      </c>
    </row>
    <row r="3235" spans="1:18" x14ac:dyDescent="0.25">
      <c r="A3235" t="s">
        <v>433</v>
      </c>
      <c r="B3235" t="s">
        <v>6</v>
      </c>
      <c r="C3235">
        <v>1</v>
      </c>
      <c r="D3235">
        <v>3</v>
      </c>
      <c r="E3235">
        <v>2</v>
      </c>
      <c r="F3235" s="15">
        <v>46097</v>
      </c>
      <c r="G3235" t="s">
        <v>429</v>
      </c>
      <c r="H3235">
        <v>4</v>
      </c>
      <c r="I3235">
        <v>2026</v>
      </c>
      <c r="J3235">
        <v>3</v>
      </c>
      <c r="K3235" t="s">
        <v>87</v>
      </c>
      <c r="L3235" t="s">
        <v>363</v>
      </c>
      <c r="M3235" t="s">
        <v>6</v>
      </c>
      <c r="N3235" t="b">
        <v>0</v>
      </c>
      <c r="O3235">
        <v>0</v>
      </c>
      <c r="P3235">
        <v>1</v>
      </c>
      <c r="Q3235">
        <v>0</v>
      </c>
      <c r="R3235">
        <v>0</v>
      </c>
    </row>
    <row r="3236" spans="1:18" x14ac:dyDescent="0.25">
      <c r="A3236" t="s">
        <v>433</v>
      </c>
      <c r="B3236" t="s">
        <v>6</v>
      </c>
      <c r="C3236">
        <v>1</v>
      </c>
      <c r="D3236">
        <v>3</v>
      </c>
      <c r="E3236">
        <v>2</v>
      </c>
      <c r="F3236" s="15">
        <v>46097</v>
      </c>
      <c r="G3236" t="s">
        <v>429</v>
      </c>
      <c r="H3236">
        <v>4</v>
      </c>
      <c r="I3236">
        <v>2026</v>
      </c>
      <c r="J3236">
        <v>3</v>
      </c>
      <c r="K3236" t="s">
        <v>87</v>
      </c>
      <c r="L3236" t="s">
        <v>9</v>
      </c>
      <c r="M3236" t="s">
        <v>6</v>
      </c>
      <c r="N3236" t="b">
        <v>0</v>
      </c>
      <c r="O3236">
        <v>0</v>
      </c>
      <c r="P3236">
        <v>1</v>
      </c>
      <c r="Q3236">
        <v>0</v>
      </c>
      <c r="R3236">
        <v>0</v>
      </c>
    </row>
    <row r="3237" spans="1:18" x14ac:dyDescent="0.25">
      <c r="A3237" t="s">
        <v>351</v>
      </c>
      <c r="B3237" t="s">
        <v>8</v>
      </c>
      <c r="C3237">
        <v>2</v>
      </c>
      <c r="D3237">
        <v>3</v>
      </c>
      <c r="E3237">
        <v>2</v>
      </c>
      <c r="F3237" s="15">
        <v>46097</v>
      </c>
      <c r="G3237" t="s">
        <v>429</v>
      </c>
      <c r="H3237">
        <v>4</v>
      </c>
      <c r="I3237">
        <v>2026</v>
      </c>
      <c r="J3237">
        <v>3</v>
      </c>
      <c r="K3237" t="s">
        <v>87</v>
      </c>
      <c r="L3237" t="s">
        <v>433</v>
      </c>
      <c r="M3237" t="s">
        <v>6</v>
      </c>
      <c r="N3237" t="b">
        <v>0</v>
      </c>
      <c r="O3237">
        <v>1</v>
      </c>
      <c r="P3237">
        <v>0</v>
      </c>
      <c r="Q3237">
        <v>0</v>
      </c>
      <c r="R3237">
        <v>0</v>
      </c>
    </row>
    <row r="3238" spans="1:18" x14ac:dyDescent="0.25">
      <c r="A3238" t="s">
        <v>351</v>
      </c>
      <c r="B3238" t="s">
        <v>8</v>
      </c>
      <c r="C3238">
        <v>2</v>
      </c>
      <c r="D3238">
        <v>3</v>
      </c>
      <c r="E3238">
        <v>2</v>
      </c>
      <c r="F3238" s="15">
        <v>46097</v>
      </c>
      <c r="G3238" t="s">
        <v>429</v>
      </c>
      <c r="H3238">
        <v>4</v>
      </c>
      <c r="I3238">
        <v>2026</v>
      </c>
      <c r="J3238">
        <v>3</v>
      </c>
      <c r="K3238" t="s">
        <v>87</v>
      </c>
      <c r="L3238" t="s">
        <v>363</v>
      </c>
      <c r="M3238" t="s">
        <v>6</v>
      </c>
      <c r="N3238" t="b">
        <v>0</v>
      </c>
      <c r="O3238">
        <v>1</v>
      </c>
      <c r="P3238">
        <v>0</v>
      </c>
      <c r="Q3238">
        <v>0</v>
      </c>
      <c r="R3238">
        <v>0</v>
      </c>
    </row>
    <row r="3239" spans="1:18" x14ac:dyDescent="0.25">
      <c r="A3239" t="s">
        <v>351</v>
      </c>
      <c r="B3239" t="s">
        <v>8</v>
      </c>
      <c r="C3239">
        <v>2</v>
      </c>
      <c r="D3239">
        <v>3</v>
      </c>
      <c r="E3239">
        <v>2</v>
      </c>
      <c r="F3239" s="15">
        <v>46097</v>
      </c>
      <c r="G3239" t="s">
        <v>429</v>
      </c>
      <c r="H3239">
        <v>4</v>
      </c>
      <c r="I3239">
        <v>2026</v>
      </c>
      <c r="J3239">
        <v>3</v>
      </c>
      <c r="K3239" t="s">
        <v>87</v>
      </c>
      <c r="L3239" t="s">
        <v>9</v>
      </c>
      <c r="M3239" t="s">
        <v>6</v>
      </c>
      <c r="N3239" t="b">
        <v>0</v>
      </c>
      <c r="O3239">
        <v>1</v>
      </c>
      <c r="P3239">
        <v>0</v>
      </c>
      <c r="Q3239">
        <v>0</v>
      </c>
      <c r="R3239">
        <v>0</v>
      </c>
    </row>
    <row r="3240" spans="1:18" x14ac:dyDescent="0.25">
      <c r="A3240" t="s">
        <v>363</v>
      </c>
      <c r="B3240" t="s">
        <v>6</v>
      </c>
      <c r="C3240">
        <v>3</v>
      </c>
      <c r="D3240">
        <v>3</v>
      </c>
      <c r="E3240">
        <v>2</v>
      </c>
      <c r="F3240" s="15">
        <v>46097</v>
      </c>
      <c r="G3240" t="s">
        <v>429</v>
      </c>
      <c r="H3240">
        <v>4</v>
      </c>
      <c r="I3240">
        <v>2026</v>
      </c>
      <c r="J3240">
        <v>3</v>
      </c>
      <c r="K3240" t="s">
        <v>87</v>
      </c>
      <c r="L3240" t="s">
        <v>433</v>
      </c>
      <c r="M3240" t="s">
        <v>6</v>
      </c>
      <c r="N3240" t="b">
        <v>0</v>
      </c>
      <c r="O3240">
        <v>0</v>
      </c>
      <c r="P3240">
        <v>1</v>
      </c>
      <c r="Q3240">
        <v>0</v>
      </c>
      <c r="R3240">
        <v>0</v>
      </c>
    </row>
    <row r="3241" spans="1:18" x14ac:dyDescent="0.25">
      <c r="A3241" t="s">
        <v>363</v>
      </c>
      <c r="B3241" t="s">
        <v>6</v>
      </c>
      <c r="C3241">
        <v>3</v>
      </c>
      <c r="D3241">
        <v>3</v>
      </c>
      <c r="E3241">
        <v>2</v>
      </c>
      <c r="F3241" s="15">
        <v>46097</v>
      </c>
      <c r="G3241" t="s">
        <v>429</v>
      </c>
      <c r="H3241">
        <v>4</v>
      </c>
      <c r="I3241">
        <v>2026</v>
      </c>
      <c r="J3241">
        <v>3</v>
      </c>
      <c r="K3241" t="s">
        <v>87</v>
      </c>
      <c r="L3241" t="s">
        <v>351</v>
      </c>
      <c r="M3241" t="s">
        <v>8</v>
      </c>
      <c r="N3241" t="b">
        <v>0</v>
      </c>
      <c r="O3241">
        <v>0</v>
      </c>
      <c r="P3241">
        <v>1</v>
      </c>
      <c r="Q3241">
        <v>0</v>
      </c>
      <c r="R3241">
        <v>1</v>
      </c>
    </row>
    <row r="3242" spans="1:18" x14ac:dyDescent="0.25">
      <c r="A3242" t="s">
        <v>363</v>
      </c>
      <c r="B3242" t="s">
        <v>6</v>
      </c>
      <c r="C3242">
        <v>3</v>
      </c>
      <c r="D3242">
        <v>3</v>
      </c>
      <c r="E3242">
        <v>2</v>
      </c>
      <c r="F3242" s="15">
        <v>46097</v>
      </c>
      <c r="G3242" t="s">
        <v>429</v>
      </c>
      <c r="H3242">
        <v>4</v>
      </c>
      <c r="I3242">
        <v>2026</v>
      </c>
      <c r="J3242">
        <v>3</v>
      </c>
      <c r="K3242" t="s">
        <v>87</v>
      </c>
      <c r="L3242" t="s">
        <v>9</v>
      </c>
      <c r="M3242" t="s">
        <v>6</v>
      </c>
      <c r="N3242" t="b">
        <v>0</v>
      </c>
      <c r="O3242">
        <v>0</v>
      </c>
      <c r="P3242">
        <v>1</v>
      </c>
      <c r="Q3242">
        <v>0</v>
      </c>
      <c r="R3242">
        <v>0</v>
      </c>
    </row>
    <row r="3243" spans="1:18" x14ac:dyDescent="0.25">
      <c r="A3243" t="s">
        <v>9</v>
      </c>
      <c r="B3243" t="s">
        <v>6</v>
      </c>
      <c r="C3243">
        <v>4</v>
      </c>
      <c r="D3243">
        <v>3</v>
      </c>
      <c r="E3243">
        <v>2</v>
      </c>
      <c r="F3243" s="15">
        <v>46097</v>
      </c>
      <c r="G3243" t="s">
        <v>429</v>
      </c>
      <c r="H3243">
        <v>4</v>
      </c>
      <c r="I3243">
        <v>2026</v>
      </c>
      <c r="J3243">
        <v>3</v>
      </c>
      <c r="K3243" t="s">
        <v>87</v>
      </c>
      <c r="L3243" t="s">
        <v>433</v>
      </c>
      <c r="M3243" t="s">
        <v>6</v>
      </c>
      <c r="N3243" t="b">
        <v>0</v>
      </c>
      <c r="O3243">
        <v>0</v>
      </c>
      <c r="P3243">
        <v>1</v>
      </c>
      <c r="Q3243">
        <v>0</v>
      </c>
      <c r="R3243">
        <v>0</v>
      </c>
    </row>
    <row r="3244" spans="1:18" x14ac:dyDescent="0.25">
      <c r="A3244" t="s">
        <v>9</v>
      </c>
      <c r="B3244" t="s">
        <v>6</v>
      </c>
      <c r="C3244">
        <v>4</v>
      </c>
      <c r="D3244">
        <v>3</v>
      </c>
      <c r="E3244">
        <v>2</v>
      </c>
      <c r="F3244" s="15">
        <v>46097</v>
      </c>
      <c r="G3244" t="s">
        <v>429</v>
      </c>
      <c r="H3244">
        <v>4</v>
      </c>
      <c r="I3244">
        <v>2026</v>
      </c>
      <c r="J3244">
        <v>3</v>
      </c>
      <c r="K3244" t="s">
        <v>87</v>
      </c>
      <c r="L3244" t="s">
        <v>351</v>
      </c>
      <c r="M3244" t="s">
        <v>8</v>
      </c>
      <c r="N3244" t="b">
        <v>0</v>
      </c>
      <c r="O3244">
        <v>0</v>
      </c>
      <c r="P3244">
        <v>1</v>
      </c>
      <c r="Q3244">
        <v>0</v>
      </c>
      <c r="R3244">
        <v>1</v>
      </c>
    </row>
    <row r="3245" spans="1:18" x14ac:dyDescent="0.25">
      <c r="A3245" t="s">
        <v>9</v>
      </c>
      <c r="B3245" t="s">
        <v>6</v>
      </c>
      <c r="C3245">
        <v>4</v>
      </c>
      <c r="D3245">
        <v>3</v>
      </c>
      <c r="E3245">
        <v>2</v>
      </c>
      <c r="F3245" s="15">
        <v>46097</v>
      </c>
      <c r="G3245" t="s">
        <v>429</v>
      </c>
      <c r="H3245">
        <v>4</v>
      </c>
      <c r="I3245">
        <v>2026</v>
      </c>
      <c r="J3245">
        <v>3</v>
      </c>
      <c r="K3245" t="s">
        <v>87</v>
      </c>
      <c r="L3245" t="s">
        <v>363</v>
      </c>
      <c r="M3245" t="s">
        <v>6</v>
      </c>
      <c r="N3245" t="b">
        <v>0</v>
      </c>
      <c r="O3245">
        <v>0</v>
      </c>
      <c r="P3245">
        <v>1</v>
      </c>
      <c r="Q3245">
        <v>0</v>
      </c>
      <c r="R3245">
        <v>0</v>
      </c>
    </row>
    <row r="3246" spans="1:18" x14ac:dyDescent="0.25">
      <c r="A3246" t="s">
        <v>20</v>
      </c>
      <c r="B3246" t="s">
        <v>6</v>
      </c>
      <c r="C3246">
        <v>1</v>
      </c>
      <c r="D3246">
        <v>7</v>
      </c>
      <c r="E3246">
        <v>2</v>
      </c>
      <c r="F3246" s="15">
        <v>46083</v>
      </c>
      <c r="G3246" t="s">
        <v>399</v>
      </c>
      <c r="H3246">
        <v>3</v>
      </c>
      <c r="I3246">
        <v>2026</v>
      </c>
      <c r="J3246">
        <v>3</v>
      </c>
      <c r="K3246" t="s">
        <v>87</v>
      </c>
      <c r="L3246" t="s">
        <v>17</v>
      </c>
      <c r="M3246" t="s">
        <v>8</v>
      </c>
      <c r="N3246" t="b">
        <v>0</v>
      </c>
      <c r="O3246">
        <v>0</v>
      </c>
      <c r="P3246">
        <v>1</v>
      </c>
      <c r="Q3246">
        <v>0</v>
      </c>
      <c r="R3246">
        <v>1</v>
      </c>
    </row>
    <row r="3247" spans="1:18" x14ac:dyDescent="0.25">
      <c r="A3247" t="s">
        <v>20</v>
      </c>
      <c r="B3247" t="s">
        <v>6</v>
      </c>
      <c r="C3247">
        <v>1</v>
      </c>
      <c r="D3247">
        <v>7</v>
      </c>
      <c r="E3247">
        <v>2</v>
      </c>
      <c r="F3247" s="15">
        <v>46083</v>
      </c>
      <c r="G3247" t="s">
        <v>399</v>
      </c>
      <c r="H3247">
        <v>3</v>
      </c>
      <c r="I3247">
        <v>2026</v>
      </c>
      <c r="J3247">
        <v>3</v>
      </c>
      <c r="K3247" t="s">
        <v>87</v>
      </c>
      <c r="L3247" t="s">
        <v>386</v>
      </c>
      <c r="M3247" t="s">
        <v>6</v>
      </c>
      <c r="N3247" t="b">
        <v>0</v>
      </c>
      <c r="O3247">
        <v>0</v>
      </c>
      <c r="P3247">
        <v>1</v>
      </c>
      <c r="Q3247">
        <v>0</v>
      </c>
      <c r="R3247">
        <v>0</v>
      </c>
    </row>
    <row r="3248" spans="1:18" x14ac:dyDescent="0.25">
      <c r="A3248" t="s">
        <v>17</v>
      </c>
      <c r="B3248" t="s">
        <v>8</v>
      </c>
      <c r="C3248">
        <v>2</v>
      </c>
      <c r="D3248">
        <v>7</v>
      </c>
      <c r="E3248">
        <v>2</v>
      </c>
      <c r="F3248" s="15">
        <v>46083</v>
      </c>
      <c r="G3248" t="s">
        <v>399</v>
      </c>
      <c r="H3248">
        <v>3</v>
      </c>
      <c r="I3248">
        <v>2026</v>
      </c>
      <c r="J3248">
        <v>3</v>
      </c>
      <c r="K3248" t="s">
        <v>87</v>
      </c>
      <c r="L3248" t="s">
        <v>20</v>
      </c>
      <c r="M3248" t="s">
        <v>6</v>
      </c>
      <c r="N3248" t="b">
        <v>0</v>
      </c>
      <c r="O3248">
        <v>1</v>
      </c>
      <c r="P3248">
        <v>0</v>
      </c>
      <c r="Q3248">
        <v>0</v>
      </c>
      <c r="R3248">
        <v>0</v>
      </c>
    </row>
    <row r="3249" spans="1:18" x14ac:dyDescent="0.25">
      <c r="A3249" t="s">
        <v>17</v>
      </c>
      <c r="B3249" t="s">
        <v>8</v>
      </c>
      <c r="C3249">
        <v>2</v>
      </c>
      <c r="D3249">
        <v>7</v>
      </c>
      <c r="E3249">
        <v>2</v>
      </c>
      <c r="F3249" s="15">
        <v>46083</v>
      </c>
      <c r="G3249" t="s">
        <v>399</v>
      </c>
      <c r="H3249">
        <v>3</v>
      </c>
      <c r="I3249">
        <v>2026</v>
      </c>
      <c r="J3249">
        <v>3</v>
      </c>
      <c r="K3249" t="s">
        <v>87</v>
      </c>
      <c r="L3249" t="s">
        <v>386</v>
      </c>
      <c r="M3249" t="s">
        <v>6</v>
      </c>
      <c r="N3249" t="b">
        <v>0</v>
      </c>
      <c r="O3249">
        <v>1</v>
      </c>
      <c r="P3249">
        <v>0</v>
      </c>
      <c r="Q3249">
        <v>0</v>
      </c>
      <c r="R3249">
        <v>0</v>
      </c>
    </row>
    <row r="3250" spans="1:18" x14ac:dyDescent="0.25">
      <c r="A3250" t="s">
        <v>386</v>
      </c>
      <c r="B3250" t="s">
        <v>6</v>
      </c>
      <c r="C3250">
        <v>3</v>
      </c>
      <c r="D3250">
        <v>7</v>
      </c>
      <c r="E3250">
        <v>2</v>
      </c>
      <c r="F3250" s="15">
        <v>46083</v>
      </c>
      <c r="G3250" t="s">
        <v>399</v>
      </c>
      <c r="H3250">
        <v>3</v>
      </c>
      <c r="I3250">
        <v>2026</v>
      </c>
      <c r="J3250">
        <v>3</v>
      </c>
      <c r="K3250" t="s">
        <v>87</v>
      </c>
      <c r="L3250" t="s">
        <v>20</v>
      </c>
      <c r="M3250" t="s">
        <v>6</v>
      </c>
      <c r="N3250" t="b">
        <v>0</v>
      </c>
      <c r="O3250">
        <v>0</v>
      </c>
      <c r="P3250">
        <v>1</v>
      </c>
      <c r="Q3250">
        <v>0</v>
      </c>
      <c r="R3250">
        <v>0</v>
      </c>
    </row>
    <row r="3251" spans="1:18" x14ac:dyDescent="0.25">
      <c r="A3251" t="s">
        <v>386</v>
      </c>
      <c r="B3251" t="s">
        <v>6</v>
      </c>
      <c r="C3251">
        <v>3</v>
      </c>
      <c r="D3251">
        <v>7</v>
      </c>
      <c r="E3251">
        <v>2</v>
      </c>
      <c r="F3251" s="15">
        <v>46083</v>
      </c>
      <c r="G3251" t="s">
        <v>399</v>
      </c>
      <c r="H3251">
        <v>3</v>
      </c>
      <c r="I3251">
        <v>2026</v>
      </c>
      <c r="J3251">
        <v>3</v>
      </c>
      <c r="K3251" t="s">
        <v>87</v>
      </c>
      <c r="L3251" t="s">
        <v>17</v>
      </c>
      <c r="M3251" t="s">
        <v>8</v>
      </c>
      <c r="N3251" t="b">
        <v>0</v>
      </c>
      <c r="O3251">
        <v>0</v>
      </c>
      <c r="P3251">
        <v>1</v>
      </c>
      <c r="Q3251">
        <v>0</v>
      </c>
      <c r="R3251">
        <v>1</v>
      </c>
    </row>
    <row r="3252" spans="1:18" x14ac:dyDescent="0.25">
      <c r="A3252" t="s">
        <v>9</v>
      </c>
      <c r="B3252" t="s">
        <v>63</v>
      </c>
      <c r="C3252">
        <v>1</v>
      </c>
      <c r="D3252">
        <v>1</v>
      </c>
      <c r="E3252">
        <v>1</v>
      </c>
      <c r="F3252" s="15">
        <v>46090</v>
      </c>
      <c r="G3252" t="s">
        <v>407</v>
      </c>
      <c r="H3252">
        <v>4</v>
      </c>
      <c r="I3252">
        <v>2026</v>
      </c>
      <c r="J3252">
        <v>3</v>
      </c>
      <c r="K3252" t="s">
        <v>87</v>
      </c>
      <c r="L3252" t="s">
        <v>325</v>
      </c>
      <c r="M3252" t="s">
        <v>63</v>
      </c>
      <c r="N3252" t="b">
        <v>0</v>
      </c>
      <c r="O3252">
        <v>0</v>
      </c>
      <c r="P3252">
        <v>0</v>
      </c>
      <c r="Q3252">
        <v>1</v>
      </c>
      <c r="R3252">
        <v>0</v>
      </c>
    </row>
    <row r="3253" spans="1:18" x14ac:dyDescent="0.25">
      <c r="A3253" t="s">
        <v>9</v>
      </c>
      <c r="B3253" t="s">
        <v>63</v>
      </c>
      <c r="C3253">
        <v>1</v>
      </c>
      <c r="D3253">
        <v>1</v>
      </c>
      <c r="E3253">
        <v>1</v>
      </c>
      <c r="F3253" s="15">
        <v>46090</v>
      </c>
      <c r="G3253" t="s">
        <v>407</v>
      </c>
      <c r="H3253">
        <v>4</v>
      </c>
      <c r="I3253">
        <v>2026</v>
      </c>
      <c r="J3253">
        <v>3</v>
      </c>
      <c r="K3253" t="s">
        <v>87</v>
      </c>
      <c r="L3253" t="s">
        <v>11</v>
      </c>
      <c r="M3253" t="s">
        <v>63</v>
      </c>
      <c r="N3253" t="b">
        <v>0</v>
      </c>
      <c r="O3253">
        <v>0</v>
      </c>
      <c r="P3253">
        <v>0</v>
      </c>
      <c r="Q3253">
        <v>1</v>
      </c>
      <c r="R3253">
        <v>0</v>
      </c>
    </row>
    <row r="3254" spans="1:18" x14ac:dyDescent="0.25">
      <c r="A3254" t="s">
        <v>9</v>
      </c>
      <c r="B3254" t="s">
        <v>63</v>
      </c>
      <c r="C3254">
        <v>1</v>
      </c>
      <c r="D3254">
        <v>1</v>
      </c>
      <c r="E3254">
        <v>1</v>
      </c>
      <c r="F3254" s="15">
        <v>46090</v>
      </c>
      <c r="G3254" t="s">
        <v>407</v>
      </c>
      <c r="H3254">
        <v>4</v>
      </c>
      <c r="I3254">
        <v>2026</v>
      </c>
      <c r="J3254">
        <v>3</v>
      </c>
      <c r="K3254" t="s">
        <v>87</v>
      </c>
      <c r="L3254" t="s">
        <v>51</v>
      </c>
      <c r="M3254" t="s">
        <v>63</v>
      </c>
      <c r="N3254" t="b">
        <v>0</v>
      </c>
      <c r="O3254">
        <v>0</v>
      </c>
      <c r="P3254">
        <v>0</v>
      </c>
      <c r="Q3254">
        <v>1</v>
      </c>
      <c r="R3254">
        <v>0</v>
      </c>
    </row>
    <row r="3255" spans="1:18" x14ac:dyDescent="0.25">
      <c r="A3255" t="s">
        <v>325</v>
      </c>
      <c r="B3255" t="s">
        <v>63</v>
      </c>
      <c r="C3255">
        <v>2</v>
      </c>
      <c r="D3255">
        <v>1</v>
      </c>
      <c r="E3255">
        <v>1</v>
      </c>
      <c r="F3255" s="15">
        <v>46090</v>
      </c>
      <c r="G3255" t="s">
        <v>407</v>
      </c>
      <c r="H3255">
        <v>4</v>
      </c>
      <c r="I3255">
        <v>2026</v>
      </c>
      <c r="J3255">
        <v>3</v>
      </c>
      <c r="K3255" t="s">
        <v>87</v>
      </c>
      <c r="L3255" t="s">
        <v>9</v>
      </c>
      <c r="M3255" t="s">
        <v>63</v>
      </c>
      <c r="N3255" t="b">
        <v>0</v>
      </c>
      <c r="O3255">
        <v>0</v>
      </c>
      <c r="P3255">
        <v>0</v>
      </c>
      <c r="Q3255">
        <v>1</v>
      </c>
      <c r="R3255">
        <v>0</v>
      </c>
    </row>
    <row r="3256" spans="1:18" x14ac:dyDescent="0.25">
      <c r="A3256" t="s">
        <v>325</v>
      </c>
      <c r="B3256" t="s">
        <v>63</v>
      </c>
      <c r="C3256">
        <v>2</v>
      </c>
      <c r="D3256">
        <v>1</v>
      </c>
      <c r="E3256">
        <v>1</v>
      </c>
      <c r="F3256" s="15">
        <v>46090</v>
      </c>
      <c r="G3256" t="s">
        <v>407</v>
      </c>
      <c r="H3256">
        <v>4</v>
      </c>
      <c r="I3256">
        <v>2026</v>
      </c>
      <c r="J3256">
        <v>3</v>
      </c>
      <c r="K3256" t="s">
        <v>87</v>
      </c>
      <c r="L3256" t="s">
        <v>11</v>
      </c>
      <c r="M3256" t="s">
        <v>63</v>
      </c>
      <c r="N3256" t="b">
        <v>0</v>
      </c>
      <c r="O3256">
        <v>0</v>
      </c>
      <c r="P3256">
        <v>0</v>
      </c>
      <c r="Q3256">
        <v>1</v>
      </c>
      <c r="R3256">
        <v>0</v>
      </c>
    </row>
    <row r="3257" spans="1:18" x14ac:dyDescent="0.25">
      <c r="A3257" t="s">
        <v>325</v>
      </c>
      <c r="B3257" t="s">
        <v>63</v>
      </c>
      <c r="C3257">
        <v>2</v>
      </c>
      <c r="D3257">
        <v>1</v>
      </c>
      <c r="E3257">
        <v>1</v>
      </c>
      <c r="F3257" s="15">
        <v>46090</v>
      </c>
      <c r="G3257" t="s">
        <v>407</v>
      </c>
      <c r="H3257">
        <v>4</v>
      </c>
      <c r="I3257">
        <v>2026</v>
      </c>
      <c r="J3257">
        <v>3</v>
      </c>
      <c r="K3257" t="s">
        <v>87</v>
      </c>
      <c r="L3257" t="s">
        <v>51</v>
      </c>
      <c r="M3257" t="s">
        <v>63</v>
      </c>
      <c r="N3257" t="b">
        <v>0</v>
      </c>
      <c r="O3257">
        <v>0</v>
      </c>
      <c r="P3257">
        <v>0</v>
      </c>
      <c r="Q3257">
        <v>1</v>
      </c>
      <c r="R3257">
        <v>0</v>
      </c>
    </row>
    <row r="3258" spans="1:18" x14ac:dyDescent="0.25">
      <c r="A3258" t="s">
        <v>11</v>
      </c>
      <c r="B3258" t="s">
        <v>63</v>
      </c>
      <c r="C3258">
        <v>3</v>
      </c>
      <c r="D3258">
        <v>1</v>
      </c>
      <c r="E3258">
        <v>1</v>
      </c>
      <c r="F3258" s="15">
        <v>46090</v>
      </c>
      <c r="G3258" t="s">
        <v>407</v>
      </c>
      <c r="H3258">
        <v>4</v>
      </c>
      <c r="I3258">
        <v>2026</v>
      </c>
      <c r="J3258">
        <v>3</v>
      </c>
      <c r="K3258" t="s">
        <v>87</v>
      </c>
      <c r="L3258" t="s">
        <v>9</v>
      </c>
      <c r="M3258" t="s">
        <v>63</v>
      </c>
      <c r="N3258" t="b">
        <v>0</v>
      </c>
      <c r="O3258">
        <v>0</v>
      </c>
      <c r="P3258">
        <v>0</v>
      </c>
      <c r="Q3258">
        <v>1</v>
      </c>
      <c r="R3258">
        <v>0</v>
      </c>
    </row>
    <row r="3259" spans="1:18" x14ac:dyDescent="0.25">
      <c r="A3259" t="s">
        <v>11</v>
      </c>
      <c r="B3259" t="s">
        <v>63</v>
      </c>
      <c r="C3259">
        <v>3</v>
      </c>
      <c r="D3259">
        <v>1</v>
      </c>
      <c r="E3259">
        <v>1</v>
      </c>
      <c r="F3259" s="15">
        <v>46090</v>
      </c>
      <c r="G3259" t="s">
        <v>407</v>
      </c>
      <c r="H3259">
        <v>4</v>
      </c>
      <c r="I3259">
        <v>2026</v>
      </c>
      <c r="J3259">
        <v>3</v>
      </c>
      <c r="K3259" t="s">
        <v>87</v>
      </c>
      <c r="L3259" t="s">
        <v>325</v>
      </c>
      <c r="M3259" t="s">
        <v>63</v>
      </c>
      <c r="N3259" t="b">
        <v>0</v>
      </c>
      <c r="O3259">
        <v>0</v>
      </c>
      <c r="P3259">
        <v>0</v>
      </c>
      <c r="Q3259">
        <v>1</v>
      </c>
      <c r="R3259">
        <v>0</v>
      </c>
    </row>
    <row r="3260" spans="1:18" x14ac:dyDescent="0.25">
      <c r="A3260" t="s">
        <v>11</v>
      </c>
      <c r="B3260" t="s">
        <v>63</v>
      </c>
      <c r="C3260">
        <v>3</v>
      </c>
      <c r="D3260">
        <v>1</v>
      </c>
      <c r="E3260">
        <v>1</v>
      </c>
      <c r="F3260" s="15">
        <v>46090</v>
      </c>
      <c r="G3260" t="s">
        <v>407</v>
      </c>
      <c r="H3260">
        <v>4</v>
      </c>
      <c r="I3260">
        <v>2026</v>
      </c>
      <c r="J3260">
        <v>3</v>
      </c>
      <c r="K3260" t="s">
        <v>87</v>
      </c>
      <c r="L3260" t="s">
        <v>51</v>
      </c>
      <c r="M3260" t="s">
        <v>63</v>
      </c>
      <c r="N3260" t="b">
        <v>0</v>
      </c>
      <c r="O3260">
        <v>0</v>
      </c>
      <c r="P3260">
        <v>0</v>
      </c>
      <c r="Q3260">
        <v>1</v>
      </c>
      <c r="R3260">
        <v>0</v>
      </c>
    </row>
    <row r="3261" spans="1:18" x14ac:dyDescent="0.25">
      <c r="A3261" t="s">
        <v>51</v>
      </c>
      <c r="B3261" t="s">
        <v>63</v>
      </c>
      <c r="C3261">
        <v>4</v>
      </c>
      <c r="D3261">
        <v>1</v>
      </c>
      <c r="E3261">
        <v>1</v>
      </c>
      <c r="F3261" s="15">
        <v>46090</v>
      </c>
      <c r="G3261" t="s">
        <v>407</v>
      </c>
      <c r="H3261">
        <v>4</v>
      </c>
      <c r="I3261">
        <v>2026</v>
      </c>
      <c r="J3261">
        <v>3</v>
      </c>
      <c r="K3261" t="s">
        <v>87</v>
      </c>
      <c r="L3261" t="s">
        <v>9</v>
      </c>
      <c r="M3261" t="s">
        <v>63</v>
      </c>
      <c r="N3261" t="b">
        <v>0</v>
      </c>
      <c r="O3261">
        <v>0</v>
      </c>
      <c r="P3261">
        <v>0</v>
      </c>
      <c r="Q3261">
        <v>1</v>
      </c>
      <c r="R3261">
        <v>0</v>
      </c>
    </row>
    <row r="3262" spans="1:18" x14ac:dyDescent="0.25">
      <c r="A3262" t="s">
        <v>51</v>
      </c>
      <c r="B3262" t="s">
        <v>63</v>
      </c>
      <c r="C3262">
        <v>4</v>
      </c>
      <c r="D3262">
        <v>1</v>
      </c>
      <c r="E3262">
        <v>1</v>
      </c>
      <c r="F3262" s="15">
        <v>46090</v>
      </c>
      <c r="G3262" t="s">
        <v>407</v>
      </c>
      <c r="H3262">
        <v>4</v>
      </c>
      <c r="I3262">
        <v>2026</v>
      </c>
      <c r="J3262">
        <v>3</v>
      </c>
      <c r="K3262" t="s">
        <v>87</v>
      </c>
      <c r="L3262" t="s">
        <v>325</v>
      </c>
      <c r="M3262" t="s">
        <v>63</v>
      </c>
      <c r="N3262" t="b">
        <v>0</v>
      </c>
      <c r="O3262">
        <v>0</v>
      </c>
      <c r="P3262">
        <v>0</v>
      </c>
      <c r="Q3262">
        <v>1</v>
      </c>
      <c r="R3262">
        <v>0</v>
      </c>
    </row>
    <row r="3263" spans="1:18" x14ac:dyDescent="0.25">
      <c r="A3263" t="s">
        <v>51</v>
      </c>
      <c r="B3263" t="s">
        <v>63</v>
      </c>
      <c r="C3263">
        <v>4</v>
      </c>
      <c r="D3263">
        <v>1</v>
      </c>
      <c r="E3263">
        <v>1</v>
      </c>
      <c r="F3263" s="15">
        <v>46090</v>
      </c>
      <c r="G3263" t="s">
        <v>407</v>
      </c>
      <c r="H3263">
        <v>4</v>
      </c>
      <c r="I3263">
        <v>2026</v>
      </c>
      <c r="J3263">
        <v>3</v>
      </c>
      <c r="K3263" t="s">
        <v>87</v>
      </c>
      <c r="L3263" t="s">
        <v>11</v>
      </c>
      <c r="M3263" t="s">
        <v>63</v>
      </c>
      <c r="N3263" t="b">
        <v>0</v>
      </c>
      <c r="O3263">
        <v>0</v>
      </c>
      <c r="P3263">
        <v>0</v>
      </c>
      <c r="Q3263">
        <v>1</v>
      </c>
      <c r="R3263">
        <v>0</v>
      </c>
    </row>
    <row r="3264" spans="1:18" x14ac:dyDescent="0.25">
      <c r="A3264" t="s">
        <v>17</v>
      </c>
      <c r="B3264" t="s">
        <v>6</v>
      </c>
      <c r="C3264">
        <v>1</v>
      </c>
      <c r="D3264">
        <v>3</v>
      </c>
      <c r="E3264">
        <v>1</v>
      </c>
      <c r="F3264" s="15">
        <v>46090</v>
      </c>
      <c r="G3264" t="s">
        <v>409</v>
      </c>
      <c r="H3264">
        <v>4</v>
      </c>
      <c r="I3264">
        <v>2026</v>
      </c>
      <c r="J3264">
        <v>3</v>
      </c>
      <c r="K3264" t="s">
        <v>87</v>
      </c>
      <c r="L3264" t="s">
        <v>41</v>
      </c>
      <c r="M3264" t="s">
        <v>8</v>
      </c>
      <c r="N3264" t="b">
        <v>0</v>
      </c>
      <c r="O3264">
        <v>0</v>
      </c>
      <c r="P3264">
        <v>1</v>
      </c>
      <c r="Q3264">
        <v>0</v>
      </c>
      <c r="R3264">
        <v>1</v>
      </c>
    </row>
    <row r="3265" spans="1:18" x14ac:dyDescent="0.25">
      <c r="A3265" t="s">
        <v>17</v>
      </c>
      <c r="B3265" t="s">
        <v>6</v>
      </c>
      <c r="C3265">
        <v>1</v>
      </c>
      <c r="D3265">
        <v>3</v>
      </c>
      <c r="E3265">
        <v>1</v>
      </c>
      <c r="F3265" s="15">
        <v>46090</v>
      </c>
      <c r="G3265" t="s">
        <v>409</v>
      </c>
      <c r="H3265">
        <v>4</v>
      </c>
      <c r="I3265">
        <v>2026</v>
      </c>
      <c r="J3265">
        <v>3</v>
      </c>
      <c r="K3265" t="s">
        <v>87</v>
      </c>
      <c r="L3265" t="s">
        <v>13</v>
      </c>
      <c r="M3265" t="s">
        <v>6</v>
      </c>
      <c r="N3265" t="b">
        <v>0</v>
      </c>
      <c r="O3265">
        <v>0</v>
      </c>
      <c r="P3265">
        <v>1</v>
      </c>
      <c r="Q3265">
        <v>0</v>
      </c>
      <c r="R3265">
        <v>0</v>
      </c>
    </row>
    <row r="3266" spans="1:18" x14ac:dyDescent="0.25">
      <c r="A3266" t="s">
        <v>17</v>
      </c>
      <c r="B3266" t="s">
        <v>6</v>
      </c>
      <c r="C3266">
        <v>1</v>
      </c>
      <c r="D3266">
        <v>3</v>
      </c>
      <c r="E3266">
        <v>1</v>
      </c>
      <c r="F3266" s="15">
        <v>46090</v>
      </c>
      <c r="G3266" t="s">
        <v>409</v>
      </c>
      <c r="H3266">
        <v>4</v>
      </c>
      <c r="I3266">
        <v>2026</v>
      </c>
      <c r="J3266">
        <v>3</v>
      </c>
      <c r="K3266" t="s">
        <v>87</v>
      </c>
      <c r="L3266" t="s">
        <v>363</v>
      </c>
      <c r="M3266" t="s">
        <v>6</v>
      </c>
      <c r="N3266" t="b">
        <v>0</v>
      </c>
      <c r="O3266">
        <v>0</v>
      </c>
      <c r="P3266">
        <v>1</v>
      </c>
      <c r="Q3266">
        <v>0</v>
      </c>
      <c r="R3266">
        <v>0</v>
      </c>
    </row>
    <row r="3267" spans="1:18" x14ac:dyDescent="0.25">
      <c r="A3267" t="s">
        <v>41</v>
      </c>
      <c r="B3267" t="s">
        <v>8</v>
      </c>
      <c r="C3267">
        <v>2</v>
      </c>
      <c r="D3267">
        <v>3</v>
      </c>
      <c r="E3267">
        <v>1</v>
      </c>
      <c r="F3267" s="15">
        <v>46090</v>
      </c>
      <c r="G3267" t="s">
        <v>409</v>
      </c>
      <c r="H3267">
        <v>4</v>
      </c>
      <c r="I3267">
        <v>2026</v>
      </c>
      <c r="J3267">
        <v>3</v>
      </c>
      <c r="K3267" t="s">
        <v>87</v>
      </c>
      <c r="L3267" t="s">
        <v>17</v>
      </c>
      <c r="M3267" t="s">
        <v>6</v>
      </c>
      <c r="N3267" t="b">
        <v>0</v>
      </c>
      <c r="O3267">
        <v>1</v>
      </c>
      <c r="P3267">
        <v>0</v>
      </c>
      <c r="Q3267">
        <v>0</v>
      </c>
      <c r="R3267">
        <v>0</v>
      </c>
    </row>
    <row r="3268" spans="1:18" x14ac:dyDescent="0.25">
      <c r="A3268" t="s">
        <v>41</v>
      </c>
      <c r="B3268" t="s">
        <v>8</v>
      </c>
      <c r="C3268">
        <v>2</v>
      </c>
      <c r="D3268">
        <v>3</v>
      </c>
      <c r="E3268">
        <v>1</v>
      </c>
      <c r="F3268" s="15">
        <v>46090</v>
      </c>
      <c r="G3268" t="s">
        <v>409</v>
      </c>
      <c r="H3268">
        <v>4</v>
      </c>
      <c r="I3268">
        <v>2026</v>
      </c>
      <c r="J3268">
        <v>3</v>
      </c>
      <c r="K3268" t="s">
        <v>87</v>
      </c>
      <c r="L3268" t="s">
        <v>13</v>
      </c>
      <c r="M3268" t="s">
        <v>6</v>
      </c>
      <c r="N3268" t="b">
        <v>0</v>
      </c>
      <c r="O3268">
        <v>1</v>
      </c>
      <c r="P3268">
        <v>0</v>
      </c>
      <c r="Q3268">
        <v>0</v>
      </c>
      <c r="R3268">
        <v>0</v>
      </c>
    </row>
    <row r="3269" spans="1:18" x14ac:dyDescent="0.25">
      <c r="A3269" t="s">
        <v>41</v>
      </c>
      <c r="B3269" t="s">
        <v>8</v>
      </c>
      <c r="C3269">
        <v>2</v>
      </c>
      <c r="D3269">
        <v>3</v>
      </c>
      <c r="E3269">
        <v>1</v>
      </c>
      <c r="F3269" s="15">
        <v>46090</v>
      </c>
      <c r="G3269" t="s">
        <v>409</v>
      </c>
      <c r="H3269">
        <v>4</v>
      </c>
      <c r="I3269">
        <v>2026</v>
      </c>
      <c r="J3269">
        <v>3</v>
      </c>
      <c r="K3269" t="s">
        <v>87</v>
      </c>
      <c r="L3269" t="s">
        <v>363</v>
      </c>
      <c r="M3269" t="s">
        <v>6</v>
      </c>
      <c r="N3269" t="b">
        <v>0</v>
      </c>
      <c r="O3269">
        <v>1</v>
      </c>
      <c r="P3269">
        <v>0</v>
      </c>
      <c r="Q3269">
        <v>0</v>
      </c>
      <c r="R3269">
        <v>0</v>
      </c>
    </row>
    <row r="3270" spans="1:18" x14ac:dyDescent="0.25">
      <c r="A3270" t="s">
        <v>13</v>
      </c>
      <c r="B3270" t="s">
        <v>6</v>
      </c>
      <c r="C3270">
        <v>3</v>
      </c>
      <c r="D3270">
        <v>3</v>
      </c>
      <c r="E3270">
        <v>1</v>
      </c>
      <c r="F3270" s="15">
        <v>46090</v>
      </c>
      <c r="G3270" t="s">
        <v>409</v>
      </c>
      <c r="H3270">
        <v>4</v>
      </c>
      <c r="I3270">
        <v>2026</v>
      </c>
      <c r="J3270">
        <v>3</v>
      </c>
      <c r="K3270" t="s">
        <v>87</v>
      </c>
      <c r="L3270" t="s">
        <v>17</v>
      </c>
      <c r="M3270" t="s">
        <v>6</v>
      </c>
      <c r="N3270" t="b">
        <v>0</v>
      </c>
      <c r="O3270">
        <v>0</v>
      </c>
      <c r="P3270">
        <v>1</v>
      </c>
      <c r="Q3270">
        <v>0</v>
      </c>
      <c r="R3270">
        <v>0</v>
      </c>
    </row>
    <row r="3271" spans="1:18" x14ac:dyDescent="0.25">
      <c r="A3271" t="s">
        <v>13</v>
      </c>
      <c r="B3271" t="s">
        <v>6</v>
      </c>
      <c r="C3271">
        <v>3</v>
      </c>
      <c r="D3271">
        <v>3</v>
      </c>
      <c r="E3271">
        <v>1</v>
      </c>
      <c r="F3271" s="15">
        <v>46090</v>
      </c>
      <c r="G3271" t="s">
        <v>409</v>
      </c>
      <c r="H3271">
        <v>4</v>
      </c>
      <c r="I3271">
        <v>2026</v>
      </c>
      <c r="J3271">
        <v>3</v>
      </c>
      <c r="K3271" t="s">
        <v>87</v>
      </c>
      <c r="L3271" t="s">
        <v>41</v>
      </c>
      <c r="M3271" t="s">
        <v>8</v>
      </c>
      <c r="N3271" t="b">
        <v>0</v>
      </c>
      <c r="O3271">
        <v>0</v>
      </c>
      <c r="P3271">
        <v>1</v>
      </c>
      <c r="Q3271">
        <v>0</v>
      </c>
      <c r="R3271">
        <v>1</v>
      </c>
    </row>
    <row r="3272" spans="1:18" x14ac:dyDescent="0.25">
      <c r="A3272" t="s">
        <v>13</v>
      </c>
      <c r="B3272" t="s">
        <v>6</v>
      </c>
      <c r="C3272">
        <v>3</v>
      </c>
      <c r="D3272">
        <v>3</v>
      </c>
      <c r="E3272">
        <v>1</v>
      </c>
      <c r="F3272" s="15">
        <v>46090</v>
      </c>
      <c r="G3272" t="s">
        <v>409</v>
      </c>
      <c r="H3272">
        <v>4</v>
      </c>
      <c r="I3272">
        <v>2026</v>
      </c>
      <c r="J3272">
        <v>3</v>
      </c>
      <c r="K3272" t="s">
        <v>87</v>
      </c>
      <c r="L3272" t="s">
        <v>363</v>
      </c>
      <c r="M3272" t="s">
        <v>6</v>
      </c>
      <c r="N3272" t="b">
        <v>0</v>
      </c>
      <c r="O3272">
        <v>0</v>
      </c>
      <c r="P3272">
        <v>1</v>
      </c>
      <c r="Q3272">
        <v>0</v>
      </c>
      <c r="R3272">
        <v>0</v>
      </c>
    </row>
    <row r="3273" spans="1:18" x14ac:dyDescent="0.25">
      <c r="A3273" t="s">
        <v>363</v>
      </c>
      <c r="B3273" t="s">
        <v>6</v>
      </c>
      <c r="C3273">
        <v>4</v>
      </c>
      <c r="D3273">
        <v>3</v>
      </c>
      <c r="E3273">
        <v>1</v>
      </c>
      <c r="F3273" s="15">
        <v>46090</v>
      </c>
      <c r="G3273" t="s">
        <v>409</v>
      </c>
      <c r="H3273">
        <v>4</v>
      </c>
      <c r="I3273">
        <v>2026</v>
      </c>
      <c r="J3273">
        <v>3</v>
      </c>
      <c r="K3273" t="s">
        <v>87</v>
      </c>
      <c r="L3273" t="s">
        <v>17</v>
      </c>
      <c r="M3273" t="s">
        <v>6</v>
      </c>
      <c r="N3273" t="b">
        <v>0</v>
      </c>
      <c r="O3273">
        <v>0</v>
      </c>
      <c r="P3273">
        <v>1</v>
      </c>
      <c r="Q3273">
        <v>0</v>
      </c>
      <c r="R3273">
        <v>0</v>
      </c>
    </row>
    <row r="3274" spans="1:18" x14ac:dyDescent="0.25">
      <c r="A3274" t="s">
        <v>363</v>
      </c>
      <c r="B3274" t="s">
        <v>6</v>
      </c>
      <c r="C3274">
        <v>4</v>
      </c>
      <c r="D3274">
        <v>3</v>
      </c>
      <c r="E3274">
        <v>1</v>
      </c>
      <c r="F3274" s="15">
        <v>46090</v>
      </c>
      <c r="G3274" t="s">
        <v>409</v>
      </c>
      <c r="H3274">
        <v>4</v>
      </c>
      <c r="I3274">
        <v>2026</v>
      </c>
      <c r="J3274">
        <v>3</v>
      </c>
      <c r="K3274" t="s">
        <v>87</v>
      </c>
      <c r="L3274" t="s">
        <v>41</v>
      </c>
      <c r="M3274" t="s">
        <v>8</v>
      </c>
      <c r="N3274" t="b">
        <v>0</v>
      </c>
      <c r="O3274">
        <v>0</v>
      </c>
      <c r="P3274">
        <v>1</v>
      </c>
      <c r="Q3274">
        <v>0</v>
      </c>
      <c r="R3274">
        <v>1</v>
      </c>
    </row>
    <row r="3275" spans="1:18" x14ac:dyDescent="0.25">
      <c r="A3275" t="s">
        <v>363</v>
      </c>
      <c r="B3275" t="s">
        <v>6</v>
      </c>
      <c r="C3275">
        <v>4</v>
      </c>
      <c r="D3275">
        <v>3</v>
      </c>
      <c r="E3275">
        <v>1</v>
      </c>
      <c r="F3275" s="15">
        <v>46090</v>
      </c>
      <c r="G3275" t="s">
        <v>409</v>
      </c>
      <c r="H3275">
        <v>4</v>
      </c>
      <c r="I3275">
        <v>2026</v>
      </c>
      <c r="J3275">
        <v>3</v>
      </c>
      <c r="K3275" t="s">
        <v>87</v>
      </c>
      <c r="L3275" t="s">
        <v>13</v>
      </c>
      <c r="M3275" t="s">
        <v>6</v>
      </c>
      <c r="N3275" t="b">
        <v>0</v>
      </c>
      <c r="O3275">
        <v>0</v>
      </c>
      <c r="P3275">
        <v>1</v>
      </c>
      <c r="Q3275">
        <v>0</v>
      </c>
      <c r="R3275">
        <v>0</v>
      </c>
    </row>
    <row r="3276" spans="1:18" x14ac:dyDescent="0.25">
      <c r="A3276" t="s">
        <v>400</v>
      </c>
      <c r="B3276" t="s">
        <v>6</v>
      </c>
      <c r="C3276">
        <v>1</v>
      </c>
      <c r="D3276">
        <v>4</v>
      </c>
      <c r="E3276">
        <v>1</v>
      </c>
      <c r="F3276" s="15">
        <v>46090</v>
      </c>
      <c r="G3276" t="s">
        <v>410</v>
      </c>
      <c r="H3276">
        <v>4</v>
      </c>
      <c r="I3276">
        <v>2026</v>
      </c>
      <c r="J3276">
        <v>3</v>
      </c>
      <c r="K3276" t="s">
        <v>87</v>
      </c>
      <c r="L3276" t="s">
        <v>401</v>
      </c>
      <c r="M3276" t="s">
        <v>6</v>
      </c>
      <c r="N3276" t="b">
        <v>0</v>
      </c>
      <c r="O3276">
        <v>0</v>
      </c>
      <c r="P3276">
        <v>1</v>
      </c>
      <c r="Q3276">
        <v>0</v>
      </c>
      <c r="R3276">
        <v>0</v>
      </c>
    </row>
    <row r="3277" spans="1:18" x14ac:dyDescent="0.25">
      <c r="A3277" t="s">
        <v>400</v>
      </c>
      <c r="B3277" t="s">
        <v>6</v>
      </c>
      <c r="C3277">
        <v>1</v>
      </c>
      <c r="D3277">
        <v>4</v>
      </c>
      <c r="E3277">
        <v>1</v>
      </c>
      <c r="F3277" s="15">
        <v>46090</v>
      </c>
      <c r="G3277" t="s">
        <v>410</v>
      </c>
      <c r="H3277">
        <v>4</v>
      </c>
      <c r="I3277">
        <v>2026</v>
      </c>
      <c r="J3277">
        <v>3</v>
      </c>
      <c r="K3277" t="s">
        <v>87</v>
      </c>
      <c r="L3277" t="s">
        <v>402</v>
      </c>
      <c r="M3277" t="s">
        <v>8</v>
      </c>
      <c r="N3277" t="b">
        <v>0</v>
      </c>
      <c r="O3277">
        <v>0</v>
      </c>
      <c r="P3277">
        <v>1</v>
      </c>
      <c r="Q3277">
        <v>0</v>
      </c>
      <c r="R3277">
        <v>1</v>
      </c>
    </row>
    <row r="3278" spans="1:18" x14ac:dyDescent="0.25">
      <c r="A3278" t="s">
        <v>400</v>
      </c>
      <c r="B3278" t="s">
        <v>6</v>
      </c>
      <c r="C3278">
        <v>1</v>
      </c>
      <c r="D3278">
        <v>4</v>
      </c>
      <c r="E3278">
        <v>1</v>
      </c>
      <c r="F3278" s="15">
        <v>46090</v>
      </c>
      <c r="G3278" t="s">
        <v>410</v>
      </c>
      <c r="H3278">
        <v>4</v>
      </c>
      <c r="I3278">
        <v>2026</v>
      </c>
      <c r="J3278">
        <v>3</v>
      </c>
      <c r="K3278" t="s">
        <v>87</v>
      </c>
      <c r="L3278" t="s">
        <v>403</v>
      </c>
      <c r="M3278" t="s">
        <v>6</v>
      </c>
      <c r="N3278" t="b">
        <v>0</v>
      </c>
      <c r="O3278">
        <v>0</v>
      </c>
      <c r="P3278">
        <v>1</v>
      </c>
      <c r="Q3278">
        <v>0</v>
      </c>
      <c r="R3278">
        <v>0</v>
      </c>
    </row>
    <row r="3279" spans="1:18" x14ac:dyDescent="0.25">
      <c r="A3279" t="s">
        <v>401</v>
      </c>
      <c r="B3279" t="s">
        <v>6</v>
      </c>
      <c r="C3279">
        <v>2</v>
      </c>
      <c r="D3279">
        <v>4</v>
      </c>
      <c r="E3279">
        <v>1</v>
      </c>
      <c r="F3279" s="15">
        <v>46090</v>
      </c>
      <c r="G3279" t="s">
        <v>410</v>
      </c>
      <c r="H3279">
        <v>4</v>
      </c>
      <c r="I3279">
        <v>2026</v>
      </c>
      <c r="J3279">
        <v>3</v>
      </c>
      <c r="K3279" t="s">
        <v>87</v>
      </c>
      <c r="L3279" t="s">
        <v>400</v>
      </c>
      <c r="M3279" t="s">
        <v>6</v>
      </c>
      <c r="N3279" t="b">
        <v>0</v>
      </c>
      <c r="O3279">
        <v>0</v>
      </c>
      <c r="P3279">
        <v>1</v>
      </c>
      <c r="Q3279">
        <v>0</v>
      </c>
      <c r="R3279">
        <v>0</v>
      </c>
    </row>
    <row r="3280" spans="1:18" x14ac:dyDescent="0.25">
      <c r="A3280" t="s">
        <v>401</v>
      </c>
      <c r="B3280" t="s">
        <v>6</v>
      </c>
      <c r="C3280">
        <v>2</v>
      </c>
      <c r="D3280">
        <v>4</v>
      </c>
      <c r="E3280">
        <v>1</v>
      </c>
      <c r="F3280" s="15">
        <v>46090</v>
      </c>
      <c r="G3280" t="s">
        <v>410</v>
      </c>
      <c r="H3280">
        <v>4</v>
      </c>
      <c r="I3280">
        <v>2026</v>
      </c>
      <c r="J3280">
        <v>3</v>
      </c>
      <c r="K3280" t="s">
        <v>87</v>
      </c>
      <c r="L3280" t="s">
        <v>402</v>
      </c>
      <c r="M3280" t="s">
        <v>8</v>
      </c>
      <c r="N3280" t="b">
        <v>0</v>
      </c>
      <c r="O3280">
        <v>0</v>
      </c>
      <c r="P3280">
        <v>1</v>
      </c>
      <c r="Q3280">
        <v>0</v>
      </c>
      <c r="R3280">
        <v>1</v>
      </c>
    </row>
    <row r="3281" spans="1:18" x14ac:dyDescent="0.25">
      <c r="A3281" t="s">
        <v>401</v>
      </c>
      <c r="B3281" t="s">
        <v>6</v>
      </c>
      <c r="C3281">
        <v>2</v>
      </c>
      <c r="D3281">
        <v>4</v>
      </c>
      <c r="E3281">
        <v>1</v>
      </c>
      <c r="F3281" s="15">
        <v>46090</v>
      </c>
      <c r="G3281" t="s">
        <v>410</v>
      </c>
      <c r="H3281">
        <v>4</v>
      </c>
      <c r="I3281">
        <v>2026</v>
      </c>
      <c r="J3281">
        <v>3</v>
      </c>
      <c r="K3281" t="s">
        <v>87</v>
      </c>
      <c r="L3281" t="s">
        <v>403</v>
      </c>
      <c r="M3281" t="s">
        <v>6</v>
      </c>
      <c r="N3281" t="b">
        <v>0</v>
      </c>
      <c r="O3281">
        <v>0</v>
      </c>
      <c r="P3281">
        <v>1</v>
      </c>
      <c r="Q3281">
        <v>0</v>
      </c>
      <c r="R3281">
        <v>0</v>
      </c>
    </row>
    <row r="3282" spans="1:18" x14ac:dyDescent="0.25">
      <c r="A3282" t="s">
        <v>402</v>
      </c>
      <c r="B3282" t="s">
        <v>8</v>
      </c>
      <c r="C3282">
        <v>3</v>
      </c>
      <c r="D3282">
        <v>4</v>
      </c>
      <c r="E3282">
        <v>1</v>
      </c>
      <c r="F3282" s="15">
        <v>46090</v>
      </c>
      <c r="G3282" t="s">
        <v>410</v>
      </c>
      <c r="H3282">
        <v>4</v>
      </c>
      <c r="I3282">
        <v>2026</v>
      </c>
      <c r="J3282">
        <v>3</v>
      </c>
      <c r="K3282" t="s">
        <v>87</v>
      </c>
      <c r="L3282" t="s">
        <v>400</v>
      </c>
      <c r="M3282" t="s">
        <v>6</v>
      </c>
      <c r="N3282" t="b">
        <v>0</v>
      </c>
      <c r="O3282">
        <v>1</v>
      </c>
      <c r="P3282">
        <v>0</v>
      </c>
      <c r="Q3282">
        <v>0</v>
      </c>
      <c r="R3282">
        <v>0</v>
      </c>
    </row>
    <row r="3283" spans="1:18" x14ac:dyDescent="0.25">
      <c r="A3283" t="s">
        <v>402</v>
      </c>
      <c r="B3283" t="s">
        <v>8</v>
      </c>
      <c r="C3283">
        <v>3</v>
      </c>
      <c r="D3283">
        <v>4</v>
      </c>
      <c r="E3283">
        <v>1</v>
      </c>
      <c r="F3283" s="15">
        <v>46090</v>
      </c>
      <c r="G3283" t="s">
        <v>410</v>
      </c>
      <c r="H3283">
        <v>4</v>
      </c>
      <c r="I3283">
        <v>2026</v>
      </c>
      <c r="J3283">
        <v>3</v>
      </c>
      <c r="K3283" t="s">
        <v>87</v>
      </c>
      <c r="L3283" t="s">
        <v>401</v>
      </c>
      <c r="M3283" t="s">
        <v>6</v>
      </c>
      <c r="N3283" t="b">
        <v>0</v>
      </c>
      <c r="O3283">
        <v>1</v>
      </c>
      <c r="P3283">
        <v>0</v>
      </c>
      <c r="Q3283">
        <v>0</v>
      </c>
      <c r="R3283">
        <v>0</v>
      </c>
    </row>
    <row r="3284" spans="1:18" x14ac:dyDescent="0.25">
      <c r="A3284" t="s">
        <v>402</v>
      </c>
      <c r="B3284" t="s">
        <v>8</v>
      </c>
      <c r="C3284">
        <v>3</v>
      </c>
      <c r="D3284">
        <v>4</v>
      </c>
      <c r="E3284">
        <v>1</v>
      </c>
      <c r="F3284" s="15">
        <v>46090</v>
      </c>
      <c r="G3284" t="s">
        <v>410</v>
      </c>
      <c r="H3284">
        <v>4</v>
      </c>
      <c r="I3284">
        <v>2026</v>
      </c>
      <c r="J3284">
        <v>3</v>
      </c>
      <c r="K3284" t="s">
        <v>87</v>
      </c>
      <c r="L3284" t="s">
        <v>403</v>
      </c>
      <c r="M3284" t="s">
        <v>6</v>
      </c>
      <c r="N3284" t="b">
        <v>0</v>
      </c>
      <c r="O3284">
        <v>1</v>
      </c>
      <c r="P3284">
        <v>0</v>
      </c>
      <c r="Q3284">
        <v>0</v>
      </c>
      <c r="R3284">
        <v>0</v>
      </c>
    </row>
    <row r="3285" spans="1:18" x14ac:dyDescent="0.25">
      <c r="A3285" t="s">
        <v>403</v>
      </c>
      <c r="B3285" t="s">
        <v>6</v>
      </c>
      <c r="C3285">
        <v>4</v>
      </c>
      <c r="D3285">
        <v>4</v>
      </c>
      <c r="E3285">
        <v>1</v>
      </c>
      <c r="F3285" s="15">
        <v>46090</v>
      </c>
      <c r="G3285" t="s">
        <v>410</v>
      </c>
      <c r="H3285">
        <v>4</v>
      </c>
      <c r="I3285">
        <v>2026</v>
      </c>
      <c r="J3285">
        <v>3</v>
      </c>
      <c r="K3285" t="s">
        <v>87</v>
      </c>
      <c r="L3285" t="s">
        <v>400</v>
      </c>
      <c r="M3285" t="s">
        <v>6</v>
      </c>
      <c r="N3285" t="b">
        <v>0</v>
      </c>
      <c r="O3285">
        <v>0</v>
      </c>
      <c r="P3285">
        <v>1</v>
      </c>
      <c r="Q3285">
        <v>0</v>
      </c>
      <c r="R3285">
        <v>0</v>
      </c>
    </row>
    <row r="3286" spans="1:18" x14ac:dyDescent="0.25">
      <c r="A3286" t="s">
        <v>403</v>
      </c>
      <c r="B3286" t="s">
        <v>6</v>
      </c>
      <c r="C3286">
        <v>4</v>
      </c>
      <c r="D3286">
        <v>4</v>
      </c>
      <c r="E3286">
        <v>1</v>
      </c>
      <c r="F3286" s="15">
        <v>46090</v>
      </c>
      <c r="G3286" t="s">
        <v>410</v>
      </c>
      <c r="H3286">
        <v>4</v>
      </c>
      <c r="I3286">
        <v>2026</v>
      </c>
      <c r="J3286">
        <v>3</v>
      </c>
      <c r="K3286" t="s">
        <v>87</v>
      </c>
      <c r="L3286" t="s">
        <v>401</v>
      </c>
      <c r="M3286" t="s">
        <v>6</v>
      </c>
      <c r="N3286" t="b">
        <v>0</v>
      </c>
      <c r="O3286">
        <v>0</v>
      </c>
      <c r="P3286">
        <v>1</v>
      </c>
      <c r="Q3286">
        <v>0</v>
      </c>
      <c r="R3286">
        <v>0</v>
      </c>
    </row>
    <row r="3287" spans="1:18" x14ac:dyDescent="0.25">
      <c r="A3287" t="s">
        <v>403</v>
      </c>
      <c r="B3287" t="s">
        <v>6</v>
      </c>
      <c r="C3287">
        <v>4</v>
      </c>
      <c r="D3287">
        <v>4</v>
      </c>
      <c r="E3287">
        <v>1</v>
      </c>
      <c r="F3287" s="15">
        <v>46090</v>
      </c>
      <c r="G3287" t="s">
        <v>410</v>
      </c>
      <c r="H3287">
        <v>4</v>
      </c>
      <c r="I3287">
        <v>2026</v>
      </c>
      <c r="J3287">
        <v>3</v>
      </c>
      <c r="K3287" t="s">
        <v>87</v>
      </c>
      <c r="L3287" t="s">
        <v>402</v>
      </c>
      <c r="M3287" t="s">
        <v>8</v>
      </c>
      <c r="N3287" t="b">
        <v>0</v>
      </c>
      <c r="O3287">
        <v>0</v>
      </c>
      <c r="P3287">
        <v>1</v>
      </c>
      <c r="Q3287">
        <v>0</v>
      </c>
      <c r="R3287">
        <v>1</v>
      </c>
    </row>
    <row r="3288" spans="1:18" x14ac:dyDescent="0.25">
      <c r="A3288" t="s">
        <v>10</v>
      </c>
      <c r="B3288" t="s">
        <v>8</v>
      </c>
      <c r="C3288">
        <v>1</v>
      </c>
      <c r="D3288">
        <v>5</v>
      </c>
      <c r="E3288">
        <v>1</v>
      </c>
      <c r="F3288" s="15">
        <v>46090</v>
      </c>
      <c r="G3288" t="s">
        <v>411</v>
      </c>
      <c r="H3288">
        <v>4</v>
      </c>
      <c r="I3288">
        <v>2026</v>
      </c>
      <c r="J3288">
        <v>3</v>
      </c>
      <c r="K3288" t="s">
        <v>87</v>
      </c>
      <c r="L3288" t="s">
        <v>404</v>
      </c>
      <c r="M3288" t="s">
        <v>6</v>
      </c>
      <c r="N3288" t="b">
        <v>0</v>
      </c>
      <c r="O3288">
        <v>1</v>
      </c>
      <c r="P3288">
        <v>0</v>
      </c>
      <c r="Q3288">
        <v>0</v>
      </c>
      <c r="R3288">
        <v>0</v>
      </c>
    </row>
    <row r="3289" spans="1:18" x14ac:dyDescent="0.25">
      <c r="A3289" t="s">
        <v>10</v>
      </c>
      <c r="B3289" t="s">
        <v>8</v>
      </c>
      <c r="C3289">
        <v>1</v>
      </c>
      <c r="D3289">
        <v>5</v>
      </c>
      <c r="E3289">
        <v>1</v>
      </c>
      <c r="F3289" s="15">
        <v>46090</v>
      </c>
      <c r="G3289" t="s">
        <v>411</v>
      </c>
      <c r="H3289">
        <v>4</v>
      </c>
      <c r="I3289">
        <v>2026</v>
      </c>
      <c r="J3289">
        <v>3</v>
      </c>
      <c r="K3289" t="s">
        <v>87</v>
      </c>
      <c r="L3289" t="s">
        <v>405</v>
      </c>
      <c r="M3289" t="s">
        <v>6</v>
      </c>
      <c r="N3289" t="b">
        <v>0</v>
      </c>
      <c r="O3289">
        <v>1</v>
      </c>
      <c r="P3289">
        <v>0</v>
      </c>
      <c r="Q3289">
        <v>0</v>
      </c>
      <c r="R3289">
        <v>0</v>
      </c>
    </row>
    <row r="3290" spans="1:18" x14ac:dyDescent="0.25">
      <c r="A3290" t="s">
        <v>10</v>
      </c>
      <c r="B3290" t="s">
        <v>8</v>
      </c>
      <c r="C3290">
        <v>1</v>
      </c>
      <c r="D3290">
        <v>5</v>
      </c>
      <c r="E3290">
        <v>1</v>
      </c>
      <c r="F3290" s="15">
        <v>46090</v>
      </c>
      <c r="G3290" t="s">
        <v>411</v>
      </c>
      <c r="H3290">
        <v>4</v>
      </c>
      <c r="I3290">
        <v>2026</v>
      </c>
      <c r="J3290">
        <v>3</v>
      </c>
      <c r="K3290" t="s">
        <v>87</v>
      </c>
      <c r="L3290" t="s">
        <v>7</v>
      </c>
      <c r="M3290" t="s">
        <v>6</v>
      </c>
      <c r="N3290" t="b">
        <v>0</v>
      </c>
      <c r="O3290">
        <v>1</v>
      </c>
      <c r="P3290">
        <v>0</v>
      </c>
      <c r="Q3290">
        <v>0</v>
      </c>
      <c r="R3290">
        <v>0</v>
      </c>
    </row>
    <row r="3291" spans="1:18" x14ac:dyDescent="0.25">
      <c r="A3291" t="s">
        <v>404</v>
      </c>
      <c r="B3291" t="s">
        <v>6</v>
      </c>
      <c r="C3291">
        <v>2</v>
      </c>
      <c r="D3291">
        <v>5</v>
      </c>
      <c r="E3291">
        <v>1</v>
      </c>
      <c r="F3291" s="15">
        <v>46090</v>
      </c>
      <c r="G3291" t="s">
        <v>411</v>
      </c>
      <c r="H3291">
        <v>4</v>
      </c>
      <c r="I3291">
        <v>2026</v>
      </c>
      <c r="J3291">
        <v>3</v>
      </c>
      <c r="K3291" t="s">
        <v>87</v>
      </c>
      <c r="L3291" t="s">
        <v>10</v>
      </c>
      <c r="M3291" t="s">
        <v>8</v>
      </c>
      <c r="N3291" t="b">
        <v>0</v>
      </c>
      <c r="O3291">
        <v>0</v>
      </c>
      <c r="P3291">
        <v>1</v>
      </c>
      <c r="Q3291">
        <v>0</v>
      </c>
      <c r="R3291">
        <v>1</v>
      </c>
    </row>
    <row r="3292" spans="1:18" x14ac:dyDescent="0.25">
      <c r="A3292" t="s">
        <v>404</v>
      </c>
      <c r="B3292" t="s">
        <v>6</v>
      </c>
      <c r="C3292">
        <v>2</v>
      </c>
      <c r="D3292">
        <v>5</v>
      </c>
      <c r="E3292">
        <v>1</v>
      </c>
      <c r="F3292" s="15">
        <v>46090</v>
      </c>
      <c r="G3292" t="s">
        <v>411</v>
      </c>
      <c r="H3292">
        <v>4</v>
      </c>
      <c r="I3292">
        <v>2026</v>
      </c>
      <c r="J3292">
        <v>3</v>
      </c>
      <c r="K3292" t="s">
        <v>87</v>
      </c>
      <c r="L3292" t="s">
        <v>405</v>
      </c>
      <c r="M3292" t="s">
        <v>6</v>
      </c>
      <c r="N3292" t="b">
        <v>0</v>
      </c>
      <c r="O3292">
        <v>0</v>
      </c>
      <c r="P3292">
        <v>1</v>
      </c>
      <c r="Q3292">
        <v>0</v>
      </c>
      <c r="R3292">
        <v>0</v>
      </c>
    </row>
    <row r="3293" spans="1:18" x14ac:dyDescent="0.25">
      <c r="A3293" t="s">
        <v>404</v>
      </c>
      <c r="B3293" t="s">
        <v>6</v>
      </c>
      <c r="C3293">
        <v>2</v>
      </c>
      <c r="D3293">
        <v>5</v>
      </c>
      <c r="E3293">
        <v>1</v>
      </c>
      <c r="F3293" s="15">
        <v>46090</v>
      </c>
      <c r="G3293" t="s">
        <v>411</v>
      </c>
      <c r="H3293">
        <v>4</v>
      </c>
      <c r="I3293">
        <v>2026</v>
      </c>
      <c r="J3293">
        <v>3</v>
      </c>
      <c r="K3293" t="s">
        <v>87</v>
      </c>
      <c r="L3293" t="s">
        <v>7</v>
      </c>
      <c r="M3293" t="s">
        <v>6</v>
      </c>
      <c r="N3293" t="b">
        <v>0</v>
      </c>
      <c r="O3293">
        <v>0</v>
      </c>
      <c r="P3293">
        <v>1</v>
      </c>
      <c r="Q3293">
        <v>0</v>
      </c>
      <c r="R3293">
        <v>0</v>
      </c>
    </row>
    <row r="3294" spans="1:18" x14ac:dyDescent="0.25">
      <c r="A3294" t="s">
        <v>405</v>
      </c>
      <c r="B3294" t="s">
        <v>6</v>
      </c>
      <c r="C3294">
        <v>3</v>
      </c>
      <c r="D3294">
        <v>5</v>
      </c>
      <c r="E3294">
        <v>1</v>
      </c>
      <c r="F3294" s="15">
        <v>46090</v>
      </c>
      <c r="G3294" t="s">
        <v>411</v>
      </c>
      <c r="H3294">
        <v>4</v>
      </c>
      <c r="I3294">
        <v>2026</v>
      </c>
      <c r="J3294">
        <v>3</v>
      </c>
      <c r="K3294" t="s">
        <v>87</v>
      </c>
      <c r="L3294" t="s">
        <v>10</v>
      </c>
      <c r="M3294" t="s">
        <v>8</v>
      </c>
      <c r="N3294" t="b">
        <v>0</v>
      </c>
      <c r="O3294">
        <v>0</v>
      </c>
      <c r="P3294">
        <v>1</v>
      </c>
      <c r="Q3294">
        <v>0</v>
      </c>
      <c r="R3294">
        <v>1</v>
      </c>
    </row>
    <row r="3295" spans="1:18" x14ac:dyDescent="0.25">
      <c r="A3295" t="s">
        <v>405</v>
      </c>
      <c r="B3295" t="s">
        <v>6</v>
      </c>
      <c r="C3295">
        <v>3</v>
      </c>
      <c r="D3295">
        <v>5</v>
      </c>
      <c r="E3295">
        <v>1</v>
      </c>
      <c r="F3295" s="15">
        <v>46090</v>
      </c>
      <c r="G3295" t="s">
        <v>411</v>
      </c>
      <c r="H3295">
        <v>4</v>
      </c>
      <c r="I3295">
        <v>2026</v>
      </c>
      <c r="J3295">
        <v>3</v>
      </c>
      <c r="K3295" t="s">
        <v>87</v>
      </c>
      <c r="L3295" t="s">
        <v>404</v>
      </c>
      <c r="M3295" t="s">
        <v>6</v>
      </c>
      <c r="N3295" t="b">
        <v>0</v>
      </c>
      <c r="O3295">
        <v>0</v>
      </c>
      <c r="P3295">
        <v>1</v>
      </c>
      <c r="Q3295">
        <v>0</v>
      </c>
      <c r="R3295">
        <v>0</v>
      </c>
    </row>
    <row r="3296" spans="1:18" x14ac:dyDescent="0.25">
      <c r="A3296" t="s">
        <v>405</v>
      </c>
      <c r="B3296" t="s">
        <v>6</v>
      </c>
      <c r="C3296">
        <v>3</v>
      </c>
      <c r="D3296">
        <v>5</v>
      </c>
      <c r="E3296">
        <v>1</v>
      </c>
      <c r="F3296" s="15">
        <v>46090</v>
      </c>
      <c r="G3296" t="s">
        <v>411</v>
      </c>
      <c r="H3296">
        <v>4</v>
      </c>
      <c r="I3296">
        <v>2026</v>
      </c>
      <c r="J3296">
        <v>3</v>
      </c>
      <c r="K3296" t="s">
        <v>87</v>
      </c>
      <c r="L3296" t="s">
        <v>7</v>
      </c>
      <c r="M3296" t="s">
        <v>6</v>
      </c>
      <c r="N3296" t="b">
        <v>0</v>
      </c>
      <c r="O3296">
        <v>0</v>
      </c>
      <c r="P3296">
        <v>1</v>
      </c>
      <c r="Q3296">
        <v>0</v>
      </c>
      <c r="R3296">
        <v>0</v>
      </c>
    </row>
    <row r="3297" spans="1:18" x14ac:dyDescent="0.25">
      <c r="A3297" t="s">
        <v>7</v>
      </c>
      <c r="B3297" t="s">
        <v>6</v>
      </c>
      <c r="C3297">
        <v>4</v>
      </c>
      <c r="D3297">
        <v>5</v>
      </c>
      <c r="E3297">
        <v>1</v>
      </c>
      <c r="F3297" s="15">
        <v>46090</v>
      </c>
      <c r="G3297" t="s">
        <v>411</v>
      </c>
      <c r="H3297">
        <v>4</v>
      </c>
      <c r="I3297">
        <v>2026</v>
      </c>
      <c r="J3297">
        <v>3</v>
      </c>
      <c r="K3297" t="s">
        <v>87</v>
      </c>
      <c r="L3297" t="s">
        <v>10</v>
      </c>
      <c r="M3297" t="s">
        <v>8</v>
      </c>
      <c r="N3297" t="b">
        <v>0</v>
      </c>
      <c r="O3297">
        <v>0</v>
      </c>
      <c r="P3297">
        <v>1</v>
      </c>
      <c r="Q3297">
        <v>0</v>
      </c>
      <c r="R3297">
        <v>1</v>
      </c>
    </row>
    <row r="3298" spans="1:18" x14ac:dyDescent="0.25">
      <c r="A3298" t="s">
        <v>7</v>
      </c>
      <c r="B3298" t="s">
        <v>6</v>
      </c>
      <c r="C3298">
        <v>4</v>
      </c>
      <c r="D3298">
        <v>5</v>
      </c>
      <c r="E3298">
        <v>1</v>
      </c>
      <c r="F3298" s="15">
        <v>46090</v>
      </c>
      <c r="G3298" t="s">
        <v>411</v>
      </c>
      <c r="H3298">
        <v>4</v>
      </c>
      <c r="I3298">
        <v>2026</v>
      </c>
      <c r="J3298">
        <v>3</v>
      </c>
      <c r="K3298" t="s">
        <v>87</v>
      </c>
      <c r="L3298" t="s">
        <v>404</v>
      </c>
      <c r="M3298" t="s">
        <v>6</v>
      </c>
      <c r="N3298" t="b">
        <v>0</v>
      </c>
      <c r="O3298">
        <v>0</v>
      </c>
      <c r="P3298">
        <v>1</v>
      </c>
      <c r="Q3298">
        <v>0</v>
      </c>
      <c r="R3298">
        <v>0</v>
      </c>
    </row>
    <row r="3299" spans="1:18" x14ac:dyDescent="0.25">
      <c r="A3299" t="s">
        <v>7</v>
      </c>
      <c r="B3299" t="s">
        <v>6</v>
      </c>
      <c r="C3299">
        <v>4</v>
      </c>
      <c r="D3299">
        <v>5</v>
      </c>
      <c r="E3299">
        <v>1</v>
      </c>
      <c r="F3299" s="15">
        <v>46090</v>
      </c>
      <c r="G3299" t="s">
        <v>411</v>
      </c>
      <c r="H3299">
        <v>4</v>
      </c>
      <c r="I3299">
        <v>2026</v>
      </c>
      <c r="J3299">
        <v>3</v>
      </c>
      <c r="K3299" t="s">
        <v>87</v>
      </c>
      <c r="L3299" t="s">
        <v>405</v>
      </c>
      <c r="M3299" t="s">
        <v>6</v>
      </c>
      <c r="N3299" t="b">
        <v>0</v>
      </c>
      <c r="O3299">
        <v>0</v>
      </c>
      <c r="P3299">
        <v>1</v>
      </c>
      <c r="Q3299">
        <v>0</v>
      </c>
      <c r="R3299">
        <v>0</v>
      </c>
    </row>
    <row r="3300" spans="1:18" x14ac:dyDescent="0.25">
      <c r="A3300" t="s">
        <v>364</v>
      </c>
      <c r="B3300" t="s">
        <v>8</v>
      </c>
      <c r="C3300">
        <v>1</v>
      </c>
      <c r="D3300">
        <v>6</v>
      </c>
      <c r="E3300">
        <v>1</v>
      </c>
      <c r="F3300" s="15">
        <v>46090</v>
      </c>
      <c r="G3300" t="s">
        <v>412</v>
      </c>
      <c r="H3300">
        <v>4</v>
      </c>
      <c r="I3300">
        <v>2026</v>
      </c>
      <c r="J3300">
        <v>3</v>
      </c>
      <c r="K3300" t="s">
        <v>87</v>
      </c>
      <c r="L3300" t="s">
        <v>20</v>
      </c>
      <c r="M3300" t="s">
        <v>6</v>
      </c>
      <c r="N3300" t="b">
        <v>0</v>
      </c>
      <c r="O3300">
        <v>1</v>
      </c>
      <c r="P3300">
        <v>0</v>
      </c>
      <c r="Q3300">
        <v>0</v>
      </c>
      <c r="R3300">
        <v>0</v>
      </c>
    </row>
    <row r="3301" spans="1:18" x14ac:dyDescent="0.25">
      <c r="A3301" t="s">
        <v>364</v>
      </c>
      <c r="B3301" t="s">
        <v>8</v>
      </c>
      <c r="C3301">
        <v>1</v>
      </c>
      <c r="D3301">
        <v>6</v>
      </c>
      <c r="E3301">
        <v>1</v>
      </c>
      <c r="F3301" s="15">
        <v>46090</v>
      </c>
      <c r="G3301" t="s">
        <v>412</v>
      </c>
      <c r="H3301">
        <v>4</v>
      </c>
      <c r="I3301">
        <v>2026</v>
      </c>
      <c r="J3301">
        <v>3</v>
      </c>
      <c r="K3301" t="s">
        <v>87</v>
      </c>
      <c r="L3301" t="s">
        <v>52</v>
      </c>
      <c r="M3301" t="s">
        <v>6</v>
      </c>
      <c r="N3301" t="b">
        <v>0</v>
      </c>
      <c r="O3301">
        <v>1</v>
      </c>
      <c r="P3301">
        <v>0</v>
      </c>
      <c r="Q3301">
        <v>0</v>
      </c>
      <c r="R3301">
        <v>0</v>
      </c>
    </row>
    <row r="3302" spans="1:18" x14ac:dyDescent="0.25">
      <c r="A3302" t="s">
        <v>364</v>
      </c>
      <c r="B3302" t="s">
        <v>8</v>
      </c>
      <c r="C3302">
        <v>1</v>
      </c>
      <c r="D3302">
        <v>6</v>
      </c>
      <c r="E3302">
        <v>1</v>
      </c>
      <c r="F3302" s="15">
        <v>46090</v>
      </c>
      <c r="G3302" t="s">
        <v>412</v>
      </c>
      <c r="H3302">
        <v>4</v>
      </c>
      <c r="I3302">
        <v>2026</v>
      </c>
      <c r="J3302">
        <v>3</v>
      </c>
      <c r="K3302" t="s">
        <v>87</v>
      </c>
      <c r="L3302" t="s">
        <v>28</v>
      </c>
      <c r="M3302" t="s">
        <v>6</v>
      </c>
      <c r="N3302" t="b">
        <v>0</v>
      </c>
      <c r="O3302">
        <v>1</v>
      </c>
      <c r="P3302">
        <v>0</v>
      </c>
      <c r="Q3302">
        <v>0</v>
      </c>
      <c r="R3302">
        <v>0</v>
      </c>
    </row>
    <row r="3303" spans="1:18" x14ac:dyDescent="0.25">
      <c r="A3303" t="s">
        <v>20</v>
      </c>
      <c r="B3303" t="s">
        <v>6</v>
      </c>
      <c r="C3303">
        <v>2</v>
      </c>
      <c r="D3303">
        <v>6</v>
      </c>
      <c r="E3303">
        <v>1</v>
      </c>
      <c r="F3303" s="15">
        <v>46090</v>
      </c>
      <c r="G3303" t="s">
        <v>412</v>
      </c>
      <c r="H3303">
        <v>4</v>
      </c>
      <c r="I3303">
        <v>2026</v>
      </c>
      <c r="J3303">
        <v>3</v>
      </c>
      <c r="K3303" t="s">
        <v>87</v>
      </c>
      <c r="L3303" t="s">
        <v>364</v>
      </c>
      <c r="M3303" t="s">
        <v>8</v>
      </c>
      <c r="N3303" t="b">
        <v>0</v>
      </c>
      <c r="O3303">
        <v>0</v>
      </c>
      <c r="P3303">
        <v>1</v>
      </c>
      <c r="Q3303">
        <v>0</v>
      </c>
      <c r="R3303">
        <v>1</v>
      </c>
    </row>
    <row r="3304" spans="1:18" x14ac:dyDescent="0.25">
      <c r="A3304" t="s">
        <v>20</v>
      </c>
      <c r="B3304" t="s">
        <v>6</v>
      </c>
      <c r="C3304">
        <v>2</v>
      </c>
      <c r="D3304">
        <v>6</v>
      </c>
      <c r="E3304">
        <v>1</v>
      </c>
      <c r="F3304" s="15">
        <v>46090</v>
      </c>
      <c r="G3304" t="s">
        <v>412</v>
      </c>
      <c r="H3304">
        <v>4</v>
      </c>
      <c r="I3304">
        <v>2026</v>
      </c>
      <c r="J3304">
        <v>3</v>
      </c>
      <c r="K3304" t="s">
        <v>87</v>
      </c>
      <c r="L3304" t="s">
        <v>52</v>
      </c>
      <c r="M3304" t="s">
        <v>6</v>
      </c>
      <c r="N3304" t="b">
        <v>0</v>
      </c>
      <c r="O3304">
        <v>0</v>
      </c>
      <c r="P3304">
        <v>1</v>
      </c>
      <c r="Q3304">
        <v>0</v>
      </c>
      <c r="R3304">
        <v>0</v>
      </c>
    </row>
    <row r="3305" spans="1:18" x14ac:dyDescent="0.25">
      <c r="A3305" t="s">
        <v>20</v>
      </c>
      <c r="B3305" t="s">
        <v>6</v>
      </c>
      <c r="C3305">
        <v>2</v>
      </c>
      <c r="D3305">
        <v>6</v>
      </c>
      <c r="E3305">
        <v>1</v>
      </c>
      <c r="F3305" s="15">
        <v>46090</v>
      </c>
      <c r="G3305" t="s">
        <v>412</v>
      </c>
      <c r="H3305">
        <v>4</v>
      </c>
      <c r="I3305">
        <v>2026</v>
      </c>
      <c r="J3305">
        <v>3</v>
      </c>
      <c r="K3305" t="s">
        <v>87</v>
      </c>
      <c r="L3305" t="s">
        <v>28</v>
      </c>
      <c r="M3305" t="s">
        <v>6</v>
      </c>
      <c r="N3305" t="b">
        <v>0</v>
      </c>
      <c r="O3305">
        <v>0</v>
      </c>
      <c r="P3305">
        <v>1</v>
      </c>
      <c r="Q3305">
        <v>0</v>
      </c>
      <c r="R3305">
        <v>0</v>
      </c>
    </row>
    <row r="3306" spans="1:18" x14ac:dyDescent="0.25">
      <c r="A3306" t="s">
        <v>52</v>
      </c>
      <c r="B3306" t="s">
        <v>6</v>
      </c>
      <c r="C3306">
        <v>3</v>
      </c>
      <c r="D3306">
        <v>6</v>
      </c>
      <c r="E3306">
        <v>1</v>
      </c>
      <c r="F3306" s="15">
        <v>46090</v>
      </c>
      <c r="G3306" t="s">
        <v>412</v>
      </c>
      <c r="H3306">
        <v>4</v>
      </c>
      <c r="I3306">
        <v>2026</v>
      </c>
      <c r="J3306">
        <v>3</v>
      </c>
      <c r="K3306" t="s">
        <v>87</v>
      </c>
      <c r="L3306" t="s">
        <v>364</v>
      </c>
      <c r="M3306" t="s">
        <v>8</v>
      </c>
      <c r="N3306" t="b">
        <v>0</v>
      </c>
      <c r="O3306">
        <v>0</v>
      </c>
      <c r="P3306">
        <v>1</v>
      </c>
      <c r="Q3306">
        <v>0</v>
      </c>
      <c r="R3306">
        <v>1</v>
      </c>
    </row>
    <row r="3307" spans="1:18" x14ac:dyDescent="0.25">
      <c r="A3307" t="s">
        <v>52</v>
      </c>
      <c r="B3307" t="s">
        <v>6</v>
      </c>
      <c r="C3307">
        <v>3</v>
      </c>
      <c r="D3307">
        <v>6</v>
      </c>
      <c r="E3307">
        <v>1</v>
      </c>
      <c r="F3307" s="15">
        <v>46090</v>
      </c>
      <c r="G3307" t="s">
        <v>412</v>
      </c>
      <c r="H3307">
        <v>4</v>
      </c>
      <c r="I3307">
        <v>2026</v>
      </c>
      <c r="J3307">
        <v>3</v>
      </c>
      <c r="K3307" t="s">
        <v>87</v>
      </c>
      <c r="L3307" t="s">
        <v>20</v>
      </c>
      <c r="M3307" t="s">
        <v>6</v>
      </c>
      <c r="N3307" t="b">
        <v>0</v>
      </c>
      <c r="O3307">
        <v>0</v>
      </c>
      <c r="P3307">
        <v>1</v>
      </c>
      <c r="Q3307">
        <v>0</v>
      </c>
      <c r="R3307">
        <v>0</v>
      </c>
    </row>
    <row r="3308" spans="1:18" x14ac:dyDescent="0.25">
      <c r="A3308" t="s">
        <v>52</v>
      </c>
      <c r="B3308" t="s">
        <v>6</v>
      </c>
      <c r="C3308">
        <v>3</v>
      </c>
      <c r="D3308">
        <v>6</v>
      </c>
      <c r="E3308">
        <v>1</v>
      </c>
      <c r="F3308" s="15">
        <v>46090</v>
      </c>
      <c r="G3308" t="s">
        <v>412</v>
      </c>
      <c r="H3308">
        <v>4</v>
      </c>
      <c r="I3308">
        <v>2026</v>
      </c>
      <c r="J3308">
        <v>3</v>
      </c>
      <c r="K3308" t="s">
        <v>87</v>
      </c>
      <c r="L3308" t="s">
        <v>28</v>
      </c>
      <c r="M3308" t="s">
        <v>6</v>
      </c>
      <c r="N3308" t="b">
        <v>0</v>
      </c>
      <c r="O3308">
        <v>0</v>
      </c>
      <c r="P3308">
        <v>1</v>
      </c>
      <c r="Q3308">
        <v>0</v>
      </c>
      <c r="R3308">
        <v>0</v>
      </c>
    </row>
    <row r="3309" spans="1:18" x14ac:dyDescent="0.25">
      <c r="A3309" t="s">
        <v>28</v>
      </c>
      <c r="B3309" t="s">
        <v>6</v>
      </c>
      <c r="C3309">
        <v>4</v>
      </c>
      <c r="D3309">
        <v>6</v>
      </c>
      <c r="E3309">
        <v>1</v>
      </c>
      <c r="F3309" s="15">
        <v>46090</v>
      </c>
      <c r="G3309" t="s">
        <v>412</v>
      </c>
      <c r="H3309">
        <v>4</v>
      </c>
      <c r="I3309">
        <v>2026</v>
      </c>
      <c r="J3309">
        <v>3</v>
      </c>
      <c r="K3309" t="s">
        <v>87</v>
      </c>
      <c r="L3309" t="s">
        <v>364</v>
      </c>
      <c r="M3309" t="s">
        <v>8</v>
      </c>
      <c r="N3309" t="b">
        <v>0</v>
      </c>
      <c r="O3309">
        <v>0</v>
      </c>
      <c r="P3309">
        <v>1</v>
      </c>
      <c r="Q3309">
        <v>0</v>
      </c>
      <c r="R3309">
        <v>1</v>
      </c>
    </row>
    <row r="3310" spans="1:18" x14ac:dyDescent="0.25">
      <c r="A3310" t="s">
        <v>28</v>
      </c>
      <c r="B3310" t="s">
        <v>6</v>
      </c>
      <c r="C3310">
        <v>4</v>
      </c>
      <c r="D3310">
        <v>6</v>
      </c>
      <c r="E3310">
        <v>1</v>
      </c>
      <c r="F3310" s="15">
        <v>46090</v>
      </c>
      <c r="G3310" t="s">
        <v>412</v>
      </c>
      <c r="H3310">
        <v>4</v>
      </c>
      <c r="I3310">
        <v>2026</v>
      </c>
      <c r="J3310">
        <v>3</v>
      </c>
      <c r="K3310" t="s">
        <v>87</v>
      </c>
      <c r="L3310" t="s">
        <v>20</v>
      </c>
      <c r="M3310" t="s">
        <v>6</v>
      </c>
      <c r="N3310" t="b">
        <v>0</v>
      </c>
      <c r="O3310">
        <v>0</v>
      </c>
      <c r="P3310">
        <v>1</v>
      </c>
      <c r="Q3310">
        <v>0</v>
      </c>
      <c r="R3310">
        <v>0</v>
      </c>
    </row>
    <row r="3311" spans="1:18" x14ac:dyDescent="0.25">
      <c r="A3311" t="s">
        <v>28</v>
      </c>
      <c r="B3311" t="s">
        <v>6</v>
      </c>
      <c r="C3311">
        <v>4</v>
      </c>
      <c r="D3311">
        <v>6</v>
      </c>
      <c r="E3311">
        <v>1</v>
      </c>
      <c r="F3311" s="15">
        <v>46090</v>
      </c>
      <c r="G3311" t="s">
        <v>412</v>
      </c>
      <c r="H3311">
        <v>4</v>
      </c>
      <c r="I3311">
        <v>2026</v>
      </c>
      <c r="J3311">
        <v>3</v>
      </c>
      <c r="K3311" t="s">
        <v>87</v>
      </c>
      <c r="L3311" t="s">
        <v>52</v>
      </c>
      <c r="M3311" t="s">
        <v>6</v>
      </c>
      <c r="N3311" t="b">
        <v>0</v>
      </c>
      <c r="O3311">
        <v>0</v>
      </c>
      <c r="P3311">
        <v>1</v>
      </c>
      <c r="Q3311">
        <v>0</v>
      </c>
      <c r="R3311">
        <v>0</v>
      </c>
    </row>
    <row r="3312" spans="1:18" x14ac:dyDescent="0.25">
      <c r="A3312" t="s">
        <v>351</v>
      </c>
      <c r="B3312" t="s">
        <v>63</v>
      </c>
      <c r="C3312">
        <v>1</v>
      </c>
      <c r="D3312">
        <v>7</v>
      </c>
      <c r="E3312">
        <v>1</v>
      </c>
      <c r="F3312" s="15">
        <v>46090</v>
      </c>
      <c r="G3312" t="s">
        <v>413</v>
      </c>
      <c r="H3312">
        <v>5</v>
      </c>
      <c r="I3312">
        <v>2026</v>
      </c>
      <c r="J3312">
        <v>3</v>
      </c>
      <c r="K3312" t="s">
        <v>87</v>
      </c>
      <c r="L3312" t="s">
        <v>436</v>
      </c>
      <c r="M3312" t="s">
        <v>63</v>
      </c>
      <c r="N3312" t="b">
        <v>0</v>
      </c>
      <c r="O3312">
        <v>0</v>
      </c>
      <c r="P3312">
        <v>0</v>
      </c>
      <c r="Q3312">
        <v>1</v>
      </c>
      <c r="R3312">
        <v>0</v>
      </c>
    </row>
    <row r="3313" spans="1:18" x14ac:dyDescent="0.25">
      <c r="A3313" t="s">
        <v>351</v>
      </c>
      <c r="B3313" t="s">
        <v>63</v>
      </c>
      <c r="C3313">
        <v>1</v>
      </c>
      <c r="D3313">
        <v>7</v>
      </c>
      <c r="E3313">
        <v>1</v>
      </c>
      <c r="F3313" s="15">
        <v>46090</v>
      </c>
      <c r="G3313" t="s">
        <v>413</v>
      </c>
      <c r="H3313">
        <v>5</v>
      </c>
      <c r="I3313">
        <v>2026</v>
      </c>
      <c r="J3313">
        <v>3</v>
      </c>
      <c r="K3313" t="s">
        <v>87</v>
      </c>
      <c r="L3313" t="s">
        <v>16</v>
      </c>
      <c r="M3313" t="s">
        <v>63</v>
      </c>
      <c r="N3313" t="b">
        <v>0</v>
      </c>
      <c r="O3313">
        <v>0</v>
      </c>
      <c r="P3313">
        <v>0</v>
      </c>
      <c r="Q3313">
        <v>1</v>
      </c>
      <c r="R3313">
        <v>0</v>
      </c>
    </row>
    <row r="3314" spans="1:18" x14ac:dyDescent="0.25">
      <c r="A3314" t="s">
        <v>351</v>
      </c>
      <c r="B3314" t="s">
        <v>63</v>
      </c>
      <c r="C3314">
        <v>1</v>
      </c>
      <c r="D3314">
        <v>7</v>
      </c>
      <c r="E3314">
        <v>1</v>
      </c>
      <c r="F3314" s="15">
        <v>46090</v>
      </c>
      <c r="G3314" t="s">
        <v>413</v>
      </c>
      <c r="H3314">
        <v>5</v>
      </c>
      <c r="I3314">
        <v>2026</v>
      </c>
      <c r="J3314">
        <v>3</v>
      </c>
      <c r="K3314" t="s">
        <v>87</v>
      </c>
      <c r="L3314" t="s">
        <v>14</v>
      </c>
      <c r="M3314" t="s">
        <v>63</v>
      </c>
      <c r="N3314" t="b">
        <v>0</v>
      </c>
      <c r="O3314">
        <v>0</v>
      </c>
      <c r="P3314">
        <v>0</v>
      </c>
      <c r="Q3314">
        <v>1</v>
      </c>
      <c r="R3314">
        <v>0</v>
      </c>
    </row>
    <row r="3315" spans="1:18" x14ac:dyDescent="0.25">
      <c r="A3315" t="s">
        <v>351</v>
      </c>
      <c r="B3315" t="s">
        <v>63</v>
      </c>
      <c r="C3315">
        <v>1</v>
      </c>
      <c r="D3315">
        <v>7</v>
      </c>
      <c r="E3315">
        <v>1</v>
      </c>
      <c r="F3315" s="15">
        <v>46090</v>
      </c>
      <c r="G3315" t="s">
        <v>413</v>
      </c>
      <c r="H3315">
        <v>5</v>
      </c>
      <c r="I3315">
        <v>2026</v>
      </c>
      <c r="J3315">
        <v>3</v>
      </c>
      <c r="K3315" t="s">
        <v>87</v>
      </c>
      <c r="L3315" t="s">
        <v>406</v>
      </c>
      <c r="M3315" t="s">
        <v>63</v>
      </c>
      <c r="N3315" t="b">
        <v>0</v>
      </c>
      <c r="O3315">
        <v>0</v>
      </c>
      <c r="P3315">
        <v>0</v>
      </c>
      <c r="Q3315">
        <v>1</v>
      </c>
      <c r="R3315">
        <v>0</v>
      </c>
    </row>
    <row r="3316" spans="1:18" x14ac:dyDescent="0.25">
      <c r="A3316" t="s">
        <v>436</v>
      </c>
      <c r="B3316" t="s">
        <v>63</v>
      </c>
      <c r="C3316">
        <v>2</v>
      </c>
      <c r="D3316">
        <v>7</v>
      </c>
      <c r="E3316">
        <v>1</v>
      </c>
      <c r="F3316" s="15">
        <v>46090</v>
      </c>
      <c r="G3316" t="s">
        <v>413</v>
      </c>
      <c r="H3316">
        <v>5</v>
      </c>
      <c r="I3316">
        <v>2026</v>
      </c>
      <c r="J3316">
        <v>3</v>
      </c>
      <c r="K3316" t="s">
        <v>87</v>
      </c>
      <c r="L3316" t="s">
        <v>351</v>
      </c>
      <c r="M3316" t="s">
        <v>63</v>
      </c>
      <c r="N3316" t="b">
        <v>0</v>
      </c>
      <c r="O3316">
        <v>0</v>
      </c>
      <c r="P3316">
        <v>0</v>
      </c>
      <c r="Q3316">
        <v>1</v>
      </c>
      <c r="R3316">
        <v>0</v>
      </c>
    </row>
    <row r="3317" spans="1:18" x14ac:dyDescent="0.25">
      <c r="A3317" t="s">
        <v>436</v>
      </c>
      <c r="B3317" t="s">
        <v>63</v>
      </c>
      <c r="C3317">
        <v>2</v>
      </c>
      <c r="D3317">
        <v>7</v>
      </c>
      <c r="E3317">
        <v>1</v>
      </c>
      <c r="F3317" s="15">
        <v>46090</v>
      </c>
      <c r="G3317" t="s">
        <v>413</v>
      </c>
      <c r="H3317">
        <v>5</v>
      </c>
      <c r="I3317">
        <v>2026</v>
      </c>
      <c r="J3317">
        <v>3</v>
      </c>
      <c r="K3317" t="s">
        <v>87</v>
      </c>
      <c r="L3317" t="s">
        <v>16</v>
      </c>
      <c r="M3317" t="s">
        <v>63</v>
      </c>
      <c r="N3317" t="b">
        <v>0</v>
      </c>
      <c r="O3317">
        <v>0</v>
      </c>
      <c r="P3317">
        <v>0</v>
      </c>
      <c r="Q3317">
        <v>1</v>
      </c>
      <c r="R3317">
        <v>0</v>
      </c>
    </row>
    <row r="3318" spans="1:18" x14ac:dyDescent="0.25">
      <c r="A3318" t="s">
        <v>436</v>
      </c>
      <c r="B3318" t="s">
        <v>63</v>
      </c>
      <c r="C3318">
        <v>2</v>
      </c>
      <c r="D3318">
        <v>7</v>
      </c>
      <c r="E3318">
        <v>1</v>
      </c>
      <c r="F3318" s="15">
        <v>46090</v>
      </c>
      <c r="G3318" t="s">
        <v>413</v>
      </c>
      <c r="H3318">
        <v>5</v>
      </c>
      <c r="I3318">
        <v>2026</v>
      </c>
      <c r="J3318">
        <v>3</v>
      </c>
      <c r="K3318" t="s">
        <v>87</v>
      </c>
      <c r="L3318" t="s">
        <v>14</v>
      </c>
      <c r="M3318" t="s">
        <v>63</v>
      </c>
      <c r="N3318" t="b">
        <v>0</v>
      </c>
      <c r="O3318">
        <v>0</v>
      </c>
      <c r="P3318">
        <v>0</v>
      </c>
      <c r="Q3318">
        <v>1</v>
      </c>
      <c r="R3318">
        <v>0</v>
      </c>
    </row>
    <row r="3319" spans="1:18" x14ac:dyDescent="0.25">
      <c r="A3319" t="s">
        <v>436</v>
      </c>
      <c r="B3319" t="s">
        <v>63</v>
      </c>
      <c r="C3319">
        <v>2</v>
      </c>
      <c r="D3319">
        <v>7</v>
      </c>
      <c r="E3319">
        <v>1</v>
      </c>
      <c r="F3319" s="15">
        <v>46090</v>
      </c>
      <c r="G3319" t="s">
        <v>413</v>
      </c>
      <c r="H3319">
        <v>5</v>
      </c>
      <c r="I3319">
        <v>2026</v>
      </c>
      <c r="J3319">
        <v>3</v>
      </c>
      <c r="K3319" t="s">
        <v>87</v>
      </c>
      <c r="L3319" t="s">
        <v>406</v>
      </c>
      <c r="M3319" t="s">
        <v>63</v>
      </c>
      <c r="N3319" t="b">
        <v>0</v>
      </c>
      <c r="O3319">
        <v>0</v>
      </c>
      <c r="P3319">
        <v>0</v>
      </c>
      <c r="Q3319">
        <v>1</v>
      </c>
      <c r="R3319">
        <v>0</v>
      </c>
    </row>
    <row r="3320" spans="1:18" x14ac:dyDescent="0.25">
      <c r="A3320" t="s">
        <v>16</v>
      </c>
      <c r="B3320" t="s">
        <v>63</v>
      </c>
      <c r="C3320">
        <v>3</v>
      </c>
      <c r="D3320">
        <v>7</v>
      </c>
      <c r="E3320">
        <v>1</v>
      </c>
      <c r="F3320" s="15">
        <v>46090</v>
      </c>
      <c r="G3320" t="s">
        <v>413</v>
      </c>
      <c r="H3320">
        <v>5</v>
      </c>
      <c r="I3320">
        <v>2026</v>
      </c>
      <c r="J3320">
        <v>3</v>
      </c>
      <c r="K3320" t="s">
        <v>87</v>
      </c>
      <c r="L3320" t="s">
        <v>351</v>
      </c>
      <c r="M3320" t="s">
        <v>63</v>
      </c>
      <c r="N3320" t="b">
        <v>0</v>
      </c>
      <c r="O3320">
        <v>0</v>
      </c>
      <c r="P3320">
        <v>0</v>
      </c>
      <c r="Q3320">
        <v>1</v>
      </c>
      <c r="R3320">
        <v>0</v>
      </c>
    </row>
    <row r="3321" spans="1:18" x14ac:dyDescent="0.25">
      <c r="A3321" t="s">
        <v>16</v>
      </c>
      <c r="B3321" t="s">
        <v>63</v>
      </c>
      <c r="C3321">
        <v>3</v>
      </c>
      <c r="D3321">
        <v>7</v>
      </c>
      <c r="E3321">
        <v>1</v>
      </c>
      <c r="F3321" s="15">
        <v>46090</v>
      </c>
      <c r="G3321" t="s">
        <v>413</v>
      </c>
      <c r="H3321">
        <v>5</v>
      </c>
      <c r="I3321">
        <v>2026</v>
      </c>
      <c r="J3321">
        <v>3</v>
      </c>
      <c r="K3321" t="s">
        <v>87</v>
      </c>
      <c r="L3321" t="s">
        <v>436</v>
      </c>
      <c r="M3321" t="s">
        <v>63</v>
      </c>
      <c r="N3321" t="b">
        <v>0</v>
      </c>
      <c r="O3321">
        <v>0</v>
      </c>
      <c r="P3321">
        <v>0</v>
      </c>
      <c r="Q3321">
        <v>1</v>
      </c>
      <c r="R3321">
        <v>0</v>
      </c>
    </row>
    <row r="3322" spans="1:18" x14ac:dyDescent="0.25">
      <c r="A3322" t="s">
        <v>16</v>
      </c>
      <c r="B3322" t="s">
        <v>63</v>
      </c>
      <c r="C3322">
        <v>3</v>
      </c>
      <c r="D3322">
        <v>7</v>
      </c>
      <c r="E3322">
        <v>1</v>
      </c>
      <c r="F3322" s="15">
        <v>46090</v>
      </c>
      <c r="G3322" t="s">
        <v>413</v>
      </c>
      <c r="H3322">
        <v>5</v>
      </c>
      <c r="I3322">
        <v>2026</v>
      </c>
      <c r="J3322">
        <v>3</v>
      </c>
      <c r="K3322" t="s">
        <v>87</v>
      </c>
      <c r="L3322" t="s">
        <v>14</v>
      </c>
      <c r="M3322" t="s">
        <v>63</v>
      </c>
      <c r="N3322" t="b">
        <v>0</v>
      </c>
      <c r="O3322">
        <v>0</v>
      </c>
      <c r="P3322">
        <v>0</v>
      </c>
      <c r="Q3322">
        <v>1</v>
      </c>
      <c r="R3322">
        <v>0</v>
      </c>
    </row>
    <row r="3323" spans="1:18" x14ac:dyDescent="0.25">
      <c r="A3323" t="s">
        <v>16</v>
      </c>
      <c r="B3323" t="s">
        <v>63</v>
      </c>
      <c r="C3323">
        <v>3</v>
      </c>
      <c r="D3323">
        <v>7</v>
      </c>
      <c r="E3323">
        <v>1</v>
      </c>
      <c r="F3323" s="15">
        <v>46090</v>
      </c>
      <c r="G3323" t="s">
        <v>413</v>
      </c>
      <c r="H3323">
        <v>5</v>
      </c>
      <c r="I3323">
        <v>2026</v>
      </c>
      <c r="J3323">
        <v>3</v>
      </c>
      <c r="K3323" t="s">
        <v>87</v>
      </c>
      <c r="L3323" t="s">
        <v>406</v>
      </c>
      <c r="M3323" t="s">
        <v>63</v>
      </c>
      <c r="N3323" t="b">
        <v>0</v>
      </c>
      <c r="O3323">
        <v>0</v>
      </c>
      <c r="P3323">
        <v>0</v>
      </c>
      <c r="Q3323">
        <v>1</v>
      </c>
      <c r="R3323">
        <v>0</v>
      </c>
    </row>
    <row r="3324" spans="1:18" x14ac:dyDescent="0.25">
      <c r="A3324" t="s">
        <v>14</v>
      </c>
      <c r="B3324" t="s">
        <v>63</v>
      </c>
      <c r="C3324">
        <v>4</v>
      </c>
      <c r="D3324">
        <v>7</v>
      </c>
      <c r="E3324">
        <v>1</v>
      </c>
      <c r="F3324" s="15">
        <v>46090</v>
      </c>
      <c r="G3324" t="s">
        <v>413</v>
      </c>
      <c r="H3324">
        <v>5</v>
      </c>
      <c r="I3324">
        <v>2026</v>
      </c>
      <c r="J3324">
        <v>3</v>
      </c>
      <c r="K3324" t="s">
        <v>87</v>
      </c>
      <c r="L3324" t="s">
        <v>351</v>
      </c>
      <c r="M3324" t="s">
        <v>63</v>
      </c>
      <c r="N3324" t="b">
        <v>0</v>
      </c>
      <c r="O3324">
        <v>0</v>
      </c>
      <c r="P3324">
        <v>0</v>
      </c>
      <c r="Q3324">
        <v>1</v>
      </c>
      <c r="R3324">
        <v>0</v>
      </c>
    </row>
    <row r="3325" spans="1:18" x14ac:dyDescent="0.25">
      <c r="A3325" t="s">
        <v>14</v>
      </c>
      <c r="B3325" t="s">
        <v>63</v>
      </c>
      <c r="C3325">
        <v>4</v>
      </c>
      <c r="D3325">
        <v>7</v>
      </c>
      <c r="E3325">
        <v>1</v>
      </c>
      <c r="F3325" s="15">
        <v>46090</v>
      </c>
      <c r="G3325" t="s">
        <v>413</v>
      </c>
      <c r="H3325">
        <v>5</v>
      </c>
      <c r="I3325">
        <v>2026</v>
      </c>
      <c r="J3325">
        <v>3</v>
      </c>
      <c r="K3325" t="s">
        <v>87</v>
      </c>
      <c r="L3325" t="s">
        <v>436</v>
      </c>
      <c r="M3325" t="s">
        <v>63</v>
      </c>
      <c r="N3325" t="b">
        <v>0</v>
      </c>
      <c r="O3325">
        <v>0</v>
      </c>
      <c r="P3325">
        <v>0</v>
      </c>
      <c r="Q3325">
        <v>1</v>
      </c>
      <c r="R3325">
        <v>0</v>
      </c>
    </row>
    <row r="3326" spans="1:18" x14ac:dyDescent="0.25">
      <c r="A3326" t="s">
        <v>14</v>
      </c>
      <c r="B3326" t="s">
        <v>63</v>
      </c>
      <c r="C3326">
        <v>4</v>
      </c>
      <c r="D3326">
        <v>7</v>
      </c>
      <c r="E3326">
        <v>1</v>
      </c>
      <c r="F3326" s="15">
        <v>46090</v>
      </c>
      <c r="G3326" t="s">
        <v>413</v>
      </c>
      <c r="H3326">
        <v>5</v>
      </c>
      <c r="I3326">
        <v>2026</v>
      </c>
      <c r="J3326">
        <v>3</v>
      </c>
      <c r="K3326" t="s">
        <v>87</v>
      </c>
      <c r="L3326" t="s">
        <v>16</v>
      </c>
      <c r="M3326" t="s">
        <v>63</v>
      </c>
      <c r="N3326" t="b">
        <v>0</v>
      </c>
      <c r="O3326">
        <v>0</v>
      </c>
      <c r="P3326">
        <v>0</v>
      </c>
      <c r="Q3326">
        <v>1</v>
      </c>
      <c r="R3326">
        <v>0</v>
      </c>
    </row>
    <row r="3327" spans="1:18" x14ac:dyDescent="0.25">
      <c r="A3327" t="s">
        <v>14</v>
      </c>
      <c r="B3327" t="s">
        <v>63</v>
      </c>
      <c r="C3327">
        <v>4</v>
      </c>
      <c r="D3327">
        <v>7</v>
      </c>
      <c r="E3327">
        <v>1</v>
      </c>
      <c r="F3327" s="15">
        <v>46090</v>
      </c>
      <c r="G3327" t="s">
        <v>413</v>
      </c>
      <c r="H3327">
        <v>5</v>
      </c>
      <c r="I3327">
        <v>2026</v>
      </c>
      <c r="J3327">
        <v>3</v>
      </c>
      <c r="K3327" t="s">
        <v>87</v>
      </c>
      <c r="L3327" t="s">
        <v>406</v>
      </c>
      <c r="M3327" t="s">
        <v>63</v>
      </c>
      <c r="N3327" t="b">
        <v>0</v>
      </c>
      <c r="O3327">
        <v>0</v>
      </c>
      <c r="P3327">
        <v>0</v>
      </c>
      <c r="Q3327">
        <v>1</v>
      </c>
      <c r="R3327">
        <v>0</v>
      </c>
    </row>
    <row r="3328" spans="1:18" x14ac:dyDescent="0.25">
      <c r="A3328" t="s">
        <v>406</v>
      </c>
      <c r="B3328" t="s">
        <v>63</v>
      </c>
      <c r="C3328">
        <v>5</v>
      </c>
      <c r="D3328">
        <v>7</v>
      </c>
      <c r="E3328">
        <v>1</v>
      </c>
      <c r="F3328" s="15">
        <v>46090</v>
      </c>
      <c r="G3328" t="s">
        <v>413</v>
      </c>
      <c r="H3328">
        <v>5</v>
      </c>
      <c r="I3328">
        <v>2026</v>
      </c>
      <c r="J3328">
        <v>3</v>
      </c>
      <c r="K3328" t="s">
        <v>87</v>
      </c>
      <c r="L3328" t="s">
        <v>351</v>
      </c>
      <c r="M3328" t="s">
        <v>63</v>
      </c>
      <c r="N3328" t="b">
        <v>0</v>
      </c>
      <c r="O3328">
        <v>0</v>
      </c>
      <c r="P3328">
        <v>0</v>
      </c>
      <c r="Q3328">
        <v>1</v>
      </c>
      <c r="R3328">
        <v>0</v>
      </c>
    </row>
    <row r="3329" spans="1:18" x14ac:dyDescent="0.25">
      <c r="A3329" t="s">
        <v>406</v>
      </c>
      <c r="B3329" t="s">
        <v>63</v>
      </c>
      <c r="C3329">
        <v>5</v>
      </c>
      <c r="D3329">
        <v>7</v>
      </c>
      <c r="E3329">
        <v>1</v>
      </c>
      <c r="F3329" s="15">
        <v>46090</v>
      </c>
      <c r="G3329" t="s">
        <v>413</v>
      </c>
      <c r="H3329">
        <v>5</v>
      </c>
      <c r="I3329">
        <v>2026</v>
      </c>
      <c r="J3329">
        <v>3</v>
      </c>
      <c r="K3329" t="s">
        <v>87</v>
      </c>
      <c r="L3329" t="s">
        <v>436</v>
      </c>
      <c r="M3329" t="s">
        <v>63</v>
      </c>
      <c r="N3329" t="b">
        <v>0</v>
      </c>
      <c r="O3329">
        <v>0</v>
      </c>
      <c r="P3329">
        <v>0</v>
      </c>
      <c r="Q3329">
        <v>1</v>
      </c>
      <c r="R3329">
        <v>0</v>
      </c>
    </row>
    <row r="3330" spans="1:18" x14ac:dyDescent="0.25">
      <c r="A3330" t="s">
        <v>406</v>
      </c>
      <c r="B3330" t="s">
        <v>63</v>
      </c>
      <c r="C3330">
        <v>5</v>
      </c>
      <c r="D3330">
        <v>7</v>
      </c>
      <c r="E3330">
        <v>1</v>
      </c>
      <c r="F3330" s="15">
        <v>46090</v>
      </c>
      <c r="G3330" t="s">
        <v>413</v>
      </c>
      <c r="H3330">
        <v>5</v>
      </c>
      <c r="I3330">
        <v>2026</v>
      </c>
      <c r="J3330">
        <v>3</v>
      </c>
      <c r="K3330" t="s">
        <v>87</v>
      </c>
      <c r="L3330" t="s">
        <v>16</v>
      </c>
      <c r="M3330" t="s">
        <v>63</v>
      </c>
      <c r="N3330" t="b">
        <v>0</v>
      </c>
      <c r="O3330">
        <v>0</v>
      </c>
      <c r="P3330">
        <v>0</v>
      </c>
      <c r="Q3330">
        <v>1</v>
      </c>
      <c r="R3330">
        <v>0</v>
      </c>
    </row>
    <row r="3331" spans="1:18" x14ac:dyDescent="0.25">
      <c r="A3331" t="s">
        <v>406</v>
      </c>
      <c r="B3331" t="s">
        <v>63</v>
      </c>
      <c r="C3331">
        <v>5</v>
      </c>
      <c r="D3331">
        <v>7</v>
      </c>
      <c r="E3331">
        <v>1</v>
      </c>
      <c r="F3331" s="15">
        <v>46090</v>
      </c>
      <c r="G3331" t="s">
        <v>413</v>
      </c>
      <c r="H3331">
        <v>5</v>
      </c>
      <c r="I3331">
        <v>2026</v>
      </c>
      <c r="J3331">
        <v>3</v>
      </c>
      <c r="K3331" t="s">
        <v>87</v>
      </c>
      <c r="L3331" t="s">
        <v>14</v>
      </c>
      <c r="M3331" t="s">
        <v>63</v>
      </c>
      <c r="N3331" t="b">
        <v>0</v>
      </c>
      <c r="O3331">
        <v>0</v>
      </c>
      <c r="P3331">
        <v>0</v>
      </c>
      <c r="Q3331">
        <v>1</v>
      </c>
      <c r="R3331">
        <v>0</v>
      </c>
    </row>
    <row r="3332" spans="1:18" x14ac:dyDescent="0.25">
      <c r="A3332" t="s">
        <v>405</v>
      </c>
      <c r="B3332" t="s">
        <v>8</v>
      </c>
      <c r="C3332">
        <v>1</v>
      </c>
      <c r="D3332">
        <v>2</v>
      </c>
      <c r="E3332">
        <v>2</v>
      </c>
      <c r="F3332" s="15">
        <v>46090</v>
      </c>
      <c r="G3332" t="s">
        <v>415</v>
      </c>
      <c r="H3332">
        <v>4</v>
      </c>
      <c r="I3332">
        <v>2026</v>
      </c>
      <c r="J3332">
        <v>3</v>
      </c>
      <c r="K3332" t="s">
        <v>87</v>
      </c>
      <c r="L3332" t="s">
        <v>364</v>
      </c>
      <c r="M3332" t="s">
        <v>6</v>
      </c>
      <c r="N3332" t="b">
        <v>0</v>
      </c>
      <c r="O3332">
        <v>1</v>
      </c>
      <c r="P3332">
        <v>0</v>
      </c>
      <c r="Q3332">
        <v>0</v>
      </c>
      <c r="R3332">
        <v>0</v>
      </c>
    </row>
    <row r="3333" spans="1:18" x14ac:dyDescent="0.25">
      <c r="A3333" t="s">
        <v>405</v>
      </c>
      <c r="B3333" t="s">
        <v>8</v>
      </c>
      <c r="C3333">
        <v>1</v>
      </c>
      <c r="D3333">
        <v>2</v>
      </c>
      <c r="E3333">
        <v>2</v>
      </c>
      <c r="F3333" s="15">
        <v>46090</v>
      </c>
      <c r="G3333" t="s">
        <v>415</v>
      </c>
      <c r="H3333">
        <v>4</v>
      </c>
      <c r="I3333">
        <v>2026</v>
      </c>
      <c r="J3333">
        <v>3</v>
      </c>
      <c r="K3333" t="s">
        <v>87</v>
      </c>
      <c r="L3333" t="s">
        <v>325</v>
      </c>
      <c r="M3333" t="s">
        <v>6</v>
      </c>
      <c r="N3333" t="b">
        <v>0</v>
      </c>
      <c r="O3333">
        <v>1</v>
      </c>
      <c r="P3333">
        <v>0</v>
      </c>
      <c r="Q3333">
        <v>0</v>
      </c>
      <c r="R3333">
        <v>0</v>
      </c>
    </row>
    <row r="3334" spans="1:18" x14ac:dyDescent="0.25">
      <c r="A3334" t="s">
        <v>405</v>
      </c>
      <c r="B3334" t="s">
        <v>8</v>
      </c>
      <c r="C3334">
        <v>1</v>
      </c>
      <c r="D3334">
        <v>2</v>
      </c>
      <c r="E3334">
        <v>2</v>
      </c>
      <c r="F3334" s="15">
        <v>46090</v>
      </c>
      <c r="G3334" t="s">
        <v>415</v>
      </c>
      <c r="H3334">
        <v>4</v>
      </c>
      <c r="I3334">
        <v>2026</v>
      </c>
      <c r="J3334">
        <v>3</v>
      </c>
      <c r="K3334" t="s">
        <v>87</v>
      </c>
      <c r="L3334" t="s">
        <v>351</v>
      </c>
      <c r="M3334" t="s">
        <v>6</v>
      </c>
      <c r="N3334" t="b">
        <v>0</v>
      </c>
      <c r="O3334">
        <v>1</v>
      </c>
      <c r="P3334">
        <v>0</v>
      </c>
      <c r="Q3334">
        <v>0</v>
      </c>
      <c r="R3334">
        <v>0</v>
      </c>
    </row>
    <row r="3335" spans="1:18" x14ac:dyDescent="0.25">
      <c r="A3335" t="s">
        <v>364</v>
      </c>
      <c r="B3335" t="s">
        <v>6</v>
      </c>
      <c r="C3335">
        <v>2</v>
      </c>
      <c r="D3335">
        <v>2</v>
      </c>
      <c r="E3335">
        <v>2</v>
      </c>
      <c r="F3335" s="15">
        <v>46090</v>
      </c>
      <c r="G3335" t="s">
        <v>415</v>
      </c>
      <c r="H3335">
        <v>4</v>
      </c>
      <c r="I3335">
        <v>2026</v>
      </c>
      <c r="J3335">
        <v>3</v>
      </c>
      <c r="K3335" t="s">
        <v>87</v>
      </c>
      <c r="L3335" t="s">
        <v>405</v>
      </c>
      <c r="M3335" t="s">
        <v>8</v>
      </c>
      <c r="N3335" t="b">
        <v>0</v>
      </c>
      <c r="O3335">
        <v>0</v>
      </c>
      <c r="P3335">
        <v>1</v>
      </c>
      <c r="Q3335">
        <v>0</v>
      </c>
      <c r="R3335">
        <v>1</v>
      </c>
    </row>
    <row r="3336" spans="1:18" x14ac:dyDescent="0.25">
      <c r="A3336" t="s">
        <v>364</v>
      </c>
      <c r="B3336" t="s">
        <v>6</v>
      </c>
      <c r="C3336">
        <v>2</v>
      </c>
      <c r="D3336">
        <v>2</v>
      </c>
      <c r="E3336">
        <v>2</v>
      </c>
      <c r="F3336" s="15">
        <v>46090</v>
      </c>
      <c r="G3336" t="s">
        <v>415</v>
      </c>
      <c r="H3336">
        <v>4</v>
      </c>
      <c r="I3336">
        <v>2026</v>
      </c>
      <c r="J3336">
        <v>3</v>
      </c>
      <c r="K3336" t="s">
        <v>87</v>
      </c>
      <c r="L3336" t="s">
        <v>325</v>
      </c>
      <c r="M3336" t="s">
        <v>6</v>
      </c>
      <c r="N3336" t="b">
        <v>0</v>
      </c>
      <c r="O3336">
        <v>0</v>
      </c>
      <c r="P3336">
        <v>1</v>
      </c>
      <c r="Q3336">
        <v>0</v>
      </c>
      <c r="R3336">
        <v>0</v>
      </c>
    </row>
    <row r="3337" spans="1:18" x14ac:dyDescent="0.25">
      <c r="A3337" t="s">
        <v>364</v>
      </c>
      <c r="B3337" t="s">
        <v>6</v>
      </c>
      <c r="C3337">
        <v>2</v>
      </c>
      <c r="D3337">
        <v>2</v>
      </c>
      <c r="E3337">
        <v>2</v>
      </c>
      <c r="F3337" s="15">
        <v>46090</v>
      </c>
      <c r="G3337" t="s">
        <v>415</v>
      </c>
      <c r="H3337">
        <v>4</v>
      </c>
      <c r="I3337">
        <v>2026</v>
      </c>
      <c r="J3337">
        <v>3</v>
      </c>
      <c r="K3337" t="s">
        <v>87</v>
      </c>
      <c r="L3337" t="s">
        <v>351</v>
      </c>
      <c r="M3337" t="s">
        <v>6</v>
      </c>
      <c r="N3337" t="b">
        <v>0</v>
      </c>
      <c r="O3337">
        <v>0</v>
      </c>
      <c r="P3337">
        <v>1</v>
      </c>
      <c r="Q3337">
        <v>0</v>
      </c>
      <c r="R3337">
        <v>0</v>
      </c>
    </row>
    <row r="3338" spans="1:18" x14ac:dyDescent="0.25">
      <c r="A3338" t="s">
        <v>325</v>
      </c>
      <c r="B3338" t="s">
        <v>6</v>
      </c>
      <c r="C3338">
        <v>3</v>
      </c>
      <c r="D3338">
        <v>2</v>
      </c>
      <c r="E3338">
        <v>2</v>
      </c>
      <c r="F3338" s="15">
        <v>46090</v>
      </c>
      <c r="G3338" t="s">
        <v>415</v>
      </c>
      <c r="H3338">
        <v>4</v>
      </c>
      <c r="I3338">
        <v>2026</v>
      </c>
      <c r="J3338">
        <v>3</v>
      </c>
      <c r="K3338" t="s">
        <v>87</v>
      </c>
      <c r="L3338" t="s">
        <v>405</v>
      </c>
      <c r="M3338" t="s">
        <v>8</v>
      </c>
      <c r="N3338" t="b">
        <v>0</v>
      </c>
      <c r="O3338">
        <v>0</v>
      </c>
      <c r="P3338">
        <v>1</v>
      </c>
      <c r="Q3338">
        <v>0</v>
      </c>
      <c r="R3338">
        <v>1</v>
      </c>
    </row>
    <row r="3339" spans="1:18" x14ac:dyDescent="0.25">
      <c r="A3339" t="s">
        <v>325</v>
      </c>
      <c r="B3339" t="s">
        <v>6</v>
      </c>
      <c r="C3339">
        <v>3</v>
      </c>
      <c r="D3339">
        <v>2</v>
      </c>
      <c r="E3339">
        <v>2</v>
      </c>
      <c r="F3339" s="15">
        <v>46090</v>
      </c>
      <c r="G3339" t="s">
        <v>415</v>
      </c>
      <c r="H3339">
        <v>4</v>
      </c>
      <c r="I3339">
        <v>2026</v>
      </c>
      <c r="J3339">
        <v>3</v>
      </c>
      <c r="K3339" t="s">
        <v>87</v>
      </c>
      <c r="L3339" t="s">
        <v>364</v>
      </c>
      <c r="M3339" t="s">
        <v>6</v>
      </c>
      <c r="N3339" t="b">
        <v>0</v>
      </c>
      <c r="O3339">
        <v>0</v>
      </c>
      <c r="P3339">
        <v>1</v>
      </c>
      <c r="Q3339">
        <v>0</v>
      </c>
      <c r="R3339">
        <v>0</v>
      </c>
    </row>
    <row r="3340" spans="1:18" x14ac:dyDescent="0.25">
      <c r="A3340" t="s">
        <v>325</v>
      </c>
      <c r="B3340" t="s">
        <v>6</v>
      </c>
      <c r="C3340">
        <v>3</v>
      </c>
      <c r="D3340">
        <v>2</v>
      </c>
      <c r="E3340">
        <v>2</v>
      </c>
      <c r="F3340" s="15">
        <v>46090</v>
      </c>
      <c r="G3340" t="s">
        <v>415</v>
      </c>
      <c r="H3340">
        <v>4</v>
      </c>
      <c r="I3340">
        <v>2026</v>
      </c>
      <c r="J3340">
        <v>3</v>
      </c>
      <c r="K3340" t="s">
        <v>87</v>
      </c>
      <c r="L3340" t="s">
        <v>351</v>
      </c>
      <c r="M3340" t="s">
        <v>6</v>
      </c>
      <c r="N3340" t="b">
        <v>0</v>
      </c>
      <c r="O3340">
        <v>0</v>
      </c>
      <c r="P3340">
        <v>1</v>
      </c>
      <c r="Q3340">
        <v>0</v>
      </c>
      <c r="R3340">
        <v>0</v>
      </c>
    </row>
    <row r="3341" spans="1:18" x14ac:dyDescent="0.25">
      <c r="A3341" t="s">
        <v>351</v>
      </c>
      <c r="B3341" t="s">
        <v>6</v>
      </c>
      <c r="C3341">
        <v>4</v>
      </c>
      <c r="D3341">
        <v>2</v>
      </c>
      <c r="E3341">
        <v>2</v>
      </c>
      <c r="F3341" s="15">
        <v>46090</v>
      </c>
      <c r="G3341" t="s">
        <v>415</v>
      </c>
      <c r="H3341">
        <v>4</v>
      </c>
      <c r="I3341">
        <v>2026</v>
      </c>
      <c r="J3341">
        <v>3</v>
      </c>
      <c r="K3341" t="s">
        <v>87</v>
      </c>
      <c r="L3341" t="s">
        <v>405</v>
      </c>
      <c r="M3341" t="s">
        <v>8</v>
      </c>
      <c r="N3341" t="b">
        <v>0</v>
      </c>
      <c r="O3341">
        <v>0</v>
      </c>
      <c r="P3341">
        <v>1</v>
      </c>
      <c r="Q3341">
        <v>0</v>
      </c>
      <c r="R3341">
        <v>1</v>
      </c>
    </row>
    <row r="3342" spans="1:18" x14ac:dyDescent="0.25">
      <c r="A3342" t="s">
        <v>351</v>
      </c>
      <c r="B3342" t="s">
        <v>6</v>
      </c>
      <c r="C3342">
        <v>4</v>
      </c>
      <c r="D3342">
        <v>2</v>
      </c>
      <c r="E3342">
        <v>2</v>
      </c>
      <c r="F3342" s="15">
        <v>46090</v>
      </c>
      <c r="G3342" t="s">
        <v>415</v>
      </c>
      <c r="H3342">
        <v>4</v>
      </c>
      <c r="I3342">
        <v>2026</v>
      </c>
      <c r="J3342">
        <v>3</v>
      </c>
      <c r="K3342" t="s">
        <v>87</v>
      </c>
      <c r="L3342" t="s">
        <v>364</v>
      </c>
      <c r="M3342" t="s">
        <v>6</v>
      </c>
      <c r="N3342" t="b">
        <v>0</v>
      </c>
      <c r="O3342">
        <v>0</v>
      </c>
      <c r="P3342">
        <v>1</v>
      </c>
      <c r="Q3342">
        <v>0</v>
      </c>
      <c r="R3342">
        <v>0</v>
      </c>
    </row>
    <row r="3343" spans="1:18" x14ac:dyDescent="0.25">
      <c r="A3343" t="s">
        <v>351</v>
      </c>
      <c r="B3343" t="s">
        <v>6</v>
      </c>
      <c r="C3343">
        <v>4</v>
      </c>
      <c r="D3343">
        <v>2</v>
      </c>
      <c r="E3343">
        <v>2</v>
      </c>
      <c r="F3343" s="15">
        <v>46090</v>
      </c>
      <c r="G3343" t="s">
        <v>415</v>
      </c>
      <c r="H3343">
        <v>4</v>
      </c>
      <c r="I3343">
        <v>2026</v>
      </c>
      <c r="J3343">
        <v>3</v>
      </c>
      <c r="K3343" t="s">
        <v>87</v>
      </c>
      <c r="L3343" t="s">
        <v>325</v>
      </c>
      <c r="M3343" t="s">
        <v>6</v>
      </c>
      <c r="N3343" t="b">
        <v>0</v>
      </c>
      <c r="O3343">
        <v>0</v>
      </c>
      <c r="P3343">
        <v>1</v>
      </c>
      <c r="Q3343">
        <v>0</v>
      </c>
      <c r="R3343">
        <v>0</v>
      </c>
    </row>
    <row r="3344" spans="1:18" x14ac:dyDescent="0.25">
      <c r="A3344" t="s">
        <v>41</v>
      </c>
      <c r="B3344" t="s">
        <v>6</v>
      </c>
      <c r="C3344">
        <v>1</v>
      </c>
      <c r="D3344">
        <v>3</v>
      </c>
      <c r="E3344">
        <v>2</v>
      </c>
      <c r="F3344" s="15">
        <v>46090</v>
      </c>
      <c r="G3344" t="s">
        <v>416</v>
      </c>
      <c r="H3344">
        <v>4</v>
      </c>
      <c r="I3344">
        <v>2026</v>
      </c>
      <c r="J3344">
        <v>3</v>
      </c>
      <c r="K3344" t="s">
        <v>87</v>
      </c>
      <c r="L3344" t="s">
        <v>28</v>
      </c>
      <c r="M3344" t="s">
        <v>6</v>
      </c>
      <c r="N3344" t="b">
        <v>0</v>
      </c>
      <c r="O3344">
        <v>0</v>
      </c>
      <c r="P3344">
        <v>1</v>
      </c>
      <c r="Q3344">
        <v>0</v>
      </c>
      <c r="R3344">
        <v>0</v>
      </c>
    </row>
    <row r="3345" spans="1:18" x14ac:dyDescent="0.25">
      <c r="A3345" t="s">
        <v>41</v>
      </c>
      <c r="B3345" t="s">
        <v>6</v>
      </c>
      <c r="C3345">
        <v>1</v>
      </c>
      <c r="D3345">
        <v>3</v>
      </c>
      <c r="E3345">
        <v>2</v>
      </c>
      <c r="F3345" s="15">
        <v>46090</v>
      </c>
      <c r="G3345" t="s">
        <v>416</v>
      </c>
      <c r="H3345">
        <v>4</v>
      </c>
      <c r="I3345">
        <v>2026</v>
      </c>
      <c r="J3345">
        <v>3</v>
      </c>
      <c r="K3345" t="s">
        <v>87</v>
      </c>
      <c r="L3345" t="s">
        <v>14</v>
      </c>
      <c r="M3345" t="s">
        <v>8</v>
      </c>
      <c r="N3345" t="b">
        <v>0</v>
      </c>
      <c r="O3345">
        <v>0</v>
      </c>
      <c r="P3345">
        <v>1</v>
      </c>
      <c r="Q3345">
        <v>0</v>
      </c>
      <c r="R3345">
        <v>1</v>
      </c>
    </row>
    <row r="3346" spans="1:18" x14ac:dyDescent="0.25">
      <c r="A3346" t="s">
        <v>41</v>
      </c>
      <c r="B3346" t="s">
        <v>6</v>
      </c>
      <c r="C3346">
        <v>1</v>
      </c>
      <c r="D3346">
        <v>3</v>
      </c>
      <c r="E3346">
        <v>2</v>
      </c>
      <c r="F3346" s="15">
        <v>46090</v>
      </c>
      <c r="G3346" t="s">
        <v>416</v>
      </c>
      <c r="H3346">
        <v>4</v>
      </c>
      <c r="I3346">
        <v>2026</v>
      </c>
      <c r="J3346">
        <v>3</v>
      </c>
      <c r="K3346" t="s">
        <v>87</v>
      </c>
      <c r="L3346" t="s">
        <v>9</v>
      </c>
      <c r="M3346" t="s">
        <v>6</v>
      </c>
      <c r="N3346" t="b">
        <v>0</v>
      </c>
      <c r="O3346">
        <v>0</v>
      </c>
      <c r="P3346">
        <v>1</v>
      </c>
      <c r="Q3346">
        <v>0</v>
      </c>
      <c r="R3346">
        <v>0</v>
      </c>
    </row>
    <row r="3347" spans="1:18" x14ac:dyDescent="0.25">
      <c r="A3347" t="s">
        <v>28</v>
      </c>
      <c r="B3347" t="s">
        <v>6</v>
      </c>
      <c r="C3347">
        <v>2</v>
      </c>
      <c r="D3347">
        <v>3</v>
      </c>
      <c r="E3347">
        <v>2</v>
      </c>
      <c r="F3347" s="15">
        <v>46090</v>
      </c>
      <c r="G3347" t="s">
        <v>416</v>
      </c>
      <c r="H3347">
        <v>4</v>
      </c>
      <c r="I3347">
        <v>2026</v>
      </c>
      <c r="J3347">
        <v>3</v>
      </c>
      <c r="K3347" t="s">
        <v>87</v>
      </c>
      <c r="L3347" t="s">
        <v>41</v>
      </c>
      <c r="M3347" t="s">
        <v>6</v>
      </c>
      <c r="N3347" t="b">
        <v>0</v>
      </c>
      <c r="O3347">
        <v>0</v>
      </c>
      <c r="P3347">
        <v>1</v>
      </c>
      <c r="Q3347">
        <v>0</v>
      </c>
      <c r="R3347">
        <v>0</v>
      </c>
    </row>
    <row r="3348" spans="1:18" x14ac:dyDescent="0.25">
      <c r="A3348" t="s">
        <v>28</v>
      </c>
      <c r="B3348" t="s">
        <v>6</v>
      </c>
      <c r="C3348">
        <v>2</v>
      </c>
      <c r="D3348">
        <v>3</v>
      </c>
      <c r="E3348">
        <v>2</v>
      </c>
      <c r="F3348" s="15">
        <v>46090</v>
      </c>
      <c r="G3348" t="s">
        <v>416</v>
      </c>
      <c r="H3348">
        <v>4</v>
      </c>
      <c r="I3348">
        <v>2026</v>
      </c>
      <c r="J3348">
        <v>3</v>
      </c>
      <c r="K3348" t="s">
        <v>87</v>
      </c>
      <c r="L3348" t="s">
        <v>14</v>
      </c>
      <c r="M3348" t="s">
        <v>8</v>
      </c>
      <c r="N3348" t="b">
        <v>0</v>
      </c>
      <c r="O3348">
        <v>0</v>
      </c>
      <c r="P3348">
        <v>1</v>
      </c>
      <c r="Q3348">
        <v>0</v>
      </c>
      <c r="R3348">
        <v>1</v>
      </c>
    </row>
    <row r="3349" spans="1:18" x14ac:dyDescent="0.25">
      <c r="A3349" t="s">
        <v>28</v>
      </c>
      <c r="B3349" t="s">
        <v>6</v>
      </c>
      <c r="C3349">
        <v>2</v>
      </c>
      <c r="D3349">
        <v>3</v>
      </c>
      <c r="E3349">
        <v>2</v>
      </c>
      <c r="F3349" s="15">
        <v>46090</v>
      </c>
      <c r="G3349" t="s">
        <v>416</v>
      </c>
      <c r="H3349">
        <v>4</v>
      </c>
      <c r="I3349">
        <v>2026</v>
      </c>
      <c r="J3349">
        <v>3</v>
      </c>
      <c r="K3349" t="s">
        <v>87</v>
      </c>
      <c r="L3349" t="s">
        <v>9</v>
      </c>
      <c r="M3349" t="s">
        <v>6</v>
      </c>
      <c r="N3349" t="b">
        <v>0</v>
      </c>
      <c r="O3349">
        <v>0</v>
      </c>
      <c r="P3349">
        <v>1</v>
      </c>
      <c r="Q3349">
        <v>0</v>
      </c>
      <c r="R3349">
        <v>0</v>
      </c>
    </row>
    <row r="3350" spans="1:18" x14ac:dyDescent="0.25">
      <c r="A3350" t="s">
        <v>14</v>
      </c>
      <c r="B3350" t="s">
        <v>8</v>
      </c>
      <c r="C3350">
        <v>3</v>
      </c>
      <c r="D3350">
        <v>3</v>
      </c>
      <c r="E3350">
        <v>2</v>
      </c>
      <c r="F3350" s="15">
        <v>46090</v>
      </c>
      <c r="G3350" t="s">
        <v>416</v>
      </c>
      <c r="H3350">
        <v>4</v>
      </c>
      <c r="I3350">
        <v>2026</v>
      </c>
      <c r="J3350">
        <v>3</v>
      </c>
      <c r="K3350" t="s">
        <v>87</v>
      </c>
      <c r="L3350" t="s">
        <v>41</v>
      </c>
      <c r="M3350" t="s">
        <v>6</v>
      </c>
      <c r="N3350" t="b">
        <v>0</v>
      </c>
      <c r="O3350">
        <v>1</v>
      </c>
      <c r="P3350">
        <v>0</v>
      </c>
      <c r="Q3350">
        <v>0</v>
      </c>
      <c r="R3350">
        <v>0</v>
      </c>
    </row>
    <row r="3351" spans="1:18" x14ac:dyDescent="0.25">
      <c r="A3351" t="s">
        <v>14</v>
      </c>
      <c r="B3351" t="s">
        <v>8</v>
      </c>
      <c r="C3351">
        <v>3</v>
      </c>
      <c r="D3351">
        <v>3</v>
      </c>
      <c r="E3351">
        <v>2</v>
      </c>
      <c r="F3351" s="15">
        <v>46090</v>
      </c>
      <c r="G3351" t="s">
        <v>416</v>
      </c>
      <c r="H3351">
        <v>4</v>
      </c>
      <c r="I3351">
        <v>2026</v>
      </c>
      <c r="J3351">
        <v>3</v>
      </c>
      <c r="K3351" t="s">
        <v>87</v>
      </c>
      <c r="L3351" t="s">
        <v>28</v>
      </c>
      <c r="M3351" t="s">
        <v>6</v>
      </c>
      <c r="N3351" t="b">
        <v>0</v>
      </c>
      <c r="O3351">
        <v>1</v>
      </c>
      <c r="P3351">
        <v>0</v>
      </c>
      <c r="Q3351">
        <v>0</v>
      </c>
      <c r="R3351">
        <v>0</v>
      </c>
    </row>
    <row r="3352" spans="1:18" x14ac:dyDescent="0.25">
      <c r="A3352" t="s">
        <v>14</v>
      </c>
      <c r="B3352" t="s">
        <v>8</v>
      </c>
      <c r="C3352">
        <v>3</v>
      </c>
      <c r="D3352">
        <v>3</v>
      </c>
      <c r="E3352">
        <v>2</v>
      </c>
      <c r="F3352" s="15">
        <v>46090</v>
      </c>
      <c r="G3352" t="s">
        <v>416</v>
      </c>
      <c r="H3352">
        <v>4</v>
      </c>
      <c r="I3352">
        <v>2026</v>
      </c>
      <c r="J3352">
        <v>3</v>
      </c>
      <c r="K3352" t="s">
        <v>87</v>
      </c>
      <c r="L3352" t="s">
        <v>9</v>
      </c>
      <c r="M3352" t="s">
        <v>6</v>
      </c>
      <c r="N3352" t="b">
        <v>0</v>
      </c>
      <c r="O3352">
        <v>1</v>
      </c>
      <c r="P3352">
        <v>0</v>
      </c>
      <c r="Q3352">
        <v>0</v>
      </c>
      <c r="R3352">
        <v>0</v>
      </c>
    </row>
    <row r="3353" spans="1:18" x14ac:dyDescent="0.25">
      <c r="A3353" t="s">
        <v>9</v>
      </c>
      <c r="B3353" t="s">
        <v>6</v>
      </c>
      <c r="C3353">
        <v>4</v>
      </c>
      <c r="D3353">
        <v>3</v>
      </c>
      <c r="E3353">
        <v>2</v>
      </c>
      <c r="F3353" s="15">
        <v>46090</v>
      </c>
      <c r="G3353" t="s">
        <v>416</v>
      </c>
      <c r="H3353">
        <v>4</v>
      </c>
      <c r="I3353">
        <v>2026</v>
      </c>
      <c r="J3353">
        <v>3</v>
      </c>
      <c r="K3353" t="s">
        <v>87</v>
      </c>
      <c r="L3353" t="s">
        <v>41</v>
      </c>
      <c r="M3353" t="s">
        <v>6</v>
      </c>
      <c r="N3353" t="b">
        <v>0</v>
      </c>
      <c r="O3353">
        <v>0</v>
      </c>
      <c r="P3353">
        <v>1</v>
      </c>
      <c r="Q3353">
        <v>0</v>
      </c>
      <c r="R3353">
        <v>0</v>
      </c>
    </row>
    <row r="3354" spans="1:18" x14ac:dyDescent="0.25">
      <c r="A3354" t="s">
        <v>9</v>
      </c>
      <c r="B3354" t="s">
        <v>6</v>
      </c>
      <c r="C3354">
        <v>4</v>
      </c>
      <c r="D3354">
        <v>3</v>
      </c>
      <c r="E3354">
        <v>2</v>
      </c>
      <c r="F3354" s="15">
        <v>46090</v>
      </c>
      <c r="G3354" t="s">
        <v>416</v>
      </c>
      <c r="H3354">
        <v>4</v>
      </c>
      <c r="I3354">
        <v>2026</v>
      </c>
      <c r="J3354">
        <v>3</v>
      </c>
      <c r="K3354" t="s">
        <v>87</v>
      </c>
      <c r="L3354" t="s">
        <v>28</v>
      </c>
      <c r="M3354" t="s">
        <v>6</v>
      </c>
      <c r="N3354" t="b">
        <v>0</v>
      </c>
      <c r="O3354">
        <v>0</v>
      </c>
      <c r="P3354">
        <v>1</v>
      </c>
      <c r="Q3354">
        <v>0</v>
      </c>
      <c r="R3354">
        <v>0</v>
      </c>
    </row>
    <row r="3355" spans="1:18" x14ac:dyDescent="0.25">
      <c r="A3355" t="s">
        <v>9</v>
      </c>
      <c r="B3355" t="s">
        <v>6</v>
      </c>
      <c r="C3355">
        <v>4</v>
      </c>
      <c r="D3355">
        <v>3</v>
      </c>
      <c r="E3355">
        <v>2</v>
      </c>
      <c r="F3355" s="15">
        <v>46090</v>
      </c>
      <c r="G3355" t="s">
        <v>416</v>
      </c>
      <c r="H3355">
        <v>4</v>
      </c>
      <c r="I3355">
        <v>2026</v>
      </c>
      <c r="J3355">
        <v>3</v>
      </c>
      <c r="K3355" t="s">
        <v>87</v>
      </c>
      <c r="L3355" t="s">
        <v>14</v>
      </c>
      <c r="M3355" t="s">
        <v>8</v>
      </c>
      <c r="N3355" t="b">
        <v>0</v>
      </c>
      <c r="O3355">
        <v>0</v>
      </c>
      <c r="P3355">
        <v>1</v>
      </c>
      <c r="Q3355">
        <v>0</v>
      </c>
      <c r="R3355">
        <v>1</v>
      </c>
    </row>
    <row r="3356" spans="1:18" x14ac:dyDescent="0.25">
      <c r="A3356" t="s">
        <v>19</v>
      </c>
      <c r="B3356" t="s">
        <v>6</v>
      </c>
      <c r="C3356">
        <v>1</v>
      </c>
      <c r="D3356">
        <v>4</v>
      </c>
      <c r="E3356">
        <v>2</v>
      </c>
      <c r="F3356" s="15">
        <v>46090</v>
      </c>
      <c r="G3356" t="s">
        <v>417</v>
      </c>
      <c r="H3356">
        <v>4</v>
      </c>
      <c r="I3356">
        <v>2026</v>
      </c>
      <c r="J3356">
        <v>3</v>
      </c>
      <c r="K3356" t="s">
        <v>87</v>
      </c>
      <c r="L3356" t="s">
        <v>10</v>
      </c>
      <c r="M3356" t="s">
        <v>8</v>
      </c>
      <c r="N3356" t="b">
        <v>0</v>
      </c>
      <c r="O3356">
        <v>0</v>
      </c>
      <c r="P3356">
        <v>1</v>
      </c>
      <c r="Q3356">
        <v>0</v>
      </c>
      <c r="R3356">
        <v>1</v>
      </c>
    </row>
    <row r="3357" spans="1:18" x14ac:dyDescent="0.25">
      <c r="A3357" t="s">
        <v>19</v>
      </c>
      <c r="B3357" t="s">
        <v>6</v>
      </c>
      <c r="C3357">
        <v>1</v>
      </c>
      <c r="D3357">
        <v>4</v>
      </c>
      <c r="E3357">
        <v>2</v>
      </c>
      <c r="F3357" s="15">
        <v>46090</v>
      </c>
      <c r="G3357" t="s">
        <v>417</v>
      </c>
      <c r="H3357">
        <v>4</v>
      </c>
      <c r="I3357">
        <v>2026</v>
      </c>
      <c r="J3357">
        <v>3</v>
      </c>
      <c r="K3357" t="s">
        <v>87</v>
      </c>
      <c r="L3357" t="s">
        <v>11</v>
      </c>
      <c r="M3357" t="s">
        <v>6</v>
      </c>
      <c r="N3357" t="b">
        <v>0</v>
      </c>
      <c r="O3357">
        <v>0</v>
      </c>
      <c r="P3357">
        <v>1</v>
      </c>
      <c r="Q3357">
        <v>0</v>
      </c>
      <c r="R3357">
        <v>0</v>
      </c>
    </row>
    <row r="3358" spans="1:18" x14ac:dyDescent="0.25">
      <c r="A3358" t="s">
        <v>19</v>
      </c>
      <c r="B3358" t="s">
        <v>6</v>
      </c>
      <c r="C3358">
        <v>1</v>
      </c>
      <c r="D3358">
        <v>4</v>
      </c>
      <c r="E3358">
        <v>2</v>
      </c>
      <c r="F3358" s="15">
        <v>46090</v>
      </c>
      <c r="G3358" t="s">
        <v>417</v>
      </c>
      <c r="H3358">
        <v>4</v>
      </c>
      <c r="I3358">
        <v>2026</v>
      </c>
      <c r="J3358">
        <v>3</v>
      </c>
      <c r="K3358" t="s">
        <v>87</v>
      </c>
      <c r="L3358" t="s">
        <v>436</v>
      </c>
      <c r="M3358" t="s">
        <v>6</v>
      </c>
      <c r="N3358" t="b">
        <v>0</v>
      </c>
      <c r="O3358">
        <v>0</v>
      </c>
      <c r="P3358">
        <v>1</v>
      </c>
      <c r="Q3358">
        <v>0</v>
      </c>
      <c r="R3358">
        <v>0</v>
      </c>
    </row>
    <row r="3359" spans="1:18" x14ac:dyDescent="0.25">
      <c r="A3359" t="s">
        <v>10</v>
      </c>
      <c r="B3359" t="s">
        <v>8</v>
      </c>
      <c r="C3359">
        <v>2</v>
      </c>
      <c r="D3359">
        <v>4</v>
      </c>
      <c r="E3359">
        <v>2</v>
      </c>
      <c r="F3359" s="15">
        <v>46090</v>
      </c>
      <c r="G3359" t="s">
        <v>417</v>
      </c>
      <c r="H3359">
        <v>4</v>
      </c>
      <c r="I3359">
        <v>2026</v>
      </c>
      <c r="J3359">
        <v>3</v>
      </c>
      <c r="K3359" t="s">
        <v>87</v>
      </c>
      <c r="L3359" t="s">
        <v>19</v>
      </c>
      <c r="M3359" t="s">
        <v>6</v>
      </c>
      <c r="N3359" t="b">
        <v>0</v>
      </c>
      <c r="O3359">
        <v>1</v>
      </c>
      <c r="P3359">
        <v>0</v>
      </c>
      <c r="Q3359">
        <v>0</v>
      </c>
      <c r="R3359">
        <v>0</v>
      </c>
    </row>
    <row r="3360" spans="1:18" x14ac:dyDescent="0.25">
      <c r="A3360" t="s">
        <v>10</v>
      </c>
      <c r="B3360" t="s">
        <v>8</v>
      </c>
      <c r="C3360">
        <v>2</v>
      </c>
      <c r="D3360">
        <v>4</v>
      </c>
      <c r="E3360">
        <v>2</v>
      </c>
      <c r="F3360" s="15">
        <v>46090</v>
      </c>
      <c r="G3360" t="s">
        <v>417</v>
      </c>
      <c r="H3360">
        <v>4</v>
      </c>
      <c r="I3360">
        <v>2026</v>
      </c>
      <c r="J3360">
        <v>3</v>
      </c>
      <c r="K3360" t="s">
        <v>87</v>
      </c>
      <c r="L3360" t="s">
        <v>11</v>
      </c>
      <c r="M3360" t="s">
        <v>6</v>
      </c>
      <c r="N3360" t="b">
        <v>0</v>
      </c>
      <c r="O3360">
        <v>1</v>
      </c>
      <c r="P3360">
        <v>0</v>
      </c>
      <c r="Q3360">
        <v>0</v>
      </c>
      <c r="R3360">
        <v>0</v>
      </c>
    </row>
    <row r="3361" spans="1:18" x14ac:dyDescent="0.25">
      <c r="A3361" t="s">
        <v>10</v>
      </c>
      <c r="B3361" t="s">
        <v>8</v>
      </c>
      <c r="C3361">
        <v>2</v>
      </c>
      <c r="D3361">
        <v>4</v>
      </c>
      <c r="E3361">
        <v>2</v>
      </c>
      <c r="F3361" s="15">
        <v>46090</v>
      </c>
      <c r="G3361" t="s">
        <v>417</v>
      </c>
      <c r="H3361">
        <v>4</v>
      </c>
      <c r="I3361">
        <v>2026</v>
      </c>
      <c r="J3361">
        <v>3</v>
      </c>
      <c r="K3361" t="s">
        <v>87</v>
      </c>
      <c r="L3361" t="s">
        <v>436</v>
      </c>
      <c r="M3361" t="s">
        <v>6</v>
      </c>
      <c r="N3361" t="b">
        <v>0</v>
      </c>
      <c r="O3361">
        <v>1</v>
      </c>
      <c r="P3361">
        <v>0</v>
      </c>
      <c r="Q3361">
        <v>0</v>
      </c>
      <c r="R3361">
        <v>0</v>
      </c>
    </row>
    <row r="3362" spans="1:18" x14ac:dyDescent="0.25">
      <c r="A3362" t="s">
        <v>11</v>
      </c>
      <c r="B3362" t="s">
        <v>6</v>
      </c>
      <c r="C3362">
        <v>3</v>
      </c>
      <c r="D3362">
        <v>4</v>
      </c>
      <c r="E3362">
        <v>2</v>
      </c>
      <c r="F3362" s="15">
        <v>46090</v>
      </c>
      <c r="G3362" t="s">
        <v>417</v>
      </c>
      <c r="H3362">
        <v>4</v>
      </c>
      <c r="I3362">
        <v>2026</v>
      </c>
      <c r="J3362">
        <v>3</v>
      </c>
      <c r="K3362" t="s">
        <v>87</v>
      </c>
      <c r="L3362" t="s">
        <v>19</v>
      </c>
      <c r="M3362" t="s">
        <v>6</v>
      </c>
      <c r="N3362" t="b">
        <v>0</v>
      </c>
      <c r="O3362">
        <v>0</v>
      </c>
      <c r="P3362">
        <v>1</v>
      </c>
      <c r="Q3362">
        <v>0</v>
      </c>
      <c r="R3362">
        <v>0</v>
      </c>
    </row>
    <row r="3363" spans="1:18" x14ac:dyDescent="0.25">
      <c r="A3363" t="s">
        <v>11</v>
      </c>
      <c r="B3363" t="s">
        <v>6</v>
      </c>
      <c r="C3363">
        <v>3</v>
      </c>
      <c r="D3363">
        <v>4</v>
      </c>
      <c r="E3363">
        <v>2</v>
      </c>
      <c r="F3363" s="15">
        <v>46090</v>
      </c>
      <c r="G3363" t="s">
        <v>417</v>
      </c>
      <c r="H3363">
        <v>4</v>
      </c>
      <c r="I3363">
        <v>2026</v>
      </c>
      <c r="J3363">
        <v>3</v>
      </c>
      <c r="K3363" t="s">
        <v>87</v>
      </c>
      <c r="L3363" t="s">
        <v>10</v>
      </c>
      <c r="M3363" t="s">
        <v>8</v>
      </c>
      <c r="N3363" t="b">
        <v>0</v>
      </c>
      <c r="O3363">
        <v>0</v>
      </c>
      <c r="P3363">
        <v>1</v>
      </c>
      <c r="Q3363">
        <v>0</v>
      </c>
      <c r="R3363">
        <v>1</v>
      </c>
    </row>
    <row r="3364" spans="1:18" x14ac:dyDescent="0.25">
      <c r="A3364" t="s">
        <v>11</v>
      </c>
      <c r="B3364" t="s">
        <v>6</v>
      </c>
      <c r="C3364">
        <v>3</v>
      </c>
      <c r="D3364">
        <v>4</v>
      </c>
      <c r="E3364">
        <v>2</v>
      </c>
      <c r="F3364" s="15">
        <v>46090</v>
      </c>
      <c r="G3364" t="s">
        <v>417</v>
      </c>
      <c r="H3364">
        <v>4</v>
      </c>
      <c r="I3364">
        <v>2026</v>
      </c>
      <c r="J3364">
        <v>3</v>
      </c>
      <c r="K3364" t="s">
        <v>87</v>
      </c>
      <c r="L3364" t="s">
        <v>436</v>
      </c>
      <c r="M3364" t="s">
        <v>6</v>
      </c>
      <c r="N3364" t="b">
        <v>0</v>
      </c>
      <c r="O3364">
        <v>0</v>
      </c>
      <c r="P3364">
        <v>1</v>
      </c>
      <c r="Q3364">
        <v>0</v>
      </c>
      <c r="R3364">
        <v>0</v>
      </c>
    </row>
    <row r="3365" spans="1:18" x14ac:dyDescent="0.25">
      <c r="A3365" t="s">
        <v>436</v>
      </c>
      <c r="B3365" t="s">
        <v>6</v>
      </c>
      <c r="C3365">
        <v>4</v>
      </c>
      <c r="D3365">
        <v>4</v>
      </c>
      <c r="E3365">
        <v>2</v>
      </c>
      <c r="F3365" s="15">
        <v>46090</v>
      </c>
      <c r="G3365" t="s">
        <v>417</v>
      </c>
      <c r="H3365">
        <v>4</v>
      </c>
      <c r="I3365">
        <v>2026</v>
      </c>
      <c r="J3365">
        <v>3</v>
      </c>
      <c r="K3365" t="s">
        <v>87</v>
      </c>
      <c r="L3365" t="s">
        <v>19</v>
      </c>
      <c r="M3365" t="s">
        <v>6</v>
      </c>
      <c r="N3365" t="b">
        <v>0</v>
      </c>
      <c r="O3365">
        <v>0</v>
      </c>
      <c r="P3365">
        <v>1</v>
      </c>
      <c r="Q3365">
        <v>0</v>
      </c>
      <c r="R3365">
        <v>0</v>
      </c>
    </row>
    <row r="3366" spans="1:18" x14ac:dyDescent="0.25">
      <c r="A3366" t="s">
        <v>436</v>
      </c>
      <c r="B3366" t="s">
        <v>6</v>
      </c>
      <c r="C3366">
        <v>4</v>
      </c>
      <c r="D3366">
        <v>4</v>
      </c>
      <c r="E3366">
        <v>2</v>
      </c>
      <c r="F3366" s="15">
        <v>46090</v>
      </c>
      <c r="G3366" t="s">
        <v>417</v>
      </c>
      <c r="H3366">
        <v>4</v>
      </c>
      <c r="I3366">
        <v>2026</v>
      </c>
      <c r="J3366">
        <v>3</v>
      </c>
      <c r="K3366" t="s">
        <v>87</v>
      </c>
      <c r="L3366" t="s">
        <v>10</v>
      </c>
      <c r="M3366" t="s">
        <v>8</v>
      </c>
      <c r="N3366" t="b">
        <v>0</v>
      </c>
      <c r="O3366">
        <v>0</v>
      </c>
      <c r="P3366">
        <v>1</v>
      </c>
      <c r="Q3366">
        <v>0</v>
      </c>
      <c r="R3366">
        <v>1</v>
      </c>
    </row>
    <row r="3367" spans="1:18" x14ac:dyDescent="0.25">
      <c r="A3367" t="s">
        <v>436</v>
      </c>
      <c r="B3367" t="s">
        <v>6</v>
      </c>
      <c r="C3367">
        <v>4</v>
      </c>
      <c r="D3367">
        <v>4</v>
      </c>
      <c r="E3367">
        <v>2</v>
      </c>
      <c r="F3367" s="15">
        <v>46090</v>
      </c>
      <c r="G3367" t="s">
        <v>417</v>
      </c>
      <c r="H3367">
        <v>4</v>
      </c>
      <c r="I3367">
        <v>2026</v>
      </c>
      <c r="J3367">
        <v>3</v>
      </c>
      <c r="K3367" t="s">
        <v>87</v>
      </c>
      <c r="L3367" t="s">
        <v>11</v>
      </c>
      <c r="M3367" t="s">
        <v>6</v>
      </c>
      <c r="N3367" t="b">
        <v>0</v>
      </c>
      <c r="O3367">
        <v>0</v>
      </c>
      <c r="P3367">
        <v>1</v>
      </c>
      <c r="Q3367">
        <v>0</v>
      </c>
      <c r="R3367">
        <v>0</v>
      </c>
    </row>
    <row r="3368" spans="1:18" x14ac:dyDescent="0.25">
      <c r="A3368" t="s">
        <v>363</v>
      </c>
      <c r="B3368" t="s">
        <v>6</v>
      </c>
      <c r="C3368">
        <v>1</v>
      </c>
      <c r="D3368">
        <v>5</v>
      </c>
      <c r="E3368">
        <v>2</v>
      </c>
      <c r="F3368" s="15">
        <v>46090</v>
      </c>
      <c r="G3368" t="s">
        <v>418</v>
      </c>
      <c r="H3368">
        <v>4</v>
      </c>
      <c r="I3368">
        <v>2026</v>
      </c>
      <c r="J3368">
        <v>3</v>
      </c>
      <c r="K3368" t="s">
        <v>87</v>
      </c>
      <c r="L3368" t="s">
        <v>406</v>
      </c>
      <c r="M3368" t="s">
        <v>6</v>
      </c>
      <c r="N3368" t="b">
        <v>0</v>
      </c>
      <c r="O3368">
        <v>0</v>
      </c>
      <c r="P3368">
        <v>1</v>
      </c>
      <c r="Q3368">
        <v>0</v>
      </c>
      <c r="R3368">
        <v>0</v>
      </c>
    </row>
    <row r="3369" spans="1:18" x14ac:dyDescent="0.25">
      <c r="A3369" t="s">
        <v>363</v>
      </c>
      <c r="B3369" t="s">
        <v>6</v>
      </c>
      <c r="C3369">
        <v>1</v>
      </c>
      <c r="D3369">
        <v>5</v>
      </c>
      <c r="E3369">
        <v>2</v>
      </c>
      <c r="F3369" s="15">
        <v>46090</v>
      </c>
      <c r="G3369" t="s">
        <v>418</v>
      </c>
      <c r="H3369">
        <v>4</v>
      </c>
      <c r="I3369">
        <v>2026</v>
      </c>
      <c r="J3369">
        <v>3</v>
      </c>
      <c r="K3369" t="s">
        <v>87</v>
      </c>
      <c r="L3369" t="s">
        <v>402</v>
      </c>
      <c r="M3369" t="s">
        <v>8</v>
      </c>
      <c r="N3369" t="b">
        <v>0</v>
      </c>
      <c r="O3369">
        <v>0</v>
      </c>
      <c r="P3369">
        <v>1</v>
      </c>
      <c r="Q3369">
        <v>0</v>
      </c>
      <c r="R3369">
        <v>1</v>
      </c>
    </row>
    <row r="3370" spans="1:18" x14ac:dyDescent="0.25">
      <c r="A3370" t="s">
        <v>363</v>
      </c>
      <c r="B3370" t="s">
        <v>6</v>
      </c>
      <c r="C3370">
        <v>1</v>
      </c>
      <c r="D3370">
        <v>5</v>
      </c>
      <c r="E3370">
        <v>2</v>
      </c>
      <c r="F3370" s="15">
        <v>46090</v>
      </c>
      <c r="G3370" t="s">
        <v>418</v>
      </c>
      <c r="H3370">
        <v>4</v>
      </c>
      <c r="I3370">
        <v>2026</v>
      </c>
      <c r="J3370">
        <v>3</v>
      </c>
      <c r="K3370" t="s">
        <v>87</v>
      </c>
      <c r="L3370" t="s">
        <v>404</v>
      </c>
      <c r="M3370" t="s">
        <v>6</v>
      </c>
      <c r="N3370" t="b">
        <v>0</v>
      </c>
      <c r="O3370">
        <v>0</v>
      </c>
      <c r="P3370">
        <v>1</v>
      </c>
      <c r="Q3370">
        <v>0</v>
      </c>
      <c r="R3370">
        <v>0</v>
      </c>
    </row>
    <row r="3371" spans="1:18" x14ac:dyDescent="0.25">
      <c r="A3371" t="s">
        <v>406</v>
      </c>
      <c r="B3371" t="s">
        <v>6</v>
      </c>
      <c r="C3371">
        <v>2</v>
      </c>
      <c r="D3371">
        <v>5</v>
      </c>
      <c r="E3371">
        <v>2</v>
      </c>
      <c r="F3371" s="15">
        <v>46090</v>
      </c>
      <c r="G3371" t="s">
        <v>418</v>
      </c>
      <c r="H3371">
        <v>4</v>
      </c>
      <c r="I3371">
        <v>2026</v>
      </c>
      <c r="J3371">
        <v>3</v>
      </c>
      <c r="K3371" t="s">
        <v>87</v>
      </c>
      <c r="L3371" t="s">
        <v>363</v>
      </c>
      <c r="M3371" t="s">
        <v>6</v>
      </c>
      <c r="N3371" t="b">
        <v>0</v>
      </c>
      <c r="O3371">
        <v>0</v>
      </c>
      <c r="P3371">
        <v>1</v>
      </c>
      <c r="Q3371">
        <v>0</v>
      </c>
      <c r="R3371">
        <v>0</v>
      </c>
    </row>
    <row r="3372" spans="1:18" x14ac:dyDescent="0.25">
      <c r="A3372" t="s">
        <v>406</v>
      </c>
      <c r="B3372" t="s">
        <v>6</v>
      </c>
      <c r="C3372">
        <v>2</v>
      </c>
      <c r="D3372">
        <v>5</v>
      </c>
      <c r="E3372">
        <v>2</v>
      </c>
      <c r="F3372" s="15">
        <v>46090</v>
      </c>
      <c r="G3372" t="s">
        <v>418</v>
      </c>
      <c r="H3372">
        <v>4</v>
      </c>
      <c r="I3372">
        <v>2026</v>
      </c>
      <c r="J3372">
        <v>3</v>
      </c>
      <c r="K3372" t="s">
        <v>87</v>
      </c>
      <c r="L3372" t="s">
        <v>402</v>
      </c>
      <c r="M3372" t="s">
        <v>8</v>
      </c>
      <c r="N3372" t="b">
        <v>0</v>
      </c>
      <c r="O3372">
        <v>0</v>
      </c>
      <c r="P3372">
        <v>1</v>
      </c>
      <c r="Q3372">
        <v>0</v>
      </c>
      <c r="R3372">
        <v>1</v>
      </c>
    </row>
    <row r="3373" spans="1:18" x14ac:dyDescent="0.25">
      <c r="A3373" t="s">
        <v>406</v>
      </c>
      <c r="B3373" t="s">
        <v>6</v>
      </c>
      <c r="C3373">
        <v>2</v>
      </c>
      <c r="D3373">
        <v>5</v>
      </c>
      <c r="E3373">
        <v>2</v>
      </c>
      <c r="F3373" s="15">
        <v>46090</v>
      </c>
      <c r="G3373" t="s">
        <v>418</v>
      </c>
      <c r="H3373">
        <v>4</v>
      </c>
      <c r="I3373">
        <v>2026</v>
      </c>
      <c r="J3373">
        <v>3</v>
      </c>
      <c r="K3373" t="s">
        <v>87</v>
      </c>
      <c r="L3373" t="s">
        <v>404</v>
      </c>
      <c r="M3373" t="s">
        <v>6</v>
      </c>
      <c r="N3373" t="b">
        <v>0</v>
      </c>
      <c r="O3373">
        <v>0</v>
      </c>
      <c r="P3373">
        <v>1</v>
      </c>
      <c r="Q3373">
        <v>0</v>
      </c>
      <c r="R3373">
        <v>0</v>
      </c>
    </row>
    <row r="3374" spans="1:18" x14ac:dyDescent="0.25">
      <c r="A3374" t="s">
        <v>402</v>
      </c>
      <c r="B3374" t="s">
        <v>8</v>
      </c>
      <c r="C3374">
        <v>3</v>
      </c>
      <c r="D3374">
        <v>5</v>
      </c>
      <c r="E3374">
        <v>2</v>
      </c>
      <c r="F3374" s="15">
        <v>46090</v>
      </c>
      <c r="G3374" t="s">
        <v>418</v>
      </c>
      <c r="H3374">
        <v>4</v>
      </c>
      <c r="I3374">
        <v>2026</v>
      </c>
      <c r="J3374">
        <v>3</v>
      </c>
      <c r="K3374" t="s">
        <v>87</v>
      </c>
      <c r="L3374" t="s">
        <v>363</v>
      </c>
      <c r="M3374" t="s">
        <v>6</v>
      </c>
      <c r="N3374" t="b">
        <v>0</v>
      </c>
      <c r="O3374">
        <v>1</v>
      </c>
      <c r="P3374">
        <v>0</v>
      </c>
      <c r="Q3374">
        <v>0</v>
      </c>
      <c r="R3374">
        <v>0</v>
      </c>
    </row>
    <row r="3375" spans="1:18" x14ac:dyDescent="0.25">
      <c r="A3375" t="s">
        <v>402</v>
      </c>
      <c r="B3375" t="s">
        <v>8</v>
      </c>
      <c r="C3375">
        <v>3</v>
      </c>
      <c r="D3375">
        <v>5</v>
      </c>
      <c r="E3375">
        <v>2</v>
      </c>
      <c r="F3375" s="15">
        <v>46090</v>
      </c>
      <c r="G3375" t="s">
        <v>418</v>
      </c>
      <c r="H3375">
        <v>4</v>
      </c>
      <c r="I3375">
        <v>2026</v>
      </c>
      <c r="J3375">
        <v>3</v>
      </c>
      <c r="K3375" t="s">
        <v>87</v>
      </c>
      <c r="L3375" t="s">
        <v>406</v>
      </c>
      <c r="M3375" t="s">
        <v>6</v>
      </c>
      <c r="N3375" t="b">
        <v>0</v>
      </c>
      <c r="O3375">
        <v>1</v>
      </c>
      <c r="P3375">
        <v>0</v>
      </c>
      <c r="Q3375">
        <v>0</v>
      </c>
      <c r="R3375">
        <v>0</v>
      </c>
    </row>
    <row r="3376" spans="1:18" x14ac:dyDescent="0.25">
      <c r="A3376" t="s">
        <v>402</v>
      </c>
      <c r="B3376" t="s">
        <v>8</v>
      </c>
      <c r="C3376">
        <v>3</v>
      </c>
      <c r="D3376">
        <v>5</v>
      </c>
      <c r="E3376">
        <v>2</v>
      </c>
      <c r="F3376" s="15">
        <v>46090</v>
      </c>
      <c r="G3376" t="s">
        <v>418</v>
      </c>
      <c r="H3376">
        <v>4</v>
      </c>
      <c r="I3376">
        <v>2026</v>
      </c>
      <c r="J3376">
        <v>3</v>
      </c>
      <c r="K3376" t="s">
        <v>87</v>
      </c>
      <c r="L3376" t="s">
        <v>404</v>
      </c>
      <c r="M3376" t="s">
        <v>6</v>
      </c>
      <c r="N3376" t="b">
        <v>0</v>
      </c>
      <c r="O3376">
        <v>1</v>
      </c>
      <c r="P3376">
        <v>0</v>
      </c>
      <c r="Q3376">
        <v>0</v>
      </c>
      <c r="R3376">
        <v>0</v>
      </c>
    </row>
    <row r="3377" spans="1:18" x14ac:dyDescent="0.25">
      <c r="A3377" t="s">
        <v>404</v>
      </c>
      <c r="B3377" t="s">
        <v>6</v>
      </c>
      <c r="C3377">
        <v>4</v>
      </c>
      <c r="D3377">
        <v>5</v>
      </c>
      <c r="E3377">
        <v>2</v>
      </c>
      <c r="F3377" s="15">
        <v>46090</v>
      </c>
      <c r="G3377" t="s">
        <v>418</v>
      </c>
      <c r="H3377">
        <v>4</v>
      </c>
      <c r="I3377">
        <v>2026</v>
      </c>
      <c r="J3377">
        <v>3</v>
      </c>
      <c r="K3377" t="s">
        <v>87</v>
      </c>
      <c r="L3377" t="s">
        <v>363</v>
      </c>
      <c r="M3377" t="s">
        <v>6</v>
      </c>
      <c r="N3377" t="b">
        <v>0</v>
      </c>
      <c r="O3377">
        <v>0</v>
      </c>
      <c r="P3377">
        <v>1</v>
      </c>
      <c r="Q3377">
        <v>0</v>
      </c>
      <c r="R3377">
        <v>0</v>
      </c>
    </row>
    <row r="3378" spans="1:18" x14ac:dyDescent="0.25">
      <c r="A3378" t="s">
        <v>404</v>
      </c>
      <c r="B3378" t="s">
        <v>6</v>
      </c>
      <c r="C3378">
        <v>4</v>
      </c>
      <c r="D3378">
        <v>5</v>
      </c>
      <c r="E3378">
        <v>2</v>
      </c>
      <c r="F3378" s="15">
        <v>46090</v>
      </c>
      <c r="G3378" t="s">
        <v>418</v>
      </c>
      <c r="H3378">
        <v>4</v>
      </c>
      <c r="I3378">
        <v>2026</v>
      </c>
      <c r="J3378">
        <v>3</v>
      </c>
      <c r="K3378" t="s">
        <v>87</v>
      </c>
      <c r="L3378" t="s">
        <v>406</v>
      </c>
      <c r="M3378" t="s">
        <v>6</v>
      </c>
      <c r="N3378" t="b">
        <v>0</v>
      </c>
      <c r="O3378">
        <v>0</v>
      </c>
      <c r="P3378">
        <v>1</v>
      </c>
      <c r="Q3378">
        <v>0</v>
      </c>
      <c r="R3378">
        <v>0</v>
      </c>
    </row>
    <row r="3379" spans="1:18" x14ac:dyDescent="0.25">
      <c r="A3379" t="s">
        <v>404</v>
      </c>
      <c r="B3379" t="s">
        <v>6</v>
      </c>
      <c r="C3379">
        <v>4</v>
      </c>
      <c r="D3379">
        <v>5</v>
      </c>
      <c r="E3379">
        <v>2</v>
      </c>
      <c r="F3379" s="15">
        <v>46090</v>
      </c>
      <c r="G3379" t="s">
        <v>418</v>
      </c>
      <c r="H3379">
        <v>4</v>
      </c>
      <c r="I3379">
        <v>2026</v>
      </c>
      <c r="J3379">
        <v>3</v>
      </c>
      <c r="K3379" t="s">
        <v>87</v>
      </c>
      <c r="L3379" t="s">
        <v>402</v>
      </c>
      <c r="M3379" t="s">
        <v>8</v>
      </c>
      <c r="N3379" t="b">
        <v>0</v>
      </c>
      <c r="O3379">
        <v>0</v>
      </c>
      <c r="P3379">
        <v>1</v>
      </c>
      <c r="Q3379">
        <v>0</v>
      </c>
      <c r="R3379">
        <v>1</v>
      </c>
    </row>
    <row r="3380" spans="1:18" x14ac:dyDescent="0.25">
      <c r="A3380" t="s">
        <v>403</v>
      </c>
      <c r="B3380" t="s">
        <v>6</v>
      </c>
      <c r="C3380">
        <v>1</v>
      </c>
      <c r="D3380">
        <v>6</v>
      </c>
      <c r="E3380">
        <v>2</v>
      </c>
      <c r="F3380" s="15">
        <v>46090</v>
      </c>
      <c r="G3380" t="s">
        <v>419</v>
      </c>
      <c r="H3380">
        <v>4</v>
      </c>
      <c r="I3380">
        <v>2026</v>
      </c>
      <c r="J3380">
        <v>3</v>
      </c>
      <c r="K3380" t="s">
        <v>87</v>
      </c>
      <c r="L3380" t="s">
        <v>17</v>
      </c>
      <c r="M3380" t="s">
        <v>6</v>
      </c>
      <c r="N3380" t="b">
        <v>0</v>
      </c>
      <c r="O3380">
        <v>0</v>
      </c>
      <c r="P3380">
        <v>1</v>
      </c>
      <c r="Q3380">
        <v>0</v>
      </c>
      <c r="R3380">
        <v>0</v>
      </c>
    </row>
    <row r="3381" spans="1:18" x14ac:dyDescent="0.25">
      <c r="A3381" t="s">
        <v>403</v>
      </c>
      <c r="B3381" t="s">
        <v>6</v>
      </c>
      <c r="C3381">
        <v>1</v>
      </c>
      <c r="D3381">
        <v>6</v>
      </c>
      <c r="E3381">
        <v>2</v>
      </c>
      <c r="F3381" s="15">
        <v>46090</v>
      </c>
      <c r="G3381" t="s">
        <v>419</v>
      </c>
      <c r="H3381">
        <v>4</v>
      </c>
      <c r="I3381">
        <v>2026</v>
      </c>
      <c r="J3381">
        <v>3</v>
      </c>
      <c r="K3381" t="s">
        <v>87</v>
      </c>
      <c r="L3381" t="s">
        <v>321</v>
      </c>
      <c r="M3381" t="s">
        <v>8</v>
      </c>
      <c r="N3381" t="b">
        <v>0</v>
      </c>
      <c r="O3381">
        <v>0</v>
      </c>
      <c r="P3381">
        <v>1</v>
      </c>
      <c r="Q3381">
        <v>0</v>
      </c>
      <c r="R3381">
        <v>1</v>
      </c>
    </row>
    <row r="3382" spans="1:18" x14ac:dyDescent="0.25">
      <c r="A3382" t="s">
        <v>403</v>
      </c>
      <c r="B3382" t="s">
        <v>6</v>
      </c>
      <c r="C3382">
        <v>1</v>
      </c>
      <c r="D3382">
        <v>6</v>
      </c>
      <c r="E3382">
        <v>2</v>
      </c>
      <c r="F3382" s="15">
        <v>46090</v>
      </c>
      <c r="G3382" t="s">
        <v>419</v>
      </c>
      <c r="H3382">
        <v>4</v>
      </c>
      <c r="I3382">
        <v>2026</v>
      </c>
      <c r="J3382">
        <v>3</v>
      </c>
      <c r="K3382" t="s">
        <v>87</v>
      </c>
      <c r="L3382" t="s">
        <v>20</v>
      </c>
      <c r="M3382" t="s">
        <v>6</v>
      </c>
      <c r="N3382" t="b">
        <v>0</v>
      </c>
      <c r="O3382">
        <v>0</v>
      </c>
      <c r="P3382">
        <v>1</v>
      </c>
      <c r="Q3382">
        <v>0</v>
      </c>
      <c r="R3382">
        <v>0</v>
      </c>
    </row>
    <row r="3383" spans="1:18" x14ac:dyDescent="0.25">
      <c r="A3383" t="s">
        <v>17</v>
      </c>
      <c r="B3383" t="s">
        <v>6</v>
      </c>
      <c r="C3383">
        <v>2</v>
      </c>
      <c r="D3383">
        <v>6</v>
      </c>
      <c r="E3383">
        <v>2</v>
      </c>
      <c r="F3383" s="15">
        <v>46090</v>
      </c>
      <c r="G3383" t="s">
        <v>419</v>
      </c>
      <c r="H3383">
        <v>4</v>
      </c>
      <c r="I3383">
        <v>2026</v>
      </c>
      <c r="J3383">
        <v>3</v>
      </c>
      <c r="K3383" t="s">
        <v>87</v>
      </c>
      <c r="L3383" t="s">
        <v>403</v>
      </c>
      <c r="M3383" t="s">
        <v>6</v>
      </c>
      <c r="N3383" t="b">
        <v>0</v>
      </c>
      <c r="O3383">
        <v>0</v>
      </c>
      <c r="P3383">
        <v>1</v>
      </c>
      <c r="Q3383">
        <v>0</v>
      </c>
      <c r="R3383">
        <v>0</v>
      </c>
    </row>
    <row r="3384" spans="1:18" x14ac:dyDescent="0.25">
      <c r="A3384" t="s">
        <v>17</v>
      </c>
      <c r="B3384" t="s">
        <v>6</v>
      </c>
      <c r="C3384">
        <v>2</v>
      </c>
      <c r="D3384">
        <v>6</v>
      </c>
      <c r="E3384">
        <v>2</v>
      </c>
      <c r="F3384" s="15">
        <v>46090</v>
      </c>
      <c r="G3384" t="s">
        <v>419</v>
      </c>
      <c r="H3384">
        <v>4</v>
      </c>
      <c r="I3384">
        <v>2026</v>
      </c>
      <c r="J3384">
        <v>3</v>
      </c>
      <c r="K3384" t="s">
        <v>87</v>
      </c>
      <c r="L3384" t="s">
        <v>321</v>
      </c>
      <c r="M3384" t="s">
        <v>8</v>
      </c>
      <c r="N3384" t="b">
        <v>0</v>
      </c>
      <c r="O3384">
        <v>0</v>
      </c>
      <c r="P3384">
        <v>1</v>
      </c>
      <c r="Q3384">
        <v>0</v>
      </c>
      <c r="R3384">
        <v>1</v>
      </c>
    </row>
    <row r="3385" spans="1:18" x14ac:dyDescent="0.25">
      <c r="A3385" t="s">
        <v>17</v>
      </c>
      <c r="B3385" t="s">
        <v>6</v>
      </c>
      <c r="C3385">
        <v>2</v>
      </c>
      <c r="D3385">
        <v>6</v>
      </c>
      <c r="E3385">
        <v>2</v>
      </c>
      <c r="F3385" s="15">
        <v>46090</v>
      </c>
      <c r="G3385" t="s">
        <v>419</v>
      </c>
      <c r="H3385">
        <v>4</v>
      </c>
      <c r="I3385">
        <v>2026</v>
      </c>
      <c r="J3385">
        <v>3</v>
      </c>
      <c r="K3385" t="s">
        <v>87</v>
      </c>
      <c r="L3385" t="s">
        <v>20</v>
      </c>
      <c r="M3385" t="s">
        <v>6</v>
      </c>
      <c r="N3385" t="b">
        <v>0</v>
      </c>
      <c r="O3385">
        <v>0</v>
      </c>
      <c r="P3385">
        <v>1</v>
      </c>
      <c r="Q3385">
        <v>0</v>
      </c>
      <c r="R3385">
        <v>0</v>
      </c>
    </row>
    <row r="3386" spans="1:18" x14ac:dyDescent="0.25">
      <c r="A3386" t="s">
        <v>321</v>
      </c>
      <c r="B3386" t="s">
        <v>8</v>
      </c>
      <c r="C3386">
        <v>3</v>
      </c>
      <c r="D3386">
        <v>6</v>
      </c>
      <c r="E3386">
        <v>2</v>
      </c>
      <c r="F3386" s="15">
        <v>46090</v>
      </c>
      <c r="G3386" t="s">
        <v>419</v>
      </c>
      <c r="H3386">
        <v>4</v>
      </c>
      <c r="I3386">
        <v>2026</v>
      </c>
      <c r="J3386">
        <v>3</v>
      </c>
      <c r="K3386" t="s">
        <v>87</v>
      </c>
      <c r="L3386" t="s">
        <v>403</v>
      </c>
      <c r="M3386" t="s">
        <v>6</v>
      </c>
      <c r="N3386" t="b">
        <v>0</v>
      </c>
      <c r="O3386">
        <v>1</v>
      </c>
      <c r="P3386">
        <v>0</v>
      </c>
      <c r="Q3386">
        <v>0</v>
      </c>
      <c r="R3386">
        <v>0</v>
      </c>
    </row>
    <row r="3387" spans="1:18" x14ac:dyDescent="0.25">
      <c r="A3387" t="s">
        <v>321</v>
      </c>
      <c r="B3387" t="s">
        <v>8</v>
      </c>
      <c r="C3387">
        <v>3</v>
      </c>
      <c r="D3387">
        <v>6</v>
      </c>
      <c r="E3387">
        <v>2</v>
      </c>
      <c r="F3387" s="15">
        <v>46090</v>
      </c>
      <c r="G3387" t="s">
        <v>419</v>
      </c>
      <c r="H3387">
        <v>4</v>
      </c>
      <c r="I3387">
        <v>2026</v>
      </c>
      <c r="J3387">
        <v>3</v>
      </c>
      <c r="K3387" t="s">
        <v>87</v>
      </c>
      <c r="L3387" t="s">
        <v>17</v>
      </c>
      <c r="M3387" t="s">
        <v>6</v>
      </c>
      <c r="N3387" t="b">
        <v>0</v>
      </c>
      <c r="O3387">
        <v>1</v>
      </c>
      <c r="P3387">
        <v>0</v>
      </c>
      <c r="Q3387">
        <v>0</v>
      </c>
      <c r="R3387">
        <v>0</v>
      </c>
    </row>
    <row r="3388" spans="1:18" x14ac:dyDescent="0.25">
      <c r="A3388" t="s">
        <v>321</v>
      </c>
      <c r="B3388" t="s">
        <v>8</v>
      </c>
      <c r="C3388">
        <v>3</v>
      </c>
      <c r="D3388">
        <v>6</v>
      </c>
      <c r="E3388">
        <v>2</v>
      </c>
      <c r="F3388" s="15">
        <v>46090</v>
      </c>
      <c r="G3388" t="s">
        <v>419</v>
      </c>
      <c r="H3388">
        <v>4</v>
      </c>
      <c r="I3388">
        <v>2026</v>
      </c>
      <c r="J3388">
        <v>3</v>
      </c>
      <c r="K3388" t="s">
        <v>87</v>
      </c>
      <c r="L3388" t="s">
        <v>20</v>
      </c>
      <c r="M3388" t="s">
        <v>6</v>
      </c>
      <c r="N3388" t="b">
        <v>0</v>
      </c>
      <c r="O3388">
        <v>1</v>
      </c>
      <c r="P3388">
        <v>0</v>
      </c>
      <c r="Q3388">
        <v>0</v>
      </c>
      <c r="R3388">
        <v>0</v>
      </c>
    </row>
    <row r="3389" spans="1:18" x14ac:dyDescent="0.25">
      <c r="A3389" t="s">
        <v>20</v>
      </c>
      <c r="B3389" t="s">
        <v>6</v>
      </c>
      <c r="C3389">
        <v>4</v>
      </c>
      <c r="D3389">
        <v>6</v>
      </c>
      <c r="E3389">
        <v>2</v>
      </c>
      <c r="F3389" s="15">
        <v>46090</v>
      </c>
      <c r="G3389" t="s">
        <v>419</v>
      </c>
      <c r="H3389">
        <v>4</v>
      </c>
      <c r="I3389">
        <v>2026</v>
      </c>
      <c r="J3389">
        <v>3</v>
      </c>
      <c r="K3389" t="s">
        <v>87</v>
      </c>
      <c r="L3389" t="s">
        <v>403</v>
      </c>
      <c r="M3389" t="s">
        <v>6</v>
      </c>
      <c r="N3389" t="b">
        <v>0</v>
      </c>
      <c r="O3389">
        <v>0</v>
      </c>
      <c r="P3389">
        <v>1</v>
      </c>
      <c r="Q3389">
        <v>0</v>
      </c>
      <c r="R3389">
        <v>0</v>
      </c>
    </row>
    <row r="3390" spans="1:18" x14ac:dyDescent="0.25">
      <c r="A3390" t="s">
        <v>20</v>
      </c>
      <c r="B3390" t="s">
        <v>6</v>
      </c>
      <c r="C3390">
        <v>4</v>
      </c>
      <c r="D3390">
        <v>6</v>
      </c>
      <c r="E3390">
        <v>2</v>
      </c>
      <c r="F3390" s="15">
        <v>46090</v>
      </c>
      <c r="G3390" t="s">
        <v>419</v>
      </c>
      <c r="H3390">
        <v>4</v>
      </c>
      <c r="I3390">
        <v>2026</v>
      </c>
      <c r="J3390">
        <v>3</v>
      </c>
      <c r="K3390" t="s">
        <v>87</v>
      </c>
      <c r="L3390" t="s">
        <v>17</v>
      </c>
      <c r="M3390" t="s">
        <v>6</v>
      </c>
      <c r="N3390" t="b">
        <v>0</v>
      </c>
      <c r="O3390">
        <v>0</v>
      </c>
      <c r="P3390">
        <v>1</v>
      </c>
      <c r="Q3390">
        <v>0</v>
      </c>
      <c r="R3390">
        <v>0</v>
      </c>
    </row>
    <row r="3391" spans="1:18" x14ac:dyDescent="0.25">
      <c r="A3391" t="s">
        <v>20</v>
      </c>
      <c r="B3391" t="s">
        <v>6</v>
      </c>
      <c r="C3391">
        <v>4</v>
      </c>
      <c r="D3391">
        <v>6</v>
      </c>
      <c r="E3391">
        <v>2</v>
      </c>
      <c r="F3391" s="15">
        <v>46090</v>
      </c>
      <c r="G3391" t="s">
        <v>419</v>
      </c>
      <c r="H3391">
        <v>4</v>
      </c>
      <c r="I3391">
        <v>2026</v>
      </c>
      <c r="J3391">
        <v>3</v>
      </c>
      <c r="K3391" t="s">
        <v>87</v>
      </c>
      <c r="L3391" t="s">
        <v>321</v>
      </c>
      <c r="M3391" t="s">
        <v>8</v>
      </c>
      <c r="N3391" t="b">
        <v>0</v>
      </c>
      <c r="O3391">
        <v>0</v>
      </c>
      <c r="P3391">
        <v>1</v>
      </c>
      <c r="Q3391">
        <v>0</v>
      </c>
      <c r="R3391">
        <v>1</v>
      </c>
    </row>
    <row r="3392" spans="1:18" x14ac:dyDescent="0.25">
      <c r="A3392" t="s">
        <v>52</v>
      </c>
      <c r="B3392" t="s">
        <v>63</v>
      </c>
      <c r="C3392">
        <v>1</v>
      </c>
      <c r="D3392">
        <v>7</v>
      </c>
      <c r="E3392">
        <v>2</v>
      </c>
      <c r="F3392" s="15">
        <v>46090</v>
      </c>
      <c r="G3392" t="s">
        <v>420</v>
      </c>
      <c r="H3392">
        <v>4</v>
      </c>
      <c r="I3392">
        <v>2026</v>
      </c>
      <c r="J3392">
        <v>3</v>
      </c>
      <c r="K3392" t="s">
        <v>87</v>
      </c>
      <c r="L3392" t="s">
        <v>7</v>
      </c>
      <c r="M3392" t="s">
        <v>63</v>
      </c>
      <c r="N3392" t="b">
        <v>0</v>
      </c>
      <c r="O3392">
        <v>0</v>
      </c>
      <c r="P3392">
        <v>0</v>
      </c>
      <c r="Q3392">
        <v>1</v>
      </c>
      <c r="R3392">
        <v>0</v>
      </c>
    </row>
    <row r="3393" spans="1:18" x14ac:dyDescent="0.25">
      <c r="A3393" t="s">
        <v>52</v>
      </c>
      <c r="B3393" t="s">
        <v>63</v>
      </c>
      <c r="C3393">
        <v>1</v>
      </c>
      <c r="D3393">
        <v>7</v>
      </c>
      <c r="E3393">
        <v>2</v>
      </c>
      <c r="F3393" s="15">
        <v>46090</v>
      </c>
      <c r="G3393" t="s">
        <v>420</v>
      </c>
      <c r="H3393">
        <v>4</v>
      </c>
      <c r="I3393">
        <v>2026</v>
      </c>
      <c r="J3393">
        <v>3</v>
      </c>
      <c r="K3393" t="s">
        <v>87</v>
      </c>
      <c r="L3393" t="s">
        <v>13</v>
      </c>
      <c r="M3393" t="s">
        <v>63</v>
      </c>
      <c r="N3393" t="b">
        <v>0</v>
      </c>
      <c r="O3393">
        <v>0</v>
      </c>
      <c r="P3393">
        <v>0</v>
      </c>
      <c r="Q3393">
        <v>1</v>
      </c>
      <c r="R3393">
        <v>0</v>
      </c>
    </row>
    <row r="3394" spans="1:18" x14ac:dyDescent="0.25">
      <c r="A3394" t="s">
        <v>52</v>
      </c>
      <c r="B3394" t="s">
        <v>63</v>
      </c>
      <c r="C3394">
        <v>1</v>
      </c>
      <c r="D3394">
        <v>7</v>
      </c>
      <c r="E3394">
        <v>2</v>
      </c>
      <c r="F3394" s="15">
        <v>46090</v>
      </c>
      <c r="G3394" t="s">
        <v>420</v>
      </c>
      <c r="H3394">
        <v>4</v>
      </c>
      <c r="I3394">
        <v>2026</v>
      </c>
      <c r="J3394">
        <v>3</v>
      </c>
      <c r="K3394" t="s">
        <v>87</v>
      </c>
      <c r="L3394" t="s">
        <v>352</v>
      </c>
      <c r="M3394" t="s">
        <v>63</v>
      </c>
      <c r="N3394" t="b">
        <v>0</v>
      </c>
      <c r="O3394">
        <v>0</v>
      </c>
      <c r="P3394">
        <v>0</v>
      </c>
      <c r="Q3394">
        <v>1</v>
      </c>
      <c r="R3394">
        <v>0</v>
      </c>
    </row>
    <row r="3395" spans="1:18" x14ac:dyDescent="0.25">
      <c r="A3395" t="s">
        <v>7</v>
      </c>
      <c r="B3395" t="s">
        <v>63</v>
      </c>
      <c r="C3395">
        <v>2</v>
      </c>
      <c r="D3395">
        <v>7</v>
      </c>
      <c r="E3395">
        <v>2</v>
      </c>
      <c r="F3395" s="15">
        <v>46090</v>
      </c>
      <c r="G3395" t="s">
        <v>420</v>
      </c>
      <c r="H3395">
        <v>4</v>
      </c>
      <c r="I3395">
        <v>2026</v>
      </c>
      <c r="J3395">
        <v>3</v>
      </c>
      <c r="K3395" t="s">
        <v>87</v>
      </c>
      <c r="L3395" t="s">
        <v>52</v>
      </c>
      <c r="M3395" t="s">
        <v>63</v>
      </c>
      <c r="N3395" t="b">
        <v>0</v>
      </c>
      <c r="O3395">
        <v>0</v>
      </c>
      <c r="P3395">
        <v>0</v>
      </c>
      <c r="Q3395">
        <v>1</v>
      </c>
      <c r="R3395">
        <v>0</v>
      </c>
    </row>
    <row r="3396" spans="1:18" x14ac:dyDescent="0.25">
      <c r="A3396" t="s">
        <v>7</v>
      </c>
      <c r="B3396" t="s">
        <v>63</v>
      </c>
      <c r="C3396">
        <v>2</v>
      </c>
      <c r="D3396">
        <v>7</v>
      </c>
      <c r="E3396">
        <v>2</v>
      </c>
      <c r="F3396" s="15">
        <v>46090</v>
      </c>
      <c r="G3396" t="s">
        <v>420</v>
      </c>
      <c r="H3396">
        <v>4</v>
      </c>
      <c r="I3396">
        <v>2026</v>
      </c>
      <c r="J3396">
        <v>3</v>
      </c>
      <c r="K3396" t="s">
        <v>87</v>
      </c>
      <c r="L3396" t="s">
        <v>13</v>
      </c>
      <c r="M3396" t="s">
        <v>63</v>
      </c>
      <c r="N3396" t="b">
        <v>0</v>
      </c>
      <c r="O3396">
        <v>0</v>
      </c>
      <c r="P3396">
        <v>0</v>
      </c>
      <c r="Q3396">
        <v>1</v>
      </c>
      <c r="R3396">
        <v>0</v>
      </c>
    </row>
    <row r="3397" spans="1:18" x14ac:dyDescent="0.25">
      <c r="A3397" t="s">
        <v>7</v>
      </c>
      <c r="B3397" t="s">
        <v>63</v>
      </c>
      <c r="C3397">
        <v>2</v>
      </c>
      <c r="D3397">
        <v>7</v>
      </c>
      <c r="E3397">
        <v>2</v>
      </c>
      <c r="F3397" s="15">
        <v>46090</v>
      </c>
      <c r="G3397" t="s">
        <v>420</v>
      </c>
      <c r="H3397">
        <v>4</v>
      </c>
      <c r="I3397">
        <v>2026</v>
      </c>
      <c r="J3397">
        <v>3</v>
      </c>
      <c r="K3397" t="s">
        <v>87</v>
      </c>
      <c r="L3397" t="s">
        <v>352</v>
      </c>
      <c r="M3397" t="s">
        <v>63</v>
      </c>
      <c r="N3397" t="b">
        <v>0</v>
      </c>
      <c r="O3397">
        <v>0</v>
      </c>
      <c r="P3397">
        <v>0</v>
      </c>
      <c r="Q3397">
        <v>1</v>
      </c>
      <c r="R3397">
        <v>0</v>
      </c>
    </row>
    <row r="3398" spans="1:18" x14ac:dyDescent="0.25">
      <c r="A3398" t="s">
        <v>13</v>
      </c>
      <c r="B3398" t="s">
        <v>63</v>
      </c>
      <c r="C3398">
        <v>3</v>
      </c>
      <c r="D3398">
        <v>7</v>
      </c>
      <c r="E3398">
        <v>2</v>
      </c>
      <c r="F3398" s="15">
        <v>46090</v>
      </c>
      <c r="G3398" t="s">
        <v>420</v>
      </c>
      <c r="H3398">
        <v>4</v>
      </c>
      <c r="I3398">
        <v>2026</v>
      </c>
      <c r="J3398">
        <v>3</v>
      </c>
      <c r="K3398" t="s">
        <v>87</v>
      </c>
      <c r="L3398" t="s">
        <v>52</v>
      </c>
      <c r="M3398" t="s">
        <v>63</v>
      </c>
      <c r="N3398" t="b">
        <v>0</v>
      </c>
      <c r="O3398">
        <v>0</v>
      </c>
      <c r="P3398">
        <v>0</v>
      </c>
      <c r="Q3398">
        <v>1</v>
      </c>
      <c r="R3398">
        <v>0</v>
      </c>
    </row>
    <row r="3399" spans="1:18" x14ac:dyDescent="0.25">
      <c r="A3399" t="s">
        <v>13</v>
      </c>
      <c r="B3399" t="s">
        <v>63</v>
      </c>
      <c r="C3399">
        <v>3</v>
      </c>
      <c r="D3399">
        <v>7</v>
      </c>
      <c r="E3399">
        <v>2</v>
      </c>
      <c r="F3399" s="15">
        <v>46090</v>
      </c>
      <c r="G3399" t="s">
        <v>420</v>
      </c>
      <c r="H3399">
        <v>4</v>
      </c>
      <c r="I3399">
        <v>2026</v>
      </c>
      <c r="J3399">
        <v>3</v>
      </c>
      <c r="K3399" t="s">
        <v>87</v>
      </c>
      <c r="L3399" t="s">
        <v>7</v>
      </c>
      <c r="M3399" t="s">
        <v>63</v>
      </c>
      <c r="N3399" t="b">
        <v>0</v>
      </c>
      <c r="O3399">
        <v>0</v>
      </c>
      <c r="P3399">
        <v>0</v>
      </c>
      <c r="Q3399">
        <v>1</v>
      </c>
      <c r="R3399">
        <v>0</v>
      </c>
    </row>
    <row r="3400" spans="1:18" x14ac:dyDescent="0.25">
      <c r="A3400" t="s">
        <v>13</v>
      </c>
      <c r="B3400" t="s">
        <v>63</v>
      </c>
      <c r="C3400">
        <v>3</v>
      </c>
      <c r="D3400">
        <v>7</v>
      </c>
      <c r="E3400">
        <v>2</v>
      </c>
      <c r="F3400" s="15">
        <v>46090</v>
      </c>
      <c r="G3400" t="s">
        <v>420</v>
      </c>
      <c r="H3400">
        <v>4</v>
      </c>
      <c r="I3400">
        <v>2026</v>
      </c>
      <c r="J3400">
        <v>3</v>
      </c>
      <c r="K3400" t="s">
        <v>87</v>
      </c>
      <c r="L3400" t="s">
        <v>352</v>
      </c>
      <c r="M3400" t="s">
        <v>63</v>
      </c>
      <c r="N3400" t="b">
        <v>0</v>
      </c>
      <c r="O3400">
        <v>0</v>
      </c>
      <c r="P3400">
        <v>0</v>
      </c>
      <c r="Q3400">
        <v>1</v>
      </c>
      <c r="R3400">
        <v>0</v>
      </c>
    </row>
    <row r="3401" spans="1:18" x14ac:dyDescent="0.25">
      <c r="A3401" t="s">
        <v>352</v>
      </c>
      <c r="B3401" t="s">
        <v>63</v>
      </c>
      <c r="C3401">
        <v>4</v>
      </c>
      <c r="D3401">
        <v>7</v>
      </c>
      <c r="E3401">
        <v>2</v>
      </c>
      <c r="F3401" s="15">
        <v>46090</v>
      </c>
      <c r="G3401" t="s">
        <v>420</v>
      </c>
      <c r="H3401">
        <v>4</v>
      </c>
      <c r="I3401">
        <v>2026</v>
      </c>
      <c r="J3401">
        <v>3</v>
      </c>
      <c r="K3401" t="s">
        <v>87</v>
      </c>
      <c r="L3401" t="s">
        <v>52</v>
      </c>
      <c r="M3401" t="s">
        <v>63</v>
      </c>
      <c r="N3401" t="b">
        <v>0</v>
      </c>
      <c r="O3401">
        <v>0</v>
      </c>
      <c r="P3401">
        <v>0</v>
      </c>
      <c r="Q3401">
        <v>1</v>
      </c>
      <c r="R3401">
        <v>0</v>
      </c>
    </row>
    <row r="3402" spans="1:18" x14ac:dyDescent="0.25">
      <c r="A3402" t="s">
        <v>352</v>
      </c>
      <c r="B3402" t="s">
        <v>63</v>
      </c>
      <c r="C3402">
        <v>4</v>
      </c>
      <c r="D3402">
        <v>7</v>
      </c>
      <c r="E3402">
        <v>2</v>
      </c>
      <c r="F3402" s="15">
        <v>46090</v>
      </c>
      <c r="G3402" t="s">
        <v>420</v>
      </c>
      <c r="H3402">
        <v>4</v>
      </c>
      <c r="I3402">
        <v>2026</v>
      </c>
      <c r="J3402">
        <v>3</v>
      </c>
      <c r="K3402" t="s">
        <v>87</v>
      </c>
      <c r="L3402" t="s">
        <v>7</v>
      </c>
      <c r="M3402" t="s">
        <v>63</v>
      </c>
      <c r="N3402" t="b">
        <v>0</v>
      </c>
      <c r="O3402">
        <v>0</v>
      </c>
      <c r="P3402">
        <v>0</v>
      </c>
      <c r="Q3402">
        <v>1</v>
      </c>
      <c r="R3402">
        <v>0</v>
      </c>
    </row>
    <row r="3403" spans="1:18" x14ac:dyDescent="0.25">
      <c r="A3403" t="s">
        <v>352</v>
      </c>
      <c r="B3403" t="s">
        <v>63</v>
      </c>
      <c r="C3403">
        <v>4</v>
      </c>
      <c r="D3403">
        <v>7</v>
      </c>
      <c r="E3403">
        <v>2</v>
      </c>
      <c r="F3403" s="15">
        <v>46090</v>
      </c>
      <c r="G3403" t="s">
        <v>420</v>
      </c>
      <c r="H3403">
        <v>4</v>
      </c>
      <c r="I3403">
        <v>2026</v>
      </c>
      <c r="J3403">
        <v>3</v>
      </c>
      <c r="K3403" t="s">
        <v>87</v>
      </c>
      <c r="L3403" t="s">
        <v>13</v>
      </c>
      <c r="M3403" t="s">
        <v>63</v>
      </c>
      <c r="N3403" t="b">
        <v>0</v>
      </c>
      <c r="O3403">
        <v>0</v>
      </c>
      <c r="P3403">
        <v>0</v>
      </c>
      <c r="Q3403">
        <v>1</v>
      </c>
      <c r="R3403">
        <v>0</v>
      </c>
    </row>
    <row r="3404" spans="1:18" x14ac:dyDescent="0.25">
      <c r="A3404" t="s">
        <v>9</v>
      </c>
      <c r="B3404" t="s">
        <v>63</v>
      </c>
      <c r="C3404">
        <v>1</v>
      </c>
      <c r="D3404">
        <v>1</v>
      </c>
      <c r="E3404">
        <v>1</v>
      </c>
      <c r="F3404" s="15">
        <v>46097</v>
      </c>
      <c r="G3404" t="s">
        <v>422</v>
      </c>
      <c r="H3404">
        <v>4</v>
      </c>
      <c r="I3404">
        <v>2026</v>
      </c>
      <c r="J3404">
        <v>3</v>
      </c>
      <c r="K3404" t="s">
        <v>87</v>
      </c>
      <c r="L3404" t="s">
        <v>51</v>
      </c>
      <c r="M3404" t="s">
        <v>63</v>
      </c>
      <c r="N3404" t="b">
        <v>0</v>
      </c>
      <c r="O3404">
        <v>0</v>
      </c>
      <c r="P3404">
        <v>0</v>
      </c>
      <c r="Q3404">
        <v>1</v>
      </c>
      <c r="R3404">
        <v>0</v>
      </c>
    </row>
    <row r="3405" spans="1:18" x14ac:dyDescent="0.25">
      <c r="A3405" t="s">
        <v>9</v>
      </c>
      <c r="B3405" t="s">
        <v>63</v>
      </c>
      <c r="C3405">
        <v>1</v>
      </c>
      <c r="D3405">
        <v>1</v>
      </c>
      <c r="E3405">
        <v>1</v>
      </c>
      <c r="F3405" s="15">
        <v>46097</v>
      </c>
      <c r="G3405" t="s">
        <v>422</v>
      </c>
      <c r="H3405">
        <v>4</v>
      </c>
      <c r="I3405">
        <v>2026</v>
      </c>
      <c r="J3405">
        <v>3</v>
      </c>
      <c r="K3405" t="s">
        <v>87</v>
      </c>
      <c r="L3405" t="s">
        <v>405</v>
      </c>
      <c r="M3405" t="s">
        <v>63</v>
      </c>
      <c r="N3405" t="b">
        <v>0</v>
      </c>
      <c r="O3405">
        <v>0</v>
      </c>
      <c r="P3405">
        <v>0</v>
      </c>
      <c r="Q3405">
        <v>1</v>
      </c>
      <c r="R3405">
        <v>0</v>
      </c>
    </row>
    <row r="3406" spans="1:18" x14ac:dyDescent="0.25">
      <c r="A3406" t="s">
        <v>9</v>
      </c>
      <c r="B3406" t="s">
        <v>63</v>
      </c>
      <c r="C3406">
        <v>1</v>
      </c>
      <c r="D3406">
        <v>1</v>
      </c>
      <c r="E3406">
        <v>1</v>
      </c>
      <c r="F3406" s="15">
        <v>46097</v>
      </c>
      <c r="G3406" t="s">
        <v>422</v>
      </c>
      <c r="H3406">
        <v>4</v>
      </c>
      <c r="I3406">
        <v>2026</v>
      </c>
      <c r="J3406">
        <v>3</v>
      </c>
      <c r="K3406" t="s">
        <v>87</v>
      </c>
      <c r="L3406" t="s">
        <v>11</v>
      </c>
      <c r="M3406" t="s">
        <v>63</v>
      </c>
      <c r="N3406" t="b">
        <v>0</v>
      </c>
      <c r="O3406">
        <v>0</v>
      </c>
      <c r="P3406">
        <v>0</v>
      </c>
      <c r="Q3406">
        <v>1</v>
      </c>
      <c r="R3406">
        <v>0</v>
      </c>
    </row>
    <row r="3407" spans="1:18" x14ac:dyDescent="0.25">
      <c r="A3407" t="s">
        <v>51</v>
      </c>
      <c r="B3407" t="s">
        <v>63</v>
      </c>
      <c r="C3407">
        <v>2</v>
      </c>
      <c r="D3407">
        <v>1</v>
      </c>
      <c r="E3407">
        <v>1</v>
      </c>
      <c r="F3407" s="15">
        <v>46097</v>
      </c>
      <c r="G3407" t="s">
        <v>422</v>
      </c>
      <c r="H3407">
        <v>4</v>
      </c>
      <c r="I3407">
        <v>2026</v>
      </c>
      <c r="J3407">
        <v>3</v>
      </c>
      <c r="K3407" t="s">
        <v>87</v>
      </c>
      <c r="L3407" t="s">
        <v>9</v>
      </c>
      <c r="M3407" t="s">
        <v>63</v>
      </c>
      <c r="N3407" t="b">
        <v>0</v>
      </c>
      <c r="O3407">
        <v>0</v>
      </c>
      <c r="P3407">
        <v>0</v>
      </c>
      <c r="Q3407">
        <v>1</v>
      </c>
      <c r="R3407">
        <v>0</v>
      </c>
    </row>
    <row r="3408" spans="1:18" x14ac:dyDescent="0.25">
      <c r="A3408" t="s">
        <v>51</v>
      </c>
      <c r="B3408" t="s">
        <v>63</v>
      </c>
      <c r="C3408">
        <v>2</v>
      </c>
      <c r="D3408">
        <v>1</v>
      </c>
      <c r="E3408">
        <v>1</v>
      </c>
      <c r="F3408" s="15">
        <v>46097</v>
      </c>
      <c r="G3408" t="s">
        <v>422</v>
      </c>
      <c r="H3408">
        <v>4</v>
      </c>
      <c r="I3408">
        <v>2026</v>
      </c>
      <c r="J3408">
        <v>3</v>
      </c>
      <c r="K3408" t="s">
        <v>87</v>
      </c>
      <c r="L3408" t="s">
        <v>405</v>
      </c>
      <c r="M3408" t="s">
        <v>63</v>
      </c>
      <c r="N3408" t="b">
        <v>0</v>
      </c>
      <c r="O3408">
        <v>0</v>
      </c>
      <c r="P3408">
        <v>0</v>
      </c>
      <c r="Q3408">
        <v>1</v>
      </c>
      <c r="R3408">
        <v>0</v>
      </c>
    </row>
    <row r="3409" spans="1:18" x14ac:dyDescent="0.25">
      <c r="A3409" t="s">
        <v>51</v>
      </c>
      <c r="B3409" t="s">
        <v>63</v>
      </c>
      <c r="C3409">
        <v>2</v>
      </c>
      <c r="D3409">
        <v>1</v>
      </c>
      <c r="E3409">
        <v>1</v>
      </c>
      <c r="F3409" s="15">
        <v>46097</v>
      </c>
      <c r="G3409" t="s">
        <v>422</v>
      </c>
      <c r="H3409">
        <v>4</v>
      </c>
      <c r="I3409">
        <v>2026</v>
      </c>
      <c r="J3409">
        <v>3</v>
      </c>
      <c r="K3409" t="s">
        <v>87</v>
      </c>
      <c r="L3409" t="s">
        <v>11</v>
      </c>
      <c r="M3409" t="s">
        <v>63</v>
      </c>
      <c r="N3409" t="b">
        <v>0</v>
      </c>
      <c r="O3409">
        <v>0</v>
      </c>
      <c r="P3409">
        <v>0</v>
      </c>
      <c r="Q3409">
        <v>1</v>
      </c>
      <c r="R3409">
        <v>0</v>
      </c>
    </row>
    <row r="3410" spans="1:18" x14ac:dyDescent="0.25">
      <c r="A3410" t="s">
        <v>405</v>
      </c>
      <c r="B3410" t="s">
        <v>63</v>
      </c>
      <c r="C3410">
        <v>3</v>
      </c>
      <c r="D3410">
        <v>1</v>
      </c>
      <c r="E3410">
        <v>1</v>
      </c>
      <c r="F3410" s="15">
        <v>46097</v>
      </c>
      <c r="G3410" t="s">
        <v>422</v>
      </c>
      <c r="H3410">
        <v>4</v>
      </c>
      <c r="I3410">
        <v>2026</v>
      </c>
      <c r="J3410">
        <v>3</v>
      </c>
      <c r="K3410" t="s">
        <v>87</v>
      </c>
      <c r="L3410" t="s">
        <v>9</v>
      </c>
      <c r="M3410" t="s">
        <v>63</v>
      </c>
      <c r="N3410" t="b">
        <v>0</v>
      </c>
      <c r="O3410">
        <v>0</v>
      </c>
      <c r="P3410">
        <v>0</v>
      </c>
      <c r="Q3410">
        <v>1</v>
      </c>
      <c r="R3410">
        <v>0</v>
      </c>
    </row>
    <row r="3411" spans="1:18" x14ac:dyDescent="0.25">
      <c r="A3411" t="s">
        <v>405</v>
      </c>
      <c r="B3411" t="s">
        <v>63</v>
      </c>
      <c r="C3411">
        <v>3</v>
      </c>
      <c r="D3411">
        <v>1</v>
      </c>
      <c r="E3411">
        <v>1</v>
      </c>
      <c r="F3411" s="15">
        <v>46097</v>
      </c>
      <c r="G3411" t="s">
        <v>422</v>
      </c>
      <c r="H3411">
        <v>4</v>
      </c>
      <c r="I3411">
        <v>2026</v>
      </c>
      <c r="J3411">
        <v>3</v>
      </c>
      <c r="K3411" t="s">
        <v>87</v>
      </c>
      <c r="L3411" t="s">
        <v>51</v>
      </c>
      <c r="M3411" t="s">
        <v>63</v>
      </c>
      <c r="N3411" t="b">
        <v>0</v>
      </c>
      <c r="O3411">
        <v>0</v>
      </c>
      <c r="P3411">
        <v>0</v>
      </c>
      <c r="Q3411">
        <v>1</v>
      </c>
      <c r="R3411">
        <v>0</v>
      </c>
    </row>
    <row r="3412" spans="1:18" x14ac:dyDescent="0.25">
      <c r="A3412" t="s">
        <v>405</v>
      </c>
      <c r="B3412" t="s">
        <v>63</v>
      </c>
      <c r="C3412">
        <v>3</v>
      </c>
      <c r="D3412">
        <v>1</v>
      </c>
      <c r="E3412">
        <v>1</v>
      </c>
      <c r="F3412" s="15">
        <v>46097</v>
      </c>
      <c r="G3412" t="s">
        <v>422</v>
      </c>
      <c r="H3412">
        <v>4</v>
      </c>
      <c r="I3412">
        <v>2026</v>
      </c>
      <c r="J3412">
        <v>3</v>
      </c>
      <c r="K3412" t="s">
        <v>87</v>
      </c>
      <c r="L3412" t="s">
        <v>11</v>
      </c>
      <c r="M3412" t="s">
        <v>63</v>
      </c>
      <c r="N3412" t="b">
        <v>0</v>
      </c>
      <c r="O3412">
        <v>0</v>
      </c>
      <c r="P3412">
        <v>0</v>
      </c>
      <c r="Q3412">
        <v>1</v>
      </c>
      <c r="R3412">
        <v>0</v>
      </c>
    </row>
    <row r="3413" spans="1:18" x14ac:dyDescent="0.25">
      <c r="A3413" t="s">
        <v>11</v>
      </c>
      <c r="B3413" t="s">
        <v>63</v>
      </c>
      <c r="C3413">
        <v>4</v>
      </c>
      <c r="D3413">
        <v>1</v>
      </c>
      <c r="E3413">
        <v>1</v>
      </c>
      <c r="F3413" s="15">
        <v>46097</v>
      </c>
      <c r="G3413" t="s">
        <v>422</v>
      </c>
      <c r="H3413">
        <v>4</v>
      </c>
      <c r="I3413">
        <v>2026</v>
      </c>
      <c r="J3413">
        <v>3</v>
      </c>
      <c r="K3413" t="s">
        <v>87</v>
      </c>
      <c r="L3413" t="s">
        <v>9</v>
      </c>
      <c r="M3413" t="s">
        <v>63</v>
      </c>
      <c r="N3413" t="b">
        <v>0</v>
      </c>
      <c r="O3413">
        <v>0</v>
      </c>
      <c r="P3413">
        <v>0</v>
      </c>
      <c r="Q3413">
        <v>1</v>
      </c>
      <c r="R3413">
        <v>0</v>
      </c>
    </row>
    <row r="3414" spans="1:18" x14ac:dyDescent="0.25">
      <c r="A3414" t="s">
        <v>11</v>
      </c>
      <c r="B3414" t="s">
        <v>63</v>
      </c>
      <c r="C3414">
        <v>4</v>
      </c>
      <c r="D3414">
        <v>1</v>
      </c>
      <c r="E3414">
        <v>1</v>
      </c>
      <c r="F3414" s="15">
        <v>46097</v>
      </c>
      <c r="G3414" t="s">
        <v>422</v>
      </c>
      <c r="H3414">
        <v>4</v>
      </c>
      <c r="I3414">
        <v>2026</v>
      </c>
      <c r="J3414">
        <v>3</v>
      </c>
      <c r="K3414" t="s">
        <v>87</v>
      </c>
      <c r="L3414" t="s">
        <v>51</v>
      </c>
      <c r="M3414" t="s">
        <v>63</v>
      </c>
      <c r="N3414" t="b">
        <v>0</v>
      </c>
      <c r="O3414">
        <v>0</v>
      </c>
      <c r="P3414">
        <v>0</v>
      </c>
      <c r="Q3414">
        <v>1</v>
      </c>
      <c r="R3414">
        <v>0</v>
      </c>
    </row>
    <row r="3415" spans="1:18" x14ac:dyDescent="0.25">
      <c r="A3415" t="s">
        <v>11</v>
      </c>
      <c r="B3415" t="s">
        <v>63</v>
      </c>
      <c r="C3415">
        <v>4</v>
      </c>
      <c r="D3415">
        <v>1</v>
      </c>
      <c r="E3415">
        <v>1</v>
      </c>
      <c r="F3415" s="15">
        <v>46097</v>
      </c>
      <c r="G3415" t="s">
        <v>422</v>
      </c>
      <c r="H3415">
        <v>4</v>
      </c>
      <c r="I3415">
        <v>2026</v>
      </c>
      <c r="J3415">
        <v>3</v>
      </c>
      <c r="K3415" t="s">
        <v>87</v>
      </c>
      <c r="L3415" t="s">
        <v>405</v>
      </c>
      <c r="M3415" t="s">
        <v>63</v>
      </c>
      <c r="N3415" t="b">
        <v>0</v>
      </c>
      <c r="O3415">
        <v>0</v>
      </c>
      <c r="P3415">
        <v>0</v>
      </c>
      <c r="Q3415">
        <v>1</v>
      </c>
      <c r="R3415">
        <v>0</v>
      </c>
    </row>
    <row r="3416" spans="1:18" x14ac:dyDescent="0.25">
      <c r="A3416" t="s">
        <v>17</v>
      </c>
      <c r="B3416" t="s">
        <v>8</v>
      </c>
      <c r="C3416">
        <v>1</v>
      </c>
      <c r="D3416">
        <v>2</v>
      </c>
      <c r="E3416">
        <v>1</v>
      </c>
      <c r="F3416" s="15">
        <v>46097</v>
      </c>
      <c r="G3416" t="s">
        <v>423</v>
      </c>
      <c r="H3416">
        <v>4</v>
      </c>
      <c r="I3416">
        <v>2026</v>
      </c>
      <c r="J3416">
        <v>3</v>
      </c>
      <c r="K3416" t="s">
        <v>87</v>
      </c>
      <c r="L3416" t="s">
        <v>14</v>
      </c>
      <c r="M3416" t="s">
        <v>6</v>
      </c>
      <c r="N3416" t="b">
        <v>0</v>
      </c>
      <c r="O3416">
        <v>1</v>
      </c>
      <c r="P3416">
        <v>0</v>
      </c>
      <c r="Q3416">
        <v>0</v>
      </c>
      <c r="R3416">
        <v>0</v>
      </c>
    </row>
    <row r="3417" spans="1:18" x14ac:dyDescent="0.25">
      <c r="A3417" t="s">
        <v>17</v>
      </c>
      <c r="B3417" t="s">
        <v>8</v>
      </c>
      <c r="C3417">
        <v>1</v>
      </c>
      <c r="D3417">
        <v>2</v>
      </c>
      <c r="E3417">
        <v>1</v>
      </c>
      <c r="F3417" s="15">
        <v>46097</v>
      </c>
      <c r="G3417" t="s">
        <v>423</v>
      </c>
      <c r="H3417">
        <v>4</v>
      </c>
      <c r="I3417">
        <v>2026</v>
      </c>
      <c r="J3417">
        <v>3</v>
      </c>
      <c r="K3417" t="s">
        <v>87</v>
      </c>
      <c r="L3417" t="s">
        <v>363</v>
      </c>
      <c r="M3417" t="s">
        <v>6</v>
      </c>
      <c r="N3417" t="b">
        <v>0</v>
      </c>
      <c r="O3417">
        <v>1</v>
      </c>
      <c r="P3417">
        <v>0</v>
      </c>
      <c r="Q3417">
        <v>0</v>
      </c>
      <c r="R3417">
        <v>0</v>
      </c>
    </row>
    <row r="3418" spans="1:18" x14ac:dyDescent="0.25">
      <c r="A3418" t="s">
        <v>17</v>
      </c>
      <c r="B3418" t="s">
        <v>8</v>
      </c>
      <c r="C3418">
        <v>1</v>
      </c>
      <c r="D3418">
        <v>2</v>
      </c>
      <c r="E3418">
        <v>1</v>
      </c>
      <c r="F3418" s="15">
        <v>46097</v>
      </c>
      <c r="G3418" t="s">
        <v>423</v>
      </c>
      <c r="H3418">
        <v>4</v>
      </c>
      <c r="I3418">
        <v>2026</v>
      </c>
      <c r="J3418">
        <v>3</v>
      </c>
      <c r="K3418" t="s">
        <v>87</v>
      </c>
      <c r="L3418" t="s">
        <v>436</v>
      </c>
      <c r="M3418" t="s">
        <v>6</v>
      </c>
      <c r="N3418" t="b">
        <v>0</v>
      </c>
      <c r="O3418">
        <v>1</v>
      </c>
      <c r="P3418">
        <v>0</v>
      </c>
      <c r="Q3418">
        <v>0</v>
      </c>
      <c r="R3418">
        <v>0</v>
      </c>
    </row>
    <row r="3419" spans="1:18" x14ac:dyDescent="0.25">
      <c r="A3419" t="s">
        <v>14</v>
      </c>
      <c r="B3419" t="s">
        <v>6</v>
      </c>
      <c r="C3419">
        <v>2</v>
      </c>
      <c r="D3419">
        <v>2</v>
      </c>
      <c r="E3419">
        <v>1</v>
      </c>
      <c r="F3419" s="15">
        <v>46097</v>
      </c>
      <c r="G3419" t="s">
        <v>423</v>
      </c>
      <c r="H3419">
        <v>4</v>
      </c>
      <c r="I3419">
        <v>2026</v>
      </c>
      <c r="J3419">
        <v>3</v>
      </c>
      <c r="K3419" t="s">
        <v>87</v>
      </c>
      <c r="L3419" t="s">
        <v>17</v>
      </c>
      <c r="M3419" t="s">
        <v>8</v>
      </c>
      <c r="N3419" t="b">
        <v>0</v>
      </c>
      <c r="O3419">
        <v>0</v>
      </c>
      <c r="P3419">
        <v>1</v>
      </c>
      <c r="Q3419">
        <v>0</v>
      </c>
      <c r="R3419">
        <v>1</v>
      </c>
    </row>
    <row r="3420" spans="1:18" x14ac:dyDescent="0.25">
      <c r="A3420" t="s">
        <v>14</v>
      </c>
      <c r="B3420" t="s">
        <v>6</v>
      </c>
      <c r="C3420">
        <v>2</v>
      </c>
      <c r="D3420">
        <v>2</v>
      </c>
      <c r="E3420">
        <v>1</v>
      </c>
      <c r="F3420" s="15">
        <v>46097</v>
      </c>
      <c r="G3420" t="s">
        <v>423</v>
      </c>
      <c r="H3420">
        <v>4</v>
      </c>
      <c r="I3420">
        <v>2026</v>
      </c>
      <c r="J3420">
        <v>3</v>
      </c>
      <c r="K3420" t="s">
        <v>87</v>
      </c>
      <c r="L3420" t="s">
        <v>363</v>
      </c>
      <c r="M3420" t="s">
        <v>6</v>
      </c>
      <c r="N3420" t="b">
        <v>0</v>
      </c>
      <c r="O3420">
        <v>0</v>
      </c>
      <c r="P3420">
        <v>1</v>
      </c>
      <c r="Q3420">
        <v>0</v>
      </c>
      <c r="R3420">
        <v>0</v>
      </c>
    </row>
    <row r="3421" spans="1:18" x14ac:dyDescent="0.25">
      <c r="A3421" t="s">
        <v>14</v>
      </c>
      <c r="B3421" t="s">
        <v>6</v>
      </c>
      <c r="C3421">
        <v>2</v>
      </c>
      <c r="D3421">
        <v>2</v>
      </c>
      <c r="E3421">
        <v>1</v>
      </c>
      <c r="F3421" s="15">
        <v>46097</v>
      </c>
      <c r="G3421" t="s">
        <v>423</v>
      </c>
      <c r="H3421">
        <v>4</v>
      </c>
      <c r="I3421">
        <v>2026</v>
      </c>
      <c r="J3421">
        <v>3</v>
      </c>
      <c r="K3421" t="s">
        <v>87</v>
      </c>
      <c r="L3421" t="s">
        <v>436</v>
      </c>
      <c r="M3421" t="s">
        <v>6</v>
      </c>
      <c r="N3421" t="b">
        <v>0</v>
      </c>
      <c r="O3421">
        <v>0</v>
      </c>
      <c r="P3421">
        <v>1</v>
      </c>
      <c r="Q3421">
        <v>0</v>
      </c>
      <c r="R3421">
        <v>0</v>
      </c>
    </row>
    <row r="3422" spans="1:18" x14ac:dyDescent="0.25">
      <c r="A3422" t="s">
        <v>363</v>
      </c>
      <c r="B3422" t="s">
        <v>6</v>
      </c>
      <c r="C3422">
        <v>3</v>
      </c>
      <c r="D3422">
        <v>2</v>
      </c>
      <c r="E3422">
        <v>1</v>
      </c>
      <c r="F3422" s="15">
        <v>46097</v>
      </c>
      <c r="G3422" t="s">
        <v>423</v>
      </c>
      <c r="H3422">
        <v>4</v>
      </c>
      <c r="I3422">
        <v>2026</v>
      </c>
      <c r="J3422">
        <v>3</v>
      </c>
      <c r="K3422" t="s">
        <v>87</v>
      </c>
      <c r="L3422" t="s">
        <v>17</v>
      </c>
      <c r="M3422" t="s">
        <v>8</v>
      </c>
      <c r="N3422" t="b">
        <v>0</v>
      </c>
      <c r="O3422">
        <v>0</v>
      </c>
      <c r="P3422">
        <v>1</v>
      </c>
      <c r="Q3422">
        <v>0</v>
      </c>
      <c r="R3422">
        <v>1</v>
      </c>
    </row>
    <row r="3423" spans="1:18" x14ac:dyDescent="0.25">
      <c r="A3423" t="s">
        <v>363</v>
      </c>
      <c r="B3423" t="s">
        <v>6</v>
      </c>
      <c r="C3423">
        <v>3</v>
      </c>
      <c r="D3423">
        <v>2</v>
      </c>
      <c r="E3423">
        <v>1</v>
      </c>
      <c r="F3423" s="15">
        <v>46097</v>
      </c>
      <c r="G3423" t="s">
        <v>423</v>
      </c>
      <c r="H3423">
        <v>4</v>
      </c>
      <c r="I3423">
        <v>2026</v>
      </c>
      <c r="J3423">
        <v>3</v>
      </c>
      <c r="K3423" t="s">
        <v>87</v>
      </c>
      <c r="L3423" t="s">
        <v>14</v>
      </c>
      <c r="M3423" t="s">
        <v>6</v>
      </c>
      <c r="N3423" t="b">
        <v>0</v>
      </c>
      <c r="O3423">
        <v>0</v>
      </c>
      <c r="P3423">
        <v>1</v>
      </c>
      <c r="Q3423">
        <v>0</v>
      </c>
      <c r="R3423">
        <v>0</v>
      </c>
    </row>
    <row r="3424" spans="1:18" x14ac:dyDescent="0.25">
      <c r="A3424" t="s">
        <v>363</v>
      </c>
      <c r="B3424" t="s">
        <v>6</v>
      </c>
      <c r="C3424">
        <v>3</v>
      </c>
      <c r="D3424">
        <v>2</v>
      </c>
      <c r="E3424">
        <v>1</v>
      </c>
      <c r="F3424" s="15">
        <v>46097</v>
      </c>
      <c r="G3424" t="s">
        <v>423</v>
      </c>
      <c r="H3424">
        <v>4</v>
      </c>
      <c r="I3424">
        <v>2026</v>
      </c>
      <c r="J3424">
        <v>3</v>
      </c>
      <c r="K3424" t="s">
        <v>87</v>
      </c>
      <c r="L3424" t="s">
        <v>436</v>
      </c>
      <c r="M3424" t="s">
        <v>6</v>
      </c>
      <c r="N3424" t="b">
        <v>0</v>
      </c>
      <c r="O3424">
        <v>0</v>
      </c>
      <c r="P3424">
        <v>1</v>
      </c>
      <c r="Q3424">
        <v>0</v>
      </c>
      <c r="R3424">
        <v>0</v>
      </c>
    </row>
    <row r="3425" spans="1:18" x14ac:dyDescent="0.25">
      <c r="A3425" t="s">
        <v>436</v>
      </c>
      <c r="B3425" t="s">
        <v>6</v>
      </c>
      <c r="C3425">
        <v>4</v>
      </c>
      <c r="D3425">
        <v>2</v>
      </c>
      <c r="E3425">
        <v>1</v>
      </c>
      <c r="F3425" s="15">
        <v>46097</v>
      </c>
      <c r="G3425" t="s">
        <v>423</v>
      </c>
      <c r="H3425">
        <v>4</v>
      </c>
      <c r="I3425">
        <v>2026</v>
      </c>
      <c r="J3425">
        <v>3</v>
      </c>
      <c r="K3425" t="s">
        <v>87</v>
      </c>
      <c r="L3425" t="s">
        <v>17</v>
      </c>
      <c r="M3425" t="s">
        <v>8</v>
      </c>
      <c r="N3425" t="b">
        <v>0</v>
      </c>
      <c r="O3425">
        <v>0</v>
      </c>
      <c r="P3425">
        <v>1</v>
      </c>
      <c r="Q3425">
        <v>0</v>
      </c>
      <c r="R3425">
        <v>1</v>
      </c>
    </row>
    <row r="3426" spans="1:18" x14ac:dyDescent="0.25">
      <c r="A3426" t="s">
        <v>436</v>
      </c>
      <c r="B3426" t="s">
        <v>6</v>
      </c>
      <c r="C3426">
        <v>4</v>
      </c>
      <c r="D3426">
        <v>2</v>
      </c>
      <c r="E3426">
        <v>1</v>
      </c>
      <c r="F3426" s="15">
        <v>46097</v>
      </c>
      <c r="G3426" t="s">
        <v>423</v>
      </c>
      <c r="H3426">
        <v>4</v>
      </c>
      <c r="I3426">
        <v>2026</v>
      </c>
      <c r="J3426">
        <v>3</v>
      </c>
      <c r="K3426" t="s">
        <v>87</v>
      </c>
      <c r="L3426" t="s">
        <v>14</v>
      </c>
      <c r="M3426" t="s">
        <v>6</v>
      </c>
      <c r="N3426" t="b">
        <v>0</v>
      </c>
      <c r="O3426">
        <v>0</v>
      </c>
      <c r="P3426">
        <v>1</v>
      </c>
      <c r="Q3426">
        <v>0</v>
      </c>
      <c r="R3426">
        <v>0</v>
      </c>
    </row>
    <row r="3427" spans="1:18" x14ac:dyDescent="0.25">
      <c r="A3427" t="s">
        <v>436</v>
      </c>
      <c r="B3427" t="s">
        <v>6</v>
      </c>
      <c r="C3427">
        <v>4</v>
      </c>
      <c r="D3427">
        <v>2</v>
      </c>
      <c r="E3427">
        <v>1</v>
      </c>
      <c r="F3427" s="15">
        <v>46097</v>
      </c>
      <c r="G3427" t="s">
        <v>423</v>
      </c>
      <c r="H3427">
        <v>4</v>
      </c>
      <c r="I3427">
        <v>2026</v>
      </c>
      <c r="J3427">
        <v>3</v>
      </c>
      <c r="K3427" t="s">
        <v>87</v>
      </c>
      <c r="L3427" t="s">
        <v>363</v>
      </c>
      <c r="M3427" t="s">
        <v>6</v>
      </c>
      <c r="N3427" t="b">
        <v>0</v>
      </c>
      <c r="O3427">
        <v>0</v>
      </c>
      <c r="P3427">
        <v>1</v>
      </c>
      <c r="Q3427">
        <v>0</v>
      </c>
      <c r="R3427">
        <v>0</v>
      </c>
    </row>
    <row r="3428" spans="1:18" x14ac:dyDescent="0.25">
      <c r="A3428" t="s">
        <v>7</v>
      </c>
      <c r="B3428" t="s">
        <v>8</v>
      </c>
      <c r="C3428">
        <v>1</v>
      </c>
      <c r="D3428">
        <v>4</v>
      </c>
      <c r="E3428">
        <v>1</v>
      </c>
      <c r="F3428" s="15">
        <v>46097</v>
      </c>
      <c r="G3428" t="s">
        <v>425</v>
      </c>
      <c r="H3428">
        <v>3</v>
      </c>
      <c r="I3428">
        <v>2026</v>
      </c>
      <c r="J3428">
        <v>3</v>
      </c>
      <c r="K3428" t="s">
        <v>87</v>
      </c>
      <c r="L3428" t="s">
        <v>41</v>
      </c>
      <c r="M3428" t="s">
        <v>6</v>
      </c>
      <c r="N3428" t="b">
        <v>0</v>
      </c>
      <c r="O3428">
        <v>1</v>
      </c>
      <c r="P3428">
        <v>0</v>
      </c>
      <c r="Q3428">
        <v>0</v>
      </c>
      <c r="R3428">
        <v>0</v>
      </c>
    </row>
    <row r="3429" spans="1:18" x14ac:dyDescent="0.25">
      <c r="A3429" t="s">
        <v>7</v>
      </c>
      <c r="B3429" t="s">
        <v>8</v>
      </c>
      <c r="C3429">
        <v>1</v>
      </c>
      <c r="D3429">
        <v>4</v>
      </c>
      <c r="E3429">
        <v>1</v>
      </c>
      <c r="F3429" s="15">
        <v>46097</v>
      </c>
      <c r="G3429" t="s">
        <v>425</v>
      </c>
      <c r="H3429">
        <v>3</v>
      </c>
      <c r="I3429">
        <v>2026</v>
      </c>
      <c r="J3429">
        <v>3</v>
      </c>
      <c r="K3429" t="s">
        <v>87</v>
      </c>
      <c r="L3429" t="s">
        <v>351</v>
      </c>
      <c r="M3429" t="s">
        <v>6</v>
      </c>
      <c r="N3429" t="b">
        <v>0</v>
      </c>
      <c r="O3429">
        <v>1</v>
      </c>
      <c r="P3429">
        <v>0</v>
      </c>
      <c r="Q3429">
        <v>0</v>
      </c>
      <c r="R3429">
        <v>0</v>
      </c>
    </row>
    <row r="3430" spans="1:18" x14ac:dyDescent="0.25">
      <c r="A3430" t="s">
        <v>41</v>
      </c>
      <c r="B3430" t="s">
        <v>6</v>
      </c>
      <c r="C3430">
        <v>2</v>
      </c>
      <c r="D3430">
        <v>4</v>
      </c>
      <c r="E3430">
        <v>1</v>
      </c>
      <c r="F3430" s="15">
        <v>46097</v>
      </c>
      <c r="G3430" t="s">
        <v>425</v>
      </c>
      <c r="H3430">
        <v>3</v>
      </c>
      <c r="I3430">
        <v>2026</v>
      </c>
      <c r="J3430">
        <v>3</v>
      </c>
      <c r="K3430" t="s">
        <v>87</v>
      </c>
      <c r="L3430" t="s">
        <v>7</v>
      </c>
      <c r="M3430" t="s">
        <v>8</v>
      </c>
      <c r="N3430" t="b">
        <v>0</v>
      </c>
      <c r="O3430">
        <v>0</v>
      </c>
      <c r="P3430">
        <v>1</v>
      </c>
      <c r="Q3430">
        <v>0</v>
      </c>
      <c r="R3430">
        <v>1</v>
      </c>
    </row>
    <row r="3431" spans="1:18" x14ac:dyDescent="0.25">
      <c r="A3431" t="s">
        <v>41</v>
      </c>
      <c r="B3431" t="s">
        <v>6</v>
      </c>
      <c r="C3431">
        <v>2</v>
      </c>
      <c r="D3431">
        <v>4</v>
      </c>
      <c r="E3431">
        <v>1</v>
      </c>
      <c r="F3431" s="15">
        <v>46097</v>
      </c>
      <c r="G3431" t="s">
        <v>425</v>
      </c>
      <c r="H3431">
        <v>3</v>
      </c>
      <c r="I3431">
        <v>2026</v>
      </c>
      <c r="J3431">
        <v>3</v>
      </c>
      <c r="K3431" t="s">
        <v>87</v>
      </c>
      <c r="L3431" t="s">
        <v>351</v>
      </c>
      <c r="M3431" t="s">
        <v>6</v>
      </c>
      <c r="N3431" t="b">
        <v>0</v>
      </c>
      <c r="O3431">
        <v>0</v>
      </c>
      <c r="P3431">
        <v>1</v>
      </c>
      <c r="Q3431">
        <v>0</v>
      </c>
      <c r="R3431">
        <v>0</v>
      </c>
    </row>
    <row r="3432" spans="1:18" x14ac:dyDescent="0.25">
      <c r="A3432" t="s">
        <v>351</v>
      </c>
      <c r="B3432" t="s">
        <v>6</v>
      </c>
      <c r="C3432">
        <v>3</v>
      </c>
      <c r="D3432">
        <v>4</v>
      </c>
      <c r="E3432">
        <v>1</v>
      </c>
      <c r="F3432" s="15">
        <v>46097</v>
      </c>
      <c r="G3432" t="s">
        <v>425</v>
      </c>
      <c r="H3432">
        <v>3</v>
      </c>
      <c r="I3432">
        <v>2026</v>
      </c>
      <c r="J3432">
        <v>3</v>
      </c>
      <c r="K3432" t="s">
        <v>87</v>
      </c>
      <c r="L3432" t="s">
        <v>7</v>
      </c>
      <c r="M3432" t="s">
        <v>8</v>
      </c>
      <c r="N3432" t="b">
        <v>0</v>
      </c>
      <c r="O3432">
        <v>0</v>
      </c>
      <c r="P3432">
        <v>1</v>
      </c>
      <c r="Q3432">
        <v>0</v>
      </c>
      <c r="R3432">
        <v>1</v>
      </c>
    </row>
    <row r="3433" spans="1:18" x14ac:dyDescent="0.25">
      <c r="A3433" t="s">
        <v>351</v>
      </c>
      <c r="B3433" t="s">
        <v>6</v>
      </c>
      <c r="C3433">
        <v>3</v>
      </c>
      <c r="D3433">
        <v>4</v>
      </c>
      <c r="E3433">
        <v>1</v>
      </c>
      <c r="F3433" s="15">
        <v>46097</v>
      </c>
      <c r="G3433" t="s">
        <v>425</v>
      </c>
      <c r="H3433">
        <v>3</v>
      </c>
      <c r="I3433">
        <v>2026</v>
      </c>
      <c r="J3433">
        <v>3</v>
      </c>
      <c r="K3433" t="s">
        <v>87</v>
      </c>
      <c r="L3433" t="s">
        <v>41</v>
      </c>
      <c r="M3433" t="s">
        <v>6</v>
      </c>
      <c r="N3433" t="b">
        <v>0</v>
      </c>
      <c r="O3433">
        <v>0</v>
      </c>
      <c r="P3433">
        <v>1</v>
      </c>
      <c r="Q3433">
        <v>0</v>
      </c>
      <c r="R3433">
        <v>0</v>
      </c>
    </row>
    <row r="3434" spans="1:18" x14ac:dyDescent="0.25">
      <c r="A3434" t="s">
        <v>352</v>
      </c>
      <c r="B3434" t="s">
        <v>6</v>
      </c>
      <c r="C3434">
        <v>1</v>
      </c>
      <c r="D3434">
        <v>5</v>
      </c>
      <c r="E3434">
        <v>1</v>
      </c>
      <c r="F3434" s="15">
        <v>46097</v>
      </c>
      <c r="G3434" t="s">
        <v>426</v>
      </c>
      <c r="H3434">
        <v>3</v>
      </c>
      <c r="I3434">
        <v>2026</v>
      </c>
      <c r="J3434">
        <v>3</v>
      </c>
      <c r="K3434" t="s">
        <v>87</v>
      </c>
      <c r="L3434" t="s">
        <v>28</v>
      </c>
      <c r="M3434" t="s">
        <v>6</v>
      </c>
      <c r="N3434" t="b">
        <v>0</v>
      </c>
      <c r="O3434">
        <v>0</v>
      </c>
      <c r="P3434">
        <v>1</v>
      </c>
      <c r="Q3434">
        <v>0</v>
      </c>
      <c r="R3434">
        <v>0</v>
      </c>
    </row>
    <row r="3435" spans="1:18" x14ac:dyDescent="0.25">
      <c r="A3435" t="s">
        <v>352</v>
      </c>
      <c r="B3435" t="s">
        <v>6</v>
      </c>
      <c r="C3435">
        <v>1</v>
      </c>
      <c r="D3435">
        <v>5</v>
      </c>
      <c r="E3435">
        <v>1</v>
      </c>
      <c r="F3435" s="15">
        <v>46097</v>
      </c>
      <c r="G3435" t="s">
        <v>426</v>
      </c>
      <c r="H3435">
        <v>3</v>
      </c>
      <c r="I3435">
        <v>2026</v>
      </c>
      <c r="J3435">
        <v>3</v>
      </c>
      <c r="K3435" t="s">
        <v>87</v>
      </c>
      <c r="L3435" t="s">
        <v>421</v>
      </c>
      <c r="M3435" t="s">
        <v>8</v>
      </c>
      <c r="N3435" t="b">
        <v>0</v>
      </c>
      <c r="O3435">
        <v>0</v>
      </c>
      <c r="P3435">
        <v>1</v>
      </c>
      <c r="Q3435">
        <v>0</v>
      </c>
      <c r="R3435">
        <v>1</v>
      </c>
    </row>
    <row r="3436" spans="1:18" x14ac:dyDescent="0.25">
      <c r="A3436" t="s">
        <v>28</v>
      </c>
      <c r="B3436" t="s">
        <v>6</v>
      </c>
      <c r="C3436">
        <v>2</v>
      </c>
      <c r="D3436">
        <v>5</v>
      </c>
      <c r="E3436">
        <v>1</v>
      </c>
      <c r="F3436" s="15">
        <v>46097</v>
      </c>
      <c r="G3436" t="s">
        <v>426</v>
      </c>
      <c r="H3436">
        <v>3</v>
      </c>
      <c r="I3436">
        <v>2026</v>
      </c>
      <c r="J3436">
        <v>3</v>
      </c>
      <c r="K3436" t="s">
        <v>87</v>
      </c>
      <c r="L3436" t="s">
        <v>352</v>
      </c>
      <c r="M3436" t="s">
        <v>6</v>
      </c>
      <c r="N3436" t="b">
        <v>0</v>
      </c>
      <c r="O3436">
        <v>0</v>
      </c>
      <c r="P3436">
        <v>1</v>
      </c>
      <c r="Q3436">
        <v>0</v>
      </c>
      <c r="R3436">
        <v>0</v>
      </c>
    </row>
    <row r="3437" spans="1:18" x14ac:dyDescent="0.25">
      <c r="A3437" t="s">
        <v>28</v>
      </c>
      <c r="B3437" t="s">
        <v>6</v>
      </c>
      <c r="C3437">
        <v>2</v>
      </c>
      <c r="D3437">
        <v>5</v>
      </c>
      <c r="E3437">
        <v>1</v>
      </c>
      <c r="F3437" s="15">
        <v>46097</v>
      </c>
      <c r="G3437" t="s">
        <v>426</v>
      </c>
      <c r="H3437">
        <v>3</v>
      </c>
      <c r="I3437">
        <v>2026</v>
      </c>
      <c r="J3437">
        <v>3</v>
      </c>
      <c r="K3437" t="s">
        <v>87</v>
      </c>
      <c r="L3437" t="s">
        <v>421</v>
      </c>
      <c r="M3437" t="s">
        <v>8</v>
      </c>
      <c r="N3437" t="b">
        <v>0</v>
      </c>
      <c r="O3437">
        <v>0</v>
      </c>
      <c r="P3437">
        <v>1</v>
      </c>
      <c r="Q3437">
        <v>0</v>
      </c>
      <c r="R3437">
        <v>1</v>
      </c>
    </row>
    <row r="3438" spans="1:18" x14ac:dyDescent="0.25">
      <c r="A3438" t="s">
        <v>421</v>
      </c>
      <c r="B3438" t="s">
        <v>8</v>
      </c>
      <c r="C3438">
        <v>3</v>
      </c>
      <c r="D3438">
        <v>5</v>
      </c>
      <c r="E3438">
        <v>1</v>
      </c>
      <c r="F3438" s="15">
        <v>46097</v>
      </c>
      <c r="G3438" t="s">
        <v>426</v>
      </c>
      <c r="H3438">
        <v>3</v>
      </c>
      <c r="I3438">
        <v>2026</v>
      </c>
      <c r="J3438">
        <v>3</v>
      </c>
      <c r="K3438" t="s">
        <v>87</v>
      </c>
      <c r="L3438" t="s">
        <v>352</v>
      </c>
      <c r="M3438" t="s">
        <v>6</v>
      </c>
      <c r="N3438" t="b">
        <v>0</v>
      </c>
      <c r="O3438">
        <v>1</v>
      </c>
      <c r="P3438">
        <v>0</v>
      </c>
      <c r="Q3438">
        <v>0</v>
      </c>
      <c r="R3438">
        <v>0</v>
      </c>
    </row>
    <row r="3439" spans="1:18" x14ac:dyDescent="0.25">
      <c r="A3439" t="s">
        <v>421</v>
      </c>
      <c r="B3439" t="s">
        <v>8</v>
      </c>
      <c r="C3439">
        <v>3</v>
      </c>
      <c r="D3439">
        <v>5</v>
      </c>
      <c r="E3439">
        <v>1</v>
      </c>
      <c r="F3439" s="15">
        <v>46097</v>
      </c>
      <c r="G3439" t="s">
        <v>426</v>
      </c>
      <c r="H3439">
        <v>3</v>
      </c>
      <c r="I3439">
        <v>2026</v>
      </c>
      <c r="J3439">
        <v>3</v>
      </c>
      <c r="K3439" t="s">
        <v>87</v>
      </c>
      <c r="L3439" t="s">
        <v>28</v>
      </c>
      <c r="M3439" t="s">
        <v>6</v>
      </c>
      <c r="N3439" t="b">
        <v>0</v>
      </c>
      <c r="O3439">
        <v>1</v>
      </c>
      <c r="P3439">
        <v>0</v>
      </c>
      <c r="Q3439">
        <v>0</v>
      </c>
      <c r="R3439">
        <v>0</v>
      </c>
    </row>
    <row r="3440" spans="1:18" x14ac:dyDescent="0.25">
      <c r="A3440" t="s">
        <v>421</v>
      </c>
      <c r="B3440" t="s">
        <v>6</v>
      </c>
      <c r="C3440">
        <v>1</v>
      </c>
      <c r="D3440">
        <v>1</v>
      </c>
      <c r="E3440">
        <v>2</v>
      </c>
      <c r="F3440" s="15">
        <v>46097</v>
      </c>
      <c r="G3440" t="s">
        <v>427</v>
      </c>
      <c r="H3440">
        <v>4</v>
      </c>
      <c r="I3440">
        <v>2026</v>
      </c>
      <c r="J3440">
        <v>3</v>
      </c>
      <c r="K3440" t="s">
        <v>87</v>
      </c>
      <c r="L3440" t="s">
        <v>7</v>
      </c>
      <c r="M3440" t="s">
        <v>8</v>
      </c>
      <c r="N3440" t="b">
        <v>0</v>
      </c>
      <c r="O3440">
        <v>0</v>
      </c>
      <c r="P3440">
        <v>1</v>
      </c>
      <c r="Q3440">
        <v>0</v>
      </c>
      <c r="R3440">
        <v>1</v>
      </c>
    </row>
    <row r="3441" spans="1:18" x14ac:dyDescent="0.25">
      <c r="A3441" t="s">
        <v>421</v>
      </c>
      <c r="B3441" t="s">
        <v>6</v>
      </c>
      <c r="C3441">
        <v>1</v>
      </c>
      <c r="D3441">
        <v>1</v>
      </c>
      <c r="E3441">
        <v>2</v>
      </c>
      <c r="F3441" s="15">
        <v>46097</v>
      </c>
      <c r="G3441" t="s">
        <v>427</v>
      </c>
      <c r="H3441">
        <v>4</v>
      </c>
      <c r="I3441">
        <v>2026</v>
      </c>
      <c r="J3441">
        <v>3</v>
      </c>
      <c r="K3441" t="s">
        <v>87</v>
      </c>
      <c r="L3441" t="s">
        <v>17</v>
      </c>
      <c r="M3441" t="s">
        <v>6</v>
      </c>
      <c r="N3441" t="b">
        <v>0</v>
      </c>
      <c r="O3441">
        <v>0</v>
      </c>
      <c r="P3441">
        <v>1</v>
      </c>
      <c r="Q3441">
        <v>0</v>
      </c>
      <c r="R3441">
        <v>0</v>
      </c>
    </row>
    <row r="3442" spans="1:18" x14ac:dyDescent="0.25">
      <c r="A3442" t="s">
        <v>421</v>
      </c>
      <c r="B3442" t="s">
        <v>6</v>
      </c>
      <c r="C3442">
        <v>1</v>
      </c>
      <c r="D3442">
        <v>1</v>
      </c>
      <c r="E3442">
        <v>2</v>
      </c>
      <c r="F3442" s="15">
        <v>46097</v>
      </c>
      <c r="G3442" t="s">
        <v>427</v>
      </c>
      <c r="H3442">
        <v>4</v>
      </c>
      <c r="I3442">
        <v>2026</v>
      </c>
      <c r="J3442">
        <v>3</v>
      </c>
      <c r="K3442" t="s">
        <v>87</v>
      </c>
      <c r="L3442" t="s">
        <v>51</v>
      </c>
      <c r="M3442" t="s">
        <v>6</v>
      </c>
      <c r="N3442" t="b">
        <v>0</v>
      </c>
      <c r="O3442">
        <v>0</v>
      </c>
      <c r="P3442">
        <v>1</v>
      </c>
      <c r="Q3442">
        <v>0</v>
      </c>
      <c r="R3442">
        <v>0</v>
      </c>
    </row>
    <row r="3443" spans="1:18" x14ac:dyDescent="0.25">
      <c r="A3443" t="s">
        <v>7</v>
      </c>
      <c r="B3443" t="s">
        <v>8</v>
      </c>
      <c r="C3443">
        <v>2</v>
      </c>
      <c r="D3443">
        <v>1</v>
      </c>
      <c r="E3443">
        <v>2</v>
      </c>
      <c r="F3443" s="15">
        <v>46097</v>
      </c>
      <c r="G3443" t="s">
        <v>427</v>
      </c>
      <c r="H3443">
        <v>4</v>
      </c>
      <c r="I3443">
        <v>2026</v>
      </c>
      <c r="J3443">
        <v>3</v>
      </c>
      <c r="K3443" t="s">
        <v>87</v>
      </c>
      <c r="L3443" t="s">
        <v>421</v>
      </c>
      <c r="M3443" t="s">
        <v>6</v>
      </c>
      <c r="N3443" t="b">
        <v>0</v>
      </c>
      <c r="O3443">
        <v>1</v>
      </c>
      <c r="P3443">
        <v>0</v>
      </c>
      <c r="Q3443">
        <v>0</v>
      </c>
      <c r="R3443">
        <v>0</v>
      </c>
    </row>
    <row r="3444" spans="1:18" x14ac:dyDescent="0.25">
      <c r="A3444" t="s">
        <v>7</v>
      </c>
      <c r="B3444" t="s">
        <v>8</v>
      </c>
      <c r="C3444">
        <v>2</v>
      </c>
      <c r="D3444">
        <v>1</v>
      </c>
      <c r="E3444">
        <v>2</v>
      </c>
      <c r="F3444" s="15">
        <v>46097</v>
      </c>
      <c r="G3444" t="s">
        <v>427</v>
      </c>
      <c r="H3444">
        <v>4</v>
      </c>
      <c r="I3444">
        <v>2026</v>
      </c>
      <c r="J3444">
        <v>3</v>
      </c>
      <c r="K3444" t="s">
        <v>87</v>
      </c>
      <c r="L3444" t="s">
        <v>17</v>
      </c>
      <c r="M3444" t="s">
        <v>6</v>
      </c>
      <c r="N3444" t="b">
        <v>0</v>
      </c>
      <c r="O3444">
        <v>1</v>
      </c>
      <c r="P3444">
        <v>0</v>
      </c>
      <c r="Q3444">
        <v>0</v>
      </c>
      <c r="R3444">
        <v>0</v>
      </c>
    </row>
    <row r="3445" spans="1:18" x14ac:dyDescent="0.25">
      <c r="A3445" t="s">
        <v>7</v>
      </c>
      <c r="B3445" t="s">
        <v>8</v>
      </c>
      <c r="C3445">
        <v>2</v>
      </c>
      <c r="D3445">
        <v>1</v>
      </c>
      <c r="E3445">
        <v>2</v>
      </c>
      <c r="F3445" s="15">
        <v>46097</v>
      </c>
      <c r="G3445" t="s">
        <v>427</v>
      </c>
      <c r="H3445">
        <v>4</v>
      </c>
      <c r="I3445">
        <v>2026</v>
      </c>
      <c r="J3445">
        <v>3</v>
      </c>
      <c r="K3445" t="s">
        <v>87</v>
      </c>
      <c r="L3445" t="s">
        <v>51</v>
      </c>
      <c r="M3445" t="s">
        <v>6</v>
      </c>
      <c r="N3445" t="b">
        <v>0</v>
      </c>
      <c r="O3445">
        <v>1</v>
      </c>
      <c r="P3445">
        <v>0</v>
      </c>
      <c r="Q3445">
        <v>0</v>
      </c>
      <c r="R3445">
        <v>0</v>
      </c>
    </row>
    <row r="3446" spans="1:18" x14ac:dyDescent="0.25">
      <c r="A3446" t="s">
        <v>17</v>
      </c>
      <c r="B3446" t="s">
        <v>6</v>
      </c>
      <c r="C3446">
        <v>3</v>
      </c>
      <c r="D3446">
        <v>1</v>
      </c>
      <c r="E3446">
        <v>2</v>
      </c>
      <c r="F3446" s="15">
        <v>46097</v>
      </c>
      <c r="G3446" t="s">
        <v>427</v>
      </c>
      <c r="H3446">
        <v>4</v>
      </c>
      <c r="I3446">
        <v>2026</v>
      </c>
      <c r="J3446">
        <v>3</v>
      </c>
      <c r="K3446" t="s">
        <v>87</v>
      </c>
      <c r="L3446" t="s">
        <v>421</v>
      </c>
      <c r="M3446" t="s">
        <v>6</v>
      </c>
      <c r="N3446" t="b">
        <v>0</v>
      </c>
      <c r="O3446">
        <v>0</v>
      </c>
      <c r="P3446">
        <v>1</v>
      </c>
      <c r="Q3446">
        <v>0</v>
      </c>
      <c r="R3446">
        <v>0</v>
      </c>
    </row>
    <row r="3447" spans="1:18" x14ac:dyDescent="0.25">
      <c r="A3447" t="s">
        <v>17</v>
      </c>
      <c r="B3447" t="s">
        <v>6</v>
      </c>
      <c r="C3447">
        <v>3</v>
      </c>
      <c r="D3447">
        <v>1</v>
      </c>
      <c r="E3447">
        <v>2</v>
      </c>
      <c r="F3447" s="15">
        <v>46097</v>
      </c>
      <c r="G3447" t="s">
        <v>427</v>
      </c>
      <c r="H3447">
        <v>4</v>
      </c>
      <c r="I3447">
        <v>2026</v>
      </c>
      <c r="J3447">
        <v>3</v>
      </c>
      <c r="K3447" t="s">
        <v>87</v>
      </c>
      <c r="L3447" t="s">
        <v>7</v>
      </c>
      <c r="M3447" t="s">
        <v>8</v>
      </c>
      <c r="N3447" t="b">
        <v>0</v>
      </c>
      <c r="O3447">
        <v>0</v>
      </c>
      <c r="P3447">
        <v>1</v>
      </c>
      <c r="Q3447">
        <v>0</v>
      </c>
      <c r="R3447">
        <v>1</v>
      </c>
    </row>
    <row r="3448" spans="1:18" x14ac:dyDescent="0.25">
      <c r="A3448" t="s">
        <v>17</v>
      </c>
      <c r="B3448" t="s">
        <v>6</v>
      </c>
      <c r="C3448">
        <v>3</v>
      </c>
      <c r="D3448">
        <v>1</v>
      </c>
      <c r="E3448">
        <v>2</v>
      </c>
      <c r="F3448" s="15">
        <v>46097</v>
      </c>
      <c r="G3448" t="s">
        <v>427</v>
      </c>
      <c r="H3448">
        <v>4</v>
      </c>
      <c r="I3448">
        <v>2026</v>
      </c>
      <c r="J3448">
        <v>3</v>
      </c>
      <c r="K3448" t="s">
        <v>87</v>
      </c>
      <c r="L3448" t="s">
        <v>51</v>
      </c>
      <c r="M3448" t="s">
        <v>6</v>
      </c>
      <c r="N3448" t="b">
        <v>0</v>
      </c>
      <c r="O3448">
        <v>0</v>
      </c>
      <c r="P3448">
        <v>1</v>
      </c>
      <c r="Q3448">
        <v>0</v>
      </c>
      <c r="R3448">
        <v>0</v>
      </c>
    </row>
    <row r="3449" spans="1:18" x14ac:dyDescent="0.25">
      <c r="A3449" t="s">
        <v>51</v>
      </c>
      <c r="B3449" t="s">
        <v>6</v>
      </c>
      <c r="C3449">
        <v>4</v>
      </c>
      <c r="D3449">
        <v>1</v>
      </c>
      <c r="E3449">
        <v>2</v>
      </c>
      <c r="F3449" s="15">
        <v>46097</v>
      </c>
      <c r="G3449" t="s">
        <v>427</v>
      </c>
      <c r="H3449">
        <v>4</v>
      </c>
      <c r="I3449">
        <v>2026</v>
      </c>
      <c r="J3449">
        <v>3</v>
      </c>
      <c r="K3449" t="s">
        <v>87</v>
      </c>
      <c r="L3449" t="s">
        <v>421</v>
      </c>
      <c r="M3449" t="s">
        <v>6</v>
      </c>
      <c r="N3449" t="b">
        <v>0</v>
      </c>
      <c r="O3449">
        <v>0</v>
      </c>
      <c r="P3449">
        <v>1</v>
      </c>
      <c r="Q3449">
        <v>0</v>
      </c>
      <c r="R3449">
        <v>0</v>
      </c>
    </row>
    <row r="3450" spans="1:18" x14ac:dyDescent="0.25">
      <c r="A3450" t="s">
        <v>51</v>
      </c>
      <c r="B3450" t="s">
        <v>6</v>
      </c>
      <c r="C3450">
        <v>4</v>
      </c>
      <c r="D3450">
        <v>1</v>
      </c>
      <c r="E3450">
        <v>2</v>
      </c>
      <c r="F3450" s="15">
        <v>46097</v>
      </c>
      <c r="G3450" t="s">
        <v>427</v>
      </c>
      <c r="H3450">
        <v>4</v>
      </c>
      <c r="I3450">
        <v>2026</v>
      </c>
      <c r="J3450">
        <v>3</v>
      </c>
      <c r="K3450" t="s">
        <v>87</v>
      </c>
      <c r="L3450" t="s">
        <v>7</v>
      </c>
      <c r="M3450" t="s">
        <v>8</v>
      </c>
      <c r="N3450" t="b">
        <v>0</v>
      </c>
      <c r="O3450">
        <v>0</v>
      </c>
      <c r="P3450">
        <v>1</v>
      </c>
      <c r="Q3450">
        <v>0</v>
      </c>
      <c r="R3450">
        <v>1</v>
      </c>
    </row>
    <row r="3451" spans="1:18" x14ac:dyDescent="0.25">
      <c r="A3451" t="s">
        <v>51</v>
      </c>
      <c r="B3451" t="s">
        <v>6</v>
      </c>
      <c r="C3451">
        <v>4</v>
      </c>
      <c r="D3451">
        <v>1</v>
      </c>
      <c r="E3451">
        <v>2</v>
      </c>
      <c r="F3451" s="15">
        <v>46097</v>
      </c>
      <c r="G3451" t="s">
        <v>427</v>
      </c>
      <c r="H3451">
        <v>4</v>
      </c>
      <c r="I3451">
        <v>2026</v>
      </c>
      <c r="J3451">
        <v>3</v>
      </c>
      <c r="K3451" t="s">
        <v>87</v>
      </c>
      <c r="L3451" t="s">
        <v>17</v>
      </c>
      <c r="M3451" t="s">
        <v>6</v>
      </c>
      <c r="N3451" t="b">
        <v>0</v>
      </c>
      <c r="O3451">
        <v>0</v>
      </c>
      <c r="P3451">
        <v>1</v>
      </c>
      <c r="Q3451">
        <v>0</v>
      </c>
      <c r="R3451">
        <v>0</v>
      </c>
    </row>
    <row r="3452" spans="1:18" x14ac:dyDescent="0.25">
      <c r="A3452" t="s">
        <v>20</v>
      </c>
      <c r="B3452" t="s">
        <v>8</v>
      </c>
      <c r="C3452">
        <v>1</v>
      </c>
      <c r="D3452">
        <v>2</v>
      </c>
      <c r="E3452">
        <v>2</v>
      </c>
      <c r="F3452" s="15">
        <v>46097</v>
      </c>
      <c r="G3452" t="s">
        <v>428</v>
      </c>
      <c r="H3452">
        <v>4</v>
      </c>
      <c r="I3452">
        <v>2026</v>
      </c>
      <c r="J3452">
        <v>3</v>
      </c>
      <c r="K3452" t="s">
        <v>87</v>
      </c>
      <c r="L3452" t="s">
        <v>405</v>
      </c>
      <c r="M3452" t="s">
        <v>6</v>
      </c>
      <c r="N3452" t="b">
        <v>0</v>
      </c>
      <c r="O3452">
        <v>1</v>
      </c>
      <c r="P3452">
        <v>0</v>
      </c>
      <c r="Q3452">
        <v>0</v>
      </c>
      <c r="R3452">
        <v>0</v>
      </c>
    </row>
    <row r="3453" spans="1:18" x14ac:dyDescent="0.25">
      <c r="A3453" t="s">
        <v>20</v>
      </c>
      <c r="B3453" t="s">
        <v>8</v>
      </c>
      <c r="C3453">
        <v>1</v>
      </c>
      <c r="D3453">
        <v>2</v>
      </c>
      <c r="E3453">
        <v>2</v>
      </c>
      <c r="F3453" s="15">
        <v>46097</v>
      </c>
      <c r="G3453" t="s">
        <v>428</v>
      </c>
      <c r="H3453">
        <v>4</v>
      </c>
      <c r="I3453">
        <v>2026</v>
      </c>
      <c r="J3453">
        <v>3</v>
      </c>
      <c r="K3453" t="s">
        <v>87</v>
      </c>
      <c r="L3453" t="s">
        <v>14</v>
      </c>
      <c r="M3453" t="s">
        <v>6</v>
      </c>
      <c r="N3453" t="b">
        <v>0</v>
      </c>
      <c r="O3453">
        <v>1</v>
      </c>
      <c r="P3453">
        <v>0</v>
      </c>
      <c r="Q3453">
        <v>0</v>
      </c>
      <c r="R3453">
        <v>0</v>
      </c>
    </row>
    <row r="3454" spans="1:18" x14ac:dyDescent="0.25">
      <c r="A3454" t="s">
        <v>20</v>
      </c>
      <c r="B3454" t="s">
        <v>8</v>
      </c>
      <c r="C3454">
        <v>1</v>
      </c>
      <c r="D3454">
        <v>2</v>
      </c>
      <c r="E3454">
        <v>2</v>
      </c>
      <c r="F3454" s="15">
        <v>46097</v>
      </c>
      <c r="G3454" t="s">
        <v>428</v>
      </c>
      <c r="H3454">
        <v>4</v>
      </c>
      <c r="I3454">
        <v>2026</v>
      </c>
      <c r="J3454">
        <v>3</v>
      </c>
      <c r="K3454" t="s">
        <v>87</v>
      </c>
      <c r="L3454" t="s">
        <v>28</v>
      </c>
      <c r="M3454" t="s">
        <v>6</v>
      </c>
      <c r="N3454" t="b">
        <v>0</v>
      </c>
      <c r="O3454">
        <v>1</v>
      </c>
      <c r="P3454">
        <v>0</v>
      </c>
      <c r="Q3454">
        <v>0</v>
      </c>
      <c r="R3454">
        <v>0</v>
      </c>
    </row>
    <row r="3455" spans="1:18" x14ac:dyDescent="0.25">
      <c r="A3455" t="s">
        <v>405</v>
      </c>
      <c r="B3455" t="s">
        <v>6</v>
      </c>
      <c r="C3455">
        <v>2</v>
      </c>
      <c r="D3455">
        <v>2</v>
      </c>
      <c r="E3455">
        <v>2</v>
      </c>
      <c r="F3455" s="15">
        <v>46097</v>
      </c>
      <c r="G3455" t="s">
        <v>428</v>
      </c>
      <c r="H3455">
        <v>4</v>
      </c>
      <c r="I3455">
        <v>2026</v>
      </c>
      <c r="J3455">
        <v>3</v>
      </c>
      <c r="K3455" t="s">
        <v>87</v>
      </c>
      <c r="L3455" t="s">
        <v>20</v>
      </c>
      <c r="M3455" t="s">
        <v>8</v>
      </c>
      <c r="N3455" t="b">
        <v>0</v>
      </c>
      <c r="O3455">
        <v>0</v>
      </c>
      <c r="P3455">
        <v>1</v>
      </c>
      <c r="Q3455">
        <v>0</v>
      </c>
      <c r="R3455">
        <v>1</v>
      </c>
    </row>
    <row r="3456" spans="1:18" x14ac:dyDescent="0.25">
      <c r="A3456" t="s">
        <v>405</v>
      </c>
      <c r="B3456" t="s">
        <v>6</v>
      </c>
      <c r="C3456">
        <v>2</v>
      </c>
      <c r="D3456">
        <v>2</v>
      </c>
      <c r="E3456">
        <v>2</v>
      </c>
      <c r="F3456" s="15">
        <v>46097</v>
      </c>
      <c r="G3456" t="s">
        <v>428</v>
      </c>
      <c r="H3456">
        <v>4</v>
      </c>
      <c r="I3456">
        <v>2026</v>
      </c>
      <c r="J3456">
        <v>3</v>
      </c>
      <c r="K3456" t="s">
        <v>87</v>
      </c>
      <c r="L3456" t="s">
        <v>14</v>
      </c>
      <c r="M3456" t="s">
        <v>6</v>
      </c>
      <c r="N3456" t="b">
        <v>0</v>
      </c>
      <c r="O3456">
        <v>0</v>
      </c>
      <c r="P3456">
        <v>1</v>
      </c>
      <c r="Q3456">
        <v>0</v>
      </c>
      <c r="R3456">
        <v>0</v>
      </c>
    </row>
    <row r="3457" spans="1:18" x14ac:dyDescent="0.25">
      <c r="A3457" t="s">
        <v>405</v>
      </c>
      <c r="B3457" t="s">
        <v>6</v>
      </c>
      <c r="C3457">
        <v>2</v>
      </c>
      <c r="D3457">
        <v>2</v>
      </c>
      <c r="E3457">
        <v>2</v>
      </c>
      <c r="F3457" s="15">
        <v>46097</v>
      </c>
      <c r="G3457" t="s">
        <v>428</v>
      </c>
      <c r="H3457">
        <v>4</v>
      </c>
      <c r="I3457">
        <v>2026</v>
      </c>
      <c r="J3457">
        <v>3</v>
      </c>
      <c r="K3457" t="s">
        <v>87</v>
      </c>
      <c r="L3457" t="s">
        <v>28</v>
      </c>
      <c r="M3457" t="s">
        <v>6</v>
      </c>
      <c r="N3457" t="b">
        <v>0</v>
      </c>
      <c r="O3457">
        <v>0</v>
      </c>
      <c r="P3457">
        <v>1</v>
      </c>
      <c r="Q3457">
        <v>0</v>
      </c>
      <c r="R3457">
        <v>0</v>
      </c>
    </row>
    <row r="3458" spans="1:18" x14ac:dyDescent="0.25">
      <c r="A3458" t="s">
        <v>14</v>
      </c>
      <c r="B3458" t="s">
        <v>6</v>
      </c>
      <c r="C3458">
        <v>3</v>
      </c>
      <c r="D3458">
        <v>2</v>
      </c>
      <c r="E3458">
        <v>2</v>
      </c>
      <c r="F3458" s="15">
        <v>46097</v>
      </c>
      <c r="G3458" t="s">
        <v>428</v>
      </c>
      <c r="H3458">
        <v>4</v>
      </c>
      <c r="I3458">
        <v>2026</v>
      </c>
      <c r="J3458">
        <v>3</v>
      </c>
      <c r="K3458" t="s">
        <v>87</v>
      </c>
      <c r="L3458" t="s">
        <v>20</v>
      </c>
      <c r="M3458" t="s">
        <v>8</v>
      </c>
      <c r="N3458" t="b">
        <v>0</v>
      </c>
      <c r="O3458">
        <v>0</v>
      </c>
      <c r="P3458">
        <v>1</v>
      </c>
      <c r="Q3458">
        <v>0</v>
      </c>
      <c r="R3458">
        <v>1</v>
      </c>
    </row>
    <row r="3459" spans="1:18" x14ac:dyDescent="0.25">
      <c r="A3459" t="s">
        <v>14</v>
      </c>
      <c r="B3459" t="s">
        <v>6</v>
      </c>
      <c r="C3459">
        <v>3</v>
      </c>
      <c r="D3459">
        <v>2</v>
      </c>
      <c r="E3459">
        <v>2</v>
      </c>
      <c r="F3459" s="15">
        <v>46097</v>
      </c>
      <c r="G3459" t="s">
        <v>428</v>
      </c>
      <c r="H3459">
        <v>4</v>
      </c>
      <c r="I3459">
        <v>2026</v>
      </c>
      <c r="J3459">
        <v>3</v>
      </c>
      <c r="K3459" t="s">
        <v>87</v>
      </c>
      <c r="L3459" t="s">
        <v>405</v>
      </c>
      <c r="M3459" t="s">
        <v>6</v>
      </c>
      <c r="N3459" t="b">
        <v>0</v>
      </c>
      <c r="O3459">
        <v>0</v>
      </c>
      <c r="P3459">
        <v>1</v>
      </c>
      <c r="Q3459">
        <v>0</v>
      </c>
      <c r="R3459">
        <v>0</v>
      </c>
    </row>
    <row r="3460" spans="1:18" x14ac:dyDescent="0.25">
      <c r="A3460" t="s">
        <v>14</v>
      </c>
      <c r="B3460" t="s">
        <v>6</v>
      </c>
      <c r="C3460">
        <v>3</v>
      </c>
      <c r="D3460">
        <v>2</v>
      </c>
      <c r="E3460">
        <v>2</v>
      </c>
      <c r="F3460" s="15">
        <v>46097</v>
      </c>
      <c r="G3460" t="s">
        <v>428</v>
      </c>
      <c r="H3460">
        <v>4</v>
      </c>
      <c r="I3460">
        <v>2026</v>
      </c>
      <c r="J3460">
        <v>3</v>
      </c>
      <c r="K3460" t="s">
        <v>87</v>
      </c>
      <c r="L3460" t="s">
        <v>28</v>
      </c>
      <c r="M3460" t="s">
        <v>6</v>
      </c>
      <c r="N3460" t="b">
        <v>0</v>
      </c>
      <c r="O3460">
        <v>0</v>
      </c>
      <c r="P3460">
        <v>1</v>
      </c>
      <c r="Q3460">
        <v>0</v>
      </c>
      <c r="R3460">
        <v>0</v>
      </c>
    </row>
    <row r="3461" spans="1:18" x14ac:dyDescent="0.25">
      <c r="A3461" t="s">
        <v>28</v>
      </c>
      <c r="B3461" t="s">
        <v>6</v>
      </c>
      <c r="C3461">
        <v>4</v>
      </c>
      <c r="D3461">
        <v>2</v>
      </c>
      <c r="E3461">
        <v>2</v>
      </c>
      <c r="F3461" s="15">
        <v>46097</v>
      </c>
      <c r="G3461" t="s">
        <v>428</v>
      </c>
      <c r="H3461">
        <v>4</v>
      </c>
      <c r="I3461">
        <v>2026</v>
      </c>
      <c r="J3461">
        <v>3</v>
      </c>
      <c r="K3461" t="s">
        <v>87</v>
      </c>
      <c r="L3461" t="s">
        <v>20</v>
      </c>
      <c r="M3461" t="s">
        <v>8</v>
      </c>
      <c r="N3461" t="b">
        <v>0</v>
      </c>
      <c r="O3461">
        <v>0</v>
      </c>
      <c r="P3461">
        <v>1</v>
      </c>
      <c r="Q3461">
        <v>0</v>
      </c>
      <c r="R3461">
        <v>1</v>
      </c>
    </row>
    <row r="3462" spans="1:18" x14ac:dyDescent="0.25">
      <c r="A3462" t="s">
        <v>28</v>
      </c>
      <c r="B3462" t="s">
        <v>6</v>
      </c>
      <c r="C3462">
        <v>4</v>
      </c>
      <c r="D3462">
        <v>2</v>
      </c>
      <c r="E3462">
        <v>2</v>
      </c>
      <c r="F3462" s="15">
        <v>46097</v>
      </c>
      <c r="G3462" t="s">
        <v>428</v>
      </c>
      <c r="H3462">
        <v>4</v>
      </c>
      <c r="I3462">
        <v>2026</v>
      </c>
      <c r="J3462">
        <v>3</v>
      </c>
      <c r="K3462" t="s">
        <v>87</v>
      </c>
      <c r="L3462" t="s">
        <v>405</v>
      </c>
      <c r="M3462" t="s">
        <v>6</v>
      </c>
      <c r="N3462" t="b">
        <v>0</v>
      </c>
      <c r="O3462">
        <v>0</v>
      </c>
      <c r="P3462">
        <v>1</v>
      </c>
      <c r="Q3462">
        <v>0</v>
      </c>
      <c r="R3462">
        <v>0</v>
      </c>
    </row>
    <row r="3463" spans="1:18" x14ac:dyDescent="0.25">
      <c r="A3463" t="s">
        <v>28</v>
      </c>
      <c r="B3463" t="s">
        <v>6</v>
      </c>
      <c r="C3463">
        <v>4</v>
      </c>
      <c r="D3463">
        <v>2</v>
      </c>
      <c r="E3463">
        <v>2</v>
      </c>
      <c r="F3463" s="15">
        <v>46097</v>
      </c>
      <c r="G3463" t="s">
        <v>428</v>
      </c>
      <c r="H3463">
        <v>4</v>
      </c>
      <c r="I3463">
        <v>2026</v>
      </c>
      <c r="J3463">
        <v>3</v>
      </c>
      <c r="K3463" t="s">
        <v>87</v>
      </c>
      <c r="L3463" t="s">
        <v>14</v>
      </c>
      <c r="M3463" t="s">
        <v>6</v>
      </c>
      <c r="N3463" t="b">
        <v>0</v>
      </c>
      <c r="O3463">
        <v>0</v>
      </c>
      <c r="P3463">
        <v>1</v>
      </c>
      <c r="Q3463">
        <v>0</v>
      </c>
      <c r="R3463">
        <v>0</v>
      </c>
    </row>
    <row r="3464" spans="1:18" x14ac:dyDescent="0.25">
      <c r="A3464" t="s">
        <v>41</v>
      </c>
      <c r="B3464" t="s">
        <v>6</v>
      </c>
      <c r="C3464">
        <v>1</v>
      </c>
      <c r="D3464">
        <v>4</v>
      </c>
      <c r="E3464">
        <v>2</v>
      </c>
      <c r="F3464" s="15">
        <v>46097</v>
      </c>
      <c r="G3464" t="s">
        <v>430</v>
      </c>
      <c r="H3464">
        <v>3</v>
      </c>
      <c r="I3464">
        <v>2026</v>
      </c>
      <c r="J3464">
        <v>3</v>
      </c>
      <c r="K3464" t="s">
        <v>87</v>
      </c>
      <c r="L3464" t="s">
        <v>13</v>
      </c>
      <c r="M3464" t="s">
        <v>6</v>
      </c>
      <c r="N3464" t="b">
        <v>0</v>
      </c>
      <c r="O3464">
        <v>0</v>
      </c>
      <c r="P3464">
        <v>1</v>
      </c>
      <c r="Q3464">
        <v>0</v>
      </c>
      <c r="R3464">
        <v>0</v>
      </c>
    </row>
    <row r="3465" spans="1:18" x14ac:dyDescent="0.25">
      <c r="A3465" t="s">
        <v>41</v>
      </c>
      <c r="B3465" t="s">
        <v>6</v>
      </c>
      <c r="C3465">
        <v>1</v>
      </c>
      <c r="D3465">
        <v>4</v>
      </c>
      <c r="E3465">
        <v>2</v>
      </c>
      <c r="F3465" s="15">
        <v>46097</v>
      </c>
      <c r="G3465" t="s">
        <v>430</v>
      </c>
      <c r="H3465">
        <v>3</v>
      </c>
      <c r="I3465">
        <v>2026</v>
      </c>
      <c r="J3465">
        <v>3</v>
      </c>
      <c r="K3465" t="s">
        <v>87</v>
      </c>
      <c r="L3465" t="s">
        <v>11</v>
      </c>
      <c r="M3465" t="s">
        <v>8</v>
      </c>
      <c r="N3465" t="b">
        <v>0</v>
      </c>
      <c r="O3465">
        <v>0</v>
      </c>
      <c r="P3465">
        <v>1</v>
      </c>
      <c r="Q3465">
        <v>0</v>
      </c>
      <c r="R3465">
        <v>1</v>
      </c>
    </row>
    <row r="3466" spans="1:18" x14ac:dyDescent="0.25">
      <c r="A3466" t="s">
        <v>13</v>
      </c>
      <c r="B3466" t="s">
        <v>6</v>
      </c>
      <c r="C3466">
        <v>2</v>
      </c>
      <c r="D3466">
        <v>4</v>
      </c>
      <c r="E3466">
        <v>2</v>
      </c>
      <c r="F3466" s="15">
        <v>46097</v>
      </c>
      <c r="G3466" t="s">
        <v>430</v>
      </c>
      <c r="H3466">
        <v>3</v>
      </c>
      <c r="I3466">
        <v>2026</v>
      </c>
      <c r="J3466">
        <v>3</v>
      </c>
      <c r="K3466" t="s">
        <v>87</v>
      </c>
      <c r="L3466" t="s">
        <v>41</v>
      </c>
      <c r="M3466" t="s">
        <v>6</v>
      </c>
      <c r="N3466" t="b">
        <v>0</v>
      </c>
      <c r="O3466">
        <v>0</v>
      </c>
      <c r="P3466">
        <v>1</v>
      </c>
      <c r="Q3466">
        <v>0</v>
      </c>
      <c r="R3466">
        <v>0</v>
      </c>
    </row>
    <row r="3467" spans="1:18" x14ac:dyDescent="0.25">
      <c r="A3467" t="s">
        <v>13</v>
      </c>
      <c r="B3467" t="s">
        <v>6</v>
      </c>
      <c r="C3467">
        <v>2</v>
      </c>
      <c r="D3467">
        <v>4</v>
      </c>
      <c r="E3467">
        <v>2</v>
      </c>
      <c r="F3467" s="15">
        <v>46097</v>
      </c>
      <c r="G3467" t="s">
        <v>430</v>
      </c>
      <c r="H3467">
        <v>3</v>
      </c>
      <c r="I3467">
        <v>2026</v>
      </c>
      <c r="J3467">
        <v>3</v>
      </c>
      <c r="K3467" t="s">
        <v>87</v>
      </c>
      <c r="L3467" t="s">
        <v>11</v>
      </c>
      <c r="M3467" t="s">
        <v>8</v>
      </c>
      <c r="N3467" t="b">
        <v>0</v>
      </c>
      <c r="O3467">
        <v>0</v>
      </c>
      <c r="P3467">
        <v>1</v>
      </c>
      <c r="Q3467">
        <v>0</v>
      </c>
      <c r="R3467">
        <v>1</v>
      </c>
    </row>
    <row r="3468" spans="1:18" x14ac:dyDescent="0.25">
      <c r="A3468" t="s">
        <v>11</v>
      </c>
      <c r="B3468" t="s">
        <v>8</v>
      </c>
      <c r="C3468">
        <v>3</v>
      </c>
      <c r="D3468">
        <v>4</v>
      </c>
      <c r="E3468">
        <v>2</v>
      </c>
      <c r="F3468" s="15">
        <v>46097</v>
      </c>
      <c r="G3468" t="s">
        <v>430</v>
      </c>
      <c r="H3468">
        <v>3</v>
      </c>
      <c r="I3468">
        <v>2026</v>
      </c>
      <c r="J3468">
        <v>3</v>
      </c>
      <c r="K3468" t="s">
        <v>87</v>
      </c>
      <c r="L3468" t="s">
        <v>41</v>
      </c>
      <c r="M3468" t="s">
        <v>6</v>
      </c>
      <c r="N3468" t="b">
        <v>0</v>
      </c>
      <c r="O3468">
        <v>1</v>
      </c>
      <c r="P3468">
        <v>0</v>
      </c>
      <c r="Q3468">
        <v>0</v>
      </c>
      <c r="R3468">
        <v>0</v>
      </c>
    </row>
    <row r="3469" spans="1:18" x14ac:dyDescent="0.25">
      <c r="A3469" t="s">
        <v>11</v>
      </c>
      <c r="B3469" t="s">
        <v>8</v>
      </c>
      <c r="C3469">
        <v>3</v>
      </c>
      <c r="D3469">
        <v>4</v>
      </c>
      <c r="E3469">
        <v>2</v>
      </c>
      <c r="F3469" s="15">
        <v>46097</v>
      </c>
      <c r="G3469" t="s">
        <v>430</v>
      </c>
      <c r="H3469">
        <v>3</v>
      </c>
      <c r="I3469">
        <v>2026</v>
      </c>
      <c r="J3469">
        <v>3</v>
      </c>
      <c r="K3469" t="s">
        <v>87</v>
      </c>
      <c r="L3469" t="s">
        <v>13</v>
      </c>
      <c r="M3469" t="s">
        <v>6</v>
      </c>
      <c r="N3469" t="b">
        <v>0</v>
      </c>
      <c r="O3469">
        <v>1</v>
      </c>
      <c r="P3469">
        <v>0</v>
      </c>
      <c r="Q3469">
        <v>0</v>
      </c>
      <c r="R3469">
        <v>0</v>
      </c>
    </row>
    <row r="3470" spans="1:18" x14ac:dyDescent="0.25">
      <c r="A3470" t="s">
        <v>10</v>
      </c>
      <c r="B3470" t="s">
        <v>8</v>
      </c>
      <c r="C3470">
        <v>1</v>
      </c>
      <c r="D3470">
        <v>5</v>
      </c>
      <c r="E3470">
        <v>2</v>
      </c>
      <c r="F3470" s="15">
        <v>46097</v>
      </c>
      <c r="G3470" t="s">
        <v>431</v>
      </c>
      <c r="H3470">
        <v>3</v>
      </c>
      <c r="I3470">
        <v>2026</v>
      </c>
      <c r="J3470">
        <v>3</v>
      </c>
      <c r="K3470" t="s">
        <v>87</v>
      </c>
      <c r="L3470" t="s">
        <v>436</v>
      </c>
      <c r="M3470" t="s">
        <v>6</v>
      </c>
      <c r="N3470" t="b">
        <v>0</v>
      </c>
      <c r="O3470">
        <v>1</v>
      </c>
      <c r="P3470">
        <v>0</v>
      </c>
      <c r="Q3470">
        <v>0</v>
      </c>
      <c r="R3470">
        <v>0</v>
      </c>
    </row>
    <row r="3471" spans="1:18" x14ac:dyDescent="0.25">
      <c r="A3471" t="s">
        <v>10</v>
      </c>
      <c r="B3471" t="s">
        <v>8</v>
      </c>
      <c r="C3471">
        <v>1</v>
      </c>
      <c r="D3471">
        <v>5</v>
      </c>
      <c r="E3471">
        <v>2</v>
      </c>
      <c r="F3471" s="15">
        <v>46097</v>
      </c>
      <c r="G3471" t="s">
        <v>431</v>
      </c>
      <c r="H3471">
        <v>3</v>
      </c>
      <c r="I3471">
        <v>2026</v>
      </c>
      <c r="J3471">
        <v>3</v>
      </c>
      <c r="K3471" t="s">
        <v>87</v>
      </c>
      <c r="L3471" t="s">
        <v>352</v>
      </c>
      <c r="M3471" t="s">
        <v>6</v>
      </c>
      <c r="N3471" t="b">
        <v>0</v>
      </c>
      <c r="O3471">
        <v>1</v>
      </c>
      <c r="P3471">
        <v>0</v>
      </c>
      <c r="Q3471">
        <v>0</v>
      </c>
      <c r="R3471">
        <v>0</v>
      </c>
    </row>
    <row r="3472" spans="1:18" x14ac:dyDescent="0.25">
      <c r="A3472" t="s">
        <v>436</v>
      </c>
      <c r="B3472" t="s">
        <v>6</v>
      </c>
      <c r="C3472">
        <v>2</v>
      </c>
      <c r="D3472">
        <v>5</v>
      </c>
      <c r="E3472">
        <v>2</v>
      </c>
      <c r="F3472" s="15">
        <v>46097</v>
      </c>
      <c r="G3472" t="s">
        <v>431</v>
      </c>
      <c r="H3472">
        <v>3</v>
      </c>
      <c r="I3472">
        <v>2026</v>
      </c>
      <c r="J3472">
        <v>3</v>
      </c>
      <c r="K3472" t="s">
        <v>87</v>
      </c>
      <c r="L3472" t="s">
        <v>10</v>
      </c>
      <c r="M3472" t="s">
        <v>8</v>
      </c>
      <c r="N3472" t="b">
        <v>0</v>
      </c>
      <c r="O3472">
        <v>0</v>
      </c>
      <c r="P3472">
        <v>1</v>
      </c>
      <c r="Q3472">
        <v>0</v>
      </c>
      <c r="R3472">
        <v>1</v>
      </c>
    </row>
    <row r="3473" spans="1:18" x14ac:dyDescent="0.25">
      <c r="A3473" t="s">
        <v>436</v>
      </c>
      <c r="B3473" t="s">
        <v>6</v>
      </c>
      <c r="C3473">
        <v>2</v>
      </c>
      <c r="D3473">
        <v>5</v>
      </c>
      <c r="E3473">
        <v>2</v>
      </c>
      <c r="F3473" s="15">
        <v>46097</v>
      </c>
      <c r="G3473" t="s">
        <v>431</v>
      </c>
      <c r="H3473">
        <v>3</v>
      </c>
      <c r="I3473">
        <v>2026</v>
      </c>
      <c r="J3473">
        <v>3</v>
      </c>
      <c r="K3473" t="s">
        <v>87</v>
      </c>
      <c r="L3473" t="s">
        <v>352</v>
      </c>
      <c r="M3473" t="s">
        <v>6</v>
      </c>
      <c r="N3473" t="b">
        <v>0</v>
      </c>
      <c r="O3473">
        <v>0</v>
      </c>
      <c r="P3473">
        <v>1</v>
      </c>
      <c r="Q3473">
        <v>0</v>
      </c>
      <c r="R3473">
        <v>0</v>
      </c>
    </row>
    <row r="3474" spans="1:18" x14ac:dyDescent="0.25">
      <c r="A3474" t="s">
        <v>352</v>
      </c>
      <c r="B3474" t="s">
        <v>6</v>
      </c>
      <c r="C3474">
        <v>3</v>
      </c>
      <c r="D3474">
        <v>5</v>
      </c>
      <c r="E3474">
        <v>2</v>
      </c>
      <c r="F3474" s="15">
        <v>46097</v>
      </c>
      <c r="G3474" t="s">
        <v>431</v>
      </c>
      <c r="H3474">
        <v>3</v>
      </c>
      <c r="I3474">
        <v>2026</v>
      </c>
      <c r="J3474">
        <v>3</v>
      </c>
      <c r="K3474" t="s">
        <v>87</v>
      </c>
      <c r="L3474" t="s">
        <v>10</v>
      </c>
      <c r="M3474" t="s">
        <v>8</v>
      </c>
      <c r="N3474" t="b">
        <v>0</v>
      </c>
      <c r="O3474">
        <v>0</v>
      </c>
      <c r="P3474">
        <v>1</v>
      </c>
      <c r="Q3474">
        <v>0</v>
      </c>
      <c r="R3474">
        <v>1</v>
      </c>
    </row>
    <row r="3475" spans="1:18" x14ac:dyDescent="0.25">
      <c r="A3475" t="s">
        <v>352</v>
      </c>
      <c r="B3475" t="s">
        <v>6</v>
      </c>
      <c r="C3475">
        <v>3</v>
      </c>
      <c r="D3475">
        <v>5</v>
      </c>
      <c r="E3475">
        <v>2</v>
      </c>
      <c r="F3475" s="15">
        <v>46097</v>
      </c>
      <c r="G3475" t="s">
        <v>431</v>
      </c>
      <c r="H3475">
        <v>3</v>
      </c>
      <c r="I3475">
        <v>2026</v>
      </c>
      <c r="J3475">
        <v>3</v>
      </c>
      <c r="K3475" t="s">
        <v>87</v>
      </c>
      <c r="L3475" t="s">
        <v>436</v>
      </c>
      <c r="M3475" t="s">
        <v>6</v>
      </c>
      <c r="N3475" t="b">
        <v>0</v>
      </c>
      <c r="O3475">
        <v>0</v>
      </c>
      <c r="P3475">
        <v>1</v>
      </c>
      <c r="Q3475">
        <v>0</v>
      </c>
      <c r="R3475">
        <v>0</v>
      </c>
    </row>
    <row r="3476" spans="1:18" x14ac:dyDescent="0.25">
      <c r="A3476" t="s">
        <v>352</v>
      </c>
      <c r="B3476" t="s">
        <v>6</v>
      </c>
      <c r="C3476">
        <v>1</v>
      </c>
      <c r="D3476">
        <v>1</v>
      </c>
      <c r="E3476">
        <v>1</v>
      </c>
      <c r="F3476" s="15">
        <v>46104</v>
      </c>
      <c r="G3476" t="s">
        <v>439</v>
      </c>
      <c r="H3476">
        <v>4</v>
      </c>
      <c r="I3476">
        <v>2026</v>
      </c>
      <c r="J3476">
        <v>3</v>
      </c>
      <c r="K3476" t="s">
        <v>87</v>
      </c>
      <c r="L3476" t="s">
        <v>14</v>
      </c>
      <c r="M3476" t="s">
        <v>6</v>
      </c>
      <c r="N3476" t="b">
        <v>0</v>
      </c>
      <c r="O3476">
        <v>0</v>
      </c>
      <c r="P3476">
        <v>1</v>
      </c>
      <c r="Q3476">
        <v>0</v>
      </c>
      <c r="R3476">
        <v>0</v>
      </c>
    </row>
    <row r="3477" spans="1:18" x14ac:dyDescent="0.25">
      <c r="A3477" t="s">
        <v>352</v>
      </c>
      <c r="B3477" t="s">
        <v>6</v>
      </c>
      <c r="C3477">
        <v>1</v>
      </c>
      <c r="D3477">
        <v>1</v>
      </c>
      <c r="E3477">
        <v>1</v>
      </c>
      <c r="F3477" s="15">
        <v>46104</v>
      </c>
      <c r="G3477" t="s">
        <v>439</v>
      </c>
      <c r="H3477">
        <v>4</v>
      </c>
      <c r="I3477">
        <v>2026</v>
      </c>
      <c r="J3477">
        <v>3</v>
      </c>
      <c r="K3477" t="s">
        <v>87</v>
      </c>
      <c r="L3477" t="s">
        <v>7</v>
      </c>
      <c r="M3477" t="s">
        <v>8</v>
      </c>
      <c r="N3477" t="b">
        <v>0</v>
      </c>
      <c r="O3477">
        <v>0</v>
      </c>
      <c r="P3477">
        <v>1</v>
      </c>
      <c r="Q3477">
        <v>0</v>
      </c>
      <c r="R3477">
        <v>1</v>
      </c>
    </row>
    <row r="3478" spans="1:18" x14ac:dyDescent="0.25">
      <c r="A3478" t="s">
        <v>352</v>
      </c>
      <c r="B3478" t="s">
        <v>6</v>
      </c>
      <c r="C3478">
        <v>1</v>
      </c>
      <c r="D3478">
        <v>1</v>
      </c>
      <c r="E3478">
        <v>1</v>
      </c>
      <c r="F3478" s="15">
        <v>46104</v>
      </c>
      <c r="G3478" t="s">
        <v>439</v>
      </c>
      <c r="H3478">
        <v>4</v>
      </c>
      <c r="I3478">
        <v>2026</v>
      </c>
      <c r="J3478">
        <v>3</v>
      </c>
      <c r="K3478" t="s">
        <v>87</v>
      </c>
      <c r="L3478" t="s">
        <v>19</v>
      </c>
      <c r="M3478" t="s">
        <v>6</v>
      </c>
      <c r="N3478" t="b">
        <v>0</v>
      </c>
      <c r="O3478">
        <v>0</v>
      </c>
      <c r="P3478">
        <v>1</v>
      </c>
      <c r="Q3478">
        <v>0</v>
      </c>
      <c r="R3478">
        <v>0</v>
      </c>
    </row>
    <row r="3479" spans="1:18" x14ac:dyDescent="0.25">
      <c r="A3479" t="s">
        <v>14</v>
      </c>
      <c r="B3479" t="s">
        <v>6</v>
      </c>
      <c r="C3479">
        <v>2</v>
      </c>
      <c r="D3479">
        <v>1</v>
      </c>
      <c r="E3479">
        <v>1</v>
      </c>
      <c r="F3479" s="15">
        <v>46104</v>
      </c>
      <c r="G3479" t="s">
        <v>439</v>
      </c>
      <c r="H3479">
        <v>4</v>
      </c>
      <c r="I3479">
        <v>2026</v>
      </c>
      <c r="J3479">
        <v>3</v>
      </c>
      <c r="K3479" t="s">
        <v>87</v>
      </c>
      <c r="L3479" t="s">
        <v>352</v>
      </c>
      <c r="M3479" t="s">
        <v>6</v>
      </c>
      <c r="N3479" t="b">
        <v>0</v>
      </c>
      <c r="O3479">
        <v>0</v>
      </c>
      <c r="P3479">
        <v>1</v>
      </c>
      <c r="Q3479">
        <v>0</v>
      </c>
      <c r="R3479">
        <v>0</v>
      </c>
    </row>
    <row r="3480" spans="1:18" x14ac:dyDescent="0.25">
      <c r="A3480" t="s">
        <v>14</v>
      </c>
      <c r="B3480" t="s">
        <v>6</v>
      </c>
      <c r="C3480">
        <v>2</v>
      </c>
      <c r="D3480">
        <v>1</v>
      </c>
      <c r="E3480">
        <v>1</v>
      </c>
      <c r="F3480" s="15">
        <v>46104</v>
      </c>
      <c r="G3480" t="s">
        <v>439</v>
      </c>
      <c r="H3480">
        <v>4</v>
      </c>
      <c r="I3480">
        <v>2026</v>
      </c>
      <c r="J3480">
        <v>3</v>
      </c>
      <c r="K3480" t="s">
        <v>87</v>
      </c>
      <c r="L3480" t="s">
        <v>7</v>
      </c>
      <c r="M3480" t="s">
        <v>8</v>
      </c>
      <c r="N3480" t="b">
        <v>0</v>
      </c>
      <c r="O3480">
        <v>0</v>
      </c>
      <c r="P3480">
        <v>1</v>
      </c>
      <c r="Q3480">
        <v>0</v>
      </c>
      <c r="R3480">
        <v>1</v>
      </c>
    </row>
    <row r="3481" spans="1:18" x14ac:dyDescent="0.25">
      <c r="A3481" t="s">
        <v>14</v>
      </c>
      <c r="B3481" t="s">
        <v>6</v>
      </c>
      <c r="C3481">
        <v>2</v>
      </c>
      <c r="D3481">
        <v>1</v>
      </c>
      <c r="E3481">
        <v>1</v>
      </c>
      <c r="F3481" s="15">
        <v>46104</v>
      </c>
      <c r="G3481" t="s">
        <v>439</v>
      </c>
      <c r="H3481">
        <v>4</v>
      </c>
      <c r="I3481">
        <v>2026</v>
      </c>
      <c r="J3481">
        <v>3</v>
      </c>
      <c r="K3481" t="s">
        <v>87</v>
      </c>
      <c r="L3481" t="s">
        <v>19</v>
      </c>
      <c r="M3481" t="s">
        <v>6</v>
      </c>
      <c r="N3481" t="b">
        <v>0</v>
      </c>
      <c r="O3481">
        <v>0</v>
      </c>
      <c r="P3481">
        <v>1</v>
      </c>
      <c r="Q3481">
        <v>0</v>
      </c>
      <c r="R3481">
        <v>0</v>
      </c>
    </row>
    <row r="3482" spans="1:18" x14ac:dyDescent="0.25">
      <c r="A3482" t="s">
        <v>7</v>
      </c>
      <c r="B3482" t="s">
        <v>8</v>
      </c>
      <c r="C3482">
        <v>3</v>
      </c>
      <c r="D3482">
        <v>1</v>
      </c>
      <c r="E3482">
        <v>1</v>
      </c>
      <c r="F3482" s="15">
        <v>46104</v>
      </c>
      <c r="G3482" t="s">
        <v>439</v>
      </c>
      <c r="H3482">
        <v>4</v>
      </c>
      <c r="I3482">
        <v>2026</v>
      </c>
      <c r="J3482">
        <v>3</v>
      </c>
      <c r="K3482" t="s">
        <v>87</v>
      </c>
      <c r="L3482" t="s">
        <v>352</v>
      </c>
      <c r="M3482" t="s">
        <v>6</v>
      </c>
      <c r="N3482" t="b">
        <v>0</v>
      </c>
      <c r="O3482">
        <v>1</v>
      </c>
      <c r="P3482">
        <v>0</v>
      </c>
      <c r="Q3482">
        <v>0</v>
      </c>
      <c r="R3482">
        <v>0</v>
      </c>
    </row>
    <row r="3483" spans="1:18" x14ac:dyDescent="0.25">
      <c r="A3483" t="s">
        <v>7</v>
      </c>
      <c r="B3483" t="s">
        <v>8</v>
      </c>
      <c r="C3483">
        <v>3</v>
      </c>
      <c r="D3483">
        <v>1</v>
      </c>
      <c r="E3483">
        <v>1</v>
      </c>
      <c r="F3483" s="15">
        <v>46104</v>
      </c>
      <c r="G3483" t="s">
        <v>439</v>
      </c>
      <c r="H3483">
        <v>4</v>
      </c>
      <c r="I3483">
        <v>2026</v>
      </c>
      <c r="J3483">
        <v>3</v>
      </c>
      <c r="K3483" t="s">
        <v>87</v>
      </c>
      <c r="L3483" t="s">
        <v>14</v>
      </c>
      <c r="M3483" t="s">
        <v>6</v>
      </c>
      <c r="N3483" t="b">
        <v>0</v>
      </c>
      <c r="O3483">
        <v>1</v>
      </c>
      <c r="P3483">
        <v>0</v>
      </c>
      <c r="Q3483">
        <v>0</v>
      </c>
      <c r="R3483">
        <v>0</v>
      </c>
    </row>
    <row r="3484" spans="1:18" x14ac:dyDescent="0.25">
      <c r="A3484" t="s">
        <v>7</v>
      </c>
      <c r="B3484" t="s">
        <v>8</v>
      </c>
      <c r="C3484">
        <v>3</v>
      </c>
      <c r="D3484">
        <v>1</v>
      </c>
      <c r="E3484">
        <v>1</v>
      </c>
      <c r="F3484" s="15">
        <v>46104</v>
      </c>
      <c r="G3484" t="s">
        <v>439</v>
      </c>
      <c r="H3484">
        <v>4</v>
      </c>
      <c r="I3484">
        <v>2026</v>
      </c>
      <c r="J3484">
        <v>3</v>
      </c>
      <c r="K3484" t="s">
        <v>87</v>
      </c>
      <c r="L3484" t="s">
        <v>19</v>
      </c>
      <c r="M3484" t="s">
        <v>6</v>
      </c>
      <c r="N3484" t="b">
        <v>0</v>
      </c>
      <c r="O3484">
        <v>1</v>
      </c>
      <c r="P3484">
        <v>0</v>
      </c>
      <c r="Q3484">
        <v>0</v>
      </c>
      <c r="R3484">
        <v>0</v>
      </c>
    </row>
    <row r="3485" spans="1:18" x14ac:dyDescent="0.25">
      <c r="A3485" t="s">
        <v>19</v>
      </c>
      <c r="B3485" t="s">
        <v>6</v>
      </c>
      <c r="C3485">
        <v>4</v>
      </c>
      <c r="D3485">
        <v>1</v>
      </c>
      <c r="E3485">
        <v>1</v>
      </c>
      <c r="F3485" s="15">
        <v>46104</v>
      </c>
      <c r="G3485" t="s">
        <v>439</v>
      </c>
      <c r="H3485">
        <v>4</v>
      </c>
      <c r="I3485">
        <v>2026</v>
      </c>
      <c r="J3485">
        <v>3</v>
      </c>
      <c r="K3485" t="s">
        <v>87</v>
      </c>
      <c r="L3485" t="s">
        <v>352</v>
      </c>
      <c r="M3485" t="s">
        <v>6</v>
      </c>
      <c r="N3485" t="b">
        <v>0</v>
      </c>
      <c r="O3485">
        <v>0</v>
      </c>
      <c r="P3485">
        <v>1</v>
      </c>
      <c r="Q3485">
        <v>0</v>
      </c>
      <c r="R3485">
        <v>0</v>
      </c>
    </row>
    <row r="3486" spans="1:18" x14ac:dyDescent="0.25">
      <c r="A3486" t="s">
        <v>19</v>
      </c>
      <c r="B3486" t="s">
        <v>6</v>
      </c>
      <c r="C3486">
        <v>4</v>
      </c>
      <c r="D3486">
        <v>1</v>
      </c>
      <c r="E3486">
        <v>1</v>
      </c>
      <c r="F3486" s="15">
        <v>46104</v>
      </c>
      <c r="G3486" t="s">
        <v>439</v>
      </c>
      <c r="H3486">
        <v>4</v>
      </c>
      <c r="I3486">
        <v>2026</v>
      </c>
      <c r="J3486">
        <v>3</v>
      </c>
      <c r="K3486" t="s">
        <v>87</v>
      </c>
      <c r="L3486" t="s">
        <v>14</v>
      </c>
      <c r="M3486" t="s">
        <v>6</v>
      </c>
      <c r="N3486" t="b">
        <v>0</v>
      </c>
      <c r="O3486">
        <v>0</v>
      </c>
      <c r="P3486">
        <v>1</v>
      </c>
      <c r="Q3486">
        <v>0</v>
      </c>
      <c r="R3486">
        <v>0</v>
      </c>
    </row>
    <row r="3487" spans="1:18" x14ac:dyDescent="0.25">
      <c r="A3487" t="s">
        <v>19</v>
      </c>
      <c r="B3487" t="s">
        <v>6</v>
      </c>
      <c r="C3487">
        <v>4</v>
      </c>
      <c r="D3487">
        <v>1</v>
      </c>
      <c r="E3487">
        <v>1</v>
      </c>
      <c r="F3487" s="15">
        <v>46104</v>
      </c>
      <c r="G3487" t="s">
        <v>439</v>
      </c>
      <c r="H3487">
        <v>4</v>
      </c>
      <c r="I3487">
        <v>2026</v>
      </c>
      <c r="J3487">
        <v>3</v>
      </c>
      <c r="K3487" t="s">
        <v>87</v>
      </c>
      <c r="L3487" t="s">
        <v>7</v>
      </c>
      <c r="M3487" t="s">
        <v>8</v>
      </c>
      <c r="N3487" t="b">
        <v>0</v>
      </c>
      <c r="O3487">
        <v>0</v>
      </c>
      <c r="P3487">
        <v>1</v>
      </c>
      <c r="Q3487">
        <v>0</v>
      </c>
      <c r="R3487">
        <v>1</v>
      </c>
    </row>
    <row r="3488" spans="1:18" x14ac:dyDescent="0.25">
      <c r="A3488" t="s">
        <v>15</v>
      </c>
      <c r="B3488" t="s">
        <v>8</v>
      </c>
      <c r="C3488">
        <v>1</v>
      </c>
      <c r="D3488">
        <v>2</v>
      </c>
      <c r="E3488">
        <v>1</v>
      </c>
      <c r="F3488" s="15">
        <v>46104</v>
      </c>
      <c r="G3488" t="s">
        <v>440</v>
      </c>
      <c r="H3488">
        <v>4</v>
      </c>
      <c r="I3488">
        <v>2026</v>
      </c>
      <c r="J3488">
        <v>3</v>
      </c>
      <c r="K3488" t="s">
        <v>87</v>
      </c>
      <c r="L3488" t="s">
        <v>363</v>
      </c>
      <c r="M3488" t="s">
        <v>6</v>
      </c>
      <c r="N3488" t="b">
        <v>0</v>
      </c>
      <c r="O3488">
        <v>1</v>
      </c>
      <c r="P3488">
        <v>0</v>
      </c>
      <c r="Q3488">
        <v>0</v>
      </c>
      <c r="R3488">
        <v>0</v>
      </c>
    </row>
    <row r="3489" spans="1:18" x14ac:dyDescent="0.25">
      <c r="A3489" t="s">
        <v>15</v>
      </c>
      <c r="B3489" t="s">
        <v>8</v>
      </c>
      <c r="C3489">
        <v>1</v>
      </c>
      <c r="D3489">
        <v>2</v>
      </c>
      <c r="E3489">
        <v>1</v>
      </c>
      <c r="F3489" s="15">
        <v>46104</v>
      </c>
      <c r="G3489" t="s">
        <v>440</v>
      </c>
      <c r="H3489">
        <v>4</v>
      </c>
      <c r="I3489">
        <v>2026</v>
      </c>
      <c r="J3489">
        <v>3</v>
      </c>
      <c r="K3489" t="s">
        <v>87</v>
      </c>
      <c r="L3489" t="s">
        <v>437</v>
      </c>
      <c r="M3489" t="s">
        <v>6</v>
      </c>
      <c r="N3489" t="b">
        <v>0</v>
      </c>
      <c r="O3489">
        <v>1</v>
      </c>
      <c r="P3489">
        <v>0</v>
      </c>
      <c r="Q3489">
        <v>0</v>
      </c>
      <c r="R3489">
        <v>0</v>
      </c>
    </row>
    <row r="3490" spans="1:18" x14ac:dyDescent="0.25">
      <c r="A3490" t="s">
        <v>15</v>
      </c>
      <c r="B3490" t="s">
        <v>8</v>
      </c>
      <c r="C3490">
        <v>1</v>
      </c>
      <c r="D3490">
        <v>2</v>
      </c>
      <c r="E3490">
        <v>1</v>
      </c>
      <c r="F3490" s="15">
        <v>46104</v>
      </c>
      <c r="G3490" t="s">
        <v>440</v>
      </c>
      <c r="H3490">
        <v>4</v>
      </c>
      <c r="I3490">
        <v>2026</v>
      </c>
      <c r="J3490">
        <v>3</v>
      </c>
      <c r="K3490" t="s">
        <v>87</v>
      </c>
      <c r="L3490" t="s">
        <v>436</v>
      </c>
      <c r="M3490" t="s">
        <v>6</v>
      </c>
      <c r="N3490" t="b">
        <v>0</v>
      </c>
      <c r="O3490">
        <v>1</v>
      </c>
      <c r="P3490">
        <v>0</v>
      </c>
      <c r="Q3490">
        <v>0</v>
      </c>
      <c r="R3490">
        <v>0</v>
      </c>
    </row>
    <row r="3491" spans="1:18" x14ac:dyDescent="0.25">
      <c r="A3491" t="s">
        <v>363</v>
      </c>
      <c r="B3491" t="s">
        <v>6</v>
      </c>
      <c r="C3491">
        <v>2</v>
      </c>
      <c r="D3491">
        <v>2</v>
      </c>
      <c r="E3491">
        <v>1</v>
      </c>
      <c r="F3491" s="15">
        <v>46104</v>
      </c>
      <c r="G3491" t="s">
        <v>440</v>
      </c>
      <c r="H3491">
        <v>4</v>
      </c>
      <c r="I3491">
        <v>2026</v>
      </c>
      <c r="J3491">
        <v>3</v>
      </c>
      <c r="K3491" t="s">
        <v>87</v>
      </c>
      <c r="L3491" t="s">
        <v>15</v>
      </c>
      <c r="M3491" t="s">
        <v>8</v>
      </c>
      <c r="N3491" t="b">
        <v>0</v>
      </c>
      <c r="O3491">
        <v>0</v>
      </c>
      <c r="P3491">
        <v>1</v>
      </c>
      <c r="Q3491">
        <v>0</v>
      </c>
      <c r="R3491">
        <v>1</v>
      </c>
    </row>
    <row r="3492" spans="1:18" x14ac:dyDescent="0.25">
      <c r="A3492" t="s">
        <v>363</v>
      </c>
      <c r="B3492" t="s">
        <v>6</v>
      </c>
      <c r="C3492">
        <v>2</v>
      </c>
      <c r="D3492">
        <v>2</v>
      </c>
      <c r="E3492">
        <v>1</v>
      </c>
      <c r="F3492" s="15">
        <v>46104</v>
      </c>
      <c r="G3492" t="s">
        <v>440</v>
      </c>
      <c r="H3492">
        <v>4</v>
      </c>
      <c r="I3492">
        <v>2026</v>
      </c>
      <c r="J3492">
        <v>3</v>
      </c>
      <c r="K3492" t="s">
        <v>87</v>
      </c>
      <c r="L3492" t="s">
        <v>437</v>
      </c>
      <c r="M3492" t="s">
        <v>6</v>
      </c>
      <c r="N3492" t="b">
        <v>0</v>
      </c>
      <c r="O3492">
        <v>0</v>
      </c>
      <c r="P3492">
        <v>1</v>
      </c>
      <c r="Q3492">
        <v>0</v>
      </c>
      <c r="R3492">
        <v>0</v>
      </c>
    </row>
    <row r="3493" spans="1:18" x14ac:dyDescent="0.25">
      <c r="A3493" t="s">
        <v>363</v>
      </c>
      <c r="B3493" t="s">
        <v>6</v>
      </c>
      <c r="C3493">
        <v>2</v>
      </c>
      <c r="D3493">
        <v>2</v>
      </c>
      <c r="E3493">
        <v>1</v>
      </c>
      <c r="F3493" s="15">
        <v>46104</v>
      </c>
      <c r="G3493" t="s">
        <v>440</v>
      </c>
      <c r="H3493">
        <v>4</v>
      </c>
      <c r="I3493">
        <v>2026</v>
      </c>
      <c r="J3493">
        <v>3</v>
      </c>
      <c r="K3493" t="s">
        <v>87</v>
      </c>
      <c r="L3493" t="s">
        <v>436</v>
      </c>
      <c r="M3493" t="s">
        <v>6</v>
      </c>
      <c r="N3493" t="b">
        <v>0</v>
      </c>
      <c r="O3493">
        <v>0</v>
      </c>
      <c r="P3493">
        <v>1</v>
      </c>
      <c r="Q3493">
        <v>0</v>
      </c>
      <c r="R3493">
        <v>0</v>
      </c>
    </row>
    <row r="3494" spans="1:18" x14ac:dyDescent="0.25">
      <c r="A3494" t="s">
        <v>437</v>
      </c>
      <c r="B3494" t="s">
        <v>6</v>
      </c>
      <c r="C3494">
        <v>3</v>
      </c>
      <c r="D3494">
        <v>2</v>
      </c>
      <c r="E3494">
        <v>1</v>
      </c>
      <c r="F3494" s="15">
        <v>46104</v>
      </c>
      <c r="G3494" t="s">
        <v>440</v>
      </c>
      <c r="H3494">
        <v>4</v>
      </c>
      <c r="I3494">
        <v>2026</v>
      </c>
      <c r="J3494">
        <v>3</v>
      </c>
      <c r="K3494" t="s">
        <v>87</v>
      </c>
      <c r="L3494" t="s">
        <v>15</v>
      </c>
      <c r="M3494" t="s">
        <v>8</v>
      </c>
      <c r="N3494" t="b">
        <v>0</v>
      </c>
      <c r="O3494">
        <v>0</v>
      </c>
      <c r="P3494">
        <v>1</v>
      </c>
      <c r="Q3494">
        <v>0</v>
      </c>
      <c r="R3494">
        <v>1</v>
      </c>
    </row>
    <row r="3495" spans="1:18" x14ac:dyDescent="0.25">
      <c r="A3495" t="s">
        <v>437</v>
      </c>
      <c r="B3495" t="s">
        <v>6</v>
      </c>
      <c r="C3495">
        <v>3</v>
      </c>
      <c r="D3495">
        <v>2</v>
      </c>
      <c r="E3495">
        <v>1</v>
      </c>
      <c r="F3495" s="15">
        <v>46104</v>
      </c>
      <c r="G3495" t="s">
        <v>440</v>
      </c>
      <c r="H3495">
        <v>4</v>
      </c>
      <c r="I3495">
        <v>2026</v>
      </c>
      <c r="J3495">
        <v>3</v>
      </c>
      <c r="K3495" t="s">
        <v>87</v>
      </c>
      <c r="L3495" t="s">
        <v>363</v>
      </c>
      <c r="M3495" t="s">
        <v>6</v>
      </c>
      <c r="N3495" t="b">
        <v>0</v>
      </c>
      <c r="O3495">
        <v>0</v>
      </c>
      <c r="P3495">
        <v>1</v>
      </c>
      <c r="Q3495">
        <v>0</v>
      </c>
      <c r="R3495">
        <v>0</v>
      </c>
    </row>
    <row r="3496" spans="1:18" x14ac:dyDescent="0.25">
      <c r="A3496" t="s">
        <v>437</v>
      </c>
      <c r="B3496" t="s">
        <v>6</v>
      </c>
      <c r="C3496">
        <v>3</v>
      </c>
      <c r="D3496">
        <v>2</v>
      </c>
      <c r="E3496">
        <v>1</v>
      </c>
      <c r="F3496" s="15">
        <v>46104</v>
      </c>
      <c r="G3496" t="s">
        <v>440</v>
      </c>
      <c r="H3496">
        <v>4</v>
      </c>
      <c r="I3496">
        <v>2026</v>
      </c>
      <c r="J3496">
        <v>3</v>
      </c>
      <c r="K3496" t="s">
        <v>87</v>
      </c>
      <c r="L3496" t="s">
        <v>436</v>
      </c>
      <c r="M3496" t="s">
        <v>6</v>
      </c>
      <c r="N3496" t="b">
        <v>0</v>
      </c>
      <c r="O3496">
        <v>0</v>
      </c>
      <c r="P3496">
        <v>1</v>
      </c>
      <c r="Q3496">
        <v>0</v>
      </c>
      <c r="R3496">
        <v>0</v>
      </c>
    </row>
    <row r="3497" spans="1:18" x14ac:dyDescent="0.25">
      <c r="A3497" t="s">
        <v>436</v>
      </c>
      <c r="B3497" t="s">
        <v>6</v>
      </c>
      <c r="C3497">
        <v>4</v>
      </c>
      <c r="D3497">
        <v>2</v>
      </c>
      <c r="E3497">
        <v>1</v>
      </c>
      <c r="F3497" s="15">
        <v>46104</v>
      </c>
      <c r="G3497" t="s">
        <v>440</v>
      </c>
      <c r="H3497">
        <v>4</v>
      </c>
      <c r="I3497">
        <v>2026</v>
      </c>
      <c r="J3497">
        <v>3</v>
      </c>
      <c r="K3497" t="s">
        <v>87</v>
      </c>
      <c r="L3497" t="s">
        <v>15</v>
      </c>
      <c r="M3497" t="s">
        <v>8</v>
      </c>
      <c r="N3497" t="b">
        <v>0</v>
      </c>
      <c r="O3497">
        <v>0</v>
      </c>
      <c r="P3497">
        <v>1</v>
      </c>
      <c r="Q3497">
        <v>0</v>
      </c>
      <c r="R3497">
        <v>1</v>
      </c>
    </row>
    <row r="3498" spans="1:18" x14ac:dyDescent="0.25">
      <c r="A3498" t="s">
        <v>436</v>
      </c>
      <c r="B3498" t="s">
        <v>6</v>
      </c>
      <c r="C3498">
        <v>4</v>
      </c>
      <c r="D3498">
        <v>2</v>
      </c>
      <c r="E3498">
        <v>1</v>
      </c>
      <c r="F3498" s="15">
        <v>46104</v>
      </c>
      <c r="G3498" t="s">
        <v>440</v>
      </c>
      <c r="H3498">
        <v>4</v>
      </c>
      <c r="I3498">
        <v>2026</v>
      </c>
      <c r="J3498">
        <v>3</v>
      </c>
      <c r="K3498" t="s">
        <v>87</v>
      </c>
      <c r="L3498" t="s">
        <v>363</v>
      </c>
      <c r="M3498" t="s">
        <v>6</v>
      </c>
      <c r="N3498" t="b">
        <v>0</v>
      </c>
      <c r="O3498">
        <v>0</v>
      </c>
      <c r="P3498">
        <v>1</v>
      </c>
      <c r="Q3498">
        <v>0</v>
      </c>
      <c r="R3498">
        <v>0</v>
      </c>
    </row>
    <row r="3499" spans="1:18" x14ac:dyDescent="0.25">
      <c r="A3499" t="s">
        <v>436</v>
      </c>
      <c r="B3499" t="s">
        <v>6</v>
      </c>
      <c r="C3499">
        <v>4</v>
      </c>
      <c r="D3499">
        <v>2</v>
      </c>
      <c r="E3499">
        <v>1</v>
      </c>
      <c r="F3499" s="15">
        <v>46104</v>
      </c>
      <c r="G3499" t="s">
        <v>440</v>
      </c>
      <c r="H3499">
        <v>4</v>
      </c>
      <c r="I3499">
        <v>2026</v>
      </c>
      <c r="J3499">
        <v>3</v>
      </c>
      <c r="K3499" t="s">
        <v>87</v>
      </c>
      <c r="L3499" t="s">
        <v>437</v>
      </c>
      <c r="M3499" t="s">
        <v>6</v>
      </c>
      <c r="N3499" t="b">
        <v>0</v>
      </c>
      <c r="O3499">
        <v>0</v>
      </c>
      <c r="P3499">
        <v>1</v>
      </c>
      <c r="Q3499">
        <v>0</v>
      </c>
      <c r="R3499">
        <v>0</v>
      </c>
    </row>
    <row r="3500" spans="1:18" x14ac:dyDescent="0.25">
      <c r="A3500" t="s">
        <v>351</v>
      </c>
      <c r="B3500" t="s">
        <v>6</v>
      </c>
      <c r="C3500">
        <v>1</v>
      </c>
      <c r="D3500">
        <v>3</v>
      </c>
      <c r="E3500">
        <v>1</v>
      </c>
      <c r="F3500" s="15">
        <v>46104</v>
      </c>
      <c r="G3500" t="s">
        <v>441</v>
      </c>
      <c r="H3500">
        <v>4</v>
      </c>
      <c r="I3500">
        <v>2026</v>
      </c>
      <c r="J3500">
        <v>3</v>
      </c>
      <c r="K3500" t="s">
        <v>87</v>
      </c>
      <c r="L3500" t="s">
        <v>405</v>
      </c>
      <c r="M3500" t="s">
        <v>8</v>
      </c>
      <c r="N3500" t="b">
        <v>0</v>
      </c>
      <c r="O3500">
        <v>0</v>
      </c>
      <c r="P3500">
        <v>1</v>
      </c>
      <c r="Q3500">
        <v>0</v>
      </c>
      <c r="R3500">
        <v>1</v>
      </c>
    </row>
    <row r="3501" spans="1:18" x14ac:dyDescent="0.25">
      <c r="A3501" t="s">
        <v>351</v>
      </c>
      <c r="B3501" t="s">
        <v>6</v>
      </c>
      <c r="C3501">
        <v>1</v>
      </c>
      <c r="D3501">
        <v>3</v>
      </c>
      <c r="E3501">
        <v>1</v>
      </c>
      <c r="F3501" s="15">
        <v>46104</v>
      </c>
      <c r="G3501" t="s">
        <v>441</v>
      </c>
      <c r="H3501">
        <v>4</v>
      </c>
      <c r="I3501">
        <v>2026</v>
      </c>
      <c r="J3501">
        <v>3</v>
      </c>
      <c r="K3501" t="s">
        <v>87</v>
      </c>
      <c r="L3501" t="s">
        <v>9</v>
      </c>
      <c r="M3501" t="s">
        <v>6</v>
      </c>
      <c r="N3501" t="b">
        <v>0</v>
      </c>
      <c r="O3501">
        <v>0</v>
      </c>
      <c r="P3501">
        <v>1</v>
      </c>
      <c r="Q3501">
        <v>0</v>
      </c>
      <c r="R3501">
        <v>0</v>
      </c>
    </row>
    <row r="3502" spans="1:18" x14ac:dyDescent="0.25">
      <c r="A3502" t="s">
        <v>351</v>
      </c>
      <c r="B3502" t="s">
        <v>6</v>
      </c>
      <c r="C3502">
        <v>1</v>
      </c>
      <c r="D3502">
        <v>3</v>
      </c>
      <c r="E3502">
        <v>1</v>
      </c>
      <c r="F3502" s="15">
        <v>46104</v>
      </c>
      <c r="G3502" t="s">
        <v>441</v>
      </c>
      <c r="H3502">
        <v>4</v>
      </c>
      <c r="I3502">
        <v>2026</v>
      </c>
      <c r="J3502">
        <v>3</v>
      </c>
      <c r="K3502" t="s">
        <v>87</v>
      </c>
      <c r="L3502" t="s">
        <v>433</v>
      </c>
      <c r="M3502" t="s">
        <v>6</v>
      </c>
      <c r="N3502" t="b">
        <v>0</v>
      </c>
      <c r="O3502">
        <v>0</v>
      </c>
      <c r="P3502">
        <v>1</v>
      </c>
      <c r="Q3502">
        <v>0</v>
      </c>
      <c r="R3502">
        <v>0</v>
      </c>
    </row>
    <row r="3503" spans="1:18" x14ac:dyDescent="0.25">
      <c r="A3503" t="s">
        <v>405</v>
      </c>
      <c r="B3503" t="s">
        <v>8</v>
      </c>
      <c r="C3503">
        <v>2</v>
      </c>
      <c r="D3503">
        <v>3</v>
      </c>
      <c r="E3503">
        <v>1</v>
      </c>
      <c r="F3503" s="15">
        <v>46104</v>
      </c>
      <c r="G3503" t="s">
        <v>441</v>
      </c>
      <c r="H3503">
        <v>4</v>
      </c>
      <c r="I3503">
        <v>2026</v>
      </c>
      <c r="J3503">
        <v>3</v>
      </c>
      <c r="K3503" t="s">
        <v>87</v>
      </c>
      <c r="L3503" t="s">
        <v>351</v>
      </c>
      <c r="M3503" t="s">
        <v>6</v>
      </c>
      <c r="N3503" t="b">
        <v>0</v>
      </c>
      <c r="O3503">
        <v>1</v>
      </c>
      <c r="P3503">
        <v>0</v>
      </c>
      <c r="Q3503">
        <v>0</v>
      </c>
      <c r="R3503">
        <v>0</v>
      </c>
    </row>
    <row r="3504" spans="1:18" x14ac:dyDescent="0.25">
      <c r="A3504" t="s">
        <v>405</v>
      </c>
      <c r="B3504" t="s">
        <v>8</v>
      </c>
      <c r="C3504">
        <v>2</v>
      </c>
      <c r="D3504">
        <v>3</v>
      </c>
      <c r="E3504">
        <v>1</v>
      </c>
      <c r="F3504" s="15">
        <v>46104</v>
      </c>
      <c r="G3504" t="s">
        <v>441</v>
      </c>
      <c r="H3504">
        <v>4</v>
      </c>
      <c r="I3504">
        <v>2026</v>
      </c>
      <c r="J3504">
        <v>3</v>
      </c>
      <c r="K3504" t="s">
        <v>87</v>
      </c>
      <c r="L3504" t="s">
        <v>9</v>
      </c>
      <c r="M3504" t="s">
        <v>6</v>
      </c>
      <c r="N3504" t="b">
        <v>0</v>
      </c>
      <c r="O3504">
        <v>1</v>
      </c>
      <c r="P3504">
        <v>0</v>
      </c>
      <c r="Q3504">
        <v>0</v>
      </c>
      <c r="R3504">
        <v>0</v>
      </c>
    </row>
    <row r="3505" spans="1:18" x14ac:dyDescent="0.25">
      <c r="A3505" t="s">
        <v>405</v>
      </c>
      <c r="B3505" t="s">
        <v>8</v>
      </c>
      <c r="C3505">
        <v>2</v>
      </c>
      <c r="D3505">
        <v>3</v>
      </c>
      <c r="E3505">
        <v>1</v>
      </c>
      <c r="F3505" s="15">
        <v>46104</v>
      </c>
      <c r="G3505" t="s">
        <v>441</v>
      </c>
      <c r="H3505">
        <v>4</v>
      </c>
      <c r="I3505">
        <v>2026</v>
      </c>
      <c r="J3505">
        <v>3</v>
      </c>
      <c r="K3505" t="s">
        <v>87</v>
      </c>
      <c r="L3505" t="s">
        <v>433</v>
      </c>
      <c r="M3505" t="s">
        <v>6</v>
      </c>
      <c r="N3505" t="b">
        <v>0</v>
      </c>
      <c r="O3505">
        <v>1</v>
      </c>
      <c r="P3505">
        <v>0</v>
      </c>
      <c r="Q3505">
        <v>0</v>
      </c>
      <c r="R3505">
        <v>0</v>
      </c>
    </row>
    <row r="3506" spans="1:18" x14ac:dyDescent="0.25">
      <c r="A3506" t="s">
        <v>9</v>
      </c>
      <c r="B3506" t="s">
        <v>6</v>
      </c>
      <c r="C3506">
        <v>3</v>
      </c>
      <c r="D3506">
        <v>3</v>
      </c>
      <c r="E3506">
        <v>1</v>
      </c>
      <c r="F3506" s="15">
        <v>46104</v>
      </c>
      <c r="G3506" t="s">
        <v>441</v>
      </c>
      <c r="H3506">
        <v>4</v>
      </c>
      <c r="I3506">
        <v>2026</v>
      </c>
      <c r="J3506">
        <v>3</v>
      </c>
      <c r="K3506" t="s">
        <v>87</v>
      </c>
      <c r="L3506" t="s">
        <v>351</v>
      </c>
      <c r="M3506" t="s">
        <v>6</v>
      </c>
      <c r="N3506" t="b">
        <v>0</v>
      </c>
      <c r="O3506">
        <v>0</v>
      </c>
      <c r="P3506">
        <v>1</v>
      </c>
      <c r="Q3506">
        <v>0</v>
      </c>
      <c r="R3506">
        <v>0</v>
      </c>
    </row>
    <row r="3507" spans="1:18" x14ac:dyDescent="0.25">
      <c r="A3507" t="s">
        <v>9</v>
      </c>
      <c r="B3507" t="s">
        <v>6</v>
      </c>
      <c r="C3507">
        <v>3</v>
      </c>
      <c r="D3507">
        <v>3</v>
      </c>
      <c r="E3507">
        <v>1</v>
      </c>
      <c r="F3507" s="15">
        <v>46104</v>
      </c>
      <c r="G3507" t="s">
        <v>441</v>
      </c>
      <c r="H3507">
        <v>4</v>
      </c>
      <c r="I3507">
        <v>2026</v>
      </c>
      <c r="J3507">
        <v>3</v>
      </c>
      <c r="K3507" t="s">
        <v>87</v>
      </c>
      <c r="L3507" t="s">
        <v>405</v>
      </c>
      <c r="M3507" t="s">
        <v>8</v>
      </c>
      <c r="N3507" t="b">
        <v>0</v>
      </c>
      <c r="O3507">
        <v>0</v>
      </c>
      <c r="P3507">
        <v>1</v>
      </c>
      <c r="Q3507">
        <v>0</v>
      </c>
      <c r="R3507">
        <v>1</v>
      </c>
    </row>
    <row r="3508" spans="1:18" x14ac:dyDescent="0.25">
      <c r="A3508" t="s">
        <v>9</v>
      </c>
      <c r="B3508" t="s">
        <v>6</v>
      </c>
      <c r="C3508">
        <v>3</v>
      </c>
      <c r="D3508">
        <v>3</v>
      </c>
      <c r="E3508">
        <v>1</v>
      </c>
      <c r="F3508" s="15">
        <v>46104</v>
      </c>
      <c r="G3508" t="s">
        <v>441</v>
      </c>
      <c r="H3508">
        <v>4</v>
      </c>
      <c r="I3508">
        <v>2026</v>
      </c>
      <c r="J3508">
        <v>3</v>
      </c>
      <c r="K3508" t="s">
        <v>87</v>
      </c>
      <c r="L3508" t="s">
        <v>433</v>
      </c>
      <c r="M3508" t="s">
        <v>6</v>
      </c>
      <c r="N3508" t="b">
        <v>0</v>
      </c>
      <c r="O3508">
        <v>0</v>
      </c>
      <c r="P3508">
        <v>1</v>
      </c>
      <c r="Q3508">
        <v>0</v>
      </c>
      <c r="R3508">
        <v>0</v>
      </c>
    </row>
    <row r="3509" spans="1:18" x14ac:dyDescent="0.25">
      <c r="A3509" t="s">
        <v>433</v>
      </c>
      <c r="B3509" t="s">
        <v>6</v>
      </c>
      <c r="C3509">
        <v>4</v>
      </c>
      <c r="D3509">
        <v>3</v>
      </c>
      <c r="E3509">
        <v>1</v>
      </c>
      <c r="F3509" s="15">
        <v>46104</v>
      </c>
      <c r="G3509" t="s">
        <v>441</v>
      </c>
      <c r="H3509">
        <v>4</v>
      </c>
      <c r="I3509">
        <v>2026</v>
      </c>
      <c r="J3509">
        <v>3</v>
      </c>
      <c r="K3509" t="s">
        <v>87</v>
      </c>
      <c r="L3509" t="s">
        <v>351</v>
      </c>
      <c r="M3509" t="s">
        <v>6</v>
      </c>
      <c r="N3509" t="b">
        <v>0</v>
      </c>
      <c r="O3509">
        <v>0</v>
      </c>
      <c r="P3509">
        <v>1</v>
      </c>
      <c r="Q3509">
        <v>0</v>
      </c>
      <c r="R3509">
        <v>0</v>
      </c>
    </row>
    <row r="3510" spans="1:18" x14ac:dyDescent="0.25">
      <c r="A3510" t="s">
        <v>433</v>
      </c>
      <c r="B3510" t="s">
        <v>6</v>
      </c>
      <c r="C3510">
        <v>4</v>
      </c>
      <c r="D3510">
        <v>3</v>
      </c>
      <c r="E3510">
        <v>1</v>
      </c>
      <c r="F3510" s="15">
        <v>46104</v>
      </c>
      <c r="G3510" t="s">
        <v>441</v>
      </c>
      <c r="H3510">
        <v>4</v>
      </c>
      <c r="I3510">
        <v>2026</v>
      </c>
      <c r="J3510">
        <v>3</v>
      </c>
      <c r="K3510" t="s">
        <v>87</v>
      </c>
      <c r="L3510" t="s">
        <v>405</v>
      </c>
      <c r="M3510" t="s">
        <v>8</v>
      </c>
      <c r="N3510" t="b">
        <v>0</v>
      </c>
      <c r="O3510">
        <v>0</v>
      </c>
      <c r="P3510">
        <v>1</v>
      </c>
      <c r="Q3510">
        <v>0</v>
      </c>
      <c r="R3510">
        <v>1</v>
      </c>
    </row>
    <row r="3511" spans="1:18" x14ac:dyDescent="0.25">
      <c r="A3511" t="s">
        <v>433</v>
      </c>
      <c r="B3511" t="s">
        <v>6</v>
      </c>
      <c r="C3511">
        <v>4</v>
      </c>
      <c r="D3511">
        <v>3</v>
      </c>
      <c r="E3511">
        <v>1</v>
      </c>
      <c r="F3511" s="15">
        <v>46104</v>
      </c>
      <c r="G3511" t="s">
        <v>441</v>
      </c>
      <c r="H3511">
        <v>4</v>
      </c>
      <c r="I3511">
        <v>2026</v>
      </c>
      <c r="J3511">
        <v>3</v>
      </c>
      <c r="K3511" t="s">
        <v>87</v>
      </c>
      <c r="L3511" t="s">
        <v>9</v>
      </c>
      <c r="M3511" t="s">
        <v>6</v>
      </c>
      <c r="N3511" t="b">
        <v>0</v>
      </c>
      <c r="O3511">
        <v>0</v>
      </c>
      <c r="P3511">
        <v>1</v>
      </c>
      <c r="Q3511">
        <v>0</v>
      </c>
      <c r="R3511">
        <v>0</v>
      </c>
    </row>
    <row r="3512" spans="1:18" x14ac:dyDescent="0.25">
      <c r="A3512" t="s">
        <v>13</v>
      </c>
      <c r="B3512" t="s">
        <v>6</v>
      </c>
      <c r="C3512">
        <v>1</v>
      </c>
      <c r="D3512">
        <v>4</v>
      </c>
      <c r="E3512">
        <v>1</v>
      </c>
      <c r="F3512" s="15">
        <v>46104</v>
      </c>
      <c r="G3512" t="s">
        <v>442</v>
      </c>
      <c r="H3512">
        <v>4</v>
      </c>
      <c r="I3512">
        <v>2026</v>
      </c>
      <c r="J3512">
        <v>3</v>
      </c>
      <c r="K3512" t="s">
        <v>87</v>
      </c>
      <c r="L3512" t="s">
        <v>438</v>
      </c>
      <c r="M3512" t="s">
        <v>8</v>
      </c>
      <c r="N3512" t="b">
        <v>0</v>
      </c>
      <c r="O3512">
        <v>0</v>
      </c>
      <c r="P3512">
        <v>1</v>
      </c>
      <c r="Q3512">
        <v>0</v>
      </c>
      <c r="R3512">
        <v>1</v>
      </c>
    </row>
    <row r="3513" spans="1:18" x14ac:dyDescent="0.25">
      <c r="A3513" t="s">
        <v>13</v>
      </c>
      <c r="B3513" t="s">
        <v>6</v>
      </c>
      <c r="C3513">
        <v>1</v>
      </c>
      <c r="D3513">
        <v>4</v>
      </c>
      <c r="E3513">
        <v>1</v>
      </c>
      <c r="F3513" s="15">
        <v>46104</v>
      </c>
      <c r="G3513" t="s">
        <v>442</v>
      </c>
      <c r="H3513">
        <v>4</v>
      </c>
      <c r="I3513">
        <v>2026</v>
      </c>
      <c r="J3513">
        <v>3</v>
      </c>
      <c r="K3513" t="s">
        <v>87</v>
      </c>
      <c r="L3513" t="s">
        <v>28</v>
      </c>
      <c r="M3513" t="s">
        <v>6</v>
      </c>
      <c r="N3513" t="b">
        <v>0</v>
      </c>
      <c r="O3513">
        <v>0</v>
      </c>
      <c r="P3513">
        <v>1</v>
      </c>
      <c r="Q3513">
        <v>0</v>
      </c>
      <c r="R3513">
        <v>0</v>
      </c>
    </row>
    <row r="3514" spans="1:18" x14ac:dyDescent="0.25">
      <c r="A3514" t="s">
        <v>13</v>
      </c>
      <c r="B3514" t="s">
        <v>6</v>
      </c>
      <c r="C3514">
        <v>1</v>
      </c>
      <c r="D3514">
        <v>4</v>
      </c>
      <c r="E3514">
        <v>1</v>
      </c>
      <c r="F3514" s="15">
        <v>46104</v>
      </c>
      <c r="G3514" t="s">
        <v>442</v>
      </c>
      <c r="H3514">
        <v>4</v>
      </c>
      <c r="I3514">
        <v>2026</v>
      </c>
      <c r="J3514">
        <v>3</v>
      </c>
      <c r="K3514" t="s">
        <v>87</v>
      </c>
      <c r="L3514" t="s">
        <v>322</v>
      </c>
      <c r="M3514" t="s">
        <v>6</v>
      </c>
      <c r="N3514" t="b">
        <v>0</v>
      </c>
      <c r="O3514">
        <v>0</v>
      </c>
      <c r="P3514">
        <v>1</v>
      </c>
      <c r="Q3514">
        <v>0</v>
      </c>
      <c r="R3514">
        <v>0</v>
      </c>
    </row>
    <row r="3515" spans="1:18" x14ac:dyDescent="0.25">
      <c r="A3515" t="s">
        <v>438</v>
      </c>
      <c r="B3515" t="s">
        <v>8</v>
      </c>
      <c r="C3515">
        <v>2</v>
      </c>
      <c r="D3515">
        <v>4</v>
      </c>
      <c r="E3515">
        <v>1</v>
      </c>
      <c r="F3515" s="15">
        <v>46104</v>
      </c>
      <c r="G3515" t="s">
        <v>442</v>
      </c>
      <c r="H3515">
        <v>4</v>
      </c>
      <c r="I3515">
        <v>2026</v>
      </c>
      <c r="J3515">
        <v>3</v>
      </c>
      <c r="K3515" t="s">
        <v>87</v>
      </c>
      <c r="L3515" t="s">
        <v>13</v>
      </c>
      <c r="M3515" t="s">
        <v>6</v>
      </c>
      <c r="N3515" t="b">
        <v>0</v>
      </c>
      <c r="O3515">
        <v>1</v>
      </c>
      <c r="P3515">
        <v>0</v>
      </c>
      <c r="Q3515">
        <v>0</v>
      </c>
      <c r="R3515">
        <v>0</v>
      </c>
    </row>
    <row r="3516" spans="1:18" x14ac:dyDescent="0.25">
      <c r="A3516" t="s">
        <v>438</v>
      </c>
      <c r="B3516" t="s">
        <v>8</v>
      </c>
      <c r="C3516">
        <v>2</v>
      </c>
      <c r="D3516">
        <v>4</v>
      </c>
      <c r="E3516">
        <v>1</v>
      </c>
      <c r="F3516" s="15">
        <v>46104</v>
      </c>
      <c r="G3516" t="s">
        <v>442</v>
      </c>
      <c r="H3516">
        <v>4</v>
      </c>
      <c r="I3516">
        <v>2026</v>
      </c>
      <c r="J3516">
        <v>3</v>
      </c>
      <c r="K3516" t="s">
        <v>87</v>
      </c>
      <c r="L3516" t="s">
        <v>28</v>
      </c>
      <c r="M3516" t="s">
        <v>6</v>
      </c>
      <c r="N3516" t="b">
        <v>0</v>
      </c>
      <c r="O3516">
        <v>1</v>
      </c>
      <c r="P3516">
        <v>0</v>
      </c>
      <c r="Q3516">
        <v>0</v>
      </c>
      <c r="R3516">
        <v>0</v>
      </c>
    </row>
    <row r="3517" spans="1:18" x14ac:dyDescent="0.25">
      <c r="A3517" t="s">
        <v>438</v>
      </c>
      <c r="B3517" t="s">
        <v>8</v>
      </c>
      <c r="C3517">
        <v>2</v>
      </c>
      <c r="D3517">
        <v>4</v>
      </c>
      <c r="E3517">
        <v>1</v>
      </c>
      <c r="F3517" s="15">
        <v>46104</v>
      </c>
      <c r="G3517" t="s">
        <v>442</v>
      </c>
      <c r="H3517">
        <v>4</v>
      </c>
      <c r="I3517">
        <v>2026</v>
      </c>
      <c r="J3517">
        <v>3</v>
      </c>
      <c r="K3517" t="s">
        <v>87</v>
      </c>
      <c r="L3517" t="s">
        <v>322</v>
      </c>
      <c r="M3517" t="s">
        <v>6</v>
      </c>
      <c r="N3517" t="b">
        <v>0</v>
      </c>
      <c r="O3517">
        <v>1</v>
      </c>
      <c r="P3517">
        <v>0</v>
      </c>
      <c r="Q3517">
        <v>0</v>
      </c>
      <c r="R3517">
        <v>0</v>
      </c>
    </row>
    <row r="3518" spans="1:18" x14ac:dyDescent="0.25">
      <c r="A3518" t="s">
        <v>28</v>
      </c>
      <c r="B3518" t="s">
        <v>6</v>
      </c>
      <c r="C3518">
        <v>3</v>
      </c>
      <c r="D3518">
        <v>4</v>
      </c>
      <c r="E3518">
        <v>1</v>
      </c>
      <c r="F3518" s="15">
        <v>46104</v>
      </c>
      <c r="G3518" t="s">
        <v>442</v>
      </c>
      <c r="H3518">
        <v>4</v>
      </c>
      <c r="I3518">
        <v>2026</v>
      </c>
      <c r="J3518">
        <v>3</v>
      </c>
      <c r="K3518" t="s">
        <v>87</v>
      </c>
      <c r="L3518" t="s">
        <v>13</v>
      </c>
      <c r="M3518" t="s">
        <v>6</v>
      </c>
      <c r="N3518" t="b">
        <v>0</v>
      </c>
      <c r="O3518">
        <v>0</v>
      </c>
      <c r="P3518">
        <v>1</v>
      </c>
      <c r="Q3518">
        <v>0</v>
      </c>
      <c r="R3518">
        <v>0</v>
      </c>
    </row>
    <row r="3519" spans="1:18" x14ac:dyDescent="0.25">
      <c r="A3519" t="s">
        <v>28</v>
      </c>
      <c r="B3519" t="s">
        <v>6</v>
      </c>
      <c r="C3519">
        <v>3</v>
      </c>
      <c r="D3519">
        <v>4</v>
      </c>
      <c r="E3519">
        <v>1</v>
      </c>
      <c r="F3519" s="15">
        <v>46104</v>
      </c>
      <c r="G3519" t="s">
        <v>442</v>
      </c>
      <c r="H3519">
        <v>4</v>
      </c>
      <c r="I3519">
        <v>2026</v>
      </c>
      <c r="J3519">
        <v>3</v>
      </c>
      <c r="K3519" t="s">
        <v>87</v>
      </c>
      <c r="L3519" t="s">
        <v>438</v>
      </c>
      <c r="M3519" t="s">
        <v>8</v>
      </c>
      <c r="N3519" t="b">
        <v>0</v>
      </c>
      <c r="O3519">
        <v>0</v>
      </c>
      <c r="P3519">
        <v>1</v>
      </c>
      <c r="Q3519">
        <v>0</v>
      </c>
      <c r="R3519">
        <v>1</v>
      </c>
    </row>
    <row r="3520" spans="1:18" x14ac:dyDescent="0.25">
      <c r="A3520" t="s">
        <v>28</v>
      </c>
      <c r="B3520" t="s">
        <v>6</v>
      </c>
      <c r="C3520">
        <v>3</v>
      </c>
      <c r="D3520">
        <v>4</v>
      </c>
      <c r="E3520">
        <v>1</v>
      </c>
      <c r="F3520" s="15">
        <v>46104</v>
      </c>
      <c r="G3520" t="s">
        <v>442</v>
      </c>
      <c r="H3520">
        <v>4</v>
      </c>
      <c r="I3520">
        <v>2026</v>
      </c>
      <c r="J3520">
        <v>3</v>
      </c>
      <c r="K3520" t="s">
        <v>87</v>
      </c>
      <c r="L3520" t="s">
        <v>322</v>
      </c>
      <c r="M3520" t="s">
        <v>6</v>
      </c>
      <c r="N3520" t="b">
        <v>0</v>
      </c>
      <c r="O3520">
        <v>0</v>
      </c>
      <c r="P3520">
        <v>1</v>
      </c>
      <c r="Q3520">
        <v>0</v>
      </c>
      <c r="R3520">
        <v>0</v>
      </c>
    </row>
    <row r="3521" spans="1:18" x14ac:dyDescent="0.25">
      <c r="A3521" t="s">
        <v>322</v>
      </c>
      <c r="B3521" t="s">
        <v>6</v>
      </c>
      <c r="C3521">
        <v>4</v>
      </c>
      <c r="D3521">
        <v>4</v>
      </c>
      <c r="E3521">
        <v>1</v>
      </c>
      <c r="F3521" s="15">
        <v>46104</v>
      </c>
      <c r="G3521" t="s">
        <v>442</v>
      </c>
      <c r="H3521">
        <v>4</v>
      </c>
      <c r="I3521">
        <v>2026</v>
      </c>
      <c r="J3521">
        <v>3</v>
      </c>
      <c r="K3521" t="s">
        <v>87</v>
      </c>
      <c r="L3521" t="s">
        <v>13</v>
      </c>
      <c r="M3521" t="s">
        <v>6</v>
      </c>
      <c r="N3521" t="b">
        <v>0</v>
      </c>
      <c r="O3521">
        <v>0</v>
      </c>
      <c r="P3521">
        <v>1</v>
      </c>
      <c r="Q3521">
        <v>0</v>
      </c>
      <c r="R3521">
        <v>0</v>
      </c>
    </row>
    <row r="3522" spans="1:18" x14ac:dyDescent="0.25">
      <c r="A3522" t="s">
        <v>322</v>
      </c>
      <c r="B3522" t="s">
        <v>6</v>
      </c>
      <c r="C3522">
        <v>4</v>
      </c>
      <c r="D3522">
        <v>4</v>
      </c>
      <c r="E3522">
        <v>1</v>
      </c>
      <c r="F3522" s="15">
        <v>46104</v>
      </c>
      <c r="G3522" t="s">
        <v>442</v>
      </c>
      <c r="H3522">
        <v>4</v>
      </c>
      <c r="I3522">
        <v>2026</v>
      </c>
      <c r="J3522">
        <v>3</v>
      </c>
      <c r="K3522" t="s">
        <v>87</v>
      </c>
      <c r="L3522" t="s">
        <v>438</v>
      </c>
      <c r="M3522" t="s">
        <v>8</v>
      </c>
      <c r="N3522" t="b">
        <v>0</v>
      </c>
      <c r="O3522">
        <v>0</v>
      </c>
      <c r="P3522">
        <v>1</v>
      </c>
      <c r="Q3522">
        <v>0</v>
      </c>
      <c r="R3522">
        <v>1</v>
      </c>
    </row>
    <row r="3523" spans="1:18" x14ac:dyDescent="0.25">
      <c r="A3523" t="s">
        <v>322</v>
      </c>
      <c r="B3523" t="s">
        <v>6</v>
      </c>
      <c r="C3523">
        <v>4</v>
      </c>
      <c r="D3523">
        <v>4</v>
      </c>
      <c r="E3523">
        <v>1</v>
      </c>
      <c r="F3523" s="15">
        <v>46104</v>
      </c>
      <c r="G3523" t="s">
        <v>442</v>
      </c>
      <c r="H3523">
        <v>4</v>
      </c>
      <c r="I3523">
        <v>2026</v>
      </c>
      <c r="J3523">
        <v>3</v>
      </c>
      <c r="K3523" t="s">
        <v>87</v>
      </c>
      <c r="L3523" t="s">
        <v>28</v>
      </c>
      <c r="M3523" t="s">
        <v>6</v>
      </c>
      <c r="N3523" t="b">
        <v>0</v>
      </c>
      <c r="O3523">
        <v>0</v>
      </c>
      <c r="P3523">
        <v>1</v>
      </c>
      <c r="Q3523">
        <v>0</v>
      </c>
      <c r="R3523">
        <v>0</v>
      </c>
    </row>
    <row r="3524" spans="1:18" x14ac:dyDescent="0.25">
      <c r="A3524" t="s">
        <v>17</v>
      </c>
      <c r="B3524" t="s">
        <v>6</v>
      </c>
      <c r="C3524">
        <v>1</v>
      </c>
      <c r="D3524">
        <v>5</v>
      </c>
      <c r="E3524">
        <v>1</v>
      </c>
      <c r="F3524" s="15">
        <v>46104</v>
      </c>
      <c r="G3524" t="s">
        <v>443</v>
      </c>
      <c r="H3524">
        <v>4</v>
      </c>
      <c r="I3524">
        <v>2026</v>
      </c>
      <c r="J3524">
        <v>3</v>
      </c>
      <c r="K3524" t="s">
        <v>87</v>
      </c>
      <c r="L3524" t="s">
        <v>325</v>
      </c>
      <c r="M3524" t="s">
        <v>8</v>
      </c>
      <c r="N3524" t="b">
        <v>0</v>
      </c>
      <c r="O3524">
        <v>0</v>
      </c>
      <c r="P3524">
        <v>1</v>
      </c>
      <c r="Q3524">
        <v>0</v>
      </c>
      <c r="R3524">
        <v>1</v>
      </c>
    </row>
    <row r="3525" spans="1:18" x14ac:dyDescent="0.25">
      <c r="A3525" t="s">
        <v>17</v>
      </c>
      <c r="B3525" t="s">
        <v>6</v>
      </c>
      <c r="C3525">
        <v>1</v>
      </c>
      <c r="D3525">
        <v>5</v>
      </c>
      <c r="E3525">
        <v>1</v>
      </c>
      <c r="F3525" s="15">
        <v>46104</v>
      </c>
      <c r="G3525" t="s">
        <v>443</v>
      </c>
      <c r="H3525">
        <v>4</v>
      </c>
      <c r="I3525">
        <v>2026</v>
      </c>
      <c r="J3525">
        <v>3</v>
      </c>
      <c r="K3525" t="s">
        <v>87</v>
      </c>
      <c r="L3525" t="s">
        <v>51</v>
      </c>
      <c r="M3525" t="s">
        <v>6</v>
      </c>
      <c r="N3525" t="b">
        <v>0</v>
      </c>
      <c r="O3525">
        <v>0</v>
      </c>
      <c r="P3525">
        <v>1</v>
      </c>
      <c r="Q3525">
        <v>0</v>
      </c>
      <c r="R3525">
        <v>0</v>
      </c>
    </row>
    <row r="3526" spans="1:18" x14ac:dyDescent="0.25">
      <c r="A3526" t="s">
        <v>17</v>
      </c>
      <c r="B3526" t="s">
        <v>6</v>
      </c>
      <c r="C3526">
        <v>1</v>
      </c>
      <c r="D3526">
        <v>5</v>
      </c>
      <c r="E3526">
        <v>1</v>
      </c>
      <c r="F3526" s="15">
        <v>46104</v>
      </c>
      <c r="G3526" t="s">
        <v>443</v>
      </c>
      <c r="H3526">
        <v>4</v>
      </c>
      <c r="I3526">
        <v>2026</v>
      </c>
      <c r="J3526">
        <v>3</v>
      </c>
      <c r="K3526" t="s">
        <v>87</v>
      </c>
      <c r="L3526" t="s">
        <v>11</v>
      </c>
      <c r="M3526" t="s">
        <v>6</v>
      </c>
      <c r="N3526" t="b">
        <v>0</v>
      </c>
      <c r="O3526">
        <v>0</v>
      </c>
      <c r="P3526">
        <v>1</v>
      </c>
      <c r="Q3526">
        <v>0</v>
      </c>
      <c r="R3526">
        <v>0</v>
      </c>
    </row>
    <row r="3527" spans="1:18" x14ac:dyDescent="0.25">
      <c r="A3527" t="s">
        <v>325</v>
      </c>
      <c r="B3527" t="s">
        <v>8</v>
      </c>
      <c r="C3527">
        <v>2</v>
      </c>
      <c r="D3527">
        <v>5</v>
      </c>
      <c r="E3527">
        <v>1</v>
      </c>
      <c r="F3527" s="15">
        <v>46104</v>
      </c>
      <c r="G3527" t="s">
        <v>443</v>
      </c>
      <c r="H3527">
        <v>4</v>
      </c>
      <c r="I3527">
        <v>2026</v>
      </c>
      <c r="J3527">
        <v>3</v>
      </c>
      <c r="K3527" t="s">
        <v>87</v>
      </c>
      <c r="L3527" t="s">
        <v>17</v>
      </c>
      <c r="M3527" t="s">
        <v>6</v>
      </c>
      <c r="N3527" t="b">
        <v>0</v>
      </c>
      <c r="O3527">
        <v>1</v>
      </c>
      <c r="P3527">
        <v>0</v>
      </c>
      <c r="Q3527">
        <v>0</v>
      </c>
      <c r="R3527">
        <v>0</v>
      </c>
    </row>
    <row r="3528" spans="1:18" x14ac:dyDescent="0.25">
      <c r="A3528" t="s">
        <v>325</v>
      </c>
      <c r="B3528" t="s">
        <v>8</v>
      </c>
      <c r="C3528">
        <v>2</v>
      </c>
      <c r="D3528">
        <v>5</v>
      </c>
      <c r="E3528">
        <v>1</v>
      </c>
      <c r="F3528" s="15">
        <v>46104</v>
      </c>
      <c r="G3528" t="s">
        <v>443</v>
      </c>
      <c r="H3528">
        <v>4</v>
      </c>
      <c r="I3528">
        <v>2026</v>
      </c>
      <c r="J3528">
        <v>3</v>
      </c>
      <c r="K3528" t="s">
        <v>87</v>
      </c>
      <c r="L3528" t="s">
        <v>51</v>
      </c>
      <c r="M3528" t="s">
        <v>6</v>
      </c>
      <c r="N3528" t="b">
        <v>0</v>
      </c>
      <c r="O3528">
        <v>1</v>
      </c>
      <c r="P3528">
        <v>0</v>
      </c>
      <c r="Q3528">
        <v>0</v>
      </c>
      <c r="R3528">
        <v>0</v>
      </c>
    </row>
    <row r="3529" spans="1:18" x14ac:dyDescent="0.25">
      <c r="A3529" t="s">
        <v>325</v>
      </c>
      <c r="B3529" t="s">
        <v>8</v>
      </c>
      <c r="C3529">
        <v>2</v>
      </c>
      <c r="D3529">
        <v>5</v>
      </c>
      <c r="E3529">
        <v>1</v>
      </c>
      <c r="F3529" s="15">
        <v>46104</v>
      </c>
      <c r="G3529" t="s">
        <v>443</v>
      </c>
      <c r="H3529">
        <v>4</v>
      </c>
      <c r="I3529">
        <v>2026</v>
      </c>
      <c r="J3529">
        <v>3</v>
      </c>
      <c r="K3529" t="s">
        <v>87</v>
      </c>
      <c r="L3529" t="s">
        <v>11</v>
      </c>
      <c r="M3529" t="s">
        <v>6</v>
      </c>
      <c r="N3529" t="b">
        <v>0</v>
      </c>
      <c r="O3529">
        <v>1</v>
      </c>
      <c r="P3529">
        <v>0</v>
      </c>
      <c r="Q3529">
        <v>0</v>
      </c>
      <c r="R3529">
        <v>0</v>
      </c>
    </row>
    <row r="3530" spans="1:18" x14ac:dyDescent="0.25">
      <c r="A3530" t="s">
        <v>51</v>
      </c>
      <c r="B3530" t="s">
        <v>6</v>
      </c>
      <c r="C3530">
        <v>3</v>
      </c>
      <c r="D3530">
        <v>5</v>
      </c>
      <c r="E3530">
        <v>1</v>
      </c>
      <c r="F3530" s="15">
        <v>46104</v>
      </c>
      <c r="G3530" t="s">
        <v>443</v>
      </c>
      <c r="H3530">
        <v>4</v>
      </c>
      <c r="I3530">
        <v>2026</v>
      </c>
      <c r="J3530">
        <v>3</v>
      </c>
      <c r="K3530" t="s">
        <v>87</v>
      </c>
      <c r="L3530" t="s">
        <v>17</v>
      </c>
      <c r="M3530" t="s">
        <v>6</v>
      </c>
      <c r="N3530" t="b">
        <v>0</v>
      </c>
      <c r="O3530">
        <v>0</v>
      </c>
      <c r="P3530">
        <v>1</v>
      </c>
      <c r="Q3530">
        <v>0</v>
      </c>
      <c r="R3530">
        <v>0</v>
      </c>
    </row>
    <row r="3531" spans="1:18" x14ac:dyDescent="0.25">
      <c r="A3531" t="s">
        <v>51</v>
      </c>
      <c r="B3531" t="s">
        <v>6</v>
      </c>
      <c r="C3531">
        <v>3</v>
      </c>
      <c r="D3531">
        <v>5</v>
      </c>
      <c r="E3531">
        <v>1</v>
      </c>
      <c r="F3531" s="15">
        <v>46104</v>
      </c>
      <c r="G3531" t="s">
        <v>443</v>
      </c>
      <c r="H3531">
        <v>4</v>
      </c>
      <c r="I3531">
        <v>2026</v>
      </c>
      <c r="J3531">
        <v>3</v>
      </c>
      <c r="K3531" t="s">
        <v>87</v>
      </c>
      <c r="L3531" t="s">
        <v>325</v>
      </c>
      <c r="M3531" t="s">
        <v>8</v>
      </c>
      <c r="N3531" t="b">
        <v>0</v>
      </c>
      <c r="O3531">
        <v>0</v>
      </c>
      <c r="P3531">
        <v>1</v>
      </c>
      <c r="Q3531">
        <v>0</v>
      </c>
      <c r="R3531">
        <v>1</v>
      </c>
    </row>
    <row r="3532" spans="1:18" x14ac:dyDescent="0.25">
      <c r="A3532" t="s">
        <v>51</v>
      </c>
      <c r="B3532" t="s">
        <v>6</v>
      </c>
      <c r="C3532">
        <v>3</v>
      </c>
      <c r="D3532">
        <v>5</v>
      </c>
      <c r="E3532">
        <v>1</v>
      </c>
      <c r="F3532" s="15">
        <v>46104</v>
      </c>
      <c r="G3532" t="s">
        <v>443</v>
      </c>
      <c r="H3532">
        <v>4</v>
      </c>
      <c r="I3532">
        <v>2026</v>
      </c>
      <c r="J3532">
        <v>3</v>
      </c>
      <c r="K3532" t="s">
        <v>87</v>
      </c>
      <c r="L3532" t="s">
        <v>11</v>
      </c>
      <c r="M3532" t="s">
        <v>6</v>
      </c>
      <c r="N3532" t="b">
        <v>0</v>
      </c>
      <c r="O3532">
        <v>0</v>
      </c>
      <c r="P3532">
        <v>1</v>
      </c>
      <c r="Q3532">
        <v>0</v>
      </c>
      <c r="R3532">
        <v>0</v>
      </c>
    </row>
    <row r="3533" spans="1:18" x14ac:dyDescent="0.25">
      <c r="A3533" t="s">
        <v>11</v>
      </c>
      <c r="B3533" t="s">
        <v>6</v>
      </c>
      <c r="C3533">
        <v>4</v>
      </c>
      <c r="D3533">
        <v>5</v>
      </c>
      <c r="E3533">
        <v>1</v>
      </c>
      <c r="F3533" s="15">
        <v>46104</v>
      </c>
      <c r="G3533" t="s">
        <v>443</v>
      </c>
      <c r="H3533">
        <v>4</v>
      </c>
      <c r="I3533">
        <v>2026</v>
      </c>
      <c r="J3533">
        <v>3</v>
      </c>
      <c r="K3533" t="s">
        <v>87</v>
      </c>
      <c r="L3533" t="s">
        <v>17</v>
      </c>
      <c r="M3533" t="s">
        <v>6</v>
      </c>
      <c r="N3533" t="b">
        <v>0</v>
      </c>
      <c r="O3533">
        <v>0</v>
      </c>
      <c r="P3533">
        <v>1</v>
      </c>
      <c r="Q3533">
        <v>0</v>
      </c>
      <c r="R3533">
        <v>0</v>
      </c>
    </row>
    <row r="3534" spans="1:18" x14ac:dyDescent="0.25">
      <c r="A3534" t="s">
        <v>11</v>
      </c>
      <c r="B3534" t="s">
        <v>6</v>
      </c>
      <c r="C3534">
        <v>4</v>
      </c>
      <c r="D3534">
        <v>5</v>
      </c>
      <c r="E3534">
        <v>1</v>
      </c>
      <c r="F3534" s="15">
        <v>46104</v>
      </c>
      <c r="G3534" t="s">
        <v>443</v>
      </c>
      <c r="H3534">
        <v>4</v>
      </c>
      <c r="I3534">
        <v>2026</v>
      </c>
      <c r="J3534">
        <v>3</v>
      </c>
      <c r="K3534" t="s">
        <v>87</v>
      </c>
      <c r="L3534" t="s">
        <v>325</v>
      </c>
      <c r="M3534" t="s">
        <v>8</v>
      </c>
      <c r="N3534" t="b">
        <v>0</v>
      </c>
      <c r="O3534">
        <v>0</v>
      </c>
      <c r="P3534">
        <v>1</v>
      </c>
      <c r="Q3534">
        <v>0</v>
      </c>
      <c r="R3534">
        <v>1</v>
      </c>
    </row>
    <row r="3535" spans="1:18" x14ac:dyDescent="0.25">
      <c r="A3535" t="s">
        <v>11</v>
      </c>
      <c r="B3535" t="s">
        <v>6</v>
      </c>
      <c r="C3535">
        <v>4</v>
      </c>
      <c r="D3535">
        <v>5</v>
      </c>
      <c r="E3535">
        <v>1</v>
      </c>
      <c r="F3535" s="15">
        <v>46104</v>
      </c>
      <c r="G3535" t="s">
        <v>443</v>
      </c>
      <c r="H3535">
        <v>4</v>
      </c>
      <c r="I3535">
        <v>2026</v>
      </c>
      <c r="J3535">
        <v>3</v>
      </c>
      <c r="K3535" t="s">
        <v>87</v>
      </c>
      <c r="L3535" t="s">
        <v>51</v>
      </c>
      <c r="M3535" t="s">
        <v>6</v>
      </c>
      <c r="N3535" t="b">
        <v>0</v>
      </c>
      <c r="O3535">
        <v>0</v>
      </c>
      <c r="P3535">
        <v>1</v>
      </c>
      <c r="Q3535">
        <v>0</v>
      </c>
      <c r="R3535">
        <v>0</v>
      </c>
    </row>
    <row r="3536" spans="1:18" x14ac:dyDescent="0.25">
      <c r="A3536" t="s">
        <v>434</v>
      </c>
      <c r="B3536" t="s">
        <v>6</v>
      </c>
      <c r="C3536">
        <v>1</v>
      </c>
      <c r="D3536">
        <v>6</v>
      </c>
      <c r="E3536">
        <v>1</v>
      </c>
      <c r="F3536" s="15">
        <v>46104</v>
      </c>
      <c r="G3536" t="s">
        <v>444</v>
      </c>
      <c r="H3536">
        <v>4</v>
      </c>
      <c r="I3536">
        <v>2026</v>
      </c>
      <c r="J3536">
        <v>3</v>
      </c>
      <c r="K3536" t="s">
        <v>87</v>
      </c>
      <c r="L3536" t="s">
        <v>10</v>
      </c>
      <c r="M3536" t="s">
        <v>8</v>
      </c>
      <c r="N3536" t="b">
        <v>0</v>
      </c>
      <c r="O3536">
        <v>0</v>
      </c>
      <c r="P3536">
        <v>1</v>
      </c>
      <c r="Q3536">
        <v>0</v>
      </c>
      <c r="R3536">
        <v>1</v>
      </c>
    </row>
    <row r="3537" spans="1:18" x14ac:dyDescent="0.25">
      <c r="A3537" t="s">
        <v>434</v>
      </c>
      <c r="B3537" t="s">
        <v>6</v>
      </c>
      <c r="C3537">
        <v>1</v>
      </c>
      <c r="D3537">
        <v>6</v>
      </c>
      <c r="E3537">
        <v>1</v>
      </c>
      <c r="F3537" s="15">
        <v>46104</v>
      </c>
      <c r="G3537" t="s">
        <v>444</v>
      </c>
      <c r="H3537">
        <v>4</v>
      </c>
      <c r="I3537">
        <v>2026</v>
      </c>
      <c r="J3537">
        <v>3</v>
      </c>
      <c r="K3537" t="s">
        <v>87</v>
      </c>
      <c r="L3537" t="s">
        <v>364</v>
      </c>
      <c r="M3537" t="s">
        <v>6</v>
      </c>
      <c r="N3537" t="b">
        <v>0</v>
      </c>
      <c r="O3537">
        <v>0</v>
      </c>
      <c r="P3537">
        <v>1</v>
      </c>
      <c r="Q3537">
        <v>0</v>
      </c>
      <c r="R3537">
        <v>0</v>
      </c>
    </row>
    <row r="3538" spans="1:18" x14ac:dyDescent="0.25">
      <c r="A3538" t="s">
        <v>434</v>
      </c>
      <c r="B3538" t="s">
        <v>6</v>
      </c>
      <c r="C3538">
        <v>1</v>
      </c>
      <c r="D3538">
        <v>6</v>
      </c>
      <c r="E3538">
        <v>1</v>
      </c>
      <c r="F3538" s="15">
        <v>46104</v>
      </c>
      <c r="G3538" t="s">
        <v>444</v>
      </c>
      <c r="H3538">
        <v>4</v>
      </c>
      <c r="I3538">
        <v>2026</v>
      </c>
      <c r="J3538">
        <v>3</v>
      </c>
      <c r="K3538" t="s">
        <v>87</v>
      </c>
      <c r="L3538" t="s">
        <v>41</v>
      </c>
      <c r="M3538" t="s">
        <v>6</v>
      </c>
      <c r="N3538" t="b">
        <v>0</v>
      </c>
      <c r="O3538">
        <v>0</v>
      </c>
      <c r="P3538">
        <v>1</v>
      </c>
      <c r="Q3538">
        <v>0</v>
      </c>
      <c r="R3538">
        <v>0</v>
      </c>
    </row>
    <row r="3539" spans="1:18" x14ac:dyDescent="0.25">
      <c r="A3539" t="s">
        <v>10</v>
      </c>
      <c r="B3539" t="s">
        <v>8</v>
      </c>
      <c r="C3539">
        <v>2</v>
      </c>
      <c r="D3539">
        <v>6</v>
      </c>
      <c r="E3539">
        <v>1</v>
      </c>
      <c r="F3539" s="15">
        <v>46104</v>
      </c>
      <c r="G3539" t="s">
        <v>444</v>
      </c>
      <c r="H3539">
        <v>4</v>
      </c>
      <c r="I3539">
        <v>2026</v>
      </c>
      <c r="J3539">
        <v>3</v>
      </c>
      <c r="K3539" t="s">
        <v>87</v>
      </c>
      <c r="L3539" t="s">
        <v>434</v>
      </c>
      <c r="M3539" t="s">
        <v>6</v>
      </c>
      <c r="N3539" t="b">
        <v>0</v>
      </c>
      <c r="O3539">
        <v>1</v>
      </c>
      <c r="P3539">
        <v>0</v>
      </c>
      <c r="Q3539">
        <v>0</v>
      </c>
      <c r="R3539">
        <v>0</v>
      </c>
    </row>
    <row r="3540" spans="1:18" x14ac:dyDescent="0.25">
      <c r="A3540" t="s">
        <v>10</v>
      </c>
      <c r="B3540" t="s">
        <v>8</v>
      </c>
      <c r="C3540">
        <v>2</v>
      </c>
      <c r="D3540">
        <v>6</v>
      </c>
      <c r="E3540">
        <v>1</v>
      </c>
      <c r="F3540" s="15">
        <v>46104</v>
      </c>
      <c r="G3540" t="s">
        <v>444</v>
      </c>
      <c r="H3540">
        <v>4</v>
      </c>
      <c r="I3540">
        <v>2026</v>
      </c>
      <c r="J3540">
        <v>3</v>
      </c>
      <c r="K3540" t="s">
        <v>87</v>
      </c>
      <c r="L3540" t="s">
        <v>364</v>
      </c>
      <c r="M3540" t="s">
        <v>6</v>
      </c>
      <c r="N3540" t="b">
        <v>0</v>
      </c>
      <c r="O3540">
        <v>1</v>
      </c>
      <c r="P3540">
        <v>0</v>
      </c>
      <c r="Q3540">
        <v>0</v>
      </c>
      <c r="R3540">
        <v>0</v>
      </c>
    </row>
    <row r="3541" spans="1:18" x14ac:dyDescent="0.25">
      <c r="A3541" t="s">
        <v>10</v>
      </c>
      <c r="B3541" t="s">
        <v>8</v>
      </c>
      <c r="C3541">
        <v>2</v>
      </c>
      <c r="D3541">
        <v>6</v>
      </c>
      <c r="E3541">
        <v>1</v>
      </c>
      <c r="F3541" s="15">
        <v>46104</v>
      </c>
      <c r="G3541" t="s">
        <v>444</v>
      </c>
      <c r="H3541">
        <v>4</v>
      </c>
      <c r="I3541">
        <v>2026</v>
      </c>
      <c r="J3541">
        <v>3</v>
      </c>
      <c r="K3541" t="s">
        <v>87</v>
      </c>
      <c r="L3541" t="s">
        <v>41</v>
      </c>
      <c r="M3541" t="s">
        <v>6</v>
      </c>
      <c r="N3541" t="b">
        <v>0</v>
      </c>
      <c r="O3541">
        <v>1</v>
      </c>
      <c r="P3541">
        <v>0</v>
      </c>
      <c r="Q3541">
        <v>0</v>
      </c>
      <c r="R3541">
        <v>0</v>
      </c>
    </row>
    <row r="3542" spans="1:18" x14ac:dyDescent="0.25">
      <c r="A3542" t="s">
        <v>364</v>
      </c>
      <c r="B3542" t="s">
        <v>6</v>
      </c>
      <c r="C3542">
        <v>3</v>
      </c>
      <c r="D3542">
        <v>6</v>
      </c>
      <c r="E3542">
        <v>1</v>
      </c>
      <c r="F3542" s="15">
        <v>46104</v>
      </c>
      <c r="G3542" t="s">
        <v>444</v>
      </c>
      <c r="H3542">
        <v>4</v>
      </c>
      <c r="I3542">
        <v>2026</v>
      </c>
      <c r="J3542">
        <v>3</v>
      </c>
      <c r="K3542" t="s">
        <v>87</v>
      </c>
      <c r="L3542" t="s">
        <v>434</v>
      </c>
      <c r="M3542" t="s">
        <v>6</v>
      </c>
      <c r="N3542" t="b">
        <v>0</v>
      </c>
      <c r="O3542">
        <v>0</v>
      </c>
      <c r="P3542">
        <v>1</v>
      </c>
      <c r="Q3542">
        <v>0</v>
      </c>
      <c r="R3542">
        <v>0</v>
      </c>
    </row>
    <row r="3543" spans="1:18" x14ac:dyDescent="0.25">
      <c r="A3543" t="s">
        <v>364</v>
      </c>
      <c r="B3543" t="s">
        <v>6</v>
      </c>
      <c r="C3543">
        <v>3</v>
      </c>
      <c r="D3543">
        <v>6</v>
      </c>
      <c r="E3543">
        <v>1</v>
      </c>
      <c r="F3543" s="15">
        <v>46104</v>
      </c>
      <c r="G3543" t="s">
        <v>444</v>
      </c>
      <c r="H3543">
        <v>4</v>
      </c>
      <c r="I3543">
        <v>2026</v>
      </c>
      <c r="J3543">
        <v>3</v>
      </c>
      <c r="K3543" t="s">
        <v>87</v>
      </c>
      <c r="L3543" t="s">
        <v>10</v>
      </c>
      <c r="M3543" t="s">
        <v>8</v>
      </c>
      <c r="N3543" t="b">
        <v>0</v>
      </c>
      <c r="O3543">
        <v>0</v>
      </c>
      <c r="P3543">
        <v>1</v>
      </c>
      <c r="Q3543">
        <v>0</v>
      </c>
      <c r="R3543">
        <v>1</v>
      </c>
    </row>
    <row r="3544" spans="1:18" x14ac:dyDescent="0.25">
      <c r="A3544" t="s">
        <v>364</v>
      </c>
      <c r="B3544" t="s">
        <v>6</v>
      </c>
      <c r="C3544">
        <v>3</v>
      </c>
      <c r="D3544">
        <v>6</v>
      </c>
      <c r="E3544">
        <v>1</v>
      </c>
      <c r="F3544" s="15">
        <v>46104</v>
      </c>
      <c r="G3544" t="s">
        <v>444</v>
      </c>
      <c r="H3544">
        <v>4</v>
      </c>
      <c r="I3544">
        <v>2026</v>
      </c>
      <c r="J3544">
        <v>3</v>
      </c>
      <c r="K3544" t="s">
        <v>87</v>
      </c>
      <c r="L3544" t="s">
        <v>41</v>
      </c>
      <c r="M3544" t="s">
        <v>6</v>
      </c>
      <c r="N3544" t="b">
        <v>0</v>
      </c>
      <c r="O3544">
        <v>0</v>
      </c>
      <c r="P3544">
        <v>1</v>
      </c>
      <c r="Q3544">
        <v>0</v>
      </c>
      <c r="R3544">
        <v>0</v>
      </c>
    </row>
    <row r="3545" spans="1:18" x14ac:dyDescent="0.25">
      <c r="A3545" t="s">
        <v>41</v>
      </c>
      <c r="B3545" t="s">
        <v>6</v>
      </c>
      <c r="C3545">
        <v>4</v>
      </c>
      <c r="D3545">
        <v>6</v>
      </c>
      <c r="E3545">
        <v>1</v>
      </c>
      <c r="F3545" s="15">
        <v>46104</v>
      </c>
      <c r="G3545" t="s">
        <v>444</v>
      </c>
      <c r="H3545">
        <v>4</v>
      </c>
      <c r="I3545">
        <v>2026</v>
      </c>
      <c r="J3545">
        <v>3</v>
      </c>
      <c r="K3545" t="s">
        <v>87</v>
      </c>
      <c r="L3545" t="s">
        <v>434</v>
      </c>
      <c r="M3545" t="s">
        <v>6</v>
      </c>
      <c r="N3545" t="b">
        <v>0</v>
      </c>
      <c r="O3545">
        <v>0</v>
      </c>
      <c r="P3545">
        <v>1</v>
      </c>
      <c r="Q3545">
        <v>0</v>
      </c>
      <c r="R3545">
        <v>0</v>
      </c>
    </row>
    <row r="3546" spans="1:18" x14ac:dyDescent="0.25">
      <c r="A3546" t="s">
        <v>41</v>
      </c>
      <c r="B3546" t="s">
        <v>6</v>
      </c>
      <c r="C3546">
        <v>4</v>
      </c>
      <c r="D3546">
        <v>6</v>
      </c>
      <c r="E3546">
        <v>1</v>
      </c>
      <c r="F3546" s="15">
        <v>46104</v>
      </c>
      <c r="G3546" t="s">
        <v>444</v>
      </c>
      <c r="H3546">
        <v>4</v>
      </c>
      <c r="I3546">
        <v>2026</v>
      </c>
      <c r="J3546">
        <v>3</v>
      </c>
      <c r="K3546" t="s">
        <v>87</v>
      </c>
      <c r="L3546" t="s">
        <v>10</v>
      </c>
      <c r="M3546" t="s">
        <v>8</v>
      </c>
      <c r="N3546" t="b">
        <v>0</v>
      </c>
      <c r="O3546">
        <v>0</v>
      </c>
      <c r="P3546">
        <v>1</v>
      </c>
      <c r="Q3546">
        <v>0</v>
      </c>
      <c r="R3546">
        <v>1</v>
      </c>
    </row>
    <row r="3547" spans="1:18" x14ac:dyDescent="0.25">
      <c r="A3547" t="s">
        <v>41</v>
      </c>
      <c r="B3547" t="s">
        <v>6</v>
      </c>
      <c r="C3547">
        <v>4</v>
      </c>
      <c r="D3547">
        <v>6</v>
      </c>
      <c r="E3547">
        <v>1</v>
      </c>
      <c r="F3547" s="15">
        <v>46104</v>
      </c>
      <c r="G3547" t="s">
        <v>444</v>
      </c>
      <c r="H3547">
        <v>4</v>
      </c>
      <c r="I3547">
        <v>2026</v>
      </c>
      <c r="J3547">
        <v>3</v>
      </c>
      <c r="K3547" t="s">
        <v>87</v>
      </c>
      <c r="L3547" t="s">
        <v>364</v>
      </c>
      <c r="M3547" t="s">
        <v>6</v>
      </c>
      <c r="N3547" t="b">
        <v>0</v>
      </c>
      <c r="O3547">
        <v>0</v>
      </c>
      <c r="P3547">
        <v>1</v>
      </c>
      <c r="Q3547">
        <v>0</v>
      </c>
      <c r="R3547">
        <v>0</v>
      </c>
    </row>
    <row r="3548" spans="1:18" x14ac:dyDescent="0.25">
      <c r="A3548" t="s">
        <v>19</v>
      </c>
      <c r="B3548" t="s">
        <v>8</v>
      </c>
      <c r="C3548">
        <v>1</v>
      </c>
      <c r="D3548">
        <v>1</v>
      </c>
      <c r="E3548">
        <v>2</v>
      </c>
      <c r="F3548" s="15">
        <v>46104</v>
      </c>
      <c r="G3548" t="s">
        <v>445</v>
      </c>
      <c r="H3548">
        <v>4</v>
      </c>
      <c r="I3548">
        <v>2026</v>
      </c>
      <c r="J3548">
        <v>3</v>
      </c>
      <c r="K3548" t="s">
        <v>87</v>
      </c>
      <c r="L3548" t="s">
        <v>17</v>
      </c>
      <c r="M3548" t="s">
        <v>6</v>
      </c>
      <c r="N3548" t="b">
        <v>0</v>
      </c>
      <c r="O3548">
        <v>1</v>
      </c>
      <c r="P3548">
        <v>0</v>
      </c>
      <c r="Q3548">
        <v>0</v>
      </c>
      <c r="R3548">
        <v>0</v>
      </c>
    </row>
    <row r="3549" spans="1:18" x14ac:dyDescent="0.25">
      <c r="A3549" t="s">
        <v>19</v>
      </c>
      <c r="B3549" t="s">
        <v>8</v>
      </c>
      <c r="C3549">
        <v>1</v>
      </c>
      <c r="D3549">
        <v>1</v>
      </c>
      <c r="E3549">
        <v>2</v>
      </c>
      <c r="F3549" s="15">
        <v>46104</v>
      </c>
      <c r="G3549" t="s">
        <v>445</v>
      </c>
      <c r="H3549">
        <v>4</v>
      </c>
      <c r="I3549">
        <v>2026</v>
      </c>
      <c r="J3549">
        <v>3</v>
      </c>
      <c r="K3549" t="s">
        <v>87</v>
      </c>
      <c r="L3549" t="s">
        <v>322</v>
      </c>
      <c r="M3549" t="s">
        <v>6</v>
      </c>
      <c r="N3549" t="b">
        <v>0</v>
      </c>
      <c r="O3549">
        <v>1</v>
      </c>
      <c r="P3549">
        <v>0</v>
      </c>
      <c r="Q3549">
        <v>0</v>
      </c>
      <c r="R3549">
        <v>0</v>
      </c>
    </row>
    <row r="3550" spans="1:18" x14ac:dyDescent="0.25">
      <c r="A3550" t="s">
        <v>19</v>
      </c>
      <c r="B3550" t="s">
        <v>8</v>
      </c>
      <c r="C3550">
        <v>1</v>
      </c>
      <c r="D3550">
        <v>1</v>
      </c>
      <c r="E3550">
        <v>2</v>
      </c>
      <c r="F3550" s="15">
        <v>46104</v>
      </c>
      <c r="G3550" t="s">
        <v>445</v>
      </c>
      <c r="H3550">
        <v>4</v>
      </c>
      <c r="I3550">
        <v>2026</v>
      </c>
      <c r="J3550">
        <v>3</v>
      </c>
      <c r="K3550" t="s">
        <v>87</v>
      </c>
      <c r="L3550" t="s">
        <v>10</v>
      </c>
      <c r="M3550" t="s">
        <v>6</v>
      </c>
      <c r="N3550" t="b">
        <v>0</v>
      </c>
      <c r="O3550">
        <v>1</v>
      </c>
      <c r="P3550">
        <v>0</v>
      </c>
      <c r="Q3550">
        <v>0</v>
      </c>
      <c r="R3550">
        <v>0</v>
      </c>
    </row>
    <row r="3551" spans="1:18" x14ac:dyDescent="0.25">
      <c r="A3551" t="s">
        <v>17</v>
      </c>
      <c r="B3551" t="s">
        <v>6</v>
      </c>
      <c r="C3551">
        <v>2</v>
      </c>
      <c r="D3551">
        <v>1</v>
      </c>
      <c r="E3551">
        <v>2</v>
      </c>
      <c r="F3551" s="15">
        <v>46104</v>
      </c>
      <c r="G3551" t="s">
        <v>445</v>
      </c>
      <c r="H3551">
        <v>4</v>
      </c>
      <c r="I3551">
        <v>2026</v>
      </c>
      <c r="J3551">
        <v>3</v>
      </c>
      <c r="K3551" t="s">
        <v>87</v>
      </c>
      <c r="L3551" t="s">
        <v>19</v>
      </c>
      <c r="M3551" t="s">
        <v>8</v>
      </c>
      <c r="N3551" t="b">
        <v>0</v>
      </c>
      <c r="O3551">
        <v>0</v>
      </c>
      <c r="P3551">
        <v>1</v>
      </c>
      <c r="Q3551">
        <v>0</v>
      </c>
      <c r="R3551">
        <v>1</v>
      </c>
    </row>
    <row r="3552" spans="1:18" x14ac:dyDescent="0.25">
      <c r="A3552" t="s">
        <v>17</v>
      </c>
      <c r="B3552" t="s">
        <v>6</v>
      </c>
      <c r="C3552">
        <v>2</v>
      </c>
      <c r="D3552">
        <v>1</v>
      </c>
      <c r="E3552">
        <v>2</v>
      </c>
      <c r="F3552" s="15">
        <v>46104</v>
      </c>
      <c r="G3552" t="s">
        <v>445</v>
      </c>
      <c r="H3552">
        <v>4</v>
      </c>
      <c r="I3552">
        <v>2026</v>
      </c>
      <c r="J3552">
        <v>3</v>
      </c>
      <c r="K3552" t="s">
        <v>87</v>
      </c>
      <c r="L3552" t="s">
        <v>322</v>
      </c>
      <c r="M3552" t="s">
        <v>6</v>
      </c>
      <c r="N3552" t="b">
        <v>0</v>
      </c>
      <c r="O3552">
        <v>0</v>
      </c>
      <c r="P3552">
        <v>1</v>
      </c>
      <c r="Q3552">
        <v>0</v>
      </c>
      <c r="R3552">
        <v>0</v>
      </c>
    </row>
    <row r="3553" spans="1:18" x14ac:dyDescent="0.25">
      <c r="A3553" t="s">
        <v>17</v>
      </c>
      <c r="B3553" t="s">
        <v>6</v>
      </c>
      <c r="C3553">
        <v>2</v>
      </c>
      <c r="D3553">
        <v>1</v>
      </c>
      <c r="E3553">
        <v>2</v>
      </c>
      <c r="F3553" s="15">
        <v>46104</v>
      </c>
      <c r="G3553" t="s">
        <v>445</v>
      </c>
      <c r="H3553">
        <v>4</v>
      </c>
      <c r="I3553">
        <v>2026</v>
      </c>
      <c r="J3553">
        <v>3</v>
      </c>
      <c r="K3553" t="s">
        <v>87</v>
      </c>
      <c r="L3553" t="s">
        <v>10</v>
      </c>
      <c r="M3553" t="s">
        <v>6</v>
      </c>
      <c r="N3553" t="b">
        <v>0</v>
      </c>
      <c r="O3553">
        <v>0</v>
      </c>
      <c r="P3553">
        <v>1</v>
      </c>
      <c r="Q3553">
        <v>0</v>
      </c>
      <c r="R3553">
        <v>0</v>
      </c>
    </row>
    <row r="3554" spans="1:18" x14ac:dyDescent="0.25">
      <c r="A3554" t="s">
        <v>322</v>
      </c>
      <c r="B3554" t="s">
        <v>6</v>
      </c>
      <c r="C3554">
        <v>3</v>
      </c>
      <c r="D3554">
        <v>1</v>
      </c>
      <c r="E3554">
        <v>2</v>
      </c>
      <c r="F3554" s="15">
        <v>46104</v>
      </c>
      <c r="G3554" t="s">
        <v>445</v>
      </c>
      <c r="H3554">
        <v>4</v>
      </c>
      <c r="I3554">
        <v>2026</v>
      </c>
      <c r="J3554">
        <v>3</v>
      </c>
      <c r="K3554" t="s">
        <v>87</v>
      </c>
      <c r="L3554" t="s">
        <v>19</v>
      </c>
      <c r="M3554" t="s">
        <v>8</v>
      </c>
      <c r="N3554" t="b">
        <v>0</v>
      </c>
      <c r="O3554">
        <v>0</v>
      </c>
      <c r="P3554">
        <v>1</v>
      </c>
      <c r="Q3554">
        <v>0</v>
      </c>
      <c r="R3554">
        <v>1</v>
      </c>
    </row>
    <row r="3555" spans="1:18" x14ac:dyDescent="0.25">
      <c r="A3555" t="s">
        <v>322</v>
      </c>
      <c r="B3555" t="s">
        <v>6</v>
      </c>
      <c r="C3555">
        <v>3</v>
      </c>
      <c r="D3555">
        <v>1</v>
      </c>
      <c r="E3555">
        <v>2</v>
      </c>
      <c r="F3555" s="15">
        <v>46104</v>
      </c>
      <c r="G3555" t="s">
        <v>445</v>
      </c>
      <c r="H3555">
        <v>4</v>
      </c>
      <c r="I3555">
        <v>2026</v>
      </c>
      <c r="J3555">
        <v>3</v>
      </c>
      <c r="K3555" t="s">
        <v>87</v>
      </c>
      <c r="L3555" t="s">
        <v>17</v>
      </c>
      <c r="M3555" t="s">
        <v>6</v>
      </c>
      <c r="N3555" t="b">
        <v>0</v>
      </c>
      <c r="O3555">
        <v>0</v>
      </c>
      <c r="P3555">
        <v>1</v>
      </c>
      <c r="Q3555">
        <v>0</v>
      </c>
      <c r="R3555">
        <v>0</v>
      </c>
    </row>
    <row r="3556" spans="1:18" x14ac:dyDescent="0.25">
      <c r="A3556" t="s">
        <v>322</v>
      </c>
      <c r="B3556" t="s">
        <v>6</v>
      </c>
      <c r="C3556">
        <v>3</v>
      </c>
      <c r="D3556">
        <v>1</v>
      </c>
      <c r="E3556">
        <v>2</v>
      </c>
      <c r="F3556" s="15">
        <v>46104</v>
      </c>
      <c r="G3556" t="s">
        <v>445</v>
      </c>
      <c r="H3556">
        <v>4</v>
      </c>
      <c r="I3556">
        <v>2026</v>
      </c>
      <c r="J3556">
        <v>3</v>
      </c>
      <c r="K3556" t="s">
        <v>87</v>
      </c>
      <c r="L3556" t="s">
        <v>10</v>
      </c>
      <c r="M3556" t="s">
        <v>6</v>
      </c>
      <c r="N3556" t="b">
        <v>0</v>
      </c>
      <c r="O3556">
        <v>0</v>
      </c>
      <c r="P3556">
        <v>1</v>
      </c>
      <c r="Q3556">
        <v>0</v>
      </c>
      <c r="R3556">
        <v>0</v>
      </c>
    </row>
    <row r="3557" spans="1:18" x14ac:dyDescent="0.25">
      <c r="A3557" t="s">
        <v>10</v>
      </c>
      <c r="B3557" t="s">
        <v>6</v>
      </c>
      <c r="C3557">
        <v>4</v>
      </c>
      <c r="D3557">
        <v>1</v>
      </c>
      <c r="E3557">
        <v>2</v>
      </c>
      <c r="F3557" s="15">
        <v>46104</v>
      </c>
      <c r="G3557" t="s">
        <v>445</v>
      </c>
      <c r="H3557">
        <v>4</v>
      </c>
      <c r="I3557">
        <v>2026</v>
      </c>
      <c r="J3557">
        <v>3</v>
      </c>
      <c r="K3557" t="s">
        <v>87</v>
      </c>
      <c r="L3557" t="s">
        <v>19</v>
      </c>
      <c r="M3557" t="s">
        <v>8</v>
      </c>
      <c r="N3557" t="b">
        <v>0</v>
      </c>
      <c r="O3557">
        <v>0</v>
      </c>
      <c r="P3557">
        <v>1</v>
      </c>
      <c r="Q3557">
        <v>0</v>
      </c>
      <c r="R3557">
        <v>1</v>
      </c>
    </row>
    <row r="3558" spans="1:18" x14ac:dyDescent="0.25">
      <c r="A3558" t="s">
        <v>10</v>
      </c>
      <c r="B3558" t="s">
        <v>6</v>
      </c>
      <c r="C3558">
        <v>4</v>
      </c>
      <c r="D3558">
        <v>1</v>
      </c>
      <c r="E3558">
        <v>2</v>
      </c>
      <c r="F3558" s="15">
        <v>46104</v>
      </c>
      <c r="G3558" t="s">
        <v>445</v>
      </c>
      <c r="H3558">
        <v>4</v>
      </c>
      <c r="I3558">
        <v>2026</v>
      </c>
      <c r="J3558">
        <v>3</v>
      </c>
      <c r="K3558" t="s">
        <v>87</v>
      </c>
      <c r="L3558" t="s">
        <v>17</v>
      </c>
      <c r="M3558" t="s">
        <v>6</v>
      </c>
      <c r="N3558" t="b">
        <v>0</v>
      </c>
      <c r="O3558">
        <v>0</v>
      </c>
      <c r="P3558">
        <v>1</v>
      </c>
      <c r="Q3558">
        <v>0</v>
      </c>
      <c r="R3558">
        <v>0</v>
      </c>
    </row>
    <row r="3559" spans="1:18" x14ac:dyDescent="0.25">
      <c r="A3559" t="s">
        <v>10</v>
      </c>
      <c r="B3559" t="s">
        <v>6</v>
      </c>
      <c r="C3559">
        <v>4</v>
      </c>
      <c r="D3559">
        <v>1</v>
      </c>
      <c r="E3559">
        <v>2</v>
      </c>
      <c r="F3559" s="15">
        <v>46104</v>
      </c>
      <c r="G3559" t="s">
        <v>445</v>
      </c>
      <c r="H3559">
        <v>4</v>
      </c>
      <c r="I3559">
        <v>2026</v>
      </c>
      <c r="J3559">
        <v>3</v>
      </c>
      <c r="K3559" t="s">
        <v>87</v>
      </c>
      <c r="L3559" t="s">
        <v>322</v>
      </c>
      <c r="M3559" t="s">
        <v>6</v>
      </c>
      <c r="N3559" t="b">
        <v>0</v>
      </c>
      <c r="O3559">
        <v>0</v>
      </c>
      <c r="P3559">
        <v>1</v>
      </c>
      <c r="Q3559">
        <v>0</v>
      </c>
      <c r="R3559">
        <v>0</v>
      </c>
    </row>
    <row r="3560" spans="1:18" x14ac:dyDescent="0.25">
      <c r="A3560" t="s">
        <v>15</v>
      </c>
      <c r="B3560" t="s">
        <v>63</v>
      </c>
      <c r="C3560">
        <v>1</v>
      </c>
      <c r="D3560">
        <v>2</v>
      </c>
      <c r="E3560">
        <v>2</v>
      </c>
      <c r="F3560" s="15">
        <v>46104</v>
      </c>
      <c r="G3560" t="s">
        <v>446</v>
      </c>
      <c r="H3560">
        <v>4</v>
      </c>
      <c r="I3560">
        <v>2026</v>
      </c>
      <c r="J3560">
        <v>3</v>
      </c>
      <c r="K3560" t="s">
        <v>87</v>
      </c>
      <c r="L3560" t="s">
        <v>434</v>
      </c>
      <c r="M3560" t="s">
        <v>63</v>
      </c>
      <c r="N3560" t="b">
        <v>0</v>
      </c>
      <c r="O3560">
        <v>0</v>
      </c>
      <c r="P3560">
        <v>0</v>
      </c>
      <c r="Q3560">
        <v>1</v>
      </c>
      <c r="R3560">
        <v>0</v>
      </c>
    </row>
    <row r="3561" spans="1:18" x14ac:dyDescent="0.25">
      <c r="A3561" t="s">
        <v>15</v>
      </c>
      <c r="B3561" t="s">
        <v>63</v>
      </c>
      <c r="C3561">
        <v>1</v>
      </c>
      <c r="D3561">
        <v>2</v>
      </c>
      <c r="E3561">
        <v>2</v>
      </c>
      <c r="F3561" s="15">
        <v>46104</v>
      </c>
      <c r="G3561" t="s">
        <v>446</v>
      </c>
      <c r="H3561">
        <v>4</v>
      </c>
      <c r="I3561">
        <v>2026</v>
      </c>
      <c r="J3561">
        <v>3</v>
      </c>
      <c r="K3561" t="s">
        <v>87</v>
      </c>
      <c r="L3561" t="s">
        <v>51</v>
      </c>
      <c r="M3561" t="s">
        <v>63</v>
      </c>
      <c r="N3561" t="b">
        <v>0</v>
      </c>
      <c r="O3561">
        <v>0</v>
      </c>
      <c r="P3561">
        <v>0</v>
      </c>
      <c r="Q3561">
        <v>1</v>
      </c>
      <c r="R3561">
        <v>0</v>
      </c>
    </row>
    <row r="3562" spans="1:18" x14ac:dyDescent="0.25">
      <c r="A3562" t="s">
        <v>15</v>
      </c>
      <c r="B3562" t="s">
        <v>63</v>
      </c>
      <c r="C3562">
        <v>1</v>
      </c>
      <c r="D3562">
        <v>2</v>
      </c>
      <c r="E3562">
        <v>2</v>
      </c>
      <c r="F3562" s="15">
        <v>46104</v>
      </c>
      <c r="G3562" t="s">
        <v>446</v>
      </c>
      <c r="H3562">
        <v>4</v>
      </c>
      <c r="I3562">
        <v>2026</v>
      </c>
      <c r="J3562">
        <v>3</v>
      </c>
      <c r="K3562" t="s">
        <v>87</v>
      </c>
      <c r="L3562" t="s">
        <v>13</v>
      </c>
      <c r="M3562" t="s">
        <v>63</v>
      </c>
      <c r="N3562" t="b">
        <v>0</v>
      </c>
      <c r="O3562">
        <v>0</v>
      </c>
      <c r="P3562">
        <v>0</v>
      </c>
      <c r="Q3562">
        <v>1</v>
      </c>
      <c r="R3562">
        <v>0</v>
      </c>
    </row>
    <row r="3563" spans="1:18" x14ac:dyDescent="0.25">
      <c r="A3563" t="s">
        <v>434</v>
      </c>
      <c r="B3563" t="s">
        <v>63</v>
      </c>
      <c r="C3563">
        <v>2</v>
      </c>
      <c r="D3563">
        <v>2</v>
      </c>
      <c r="E3563">
        <v>2</v>
      </c>
      <c r="F3563" s="15">
        <v>46104</v>
      </c>
      <c r="G3563" t="s">
        <v>446</v>
      </c>
      <c r="H3563">
        <v>4</v>
      </c>
      <c r="I3563">
        <v>2026</v>
      </c>
      <c r="J3563">
        <v>3</v>
      </c>
      <c r="K3563" t="s">
        <v>87</v>
      </c>
      <c r="L3563" t="s">
        <v>15</v>
      </c>
      <c r="M3563" t="s">
        <v>63</v>
      </c>
      <c r="N3563" t="b">
        <v>0</v>
      </c>
      <c r="O3563">
        <v>0</v>
      </c>
      <c r="P3563">
        <v>0</v>
      </c>
      <c r="Q3563">
        <v>1</v>
      </c>
      <c r="R3563">
        <v>0</v>
      </c>
    </row>
    <row r="3564" spans="1:18" x14ac:dyDescent="0.25">
      <c r="A3564" t="s">
        <v>434</v>
      </c>
      <c r="B3564" t="s">
        <v>63</v>
      </c>
      <c r="C3564">
        <v>2</v>
      </c>
      <c r="D3564">
        <v>2</v>
      </c>
      <c r="E3564">
        <v>2</v>
      </c>
      <c r="F3564" s="15">
        <v>46104</v>
      </c>
      <c r="G3564" t="s">
        <v>446</v>
      </c>
      <c r="H3564">
        <v>4</v>
      </c>
      <c r="I3564">
        <v>2026</v>
      </c>
      <c r="J3564">
        <v>3</v>
      </c>
      <c r="K3564" t="s">
        <v>87</v>
      </c>
      <c r="L3564" t="s">
        <v>51</v>
      </c>
      <c r="M3564" t="s">
        <v>63</v>
      </c>
      <c r="N3564" t="b">
        <v>0</v>
      </c>
      <c r="O3564">
        <v>0</v>
      </c>
      <c r="P3564">
        <v>0</v>
      </c>
      <c r="Q3564">
        <v>1</v>
      </c>
      <c r="R3564">
        <v>0</v>
      </c>
    </row>
    <row r="3565" spans="1:18" x14ac:dyDescent="0.25">
      <c r="A3565" t="s">
        <v>434</v>
      </c>
      <c r="B3565" t="s">
        <v>63</v>
      </c>
      <c r="C3565">
        <v>2</v>
      </c>
      <c r="D3565">
        <v>2</v>
      </c>
      <c r="E3565">
        <v>2</v>
      </c>
      <c r="F3565" s="15">
        <v>46104</v>
      </c>
      <c r="G3565" t="s">
        <v>446</v>
      </c>
      <c r="H3565">
        <v>4</v>
      </c>
      <c r="I3565">
        <v>2026</v>
      </c>
      <c r="J3565">
        <v>3</v>
      </c>
      <c r="K3565" t="s">
        <v>87</v>
      </c>
      <c r="L3565" t="s">
        <v>13</v>
      </c>
      <c r="M3565" t="s">
        <v>63</v>
      </c>
      <c r="N3565" t="b">
        <v>0</v>
      </c>
      <c r="O3565">
        <v>0</v>
      </c>
      <c r="P3565">
        <v>0</v>
      </c>
      <c r="Q3565">
        <v>1</v>
      </c>
      <c r="R3565">
        <v>0</v>
      </c>
    </row>
    <row r="3566" spans="1:18" x14ac:dyDescent="0.25">
      <c r="A3566" t="s">
        <v>51</v>
      </c>
      <c r="B3566" t="s">
        <v>63</v>
      </c>
      <c r="C3566">
        <v>3</v>
      </c>
      <c r="D3566">
        <v>2</v>
      </c>
      <c r="E3566">
        <v>2</v>
      </c>
      <c r="F3566" s="15">
        <v>46104</v>
      </c>
      <c r="G3566" t="s">
        <v>446</v>
      </c>
      <c r="H3566">
        <v>4</v>
      </c>
      <c r="I3566">
        <v>2026</v>
      </c>
      <c r="J3566">
        <v>3</v>
      </c>
      <c r="K3566" t="s">
        <v>87</v>
      </c>
      <c r="L3566" t="s">
        <v>15</v>
      </c>
      <c r="M3566" t="s">
        <v>63</v>
      </c>
      <c r="N3566" t="b">
        <v>0</v>
      </c>
      <c r="O3566">
        <v>0</v>
      </c>
      <c r="P3566">
        <v>0</v>
      </c>
      <c r="Q3566">
        <v>1</v>
      </c>
      <c r="R3566">
        <v>0</v>
      </c>
    </row>
    <row r="3567" spans="1:18" x14ac:dyDescent="0.25">
      <c r="A3567" t="s">
        <v>51</v>
      </c>
      <c r="B3567" t="s">
        <v>63</v>
      </c>
      <c r="C3567">
        <v>3</v>
      </c>
      <c r="D3567">
        <v>2</v>
      </c>
      <c r="E3567">
        <v>2</v>
      </c>
      <c r="F3567" s="15">
        <v>46104</v>
      </c>
      <c r="G3567" t="s">
        <v>446</v>
      </c>
      <c r="H3567">
        <v>4</v>
      </c>
      <c r="I3567">
        <v>2026</v>
      </c>
      <c r="J3567">
        <v>3</v>
      </c>
      <c r="K3567" t="s">
        <v>87</v>
      </c>
      <c r="L3567" t="s">
        <v>434</v>
      </c>
      <c r="M3567" t="s">
        <v>63</v>
      </c>
      <c r="N3567" t="b">
        <v>0</v>
      </c>
      <c r="O3567">
        <v>0</v>
      </c>
      <c r="P3567">
        <v>0</v>
      </c>
      <c r="Q3567">
        <v>1</v>
      </c>
      <c r="R3567">
        <v>0</v>
      </c>
    </row>
    <row r="3568" spans="1:18" x14ac:dyDescent="0.25">
      <c r="A3568" t="s">
        <v>51</v>
      </c>
      <c r="B3568" t="s">
        <v>63</v>
      </c>
      <c r="C3568">
        <v>3</v>
      </c>
      <c r="D3568">
        <v>2</v>
      </c>
      <c r="E3568">
        <v>2</v>
      </c>
      <c r="F3568" s="15">
        <v>46104</v>
      </c>
      <c r="G3568" t="s">
        <v>446</v>
      </c>
      <c r="H3568">
        <v>4</v>
      </c>
      <c r="I3568">
        <v>2026</v>
      </c>
      <c r="J3568">
        <v>3</v>
      </c>
      <c r="K3568" t="s">
        <v>87</v>
      </c>
      <c r="L3568" t="s">
        <v>13</v>
      </c>
      <c r="M3568" t="s">
        <v>63</v>
      </c>
      <c r="N3568" t="b">
        <v>0</v>
      </c>
      <c r="O3568">
        <v>0</v>
      </c>
      <c r="P3568">
        <v>0</v>
      </c>
      <c r="Q3568">
        <v>1</v>
      </c>
      <c r="R3568">
        <v>0</v>
      </c>
    </row>
    <row r="3569" spans="1:18" x14ac:dyDescent="0.25">
      <c r="A3569" t="s">
        <v>13</v>
      </c>
      <c r="B3569" t="s">
        <v>63</v>
      </c>
      <c r="C3569">
        <v>4</v>
      </c>
      <c r="D3569">
        <v>2</v>
      </c>
      <c r="E3569">
        <v>2</v>
      </c>
      <c r="F3569" s="15">
        <v>46104</v>
      </c>
      <c r="G3569" t="s">
        <v>446</v>
      </c>
      <c r="H3569">
        <v>4</v>
      </c>
      <c r="I3569">
        <v>2026</v>
      </c>
      <c r="J3569">
        <v>3</v>
      </c>
      <c r="K3569" t="s">
        <v>87</v>
      </c>
      <c r="L3569" t="s">
        <v>15</v>
      </c>
      <c r="M3569" t="s">
        <v>63</v>
      </c>
      <c r="N3569" t="b">
        <v>0</v>
      </c>
      <c r="O3569">
        <v>0</v>
      </c>
      <c r="P3569">
        <v>0</v>
      </c>
      <c r="Q3569">
        <v>1</v>
      </c>
      <c r="R3569">
        <v>0</v>
      </c>
    </row>
    <row r="3570" spans="1:18" x14ac:dyDescent="0.25">
      <c r="A3570" t="s">
        <v>13</v>
      </c>
      <c r="B3570" t="s">
        <v>63</v>
      </c>
      <c r="C3570">
        <v>4</v>
      </c>
      <c r="D3570">
        <v>2</v>
      </c>
      <c r="E3570">
        <v>2</v>
      </c>
      <c r="F3570" s="15">
        <v>46104</v>
      </c>
      <c r="G3570" t="s">
        <v>446</v>
      </c>
      <c r="H3570">
        <v>4</v>
      </c>
      <c r="I3570">
        <v>2026</v>
      </c>
      <c r="J3570">
        <v>3</v>
      </c>
      <c r="K3570" t="s">
        <v>87</v>
      </c>
      <c r="L3570" t="s">
        <v>434</v>
      </c>
      <c r="M3570" t="s">
        <v>63</v>
      </c>
      <c r="N3570" t="b">
        <v>0</v>
      </c>
      <c r="O3570">
        <v>0</v>
      </c>
      <c r="P3570">
        <v>0</v>
      </c>
      <c r="Q3570">
        <v>1</v>
      </c>
      <c r="R3570">
        <v>0</v>
      </c>
    </row>
    <row r="3571" spans="1:18" x14ac:dyDescent="0.25">
      <c r="A3571" t="s">
        <v>13</v>
      </c>
      <c r="B3571" t="s">
        <v>63</v>
      </c>
      <c r="C3571">
        <v>4</v>
      </c>
      <c r="D3571">
        <v>2</v>
      </c>
      <c r="E3571">
        <v>2</v>
      </c>
      <c r="F3571" s="15">
        <v>46104</v>
      </c>
      <c r="G3571" t="s">
        <v>446</v>
      </c>
      <c r="H3571">
        <v>4</v>
      </c>
      <c r="I3571">
        <v>2026</v>
      </c>
      <c r="J3571">
        <v>3</v>
      </c>
      <c r="K3571" t="s">
        <v>87</v>
      </c>
      <c r="L3571" t="s">
        <v>51</v>
      </c>
      <c r="M3571" t="s">
        <v>63</v>
      </c>
      <c r="N3571" t="b">
        <v>0</v>
      </c>
      <c r="O3571">
        <v>0</v>
      </c>
      <c r="P3571">
        <v>0</v>
      </c>
      <c r="Q3571">
        <v>1</v>
      </c>
      <c r="R3571">
        <v>0</v>
      </c>
    </row>
    <row r="3572" spans="1:18" x14ac:dyDescent="0.25">
      <c r="A3572" t="s">
        <v>436</v>
      </c>
      <c r="B3572" t="s">
        <v>6</v>
      </c>
      <c r="C3572">
        <v>1</v>
      </c>
      <c r="D3572">
        <v>3</v>
      </c>
      <c r="E3572">
        <v>2</v>
      </c>
      <c r="F3572" s="15">
        <v>46104</v>
      </c>
      <c r="G3572" t="s">
        <v>447</v>
      </c>
      <c r="H3572">
        <v>4</v>
      </c>
      <c r="I3572">
        <v>2026</v>
      </c>
      <c r="J3572">
        <v>3</v>
      </c>
      <c r="K3572" t="s">
        <v>87</v>
      </c>
      <c r="L3572" t="s">
        <v>9</v>
      </c>
      <c r="M3572" t="s">
        <v>8</v>
      </c>
      <c r="N3572" t="b">
        <v>0</v>
      </c>
      <c r="O3572">
        <v>0</v>
      </c>
      <c r="P3572">
        <v>1</v>
      </c>
      <c r="Q3572">
        <v>0</v>
      </c>
      <c r="R3572">
        <v>1</v>
      </c>
    </row>
    <row r="3573" spans="1:18" x14ac:dyDescent="0.25">
      <c r="A3573" t="s">
        <v>436</v>
      </c>
      <c r="B3573" t="s">
        <v>6</v>
      </c>
      <c r="C3573">
        <v>1</v>
      </c>
      <c r="D3573">
        <v>3</v>
      </c>
      <c r="E3573">
        <v>2</v>
      </c>
      <c r="F3573" s="15">
        <v>46104</v>
      </c>
      <c r="G3573" t="s">
        <v>447</v>
      </c>
      <c r="H3573">
        <v>4</v>
      </c>
      <c r="I3573">
        <v>2026</v>
      </c>
      <c r="J3573">
        <v>3</v>
      </c>
      <c r="K3573" t="s">
        <v>87</v>
      </c>
      <c r="L3573" t="s">
        <v>364</v>
      </c>
      <c r="M3573" t="s">
        <v>6</v>
      </c>
      <c r="N3573" t="b">
        <v>0</v>
      </c>
      <c r="O3573">
        <v>0</v>
      </c>
      <c r="P3573">
        <v>1</v>
      </c>
      <c r="Q3573">
        <v>0</v>
      </c>
      <c r="R3573">
        <v>0</v>
      </c>
    </row>
    <row r="3574" spans="1:18" x14ac:dyDescent="0.25">
      <c r="A3574" t="s">
        <v>436</v>
      </c>
      <c r="B3574" t="s">
        <v>6</v>
      </c>
      <c r="C3574">
        <v>1</v>
      </c>
      <c r="D3574">
        <v>3</v>
      </c>
      <c r="E3574">
        <v>2</v>
      </c>
      <c r="F3574" s="15">
        <v>46104</v>
      </c>
      <c r="G3574" t="s">
        <v>447</v>
      </c>
      <c r="H3574">
        <v>4</v>
      </c>
      <c r="I3574">
        <v>2026</v>
      </c>
      <c r="J3574">
        <v>3</v>
      </c>
      <c r="K3574" t="s">
        <v>87</v>
      </c>
      <c r="L3574" t="s">
        <v>438</v>
      </c>
      <c r="M3574" t="s">
        <v>6</v>
      </c>
      <c r="N3574" t="b">
        <v>0</v>
      </c>
      <c r="O3574">
        <v>0</v>
      </c>
      <c r="P3574">
        <v>1</v>
      </c>
      <c r="Q3574">
        <v>0</v>
      </c>
      <c r="R3574">
        <v>0</v>
      </c>
    </row>
    <row r="3575" spans="1:18" x14ac:dyDescent="0.25">
      <c r="A3575" t="s">
        <v>9</v>
      </c>
      <c r="B3575" t="s">
        <v>8</v>
      </c>
      <c r="C3575">
        <v>2</v>
      </c>
      <c r="D3575">
        <v>3</v>
      </c>
      <c r="E3575">
        <v>2</v>
      </c>
      <c r="F3575" s="15">
        <v>46104</v>
      </c>
      <c r="G3575" t="s">
        <v>447</v>
      </c>
      <c r="H3575">
        <v>4</v>
      </c>
      <c r="I3575">
        <v>2026</v>
      </c>
      <c r="J3575">
        <v>3</v>
      </c>
      <c r="K3575" t="s">
        <v>87</v>
      </c>
      <c r="L3575" t="s">
        <v>436</v>
      </c>
      <c r="M3575" t="s">
        <v>6</v>
      </c>
      <c r="N3575" t="b">
        <v>0</v>
      </c>
      <c r="O3575">
        <v>1</v>
      </c>
      <c r="P3575">
        <v>0</v>
      </c>
      <c r="Q3575">
        <v>0</v>
      </c>
      <c r="R3575">
        <v>0</v>
      </c>
    </row>
    <row r="3576" spans="1:18" x14ac:dyDescent="0.25">
      <c r="A3576" t="s">
        <v>9</v>
      </c>
      <c r="B3576" t="s">
        <v>8</v>
      </c>
      <c r="C3576">
        <v>2</v>
      </c>
      <c r="D3576">
        <v>3</v>
      </c>
      <c r="E3576">
        <v>2</v>
      </c>
      <c r="F3576" s="15">
        <v>46104</v>
      </c>
      <c r="G3576" t="s">
        <v>447</v>
      </c>
      <c r="H3576">
        <v>4</v>
      </c>
      <c r="I3576">
        <v>2026</v>
      </c>
      <c r="J3576">
        <v>3</v>
      </c>
      <c r="K3576" t="s">
        <v>87</v>
      </c>
      <c r="L3576" t="s">
        <v>364</v>
      </c>
      <c r="M3576" t="s">
        <v>6</v>
      </c>
      <c r="N3576" t="b">
        <v>0</v>
      </c>
      <c r="O3576">
        <v>1</v>
      </c>
      <c r="P3576">
        <v>0</v>
      </c>
      <c r="Q3576">
        <v>0</v>
      </c>
      <c r="R3576">
        <v>0</v>
      </c>
    </row>
    <row r="3577" spans="1:18" x14ac:dyDescent="0.25">
      <c r="A3577" t="s">
        <v>9</v>
      </c>
      <c r="B3577" t="s">
        <v>8</v>
      </c>
      <c r="C3577">
        <v>2</v>
      </c>
      <c r="D3577">
        <v>3</v>
      </c>
      <c r="E3577">
        <v>2</v>
      </c>
      <c r="F3577" s="15">
        <v>46104</v>
      </c>
      <c r="G3577" t="s">
        <v>447</v>
      </c>
      <c r="H3577">
        <v>4</v>
      </c>
      <c r="I3577">
        <v>2026</v>
      </c>
      <c r="J3577">
        <v>3</v>
      </c>
      <c r="K3577" t="s">
        <v>87</v>
      </c>
      <c r="L3577" t="s">
        <v>438</v>
      </c>
      <c r="M3577" t="s">
        <v>6</v>
      </c>
      <c r="N3577" t="b">
        <v>0</v>
      </c>
      <c r="O3577">
        <v>1</v>
      </c>
      <c r="P3577">
        <v>0</v>
      </c>
      <c r="Q3577">
        <v>0</v>
      </c>
      <c r="R3577">
        <v>0</v>
      </c>
    </row>
    <row r="3578" spans="1:18" x14ac:dyDescent="0.25">
      <c r="A3578" t="s">
        <v>364</v>
      </c>
      <c r="B3578" t="s">
        <v>6</v>
      </c>
      <c r="C3578">
        <v>3</v>
      </c>
      <c r="D3578">
        <v>3</v>
      </c>
      <c r="E3578">
        <v>2</v>
      </c>
      <c r="F3578" s="15">
        <v>46104</v>
      </c>
      <c r="G3578" t="s">
        <v>447</v>
      </c>
      <c r="H3578">
        <v>4</v>
      </c>
      <c r="I3578">
        <v>2026</v>
      </c>
      <c r="J3578">
        <v>3</v>
      </c>
      <c r="K3578" t="s">
        <v>87</v>
      </c>
      <c r="L3578" t="s">
        <v>436</v>
      </c>
      <c r="M3578" t="s">
        <v>6</v>
      </c>
      <c r="N3578" t="b">
        <v>0</v>
      </c>
      <c r="O3578">
        <v>0</v>
      </c>
      <c r="P3578">
        <v>1</v>
      </c>
      <c r="Q3578">
        <v>0</v>
      </c>
      <c r="R3578">
        <v>0</v>
      </c>
    </row>
    <row r="3579" spans="1:18" x14ac:dyDescent="0.25">
      <c r="A3579" t="s">
        <v>364</v>
      </c>
      <c r="B3579" t="s">
        <v>6</v>
      </c>
      <c r="C3579">
        <v>3</v>
      </c>
      <c r="D3579">
        <v>3</v>
      </c>
      <c r="E3579">
        <v>2</v>
      </c>
      <c r="F3579" s="15">
        <v>46104</v>
      </c>
      <c r="G3579" t="s">
        <v>447</v>
      </c>
      <c r="H3579">
        <v>4</v>
      </c>
      <c r="I3579">
        <v>2026</v>
      </c>
      <c r="J3579">
        <v>3</v>
      </c>
      <c r="K3579" t="s">
        <v>87</v>
      </c>
      <c r="L3579" t="s">
        <v>9</v>
      </c>
      <c r="M3579" t="s">
        <v>8</v>
      </c>
      <c r="N3579" t="b">
        <v>0</v>
      </c>
      <c r="O3579">
        <v>0</v>
      </c>
      <c r="P3579">
        <v>1</v>
      </c>
      <c r="Q3579">
        <v>0</v>
      </c>
      <c r="R3579">
        <v>1</v>
      </c>
    </row>
    <row r="3580" spans="1:18" x14ac:dyDescent="0.25">
      <c r="A3580" t="s">
        <v>364</v>
      </c>
      <c r="B3580" t="s">
        <v>6</v>
      </c>
      <c r="C3580">
        <v>3</v>
      </c>
      <c r="D3580">
        <v>3</v>
      </c>
      <c r="E3580">
        <v>2</v>
      </c>
      <c r="F3580" s="15">
        <v>46104</v>
      </c>
      <c r="G3580" t="s">
        <v>447</v>
      </c>
      <c r="H3580">
        <v>4</v>
      </c>
      <c r="I3580">
        <v>2026</v>
      </c>
      <c r="J3580">
        <v>3</v>
      </c>
      <c r="K3580" t="s">
        <v>87</v>
      </c>
      <c r="L3580" t="s">
        <v>438</v>
      </c>
      <c r="M3580" t="s">
        <v>6</v>
      </c>
      <c r="N3580" t="b">
        <v>0</v>
      </c>
      <c r="O3580">
        <v>0</v>
      </c>
      <c r="P3580">
        <v>1</v>
      </c>
      <c r="Q3580">
        <v>0</v>
      </c>
      <c r="R3580">
        <v>0</v>
      </c>
    </row>
    <row r="3581" spans="1:18" x14ac:dyDescent="0.25">
      <c r="A3581" t="s">
        <v>438</v>
      </c>
      <c r="B3581" t="s">
        <v>6</v>
      </c>
      <c r="C3581">
        <v>4</v>
      </c>
      <c r="D3581">
        <v>3</v>
      </c>
      <c r="E3581">
        <v>2</v>
      </c>
      <c r="F3581" s="15">
        <v>46104</v>
      </c>
      <c r="G3581" t="s">
        <v>447</v>
      </c>
      <c r="H3581">
        <v>4</v>
      </c>
      <c r="I3581">
        <v>2026</v>
      </c>
      <c r="J3581">
        <v>3</v>
      </c>
      <c r="K3581" t="s">
        <v>87</v>
      </c>
      <c r="L3581" t="s">
        <v>436</v>
      </c>
      <c r="M3581" t="s">
        <v>6</v>
      </c>
      <c r="N3581" t="b">
        <v>0</v>
      </c>
      <c r="O3581">
        <v>0</v>
      </c>
      <c r="P3581">
        <v>1</v>
      </c>
      <c r="Q3581">
        <v>0</v>
      </c>
      <c r="R3581">
        <v>0</v>
      </c>
    </row>
    <row r="3582" spans="1:18" x14ac:dyDescent="0.25">
      <c r="A3582" t="s">
        <v>438</v>
      </c>
      <c r="B3582" t="s">
        <v>6</v>
      </c>
      <c r="C3582">
        <v>4</v>
      </c>
      <c r="D3582">
        <v>3</v>
      </c>
      <c r="E3582">
        <v>2</v>
      </c>
      <c r="F3582" s="15">
        <v>46104</v>
      </c>
      <c r="G3582" t="s">
        <v>447</v>
      </c>
      <c r="H3582">
        <v>4</v>
      </c>
      <c r="I3582">
        <v>2026</v>
      </c>
      <c r="J3582">
        <v>3</v>
      </c>
      <c r="K3582" t="s">
        <v>87</v>
      </c>
      <c r="L3582" t="s">
        <v>9</v>
      </c>
      <c r="M3582" t="s">
        <v>8</v>
      </c>
      <c r="N3582" t="b">
        <v>0</v>
      </c>
      <c r="O3582">
        <v>0</v>
      </c>
      <c r="P3582">
        <v>1</v>
      </c>
      <c r="Q3582">
        <v>0</v>
      </c>
      <c r="R3582">
        <v>1</v>
      </c>
    </row>
    <row r="3583" spans="1:18" x14ac:dyDescent="0.25">
      <c r="A3583" t="s">
        <v>438</v>
      </c>
      <c r="B3583" t="s">
        <v>6</v>
      </c>
      <c r="C3583">
        <v>4</v>
      </c>
      <c r="D3583">
        <v>3</v>
      </c>
      <c r="E3583">
        <v>2</v>
      </c>
      <c r="F3583" s="15">
        <v>46104</v>
      </c>
      <c r="G3583" t="s">
        <v>447</v>
      </c>
      <c r="H3583">
        <v>4</v>
      </c>
      <c r="I3583">
        <v>2026</v>
      </c>
      <c r="J3583">
        <v>3</v>
      </c>
      <c r="K3583" t="s">
        <v>87</v>
      </c>
      <c r="L3583" t="s">
        <v>364</v>
      </c>
      <c r="M3583" t="s">
        <v>6</v>
      </c>
      <c r="N3583" t="b">
        <v>0</v>
      </c>
      <c r="O3583">
        <v>0</v>
      </c>
      <c r="P3583">
        <v>1</v>
      </c>
      <c r="Q3583">
        <v>0</v>
      </c>
      <c r="R3583">
        <v>0</v>
      </c>
    </row>
    <row r="3584" spans="1:18" x14ac:dyDescent="0.25">
      <c r="A3584" t="s">
        <v>41</v>
      </c>
      <c r="B3584" t="s">
        <v>6</v>
      </c>
      <c r="C3584">
        <v>1</v>
      </c>
      <c r="D3584">
        <v>4</v>
      </c>
      <c r="E3584">
        <v>2</v>
      </c>
      <c r="F3584" s="15">
        <v>46104</v>
      </c>
      <c r="G3584" t="s">
        <v>448</v>
      </c>
      <c r="H3584">
        <v>4</v>
      </c>
      <c r="I3584">
        <v>2026</v>
      </c>
      <c r="J3584">
        <v>3</v>
      </c>
      <c r="K3584" t="s">
        <v>87</v>
      </c>
      <c r="L3584" t="s">
        <v>28</v>
      </c>
      <c r="M3584" t="s">
        <v>8</v>
      </c>
      <c r="N3584" t="b">
        <v>0</v>
      </c>
      <c r="O3584">
        <v>0</v>
      </c>
      <c r="P3584">
        <v>1</v>
      </c>
      <c r="Q3584">
        <v>0</v>
      </c>
      <c r="R3584">
        <v>1</v>
      </c>
    </row>
    <row r="3585" spans="1:18" x14ac:dyDescent="0.25">
      <c r="A3585" t="s">
        <v>41</v>
      </c>
      <c r="B3585" t="s">
        <v>6</v>
      </c>
      <c r="C3585">
        <v>1</v>
      </c>
      <c r="D3585">
        <v>4</v>
      </c>
      <c r="E3585">
        <v>2</v>
      </c>
      <c r="F3585" s="15">
        <v>46104</v>
      </c>
      <c r="G3585" t="s">
        <v>448</v>
      </c>
      <c r="H3585">
        <v>4</v>
      </c>
      <c r="I3585">
        <v>2026</v>
      </c>
      <c r="J3585">
        <v>3</v>
      </c>
      <c r="K3585" t="s">
        <v>87</v>
      </c>
      <c r="L3585" t="s">
        <v>433</v>
      </c>
      <c r="M3585" t="s">
        <v>6</v>
      </c>
      <c r="N3585" t="b">
        <v>0</v>
      </c>
      <c r="O3585">
        <v>0</v>
      </c>
      <c r="P3585">
        <v>1</v>
      </c>
      <c r="Q3585">
        <v>0</v>
      </c>
      <c r="R3585">
        <v>0</v>
      </c>
    </row>
    <row r="3586" spans="1:18" x14ac:dyDescent="0.25">
      <c r="A3586" t="s">
        <v>41</v>
      </c>
      <c r="B3586" t="s">
        <v>6</v>
      </c>
      <c r="C3586">
        <v>1</v>
      </c>
      <c r="D3586">
        <v>4</v>
      </c>
      <c r="E3586">
        <v>2</v>
      </c>
      <c r="F3586" s="15">
        <v>46104</v>
      </c>
      <c r="G3586" t="s">
        <v>448</v>
      </c>
      <c r="H3586">
        <v>4</v>
      </c>
      <c r="I3586">
        <v>2026</v>
      </c>
      <c r="J3586">
        <v>3</v>
      </c>
      <c r="K3586" t="s">
        <v>87</v>
      </c>
      <c r="L3586" t="s">
        <v>325</v>
      </c>
      <c r="M3586" t="s">
        <v>6</v>
      </c>
      <c r="N3586" t="b">
        <v>0</v>
      </c>
      <c r="O3586">
        <v>0</v>
      </c>
      <c r="P3586">
        <v>1</v>
      </c>
      <c r="Q3586">
        <v>0</v>
      </c>
      <c r="R3586">
        <v>0</v>
      </c>
    </row>
    <row r="3587" spans="1:18" x14ac:dyDescent="0.25">
      <c r="A3587" t="s">
        <v>28</v>
      </c>
      <c r="B3587" t="s">
        <v>8</v>
      </c>
      <c r="C3587">
        <v>2</v>
      </c>
      <c r="D3587">
        <v>4</v>
      </c>
      <c r="E3587">
        <v>2</v>
      </c>
      <c r="F3587" s="15">
        <v>46104</v>
      </c>
      <c r="G3587" t="s">
        <v>448</v>
      </c>
      <c r="H3587">
        <v>4</v>
      </c>
      <c r="I3587">
        <v>2026</v>
      </c>
      <c r="J3587">
        <v>3</v>
      </c>
      <c r="K3587" t="s">
        <v>87</v>
      </c>
      <c r="L3587" t="s">
        <v>41</v>
      </c>
      <c r="M3587" t="s">
        <v>6</v>
      </c>
      <c r="N3587" t="b">
        <v>0</v>
      </c>
      <c r="O3587">
        <v>1</v>
      </c>
      <c r="P3587">
        <v>0</v>
      </c>
      <c r="Q3587">
        <v>0</v>
      </c>
      <c r="R3587">
        <v>0</v>
      </c>
    </row>
    <row r="3588" spans="1:18" x14ac:dyDescent="0.25">
      <c r="A3588" t="s">
        <v>28</v>
      </c>
      <c r="B3588" t="s">
        <v>8</v>
      </c>
      <c r="C3588">
        <v>2</v>
      </c>
      <c r="D3588">
        <v>4</v>
      </c>
      <c r="E3588">
        <v>2</v>
      </c>
      <c r="F3588" s="15">
        <v>46104</v>
      </c>
      <c r="G3588" t="s">
        <v>448</v>
      </c>
      <c r="H3588">
        <v>4</v>
      </c>
      <c r="I3588">
        <v>2026</v>
      </c>
      <c r="J3588">
        <v>3</v>
      </c>
      <c r="K3588" t="s">
        <v>87</v>
      </c>
      <c r="L3588" t="s">
        <v>433</v>
      </c>
      <c r="M3588" t="s">
        <v>6</v>
      </c>
      <c r="N3588" t="b">
        <v>0</v>
      </c>
      <c r="O3588">
        <v>1</v>
      </c>
      <c r="P3588">
        <v>0</v>
      </c>
      <c r="Q3588">
        <v>0</v>
      </c>
      <c r="R3588">
        <v>0</v>
      </c>
    </row>
    <row r="3589" spans="1:18" x14ac:dyDescent="0.25">
      <c r="A3589" t="s">
        <v>28</v>
      </c>
      <c r="B3589" t="s">
        <v>8</v>
      </c>
      <c r="C3589">
        <v>2</v>
      </c>
      <c r="D3589">
        <v>4</v>
      </c>
      <c r="E3589">
        <v>2</v>
      </c>
      <c r="F3589" s="15">
        <v>46104</v>
      </c>
      <c r="G3589" t="s">
        <v>448</v>
      </c>
      <c r="H3589">
        <v>4</v>
      </c>
      <c r="I3589">
        <v>2026</v>
      </c>
      <c r="J3589">
        <v>3</v>
      </c>
      <c r="K3589" t="s">
        <v>87</v>
      </c>
      <c r="L3589" t="s">
        <v>325</v>
      </c>
      <c r="M3589" t="s">
        <v>6</v>
      </c>
      <c r="N3589" t="b">
        <v>0</v>
      </c>
      <c r="O3589">
        <v>1</v>
      </c>
      <c r="P3589">
        <v>0</v>
      </c>
      <c r="Q3589">
        <v>0</v>
      </c>
      <c r="R3589">
        <v>0</v>
      </c>
    </row>
    <row r="3590" spans="1:18" x14ac:dyDescent="0.25">
      <c r="A3590" t="s">
        <v>433</v>
      </c>
      <c r="B3590" t="s">
        <v>6</v>
      </c>
      <c r="C3590">
        <v>3</v>
      </c>
      <c r="D3590">
        <v>4</v>
      </c>
      <c r="E3590">
        <v>2</v>
      </c>
      <c r="F3590" s="15">
        <v>46104</v>
      </c>
      <c r="G3590" t="s">
        <v>448</v>
      </c>
      <c r="H3590">
        <v>4</v>
      </c>
      <c r="I3590">
        <v>2026</v>
      </c>
      <c r="J3590">
        <v>3</v>
      </c>
      <c r="K3590" t="s">
        <v>87</v>
      </c>
      <c r="L3590" t="s">
        <v>41</v>
      </c>
      <c r="M3590" t="s">
        <v>6</v>
      </c>
      <c r="N3590" t="b">
        <v>0</v>
      </c>
      <c r="O3590">
        <v>0</v>
      </c>
      <c r="P3590">
        <v>1</v>
      </c>
      <c r="Q3590">
        <v>0</v>
      </c>
      <c r="R3590">
        <v>0</v>
      </c>
    </row>
    <row r="3591" spans="1:18" x14ac:dyDescent="0.25">
      <c r="A3591" t="s">
        <v>433</v>
      </c>
      <c r="B3591" t="s">
        <v>6</v>
      </c>
      <c r="C3591">
        <v>3</v>
      </c>
      <c r="D3591">
        <v>4</v>
      </c>
      <c r="E3591">
        <v>2</v>
      </c>
      <c r="F3591" s="15">
        <v>46104</v>
      </c>
      <c r="G3591" t="s">
        <v>448</v>
      </c>
      <c r="H3591">
        <v>4</v>
      </c>
      <c r="I3591">
        <v>2026</v>
      </c>
      <c r="J3591">
        <v>3</v>
      </c>
      <c r="K3591" t="s">
        <v>87</v>
      </c>
      <c r="L3591" t="s">
        <v>28</v>
      </c>
      <c r="M3591" t="s">
        <v>8</v>
      </c>
      <c r="N3591" t="b">
        <v>0</v>
      </c>
      <c r="O3591">
        <v>0</v>
      </c>
      <c r="P3591">
        <v>1</v>
      </c>
      <c r="Q3591">
        <v>0</v>
      </c>
      <c r="R3591">
        <v>1</v>
      </c>
    </row>
    <row r="3592" spans="1:18" x14ac:dyDescent="0.25">
      <c r="A3592" t="s">
        <v>433</v>
      </c>
      <c r="B3592" t="s">
        <v>6</v>
      </c>
      <c r="C3592">
        <v>3</v>
      </c>
      <c r="D3592">
        <v>4</v>
      </c>
      <c r="E3592">
        <v>2</v>
      </c>
      <c r="F3592" s="15">
        <v>46104</v>
      </c>
      <c r="G3592" t="s">
        <v>448</v>
      </c>
      <c r="H3592">
        <v>4</v>
      </c>
      <c r="I3592">
        <v>2026</v>
      </c>
      <c r="J3592">
        <v>3</v>
      </c>
      <c r="K3592" t="s">
        <v>87</v>
      </c>
      <c r="L3592" t="s">
        <v>325</v>
      </c>
      <c r="M3592" t="s">
        <v>6</v>
      </c>
      <c r="N3592" t="b">
        <v>0</v>
      </c>
      <c r="O3592">
        <v>0</v>
      </c>
      <c r="P3592">
        <v>1</v>
      </c>
      <c r="Q3592">
        <v>0</v>
      </c>
      <c r="R3592">
        <v>0</v>
      </c>
    </row>
    <row r="3593" spans="1:18" x14ac:dyDescent="0.25">
      <c r="A3593" t="s">
        <v>325</v>
      </c>
      <c r="B3593" t="s">
        <v>6</v>
      </c>
      <c r="C3593">
        <v>4</v>
      </c>
      <c r="D3593">
        <v>4</v>
      </c>
      <c r="E3593">
        <v>2</v>
      </c>
      <c r="F3593" s="15">
        <v>46104</v>
      </c>
      <c r="G3593" t="s">
        <v>448</v>
      </c>
      <c r="H3593">
        <v>4</v>
      </c>
      <c r="I3593">
        <v>2026</v>
      </c>
      <c r="J3593">
        <v>3</v>
      </c>
      <c r="K3593" t="s">
        <v>87</v>
      </c>
      <c r="L3593" t="s">
        <v>41</v>
      </c>
      <c r="M3593" t="s">
        <v>6</v>
      </c>
      <c r="N3593" t="b">
        <v>0</v>
      </c>
      <c r="O3593">
        <v>0</v>
      </c>
      <c r="P3593">
        <v>1</v>
      </c>
      <c r="Q3593">
        <v>0</v>
      </c>
      <c r="R3593">
        <v>0</v>
      </c>
    </row>
    <row r="3594" spans="1:18" x14ac:dyDescent="0.25">
      <c r="A3594" t="s">
        <v>325</v>
      </c>
      <c r="B3594" t="s">
        <v>6</v>
      </c>
      <c r="C3594">
        <v>4</v>
      </c>
      <c r="D3594">
        <v>4</v>
      </c>
      <c r="E3594">
        <v>2</v>
      </c>
      <c r="F3594" s="15">
        <v>46104</v>
      </c>
      <c r="G3594" t="s">
        <v>448</v>
      </c>
      <c r="H3594">
        <v>4</v>
      </c>
      <c r="I3594">
        <v>2026</v>
      </c>
      <c r="J3594">
        <v>3</v>
      </c>
      <c r="K3594" t="s">
        <v>87</v>
      </c>
      <c r="L3594" t="s">
        <v>28</v>
      </c>
      <c r="M3594" t="s">
        <v>8</v>
      </c>
      <c r="N3594" t="b">
        <v>0</v>
      </c>
      <c r="O3594">
        <v>0</v>
      </c>
      <c r="P3594">
        <v>1</v>
      </c>
      <c r="Q3594">
        <v>0</v>
      </c>
      <c r="R3594">
        <v>1</v>
      </c>
    </row>
    <row r="3595" spans="1:18" x14ac:dyDescent="0.25">
      <c r="A3595" t="s">
        <v>325</v>
      </c>
      <c r="B3595" t="s">
        <v>6</v>
      </c>
      <c r="C3595">
        <v>4</v>
      </c>
      <c r="D3595">
        <v>4</v>
      </c>
      <c r="E3595">
        <v>2</v>
      </c>
      <c r="F3595" s="15">
        <v>46104</v>
      </c>
      <c r="G3595" t="s">
        <v>448</v>
      </c>
      <c r="H3595">
        <v>4</v>
      </c>
      <c r="I3595">
        <v>2026</v>
      </c>
      <c r="J3595">
        <v>3</v>
      </c>
      <c r="K3595" t="s">
        <v>87</v>
      </c>
      <c r="L3595" t="s">
        <v>433</v>
      </c>
      <c r="M3595" t="s">
        <v>6</v>
      </c>
      <c r="N3595" t="b">
        <v>0</v>
      </c>
      <c r="O3595">
        <v>0</v>
      </c>
      <c r="P3595">
        <v>1</v>
      </c>
      <c r="Q3595">
        <v>0</v>
      </c>
      <c r="R3595">
        <v>0</v>
      </c>
    </row>
    <row r="3596" spans="1:18" x14ac:dyDescent="0.25">
      <c r="A3596" t="s">
        <v>11</v>
      </c>
      <c r="B3596" t="s">
        <v>63</v>
      </c>
      <c r="C3596">
        <v>1</v>
      </c>
      <c r="D3596">
        <v>5</v>
      </c>
      <c r="E3596">
        <v>2</v>
      </c>
      <c r="F3596" s="15">
        <v>46104</v>
      </c>
      <c r="G3596" t="s">
        <v>449</v>
      </c>
      <c r="H3596">
        <v>4</v>
      </c>
      <c r="I3596">
        <v>2026</v>
      </c>
      <c r="J3596">
        <v>3</v>
      </c>
      <c r="K3596" t="s">
        <v>87</v>
      </c>
      <c r="L3596" t="s">
        <v>363</v>
      </c>
      <c r="M3596" t="s">
        <v>63</v>
      </c>
      <c r="N3596" t="b">
        <v>0</v>
      </c>
      <c r="O3596">
        <v>0</v>
      </c>
      <c r="P3596">
        <v>0</v>
      </c>
      <c r="Q3596">
        <v>1</v>
      </c>
      <c r="R3596">
        <v>0</v>
      </c>
    </row>
    <row r="3597" spans="1:18" x14ac:dyDescent="0.25">
      <c r="A3597" t="s">
        <v>11</v>
      </c>
      <c r="B3597" t="s">
        <v>63</v>
      </c>
      <c r="C3597">
        <v>1</v>
      </c>
      <c r="D3597">
        <v>5</v>
      </c>
      <c r="E3597">
        <v>2</v>
      </c>
      <c r="F3597" s="15">
        <v>46104</v>
      </c>
      <c r="G3597" t="s">
        <v>449</v>
      </c>
      <c r="H3597">
        <v>4</v>
      </c>
      <c r="I3597">
        <v>2026</v>
      </c>
      <c r="J3597">
        <v>3</v>
      </c>
      <c r="K3597" t="s">
        <v>87</v>
      </c>
      <c r="L3597" t="s">
        <v>405</v>
      </c>
      <c r="M3597" t="s">
        <v>63</v>
      </c>
      <c r="N3597" t="b">
        <v>0</v>
      </c>
      <c r="O3597">
        <v>0</v>
      </c>
      <c r="P3597">
        <v>0</v>
      </c>
      <c r="Q3597">
        <v>1</v>
      </c>
      <c r="R3597">
        <v>0</v>
      </c>
    </row>
    <row r="3598" spans="1:18" x14ac:dyDescent="0.25">
      <c r="A3598" t="s">
        <v>11</v>
      </c>
      <c r="B3598" t="s">
        <v>63</v>
      </c>
      <c r="C3598">
        <v>1</v>
      </c>
      <c r="D3598">
        <v>5</v>
      </c>
      <c r="E3598">
        <v>2</v>
      </c>
      <c r="F3598" s="15">
        <v>46104</v>
      </c>
      <c r="G3598" t="s">
        <v>449</v>
      </c>
      <c r="H3598">
        <v>4</v>
      </c>
      <c r="I3598">
        <v>2026</v>
      </c>
      <c r="J3598">
        <v>3</v>
      </c>
      <c r="K3598" t="s">
        <v>87</v>
      </c>
      <c r="L3598" t="s">
        <v>352</v>
      </c>
      <c r="M3598" t="s">
        <v>63</v>
      </c>
      <c r="N3598" t="b">
        <v>0</v>
      </c>
      <c r="O3598">
        <v>0</v>
      </c>
      <c r="P3598">
        <v>0</v>
      </c>
      <c r="Q3598">
        <v>1</v>
      </c>
      <c r="R3598">
        <v>0</v>
      </c>
    </row>
    <row r="3599" spans="1:18" x14ac:dyDescent="0.25">
      <c r="A3599" t="s">
        <v>363</v>
      </c>
      <c r="B3599" t="s">
        <v>63</v>
      </c>
      <c r="C3599">
        <v>2</v>
      </c>
      <c r="D3599">
        <v>5</v>
      </c>
      <c r="E3599">
        <v>2</v>
      </c>
      <c r="F3599" s="15">
        <v>46104</v>
      </c>
      <c r="G3599" t="s">
        <v>449</v>
      </c>
      <c r="H3599">
        <v>4</v>
      </c>
      <c r="I3599">
        <v>2026</v>
      </c>
      <c r="J3599">
        <v>3</v>
      </c>
      <c r="K3599" t="s">
        <v>87</v>
      </c>
      <c r="L3599" t="s">
        <v>11</v>
      </c>
      <c r="M3599" t="s">
        <v>63</v>
      </c>
      <c r="N3599" t="b">
        <v>0</v>
      </c>
      <c r="O3599">
        <v>0</v>
      </c>
      <c r="P3599">
        <v>0</v>
      </c>
      <c r="Q3599">
        <v>1</v>
      </c>
      <c r="R3599">
        <v>0</v>
      </c>
    </row>
    <row r="3600" spans="1:18" x14ac:dyDescent="0.25">
      <c r="A3600" t="s">
        <v>363</v>
      </c>
      <c r="B3600" t="s">
        <v>63</v>
      </c>
      <c r="C3600">
        <v>2</v>
      </c>
      <c r="D3600">
        <v>5</v>
      </c>
      <c r="E3600">
        <v>2</v>
      </c>
      <c r="F3600" s="15">
        <v>46104</v>
      </c>
      <c r="G3600" t="s">
        <v>449</v>
      </c>
      <c r="H3600">
        <v>4</v>
      </c>
      <c r="I3600">
        <v>2026</v>
      </c>
      <c r="J3600">
        <v>3</v>
      </c>
      <c r="K3600" t="s">
        <v>87</v>
      </c>
      <c r="L3600" t="s">
        <v>405</v>
      </c>
      <c r="M3600" t="s">
        <v>63</v>
      </c>
      <c r="N3600" t="b">
        <v>0</v>
      </c>
      <c r="O3600">
        <v>0</v>
      </c>
      <c r="P3600">
        <v>0</v>
      </c>
      <c r="Q3600">
        <v>1</v>
      </c>
      <c r="R3600">
        <v>0</v>
      </c>
    </row>
    <row r="3601" spans="1:18" x14ac:dyDescent="0.25">
      <c r="A3601" t="s">
        <v>363</v>
      </c>
      <c r="B3601" t="s">
        <v>63</v>
      </c>
      <c r="C3601">
        <v>2</v>
      </c>
      <c r="D3601">
        <v>5</v>
      </c>
      <c r="E3601">
        <v>2</v>
      </c>
      <c r="F3601" s="15">
        <v>46104</v>
      </c>
      <c r="G3601" t="s">
        <v>449</v>
      </c>
      <c r="H3601">
        <v>4</v>
      </c>
      <c r="I3601">
        <v>2026</v>
      </c>
      <c r="J3601">
        <v>3</v>
      </c>
      <c r="K3601" t="s">
        <v>87</v>
      </c>
      <c r="L3601" t="s">
        <v>352</v>
      </c>
      <c r="M3601" t="s">
        <v>63</v>
      </c>
      <c r="N3601" t="b">
        <v>0</v>
      </c>
      <c r="O3601">
        <v>0</v>
      </c>
      <c r="P3601">
        <v>0</v>
      </c>
      <c r="Q3601">
        <v>1</v>
      </c>
      <c r="R3601">
        <v>0</v>
      </c>
    </row>
    <row r="3602" spans="1:18" x14ac:dyDescent="0.25">
      <c r="A3602" t="s">
        <v>405</v>
      </c>
      <c r="B3602" t="s">
        <v>63</v>
      </c>
      <c r="C3602">
        <v>3</v>
      </c>
      <c r="D3602">
        <v>5</v>
      </c>
      <c r="E3602">
        <v>2</v>
      </c>
      <c r="F3602" s="15">
        <v>46104</v>
      </c>
      <c r="G3602" t="s">
        <v>449</v>
      </c>
      <c r="H3602">
        <v>4</v>
      </c>
      <c r="I3602">
        <v>2026</v>
      </c>
      <c r="J3602">
        <v>3</v>
      </c>
      <c r="K3602" t="s">
        <v>87</v>
      </c>
      <c r="L3602" t="s">
        <v>11</v>
      </c>
      <c r="M3602" t="s">
        <v>63</v>
      </c>
      <c r="N3602" t="b">
        <v>0</v>
      </c>
      <c r="O3602">
        <v>0</v>
      </c>
      <c r="P3602">
        <v>0</v>
      </c>
      <c r="Q3602">
        <v>1</v>
      </c>
      <c r="R3602">
        <v>0</v>
      </c>
    </row>
    <row r="3603" spans="1:18" x14ac:dyDescent="0.25">
      <c r="A3603" t="s">
        <v>405</v>
      </c>
      <c r="B3603" t="s">
        <v>63</v>
      </c>
      <c r="C3603">
        <v>3</v>
      </c>
      <c r="D3603">
        <v>5</v>
      </c>
      <c r="E3603">
        <v>2</v>
      </c>
      <c r="F3603" s="15">
        <v>46104</v>
      </c>
      <c r="G3603" t="s">
        <v>449</v>
      </c>
      <c r="H3603">
        <v>4</v>
      </c>
      <c r="I3603">
        <v>2026</v>
      </c>
      <c r="J3603">
        <v>3</v>
      </c>
      <c r="K3603" t="s">
        <v>87</v>
      </c>
      <c r="L3603" t="s">
        <v>363</v>
      </c>
      <c r="M3603" t="s">
        <v>63</v>
      </c>
      <c r="N3603" t="b">
        <v>0</v>
      </c>
      <c r="O3603">
        <v>0</v>
      </c>
      <c r="P3603">
        <v>0</v>
      </c>
      <c r="Q3603">
        <v>1</v>
      </c>
      <c r="R3603">
        <v>0</v>
      </c>
    </row>
    <row r="3604" spans="1:18" x14ac:dyDescent="0.25">
      <c r="A3604" t="s">
        <v>405</v>
      </c>
      <c r="B3604" t="s">
        <v>63</v>
      </c>
      <c r="C3604">
        <v>3</v>
      </c>
      <c r="D3604">
        <v>5</v>
      </c>
      <c r="E3604">
        <v>2</v>
      </c>
      <c r="F3604" s="15">
        <v>46104</v>
      </c>
      <c r="G3604" t="s">
        <v>449</v>
      </c>
      <c r="H3604">
        <v>4</v>
      </c>
      <c r="I3604">
        <v>2026</v>
      </c>
      <c r="J3604">
        <v>3</v>
      </c>
      <c r="K3604" t="s">
        <v>87</v>
      </c>
      <c r="L3604" t="s">
        <v>352</v>
      </c>
      <c r="M3604" t="s">
        <v>63</v>
      </c>
      <c r="N3604" t="b">
        <v>0</v>
      </c>
      <c r="O3604">
        <v>0</v>
      </c>
      <c r="P3604">
        <v>0</v>
      </c>
      <c r="Q3604">
        <v>1</v>
      </c>
      <c r="R3604">
        <v>0</v>
      </c>
    </row>
    <row r="3605" spans="1:18" x14ac:dyDescent="0.25">
      <c r="A3605" t="s">
        <v>352</v>
      </c>
      <c r="B3605" t="s">
        <v>63</v>
      </c>
      <c r="C3605">
        <v>4</v>
      </c>
      <c r="D3605">
        <v>5</v>
      </c>
      <c r="E3605">
        <v>2</v>
      </c>
      <c r="F3605" s="15">
        <v>46104</v>
      </c>
      <c r="G3605" t="s">
        <v>449</v>
      </c>
      <c r="H3605">
        <v>4</v>
      </c>
      <c r="I3605">
        <v>2026</v>
      </c>
      <c r="J3605">
        <v>3</v>
      </c>
      <c r="K3605" t="s">
        <v>87</v>
      </c>
      <c r="L3605" t="s">
        <v>11</v>
      </c>
      <c r="M3605" t="s">
        <v>63</v>
      </c>
      <c r="N3605" t="b">
        <v>0</v>
      </c>
      <c r="O3605">
        <v>0</v>
      </c>
      <c r="P3605">
        <v>0</v>
      </c>
      <c r="Q3605">
        <v>1</v>
      </c>
      <c r="R3605">
        <v>0</v>
      </c>
    </row>
    <row r="3606" spans="1:18" x14ac:dyDescent="0.25">
      <c r="A3606" t="s">
        <v>352</v>
      </c>
      <c r="B3606" t="s">
        <v>63</v>
      </c>
      <c r="C3606">
        <v>4</v>
      </c>
      <c r="D3606">
        <v>5</v>
      </c>
      <c r="E3606">
        <v>2</v>
      </c>
      <c r="F3606" s="15">
        <v>46104</v>
      </c>
      <c r="G3606" t="s">
        <v>449</v>
      </c>
      <c r="H3606">
        <v>4</v>
      </c>
      <c r="I3606">
        <v>2026</v>
      </c>
      <c r="J3606">
        <v>3</v>
      </c>
      <c r="K3606" t="s">
        <v>87</v>
      </c>
      <c r="L3606" t="s">
        <v>363</v>
      </c>
      <c r="M3606" t="s">
        <v>63</v>
      </c>
      <c r="N3606" t="b">
        <v>0</v>
      </c>
      <c r="O3606">
        <v>0</v>
      </c>
      <c r="P3606">
        <v>0</v>
      </c>
      <c r="Q3606">
        <v>1</v>
      </c>
      <c r="R3606">
        <v>0</v>
      </c>
    </row>
    <row r="3607" spans="1:18" x14ac:dyDescent="0.25">
      <c r="A3607" t="s">
        <v>352</v>
      </c>
      <c r="B3607" t="s">
        <v>63</v>
      </c>
      <c r="C3607">
        <v>4</v>
      </c>
      <c r="D3607">
        <v>5</v>
      </c>
      <c r="E3607">
        <v>2</v>
      </c>
      <c r="F3607" s="15">
        <v>46104</v>
      </c>
      <c r="G3607" t="s">
        <v>449</v>
      </c>
      <c r="H3607">
        <v>4</v>
      </c>
      <c r="I3607">
        <v>2026</v>
      </c>
      <c r="J3607">
        <v>3</v>
      </c>
      <c r="K3607" t="s">
        <v>87</v>
      </c>
      <c r="L3607" t="s">
        <v>405</v>
      </c>
      <c r="M3607" t="s">
        <v>63</v>
      </c>
      <c r="N3607" t="b">
        <v>0</v>
      </c>
      <c r="O3607">
        <v>0</v>
      </c>
      <c r="P3607">
        <v>0</v>
      </c>
      <c r="Q3607">
        <v>1</v>
      </c>
      <c r="R3607">
        <v>0</v>
      </c>
    </row>
    <row r="3608" spans="1:18" x14ac:dyDescent="0.25">
      <c r="A3608" t="s">
        <v>437</v>
      </c>
      <c r="B3608" t="s">
        <v>63</v>
      </c>
      <c r="C3608">
        <v>1</v>
      </c>
      <c r="D3608">
        <v>6</v>
      </c>
      <c r="E3608">
        <v>2</v>
      </c>
      <c r="F3608" s="15">
        <v>46104</v>
      </c>
      <c r="G3608" t="s">
        <v>450</v>
      </c>
      <c r="H3608">
        <v>4</v>
      </c>
      <c r="I3608">
        <v>2026</v>
      </c>
      <c r="J3608">
        <v>3</v>
      </c>
      <c r="K3608" t="s">
        <v>87</v>
      </c>
      <c r="L3608" t="s">
        <v>351</v>
      </c>
      <c r="M3608" t="s">
        <v>63</v>
      </c>
      <c r="N3608" t="b">
        <v>0</v>
      </c>
      <c r="O3608">
        <v>0</v>
      </c>
      <c r="P3608">
        <v>0</v>
      </c>
      <c r="Q3608">
        <v>1</v>
      </c>
      <c r="R3608">
        <v>0</v>
      </c>
    </row>
    <row r="3609" spans="1:18" x14ac:dyDescent="0.25">
      <c r="A3609" t="s">
        <v>437</v>
      </c>
      <c r="B3609" t="s">
        <v>63</v>
      </c>
      <c r="C3609">
        <v>1</v>
      </c>
      <c r="D3609">
        <v>6</v>
      </c>
      <c r="E3609">
        <v>2</v>
      </c>
      <c r="F3609" s="15">
        <v>46104</v>
      </c>
      <c r="G3609" t="s">
        <v>450</v>
      </c>
      <c r="H3609">
        <v>4</v>
      </c>
      <c r="I3609">
        <v>2026</v>
      </c>
      <c r="J3609">
        <v>3</v>
      </c>
      <c r="K3609" t="s">
        <v>87</v>
      </c>
      <c r="L3609" t="s">
        <v>7</v>
      </c>
      <c r="M3609" t="s">
        <v>63</v>
      </c>
      <c r="N3609" t="b">
        <v>0</v>
      </c>
      <c r="O3609">
        <v>0</v>
      </c>
      <c r="P3609">
        <v>0</v>
      </c>
      <c r="Q3609">
        <v>1</v>
      </c>
      <c r="R3609">
        <v>0</v>
      </c>
    </row>
    <row r="3610" spans="1:18" x14ac:dyDescent="0.25">
      <c r="A3610" t="s">
        <v>437</v>
      </c>
      <c r="B3610" t="s">
        <v>63</v>
      </c>
      <c r="C3610">
        <v>1</v>
      </c>
      <c r="D3610">
        <v>6</v>
      </c>
      <c r="E3610">
        <v>2</v>
      </c>
      <c r="F3610" s="15">
        <v>46104</v>
      </c>
      <c r="G3610" t="s">
        <v>450</v>
      </c>
      <c r="H3610">
        <v>4</v>
      </c>
      <c r="I3610">
        <v>2026</v>
      </c>
      <c r="J3610">
        <v>3</v>
      </c>
      <c r="K3610" t="s">
        <v>87</v>
      </c>
      <c r="L3610" t="s">
        <v>14</v>
      </c>
      <c r="M3610" t="s">
        <v>63</v>
      </c>
      <c r="N3610" t="b">
        <v>0</v>
      </c>
      <c r="O3610">
        <v>0</v>
      </c>
      <c r="P3610">
        <v>0</v>
      </c>
      <c r="Q3610">
        <v>1</v>
      </c>
      <c r="R3610">
        <v>0</v>
      </c>
    </row>
    <row r="3611" spans="1:18" x14ac:dyDescent="0.25">
      <c r="A3611" t="s">
        <v>351</v>
      </c>
      <c r="B3611" t="s">
        <v>63</v>
      </c>
      <c r="C3611">
        <v>2</v>
      </c>
      <c r="D3611">
        <v>6</v>
      </c>
      <c r="E3611">
        <v>2</v>
      </c>
      <c r="F3611" s="15">
        <v>46104</v>
      </c>
      <c r="G3611" t="s">
        <v>450</v>
      </c>
      <c r="H3611">
        <v>4</v>
      </c>
      <c r="I3611">
        <v>2026</v>
      </c>
      <c r="J3611">
        <v>3</v>
      </c>
      <c r="K3611" t="s">
        <v>87</v>
      </c>
      <c r="L3611" t="s">
        <v>437</v>
      </c>
      <c r="M3611" t="s">
        <v>63</v>
      </c>
      <c r="N3611" t="b">
        <v>0</v>
      </c>
      <c r="O3611">
        <v>0</v>
      </c>
      <c r="P3611">
        <v>0</v>
      </c>
      <c r="Q3611">
        <v>1</v>
      </c>
      <c r="R3611">
        <v>0</v>
      </c>
    </row>
    <row r="3612" spans="1:18" x14ac:dyDescent="0.25">
      <c r="A3612" t="s">
        <v>351</v>
      </c>
      <c r="B3612" t="s">
        <v>63</v>
      </c>
      <c r="C3612">
        <v>2</v>
      </c>
      <c r="D3612">
        <v>6</v>
      </c>
      <c r="E3612">
        <v>2</v>
      </c>
      <c r="F3612" s="15">
        <v>46104</v>
      </c>
      <c r="G3612" t="s">
        <v>450</v>
      </c>
      <c r="H3612">
        <v>4</v>
      </c>
      <c r="I3612">
        <v>2026</v>
      </c>
      <c r="J3612">
        <v>3</v>
      </c>
      <c r="K3612" t="s">
        <v>87</v>
      </c>
      <c r="L3612" t="s">
        <v>7</v>
      </c>
      <c r="M3612" t="s">
        <v>63</v>
      </c>
      <c r="N3612" t="b">
        <v>0</v>
      </c>
      <c r="O3612">
        <v>0</v>
      </c>
      <c r="P3612">
        <v>0</v>
      </c>
      <c r="Q3612">
        <v>1</v>
      </c>
      <c r="R3612">
        <v>0</v>
      </c>
    </row>
    <row r="3613" spans="1:18" x14ac:dyDescent="0.25">
      <c r="A3613" t="s">
        <v>351</v>
      </c>
      <c r="B3613" t="s">
        <v>63</v>
      </c>
      <c r="C3613">
        <v>2</v>
      </c>
      <c r="D3613">
        <v>6</v>
      </c>
      <c r="E3613">
        <v>2</v>
      </c>
      <c r="F3613" s="15">
        <v>46104</v>
      </c>
      <c r="G3613" t="s">
        <v>450</v>
      </c>
      <c r="H3613">
        <v>4</v>
      </c>
      <c r="I3613">
        <v>2026</v>
      </c>
      <c r="J3613">
        <v>3</v>
      </c>
      <c r="K3613" t="s">
        <v>87</v>
      </c>
      <c r="L3613" t="s">
        <v>14</v>
      </c>
      <c r="M3613" t="s">
        <v>63</v>
      </c>
      <c r="N3613" t="b">
        <v>0</v>
      </c>
      <c r="O3613">
        <v>0</v>
      </c>
      <c r="P3613">
        <v>0</v>
      </c>
      <c r="Q3613">
        <v>1</v>
      </c>
      <c r="R3613">
        <v>0</v>
      </c>
    </row>
    <row r="3614" spans="1:18" x14ac:dyDescent="0.25">
      <c r="A3614" t="s">
        <v>7</v>
      </c>
      <c r="B3614" t="s">
        <v>63</v>
      </c>
      <c r="C3614">
        <v>3</v>
      </c>
      <c r="D3614">
        <v>6</v>
      </c>
      <c r="E3614">
        <v>2</v>
      </c>
      <c r="F3614" s="15">
        <v>46104</v>
      </c>
      <c r="G3614" t="s">
        <v>450</v>
      </c>
      <c r="H3614">
        <v>4</v>
      </c>
      <c r="I3614">
        <v>2026</v>
      </c>
      <c r="J3614">
        <v>3</v>
      </c>
      <c r="K3614" t="s">
        <v>87</v>
      </c>
      <c r="L3614" t="s">
        <v>437</v>
      </c>
      <c r="M3614" t="s">
        <v>63</v>
      </c>
      <c r="N3614" t="b">
        <v>0</v>
      </c>
      <c r="O3614">
        <v>0</v>
      </c>
      <c r="P3614">
        <v>0</v>
      </c>
      <c r="Q3614">
        <v>1</v>
      </c>
      <c r="R3614">
        <v>0</v>
      </c>
    </row>
    <row r="3615" spans="1:18" x14ac:dyDescent="0.25">
      <c r="A3615" t="s">
        <v>7</v>
      </c>
      <c r="B3615" t="s">
        <v>63</v>
      </c>
      <c r="C3615">
        <v>3</v>
      </c>
      <c r="D3615">
        <v>6</v>
      </c>
      <c r="E3615">
        <v>2</v>
      </c>
      <c r="F3615" s="15">
        <v>46104</v>
      </c>
      <c r="G3615" t="s">
        <v>450</v>
      </c>
      <c r="H3615">
        <v>4</v>
      </c>
      <c r="I3615">
        <v>2026</v>
      </c>
      <c r="J3615">
        <v>3</v>
      </c>
      <c r="K3615" t="s">
        <v>87</v>
      </c>
      <c r="L3615" t="s">
        <v>351</v>
      </c>
      <c r="M3615" t="s">
        <v>63</v>
      </c>
      <c r="N3615" t="b">
        <v>0</v>
      </c>
      <c r="O3615">
        <v>0</v>
      </c>
      <c r="P3615">
        <v>0</v>
      </c>
      <c r="Q3615">
        <v>1</v>
      </c>
      <c r="R3615">
        <v>0</v>
      </c>
    </row>
    <row r="3616" spans="1:18" x14ac:dyDescent="0.25">
      <c r="A3616" t="s">
        <v>7</v>
      </c>
      <c r="B3616" t="s">
        <v>63</v>
      </c>
      <c r="C3616">
        <v>3</v>
      </c>
      <c r="D3616">
        <v>6</v>
      </c>
      <c r="E3616">
        <v>2</v>
      </c>
      <c r="F3616" s="15">
        <v>46104</v>
      </c>
      <c r="G3616" t="s">
        <v>450</v>
      </c>
      <c r="H3616">
        <v>4</v>
      </c>
      <c r="I3616">
        <v>2026</v>
      </c>
      <c r="J3616">
        <v>3</v>
      </c>
      <c r="K3616" t="s">
        <v>87</v>
      </c>
      <c r="L3616" t="s">
        <v>14</v>
      </c>
      <c r="M3616" t="s">
        <v>63</v>
      </c>
      <c r="N3616" t="b">
        <v>0</v>
      </c>
      <c r="O3616">
        <v>0</v>
      </c>
      <c r="P3616">
        <v>0</v>
      </c>
      <c r="Q3616">
        <v>1</v>
      </c>
      <c r="R3616">
        <v>0</v>
      </c>
    </row>
    <row r="3617" spans="1:18" x14ac:dyDescent="0.25">
      <c r="A3617" t="s">
        <v>14</v>
      </c>
      <c r="B3617" t="s">
        <v>63</v>
      </c>
      <c r="C3617">
        <v>4</v>
      </c>
      <c r="D3617">
        <v>6</v>
      </c>
      <c r="E3617">
        <v>2</v>
      </c>
      <c r="F3617" s="15">
        <v>46104</v>
      </c>
      <c r="G3617" t="s">
        <v>450</v>
      </c>
      <c r="H3617">
        <v>4</v>
      </c>
      <c r="I3617">
        <v>2026</v>
      </c>
      <c r="J3617">
        <v>3</v>
      </c>
      <c r="K3617" t="s">
        <v>87</v>
      </c>
      <c r="L3617" t="s">
        <v>437</v>
      </c>
      <c r="M3617" t="s">
        <v>63</v>
      </c>
      <c r="N3617" t="b">
        <v>0</v>
      </c>
      <c r="O3617">
        <v>0</v>
      </c>
      <c r="P3617">
        <v>0</v>
      </c>
      <c r="Q3617">
        <v>1</v>
      </c>
      <c r="R3617">
        <v>0</v>
      </c>
    </row>
    <row r="3618" spans="1:18" x14ac:dyDescent="0.25">
      <c r="A3618" t="s">
        <v>14</v>
      </c>
      <c r="B3618" t="s">
        <v>63</v>
      </c>
      <c r="C3618">
        <v>4</v>
      </c>
      <c r="D3618">
        <v>6</v>
      </c>
      <c r="E3618">
        <v>2</v>
      </c>
      <c r="F3618" s="15">
        <v>46104</v>
      </c>
      <c r="G3618" t="s">
        <v>450</v>
      </c>
      <c r="H3618">
        <v>4</v>
      </c>
      <c r="I3618">
        <v>2026</v>
      </c>
      <c r="J3618">
        <v>3</v>
      </c>
      <c r="K3618" t="s">
        <v>87</v>
      </c>
      <c r="L3618" t="s">
        <v>351</v>
      </c>
      <c r="M3618" t="s">
        <v>63</v>
      </c>
      <c r="N3618" t="b">
        <v>0</v>
      </c>
      <c r="O3618">
        <v>0</v>
      </c>
      <c r="P3618">
        <v>0</v>
      </c>
      <c r="Q3618">
        <v>1</v>
      </c>
      <c r="R3618">
        <v>0</v>
      </c>
    </row>
    <row r="3619" spans="1:18" x14ac:dyDescent="0.25">
      <c r="A3619" t="s">
        <v>14</v>
      </c>
      <c r="B3619" t="s">
        <v>63</v>
      </c>
      <c r="C3619">
        <v>4</v>
      </c>
      <c r="D3619">
        <v>6</v>
      </c>
      <c r="E3619">
        <v>2</v>
      </c>
      <c r="F3619" s="15">
        <v>46104</v>
      </c>
      <c r="G3619" t="s">
        <v>450</v>
      </c>
      <c r="H3619">
        <v>4</v>
      </c>
      <c r="I3619">
        <v>2026</v>
      </c>
      <c r="J3619">
        <v>3</v>
      </c>
      <c r="K3619" t="s">
        <v>87</v>
      </c>
      <c r="L3619" t="s">
        <v>7</v>
      </c>
      <c r="M3619" t="s">
        <v>63</v>
      </c>
      <c r="N3619" t="b">
        <v>0</v>
      </c>
      <c r="O3619">
        <v>0</v>
      </c>
      <c r="P3619">
        <v>0</v>
      </c>
      <c r="Q3619">
        <v>1</v>
      </c>
      <c r="R3619">
        <v>0</v>
      </c>
    </row>
    <row r="3620" spans="1:18" x14ac:dyDescent="0.25">
      <c r="A3620" t="s">
        <v>386</v>
      </c>
      <c r="B3620" t="s">
        <v>6</v>
      </c>
      <c r="C3620">
        <v>1</v>
      </c>
      <c r="D3620">
        <v>1</v>
      </c>
      <c r="E3620">
        <v>1</v>
      </c>
      <c r="F3620" s="15">
        <v>46111</v>
      </c>
      <c r="G3620" t="s">
        <v>451</v>
      </c>
      <c r="H3620">
        <v>4</v>
      </c>
      <c r="I3620">
        <v>2026</v>
      </c>
      <c r="J3620">
        <v>3</v>
      </c>
      <c r="K3620" t="s">
        <v>87</v>
      </c>
      <c r="L3620" t="s">
        <v>19</v>
      </c>
      <c r="M3620" t="s">
        <v>8</v>
      </c>
      <c r="N3620" t="b">
        <v>0</v>
      </c>
      <c r="O3620">
        <v>0</v>
      </c>
      <c r="P3620">
        <v>1</v>
      </c>
      <c r="Q3620">
        <v>0</v>
      </c>
      <c r="R3620">
        <v>1</v>
      </c>
    </row>
    <row r="3621" spans="1:18" x14ac:dyDescent="0.25">
      <c r="A3621" t="s">
        <v>386</v>
      </c>
      <c r="B3621" t="s">
        <v>6</v>
      </c>
      <c r="C3621">
        <v>1</v>
      </c>
      <c r="D3621">
        <v>1</v>
      </c>
      <c r="E3621">
        <v>1</v>
      </c>
      <c r="F3621" s="15">
        <v>46111</v>
      </c>
      <c r="G3621" t="s">
        <v>451</v>
      </c>
      <c r="H3621">
        <v>4</v>
      </c>
      <c r="I3621">
        <v>2026</v>
      </c>
      <c r="J3621">
        <v>3</v>
      </c>
      <c r="K3621" t="s">
        <v>87</v>
      </c>
      <c r="L3621" t="s">
        <v>421</v>
      </c>
      <c r="M3621" t="s">
        <v>6</v>
      </c>
      <c r="N3621" t="b">
        <v>0</v>
      </c>
      <c r="O3621">
        <v>0</v>
      </c>
      <c r="P3621">
        <v>1</v>
      </c>
      <c r="Q3621">
        <v>0</v>
      </c>
      <c r="R3621">
        <v>0</v>
      </c>
    </row>
    <row r="3622" spans="1:18" x14ac:dyDescent="0.25">
      <c r="A3622" t="s">
        <v>386</v>
      </c>
      <c r="B3622" t="s">
        <v>6</v>
      </c>
      <c r="C3622">
        <v>1</v>
      </c>
      <c r="D3622">
        <v>1</v>
      </c>
      <c r="E3622">
        <v>1</v>
      </c>
      <c r="F3622" s="15">
        <v>46111</v>
      </c>
      <c r="G3622" t="s">
        <v>451</v>
      </c>
      <c r="H3622">
        <v>4</v>
      </c>
      <c r="I3622">
        <v>2026</v>
      </c>
      <c r="J3622">
        <v>3</v>
      </c>
      <c r="K3622" t="s">
        <v>87</v>
      </c>
      <c r="L3622" t="s">
        <v>52</v>
      </c>
      <c r="M3622" t="s">
        <v>6</v>
      </c>
      <c r="N3622" t="b">
        <v>0</v>
      </c>
      <c r="O3622">
        <v>0</v>
      </c>
      <c r="P3622">
        <v>1</v>
      </c>
      <c r="Q3622">
        <v>0</v>
      </c>
      <c r="R3622">
        <v>0</v>
      </c>
    </row>
    <row r="3623" spans="1:18" x14ac:dyDescent="0.25">
      <c r="A3623" t="s">
        <v>19</v>
      </c>
      <c r="B3623" t="s">
        <v>8</v>
      </c>
      <c r="C3623">
        <v>2</v>
      </c>
      <c r="D3623">
        <v>1</v>
      </c>
      <c r="E3623">
        <v>1</v>
      </c>
      <c r="F3623" s="15">
        <v>46111</v>
      </c>
      <c r="G3623" t="s">
        <v>451</v>
      </c>
      <c r="H3623">
        <v>4</v>
      </c>
      <c r="I3623">
        <v>2026</v>
      </c>
      <c r="J3623">
        <v>3</v>
      </c>
      <c r="K3623" t="s">
        <v>87</v>
      </c>
      <c r="L3623" t="s">
        <v>386</v>
      </c>
      <c r="M3623" t="s">
        <v>6</v>
      </c>
      <c r="N3623" t="b">
        <v>0</v>
      </c>
      <c r="O3623">
        <v>1</v>
      </c>
      <c r="P3623">
        <v>0</v>
      </c>
      <c r="Q3623">
        <v>0</v>
      </c>
      <c r="R3623">
        <v>0</v>
      </c>
    </row>
    <row r="3624" spans="1:18" x14ac:dyDescent="0.25">
      <c r="A3624" t="s">
        <v>19</v>
      </c>
      <c r="B3624" t="s">
        <v>8</v>
      </c>
      <c r="C3624">
        <v>2</v>
      </c>
      <c r="D3624">
        <v>1</v>
      </c>
      <c r="E3624">
        <v>1</v>
      </c>
      <c r="F3624" s="15">
        <v>46111</v>
      </c>
      <c r="G3624" t="s">
        <v>451</v>
      </c>
      <c r="H3624">
        <v>4</v>
      </c>
      <c r="I3624">
        <v>2026</v>
      </c>
      <c r="J3624">
        <v>3</v>
      </c>
      <c r="K3624" t="s">
        <v>87</v>
      </c>
      <c r="L3624" t="s">
        <v>421</v>
      </c>
      <c r="M3624" t="s">
        <v>6</v>
      </c>
      <c r="N3624" t="b">
        <v>0</v>
      </c>
      <c r="O3624">
        <v>1</v>
      </c>
      <c r="P3624">
        <v>0</v>
      </c>
      <c r="Q3624">
        <v>0</v>
      </c>
      <c r="R3624">
        <v>0</v>
      </c>
    </row>
    <row r="3625" spans="1:18" x14ac:dyDescent="0.25">
      <c r="A3625" t="s">
        <v>19</v>
      </c>
      <c r="B3625" t="s">
        <v>8</v>
      </c>
      <c r="C3625">
        <v>2</v>
      </c>
      <c r="D3625">
        <v>1</v>
      </c>
      <c r="E3625">
        <v>1</v>
      </c>
      <c r="F3625" s="15">
        <v>46111</v>
      </c>
      <c r="G3625" t="s">
        <v>451</v>
      </c>
      <c r="H3625">
        <v>4</v>
      </c>
      <c r="I3625">
        <v>2026</v>
      </c>
      <c r="J3625">
        <v>3</v>
      </c>
      <c r="K3625" t="s">
        <v>87</v>
      </c>
      <c r="L3625" t="s">
        <v>52</v>
      </c>
      <c r="M3625" t="s">
        <v>6</v>
      </c>
      <c r="N3625" t="b">
        <v>0</v>
      </c>
      <c r="O3625">
        <v>1</v>
      </c>
      <c r="P3625">
        <v>0</v>
      </c>
      <c r="Q3625">
        <v>0</v>
      </c>
      <c r="R3625">
        <v>0</v>
      </c>
    </row>
    <row r="3626" spans="1:18" x14ac:dyDescent="0.25">
      <c r="A3626" t="s">
        <v>421</v>
      </c>
      <c r="B3626" t="s">
        <v>6</v>
      </c>
      <c r="C3626">
        <v>3</v>
      </c>
      <c r="D3626">
        <v>1</v>
      </c>
      <c r="E3626">
        <v>1</v>
      </c>
      <c r="F3626" s="15">
        <v>46111</v>
      </c>
      <c r="G3626" t="s">
        <v>451</v>
      </c>
      <c r="H3626">
        <v>4</v>
      </c>
      <c r="I3626">
        <v>2026</v>
      </c>
      <c r="J3626">
        <v>3</v>
      </c>
      <c r="K3626" t="s">
        <v>87</v>
      </c>
      <c r="L3626" t="s">
        <v>386</v>
      </c>
      <c r="M3626" t="s">
        <v>6</v>
      </c>
      <c r="N3626" t="b">
        <v>0</v>
      </c>
      <c r="O3626">
        <v>0</v>
      </c>
      <c r="P3626">
        <v>1</v>
      </c>
      <c r="Q3626">
        <v>0</v>
      </c>
      <c r="R3626">
        <v>0</v>
      </c>
    </row>
    <row r="3627" spans="1:18" x14ac:dyDescent="0.25">
      <c r="A3627" t="s">
        <v>421</v>
      </c>
      <c r="B3627" t="s">
        <v>6</v>
      </c>
      <c r="C3627">
        <v>3</v>
      </c>
      <c r="D3627">
        <v>1</v>
      </c>
      <c r="E3627">
        <v>1</v>
      </c>
      <c r="F3627" s="15">
        <v>46111</v>
      </c>
      <c r="G3627" t="s">
        <v>451</v>
      </c>
      <c r="H3627">
        <v>4</v>
      </c>
      <c r="I3627">
        <v>2026</v>
      </c>
      <c r="J3627">
        <v>3</v>
      </c>
      <c r="K3627" t="s">
        <v>87</v>
      </c>
      <c r="L3627" t="s">
        <v>19</v>
      </c>
      <c r="M3627" t="s">
        <v>8</v>
      </c>
      <c r="N3627" t="b">
        <v>0</v>
      </c>
      <c r="O3627">
        <v>0</v>
      </c>
      <c r="P3627">
        <v>1</v>
      </c>
      <c r="Q3627">
        <v>0</v>
      </c>
      <c r="R3627">
        <v>1</v>
      </c>
    </row>
    <row r="3628" spans="1:18" x14ac:dyDescent="0.25">
      <c r="A3628" t="s">
        <v>421</v>
      </c>
      <c r="B3628" t="s">
        <v>6</v>
      </c>
      <c r="C3628">
        <v>3</v>
      </c>
      <c r="D3628">
        <v>1</v>
      </c>
      <c r="E3628">
        <v>1</v>
      </c>
      <c r="F3628" s="15">
        <v>46111</v>
      </c>
      <c r="G3628" t="s">
        <v>451</v>
      </c>
      <c r="H3628">
        <v>4</v>
      </c>
      <c r="I3628">
        <v>2026</v>
      </c>
      <c r="J3628">
        <v>3</v>
      </c>
      <c r="K3628" t="s">
        <v>87</v>
      </c>
      <c r="L3628" t="s">
        <v>52</v>
      </c>
      <c r="M3628" t="s">
        <v>6</v>
      </c>
      <c r="N3628" t="b">
        <v>0</v>
      </c>
      <c r="O3628">
        <v>0</v>
      </c>
      <c r="P3628">
        <v>1</v>
      </c>
      <c r="Q3628">
        <v>0</v>
      </c>
      <c r="R3628">
        <v>0</v>
      </c>
    </row>
    <row r="3629" spans="1:18" x14ac:dyDescent="0.25">
      <c r="A3629" t="s">
        <v>52</v>
      </c>
      <c r="B3629" t="s">
        <v>6</v>
      </c>
      <c r="C3629">
        <v>4</v>
      </c>
      <c r="D3629">
        <v>1</v>
      </c>
      <c r="E3629">
        <v>1</v>
      </c>
      <c r="F3629" s="15">
        <v>46111</v>
      </c>
      <c r="G3629" t="s">
        <v>451</v>
      </c>
      <c r="H3629">
        <v>4</v>
      </c>
      <c r="I3629">
        <v>2026</v>
      </c>
      <c r="J3629">
        <v>3</v>
      </c>
      <c r="K3629" t="s">
        <v>87</v>
      </c>
      <c r="L3629" t="s">
        <v>386</v>
      </c>
      <c r="M3629" t="s">
        <v>6</v>
      </c>
      <c r="N3629" t="b">
        <v>0</v>
      </c>
      <c r="O3629">
        <v>0</v>
      </c>
      <c r="P3629">
        <v>1</v>
      </c>
      <c r="Q3629">
        <v>0</v>
      </c>
      <c r="R3629">
        <v>0</v>
      </c>
    </row>
    <row r="3630" spans="1:18" x14ac:dyDescent="0.25">
      <c r="A3630" t="s">
        <v>52</v>
      </c>
      <c r="B3630" t="s">
        <v>6</v>
      </c>
      <c r="C3630">
        <v>4</v>
      </c>
      <c r="D3630">
        <v>1</v>
      </c>
      <c r="E3630">
        <v>1</v>
      </c>
      <c r="F3630" s="15">
        <v>46111</v>
      </c>
      <c r="G3630" t="s">
        <v>451</v>
      </c>
      <c r="H3630">
        <v>4</v>
      </c>
      <c r="I3630">
        <v>2026</v>
      </c>
      <c r="J3630">
        <v>3</v>
      </c>
      <c r="K3630" t="s">
        <v>87</v>
      </c>
      <c r="L3630" t="s">
        <v>19</v>
      </c>
      <c r="M3630" t="s">
        <v>8</v>
      </c>
      <c r="N3630" t="b">
        <v>0</v>
      </c>
      <c r="O3630">
        <v>0</v>
      </c>
      <c r="P3630">
        <v>1</v>
      </c>
      <c r="Q3630">
        <v>0</v>
      </c>
      <c r="R3630">
        <v>1</v>
      </c>
    </row>
    <row r="3631" spans="1:18" x14ac:dyDescent="0.25">
      <c r="A3631" t="s">
        <v>52</v>
      </c>
      <c r="B3631" t="s">
        <v>6</v>
      </c>
      <c r="C3631">
        <v>4</v>
      </c>
      <c r="D3631">
        <v>1</v>
      </c>
      <c r="E3631">
        <v>1</v>
      </c>
      <c r="F3631" s="15">
        <v>46111</v>
      </c>
      <c r="G3631" t="s">
        <v>451</v>
      </c>
      <c r="H3631">
        <v>4</v>
      </c>
      <c r="I3631">
        <v>2026</v>
      </c>
      <c r="J3631">
        <v>3</v>
      </c>
      <c r="K3631" t="s">
        <v>87</v>
      </c>
      <c r="L3631" t="s">
        <v>421</v>
      </c>
      <c r="M3631" t="s">
        <v>6</v>
      </c>
      <c r="N3631" t="b">
        <v>0</v>
      </c>
      <c r="O3631">
        <v>0</v>
      </c>
      <c r="P3631">
        <v>1</v>
      </c>
      <c r="Q3631">
        <v>0</v>
      </c>
      <c r="R3631">
        <v>0</v>
      </c>
    </row>
    <row r="3632" spans="1:18" x14ac:dyDescent="0.25">
      <c r="A3632" t="s">
        <v>405</v>
      </c>
      <c r="B3632" t="s">
        <v>8</v>
      </c>
      <c r="C3632">
        <v>1</v>
      </c>
      <c r="D3632">
        <v>2</v>
      </c>
      <c r="E3632">
        <v>1</v>
      </c>
      <c r="F3632" s="15">
        <v>46111</v>
      </c>
      <c r="G3632" t="s">
        <v>452</v>
      </c>
      <c r="H3632">
        <v>4</v>
      </c>
      <c r="I3632">
        <v>2026</v>
      </c>
      <c r="J3632">
        <v>3</v>
      </c>
      <c r="K3632" t="s">
        <v>87</v>
      </c>
      <c r="L3632" t="s">
        <v>51</v>
      </c>
      <c r="M3632" t="s">
        <v>6</v>
      </c>
      <c r="N3632" t="b">
        <v>0</v>
      </c>
      <c r="O3632">
        <v>1</v>
      </c>
      <c r="P3632">
        <v>0</v>
      </c>
      <c r="Q3632">
        <v>0</v>
      </c>
      <c r="R3632">
        <v>0</v>
      </c>
    </row>
    <row r="3633" spans="1:18" x14ac:dyDescent="0.25">
      <c r="A3633" t="s">
        <v>405</v>
      </c>
      <c r="B3633" t="s">
        <v>8</v>
      </c>
      <c r="C3633">
        <v>1</v>
      </c>
      <c r="D3633">
        <v>2</v>
      </c>
      <c r="E3633">
        <v>1</v>
      </c>
      <c r="F3633" s="15">
        <v>46111</v>
      </c>
      <c r="G3633" t="s">
        <v>452</v>
      </c>
      <c r="H3633">
        <v>4</v>
      </c>
      <c r="I3633">
        <v>2026</v>
      </c>
      <c r="J3633">
        <v>3</v>
      </c>
      <c r="K3633" t="s">
        <v>87</v>
      </c>
      <c r="L3633" t="s">
        <v>17</v>
      </c>
      <c r="M3633" t="s">
        <v>6</v>
      </c>
      <c r="N3633" t="b">
        <v>0</v>
      </c>
      <c r="O3633">
        <v>1</v>
      </c>
      <c r="P3633">
        <v>0</v>
      </c>
      <c r="Q3633">
        <v>0</v>
      </c>
      <c r="R3633">
        <v>0</v>
      </c>
    </row>
    <row r="3634" spans="1:18" x14ac:dyDescent="0.25">
      <c r="A3634" t="s">
        <v>405</v>
      </c>
      <c r="B3634" t="s">
        <v>8</v>
      </c>
      <c r="C3634">
        <v>1</v>
      </c>
      <c r="D3634">
        <v>2</v>
      </c>
      <c r="E3634">
        <v>1</v>
      </c>
      <c r="F3634" s="15">
        <v>46111</v>
      </c>
      <c r="G3634" t="s">
        <v>452</v>
      </c>
      <c r="H3634">
        <v>4</v>
      </c>
      <c r="I3634">
        <v>2026</v>
      </c>
      <c r="J3634">
        <v>3</v>
      </c>
      <c r="K3634" t="s">
        <v>87</v>
      </c>
      <c r="L3634" t="s">
        <v>363</v>
      </c>
      <c r="M3634" t="s">
        <v>6</v>
      </c>
      <c r="N3634" t="b">
        <v>0</v>
      </c>
      <c r="O3634">
        <v>1</v>
      </c>
      <c r="P3634">
        <v>0</v>
      </c>
      <c r="Q3634">
        <v>0</v>
      </c>
      <c r="R3634">
        <v>0</v>
      </c>
    </row>
    <row r="3635" spans="1:18" x14ac:dyDescent="0.25">
      <c r="A3635" t="s">
        <v>51</v>
      </c>
      <c r="B3635" t="s">
        <v>6</v>
      </c>
      <c r="C3635">
        <v>2</v>
      </c>
      <c r="D3635">
        <v>2</v>
      </c>
      <c r="E3635">
        <v>1</v>
      </c>
      <c r="F3635" s="15">
        <v>46111</v>
      </c>
      <c r="G3635" t="s">
        <v>452</v>
      </c>
      <c r="H3635">
        <v>4</v>
      </c>
      <c r="I3635">
        <v>2026</v>
      </c>
      <c r="J3635">
        <v>3</v>
      </c>
      <c r="K3635" t="s">
        <v>87</v>
      </c>
      <c r="L3635" t="s">
        <v>405</v>
      </c>
      <c r="M3635" t="s">
        <v>8</v>
      </c>
      <c r="N3635" t="b">
        <v>0</v>
      </c>
      <c r="O3635">
        <v>0</v>
      </c>
      <c r="P3635">
        <v>1</v>
      </c>
      <c r="Q3635">
        <v>0</v>
      </c>
      <c r="R3635">
        <v>1</v>
      </c>
    </row>
    <row r="3636" spans="1:18" x14ac:dyDescent="0.25">
      <c r="A3636" t="s">
        <v>51</v>
      </c>
      <c r="B3636" t="s">
        <v>6</v>
      </c>
      <c r="C3636">
        <v>2</v>
      </c>
      <c r="D3636">
        <v>2</v>
      </c>
      <c r="E3636">
        <v>1</v>
      </c>
      <c r="F3636" s="15">
        <v>46111</v>
      </c>
      <c r="G3636" t="s">
        <v>452</v>
      </c>
      <c r="H3636">
        <v>4</v>
      </c>
      <c r="I3636">
        <v>2026</v>
      </c>
      <c r="J3636">
        <v>3</v>
      </c>
      <c r="K3636" t="s">
        <v>87</v>
      </c>
      <c r="L3636" t="s">
        <v>17</v>
      </c>
      <c r="M3636" t="s">
        <v>6</v>
      </c>
      <c r="N3636" t="b">
        <v>0</v>
      </c>
      <c r="O3636">
        <v>0</v>
      </c>
      <c r="P3636">
        <v>1</v>
      </c>
      <c r="Q3636">
        <v>0</v>
      </c>
      <c r="R3636">
        <v>0</v>
      </c>
    </row>
    <row r="3637" spans="1:18" x14ac:dyDescent="0.25">
      <c r="A3637" t="s">
        <v>51</v>
      </c>
      <c r="B3637" t="s">
        <v>6</v>
      </c>
      <c r="C3637">
        <v>2</v>
      </c>
      <c r="D3637">
        <v>2</v>
      </c>
      <c r="E3637">
        <v>1</v>
      </c>
      <c r="F3637" s="15">
        <v>46111</v>
      </c>
      <c r="G3637" t="s">
        <v>452</v>
      </c>
      <c r="H3637">
        <v>4</v>
      </c>
      <c r="I3637">
        <v>2026</v>
      </c>
      <c r="J3637">
        <v>3</v>
      </c>
      <c r="K3637" t="s">
        <v>87</v>
      </c>
      <c r="L3637" t="s">
        <v>363</v>
      </c>
      <c r="M3637" t="s">
        <v>6</v>
      </c>
      <c r="N3637" t="b">
        <v>0</v>
      </c>
      <c r="O3637">
        <v>0</v>
      </c>
      <c r="P3637">
        <v>1</v>
      </c>
      <c r="Q3637">
        <v>0</v>
      </c>
      <c r="R3637">
        <v>0</v>
      </c>
    </row>
    <row r="3638" spans="1:18" x14ac:dyDescent="0.25">
      <c r="A3638" t="s">
        <v>17</v>
      </c>
      <c r="B3638" t="s">
        <v>6</v>
      </c>
      <c r="C3638">
        <v>3</v>
      </c>
      <c r="D3638">
        <v>2</v>
      </c>
      <c r="E3638">
        <v>1</v>
      </c>
      <c r="F3638" s="15">
        <v>46111</v>
      </c>
      <c r="G3638" t="s">
        <v>452</v>
      </c>
      <c r="H3638">
        <v>4</v>
      </c>
      <c r="I3638">
        <v>2026</v>
      </c>
      <c r="J3638">
        <v>3</v>
      </c>
      <c r="K3638" t="s">
        <v>87</v>
      </c>
      <c r="L3638" t="s">
        <v>405</v>
      </c>
      <c r="M3638" t="s">
        <v>8</v>
      </c>
      <c r="N3638" t="b">
        <v>0</v>
      </c>
      <c r="O3638">
        <v>0</v>
      </c>
      <c r="P3638">
        <v>1</v>
      </c>
      <c r="Q3638">
        <v>0</v>
      </c>
      <c r="R3638">
        <v>1</v>
      </c>
    </row>
    <row r="3639" spans="1:18" x14ac:dyDescent="0.25">
      <c r="A3639" t="s">
        <v>17</v>
      </c>
      <c r="B3639" t="s">
        <v>6</v>
      </c>
      <c r="C3639">
        <v>3</v>
      </c>
      <c r="D3639">
        <v>2</v>
      </c>
      <c r="E3639">
        <v>1</v>
      </c>
      <c r="F3639" s="15">
        <v>46111</v>
      </c>
      <c r="G3639" t="s">
        <v>452</v>
      </c>
      <c r="H3639">
        <v>4</v>
      </c>
      <c r="I3639">
        <v>2026</v>
      </c>
      <c r="J3639">
        <v>3</v>
      </c>
      <c r="K3639" t="s">
        <v>87</v>
      </c>
      <c r="L3639" t="s">
        <v>51</v>
      </c>
      <c r="M3639" t="s">
        <v>6</v>
      </c>
      <c r="N3639" t="b">
        <v>0</v>
      </c>
      <c r="O3639">
        <v>0</v>
      </c>
      <c r="P3639">
        <v>1</v>
      </c>
      <c r="Q3639">
        <v>0</v>
      </c>
      <c r="R3639">
        <v>0</v>
      </c>
    </row>
    <row r="3640" spans="1:18" x14ac:dyDescent="0.25">
      <c r="A3640" t="s">
        <v>17</v>
      </c>
      <c r="B3640" t="s">
        <v>6</v>
      </c>
      <c r="C3640">
        <v>3</v>
      </c>
      <c r="D3640">
        <v>2</v>
      </c>
      <c r="E3640">
        <v>1</v>
      </c>
      <c r="F3640" s="15">
        <v>46111</v>
      </c>
      <c r="G3640" t="s">
        <v>452</v>
      </c>
      <c r="H3640">
        <v>4</v>
      </c>
      <c r="I3640">
        <v>2026</v>
      </c>
      <c r="J3640">
        <v>3</v>
      </c>
      <c r="K3640" t="s">
        <v>87</v>
      </c>
      <c r="L3640" t="s">
        <v>363</v>
      </c>
      <c r="M3640" t="s">
        <v>6</v>
      </c>
      <c r="N3640" t="b">
        <v>0</v>
      </c>
      <c r="O3640">
        <v>0</v>
      </c>
      <c r="P3640">
        <v>1</v>
      </c>
      <c r="Q3640">
        <v>0</v>
      </c>
      <c r="R3640">
        <v>0</v>
      </c>
    </row>
    <row r="3641" spans="1:18" x14ac:dyDescent="0.25">
      <c r="A3641" t="s">
        <v>363</v>
      </c>
      <c r="B3641" t="s">
        <v>6</v>
      </c>
      <c r="C3641">
        <v>4</v>
      </c>
      <c r="D3641">
        <v>2</v>
      </c>
      <c r="E3641">
        <v>1</v>
      </c>
      <c r="F3641" s="15">
        <v>46111</v>
      </c>
      <c r="G3641" t="s">
        <v>452</v>
      </c>
      <c r="H3641">
        <v>4</v>
      </c>
      <c r="I3641">
        <v>2026</v>
      </c>
      <c r="J3641">
        <v>3</v>
      </c>
      <c r="K3641" t="s">
        <v>87</v>
      </c>
      <c r="L3641" t="s">
        <v>405</v>
      </c>
      <c r="M3641" t="s">
        <v>8</v>
      </c>
      <c r="N3641" t="b">
        <v>0</v>
      </c>
      <c r="O3641">
        <v>0</v>
      </c>
      <c r="P3641">
        <v>1</v>
      </c>
      <c r="Q3641">
        <v>0</v>
      </c>
      <c r="R3641">
        <v>1</v>
      </c>
    </row>
    <row r="3642" spans="1:18" x14ac:dyDescent="0.25">
      <c r="A3642" t="s">
        <v>363</v>
      </c>
      <c r="B3642" t="s">
        <v>6</v>
      </c>
      <c r="C3642">
        <v>4</v>
      </c>
      <c r="D3642">
        <v>2</v>
      </c>
      <c r="E3642">
        <v>1</v>
      </c>
      <c r="F3642" s="15">
        <v>46111</v>
      </c>
      <c r="G3642" t="s">
        <v>452</v>
      </c>
      <c r="H3642">
        <v>4</v>
      </c>
      <c r="I3642">
        <v>2026</v>
      </c>
      <c r="J3642">
        <v>3</v>
      </c>
      <c r="K3642" t="s">
        <v>87</v>
      </c>
      <c r="L3642" t="s">
        <v>51</v>
      </c>
      <c r="M3642" t="s">
        <v>6</v>
      </c>
      <c r="N3642" t="b">
        <v>0</v>
      </c>
      <c r="O3642">
        <v>0</v>
      </c>
      <c r="P3642">
        <v>1</v>
      </c>
      <c r="Q3642">
        <v>0</v>
      </c>
      <c r="R3642">
        <v>0</v>
      </c>
    </row>
    <row r="3643" spans="1:18" x14ac:dyDescent="0.25">
      <c r="A3643" t="s">
        <v>363</v>
      </c>
      <c r="B3643" t="s">
        <v>6</v>
      </c>
      <c r="C3643">
        <v>4</v>
      </c>
      <c r="D3643">
        <v>2</v>
      </c>
      <c r="E3643">
        <v>1</v>
      </c>
      <c r="F3643" s="15">
        <v>46111</v>
      </c>
      <c r="G3643" t="s">
        <v>452</v>
      </c>
      <c r="H3643">
        <v>4</v>
      </c>
      <c r="I3643">
        <v>2026</v>
      </c>
      <c r="J3643">
        <v>3</v>
      </c>
      <c r="K3643" t="s">
        <v>87</v>
      </c>
      <c r="L3643" t="s">
        <v>17</v>
      </c>
      <c r="M3643" t="s">
        <v>6</v>
      </c>
      <c r="N3643" t="b">
        <v>0</v>
      </c>
      <c r="O3643">
        <v>0</v>
      </c>
      <c r="P3643">
        <v>1</v>
      </c>
      <c r="Q3643">
        <v>0</v>
      </c>
      <c r="R3643">
        <v>0</v>
      </c>
    </row>
    <row r="3644" spans="1:18" x14ac:dyDescent="0.25">
      <c r="A3644" t="s">
        <v>41</v>
      </c>
      <c r="B3644" t="s">
        <v>6</v>
      </c>
      <c r="C3644">
        <v>1</v>
      </c>
      <c r="D3644">
        <v>3</v>
      </c>
      <c r="E3644">
        <v>1</v>
      </c>
      <c r="F3644" s="15">
        <v>46111</v>
      </c>
      <c r="G3644" t="s">
        <v>453</v>
      </c>
      <c r="H3644">
        <v>4</v>
      </c>
      <c r="I3644">
        <v>2026</v>
      </c>
      <c r="J3644">
        <v>3</v>
      </c>
      <c r="K3644" t="s">
        <v>87</v>
      </c>
      <c r="L3644" t="s">
        <v>27</v>
      </c>
      <c r="M3644" t="s">
        <v>6</v>
      </c>
      <c r="N3644" t="b">
        <v>0</v>
      </c>
      <c r="O3644">
        <v>0</v>
      </c>
      <c r="P3644">
        <v>1</v>
      </c>
      <c r="Q3644">
        <v>0</v>
      </c>
      <c r="R3644">
        <v>0</v>
      </c>
    </row>
    <row r="3645" spans="1:18" x14ac:dyDescent="0.25">
      <c r="A3645" t="s">
        <v>41</v>
      </c>
      <c r="B3645" t="s">
        <v>6</v>
      </c>
      <c r="C3645">
        <v>1</v>
      </c>
      <c r="D3645">
        <v>3</v>
      </c>
      <c r="E3645">
        <v>1</v>
      </c>
      <c r="F3645" s="15">
        <v>46111</v>
      </c>
      <c r="G3645" t="s">
        <v>453</v>
      </c>
      <c r="H3645">
        <v>4</v>
      </c>
      <c r="I3645">
        <v>2026</v>
      </c>
      <c r="J3645">
        <v>3</v>
      </c>
      <c r="K3645" t="s">
        <v>87</v>
      </c>
      <c r="L3645" t="s">
        <v>364</v>
      </c>
      <c r="M3645" t="s">
        <v>6</v>
      </c>
      <c r="N3645" t="b">
        <v>0</v>
      </c>
      <c r="O3645">
        <v>0</v>
      </c>
      <c r="P3645">
        <v>1</v>
      </c>
      <c r="Q3645">
        <v>0</v>
      </c>
      <c r="R3645">
        <v>0</v>
      </c>
    </row>
    <row r="3646" spans="1:18" x14ac:dyDescent="0.25">
      <c r="A3646" t="s">
        <v>41</v>
      </c>
      <c r="B3646" t="s">
        <v>6</v>
      </c>
      <c r="C3646">
        <v>1</v>
      </c>
      <c r="D3646">
        <v>3</v>
      </c>
      <c r="E3646">
        <v>1</v>
      </c>
      <c r="F3646" s="15">
        <v>46111</v>
      </c>
      <c r="G3646" t="s">
        <v>453</v>
      </c>
      <c r="H3646">
        <v>4</v>
      </c>
      <c r="I3646">
        <v>2026</v>
      </c>
      <c r="J3646">
        <v>3</v>
      </c>
      <c r="K3646" t="s">
        <v>87</v>
      </c>
      <c r="L3646" t="s">
        <v>436</v>
      </c>
      <c r="M3646" t="s">
        <v>8</v>
      </c>
      <c r="N3646" t="b">
        <v>0</v>
      </c>
      <c r="O3646">
        <v>0</v>
      </c>
      <c r="P3646">
        <v>1</v>
      </c>
      <c r="Q3646">
        <v>0</v>
      </c>
      <c r="R3646">
        <v>1</v>
      </c>
    </row>
    <row r="3647" spans="1:18" x14ac:dyDescent="0.25">
      <c r="A3647" t="s">
        <v>27</v>
      </c>
      <c r="B3647" t="s">
        <v>6</v>
      </c>
      <c r="C3647">
        <v>2</v>
      </c>
      <c r="D3647">
        <v>3</v>
      </c>
      <c r="E3647">
        <v>1</v>
      </c>
      <c r="F3647" s="15">
        <v>46111</v>
      </c>
      <c r="G3647" t="s">
        <v>453</v>
      </c>
      <c r="H3647">
        <v>4</v>
      </c>
      <c r="I3647">
        <v>2026</v>
      </c>
      <c r="J3647">
        <v>3</v>
      </c>
      <c r="K3647" t="s">
        <v>87</v>
      </c>
      <c r="L3647" t="s">
        <v>41</v>
      </c>
      <c r="M3647" t="s">
        <v>6</v>
      </c>
      <c r="N3647" t="b">
        <v>0</v>
      </c>
      <c r="O3647">
        <v>0</v>
      </c>
      <c r="P3647">
        <v>1</v>
      </c>
      <c r="Q3647">
        <v>0</v>
      </c>
      <c r="R3647">
        <v>0</v>
      </c>
    </row>
    <row r="3648" spans="1:18" x14ac:dyDescent="0.25">
      <c r="A3648" t="s">
        <v>27</v>
      </c>
      <c r="B3648" t="s">
        <v>6</v>
      </c>
      <c r="C3648">
        <v>2</v>
      </c>
      <c r="D3648">
        <v>3</v>
      </c>
      <c r="E3648">
        <v>1</v>
      </c>
      <c r="F3648" s="15">
        <v>46111</v>
      </c>
      <c r="G3648" t="s">
        <v>453</v>
      </c>
      <c r="H3648">
        <v>4</v>
      </c>
      <c r="I3648">
        <v>2026</v>
      </c>
      <c r="J3648">
        <v>3</v>
      </c>
      <c r="K3648" t="s">
        <v>87</v>
      </c>
      <c r="L3648" t="s">
        <v>364</v>
      </c>
      <c r="M3648" t="s">
        <v>6</v>
      </c>
      <c r="N3648" t="b">
        <v>0</v>
      </c>
      <c r="O3648">
        <v>0</v>
      </c>
      <c r="P3648">
        <v>1</v>
      </c>
      <c r="Q3648">
        <v>0</v>
      </c>
      <c r="R3648">
        <v>0</v>
      </c>
    </row>
    <row r="3649" spans="1:18" x14ac:dyDescent="0.25">
      <c r="A3649" t="s">
        <v>27</v>
      </c>
      <c r="B3649" t="s">
        <v>6</v>
      </c>
      <c r="C3649">
        <v>2</v>
      </c>
      <c r="D3649">
        <v>3</v>
      </c>
      <c r="E3649">
        <v>1</v>
      </c>
      <c r="F3649" s="15">
        <v>46111</v>
      </c>
      <c r="G3649" t="s">
        <v>453</v>
      </c>
      <c r="H3649">
        <v>4</v>
      </c>
      <c r="I3649">
        <v>2026</v>
      </c>
      <c r="J3649">
        <v>3</v>
      </c>
      <c r="K3649" t="s">
        <v>87</v>
      </c>
      <c r="L3649" t="s">
        <v>436</v>
      </c>
      <c r="M3649" t="s">
        <v>8</v>
      </c>
      <c r="N3649" t="b">
        <v>0</v>
      </c>
      <c r="O3649">
        <v>0</v>
      </c>
      <c r="P3649">
        <v>1</v>
      </c>
      <c r="Q3649">
        <v>0</v>
      </c>
      <c r="R3649">
        <v>1</v>
      </c>
    </row>
    <row r="3650" spans="1:18" x14ac:dyDescent="0.25">
      <c r="A3650" t="s">
        <v>364</v>
      </c>
      <c r="B3650" t="s">
        <v>6</v>
      </c>
      <c r="C3650">
        <v>3</v>
      </c>
      <c r="D3650">
        <v>3</v>
      </c>
      <c r="E3650">
        <v>1</v>
      </c>
      <c r="F3650" s="15">
        <v>46111</v>
      </c>
      <c r="G3650" t="s">
        <v>453</v>
      </c>
      <c r="H3650">
        <v>4</v>
      </c>
      <c r="I3650">
        <v>2026</v>
      </c>
      <c r="J3650">
        <v>3</v>
      </c>
      <c r="K3650" t="s">
        <v>87</v>
      </c>
      <c r="L3650" t="s">
        <v>41</v>
      </c>
      <c r="M3650" t="s">
        <v>6</v>
      </c>
      <c r="N3650" t="b">
        <v>0</v>
      </c>
      <c r="O3650">
        <v>0</v>
      </c>
      <c r="P3650">
        <v>1</v>
      </c>
      <c r="Q3650">
        <v>0</v>
      </c>
      <c r="R3650">
        <v>0</v>
      </c>
    </row>
    <row r="3651" spans="1:18" x14ac:dyDescent="0.25">
      <c r="A3651" t="s">
        <v>364</v>
      </c>
      <c r="B3651" t="s">
        <v>6</v>
      </c>
      <c r="C3651">
        <v>3</v>
      </c>
      <c r="D3651">
        <v>3</v>
      </c>
      <c r="E3651">
        <v>1</v>
      </c>
      <c r="F3651" s="15">
        <v>46111</v>
      </c>
      <c r="G3651" t="s">
        <v>453</v>
      </c>
      <c r="H3651">
        <v>4</v>
      </c>
      <c r="I3651">
        <v>2026</v>
      </c>
      <c r="J3651">
        <v>3</v>
      </c>
      <c r="K3651" t="s">
        <v>87</v>
      </c>
      <c r="L3651" t="s">
        <v>27</v>
      </c>
      <c r="M3651" t="s">
        <v>6</v>
      </c>
      <c r="N3651" t="b">
        <v>0</v>
      </c>
      <c r="O3651">
        <v>0</v>
      </c>
      <c r="P3651">
        <v>1</v>
      </c>
      <c r="Q3651">
        <v>0</v>
      </c>
      <c r="R3651">
        <v>0</v>
      </c>
    </row>
    <row r="3652" spans="1:18" x14ac:dyDescent="0.25">
      <c r="A3652" t="s">
        <v>364</v>
      </c>
      <c r="B3652" t="s">
        <v>6</v>
      </c>
      <c r="C3652">
        <v>3</v>
      </c>
      <c r="D3652">
        <v>3</v>
      </c>
      <c r="E3652">
        <v>1</v>
      </c>
      <c r="F3652" s="15">
        <v>46111</v>
      </c>
      <c r="G3652" t="s">
        <v>453</v>
      </c>
      <c r="H3652">
        <v>4</v>
      </c>
      <c r="I3652">
        <v>2026</v>
      </c>
      <c r="J3652">
        <v>3</v>
      </c>
      <c r="K3652" t="s">
        <v>87</v>
      </c>
      <c r="L3652" t="s">
        <v>436</v>
      </c>
      <c r="M3652" t="s">
        <v>8</v>
      </c>
      <c r="N3652" t="b">
        <v>0</v>
      </c>
      <c r="O3652">
        <v>0</v>
      </c>
      <c r="P3652">
        <v>1</v>
      </c>
      <c r="Q3652">
        <v>0</v>
      </c>
      <c r="R3652">
        <v>1</v>
      </c>
    </row>
    <row r="3653" spans="1:18" x14ac:dyDescent="0.25">
      <c r="A3653" t="s">
        <v>436</v>
      </c>
      <c r="B3653" t="s">
        <v>8</v>
      </c>
      <c r="C3653">
        <v>4</v>
      </c>
      <c r="D3653">
        <v>3</v>
      </c>
      <c r="E3653">
        <v>1</v>
      </c>
      <c r="F3653" s="15">
        <v>46111</v>
      </c>
      <c r="G3653" t="s">
        <v>453</v>
      </c>
      <c r="H3653">
        <v>4</v>
      </c>
      <c r="I3653">
        <v>2026</v>
      </c>
      <c r="J3653">
        <v>3</v>
      </c>
      <c r="K3653" t="s">
        <v>87</v>
      </c>
      <c r="L3653" t="s">
        <v>41</v>
      </c>
      <c r="M3653" t="s">
        <v>6</v>
      </c>
      <c r="N3653" t="b">
        <v>0</v>
      </c>
      <c r="O3653">
        <v>1</v>
      </c>
      <c r="P3653">
        <v>0</v>
      </c>
      <c r="Q3653">
        <v>0</v>
      </c>
      <c r="R3653">
        <v>0</v>
      </c>
    </row>
    <row r="3654" spans="1:18" x14ac:dyDescent="0.25">
      <c r="A3654" t="s">
        <v>436</v>
      </c>
      <c r="B3654" t="s">
        <v>8</v>
      </c>
      <c r="C3654">
        <v>4</v>
      </c>
      <c r="D3654">
        <v>3</v>
      </c>
      <c r="E3654">
        <v>1</v>
      </c>
      <c r="F3654" s="15">
        <v>46111</v>
      </c>
      <c r="G3654" t="s">
        <v>453</v>
      </c>
      <c r="H3654">
        <v>4</v>
      </c>
      <c r="I3654">
        <v>2026</v>
      </c>
      <c r="J3654">
        <v>3</v>
      </c>
      <c r="K3654" t="s">
        <v>87</v>
      </c>
      <c r="L3654" t="s">
        <v>27</v>
      </c>
      <c r="M3654" t="s">
        <v>6</v>
      </c>
      <c r="N3654" t="b">
        <v>0</v>
      </c>
      <c r="O3654">
        <v>1</v>
      </c>
      <c r="P3654">
        <v>0</v>
      </c>
      <c r="Q3654">
        <v>0</v>
      </c>
      <c r="R3654">
        <v>0</v>
      </c>
    </row>
    <row r="3655" spans="1:18" x14ac:dyDescent="0.25">
      <c r="A3655" t="s">
        <v>436</v>
      </c>
      <c r="B3655" t="s">
        <v>8</v>
      </c>
      <c r="C3655">
        <v>4</v>
      </c>
      <c r="D3655">
        <v>3</v>
      </c>
      <c r="E3655">
        <v>1</v>
      </c>
      <c r="F3655" s="15">
        <v>46111</v>
      </c>
      <c r="G3655" t="s">
        <v>453</v>
      </c>
      <c r="H3655">
        <v>4</v>
      </c>
      <c r="I3655">
        <v>2026</v>
      </c>
      <c r="J3655">
        <v>3</v>
      </c>
      <c r="K3655" t="s">
        <v>87</v>
      </c>
      <c r="L3655" t="s">
        <v>364</v>
      </c>
      <c r="M3655" t="s">
        <v>6</v>
      </c>
      <c r="N3655" t="b">
        <v>0</v>
      </c>
      <c r="O3655">
        <v>1</v>
      </c>
      <c r="P3655">
        <v>0</v>
      </c>
      <c r="Q3655">
        <v>0</v>
      </c>
      <c r="R3655">
        <v>0</v>
      </c>
    </row>
    <row r="3656" spans="1:18" x14ac:dyDescent="0.25">
      <c r="A3656" t="s">
        <v>326</v>
      </c>
      <c r="B3656" t="s">
        <v>8</v>
      </c>
      <c r="C3656">
        <v>1</v>
      </c>
      <c r="D3656">
        <v>4</v>
      </c>
      <c r="E3656">
        <v>1</v>
      </c>
      <c r="F3656" s="15">
        <v>46111</v>
      </c>
      <c r="G3656" t="s">
        <v>454</v>
      </c>
      <c r="H3656">
        <v>3</v>
      </c>
      <c r="I3656">
        <v>2026</v>
      </c>
      <c r="J3656">
        <v>3</v>
      </c>
      <c r="K3656" t="s">
        <v>87</v>
      </c>
      <c r="L3656" t="s">
        <v>9</v>
      </c>
      <c r="M3656" t="s">
        <v>6</v>
      </c>
      <c r="N3656" t="b">
        <v>0</v>
      </c>
      <c r="O3656">
        <v>1</v>
      </c>
      <c r="P3656">
        <v>0</v>
      </c>
      <c r="Q3656">
        <v>0</v>
      </c>
      <c r="R3656">
        <v>0</v>
      </c>
    </row>
    <row r="3657" spans="1:18" x14ac:dyDescent="0.25">
      <c r="A3657" t="s">
        <v>326</v>
      </c>
      <c r="B3657" t="s">
        <v>8</v>
      </c>
      <c r="C3657">
        <v>1</v>
      </c>
      <c r="D3657">
        <v>4</v>
      </c>
      <c r="E3657">
        <v>1</v>
      </c>
      <c r="F3657" s="15">
        <v>46111</v>
      </c>
      <c r="G3657" t="s">
        <v>454</v>
      </c>
      <c r="H3657">
        <v>3</v>
      </c>
      <c r="I3657">
        <v>2026</v>
      </c>
      <c r="J3657">
        <v>3</v>
      </c>
      <c r="K3657" t="s">
        <v>87</v>
      </c>
      <c r="L3657" t="s">
        <v>10</v>
      </c>
      <c r="M3657" t="s">
        <v>6</v>
      </c>
      <c r="N3657" t="b">
        <v>0</v>
      </c>
      <c r="O3657">
        <v>1</v>
      </c>
      <c r="P3657">
        <v>0</v>
      </c>
      <c r="Q3657">
        <v>0</v>
      </c>
      <c r="R3657">
        <v>0</v>
      </c>
    </row>
    <row r="3658" spans="1:18" x14ac:dyDescent="0.25">
      <c r="A3658" t="s">
        <v>9</v>
      </c>
      <c r="B3658" t="s">
        <v>6</v>
      </c>
      <c r="C3658">
        <v>2</v>
      </c>
      <c r="D3658">
        <v>4</v>
      </c>
      <c r="E3658">
        <v>1</v>
      </c>
      <c r="F3658" s="15">
        <v>46111</v>
      </c>
      <c r="G3658" t="s">
        <v>454</v>
      </c>
      <c r="H3658">
        <v>3</v>
      </c>
      <c r="I3658">
        <v>2026</v>
      </c>
      <c r="J3658">
        <v>3</v>
      </c>
      <c r="K3658" t="s">
        <v>87</v>
      </c>
      <c r="L3658" t="s">
        <v>326</v>
      </c>
      <c r="M3658" t="s">
        <v>8</v>
      </c>
      <c r="N3658" t="b">
        <v>0</v>
      </c>
      <c r="O3658">
        <v>0</v>
      </c>
      <c r="P3658">
        <v>1</v>
      </c>
      <c r="Q3658">
        <v>0</v>
      </c>
      <c r="R3658">
        <v>1</v>
      </c>
    </row>
    <row r="3659" spans="1:18" x14ac:dyDescent="0.25">
      <c r="A3659" t="s">
        <v>9</v>
      </c>
      <c r="B3659" t="s">
        <v>6</v>
      </c>
      <c r="C3659">
        <v>2</v>
      </c>
      <c r="D3659">
        <v>4</v>
      </c>
      <c r="E3659">
        <v>1</v>
      </c>
      <c r="F3659" s="15">
        <v>46111</v>
      </c>
      <c r="G3659" t="s">
        <v>454</v>
      </c>
      <c r="H3659">
        <v>3</v>
      </c>
      <c r="I3659">
        <v>2026</v>
      </c>
      <c r="J3659">
        <v>3</v>
      </c>
      <c r="K3659" t="s">
        <v>87</v>
      </c>
      <c r="L3659" t="s">
        <v>10</v>
      </c>
      <c r="M3659" t="s">
        <v>6</v>
      </c>
      <c r="N3659" t="b">
        <v>0</v>
      </c>
      <c r="O3659">
        <v>0</v>
      </c>
      <c r="P3659">
        <v>1</v>
      </c>
      <c r="Q3659">
        <v>0</v>
      </c>
      <c r="R3659">
        <v>0</v>
      </c>
    </row>
    <row r="3660" spans="1:18" x14ac:dyDescent="0.25">
      <c r="A3660" t="s">
        <v>10</v>
      </c>
      <c r="B3660" t="s">
        <v>6</v>
      </c>
      <c r="C3660">
        <v>3</v>
      </c>
      <c r="D3660">
        <v>4</v>
      </c>
      <c r="E3660">
        <v>1</v>
      </c>
      <c r="F3660" s="15">
        <v>46111</v>
      </c>
      <c r="G3660" t="s">
        <v>454</v>
      </c>
      <c r="H3660">
        <v>3</v>
      </c>
      <c r="I3660">
        <v>2026</v>
      </c>
      <c r="J3660">
        <v>3</v>
      </c>
      <c r="K3660" t="s">
        <v>87</v>
      </c>
      <c r="L3660" t="s">
        <v>326</v>
      </c>
      <c r="M3660" t="s">
        <v>8</v>
      </c>
      <c r="N3660" t="b">
        <v>0</v>
      </c>
      <c r="O3660">
        <v>0</v>
      </c>
      <c r="P3660">
        <v>1</v>
      </c>
      <c r="Q3660">
        <v>0</v>
      </c>
      <c r="R3660">
        <v>1</v>
      </c>
    </row>
    <row r="3661" spans="1:18" x14ac:dyDescent="0.25">
      <c r="A3661" t="s">
        <v>10</v>
      </c>
      <c r="B3661" t="s">
        <v>6</v>
      </c>
      <c r="C3661">
        <v>3</v>
      </c>
      <c r="D3661">
        <v>4</v>
      </c>
      <c r="E3661">
        <v>1</v>
      </c>
      <c r="F3661" s="15">
        <v>46111</v>
      </c>
      <c r="G3661" t="s">
        <v>454</v>
      </c>
      <c r="H3661">
        <v>3</v>
      </c>
      <c r="I3661">
        <v>2026</v>
      </c>
      <c r="J3661">
        <v>3</v>
      </c>
      <c r="K3661" t="s">
        <v>87</v>
      </c>
      <c r="L3661" t="s">
        <v>9</v>
      </c>
      <c r="M3661" t="s">
        <v>6</v>
      </c>
      <c r="N3661" t="b">
        <v>0</v>
      </c>
      <c r="O3661">
        <v>0</v>
      </c>
      <c r="P3661">
        <v>1</v>
      </c>
      <c r="Q3661">
        <v>0</v>
      </c>
      <c r="R3661">
        <v>0</v>
      </c>
    </row>
    <row r="3662" spans="1:18" x14ac:dyDescent="0.25">
      <c r="A3662" t="s">
        <v>325</v>
      </c>
      <c r="B3662" t="s">
        <v>8</v>
      </c>
      <c r="C3662">
        <v>1</v>
      </c>
      <c r="D3662">
        <v>5</v>
      </c>
      <c r="E3662">
        <v>1</v>
      </c>
      <c r="F3662" s="15">
        <v>46111</v>
      </c>
      <c r="G3662" t="s">
        <v>455</v>
      </c>
      <c r="H3662">
        <v>3</v>
      </c>
      <c r="I3662">
        <v>2026</v>
      </c>
      <c r="J3662">
        <v>3</v>
      </c>
      <c r="K3662" t="s">
        <v>87</v>
      </c>
      <c r="L3662" t="s">
        <v>351</v>
      </c>
      <c r="M3662" t="s">
        <v>6</v>
      </c>
      <c r="N3662" t="b">
        <v>0</v>
      </c>
      <c r="O3662">
        <v>1</v>
      </c>
      <c r="P3662">
        <v>0</v>
      </c>
      <c r="Q3662">
        <v>0</v>
      </c>
      <c r="R3662">
        <v>0</v>
      </c>
    </row>
    <row r="3663" spans="1:18" x14ac:dyDescent="0.25">
      <c r="A3663" t="s">
        <v>325</v>
      </c>
      <c r="B3663" t="s">
        <v>8</v>
      </c>
      <c r="C3663">
        <v>1</v>
      </c>
      <c r="D3663">
        <v>5</v>
      </c>
      <c r="E3663">
        <v>1</v>
      </c>
      <c r="F3663" s="15">
        <v>46111</v>
      </c>
      <c r="G3663" t="s">
        <v>455</v>
      </c>
      <c r="H3663">
        <v>3</v>
      </c>
      <c r="I3663">
        <v>2026</v>
      </c>
      <c r="J3663">
        <v>3</v>
      </c>
      <c r="K3663" t="s">
        <v>87</v>
      </c>
      <c r="L3663" t="s">
        <v>28</v>
      </c>
      <c r="M3663" t="s">
        <v>6</v>
      </c>
      <c r="N3663" t="b">
        <v>0</v>
      </c>
      <c r="O3663">
        <v>1</v>
      </c>
      <c r="P3663">
        <v>0</v>
      </c>
      <c r="Q3663">
        <v>0</v>
      </c>
      <c r="R3663">
        <v>0</v>
      </c>
    </row>
    <row r="3664" spans="1:18" x14ac:dyDescent="0.25">
      <c r="A3664" t="s">
        <v>351</v>
      </c>
      <c r="B3664" t="s">
        <v>6</v>
      </c>
      <c r="C3664">
        <v>2</v>
      </c>
      <c r="D3664">
        <v>5</v>
      </c>
      <c r="E3664">
        <v>1</v>
      </c>
      <c r="F3664" s="15">
        <v>46111</v>
      </c>
      <c r="G3664" t="s">
        <v>455</v>
      </c>
      <c r="H3664">
        <v>3</v>
      </c>
      <c r="I3664">
        <v>2026</v>
      </c>
      <c r="J3664">
        <v>3</v>
      </c>
      <c r="K3664" t="s">
        <v>87</v>
      </c>
      <c r="L3664" t="s">
        <v>325</v>
      </c>
      <c r="M3664" t="s">
        <v>8</v>
      </c>
      <c r="N3664" t="b">
        <v>0</v>
      </c>
      <c r="O3664">
        <v>0</v>
      </c>
      <c r="P3664">
        <v>1</v>
      </c>
      <c r="Q3664">
        <v>0</v>
      </c>
      <c r="R3664">
        <v>1</v>
      </c>
    </row>
    <row r="3665" spans="1:18" x14ac:dyDescent="0.25">
      <c r="A3665" t="s">
        <v>351</v>
      </c>
      <c r="B3665" t="s">
        <v>6</v>
      </c>
      <c r="C3665">
        <v>2</v>
      </c>
      <c r="D3665">
        <v>5</v>
      </c>
      <c r="E3665">
        <v>1</v>
      </c>
      <c r="F3665" s="15">
        <v>46111</v>
      </c>
      <c r="G3665" t="s">
        <v>455</v>
      </c>
      <c r="H3665">
        <v>3</v>
      </c>
      <c r="I3665">
        <v>2026</v>
      </c>
      <c r="J3665">
        <v>3</v>
      </c>
      <c r="K3665" t="s">
        <v>87</v>
      </c>
      <c r="L3665" t="s">
        <v>28</v>
      </c>
      <c r="M3665" t="s">
        <v>6</v>
      </c>
      <c r="N3665" t="b">
        <v>0</v>
      </c>
      <c r="O3665">
        <v>0</v>
      </c>
      <c r="P3665">
        <v>1</v>
      </c>
      <c r="Q3665">
        <v>0</v>
      </c>
      <c r="R3665">
        <v>0</v>
      </c>
    </row>
    <row r="3666" spans="1:18" x14ac:dyDescent="0.25">
      <c r="A3666" t="s">
        <v>28</v>
      </c>
      <c r="B3666" t="s">
        <v>6</v>
      </c>
      <c r="C3666">
        <v>3</v>
      </c>
      <c r="D3666">
        <v>5</v>
      </c>
      <c r="E3666">
        <v>1</v>
      </c>
      <c r="F3666" s="15">
        <v>46111</v>
      </c>
      <c r="G3666" t="s">
        <v>455</v>
      </c>
      <c r="H3666">
        <v>3</v>
      </c>
      <c r="I3666">
        <v>2026</v>
      </c>
      <c r="J3666">
        <v>3</v>
      </c>
      <c r="K3666" t="s">
        <v>87</v>
      </c>
      <c r="L3666" t="s">
        <v>325</v>
      </c>
      <c r="M3666" t="s">
        <v>8</v>
      </c>
      <c r="N3666" t="b">
        <v>0</v>
      </c>
      <c r="O3666">
        <v>0</v>
      </c>
      <c r="P3666">
        <v>1</v>
      </c>
      <c r="Q3666">
        <v>0</v>
      </c>
      <c r="R3666">
        <v>1</v>
      </c>
    </row>
    <row r="3667" spans="1:18" x14ac:dyDescent="0.25">
      <c r="A3667" t="s">
        <v>28</v>
      </c>
      <c r="B3667" t="s">
        <v>6</v>
      </c>
      <c r="C3667">
        <v>3</v>
      </c>
      <c r="D3667">
        <v>5</v>
      </c>
      <c r="E3667">
        <v>1</v>
      </c>
      <c r="F3667" s="15">
        <v>46111</v>
      </c>
      <c r="G3667" t="s">
        <v>455</v>
      </c>
      <c r="H3667">
        <v>3</v>
      </c>
      <c r="I3667">
        <v>2026</v>
      </c>
      <c r="J3667">
        <v>3</v>
      </c>
      <c r="K3667" t="s">
        <v>87</v>
      </c>
      <c r="L3667" t="s">
        <v>351</v>
      </c>
      <c r="M3667" t="s">
        <v>6</v>
      </c>
      <c r="N3667" t="b">
        <v>0</v>
      </c>
      <c r="O3667">
        <v>0</v>
      </c>
      <c r="P3667">
        <v>1</v>
      </c>
      <c r="Q3667">
        <v>0</v>
      </c>
      <c r="R3667">
        <v>0</v>
      </c>
    </row>
    <row r="3668" spans="1:18" x14ac:dyDescent="0.25">
      <c r="A3668" t="s">
        <v>14</v>
      </c>
      <c r="B3668" t="s">
        <v>6</v>
      </c>
      <c r="C3668">
        <v>1</v>
      </c>
      <c r="D3668">
        <v>6</v>
      </c>
      <c r="E3668">
        <v>1</v>
      </c>
      <c r="F3668" s="15">
        <v>46111</v>
      </c>
      <c r="G3668" t="s">
        <v>456</v>
      </c>
      <c r="H3668">
        <v>3</v>
      </c>
      <c r="I3668">
        <v>2026</v>
      </c>
      <c r="J3668">
        <v>3</v>
      </c>
      <c r="K3668" t="s">
        <v>87</v>
      </c>
      <c r="L3668" t="s">
        <v>13</v>
      </c>
      <c r="M3668" t="s">
        <v>6</v>
      </c>
      <c r="N3668" t="b">
        <v>0</v>
      </c>
      <c r="O3668">
        <v>0</v>
      </c>
      <c r="P3668">
        <v>1</v>
      </c>
      <c r="Q3668">
        <v>0</v>
      </c>
      <c r="R3668">
        <v>0</v>
      </c>
    </row>
    <row r="3669" spans="1:18" x14ac:dyDescent="0.25">
      <c r="A3669" t="s">
        <v>14</v>
      </c>
      <c r="B3669" t="s">
        <v>6</v>
      </c>
      <c r="C3669">
        <v>1</v>
      </c>
      <c r="D3669">
        <v>6</v>
      </c>
      <c r="E3669">
        <v>1</v>
      </c>
      <c r="F3669" s="15">
        <v>46111</v>
      </c>
      <c r="G3669" t="s">
        <v>456</v>
      </c>
      <c r="H3669">
        <v>3</v>
      </c>
      <c r="I3669">
        <v>2026</v>
      </c>
      <c r="J3669">
        <v>3</v>
      </c>
      <c r="K3669" t="s">
        <v>87</v>
      </c>
      <c r="L3669" t="s">
        <v>7</v>
      </c>
      <c r="M3669" t="s">
        <v>8</v>
      </c>
      <c r="N3669" t="b">
        <v>0</v>
      </c>
      <c r="O3669">
        <v>0</v>
      </c>
      <c r="P3669">
        <v>1</v>
      </c>
      <c r="Q3669">
        <v>0</v>
      </c>
      <c r="R3669">
        <v>1</v>
      </c>
    </row>
    <row r="3670" spans="1:18" x14ac:dyDescent="0.25">
      <c r="A3670" t="s">
        <v>13</v>
      </c>
      <c r="B3670" t="s">
        <v>6</v>
      </c>
      <c r="C3670">
        <v>2</v>
      </c>
      <c r="D3670">
        <v>6</v>
      </c>
      <c r="E3670">
        <v>1</v>
      </c>
      <c r="F3670" s="15">
        <v>46111</v>
      </c>
      <c r="G3670" t="s">
        <v>456</v>
      </c>
      <c r="H3670">
        <v>3</v>
      </c>
      <c r="I3670">
        <v>2026</v>
      </c>
      <c r="J3670">
        <v>3</v>
      </c>
      <c r="K3670" t="s">
        <v>87</v>
      </c>
      <c r="L3670" t="s">
        <v>14</v>
      </c>
      <c r="M3670" t="s">
        <v>6</v>
      </c>
      <c r="N3670" t="b">
        <v>0</v>
      </c>
      <c r="O3670">
        <v>0</v>
      </c>
      <c r="P3670">
        <v>1</v>
      </c>
      <c r="Q3670">
        <v>0</v>
      </c>
      <c r="R3670">
        <v>0</v>
      </c>
    </row>
    <row r="3671" spans="1:18" x14ac:dyDescent="0.25">
      <c r="A3671" t="s">
        <v>13</v>
      </c>
      <c r="B3671" t="s">
        <v>6</v>
      </c>
      <c r="C3671">
        <v>2</v>
      </c>
      <c r="D3671">
        <v>6</v>
      </c>
      <c r="E3671">
        <v>1</v>
      </c>
      <c r="F3671" s="15">
        <v>46111</v>
      </c>
      <c r="G3671" t="s">
        <v>456</v>
      </c>
      <c r="H3671">
        <v>3</v>
      </c>
      <c r="I3671">
        <v>2026</v>
      </c>
      <c r="J3671">
        <v>3</v>
      </c>
      <c r="K3671" t="s">
        <v>87</v>
      </c>
      <c r="L3671" t="s">
        <v>7</v>
      </c>
      <c r="M3671" t="s">
        <v>8</v>
      </c>
      <c r="N3671" t="b">
        <v>0</v>
      </c>
      <c r="O3671">
        <v>0</v>
      </c>
      <c r="P3671">
        <v>1</v>
      </c>
      <c r="Q3671">
        <v>0</v>
      </c>
      <c r="R3671">
        <v>1</v>
      </c>
    </row>
    <row r="3672" spans="1:18" x14ac:dyDescent="0.25">
      <c r="A3672" t="s">
        <v>7</v>
      </c>
      <c r="B3672" t="s">
        <v>8</v>
      </c>
      <c r="C3672">
        <v>3</v>
      </c>
      <c r="D3672">
        <v>6</v>
      </c>
      <c r="E3672">
        <v>1</v>
      </c>
      <c r="F3672" s="15">
        <v>46111</v>
      </c>
      <c r="G3672" t="s">
        <v>456</v>
      </c>
      <c r="H3672">
        <v>3</v>
      </c>
      <c r="I3672">
        <v>2026</v>
      </c>
      <c r="J3672">
        <v>3</v>
      </c>
      <c r="K3672" t="s">
        <v>87</v>
      </c>
      <c r="L3672" t="s">
        <v>14</v>
      </c>
      <c r="M3672" t="s">
        <v>6</v>
      </c>
      <c r="N3672" t="b">
        <v>0</v>
      </c>
      <c r="O3672">
        <v>1</v>
      </c>
      <c r="P3672">
        <v>0</v>
      </c>
      <c r="Q3672">
        <v>0</v>
      </c>
      <c r="R3672">
        <v>0</v>
      </c>
    </row>
    <row r="3673" spans="1:18" x14ac:dyDescent="0.25">
      <c r="A3673" t="s">
        <v>7</v>
      </c>
      <c r="B3673" t="s">
        <v>8</v>
      </c>
      <c r="C3673">
        <v>3</v>
      </c>
      <c r="D3673">
        <v>6</v>
      </c>
      <c r="E3673">
        <v>1</v>
      </c>
      <c r="F3673" s="15">
        <v>46111</v>
      </c>
      <c r="G3673" t="s">
        <v>456</v>
      </c>
      <c r="H3673">
        <v>3</v>
      </c>
      <c r="I3673">
        <v>2026</v>
      </c>
      <c r="J3673">
        <v>3</v>
      </c>
      <c r="K3673" t="s">
        <v>87</v>
      </c>
      <c r="L3673" t="s">
        <v>13</v>
      </c>
      <c r="M3673" t="s">
        <v>6</v>
      </c>
      <c r="N3673" t="b">
        <v>0</v>
      </c>
      <c r="O3673">
        <v>1</v>
      </c>
      <c r="P3673">
        <v>0</v>
      </c>
      <c r="Q3673">
        <v>0</v>
      </c>
      <c r="R3673">
        <v>0</v>
      </c>
    </row>
    <row r="3674" spans="1:18" x14ac:dyDescent="0.25">
      <c r="A3674" t="s">
        <v>363</v>
      </c>
      <c r="B3674" t="s">
        <v>8</v>
      </c>
      <c r="C3674">
        <v>1</v>
      </c>
      <c r="D3674">
        <v>1</v>
      </c>
      <c r="E3674">
        <v>2</v>
      </c>
      <c r="F3674" s="15">
        <v>46111</v>
      </c>
      <c r="G3674" t="s">
        <v>457</v>
      </c>
      <c r="H3674">
        <v>3</v>
      </c>
      <c r="I3674">
        <v>2026</v>
      </c>
      <c r="J3674">
        <v>3</v>
      </c>
      <c r="K3674" t="s">
        <v>87</v>
      </c>
      <c r="L3674" t="s">
        <v>13</v>
      </c>
      <c r="M3674" t="s">
        <v>6</v>
      </c>
      <c r="N3674" t="b">
        <v>0</v>
      </c>
      <c r="O3674">
        <v>1</v>
      </c>
      <c r="P3674">
        <v>0</v>
      </c>
      <c r="Q3674">
        <v>0</v>
      </c>
      <c r="R3674">
        <v>0</v>
      </c>
    </row>
    <row r="3675" spans="1:18" x14ac:dyDescent="0.25">
      <c r="A3675" t="s">
        <v>363</v>
      </c>
      <c r="B3675" t="s">
        <v>8</v>
      </c>
      <c r="C3675">
        <v>1</v>
      </c>
      <c r="D3675">
        <v>1</v>
      </c>
      <c r="E3675">
        <v>2</v>
      </c>
      <c r="F3675" s="15">
        <v>46111</v>
      </c>
      <c r="G3675" t="s">
        <v>457</v>
      </c>
      <c r="H3675">
        <v>3</v>
      </c>
      <c r="I3675">
        <v>2026</v>
      </c>
      <c r="J3675">
        <v>3</v>
      </c>
      <c r="K3675" t="s">
        <v>87</v>
      </c>
      <c r="L3675" t="s">
        <v>41</v>
      </c>
      <c r="M3675" t="s">
        <v>6</v>
      </c>
      <c r="N3675" t="b">
        <v>0</v>
      </c>
      <c r="O3675">
        <v>1</v>
      </c>
      <c r="P3675">
        <v>0</v>
      </c>
      <c r="Q3675">
        <v>0</v>
      </c>
      <c r="R3675">
        <v>0</v>
      </c>
    </row>
    <row r="3676" spans="1:18" x14ac:dyDescent="0.25">
      <c r="A3676" t="s">
        <v>13</v>
      </c>
      <c r="B3676" t="s">
        <v>6</v>
      </c>
      <c r="C3676">
        <v>2</v>
      </c>
      <c r="D3676">
        <v>1</v>
      </c>
      <c r="E3676">
        <v>2</v>
      </c>
      <c r="F3676" s="15">
        <v>46111</v>
      </c>
      <c r="G3676" t="s">
        <v>457</v>
      </c>
      <c r="H3676">
        <v>3</v>
      </c>
      <c r="I3676">
        <v>2026</v>
      </c>
      <c r="J3676">
        <v>3</v>
      </c>
      <c r="K3676" t="s">
        <v>87</v>
      </c>
      <c r="L3676" t="s">
        <v>363</v>
      </c>
      <c r="M3676" t="s">
        <v>8</v>
      </c>
      <c r="N3676" t="b">
        <v>0</v>
      </c>
      <c r="O3676">
        <v>0</v>
      </c>
      <c r="P3676">
        <v>1</v>
      </c>
      <c r="Q3676">
        <v>0</v>
      </c>
      <c r="R3676">
        <v>1</v>
      </c>
    </row>
    <row r="3677" spans="1:18" x14ac:dyDescent="0.25">
      <c r="A3677" t="s">
        <v>13</v>
      </c>
      <c r="B3677" t="s">
        <v>6</v>
      </c>
      <c r="C3677">
        <v>2</v>
      </c>
      <c r="D3677">
        <v>1</v>
      </c>
      <c r="E3677">
        <v>2</v>
      </c>
      <c r="F3677" s="15">
        <v>46111</v>
      </c>
      <c r="G3677" t="s">
        <v>457</v>
      </c>
      <c r="H3677">
        <v>3</v>
      </c>
      <c r="I3677">
        <v>2026</v>
      </c>
      <c r="J3677">
        <v>3</v>
      </c>
      <c r="K3677" t="s">
        <v>87</v>
      </c>
      <c r="L3677" t="s">
        <v>41</v>
      </c>
      <c r="M3677" t="s">
        <v>6</v>
      </c>
      <c r="N3677" t="b">
        <v>0</v>
      </c>
      <c r="O3677">
        <v>0</v>
      </c>
      <c r="P3677">
        <v>1</v>
      </c>
      <c r="Q3677">
        <v>0</v>
      </c>
      <c r="R3677">
        <v>0</v>
      </c>
    </row>
    <row r="3678" spans="1:18" x14ac:dyDescent="0.25">
      <c r="A3678" t="s">
        <v>41</v>
      </c>
      <c r="B3678" t="s">
        <v>6</v>
      </c>
      <c r="C3678">
        <v>3</v>
      </c>
      <c r="D3678">
        <v>1</v>
      </c>
      <c r="E3678">
        <v>2</v>
      </c>
      <c r="F3678" s="15">
        <v>46111</v>
      </c>
      <c r="G3678" t="s">
        <v>457</v>
      </c>
      <c r="H3678">
        <v>3</v>
      </c>
      <c r="I3678">
        <v>2026</v>
      </c>
      <c r="J3678">
        <v>3</v>
      </c>
      <c r="K3678" t="s">
        <v>87</v>
      </c>
      <c r="L3678" t="s">
        <v>363</v>
      </c>
      <c r="M3678" t="s">
        <v>8</v>
      </c>
      <c r="N3678" t="b">
        <v>0</v>
      </c>
      <c r="O3678">
        <v>0</v>
      </c>
      <c r="P3678">
        <v>1</v>
      </c>
      <c r="Q3678">
        <v>0</v>
      </c>
      <c r="R3678">
        <v>1</v>
      </c>
    </row>
    <row r="3679" spans="1:18" x14ac:dyDescent="0.25">
      <c r="A3679" t="s">
        <v>41</v>
      </c>
      <c r="B3679" t="s">
        <v>6</v>
      </c>
      <c r="C3679">
        <v>3</v>
      </c>
      <c r="D3679">
        <v>1</v>
      </c>
      <c r="E3679">
        <v>2</v>
      </c>
      <c r="F3679" s="15">
        <v>46111</v>
      </c>
      <c r="G3679" t="s">
        <v>457</v>
      </c>
      <c r="H3679">
        <v>3</v>
      </c>
      <c r="I3679">
        <v>2026</v>
      </c>
      <c r="J3679">
        <v>3</v>
      </c>
      <c r="K3679" t="s">
        <v>87</v>
      </c>
      <c r="L3679" t="s">
        <v>13</v>
      </c>
      <c r="M3679" t="s">
        <v>6</v>
      </c>
      <c r="N3679" t="b">
        <v>0</v>
      </c>
      <c r="O3679">
        <v>0</v>
      </c>
      <c r="P3679">
        <v>1</v>
      </c>
      <c r="Q3679">
        <v>0</v>
      </c>
      <c r="R3679">
        <v>0</v>
      </c>
    </row>
    <row r="3680" spans="1:18" x14ac:dyDescent="0.25">
      <c r="A3680" t="s">
        <v>421</v>
      </c>
      <c r="B3680" t="s">
        <v>6</v>
      </c>
      <c r="C3680">
        <v>1</v>
      </c>
      <c r="D3680">
        <v>2</v>
      </c>
      <c r="E3680">
        <v>2</v>
      </c>
      <c r="F3680" s="15">
        <v>46111</v>
      </c>
      <c r="G3680" t="s">
        <v>458</v>
      </c>
      <c r="H3680">
        <v>3</v>
      </c>
      <c r="I3680">
        <v>2026</v>
      </c>
      <c r="J3680">
        <v>3</v>
      </c>
      <c r="K3680" t="s">
        <v>87</v>
      </c>
      <c r="L3680" t="s">
        <v>27</v>
      </c>
      <c r="M3680" t="s">
        <v>6</v>
      </c>
      <c r="N3680" t="b">
        <v>0</v>
      </c>
      <c r="O3680">
        <v>0</v>
      </c>
      <c r="P3680">
        <v>1</v>
      </c>
      <c r="Q3680">
        <v>0</v>
      </c>
      <c r="R3680">
        <v>0</v>
      </c>
    </row>
    <row r="3681" spans="1:18" x14ac:dyDescent="0.25">
      <c r="A3681" t="s">
        <v>421</v>
      </c>
      <c r="B3681" t="s">
        <v>6</v>
      </c>
      <c r="C3681">
        <v>1</v>
      </c>
      <c r="D3681">
        <v>2</v>
      </c>
      <c r="E3681">
        <v>2</v>
      </c>
      <c r="F3681" s="15">
        <v>46111</v>
      </c>
      <c r="G3681" t="s">
        <v>458</v>
      </c>
      <c r="H3681">
        <v>3</v>
      </c>
      <c r="I3681">
        <v>2026</v>
      </c>
      <c r="J3681">
        <v>3</v>
      </c>
      <c r="K3681" t="s">
        <v>87</v>
      </c>
      <c r="L3681" t="s">
        <v>17</v>
      </c>
      <c r="M3681" t="s">
        <v>8</v>
      </c>
      <c r="N3681" t="b">
        <v>0</v>
      </c>
      <c r="O3681">
        <v>0</v>
      </c>
      <c r="P3681">
        <v>1</v>
      </c>
      <c r="Q3681">
        <v>0</v>
      </c>
      <c r="R3681">
        <v>1</v>
      </c>
    </row>
    <row r="3682" spans="1:18" x14ac:dyDescent="0.25">
      <c r="A3682" t="s">
        <v>27</v>
      </c>
      <c r="B3682" t="s">
        <v>6</v>
      </c>
      <c r="C3682">
        <v>2</v>
      </c>
      <c r="D3682">
        <v>2</v>
      </c>
      <c r="E3682">
        <v>2</v>
      </c>
      <c r="F3682" s="15">
        <v>46111</v>
      </c>
      <c r="G3682" t="s">
        <v>458</v>
      </c>
      <c r="H3682">
        <v>3</v>
      </c>
      <c r="I3682">
        <v>2026</v>
      </c>
      <c r="J3682">
        <v>3</v>
      </c>
      <c r="K3682" t="s">
        <v>87</v>
      </c>
      <c r="L3682" t="s">
        <v>421</v>
      </c>
      <c r="M3682" t="s">
        <v>6</v>
      </c>
      <c r="N3682" t="b">
        <v>0</v>
      </c>
      <c r="O3682">
        <v>0</v>
      </c>
      <c r="P3682">
        <v>1</v>
      </c>
      <c r="Q3682">
        <v>0</v>
      </c>
      <c r="R3682">
        <v>0</v>
      </c>
    </row>
    <row r="3683" spans="1:18" x14ac:dyDescent="0.25">
      <c r="A3683" t="s">
        <v>27</v>
      </c>
      <c r="B3683" t="s">
        <v>6</v>
      </c>
      <c r="C3683">
        <v>2</v>
      </c>
      <c r="D3683">
        <v>2</v>
      </c>
      <c r="E3683">
        <v>2</v>
      </c>
      <c r="F3683" s="15">
        <v>46111</v>
      </c>
      <c r="G3683" t="s">
        <v>458</v>
      </c>
      <c r="H3683">
        <v>3</v>
      </c>
      <c r="I3683">
        <v>2026</v>
      </c>
      <c r="J3683">
        <v>3</v>
      </c>
      <c r="K3683" t="s">
        <v>87</v>
      </c>
      <c r="L3683" t="s">
        <v>17</v>
      </c>
      <c r="M3683" t="s">
        <v>8</v>
      </c>
      <c r="N3683" t="b">
        <v>0</v>
      </c>
      <c r="O3683">
        <v>0</v>
      </c>
      <c r="P3683">
        <v>1</v>
      </c>
      <c r="Q3683">
        <v>0</v>
      </c>
      <c r="R3683">
        <v>1</v>
      </c>
    </row>
    <row r="3684" spans="1:18" x14ac:dyDescent="0.25">
      <c r="A3684" t="s">
        <v>17</v>
      </c>
      <c r="B3684" t="s">
        <v>8</v>
      </c>
      <c r="C3684">
        <v>3</v>
      </c>
      <c r="D3684">
        <v>2</v>
      </c>
      <c r="E3684">
        <v>2</v>
      </c>
      <c r="F3684" s="15">
        <v>46111</v>
      </c>
      <c r="G3684" t="s">
        <v>458</v>
      </c>
      <c r="H3684">
        <v>3</v>
      </c>
      <c r="I3684">
        <v>2026</v>
      </c>
      <c r="J3684">
        <v>3</v>
      </c>
      <c r="K3684" t="s">
        <v>87</v>
      </c>
      <c r="L3684" t="s">
        <v>421</v>
      </c>
      <c r="M3684" t="s">
        <v>6</v>
      </c>
      <c r="N3684" t="b">
        <v>0</v>
      </c>
      <c r="O3684">
        <v>1</v>
      </c>
      <c r="P3684">
        <v>0</v>
      </c>
      <c r="Q3684">
        <v>0</v>
      </c>
      <c r="R3684">
        <v>0</v>
      </c>
    </row>
    <row r="3685" spans="1:18" x14ac:dyDescent="0.25">
      <c r="A3685" t="s">
        <v>17</v>
      </c>
      <c r="B3685" t="s">
        <v>8</v>
      </c>
      <c r="C3685">
        <v>3</v>
      </c>
      <c r="D3685">
        <v>2</v>
      </c>
      <c r="E3685">
        <v>2</v>
      </c>
      <c r="F3685" s="15">
        <v>46111</v>
      </c>
      <c r="G3685" t="s">
        <v>458</v>
      </c>
      <c r="H3685">
        <v>3</v>
      </c>
      <c r="I3685">
        <v>2026</v>
      </c>
      <c r="J3685">
        <v>3</v>
      </c>
      <c r="K3685" t="s">
        <v>87</v>
      </c>
      <c r="L3685" t="s">
        <v>27</v>
      </c>
      <c r="M3685" t="s">
        <v>6</v>
      </c>
      <c r="N3685" t="b">
        <v>0</v>
      </c>
      <c r="O3685">
        <v>1</v>
      </c>
      <c r="P3685">
        <v>0</v>
      </c>
      <c r="Q3685">
        <v>0</v>
      </c>
      <c r="R3685">
        <v>0</v>
      </c>
    </row>
    <row r="3686" spans="1:18" x14ac:dyDescent="0.25">
      <c r="A3686" t="s">
        <v>9</v>
      </c>
      <c r="B3686" t="s">
        <v>63</v>
      </c>
      <c r="C3686">
        <v>1</v>
      </c>
      <c r="D3686">
        <v>3</v>
      </c>
      <c r="E3686">
        <v>2</v>
      </c>
      <c r="F3686" s="15">
        <v>46111</v>
      </c>
      <c r="G3686" t="s">
        <v>459</v>
      </c>
      <c r="H3686">
        <v>4</v>
      </c>
      <c r="I3686">
        <v>2026</v>
      </c>
      <c r="J3686">
        <v>3</v>
      </c>
      <c r="K3686" t="s">
        <v>87</v>
      </c>
      <c r="L3686" t="s">
        <v>19</v>
      </c>
      <c r="M3686" t="s">
        <v>63</v>
      </c>
      <c r="N3686" t="b">
        <v>0</v>
      </c>
      <c r="O3686">
        <v>0</v>
      </c>
      <c r="P3686">
        <v>0</v>
      </c>
      <c r="Q3686">
        <v>1</v>
      </c>
      <c r="R3686">
        <v>0</v>
      </c>
    </row>
    <row r="3687" spans="1:18" x14ac:dyDescent="0.25">
      <c r="A3687" t="s">
        <v>9</v>
      </c>
      <c r="B3687" t="s">
        <v>63</v>
      </c>
      <c r="C3687">
        <v>1</v>
      </c>
      <c r="D3687">
        <v>3</v>
      </c>
      <c r="E3687">
        <v>2</v>
      </c>
      <c r="F3687" s="15">
        <v>46111</v>
      </c>
      <c r="G3687" t="s">
        <v>459</v>
      </c>
      <c r="H3687">
        <v>4</v>
      </c>
      <c r="I3687">
        <v>2026</v>
      </c>
      <c r="J3687">
        <v>3</v>
      </c>
      <c r="K3687" t="s">
        <v>87</v>
      </c>
      <c r="L3687" t="s">
        <v>7</v>
      </c>
      <c r="M3687" t="s">
        <v>63</v>
      </c>
      <c r="N3687" t="b">
        <v>0</v>
      </c>
      <c r="O3687">
        <v>0</v>
      </c>
      <c r="P3687">
        <v>0</v>
      </c>
      <c r="Q3687">
        <v>1</v>
      </c>
      <c r="R3687">
        <v>0</v>
      </c>
    </row>
    <row r="3688" spans="1:18" x14ac:dyDescent="0.25">
      <c r="A3688" t="s">
        <v>9</v>
      </c>
      <c r="B3688" t="s">
        <v>63</v>
      </c>
      <c r="C3688">
        <v>1</v>
      </c>
      <c r="D3688">
        <v>3</v>
      </c>
      <c r="E3688">
        <v>2</v>
      </c>
      <c r="F3688" s="15">
        <v>46111</v>
      </c>
      <c r="G3688" t="s">
        <v>459</v>
      </c>
      <c r="H3688">
        <v>4</v>
      </c>
      <c r="I3688">
        <v>2026</v>
      </c>
      <c r="J3688">
        <v>3</v>
      </c>
      <c r="K3688" t="s">
        <v>87</v>
      </c>
      <c r="L3688" t="s">
        <v>28</v>
      </c>
      <c r="M3688" t="s">
        <v>63</v>
      </c>
      <c r="N3688" t="b">
        <v>0</v>
      </c>
      <c r="O3688">
        <v>0</v>
      </c>
      <c r="P3688">
        <v>0</v>
      </c>
      <c r="Q3688">
        <v>1</v>
      </c>
      <c r="R3688">
        <v>0</v>
      </c>
    </row>
    <row r="3689" spans="1:18" x14ac:dyDescent="0.25">
      <c r="A3689" t="s">
        <v>19</v>
      </c>
      <c r="B3689" t="s">
        <v>63</v>
      </c>
      <c r="C3689">
        <v>2</v>
      </c>
      <c r="D3689">
        <v>3</v>
      </c>
      <c r="E3689">
        <v>2</v>
      </c>
      <c r="F3689" s="15">
        <v>46111</v>
      </c>
      <c r="G3689" t="s">
        <v>459</v>
      </c>
      <c r="H3689">
        <v>4</v>
      </c>
      <c r="I3689">
        <v>2026</v>
      </c>
      <c r="J3689">
        <v>3</v>
      </c>
      <c r="K3689" t="s">
        <v>87</v>
      </c>
      <c r="L3689" t="s">
        <v>9</v>
      </c>
      <c r="M3689" t="s">
        <v>63</v>
      </c>
      <c r="N3689" t="b">
        <v>0</v>
      </c>
      <c r="O3689">
        <v>0</v>
      </c>
      <c r="P3689">
        <v>0</v>
      </c>
      <c r="Q3689">
        <v>1</v>
      </c>
      <c r="R3689">
        <v>0</v>
      </c>
    </row>
    <row r="3690" spans="1:18" x14ac:dyDescent="0.25">
      <c r="A3690" t="s">
        <v>19</v>
      </c>
      <c r="B3690" t="s">
        <v>63</v>
      </c>
      <c r="C3690">
        <v>2</v>
      </c>
      <c r="D3690">
        <v>3</v>
      </c>
      <c r="E3690">
        <v>2</v>
      </c>
      <c r="F3690" s="15">
        <v>46111</v>
      </c>
      <c r="G3690" t="s">
        <v>459</v>
      </c>
      <c r="H3690">
        <v>4</v>
      </c>
      <c r="I3690">
        <v>2026</v>
      </c>
      <c r="J3690">
        <v>3</v>
      </c>
      <c r="K3690" t="s">
        <v>87</v>
      </c>
      <c r="L3690" t="s">
        <v>7</v>
      </c>
      <c r="M3690" t="s">
        <v>63</v>
      </c>
      <c r="N3690" t="b">
        <v>0</v>
      </c>
      <c r="O3690">
        <v>0</v>
      </c>
      <c r="P3690">
        <v>0</v>
      </c>
      <c r="Q3690">
        <v>1</v>
      </c>
      <c r="R3690">
        <v>0</v>
      </c>
    </row>
    <row r="3691" spans="1:18" x14ac:dyDescent="0.25">
      <c r="A3691" t="s">
        <v>19</v>
      </c>
      <c r="B3691" t="s">
        <v>63</v>
      </c>
      <c r="C3691">
        <v>2</v>
      </c>
      <c r="D3691">
        <v>3</v>
      </c>
      <c r="E3691">
        <v>2</v>
      </c>
      <c r="F3691" s="15">
        <v>46111</v>
      </c>
      <c r="G3691" t="s">
        <v>459</v>
      </c>
      <c r="H3691">
        <v>4</v>
      </c>
      <c r="I3691">
        <v>2026</v>
      </c>
      <c r="J3691">
        <v>3</v>
      </c>
      <c r="K3691" t="s">
        <v>87</v>
      </c>
      <c r="L3691" t="s">
        <v>28</v>
      </c>
      <c r="M3691" t="s">
        <v>63</v>
      </c>
      <c r="N3691" t="b">
        <v>0</v>
      </c>
      <c r="O3691">
        <v>0</v>
      </c>
      <c r="P3691">
        <v>0</v>
      </c>
      <c r="Q3691">
        <v>1</v>
      </c>
      <c r="R3691">
        <v>0</v>
      </c>
    </row>
    <row r="3692" spans="1:18" x14ac:dyDescent="0.25">
      <c r="A3692" t="s">
        <v>7</v>
      </c>
      <c r="B3692" t="s">
        <v>63</v>
      </c>
      <c r="C3692">
        <v>3</v>
      </c>
      <c r="D3692">
        <v>3</v>
      </c>
      <c r="E3692">
        <v>2</v>
      </c>
      <c r="F3692" s="15">
        <v>46111</v>
      </c>
      <c r="G3692" t="s">
        <v>459</v>
      </c>
      <c r="H3692">
        <v>4</v>
      </c>
      <c r="I3692">
        <v>2026</v>
      </c>
      <c r="J3692">
        <v>3</v>
      </c>
      <c r="K3692" t="s">
        <v>87</v>
      </c>
      <c r="L3692" t="s">
        <v>9</v>
      </c>
      <c r="M3692" t="s">
        <v>63</v>
      </c>
      <c r="N3692" t="b">
        <v>0</v>
      </c>
      <c r="O3692">
        <v>0</v>
      </c>
      <c r="P3692">
        <v>0</v>
      </c>
      <c r="Q3692">
        <v>1</v>
      </c>
      <c r="R3692">
        <v>0</v>
      </c>
    </row>
    <row r="3693" spans="1:18" x14ac:dyDescent="0.25">
      <c r="A3693" t="s">
        <v>7</v>
      </c>
      <c r="B3693" t="s">
        <v>63</v>
      </c>
      <c r="C3693">
        <v>3</v>
      </c>
      <c r="D3693">
        <v>3</v>
      </c>
      <c r="E3693">
        <v>2</v>
      </c>
      <c r="F3693" s="15">
        <v>46111</v>
      </c>
      <c r="G3693" t="s">
        <v>459</v>
      </c>
      <c r="H3693">
        <v>4</v>
      </c>
      <c r="I3693">
        <v>2026</v>
      </c>
      <c r="J3693">
        <v>3</v>
      </c>
      <c r="K3693" t="s">
        <v>87</v>
      </c>
      <c r="L3693" t="s">
        <v>19</v>
      </c>
      <c r="M3693" t="s">
        <v>63</v>
      </c>
      <c r="N3693" t="b">
        <v>0</v>
      </c>
      <c r="O3693">
        <v>0</v>
      </c>
      <c r="P3693">
        <v>0</v>
      </c>
      <c r="Q3693">
        <v>1</v>
      </c>
      <c r="R3693">
        <v>0</v>
      </c>
    </row>
    <row r="3694" spans="1:18" x14ac:dyDescent="0.25">
      <c r="A3694" t="s">
        <v>7</v>
      </c>
      <c r="B3694" t="s">
        <v>63</v>
      </c>
      <c r="C3694">
        <v>3</v>
      </c>
      <c r="D3694">
        <v>3</v>
      </c>
      <c r="E3694">
        <v>2</v>
      </c>
      <c r="F3694" s="15">
        <v>46111</v>
      </c>
      <c r="G3694" t="s">
        <v>459</v>
      </c>
      <c r="H3694">
        <v>4</v>
      </c>
      <c r="I3694">
        <v>2026</v>
      </c>
      <c r="J3694">
        <v>3</v>
      </c>
      <c r="K3694" t="s">
        <v>87</v>
      </c>
      <c r="L3694" t="s">
        <v>28</v>
      </c>
      <c r="M3694" t="s">
        <v>63</v>
      </c>
      <c r="N3694" t="b">
        <v>0</v>
      </c>
      <c r="O3694">
        <v>0</v>
      </c>
      <c r="P3694">
        <v>0</v>
      </c>
      <c r="Q3694">
        <v>1</v>
      </c>
      <c r="R3694">
        <v>0</v>
      </c>
    </row>
    <row r="3695" spans="1:18" x14ac:dyDescent="0.25">
      <c r="A3695" t="s">
        <v>28</v>
      </c>
      <c r="B3695" t="s">
        <v>63</v>
      </c>
      <c r="C3695">
        <v>4</v>
      </c>
      <c r="D3695">
        <v>3</v>
      </c>
      <c r="E3695">
        <v>2</v>
      </c>
      <c r="F3695" s="15">
        <v>46111</v>
      </c>
      <c r="G3695" t="s">
        <v>459</v>
      </c>
      <c r="H3695">
        <v>4</v>
      </c>
      <c r="I3695">
        <v>2026</v>
      </c>
      <c r="J3695">
        <v>3</v>
      </c>
      <c r="K3695" t="s">
        <v>87</v>
      </c>
      <c r="L3695" t="s">
        <v>9</v>
      </c>
      <c r="M3695" t="s">
        <v>63</v>
      </c>
      <c r="N3695" t="b">
        <v>0</v>
      </c>
      <c r="O3695">
        <v>0</v>
      </c>
      <c r="P3695">
        <v>0</v>
      </c>
      <c r="Q3695">
        <v>1</v>
      </c>
      <c r="R3695">
        <v>0</v>
      </c>
    </row>
    <row r="3696" spans="1:18" x14ac:dyDescent="0.25">
      <c r="A3696" t="s">
        <v>28</v>
      </c>
      <c r="B3696" t="s">
        <v>63</v>
      </c>
      <c r="C3696">
        <v>4</v>
      </c>
      <c r="D3696">
        <v>3</v>
      </c>
      <c r="E3696">
        <v>2</v>
      </c>
      <c r="F3696" s="15">
        <v>46111</v>
      </c>
      <c r="G3696" t="s">
        <v>459</v>
      </c>
      <c r="H3696">
        <v>4</v>
      </c>
      <c r="I3696">
        <v>2026</v>
      </c>
      <c r="J3696">
        <v>3</v>
      </c>
      <c r="K3696" t="s">
        <v>87</v>
      </c>
      <c r="L3696" t="s">
        <v>19</v>
      </c>
      <c r="M3696" t="s">
        <v>63</v>
      </c>
      <c r="N3696" t="b">
        <v>0</v>
      </c>
      <c r="O3696">
        <v>0</v>
      </c>
      <c r="P3696">
        <v>0</v>
      </c>
      <c r="Q3696">
        <v>1</v>
      </c>
      <c r="R3696">
        <v>0</v>
      </c>
    </row>
    <row r="3697" spans="1:18" x14ac:dyDescent="0.25">
      <c r="A3697" t="s">
        <v>28</v>
      </c>
      <c r="B3697" t="s">
        <v>63</v>
      </c>
      <c r="C3697">
        <v>4</v>
      </c>
      <c r="D3697">
        <v>3</v>
      </c>
      <c r="E3697">
        <v>2</v>
      </c>
      <c r="F3697" s="15">
        <v>46111</v>
      </c>
      <c r="G3697" t="s">
        <v>459</v>
      </c>
      <c r="H3697">
        <v>4</v>
      </c>
      <c r="I3697">
        <v>2026</v>
      </c>
      <c r="J3697">
        <v>3</v>
      </c>
      <c r="K3697" t="s">
        <v>87</v>
      </c>
      <c r="L3697" t="s">
        <v>7</v>
      </c>
      <c r="M3697" t="s">
        <v>63</v>
      </c>
      <c r="N3697" t="b">
        <v>0</v>
      </c>
      <c r="O3697">
        <v>0</v>
      </c>
      <c r="P3697">
        <v>0</v>
      </c>
      <c r="Q3697">
        <v>1</v>
      </c>
      <c r="R3697">
        <v>0</v>
      </c>
    </row>
    <row r="3698" spans="1:18" x14ac:dyDescent="0.25">
      <c r="A3698" t="s">
        <v>351</v>
      </c>
      <c r="B3698" t="s">
        <v>6</v>
      </c>
      <c r="C3698">
        <v>1</v>
      </c>
      <c r="D3698">
        <v>4</v>
      </c>
      <c r="E3698">
        <v>2</v>
      </c>
      <c r="F3698" s="15">
        <v>46111</v>
      </c>
      <c r="G3698" t="s">
        <v>460</v>
      </c>
      <c r="H3698">
        <v>4</v>
      </c>
      <c r="I3698">
        <v>2026</v>
      </c>
      <c r="J3698">
        <v>3</v>
      </c>
      <c r="K3698" t="s">
        <v>87</v>
      </c>
      <c r="L3698" t="s">
        <v>14</v>
      </c>
      <c r="M3698" t="s">
        <v>6</v>
      </c>
      <c r="N3698" t="b">
        <v>0</v>
      </c>
      <c r="O3698">
        <v>0</v>
      </c>
      <c r="P3698">
        <v>1</v>
      </c>
      <c r="Q3698">
        <v>0</v>
      </c>
      <c r="R3698">
        <v>0</v>
      </c>
    </row>
    <row r="3699" spans="1:18" x14ac:dyDescent="0.25">
      <c r="A3699" t="s">
        <v>351</v>
      </c>
      <c r="B3699" t="s">
        <v>6</v>
      </c>
      <c r="C3699">
        <v>1</v>
      </c>
      <c r="D3699">
        <v>4</v>
      </c>
      <c r="E3699">
        <v>2</v>
      </c>
      <c r="F3699" s="15">
        <v>46111</v>
      </c>
      <c r="G3699" t="s">
        <v>460</v>
      </c>
      <c r="H3699">
        <v>4</v>
      </c>
      <c r="I3699">
        <v>2026</v>
      </c>
      <c r="J3699">
        <v>3</v>
      </c>
      <c r="K3699" t="s">
        <v>87</v>
      </c>
      <c r="L3699" t="s">
        <v>326</v>
      </c>
      <c r="M3699" t="s">
        <v>6</v>
      </c>
      <c r="N3699" t="b">
        <v>0</v>
      </c>
      <c r="O3699">
        <v>0</v>
      </c>
      <c r="P3699">
        <v>1</v>
      </c>
      <c r="Q3699">
        <v>0</v>
      </c>
      <c r="R3699">
        <v>0</v>
      </c>
    </row>
    <row r="3700" spans="1:18" x14ac:dyDescent="0.25">
      <c r="A3700" t="s">
        <v>351</v>
      </c>
      <c r="B3700" t="s">
        <v>6</v>
      </c>
      <c r="C3700">
        <v>1</v>
      </c>
      <c r="D3700">
        <v>4</v>
      </c>
      <c r="E3700">
        <v>2</v>
      </c>
      <c r="F3700" s="15">
        <v>46111</v>
      </c>
      <c r="G3700" t="s">
        <v>460</v>
      </c>
      <c r="H3700">
        <v>4</v>
      </c>
      <c r="I3700">
        <v>2026</v>
      </c>
      <c r="J3700">
        <v>3</v>
      </c>
      <c r="K3700" t="s">
        <v>87</v>
      </c>
      <c r="L3700" t="s">
        <v>386</v>
      </c>
      <c r="M3700" t="s">
        <v>8</v>
      </c>
      <c r="N3700" t="b">
        <v>0</v>
      </c>
      <c r="O3700">
        <v>0</v>
      </c>
      <c r="P3700">
        <v>1</v>
      </c>
      <c r="Q3700">
        <v>0</v>
      </c>
      <c r="R3700">
        <v>1</v>
      </c>
    </row>
    <row r="3701" spans="1:18" x14ac:dyDescent="0.25">
      <c r="A3701" t="s">
        <v>14</v>
      </c>
      <c r="B3701" t="s">
        <v>6</v>
      </c>
      <c r="C3701">
        <v>2</v>
      </c>
      <c r="D3701">
        <v>4</v>
      </c>
      <c r="E3701">
        <v>2</v>
      </c>
      <c r="F3701" s="15">
        <v>46111</v>
      </c>
      <c r="G3701" t="s">
        <v>460</v>
      </c>
      <c r="H3701">
        <v>4</v>
      </c>
      <c r="I3701">
        <v>2026</v>
      </c>
      <c r="J3701">
        <v>3</v>
      </c>
      <c r="K3701" t="s">
        <v>87</v>
      </c>
      <c r="L3701" t="s">
        <v>351</v>
      </c>
      <c r="M3701" t="s">
        <v>6</v>
      </c>
      <c r="N3701" t="b">
        <v>0</v>
      </c>
      <c r="O3701">
        <v>0</v>
      </c>
      <c r="P3701">
        <v>1</v>
      </c>
      <c r="Q3701">
        <v>0</v>
      </c>
      <c r="R3701">
        <v>0</v>
      </c>
    </row>
    <row r="3702" spans="1:18" x14ac:dyDescent="0.25">
      <c r="A3702" t="s">
        <v>14</v>
      </c>
      <c r="B3702" t="s">
        <v>6</v>
      </c>
      <c r="C3702">
        <v>2</v>
      </c>
      <c r="D3702">
        <v>4</v>
      </c>
      <c r="E3702">
        <v>2</v>
      </c>
      <c r="F3702" s="15">
        <v>46111</v>
      </c>
      <c r="G3702" t="s">
        <v>460</v>
      </c>
      <c r="H3702">
        <v>4</v>
      </c>
      <c r="I3702">
        <v>2026</v>
      </c>
      <c r="J3702">
        <v>3</v>
      </c>
      <c r="K3702" t="s">
        <v>87</v>
      </c>
      <c r="L3702" t="s">
        <v>326</v>
      </c>
      <c r="M3702" t="s">
        <v>6</v>
      </c>
      <c r="N3702" t="b">
        <v>0</v>
      </c>
      <c r="O3702">
        <v>0</v>
      </c>
      <c r="P3702">
        <v>1</v>
      </c>
      <c r="Q3702">
        <v>0</v>
      </c>
      <c r="R3702">
        <v>0</v>
      </c>
    </row>
    <row r="3703" spans="1:18" x14ac:dyDescent="0.25">
      <c r="A3703" t="s">
        <v>14</v>
      </c>
      <c r="B3703" t="s">
        <v>6</v>
      </c>
      <c r="C3703">
        <v>2</v>
      </c>
      <c r="D3703">
        <v>4</v>
      </c>
      <c r="E3703">
        <v>2</v>
      </c>
      <c r="F3703" s="15">
        <v>46111</v>
      </c>
      <c r="G3703" t="s">
        <v>460</v>
      </c>
      <c r="H3703">
        <v>4</v>
      </c>
      <c r="I3703">
        <v>2026</v>
      </c>
      <c r="J3703">
        <v>3</v>
      </c>
      <c r="K3703" t="s">
        <v>87</v>
      </c>
      <c r="L3703" t="s">
        <v>386</v>
      </c>
      <c r="M3703" t="s">
        <v>8</v>
      </c>
      <c r="N3703" t="b">
        <v>0</v>
      </c>
      <c r="O3703">
        <v>0</v>
      </c>
      <c r="P3703">
        <v>1</v>
      </c>
      <c r="Q3703">
        <v>0</v>
      </c>
      <c r="R3703">
        <v>1</v>
      </c>
    </row>
    <row r="3704" spans="1:18" x14ac:dyDescent="0.25">
      <c r="A3704" t="s">
        <v>326</v>
      </c>
      <c r="B3704" t="s">
        <v>6</v>
      </c>
      <c r="C3704">
        <v>3</v>
      </c>
      <c r="D3704">
        <v>4</v>
      </c>
      <c r="E3704">
        <v>2</v>
      </c>
      <c r="F3704" s="15">
        <v>46111</v>
      </c>
      <c r="G3704" t="s">
        <v>460</v>
      </c>
      <c r="H3704">
        <v>4</v>
      </c>
      <c r="I3704">
        <v>2026</v>
      </c>
      <c r="J3704">
        <v>3</v>
      </c>
      <c r="K3704" t="s">
        <v>87</v>
      </c>
      <c r="L3704" t="s">
        <v>351</v>
      </c>
      <c r="M3704" t="s">
        <v>6</v>
      </c>
      <c r="N3704" t="b">
        <v>0</v>
      </c>
      <c r="O3704">
        <v>0</v>
      </c>
      <c r="P3704">
        <v>1</v>
      </c>
      <c r="Q3704">
        <v>0</v>
      </c>
      <c r="R3704">
        <v>0</v>
      </c>
    </row>
    <row r="3705" spans="1:18" x14ac:dyDescent="0.25">
      <c r="A3705" t="s">
        <v>326</v>
      </c>
      <c r="B3705" t="s">
        <v>6</v>
      </c>
      <c r="C3705">
        <v>3</v>
      </c>
      <c r="D3705">
        <v>4</v>
      </c>
      <c r="E3705">
        <v>2</v>
      </c>
      <c r="F3705" s="15">
        <v>46111</v>
      </c>
      <c r="G3705" t="s">
        <v>460</v>
      </c>
      <c r="H3705">
        <v>4</v>
      </c>
      <c r="I3705">
        <v>2026</v>
      </c>
      <c r="J3705">
        <v>3</v>
      </c>
      <c r="K3705" t="s">
        <v>87</v>
      </c>
      <c r="L3705" t="s">
        <v>14</v>
      </c>
      <c r="M3705" t="s">
        <v>6</v>
      </c>
      <c r="N3705" t="b">
        <v>0</v>
      </c>
      <c r="O3705">
        <v>0</v>
      </c>
      <c r="P3705">
        <v>1</v>
      </c>
      <c r="Q3705">
        <v>0</v>
      </c>
      <c r="R3705">
        <v>0</v>
      </c>
    </row>
    <row r="3706" spans="1:18" x14ac:dyDescent="0.25">
      <c r="A3706" t="s">
        <v>326</v>
      </c>
      <c r="B3706" t="s">
        <v>6</v>
      </c>
      <c r="C3706">
        <v>3</v>
      </c>
      <c r="D3706">
        <v>4</v>
      </c>
      <c r="E3706">
        <v>2</v>
      </c>
      <c r="F3706" s="15">
        <v>46111</v>
      </c>
      <c r="G3706" t="s">
        <v>460</v>
      </c>
      <c r="H3706">
        <v>4</v>
      </c>
      <c r="I3706">
        <v>2026</v>
      </c>
      <c r="J3706">
        <v>3</v>
      </c>
      <c r="K3706" t="s">
        <v>87</v>
      </c>
      <c r="L3706" t="s">
        <v>386</v>
      </c>
      <c r="M3706" t="s">
        <v>8</v>
      </c>
      <c r="N3706" t="b">
        <v>0</v>
      </c>
      <c r="O3706">
        <v>0</v>
      </c>
      <c r="P3706">
        <v>1</v>
      </c>
      <c r="Q3706">
        <v>0</v>
      </c>
      <c r="R3706">
        <v>1</v>
      </c>
    </row>
    <row r="3707" spans="1:18" x14ac:dyDescent="0.25">
      <c r="A3707" t="s">
        <v>386</v>
      </c>
      <c r="B3707" t="s">
        <v>8</v>
      </c>
      <c r="C3707">
        <v>4</v>
      </c>
      <c r="D3707">
        <v>4</v>
      </c>
      <c r="E3707">
        <v>2</v>
      </c>
      <c r="F3707" s="15">
        <v>46111</v>
      </c>
      <c r="G3707" t="s">
        <v>460</v>
      </c>
      <c r="H3707">
        <v>4</v>
      </c>
      <c r="I3707">
        <v>2026</v>
      </c>
      <c r="J3707">
        <v>3</v>
      </c>
      <c r="K3707" t="s">
        <v>87</v>
      </c>
      <c r="L3707" t="s">
        <v>351</v>
      </c>
      <c r="M3707" t="s">
        <v>6</v>
      </c>
      <c r="N3707" t="b">
        <v>0</v>
      </c>
      <c r="O3707">
        <v>1</v>
      </c>
      <c r="P3707">
        <v>0</v>
      </c>
      <c r="Q3707">
        <v>0</v>
      </c>
      <c r="R3707">
        <v>0</v>
      </c>
    </row>
    <row r="3708" spans="1:18" x14ac:dyDescent="0.25">
      <c r="A3708" t="s">
        <v>386</v>
      </c>
      <c r="B3708" t="s">
        <v>8</v>
      </c>
      <c r="C3708">
        <v>4</v>
      </c>
      <c r="D3708">
        <v>4</v>
      </c>
      <c r="E3708">
        <v>2</v>
      </c>
      <c r="F3708" s="15">
        <v>46111</v>
      </c>
      <c r="G3708" t="s">
        <v>460</v>
      </c>
      <c r="H3708">
        <v>4</v>
      </c>
      <c r="I3708">
        <v>2026</v>
      </c>
      <c r="J3708">
        <v>3</v>
      </c>
      <c r="K3708" t="s">
        <v>87</v>
      </c>
      <c r="L3708" t="s">
        <v>14</v>
      </c>
      <c r="M3708" t="s">
        <v>6</v>
      </c>
      <c r="N3708" t="b">
        <v>0</v>
      </c>
      <c r="O3708">
        <v>1</v>
      </c>
      <c r="P3708">
        <v>0</v>
      </c>
      <c r="Q3708">
        <v>0</v>
      </c>
      <c r="R3708">
        <v>0</v>
      </c>
    </row>
    <row r="3709" spans="1:18" x14ac:dyDescent="0.25">
      <c r="A3709" t="s">
        <v>386</v>
      </c>
      <c r="B3709" t="s">
        <v>8</v>
      </c>
      <c r="C3709">
        <v>4</v>
      </c>
      <c r="D3709">
        <v>4</v>
      </c>
      <c r="E3709">
        <v>2</v>
      </c>
      <c r="F3709" s="15">
        <v>46111</v>
      </c>
      <c r="G3709" t="s">
        <v>460</v>
      </c>
      <c r="H3709">
        <v>4</v>
      </c>
      <c r="I3709">
        <v>2026</v>
      </c>
      <c r="J3709">
        <v>3</v>
      </c>
      <c r="K3709" t="s">
        <v>87</v>
      </c>
      <c r="L3709" t="s">
        <v>326</v>
      </c>
      <c r="M3709" t="s">
        <v>6</v>
      </c>
      <c r="N3709" t="b">
        <v>0</v>
      </c>
      <c r="O3709">
        <v>1</v>
      </c>
      <c r="P3709">
        <v>0</v>
      </c>
      <c r="Q3709">
        <v>0</v>
      </c>
      <c r="R3709">
        <v>0</v>
      </c>
    </row>
    <row r="3710" spans="1:18" x14ac:dyDescent="0.25">
      <c r="A3710" t="s">
        <v>10</v>
      </c>
      <c r="B3710" t="s">
        <v>63</v>
      </c>
      <c r="C3710">
        <v>1</v>
      </c>
      <c r="D3710">
        <v>5</v>
      </c>
      <c r="E3710">
        <v>2</v>
      </c>
      <c r="F3710" s="15">
        <v>46111</v>
      </c>
      <c r="G3710" t="s">
        <v>461</v>
      </c>
      <c r="H3710">
        <v>4</v>
      </c>
      <c r="I3710">
        <v>2026</v>
      </c>
      <c r="J3710">
        <v>3</v>
      </c>
      <c r="K3710" t="s">
        <v>87</v>
      </c>
      <c r="L3710" t="s">
        <v>436</v>
      </c>
      <c r="M3710" t="s">
        <v>63</v>
      </c>
      <c r="N3710" t="b">
        <v>0</v>
      </c>
      <c r="O3710">
        <v>0</v>
      </c>
      <c r="P3710">
        <v>0</v>
      </c>
      <c r="Q3710">
        <v>1</v>
      </c>
      <c r="R3710">
        <v>0</v>
      </c>
    </row>
    <row r="3711" spans="1:18" x14ac:dyDescent="0.25">
      <c r="A3711" t="s">
        <v>10</v>
      </c>
      <c r="B3711" t="s">
        <v>63</v>
      </c>
      <c r="C3711">
        <v>1</v>
      </c>
      <c r="D3711">
        <v>5</v>
      </c>
      <c r="E3711">
        <v>2</v>
      </c>
      <c r="F3711" s="15">
        <v>46111</v>
      </c>
      <c r="G3711" t="s">
        <v>461</v>
      </c>
      <c r="H3711">
        <v>4</v>
      </c>
      <c r="I3711">
        <v>2026</v>
      </c>
      <c r="J3711">
        <v>3</v>
      </c>
      <c r="K3711" t="s">
        <v>87</v>
      </c>
      <c r="L3711" t="s">
        <v>51</v>
      </c>
      <c r="M3711" t="s">
        <v>63</v>
      </c>
      <c r="N3711" t="b">
        <v>0</v>
      </c>
      <c r="O3711">
        <v>0</v>
      </c>
      <c r="P3711">
        <v>0</v>
      </c>
      <c r="Q3711">
        <v>1</v>
      </c>
      <c r="R3711">
        <v>0</v>
      </c>
    </row>
    <row r="3712" spans="1:18" x14ac:dyDescent="0.25">
      <c r="A3712" t="s">
        <v>10</v>
      </c>
      <c r="B3712" t="s">
        <v>63</v>
      </c>
      <c r="C3712">
        <v>1</v>
      </c>
      <c r="D3712">
        <v>5</v>
      </c>
      <c r="E3712">
        <v>2</v>
      </c>
      <c r="F3712" s="15">
        <v>46111</v>
      </c>
      <c r="G3712" t="s">
        <v>461</v>
      </c>
      <c r="H3712">
        <v>4</v>
      </c>
      <c r="I3712">
        <v>2026</v>
      </c>
      <c r="J3712">
        <v>3</v>
      </c>
      <c r="K3712" t="s">
        <v>87</v>
      </c>
      <c r="L3712" t="s">
        <v>325</v>
      </c>
      <c r="M3712" t="s">
        <v>63</v>
      </c>
      <c r="N3712" t="b">
        <v>0</v>
      </c>
      <c r="O3712">
        <v>0</v>
      </c>
      <c r="P3712">
        <v>0</v>
      </c>
      <c r="Q3712">
        <v>1</v>
      </c>
      <c r="R3712">
        <v>0</v>
      </c>
    </row>
    <row r="3713" spans="1:18" x14ac:dyDescent="0.25">
      <c r="A3713" t="s">
        <v>436</v>
      </c>
      <c r="B3713" t="s">
        <v>63</v>
      </c>
      <c r="C3713">
        <v>2</v>
      </c>
      <c r="D3713">
        <v>5</v>
      </c>
      <c r="E3713">
        <v>2</v>
      </c>
      <c r="F3713" s="15">
        <v>46111</v>
      </c>
      <c r="G3713" t="s">
        <v>461</v>
      </c>
      <c r="H3713">
        <v>4</v>
      </c>
      <c r="I3713">
        <v>2026</v>
      </c>
      <c r="J3713">
        <v>3</v>
      </c>
      <c r="K3713" t="s">
        <v>87</v>
      </c>
      <c r="L3713" t="s">
        <v>10</v>
      </c>
      <c r="M3713" t="s">
        <v>63</v>
      </c>
      <c r="N3713" t="b">
        <v>0</v>
      </c>
      <c r="O3713">
        <v>0</v>
      </c>
      <c r="P3713">
        <v>0</v>
      </c>
      <c r="Q3713">
        <v>1</v>
      </c>
      <c r="R3713">
        <v>0</v>
      </c>
    </row>
    <row r="3714" spans="1:18" x14ac:dyDescent="0.25">
      <c r="A3714" t="s">
        <v>436</v>
      </c>
      <c r="B3714" t="s">
        <v>63</v>
      </c>
      <c r="C3714">
        <v>2</v>
      </c>
      <c r="D3714">
        <v>5</v>
      </c>
      <c r="E3714">
        <v>2</v>
      </c>
      <c r="F3714" s="15">
        <v>46111</v>
      </c>
      <c r="G3714" t="s">
        <v>461</v>
      </c>
      <c r="H3714">
        <v>4</v>
      </c>
      <c r="I3714">
        <v>2026</v>
      </c>
      <c r="J3714">
        <v>3</v>
      </c>
      <c r="K3714" t="s">
        <v>87</v>
      </c>
      <c r="L3714" t="s">
        <v>51</v>
      </c>
      <c r="M3714" t="s">
        <v>63</v>
      </c>
      <c r="N3714" t="b">
        <v>0</v>
      </c>
      <c r="O3714">
        <v>0</v>
      </c>
      <c r="P3714">
        <v>0</v>
      </c>
      <c r="Q3714">
        <v>1</v>
      </c>
      <c r="R3714">
        <v>0</v>
      </c>
    </row>
    <row r="3715" spans="1:18" x14ac:dyDescent="0.25">
      <c r="A3715" t="s">
        <v>436</v>
      </c>
      <c r="B3715" t="s">
        <v>63</v>
      </c>
      <c r="C3715">
        <v>2</v>
      </c>
      <c r="D3715">
        <v>5</v>
      </c>
      <c r="E3715">
        <v>2</v>
      </c>
      <c r="F3715" s="15">
        <v>46111</v>
      </c>
      <c r="G3715" t="s">
        <v>461</v>
      </c>
      <c r="H3715">
        <v>4</v>
      </c>
      <c r="I3715">
        <v>2026</v>
      </c>
      <c r="J3715">
        <v>3</v>
      </c>
      <c r="K3715" t="s">
        <v>87</v>
      </c>
      <c r="L3715" t="s">
        <v>325</v>
      </c>
      <c r="M3715" t="s">
        <v>63</v>
      </c>
      <c r="N3715" t="b">
        <v>0</v>
      </c>
      <c r="O3715">
        <v>0</v>
      </c>
      <c r="P3715">
        <v>0</v>
      </c>
      <c r="Q3715">
        <v>1</v>
      </c>
      <c r="R3715">
        <v>0</v>
      </c>
    </row>
    <row r="3716" spans="1:18" x14ac:dyDescent="0.25">
      <c r="A3716" t="s">
        <v>51</v>
      </c>
      <c r="B3716" t="s">
        <v>63</v>
      </c>
      <c r="C3716">
        <v>3</v>
      </c>
      <c r="D3716">
        <v>5</v>
      </c>
      <c r="E3716">
        <v>2</v>
      </c>
      <c r="F3716" s="15">
        <v>46111</v>
      </c>
      <c r="G3716" t="s">
        <v>461</v>
      </c>
      <c r="H3716">
        <v>4</v>
      </c>
      <c r="I3716">
        <v>2026</v>
      </c>
      <c r="J3716">
        <v>3</v>
      </c>
      <c r="K3716" t="s">
        <v>87</v>
      </c>
      <c r="L3716" t="s">
        <v>10</v>
      </c>
      <c r="M3716" t="s">
        <v>63</v>
      </c>
      <c r="N3716" t="b">
        <v>0</v>
      </c>
      <c r="O3716">
        <v>0</v>
      </c>
      <c r="P3716">
        <v>0</v>
      </c>
      <c r="Q3716">
        <v>1</v>
      </c>
      <c r="R3716">
        <v>0</v>
      </c>
    </row>
    <row r="3717" spans="1:18" x14ac:dyDescent="0.25">
      <c r="A3717" t="s">
        <v>51</v>
      </c>
      <c r="B3717" t="s">
        <v>63</v>
      </c>
      <c r="C3717">
        <v>3</v>
      </c>
      <c r="D3717">
        <v>5</v>
      </c>
      <c r="E3717">
        <v>2</v>
      </c>
      <c r="F3717" s="15">
        <v>46111</v>
      </c>
      <c r="G3717" t="s">
        <v>461</v>
      </c>
      <c r="H3717">
        <v>4</v>
      </c>
      <c r="I3717">
        <v>2026</v>
      </c>
      <c r="J3717">
        <v>3</v>
      </c>
      <c r="K3717" t="s">
        <v>87</v>
      </c>
      <c r="L3717" t="s">
        <v>436</v>
      </c>
      <c r="M3717" t="s">
        <v>63</v>
      </c>
      <c r="N3717" t="b">
        <v>0</v>
      </c>
      <c r="O3717">
        <v>0</v>
      </c>
      <c r="P3717">
        <v>0</v>
      </c>
      <c r="Q3717">
        <v>1</v>
      </c>
      <c r="R3717">
        <v>0</v>
      </c>
    </row>
    <row r="3718" spans="1:18" x14ac:dyDescent="0.25">
      <c r="A3718" t="s">
        <v>51</v>
      </c>
      <c r="B3718" t="s">
        <v>63</v>
      </c>
      <c r="C3718">
        <v>3</v>
      </c>
      <c r="D3718">
        <v>5</v>
      </c>
      <c r="E3718">
        <v>2</v>
      </c>
      <c r="F3718" s="15">
        <v>46111</v>
      </c>
      <c r="G3718" t="s">
        <v>461</v>
      </c>
      <c r="H3718">
        <v>4</v>
      </c>
      <c r="I3718">
        <v>2026</v>
      </c>
      <c r="J3718">
        <v>3</v>
      </c>
      <c r="K3718" t="s">
        <v>87</v>
      </c>
      <c r="L3718" t="s">
        <v>325</v>
      </c>
      <c r="M3718" t="s">
        <v>63</v>
      </c>
      <c r="N3718" t="b">
        <v>0</v>
      </c>
      <c r="O3718">
        <v>0</v>
      </c>
      <c r="P3718">
        <v>0</v>
      </c>
      <c r="Q3718">
        <v>1</v>
      </c>
      <c r="R3718">
        <v>0</v>
      </c>
    </row>
    <row r="3719" spans="1:18" x14ac:dyDescent="0.25">
      <c r="A3719" t="s">
        <v>325</v>
      </c>
      <c r="B3719" t="s">
        <v>63</v>
      </c>
      <c r="C3719">
        <v>4</v>
      </c>
      <c r="D3719">
        <v>5</v>
      </c>
      <c r="E3719">
        <v>2</v>
      </c>
      <c r="F3719" s="15">
        <v>46111</v>
      </c>
      <c r="G3719" t="s">
        <v>461</v>
      </c>
      <c r="H3719">
        <v>4</v>
      </c>
      <c r="I3719">
        <v>2026</v>
      </c>
      <c r="J3719">
        <v>3</v>
      </c>
      <c r="K3719" t="s">
        <v>87</v>
      </c>
      <c r="L3719" t="s">
        <v>10</v>
      </c>
      <c r="M3719" t="s">
        <v>63</v>
      </c>
      <c r="N3719" t="b">
        <v>0</v>
      </c>
      <c r="O3719">
        <v>0</v>
      </c>
      <c r="P3719">
        <v>0</v>
      </c>
      <c r="Q3719">
        <v>1</v>
      </c>
      <c r="R3719">
        <v>0</v>
      </c>
    </row>
    <row r="3720" spans="1:18" x14ac:dyDescent="0.25">
      <c r="A3720" t="s">
        <v>325</v>
      </c>
      <c r="B3720" t="s">
        <v>63</v>
      </c>
      <c r="C3720">
        <v>4</v>
      </c>
      <c r="D3720">
        <v>5</v>
      </c>
      <c r="E3720">
        <v>2</v>
      </c>
      <c r="F3720" s="15">
        <v>46111</v>
      </c>
      <c r="G3720" t="s">
        <v>461</v>
      </c>
      <c r="H3720">
        <v>4</v>
      </c>
      <c r="I3720">
        <v>2026</v>
      </c>
      <c r="J3720">
        <v>3</v>
      </c>
      <c r="K3720" t="s">
        <v>87</v>
      </c>
      <c r="L3720" t="s">
        <v>436</v>
      </c>
      <c r="M3720" t="s">
        <v>63</v>
      </c>
      <c r="N3720" t="b">
        <v>0</v>
      </c>
      <c r="O3720">
        <v>0</v>
      </c>
      <c r="P3720">
        <v>0</v>
      </c>
      <c r="Q3720">
        <v>1</v>
      </c>
      <c r="R3720">
        <v>0</v>
      </c>
    </row>
    <row r="3721" spans="1:18" x14ac:dyDescent="0.25">
      <c r="A3721" t="s">
        <v>325</v>
      </c>
      <c r="B3721" t="s">
        <v>63</v>
      </c>
      <c r="C3721">
        <v>4</v>
      </c>
      <c r="D3721">
        <v>5</v>
      </c>
      <c r="E3721">
        <v>2</v>
      </c>
      <c r="F3721" s="15">
        <v>46111</v>
      </c>
      <c r="G3721" t="s">
        <v>461</v>
      </c>
      <c r="H3721">
        <v>4</v>
      </c>
      <c r="I3721">
        <v>2026</v>
      </c>
      <c r="J3721">
        <v>3</v>
      </c>
      <c r="K3721" t="s">
        <v>87</v>
      </c>
      <c r="L3721" t="s">
        <v>51</v>
      </c>
      <c r="M3721" t="s">
        <v>63</v>
      </c>
      <c r="N3721" t="b">
        <v>0</v>
      </c>
      <c r="O3721">
        <v>0</v>
      </c>
      <c r="P3721">
        <v>0</v>
      </c>
      <c r="Q3721">
        <v>1</v>
      </c>
      <c r="R3721">
        <v>0</v>
      </c>
    </row>
    <row r="3722" spans="1:18" x14ac:dyDescent="0.25">
      <c r="A3722" t="s">
        <v>52</v>
      </c>
      <c r="B3722" t="s">
        <v>6</v>
      </c>
      <c r="C3722">
        <v>1</v>
      </c>
      <c r="D3722">
        <v>6</v>
      </c>
      <c r="E3722">
        <v>2</v>
      </c>
      <c r="F3722" s="15">
        <v>46111</v>
      </c>
      <c r="G3722" t="s">
        <v>462</v>
      </c>
      <c r="H3722">
        <v>3</v>
      </c>
      <c r="I3722">
        <v>2026</v>
      </c>
      <c r="J3722">
        <v>3</v>
      </c>
      <c r="K3722" t="s">
        <v>87</v>
      </c>
      <c r="L3722" t="s">
        <v>364</v>
      </c>
      <c r="M3722" t="s">
        <v>8</v>
      </c>
      <c r="N3722" t="b">
        <v>0</v>
      </c>
      <c r="O3722">
        <v>0</v>
      </c>
      <c r="P3722">
        <v>1</v>
      </c>
      <c r="Q3722">
        <v>0</v>
      </c>
      <c r="R3722">
        <v>1</v>
      </c>
    </row>
    <row r="3723" spans="1:18" x14ac:dyDescent="0.25">
      <c r="A3723" t="s">
        <v>52</v>
      </c>
      <c r="B3723" t="s">
        <v>6</v>
      </c>
      <c r="C3723">
        <v>1</v>
      </c>
      <c r="D3723">
        <v>6</v>
      </c>
      <c r="E3723">
        <v>2</v>
      </c>
      <c r="F3723" s="15">
        <v>46111</v>
      </c>
      <c r="G3723" t="s">
        <v>462</v>
      </c>
      <c r="H3723">
        <v>3</v>
      </c>
      <c r="I3723">
        <v>2026</v>
      </c>
      <c r="J3723">
        <v>3</v>
      </c>
      <c r="K3723" t="s">
        <v>87</v>
      </c>
      <c r="L3723" t="s">
        <v>405</v>
      </c>
      <c r="M3723" t="s">
        <v>6</v>
      </c>
      <c r="N3723" t="b">
        <v>0</v>
      </c>
      <c r="O3723">
        <v>0</v>
      </c>
      <c r="P3723">
        <v>1</v>
      </c>
      <c r="Q3723">
        <v>0</v>
      </c>
      <c r="R3723">
        <v>0</v>
      </c>
    </row>
    <row r="3724" spans="1:18" x14ac:dyDescent="0.25">
      <c r="A3724" t="s">
        <v>364</v>
      </c>
      <c r="B3724" t="s">
        <v>8</v>
      </c>
      <c r="C3724">
        <v>2</v>
      </c>
      <c r="D3724">
        <v>6</v>
      </c>
      <c r="E3724">
        <v>2</v>
      </c>
      <c r="F3724" s="15">
        <v>46111</v>
      </c>
      <c r="G3724" t="s">
        <v>462</v>
      </c>
      <c r="H3724">
        <v>3</v>
      </c>
      <c r="I3724">
        <v>2026</v>
      </c>
      <c r="J3724">
        <v>3</v>
      </c>
      <c r="K3724" t="s">
        <v>87</v>
      </c>
      <c r="L3724" t="s">
        <v>52</v>
      </c>
      <c r="M3724" t="s">
        <v>6</v>
      </c>
      <c r="N3724" t="b">
        <v>0</v>
      </c>
      <c r="O3724">
        <v>1</v>
      </c>
      <c r="P3724">
        <v>0</v>
      </c>
      <c r="Q3724">
        <v>0</v>
      </c>
      <c r="R3724">
        <v>0</v>
      </c>
    </row>
    <row r="3725" spans="1:18" x14ac:dyDescent="0.25">
      <c r="A3725" t="s">
        <v>364</v>
      </c>
      <c r="B3725" t="s">
        <v>8</v>
      </c>
      <c r="C3725">
        <v>2</v>
      </c>
      <c r="D3725">
        <v>6</v>
      </c>
      <c r="E3725">
        <v>2</v>
      </c>
      <c r="F3725" s="15">
        <v>46111</v>
      </c>
      <c r="G3725" t="s">
        <v>462</v>
      </c>
      <c r="H3725">
        <v>3</v>
      </c>
      <c r="I3725">
        <v>2026</v>
      </c>
      <c r="J3725">
        <v>3</v>
      </c>
      <c r="K3725" t="s">
        <v>87</v>
      </c>
      <c r="L3725" t="s">
        <v>405</v>
      </c>
      <c r="M3725" t="s">
        <v>6</v>
      </c>
      <c r="N3725" t="b">
        <v>0</v>
      </c>
      <c r="O3725">
        <v>1</v>
      </c>
      <c r="P3725">
        <v>0</v>
      </c>
      <c r="Q3725">
        <v>0</v>
      </c>
      <c r="R3725">
        <v>0</v>
      </c>
    </row>
    <row r="3726" spans="1:18" x14ac:dyDescent="0.25">
      <c r="A3726" t="s">
        <v>405</v>
      </c>
      <c r="B3726" t="s">
        <v>6</v>
      </c>
      <c r="C3726">
        <v>3</v>
      </c>
      <c r="D3726">
        <v>6</v>
      </c>
      <c r="E3726">
        <v>2</v>
      </c>
      <c r="F3726" s="15">
        <v>46111</v>
      </c>
      <c r="G3726" t="s">
        <v>462</v>
      </c>
      <c r="H3726">
        <v>3</v>
      </c>
      <c r="I3726">
        <v>2026</v>
      </c>
      <c r="J3726">
        <v>3</v>
      </c>
      <c r="K3726" t="s">
        <v>87</v>
      </c>
      <c r="L3726" t="s">
        <v>52</v>
      </c>
      <c r="M3726" t="s">
        <v>6</v>
      </c>
      <c r="N3726" t="b">
        <v>0</v>
      </c>
      <c r="O3726">
        <v>0</v>
      </c>
      <c r="P3726">
        <v>1</v>
      </c>
      <c r="Q3726">
        <v>0</v>
      </c>
      <c r="R3726">
        <v>0</v>
      </c>
    </row>
    <row r="3727" spans="1:18" x14ac:dyDescent="0.25">
      <c r="A3727" t="s">
        <v>405</v>
      </c>
      <c r="B3727" t="s">
        <v>6</v>
      </c>
      <c r="C3727">
        <v>3</v>
      </c>
      <c r="D3727">
        <v>6</v>
      </c>
      <c r="E3727">
        <v>2</v>
      </c>
      <c r="F3727" s="15">
        <v>46111</v>
      </c>
      <c r="G3727" t="s">
        <v>462</v>
      </c>
      <c r="H3727">
        <v>3</v>
      </c>
      <c r="I3727">
        <v>2026</v>
      </c>
      <c r="J3727">
        <v>3</v>
      </c>
      <c r="K3727" t="s">
        <v>87</v>
      </c>
      <c r="L3727" t="s">
        <v>364</v>
      </c>
      <c r="M3727" t="s">
        <v>8</v>
      </c>
      <c r="N3727" t="b">
        <v>0</v>
      </c>
      <c r="O3727">
        <v>0</v>
      </c>
      <c r="P3727">
        <v>1</v>
      </c>
      <c r="Q3727">
        <v>0</v>
      </c>
      <c r="R3727">
        <v>1</v>
      </c>
    </row>
    <row r="3728" spans="1:18" x14ac:dyDescent="0.25">
      <c r="A3728" t="s">
        <v>7</v>
      </c>
      <c r="B3728" t="s">
        <v>6</v>
      </c>
      <c r="C3728">
        <v>1</v>
      </c>
      <c r="D3728">
        <v>1</v>
      </c>
      <c r="E3728">
        <v>1</v>
      </c>
      <c r="F3728" s="15">
        <v>46118</v>
      </c>
      <c r="G3728" t="s">
        <v>466</v>
      </c>
      <c r="H3728">
        <v>4</v>
      </c>
      <c r="I3728">
        <v>2026</v>
      </c>
      <c r="J3728">
        <v>4</v>
      </c>
      <c r="K3728" t="s">
        <v>87</v>
      </c>
      <c r="L3728" t="s">
        <v>363</v>
      </c>
      <c r="M3728" t="s">
        <v>6</v>
      </c>
      <c r="N3728" t="b">
        <v>0</v>
      </c>
      <c r="O3728">
        <v>0</v>
      </c>
      <c r="P3728">
        <v>1</v>
      </c>
      <c r="Q3728">
        <v>0</v>
      </c>
      <c r="R3728">
        <v>0</v>
      </c>
    </row>
    <row r="3729" spans="1:18" x14ac:dyDescent="0.25">
      <c r="A3729" t="s">
        <v>7</v>
      </c>
      <c r="B3729" t="s">
        <v>6</v>
      </c>
      <c r="C3729">
        <v>1</v>
      </c>
      <c r="D3729">
        <v>1</v>
      </c>
      <c r="E3729">
        <v>1</v>
      </c>
      <c r="F3729" s="15">
        <v>46118</v>
      </c>
      <c r="G3729" t="s">
        <v>466</v>
      </c>
      <c r="H3729">
        <v>4</v>
      </c>
      <c r="I3729">
        <v>2026</v>
      </c>
      <c r="J3729">
        <v>4</v>
      </c>
      <c r="K3729" t="s">
        <v>87</v>
      </c>
      <c r="L3729" t="s">
        <v>9</v>
      </c>
      <c r="M3729" t="s">
        <v>6</v>
      </c>
      <c r="N3729" t="b">
        <v>0</v>
      </c>
      <c r="O3729">
        <v>0</v>
      </c>
      <c r="P3729">
        <v>1</v>
      </c>
      <c r="Q3729">
        <v>0</v>
      </c>
      <c r="R3729">
        <v>0</v>
      </c>
    </row>
    <row r="3730" spans="1:18" x14ac:dyDescent="0.25">
      <c r="A3730" t="s">
        <v>7</v>
      </c>
      <c r="B3730" t="s">
        <v>6</v>
      </c>
      <c r="C3730">
        <v>1</v>
      </c>
      <c r="D3730">
        <v>1</v>
      </c>
      <c r="E3730">
        <v>1</v>
      </c>
      <c r="F3730" s="15">
        <v>46118</v>
      </c>
      <c r="G3730" t="s">
        <v>466</v>
      </c>
      <c r="H3730">
        <v>4</v>
      </c>
      <c r="I3730">
        <v>2026</v>
      </c>
      <c r="J3730">
        <v>4</v>
      </c>
      <c r="K3730" t="s">
        <v>87</v>
      </c>
      <c r="L3730" t="s">
        <v>434</v>
      </c>
      <c r="M3730" t="s">
        <v>8</v>
      </c>
      <c r="N3730" t="b">
        <v>0</v>
      </c>
      <c r="O3730">
        <v>0</v>
      </c>
      <c r="P3730">
        <v>1</v>
      </c>
      <c r="Q3730">
        <v>0</v>
      </c>
      <c r="R3730">
        <v>1</v>
      </c>
    </row>
    <row r="3731" spans="1:18" x14ac:dyDescent="0.25">
      <c r="A3731" t="s">
        <v>363</v>
      </c>
      <c r="B3731" t="s">
        <v>6</v>
      </c>
      <c r="C3731">
        <v>2</v>
      </c>
      <c r="D3731">
        <v>1</v>
      </c>
      <c r="E3731">
        <v>1</v>
      </c>
      <c r="F3731" s="15">
        <v>46118</v>
      </c>
      <c r="G3731" t="s">
        <v>466</v>
      </c>
      <c r="H3731">
        <v>4</v>
      </c>
      <c r="I3731">
        <v>2026</v>
      </c>
      <c r="J3731">
        <v>4</v>
      </c>
      <c r="K3731" t="s">
        <v>87</v>
      </c>
      <c r="L3731" t="s">
        <v>7</v>
      </c>
      <c r="M3731" t="s">
        <v>6</v>
      </c>
      <c r="N3731" t="b">
        <v>0</v>
      </c>
      <c r="O3731">
        <v>0</v>
      </c>
      <c r="P3731">
        <v>1</v>
      </c>
      <c r="Q3731">
        <v>0</v>
      </c>
      <c r="R3731">
        <v>0</v>
      </c>
    </row>
    <row r="3732" spans="1:18" x14ac:dyDescent="0.25">
      <c r="A3732" t="s">
        <v>363</v>
      </c>
      <c r="B3732" t="s">
        <v>6</v>
      </c>
      <c r="C3732">
        <v>2</v>
      </c>
      <c r="D3732">
        <v>1</v>
      </c>
      <c r="E3732">
        <v>1</v>
      </c>
      <c r="F3732" s="15">
        <v>46118</v>
      </c>
      <c r="G3732" t="s">
        <v>466</v>
      </c>
      <c r="H3732">
        <v>4</v>
      </c>
      <c r="I3732">
        <v>2026</v>
      </c>
      <c r="J3732">
        <v>4</v>
      </c>
      <c r="K3732" t="s">
        <v>87</v>
      </c>
      <c r="L3732" t="s">
        <v>9</v>
      </c>
      <c r="M3732" t="s">
        <v>6</v>
      </c>
      <c r="N3732" t="b">
        <v>0</v>
      </c>
      <c r="O3732">
        <v>0</v>
      </c>
      <c r="P3732">
        <v>1</v>
      </c>
      <c r="Q3732">
        <v>0</v>
      </c>
      <c r="R3732">
        <v>0</v>
      </c>
    </row>
    <row r="3733" spans="1:18" x14ac:dyDescent="0.25">
      <c r="A3733" t="s">
        <v>363</v>
      </c>
      <c r="B3733" t="s">
        <v>6</v>
      </c>
      <c r="C3733">
        <v>2</v>
      </c>
      <c r="D3733">
        <v>1</v>
      </c>
      <c r="E3733">
        <v>1</v>
      </c>
      <c r="F3733" s="15">
        <v>46118</v>
      </c>
      <c r="G3733" t="s">
        <v>466</v>
      </c>
      <c r="H3733">
        <v>4</v>
      </c>
      <c r="I3733">
        <v>2026</v>
      </c>
      <c r="J3733">
        <v>4</v>
      </c>
      <c r="K3733" t="s">
        <v>87</v>
      </c>
      <c r="L3733" t="s">
        <v>434</v>
      </c>
      <c r="M3733" t="s">
        <v>8</v>
      </c>
      <c r="N3733" t="b">
        <v>0</v>
      </c>
      <c r="O3733">
        <v>0</v>
      </c>
      <c r="P3733">
        <v>1</v>
      </c>
      <c r="Q3733">
        <v>0</v>
      </c>
      <c r="R3733">
        <v>1</v>
      </c>
    </row>
    <row r="3734" spans="1:18" x14ac:dyDescent="0.25">
      <c r="A3734" t="s">
        <v>9</v>
      </c>
      <c r="B3734" t="s">
        <v>6</v>
      </c>
      <c r="C3734">
        <v>3</v>
      </c>
      <c r="D3734">
        <v>1</v>
      </c>
      <c r="E3734">
        <v>1</v>
      </c>
      <c r="F3734" s="15">
        <v>46118</v>
      </c>
      <c r="G3734" t="s">
        <v>466</v>
      </c>
      <c r="H3734">
        <v>4</v>
      </c>
      <c r="I3734">
        <v>2026</v>
      </c>
      <c r="J3734">
        <v>4</v>
      </c>
      <c r="K3734" t="s">
        <v>87</v>
      </c>
      <c r="L3734" t="s">
        <v>7</v>
      </c>
      <c r="M3734" t="s">
        <v>6</v>
      </c>
      <c r="N3734" t="b">
        <v>0</v>
      </c>
      <c r="O3734">
        <v>0</v>
      </c>
      <c r="P3734">
        <v>1</v>
      </c>
      <c r="Q3734">
        <v>0</v>
      </c>
      <c r="R3734">
        <v>0</v>
      </c>
    </row>
    <row r="3735" spans="1:18" x14ac:dyDescent="0.25">
      <c r="A3735" t="s">
        <v>9</v>
      </c>
      <c r="B3735" t="s">
        <v>6</v>
      </c>
      <c r="C3735">
        <v>3</v>
      </c>
      <c r="D3735">
        <v>1</v>
      </c>
      <c r="E3735">
        <v>1</v>
      </c>
      <c r="F3735" s="15">
        <v>46118</v>
      </c>
      <c r="G3735" t="s">
        <v>466</v>
      </c>
      <c r="H3735">
        <v>4</v>
      </c>
      <c r="I3735">
        <v>2026</v>
      </c>
      <c r="J3735">
        <v>4</v>
      </c>
      <c r="K3735" t="s">
        <v>87</v>
      </c>
      <c r="L3735" t="s">
        <v>363</v>
      </c>
      <c r="M3735" t="s">
        <v>6</v>
      </c>
      <c r="N3735" t="b">
        <v>0</v>
      </c>
      <c r="O3735">
        <v>0</v>
      </c>
      <c r="P3735">
        <v>1</v>
      </c>
      <c r="Q3735">
        <v>0</v>
      </c>
      <c r="R3735">
        <v>0</v>
      </c>
    </row>
    <row r="3736" spans="1:18" x14ac:dyDescent="0.25">
      <c r="A3736" t="s">
        <v>9</v>
      </c>
      <c r="B3736" t="s">
        <v>6</v>
      </c>
      <c r="C3736">
        <v>3</v>
      </c>
      <c r="D3736">
        <v>1</v>
      </c>
      <c r="E3736">
        <v>1</v>
      </c>
      <c r="F3736" s="15">
        <v>46118</v>
      </c>
      <c r="G3736" t="s">
        <v>466</v>
      </c>
      <c r="H3736">
        <v>4</v>
      </c>
      <c r="I3736">
        <v>2026</v>
      </c>
      <c r="J3736">
        <v>4</v>
      </c>
      <c r="K3736" t="s">
        <v>87</v>
      </c>
      <c r="L3736" t="s">
        <v>434</v>
      </c>
      <c r="M3736" t="s">
        <v>8</v>
      </c>
      <c r="N3736" t="b">
        <v>0</v>
      </c>
      <c r="O3736">
        <v>0</v>
      </c>
      <c r="P3736">
        <v>1</v>
      </c>
      <c r="Q3736">
        <v>0</v>
      </c>
      <c r="R3736">
        <v>1</v>
      </c>
    </row>
    <row r="3737" spans="1:18" x14ac:dyDescent="0.25">
      <c r="A3737" t="s">
        <v>434</v>
      </c>
      <c r="B3737" t="s">
        <v>8</v>
      </c>
      <c r="C3737">
        <v>4</v>
      </c>
      <c r="D3737">
        <v>1</v>
      </c>
      <c r="E3737">
        <v>1</v>
      </c>
      <c r="F3737" s="15">
        <v>46118</v>
      </c>
      <c r="G3737" t="s">
        <v>466</v>
      </c>
      <c r="H3737">
        <v>4</v>
      </c>
      <c r="I3737">
        <v>2026</v>
      </c>
      <c r="J3737">
        <v>4</v>
      </c>
      <c r="K3737" t="s">
        <v>87</v>
      </c>
      <c r="L3737" t="s">
        <v>7</v>
      </c>
      <c r="M3737" t="s">
        <v>6</v>
      </c>
      <c r="N3737" t="b">
        <v>0</v>
      </c>
      <c r="O3737">
        <v>1</v>
      </c>
      <c r="P3737">
        <v>0</v>
      </c>
      <c r="Q3737">
        <v>0</v>
      </c>
      <c r="R3737">
        <v>0</v>
      </c>
    </row>
    <row r="3738" spans="1:18" x14ac:dyDescent="0.25">
      <c r="A3738" t="s">
        <v>434</v>
      </c>
      <c r="B3738" t="s">
        <v>8</v>
      </c>
      <c r="C3738">
        <v>4</v>
      </c>
      <c r="D3738">
        <v>1</v>
      </c>
      <c r="E3738">
        <v>1</v>
      </c>
      <c r="F3738" s="15">
        <v>46118</v>
      </c>
      <c r="G3738" t="s">
        <v>466</v>
      </c>
      <c r="H3738">
        <v>4</v>
      </c>
      <c r="I3738">
        <v>2026</v>
      </c>
      <c r="J3738">
        <v>4</v>
      </c>
      <c r="K3738" t="s">
        <v>87</v>
      </c>
      <c r="L3738" t="s">
        <v>363</v>
      </c>
      <c r="M3738" t="s">
        <v>6</v>
      </c>
      <c r="N3738" t="b">
        <v>0</v>
      </c>
      <c r="O3738">
        <v>1</v>
      </c>
      <c r="P3738">
        <v>0</v>
      </c>
      <c r="Q3738">
        <v>0</v>
      </c>
      <c r="R3738">
        <v>0</v>
      </c>
    </row>
    <row r="3739" spans="1:18" x14ac:dyDescent="0.25">
      <c r="A3739" t="s">
        <v>434</v>
      </c>
      <c r="B3739" t="s">
        <v>8</v>
      </c>
      <c r="C3739">
        <v>4</v>
      </c>
      <c r="D3739">
        <v>1</v>
      </c>
      <c r="E3739">
        <v>1</v>
      </c>
      <c r="F3739" s="15">
        <v>46118</v>
      </c>
      <c r="G3739" t="s">
        <v>466</v>
      </c>
      <c r="H3739">
        <v>4</v>
      </c>
      <c r="I3739">
        <v>2026</v>
      </c>
      <c r="J3739">
        <v>4</v>
      </c>
      <c r="K3739" t="s">
        <v>87</v>
      </c>
      <c r="L3739" t="s">
        <v>9</v>
      </c>
      <c r="M3739" t="s">
        <v>6</v>
      </c>
      <c r="N3739" t="b">
        <v>0</v>
      </c>
      <c r="O3739">
        <v>1</v>
      </c>
      <c r="P3739">
        <v>0</v>
      </c>
      <c r="Q3739">
        <v>0</v>
      </c>
      <c r="R3739">
        <v>0</v>
      </c>
    </row>
    <row r="3740" spans="1:18" x14ac:dyDescent="0.25">
      <c r="A3740" t="s">
        <v>352</v>
      </c>
      <c r="B3740" t="s">
        <v>6</v>
      </c>
      <c r="C3740">
        <v>1</v>
      </c>
      <c r="D3740">
        <v>2</v>
      </c>
      <c r="E3740">
        <v>1</v>
      </c>
      <c r="F3740" s="15">
        <v>46118</v>
      </c>
      <c r="G3740" t="s">
        <v>467</v>
      </c>
      <c r="H3740">
        <v>4</v>
      </c>
      <c r="I3740">
        <v>2026</v>
      </c>
      <c r="J3740">
        <v>4</v>
      </c>
      <c r="K3740" t="s">
        <v>87</v>
      </c>
      <c r="L3740" t="s">
        <v>51</v>
      </c>
      <c r="M3740" t="s">
        <v>6</v>
      </c>
      <c r="N3740" t="b">
        <v>0</v>
      </c>
      <c r="O3740">
        <v>0</v>
      </c>
      <c r="P3740">
        <v>1</v>
      </c>
      <c r="Q3740">
        <v>0</v>
      </c>
      <c r="R3740">
        <v>0</v>
      </c>
    </row>
    <row r="3741" spans="1:18" x14ac:dyDescent="0.25">
      <c r="A3741" t="s">
        <v>352</v>
      </c>
      <c r="B3741" t="s">
        <v>6</v>
      </c>
      <c r="C3741">
        <v>1</v>
      </c>
      <c r="D3741">
        <v>2</v>
      </c>
      <c r="E3741">
        <v>1</v>
      </c>
      <c r="F3741" s="15">
        <v>46118</v>
      </c>
      <c r="G3741" t="s">
        <v>467</v>
      </c>
      <c r="H3741">
        <v>4</v>
      </c>
      <c r="I3741">
        <v>2026</v>
      </c>
      <c r="J3741">
        <v>4</v>
      </c>
      <c r="K3741" t="s">
        <v>87</v>
      </c>
      <c r="L3741" t="s">
        <v>580</v>
      </c>
      <c r="M3741" t="s">
        <v>6</v>
      </c>
      <c r="N3741" t="b">
        <v>0</v>
      </c>
      <c r="O3741">
        <v>0</v>
      </c>
      <c r="P3741">
        <v>1</v>
      </c>
      <c r="Q3741">
        <v>0</v>
      </c>
      <c r="R3741">
        <v>0</v>
      </c>
    </row>
    <row r="3742" spans="1:18" x14ac:dyDescent="0.25">
      <c r="A3742" t="s">
        <v>352</v>
      </c>
      <c r="B3742" t="s">
        <v>6</v>
      </c>
      <c r="C3742">
        <v>1</v>
      </c>
      <c r="D3742">
        <v>2</v>
      </c>
      <c r="E3742">
        <v>1</v>
      </c>
      <c r="F3742" s="15">
        <v>46118</v>
      </c>
      <c r="G3742" t="s">
        <v>467</v>
      </c>
      <c r="H3742">
        <v>4</v>
      </c>
      <c r="I3742">
        <v>2026</v>
      </c>
      <c r="J3742">
        <v>4</v>
      </c>
      <c r="K3742" t="s">
        <v>87</v>
      </c>
      <c r="L3742" t="s">
        <v>19</v>
      </c>
      <c r="M3742" t="s">
        <v>8</v>
      </c>
      <c r="N3742" t="b">
        <v>0</v>
      </c>
      <c r="O3742">
        <v>0</v>
      </c>
      <c r="P3742">
        <v>1</v>
      </c>
      <c r="Q3742">
        <v>0</v>
      </c>
      <c r="R3742">
        <v>1</v>
      </c>
    </row>
    <row r="3743" spans="1:18" x14ac:dyDescent="0.25">
      <c r="A3743" t="s">
        <v>51</v>
      </c>
      <c r="B3743" t="s">
        <v>6</v>
      </c>
      <c r="C3743">
        <v>2</v>
      </c>
      <c r="D3743">
        <v>2</v>
      </c>
      <c r="E3743">
        <v>1</v>
      </c>
      <c r="F3743" s="15">
        <v>46118</v>
      </c>
      <c r="G3743" t="s">
        <v>467</v>
      </c>
      <c r="H3743">
        <v>4</v>
      </c>
      <c r="I3743">
        <v>2026</v>
      </c>
      <c r="J3743">
        <v>4</v>
      </c>
      <c r="K3743" t="s">
        <v>87</v>
      </c>
      <c r="L3743" t="s">
        <v>352</v>
      </c>
      <c r="M3743" t="s">
        <v>6</v>
      </c>
      <c r="N3743" t="b">
        <v>0</v>
      </c>
      <c r="O3743">
        <v>0</v>
      </c>
      <c r="P3743">
        <v>1</v>
      </c>
      <c r="Q3743">
        <v>0</v>
      </c>
      <c r="R3743">
        <v>0</v>
      </c>
    </row>
    <row r="3744" spans="1:18" x14ac:dyDescent="0.25">
      <c r="A3744" t="s">
        <v>51</v>
      </c>
      <c r="B3744" t="s">
        <v>6</v>
      </c>
      <c r="C3744">
        <v>2</v>
      </c>
      <c r="D3744">
        <v>2</v>
      </c>
      <c r="E3744">
        <v>1</v>
      </c>
      <c r="F3744" s="15">
        <v>46118</v>
      </c>
      <c r="G3744" t="s">
        <v>467</v>
      </c>
      <c r="H3744">
        <v>4</v>
      </c>
      <c r="I3744">
        <v>2026</v>
      </c>
      <c r="J3744">
        <v>4</v>
      </c>
      <c r="K3744" t="s">
        <v>87</v>
      </c>
      <c r="L3744" t="s">
        <v>580</v>
      </c>
      <c r="M3744" t="s">
        <v>6</v>
      </c>
      <c r="N3744" t="b">
        <v>0</v>
      </c>
      <c r="O3744">
        <v>0</v>
      </c>
      <c r="P3744">
        <v>1</v>
      </c>
      <c r="Q3744">
        <v>0</v>
      </c>
      <c r="R3744">
        <v>0</v>
      </c>
    </row>
    <row r="3745" spans="1:18" x14ac:dyDescent="0.25">
      <c r="A3745" t="s">
        <v>51</v>
      </c>
      <c r="B3745" t="s">
        <v>6</v>
      </c>
      <c r="C3745">
        <v>2</v>
      </c>
      <c r="D3745">
        <v>2</v>
      </c>
      <c r="E3745">
        <v>1</v>
      </c>
      <c r="F3745" s="15">
        <v>46118</v>
      </c>
      <c r="G3745" t="s">
        <v>467</v>
      </c>
      <c r="H3745">
        <v>4</v>
      </c>
      <c r="I3745">
        <v>2026</v>
      </c>
      <c r="J3745">
        <v>4</v>
      </c>
      <c r="K3745" t="s">
        <v>87</v>
      </c>
      <c r="L3745" t="s">
        <v>19</v>
      </c>
      <c r="M3745" t="s">
        <v>8</v>
      </c>
      <c r="N3745" t="b">
        <v>0</v>
      </c>
      <c r="O3745">
        <v>0</v>
      </c>
      <c r="P3745">
        <v>1</v>
      </c>
      <c r="Q3745">
        <v>0</v>
      </c>
      <c r="R3745">
        <v>1</v>
      </c>
    </row>
    <row r="3746" spans="1:18" x14ac:dyDescent="0.25">
      <c r="A3746" t="s">
        <v>580</v>
      </c>
      <c r="B3746" t="s">
        <v>6</v>
      </c>
      <c r="C3746">
        <v>3</v>
      </c>
      <c r="D3746">
        <v>2</v>
      </c>
      <c r="E3746">
        <v>1</v>
      </c>
      <c r="F3746" s="15">
        <v>46118</v>
      </c>
      <c r="G3746" t="s">
        <v>467</v>
      </c>
      <c r="H3746">
        <v>4</v>
      </c>
      <c r="I3746">
        <v>2026</v>
      </c>
      <c r="J3746">
        <v>4</v>
      </c>
      <c r="K3746" t="s">
        <v>87</v>
      </c>
      <c r="L3746" t="s">
        <v>352</v>
      </c>
      <c r="M3746" t="s">
        <v>6</v>
      </c>
      <c r="N3746" t="b">
        <v>0</v>
      </c>
      <c r="O3746">
        <v>0</v>
      </c>
      <c r="P3746">
        <v>1</v>
      </c>
      <c r="Q3746">
        <v>0</v>
      </c>
      <c r="R3746">
        <v>0</v>
      </c>
    </row>
    <row r="3747" spans="1:18" x14ac:dyDescent="0.25">
      <c r="A3747" t="s">
        <v>580</v>
      </c>
      <c r="B3747" t="s">
        <v>6</v>
      </c>
      <c r="C3747">
        <v>3</v>
      </c>
      <c r="D3747">
        <v>2</v>
      </c>
      <c r="E3747">
        <v>1</v>
      </c>
      <c r="F3747" s="15">
        <v>46118</v>
      </c>
      <c r="G3747" t="s">
        <v>467</v>
      </c>
      <c r="H3747">
        <v>4</v>
      </c>
      <c r="I3747">
        <v>2026</v>
      </c>
      <c r="J3747">
        <v>4</v>
      </c>
      <c r="K3747" t="s">
        <v>87</v>
      </c>
      <c r="L3747" t="s">
        <v>51</v>
      </c>
      <c r="M3747" t="s">
        <v>6</v>
      </c>
      <c r="N3747" t="b">
        <v>0</v>
      </c>
      <c r="O3747">
        <v>0</v>
      </c>
      <c r="P3747">
        <v>1</v>
      </c>
      <c r="Q3747">
        <v>0</v>
      </c>
      <c r="R3747">
        <v>0</v>
      </c>
    </row>
    <row r="3748" spans="1:18" x14ac:dyDescent="0.25">
      <c r="A3748" t="s">
        <v>580</v>
      </c>
      <c r="B3748" t="s">
        <v>6</v>
      </c>
      <c r="C3748">
        <v>3</v>
      </c>
      <c r="D3748">
        <v>2</v>
      </c>
      <c r="E3748">
        <v>1</v>
      </c>
      <c r="F3748" s="15">
        <v>46118</v>
      </c>
      <c r="G3748" t="s">
        <v>467</v>
      </c>
      <c r="H3748">
        <v>4</v>
      </c>
      <c r="I3748">
        <v>2026</v>
      </c>
      <c r="J3748">
        <v>4</v>
      </c>
      <c r="K3748" t="s">
        <v>87</v>
      </c>
      <c r="L3748" t="s">
        <v>19</v>
      </c>
      <c r="M3748" t="s">
        <v>8</v>
      </c>
      <c r="N3748" t="b">
        <v>0</v>
      </c>
      <c r="O3748">
        <v>0</v>
      </c>
      <c r="P3748">
        <v>1</v>
      </c>
      <c r="Q3748">
        <v>0</v>
      </c>
      <c r="R3748">
        <v>1</v>
      </c>
    </row>
    <row r="3749" spans="1:18" x14ac:dyDescent="0.25">
      <c r="A3749" t="s">
        <v>19</v>
      </c>
      <c r="B3749" t="s">
        <v>8</v>
      </c>
      <c r="C3749">
        <v>4</v>
      </c>
      <c r="D3749">
        <v>2</v>
      </c>
      <c r="E3749">
        <v>1</v>
      </c>
      <c r="F3749" s="15">
        <v>46118</v>
      </c>
      <c r="G3749" t="s">
        <v>467</v>
      </c>
      <c r="H3749">
        <v>4</v>
      </c>
      <c r="I3749">
        <v>2026</v>
      </c>
      <c r="J3749">
        <v>4</v>
      </c>
      <c r="K3749" t="s">
        <v>87</v>
      </c>
      <c r="L3749" t="s">
        <v>352</v>
      </c>
      <c r="M3749" t="s">
        <v>6</v>
      </c>
      <c r="N3749" t="b">
        <v>0</v>
      </c>
      <c r="O3749">
        <v>1</v>
      </c>
      <c r="P3749">
        <v>0</v>
      </c>
      <c r="Q3749">
        <v>0</v>
      </c>
      <c r="R3749">
        <v>0</v>
      </c>
    </row>
    <row r="3750" spans="1:18" x14ac:dyDescent="0.25">
      <c r="A3750" t="s">
        <v>19</v>
      </c>
      <c r="B3750" t="s">
        <v>8</v>
      </c>
      <c r="C3750">
        <v>4</v>
      </c>
      <c r="D3750">
        <v>2</v>
      </c>
      <c r="E3750">
        <v>1</v>
      </c>
      <c r="F3750" s="15">
        <v>46118</v>
      </c>
      <c r="G3750" t="s">
        <v>467</v>
      </c>
      <c r="H3750">
        <v>4</v>
      </c>
      <c r="I3750">
        <v>2026</v>
      </c>
      <c r="J3750">
        <v>4</v>
      </c>
      <c r="K3750" t="s">
        <v>87</v>
      </c>
      <c r="L3750" t="s">
        <v>51</v>
      </c>
      <c r="M3750" t="s">
        <v>6</v>
      </c>
      <c r="N3750" t="b">
        <v>0</v>
      </c>
      <c r="O3750">
        <v>1</v>
      </c>
      <c r="P3750">
        <v>0</v>
      </c>
      <c r="Q3750">
        <v>0</v>
      </c>
      <c r="R3750">
        <v>0</v>
      </c>
    </row>
    <row r="3751" spans="1:18" x14ac:dyDescent="0.25">
      <c r="A3751" t="s">
        <v>19</v>
      </c>
      <c r="B3751" t="s">
        <v>8</v>
      </c>
      <c r="C3751">
        <v>4</v>
      </c>
      <c r="D3751">
        <v>2</v>
      </c>
      <c r="E3751">
        <v>1</v>
      </c>
      <c r="F3751" s="15">
        <v>46118</v>
      </c>
      <c r="G3751" t="s">
        <v>467</v>
      </c>
      <c r="H3751">
        <v>4</v>
      </c>
      <c r="I3751">
        <v>2026</v>
      </c>
      <c r="J3751">
        <v>4</v>
      </c>
      <c r="K3751" t="s">
        <v>87</v>
      </c>
      <c r="L3751" t="s">
        <v>580</v>
      </c>
      <c r="M3751" t="s">
        <v>6</v>
      </c>
      <c r="N3751" t="b">
        <v>0</v>
      </c>
      <c r="O3751">
        <v>1</v>
      </c>
      <c r="P3751">
        <v>0</v>
      </c>
      <c r="Q3751">
        <v>0</v>
      </c>
      <c r="R3751">
        <v>0</v>
      </c>
    </row>
    <row r="3752" spans="1:18" x14ac:dyDescent="0.25">
      <c r="A3752" t="s">
        <v>13</v>
      </c>
      <c r="B3752" t="s">
        <v>6</v>
      </c>
      <c r="C3752">
        <v>1</v>
      </c>
      <c r="D3752">
        <v>3</v>
      </c>
      <c r="E3752">
        <v>1</v>
      </c>
      <c r="F3752" s="15">
        <v>46118</v>
      </c>
      <c r="G3752" t="s">
        <v>468</v>
      </c>
      <c r="H3752">
        <v>4</v>
      </c>
      <c r="I3752">
        <v>2026</v>
      </c>
      <c r="J3752">
        <v>4</v>
      </c>
      <c r="K3752" t="s">
        <v>87</v>
      </c>
      <c r="L3752" t="s">
        <v>364</v>
      </c>
      <c r="M3752" t="s">
        <v>8</v>
      </c>
      <c r="N3752" t="b">
        <v>0</v>
      </c>
      <c r="O3752">
        <v>0</v>
      </c>
      <c r="P3752">
        <v>1</v>
      </c>
      <c r="Q3752">
        <v>0</v>
      </c>
      <c r="R3752">
        <v>1</v>
      </c>
    </row>
    <row r="3753" spans="1:18" x14ac:dyDescent="0.25">
      <c r="A3753" t="s">
        <v>13</v>
      </c>
      <c r="B3753" t="s">
        <v>6</v>
      </c>
      <c r="C3753">
        <v>1</v>
      </c>
      <c r="D3753">
        <v>3</v>
      </c>
      <c r="E3753">
        <v>1</v>
      </c>
      <c r="F3753" s="15">
        <v>46118</v>
      </c>
      <c r="G3753" t="s">
        <v>468</v>
      </c>
      <c r="H3753">
        <v>4</v>
      </c>
      <c r="I3753">
        <v>2026</v>
      </c>
      <c r="J3753">
        <v>4</v>
      </c>
      <c r="K3753" t="s">
        <v>87</v>
      </c>
      <c r="L3753" t="s">
        <v>52</v>
      </c>
      <c r="M3753" t="s">
        <v>6</v>
      </c>
      <c r="N3753" t="b">
        <v>0</v>
      </c>
      <c r="O3753">
        <v>0</v>
      </c>
      <c r="P3753">
        <v>1</v>
      </c>
      <c r="Q3753">
        <v>0</v>
      </c>
      <c r="R3753">
        <v>0</v>
      </c>
    </row>
    <row r="3754" spans="1:18" x14ac:dyDescent="0.25">
      <c r="A3754" t="s">
        <v>13</v>
      </c>
      <c r="B3754" t="s">
        <v>6</v>
      </c>
      <c r="C3754">
        <v>1</v>
      </c>
      <c r="D3754">
        <v>3</v>
      </c>
      <c r="E3754">
        <v>1</v>
      </c>
      <c r="F3754" s="15">
        <v>46118</v>
      </c>
      <c r="G3754" t="s">
        <v>468</v>
      </c>
      <c r="H3754">
        <v>4</v>
      </c>
      <c r="I3754">
        <v>2026</v>
      </c>
      <c r="J3754">
        <v>4</v>
      </c>
      <c r="K3754" t="s">
        <v>87</v>
      </c>
      <c r="L3754" t="s">
        <v>14</v>
      </c>
      <c r="M3754" t="s">
        <v>6</v>
      </c>
      <c r="N3754" t="b">
        <v>0</v>
      </c>
      <c r="O3754">
        <v>0</v>
      </c>
      <c r="P3754">
        <v>1</v>
      </c>
      <c r="Q3754">
        <v>0</v>
      </c>
      <c r="R3754">
        <v>0</v>
      </c>
    </row>
    <row r="3755" spans="1:18" x14ac:dyDescent="0.25">
      <c r="A3755" t="s">
        <v>364</v>
      </c>
      <c r="B3755" t="s">
        <v>8</v>
      </c>
      <c r="C3755">
        <v>2</v>
      </c>
      <c r="D3755">
        <v>3</v>
      </c>
      <c r="E3755">
        <v>1</v>
      </c>
      <c r="F3755" s="15">
        <v>46118</v>
      </c>
      <c r="G3755" t="s">
        <v>468</v>
      </c>
      <c r="H3755">
        <v>4</v>
      </c>
      <c r="I3755">
        <v>2026</v>
      </c>
      <c r="J3755">
        <v>4</v>
      </c>
      <c r="K3755" t="s">
        <v>87</v>
      </c>
      <c r="L3755" t="s">
        <v>13</v>
      </c>
      <c r="M3755" t="s">
        <v>6</v>
      </c>
      <c r="N3755" t="b">
        <v>0</v>
      </c>
      <c r="O3755">
        <v>1</v>
      </c>
      <c r="P3755">
        <v>0</v>
      </c>
      <c r="Q3755">
        <v>0</v>
      </c>
      <c r="R3755">
        <v>0</v>
      </c>
    </row>
    <row r="3756" spans="1:18" x14ac:dyDescent="0.25">
      <c r="A3756" t="s">
        <v>364</v>
      </c>
      <c r="B3756" t="s">
        <v>8</v>
      </c>
      <c r="C3756">
        <v>2</v>
      </c>
      <c r="D3756">
        <v>3</v>
      </c>
      <c r="E3756">
        <v>1</v>
      </c>
      <c r="F3756" s="15">
        <v>46118</v>
      </c>
      <c r="G3756" t="s">
        <v>468</v>
      </c>
      <c r="H3756">
        <v>4</v>
      </c>
      <c r="I3756">
        <v>2026</v>
      </c>
      <c r="J3756">
        <v>4</v>
      </c>
      <c r="K3756" t="s">
        <v>87</v>
      </c>
      <c r="L3756" t="s">
        <v>52</v>
      </c>
      <c r="M3756" t="s">
        <v>6</v>
      </c>
      <c r="N3756" t="b">
        <v>0</v>
      </c>
      <c r="O3756">
        <v>1</v>
      </c>
      <c r="P3756">
        <v>0</v>
      </c>
      <c r="Q3756">
        <v>0</v>
      </c>
      <c r="R3756">
        <v>0</v>
      </c>
    </row>
    <row r="3757" spans="1:18" x14ac:dyDescent="0.25">
      <c r="A3757" t="s">
        <v>364</v>
      </c>
      <c r="B3757" t="s">
        <v>8</v>
      </c>
      <c r="C3757">
        <v>2</v>
      </c>
      <c r="D3757">
        <v>3</v>
      </c>
      <c r="E3757">
        <v>1</v>
      </c>
      <c r="F3757" s="15">
        <v>46118</v>
      </c>
      <c r="G3757" t="s">
        <v>468</v>
      </c>
      <c r="H3757">
        <v>4</v>
      </c>
      <c r="I3757">
        <v>2026</v>
      </c>
      <c r="J3757">
        <v>4</v>
      </c>
      <c r="K3757" t="s">
        <v>87</v>
      </c>
      <c r="L3757" t="s">
        <v>14</v>
      </c>
      <c r="M3757" t="s">
        <v>6</v>
      </c>
      <c r="N3757" t="b">
        <v>0</v>
      </c>
      <c r="O3757">
        <v>1</v>
      </c>
      <c r="P3757">
        <v>0</v>
      </c>
      <c r="Q3757">
        <v>0</v>
      </c>
      <c r="R3757">
        <v>0</v>
      </c>
    </row>
    <row r="3758" spans="1:18" x14ac:dyDescent="0.25">
      <c r="A3758" t="s">
        <v>52</v>
      </c>
      <c r="B3758" t="s">
        <v>6</v>
      </c>
      <c r="C3758">
        <v>3</v>
      </c>
      <c r="D3758">
        <v>3</v>
      </c>
      <c r="E3758">
        <v>1</v>
      </c>
      <c r="F3758" s="15">
        <v>46118</v>
      </c>
      <c r="G3758" t="s">
        <v>468</v>
      </c>
      <c r="H3758">
        <v>4</v>
      </c>
      <c r="I3758">
        <v>2026</v>
      </c>
      <c r="J3758">
        <v>4</v>
      </c>
      <c r="K3758" t="s">
        <v>87</v>
      </c>
      <c r="L3758" t="s">
        <v>13</v>
      </c>
      <c r="M3758" t="s">
        <v>6</v>
      </c>
      <c r="N3758" t="b">
        <v>0</v>
      </c>
      <c r="O3758">
        <v>0</v>
      </c>
      <c r="P3758">
        <v>1</v>
      </c>
      <c r="Q3758">
        <v>0</v>
      </c>
      <c r="R3758">
        <v>0</v>
      </c>
    </row>
    <row r="3759" spans="1:18" x14ac:dyDescent="0.25">
      <c r="A3759" t="s">
        <v>52</v>
      </c>
      <c r="B3759" t="s">
        <v>6</v>
      </c>
      <c r="C3759">
        <v>3</v>
      </c>
      <c r="D3759">
        <v>3</v>
      </c>
      <c r="E3759">
        <v>1</v>
      </c>
      <c r="F3759" s="15">
        <v>46118</v>
      </c>
      <c r="G3759" t="s">
        <v>468</v>
      </c>
      <c r="H3759">
        <v>4</v>
      </c>
      <c r="I3759">
        <v>2026</v>
      </c>
      <c r="J3759">
        <v>4</v>
      </c>
      <c r="K3759" t="s">
        <v>87</v>
      </c>
      <c r="L3759" t="s">
        <v>364</v>
      </c>
      <c r="M3759" t="s">
        <v>8</v>
      </c>
      <c r="N3759" t="b">
        <v>0</v>
      </c>
      <c r="O3759">
        <v>0</v>
      </c>
      <c r="P3759">
        <v>1</v>
      </c>
      <c r="Q3759">
        <v>0</v>
      </c>
      <c r="R3759">
        <v>1</v>
      </c>
    </row>
    <row r="3760" spans="1:18" x14ac:dyDescent="0.25">
      <c r="A3760" t="s">
        <v>52</v>
      </c>
      <c r="B3760" t="s">
        <v>6</v>
      </c>
      <c r="C3760">
        <v>3</v>
      </c>
      <c r="D3760">
        <v>3</v>
      </c>
      <c r="E3760">
        <v>1</v>
      </c>
      <c r="F3760" s="15">
        <v>46118</v>
      </c>
      <c r="G3760" t="s">
        <v>468</v>
      </c>
      <c r="H3760">
        <v>4</v>
      </c>
      <c r="I3760">
        <v>2026</v>
      </c>
      <c r="J3760">
        <v>4</v>
      </c>
      <c r="K3760" t="s">
        <v>87</v>
      </c>
      <c r="L3760" t="s">
        <v>14</v>
      </c>
      <c r="M3760" t="s">
        <v>6</v>
      </c>
      <c r="N3760" t="b">
        <v>0</v>
      </c>
      <c r="O3760">
        <v>0</v>
      </c>
      <c r="P3760">
        <v>1</v>
      </c>
      <c r="Q3760">
        <v>0</v>
      </c>
      <c r="R3760">
        <v>0</v>
      </c>
    </row>
    <row r="3761" spans="1:18" x14ac:dyDescent="0.25">
      <c r="A3761" t="s">
        <v>14</v>
      </c>
      <c r="B3761" t="s">
        <v>6</v>
      </c>
      <c r="C3761">
        <v>4</v>
      </c>
      <c r="D3761">
        <v>3</v>
      </c>
      <c r="E3761">
        <v>1</v>
      </c>
      <c r="F3761" s="15">
        <v>46118</v>
      </c>
      <c r="G3761" t="s">
        <v>468</v>
      </c>
      <c r="H3761">
        <v>4</v>
      </c>
      <c r="I3761">
        <v>2026</v>
      </c>
      <c r="J3761">
        <v>4</v>
      </c>
      <c r="K3761" t="s">
        <v>87</v>
      </c>
      <c r="L3761" t="s">
        <v>13</v>
      </c>
      <c r="M3761" t="s">
        <v>6</v>
      </c>
      <c r="N3761" t="b">
        <v>0</v>
      </c>
      <c r="O3761">
        <v>0</v>
      </c>
      <c r="P3761">
        <v>1</v>
      </c>
      <c r="Q3761">
        <v>0</v>
      </c>
      <c r="R3761">
        <v>0</v>
      </c>
    </row>
    <row r="3762" spans="1:18" x14ac:dyDescent="0.25">
      <c r="A3762" t="s">
        <v>14</v>
      </c>
      <c r="B3762" t="s">
        <v>6</v>
      </c>
      <c r="C3762">
        <v>4</v>
      </c>
      <c r="D3762">
        <v>3</v>
      </c>
      <c r="E3762">
        <v>1</v>
      </c>
      <c r="F3762" s="15">
        <v>46118</v>
      </c>
      <c r="G3762" t="s">
        <v>468</v>
      </c>
      <c r="H3762">
        <v>4</v>
      </c>
      <c r="I3762">
        <v>2026</v>
      </c>
      <c r="J3762">
        <v>4</v>
      </c>
      <c r="K3762" t="s">
        <v>87</v>
      </c>
      <c r="L3762" t="s">
        <v>364</v>
      </c>
      <c r="M3762" t="s">
        <v>8</v>
      </c>
      <c r="N3762" t="b">
        <v>0</v>
      </c>
      <c r="O3762">
        <v>0</v>
      </c>
      <c r="P3762">
        <v>1</v>
      </c>
      <c r="Q3762">
        <v>0</v>
      </c>
      <c r="R3762">
        <v>1</v>
      </c>
    </row>
    <row r="3763" spans="1:18" x14ac:dyDescent="0.25">
      <c r="A3763" t="s">
        <v>14</v>
      </c>
      <c r="B3763" t="s">
        <v>6</v>
      </c>
      <c r="C3763">
        <v>4</v>
      </c>
      <c r="D3763">
        <v>3</v>
      </c>
      <c r="E3763">
        <v>1</v>
      </c>
      <c r="F3763" s="15">
        <v>46118</v>
      </c>
      <c r="G3763" t="s">
        <v>468</v>
      </c>
      <c r="H3763">
        <v>4</v>
      </c>
      <c r="I3763">
        <v>2026</v>
      </c>
      <c r="J3763">
        <v>4</v>
      </c>
      <c r="K3763" t="s">
        <v>87</v>
      </c>
      <c r="L3763" t="s">
        <v>52</v>
      </c>
      <c r="M3763" t="s">
        <v>6</v>
      </c>
      <c r="N3763" t="b">
        <v>0</v>
      </c>
      <c r="O3763">
        <v>0</v>
      </c>
      <c r="P3763">
        <v>1</v>
      </c>
      <c r="Q3763">
        <v>0</v>
      </c>
      <c r="R3763">
        <v>0</v>
      </c>
    </row>
    <row r="3764" spans="1:18" x14ac:dyDescent="0.25">
      <c r="A3764" t="s">
        <v>351</v>
      </c>
      <c r="B3764" t="s">
        <v>6</v>
      </c>
      <c r="C3764">
        <v>1</v>
      </c>
      <c r="D3764">
        <v>4</v>
      </c>
      <c r="E3764">
        <v>1</v>
      </c>
      <c r="F3764" s="15">
        <v>46118</v>
      </c>
      <c r="G3764" t="s">
        <v>469</v>
      </c>
      <c r="H3764">
        <v>4</v>
      </c>
      <c r="I3764">
        <v>2026</v>
      </c>
      <c r="J3764">
        <v>4</v>
      </c>
      <c r="K3764" t="s">
        <v>87</v>
      </c>
      <c r="L3764" t="s">
        <v>10</v>
      </c>
      <c r="M3764" t="s">
        <v>6</v>
      </c>
      <c r="N3764" t="b">
        <v>0</v>
      </c>
      <c r="O3764">
        <v>0</v>
      </c>
      <c r="P3764">
        <v>1</v>
      </c>
      <c r="Q3764">
        <v>0</v>
      </c>
      <c r="R3764">
        <v>0</v>
      </c>
    </row>
    <row r="3765" spans="1:18" x14ac:dyDescent="0.25">
      <c r="A3765" t="s">
        <v>351</v>
      </c>
      <c r="B3765" t="s">
        <v>6</v>
      </c>
      <c r="C3765">
        <v>1</v>
      </c>
      <c r="D3765">
        <v>4</v>
      </c>
      <c r="E3765">
        <v>1</v>
      </c>
      <c r="F3765" s="15">
        <v>46118</v>
      </c>
      <c r="G3765" t="s">
        <v>469</v>
      </c>
      <c r="H3765">
        <v>4</v>
      </c>
      <c r="I3765">
        <v>2026</v>
      </c>
      <c r="J3765">
        <v>4</v>
      </c>
      <c r="K3765" t="s">
        <v>87</v>
      </c>
      <c r="L3765" t="s">
        <v>322</v>
      </c>
      <c r="M3765" t="s">
        <v>6</v>
      </c>
      <c r="N3765" t="b">
        <v>0</v>
      </c>
      <c r="O3765">
        <v>0</v>
      </c>
      <c r="P3765">
        <v>1</v>
      </c>
      <c r="Q3765">
        <v>0</v>
      </c>
      <c r="R3765">
        <v>0</v>
      </c>
    </row>
    <row r="3766" spans="1:18" x14ac:dyDescent="0.25">
      <c r="A3766" t="s">
        <v>351</v>
      </c>
      <c r="B3766" t="s">
        <v>6</v>
      </c>
      <c r="C3766">
        <v>1</v>
      </c>
      <c r="D3766">
        <v>4</v>
      </c>
      <c r="E3766">
        <v>1</v>
      </c>
      <c r="F3766" s="15">
        <v>46118</v>
      </c>
      <c r="G3766" t="s">
        <v>469</v>
      </c>
      <c r="H3766">
        <v>4</v>
      </c>
      <c r="I3766">
        <v>2026</v>
      </c>
      <c r="J3766">
        <v>4</v>
      </c>
      <c r="K3766" t="s">
        <v>87</v>
      </c>
      <c r="L3766" t="s">
        <v>11</v>
      </c>
      <c r="M3766" t="s">
        <v>8</v>
      </c>
      <c r="N3766" t="b">
        <v>0</v>
      </c>
      <c r="O3766">
        <v>0</v>
      </c>
      <c r="P3766">
        <v>1</v>
      </c>
      <c r="Q3766">
        <v>0</v>
      </c>
      <c r="R3766">
        <v>1</v>
      </c>
    </row>
    <row r="3767" spans="1:18" x14ac:dyDescent="0.25">
      <c r="A3767" t="s">
        <v>10</v>
      </c>
      <c r="B3767" t="s">
        <v>6</v>
      </c>
      <c r="C3767">
        <v>2</v>
      </c>
      <c r="D3767">
        <v>4</v>
      </c>
      <c r="E3767">
        <v>1</v>
      </c>
      <c r="F3767" s="15">
        <v>46118</v>
      </c>
      <c r="G3767" t="s">
        <v>469</v>
      </c>
      <c r="H3767">
        <v>4</v>
      </c>
      <c r="I3767">
        <v>2026</v>
      </c>
      <c r="J3767">
        <v>4</v>
      </c>
      <c r="K3767" t="s">
        <v>87</v>
      </c>
      <c r="L3767" t="s">
        <v>351</v>
      </c>
      <c r="M3767" t="s">
        <v>6</v>
      </c>
      <c r="N3767" t="b">
        <v>0</v>
      </c>
      <c r="O3767">
        <v>0</v>
      </c>
      <c r="P3767">
        <v>1</v>
      </c>
      <c r="Q3767">
        <v>0</v>
      </c>
      <c r="R3767">
        <v>0</v>
      </c>
    </row>
    <row r="3768" spans="1:18" x14ac:dyDescent="0.25">
      <c r="A3768" t="s">
        <v>10</v>
      </c>
      <c r="B3768" t="s">
        <v>6</v>
      </c>
      <c r="C3768">
        <v>2</v>
      </c>
      <c r="D3768">
        <v>4</v>
      </c>
      <c r="E3768">
        <v>1</v>
      </c>
      <c r="F3768" s="15">
        <v>46118</v>
      </c>
      <c r="G3768" t="s">
        <v>469</v>
      </c>
      <c r="H3768">
        <v>4</v>
      </c>
      <c r="I3768">
        <v>2026</v>
      </c>
      <c r="J3768">
        <v>4</v>
      </c>
      <c r="K3768" t="s">
        <v>87</v>
      </c>
      <c r="L3768" t="s">
        <v>322</v>
      </c>
      <c r="M3768" t="s">
        <v>6</v>
      </c>
      <c r="N3768" t="b">
        <v>0</v>
      </c>
      <c r="O3768">
        <v>0</v>
      </c>
      <c r="P3768">
        <v>1</v>
      </c>
      <c r="Q3768">
        <v>0</v>
      </c>
      <c r="R3768">
        <v>0</v>
      </c>
    </row>
    <row r="3769" spans="1:18" x14ac:dyDescent="0.25">
      <c r="A3769" t="s">
        <v>10</v>
      </c>
      <c r="B3769" t="s">
        <v>6</v>
      </c>
      <c r="C3769">
        <v>2</v>
      </c>
      <c r="D3769">
        <v>4</v>
      </c>
      <c r="E3769">
        <v>1</v>
      </c>
      <c r="F3769" s="15">
        <v>46118</v>
      </c>
      <c r="G3769" t="s">
        <v>469</v>
      </c>
      <c r="H3769">
        <v>4</v>
      </c>
      <c r="I3769">
        <v>2026</v>
      </c>
      <c r="J3769">
        <v>4</v>
      </c>
      <c r="K3769" t="s">
        <v>87</v>
      </c>
      <c r="L3769" t="s">
        <v>11</v>
      </c>
      <c r="M3769" t="s">
        <v>8</v>
      </c>
      <c r="N3769" t="b">
        <v>0</v>
      </c>
      <c r="O3769">
        <v>0</v>
      </c>
      <c r="P3769">
        <v>1</v>
      </c>
      <c r="Q3769">
        <v>0</v>
      </c>
      <c r="R3769">
        <v>1</v>
      </c>
    </row>
    <row r="3770" spans="1:18" x14ac:dyDescent="0.25">
      <c r="A3770" t="s">
        <v>322</v>
      </c>
      <c r="B3770" t="s">
        <v>6</v>
      </c>
      <c r="C3770">
        <v>3</v>
      </c>
      <c r="D3770">
        <v>4</v>
      </c>
      <c r="E3770">
        <v>1</v>
      </c>
      <c r="F3770" s="15">
        <v>46118</v>
      </c>
      <c r="G3770" t="s">
        <v>469</v>
      </c>
      <c r="H3770">
        <v>4</v>
      </c>
      <c r="I3770">
        <v>2026</v>
      </c>
      <c r="J3770">
        <v>4</v>
      </c>
      <c r="K3770" t="s">
        <v>87</v>
      </c>
      <c r="L3770" t="s">
        <v>351</v>
      </c>
      <c r="M3770" t="s">
        <v>6</v>
      </c>
      <c r="N3770" t="b">
        <v>0</v>
      </c>
      <c r="O3770">
        <v>0</v>
      </c>
      <c r="P3770">
        <v>1</v>
      </c>
      <c r="Q3770">
        <v>0</v>
      </c>
      <c r="R3770">
        <v>0</v>
      </c>
    </row>
    <row r="3771" spans="1:18" x14ac:dyDescent="0.25">
      <c r="A3771" t="s">
        <v>322</v>
      </c>
      <c r="B3771" t="s">
        <v>6</v>
      </c>
      <c r="C3771">
        <v>3</v>
      </c>
      <c r="D3771">
        <v>4</v>
      </c>
      <c r="E3771">
        <v>1</v>
      </c>
      <c r="F3771" s="15">
        <v>46118</v>
      </c>
      <c r="G3771" t="s">
        <v>469</v>
      </c>
      <c r="H3771">
        <v>4</v>
      </c>
      <c r="I3771">
        <v>2026</v>
      </c>
      <c r="J3771">
        <v>4</v>
      </c>
      <c r="K3771" t="s">
        <v>87</v>
      </c>
      <c r="L3771" t="s">
        <v>10</v>
      </c>
      <c r="M3771" t="s">
        <v>6</v>
      </c>
      <c r="N3771" t="b">
        <v>0</v>
      </c>
      <c r="O3771">
        <v>0</v>
      </c>
      <c r="P3771">
        <v>1</v>
      </c>
      <c r="Q3771">
        <v>0</v>
      </c>
      <c r="R3771">
        <v>0</v>
      </c>
    </row>
    <row r="3772" spans="1:18" x14ac:dyDescent="0.25">
      <c r="A3772" t="s">
        <v>322</v>
      </c>
      <c r="B3772" t="s">
        <v>6</v>
      </c>
      <c r="C3772">
        <v>3</v>
      </c>
      <c r="D3772">
        <v>4</v>
      </c>
      <c r="E3772">
        <v>1</v>
      </c>
      <c r="F3772" s="15">
        <v>46118</v>
      </c>
      <c r="G3772" t="s">
        <v>469</v>
      </c>
      <c r="H3772">
        <v>4</v>
      </c>
      <c r="I3772">
        <v>2026</v>
      </c>
      <c r="J3772">
        <v>4</v>
      </c>
      <c r="K3772" t="s">
        <v>87</v>
      </c>
      <c r="L3772" t="s">
        <v>11</v>
      </c>
      <c r="M3772" t="s">
        <v>8</v>
      </c>
      <c r="N3772" t="b">
        <v>0</v>
      </c>
      <c r="O3772">
        <v>0</v>
      </c>
      <c r="P3772">
        <v>1</v>
      </c>
      <c r="Q3772">
        <v>0</v>
      </c>
      <c r="R3772">
        <v>1</v>
      </c>
    </row>
    <row r="3773" spans="1:18" x14ac:dyDescent="0.25">
      <c r="A3773" t="s">
        <v>11</v>
      </c>
      <c r="B3773" t="s">
        <v>8</v>
      </c>
      <c r="C3773">
        <v>4</v>
      </c>
      <c r="D3773">
        <v>4</v>
      </c>
      <c r="E3773">
        <v>1</v>
      </c>
      <c r="F3773" s="15">
        <v>46118</v>
      </c>
      <c r="G3773" t="s">
        <v>469</v>
      </c>
      <c r="H3773">
        <v>4</v>
      </c>
      <c r="I3773">
        <v>2026</v>
      </c>
      <c r="J3773">
        <v>4</v>
      </c>
      <c r="K3773" t="s">
        <v>87</v>
      </c>
      <c r="L3773" t="s">
        <v>351</v>
      </c>
      <c r="M3773" t="s">
        <v>6</v>
      </c>
      <c r="N3773" t="b">
        <v>0</v>
      </c>
      <c r="O3773">
        <v>1</v>
      </c>
      <c r="P3773">
        <v>0</v>
      </c>
      <c r="Q3773">
        <v>0</v>
      </c>
      <c r="R3773">
        <v>0</v>
      </c>
    </row>
    <row r="3774" spans="1:18" x14ac:dyDescent="0.25">
      <c r="A3774" t="s">
        <v>11</v>
      </c>
      <c r="B3774" t="s">
        <v>8</v>
      </c>
      <c r="C3774">
        <v>4</v>
      </c>
      <c r="D3774">
        <v>4</v>
      </c>
      <c r="E3774">
        <v>1</v>
      </c>
      <c r="F3774" s="15">
        <v>46118</v>
      </c>
      <c r="G3774" t="s">
        <v>469</v>
      </c>
      <c r="H3774">
        <v>4</v>
      </c>
      <c r="I3774">
        <v>2026</v>
      </c>
      <c r="J3774">
        <v>4</v>
      </c>
      <c r="K3774" t="s">
        <v>87</v>
      </c>
      <c r="L3774" t="s">
        <v>10</v>
      </c>
      <c r="M3774" t="s">
        <v>6</v>
      </c>
      <c r="N3774" t="b">
        <v>0</v>
      </c>
      <c r="O3774">
        <v>1</v>
      </c>
      <c r="P3774">
        <v>0</v>
      </c>
      <c r="Q3774">
        <v>0</v>
      </c>
      <c r="R3774">
        <v>0</v>
      </c>
    </row>
    <row r="3775" spans="1:18" x14ac:dyDescent="0.25">
      <c r="A3775" t="s">
        <v>11</v>
      </c>
      <c r="B3775" t="s">
        <v>8</v>
      </c>
      <c r="C3775">
        <v>4</v>
      </c>
      <c r="D3775">
        <v>4</v>
      </c>
      <c r="E3775">
        <v>1</v>
      </c>
      <c r="F3775" s="15">
        <v>46118</v>
      </c>
      <c r="G3775" t="s">
        <v>469</v>
      </c>
      <c r="H3775">
        <v>4</v>
      </c>
      <c r="I3775">
        <v>2026</v>
      </c>
      <c r="J3775">
        <v>4</v>
      </c>
      <c r="K3775" t="s">
        <v>87</v>
      </c>
      <c r="L3775" t="s">
        <v>322</v>
      </c>
      <c r="M3775" t="s">
        <v>6</v>
      </c>
      <c r="N3775" t="b">
        <v>0</v>
      </c>
      <c r="O3775">
        <v>1</v>
      </c>
      <c r="P3775">
        <v>0</v>
      </c>
      <c r="Q3775">
        <v>0</v>
      </c>
      <c r="R3775">
        <v>0</v>
      </c>
    </row>
    <row r="3776" spans="1:18" x14ac:dyDescent="0.25">
      <c r="A3776" t="s">
        <v>17</v>
      </c>
      <c r="B3776" t="s">
        <v>6</v>
      </c>
      <c r="C3776">
        <v>1</v>
      </c>
      <c r="D3776">
        <v>5</v>
      </c>
      <c r="E3776">
        <v>1</v>
      </c>
      <c r="F3776" s="15">
        <v>46118</v>
      </c>
      <c r="G3776" t="s">
        <v>470</v>
      </c>
      <c r="H3776">
        <v>3</v>
      </c>
      <c r="I3776">
        <v>2026</v>
      </c>
      <c r="J3776">
        <v>4</v>
      </c>
      <c r="K3776" t="s">
        <v>87</v>
      </c>
      <c r="L3776" t="s">
        <v>365</v>
      </c>
      <c r="M3776" t="s">
        <v>6</v>
      </c>
      <c r="N3776" t="b">
        <v>0</v>
      </c>
      <c r="O3776">
        <v>0</v>
      </c>
      <c r="P3776">
        <v>1</v>
      </c>
      <c r="Q3776">
        <v>0</v>
      </c>
      <c r="R3776">
        <v>0</v>
      </c>
    </row>
    <row r="3777" spans="1:18" x14ac:dyDescent="0.25">
      <c r="A3777" t="s">
        <v>17</v>
      </c>
      <c r="B3777" t="s">
        <v>6</v>
      </c>
      <c r="C3777">
        <v>1</v>
      </c>
      <c r="D3777">
        <v>5</v>
      </c>
      <c r="E3777">
        <v>1</v>
      </c>
      <c r="F3777" s="15">
        <v>46118</v>
      </c>
      <c r="G3777" t="s">
        <v>470</v>
      </c>
      <c r="H3777">
        <v>3</v>
      </c>
      <c r="I3777">
        <v>2026</v>
      </c>
      <c r="J3777">
        <v>4</v>
      </c>
      <c r="K3777" t="s">
        <v>87</v>
      </c>
      <c r="L3777" t="s">
        <v>436</v>
      </c>
      <c r="M3777" t="s">
        <v>8</v>
      </c>
      <c r="N3777" t="b">
        <v>0</v>
      </c>
      <c r="O3777">
        <v>0</v>
      </c>
      <c r="P3777">
        <v>1</v>
      </c>
      <c r="Q3777">
        <v>0</v>
      </c>
      <c r="R3777">
        <v>1</v>
      </c>
    </row>
    <row r="3778" spans="1:18" x14ac:dyDescent="0.25">
      <c r="A3778" t="s">
        <v>365</v>
      </c>
      <c r="B3778" t="s">
        <v>6</v>
      </c>
      <c r="C3778">
        <v>2</v>
      </c>
      <c r="D3778">
        <v>5</v>
      </c>
      <c r="E3778">
        <v>1</v>
      </c>
      <c r="F3778" s="15">
        <v>46118</v>
      </c>
      <c r="G3778" t="s">
        <v>470</v>
      </c>
      <c r="H3778">
        <v>3</v>
      </c>
      <c r="I3778">
        <v>2026</v>
      </c>
      <c r="J3778">
        <v>4</v>
      </c>
      <c r="K3778" t="s">
        <v>87</v>
      </c>
      <c r="L3778" t="s">
        <v>17</v>
      </c>
      <c r="M3778" t="s">
        <v>6</v>
      </c>
      <c r="N3778" t="b">
        <v>0</v>
      </c>
      <c r="O3778">
        <v>0</v>
      </c>
      <c r="P3778">
        <v>1</v>
      </c>
      <c r="Q3778">
        <v>0</v>
      </c>
      <c r="R3778">
        <v>0</v>
      </c>
    </row>
    <row r="3779" spans="1:18" x14ac:dyDescent="0.25">
      <c r="A3779" t="s">
        <v>365</v>
      </c>
      <c r="B3779" t="s">
        <v>6</v>
      </c>
      <c r="C3779">
        <v>2</v>
      </c>
      <c r="D3779">
        <v>5</v>
      </c>
      <c r="E3779">
        <v>1</v>
      </c>
      <c r="F3779" s="15">
        <v>46118</v>
      </c>
      <c r="G3779" t="s">
        <v>470</v>
      </c>
      <c r="H3779">
        <v>3</v>
      </c>
      <c r="I3779">
        <v>2026</v>
      </c>
      <c r="J3779">
        <v>4</v>
      </c>
      <c r="K3779" t="s">
        <v>87</v>
      </c>
      <c r="L3779" t="s">
        <v>436</v>
      </c>
      <c r="M3779" t="s">
        <v>8</v>
      </c>
      <c r="N3779" t="b">
        <v>0</v>
      </c>
      <c r="O3779">
        <v>0</v>
      </c>
      <c r="P3779">
        <v>1</v>
      </c>
      <c r="Q3779">
        <v>0</v>
      </c>
      <c r="R3779">
        <v>1</v>
      </c>
    </row>
    <row r="3780" spans="1:18" x14ac:dyDescent="0.25">
      <c r="A3780" t="s">
        <v>436</v>
      </c>
      <c r="B3780" t="s">
        <v>8</v>
      </c>
      <c r="C3780">
        <v>3</v>
      </c>
      <c r="D3780">
        <v>5</v>
      </c>
      <c r="E3780">
        <v>1</v>
      </c>
      <c r="F3780" s="15">
        <v>46118</v>
      </c>
      <c r="G3780" t="s">
        <v>470</v>
      </c>
      <c r="H3780">
        <v>3</v>
      </c>
      <c r="I3780">
        <v>2026</v>
      </c>
      <c r="J3780">
        <v>4</v>
      </c>
      <c r="K3780" t="s">
        <v>87</v>
      </c>
      <c r="L3780" t="s">
        <v>17</v>
      </c>
      <c r="M3780" t="s">
        <v>6</v>
      </c>
      <c r="N3780" t="b">
        <v>0</v>
      </c>
      <c r="O3780">
        <v>1</v>
      </c>
      <c r="P3780">
        <v>0</v>
      </c>
      <c r="Q3780">
        <v>0</v>
      </c>
      <c r="R3780">
        <v>0</v>
      </c>
    </row>
    <row r="3781" spans="1:18" x14ac:dyDescent="0.25">
      <c r="A3781" t="s">
        <v>436</v>
      </c>
      <c r="B3781" t="s">
        <v>8</v>
      </c>
      <c r="C3781">
        <v>3</v>
      </c>
      <c r="D3781">
        <v>5</v>
      </c>
      <c r="E3781">
        <v>1</v>
      </c>
      <c r="F3781" s="15">
        <v>46118</v>
      </c>
      <c r="G3781" t="s">
        <v>470</v>
      </c>
      <c r="H3781">
        <v>3</v>
      </c>
      <c r="I3781">
        <v>2026</v>
      </c>
      <c r="J3781">
        <v>4</v>
      </c>
      <c r="K3781" t="s">
        <v>87</v>
      </c>
      <c r="L3781" t="s">
        <v>365</v>
      </c>
      <c r="M3781" t="s">
        <v>6</v>
      </c>
      <c r="N3781" t="b">
        <v>0</v>
      </c>
      <c r="O3781">
        <v>1</v>
      </c>
      <c r="P3781">
        <v>0</v>
      </c>
      <c r="Q3781">
        <v>0</v>
      </c>
      <c r="R3781">
        <v>0</v>
      </c>
    </row>
    <row r="3782" spans="1:18" x14ac:dyDescent="0.25">
      <c r="A3782" t="s">
        <v>464</v>
      </c>
      <c r="B3782" t="s">
        <v>6</v>
      </c>
      <c r="C3782">
        <v>1</v>
      </c>
      <c r="D3782">
        <v>6</v>
      </c>
      <c r="E3782">
        <v>1</v>
      </c>
      <c r="F3782" s="15">
        <v>46118</v>
      </c>
      <c r="G3782" t="s">
        <v>471</v>
      </c>
      <c r="H3782">
        <v>3</v>
      </c>
      <c r="I3782">
        <v>2026</v>
      </c>
      <c r="J3782">
        <v>4</v>
      </c>
      <c r="K3782" t="s">
        <v>87</v>
      </c>
      <c r="L3782" t="s">
        <v>465</v>
      </c>
      <c r="M3782" t="s">
        <v>8</v>
      </c>
      <c r="N3782" t="b">
        <v>0</v>
      </c>
      <c r="O3782">
        <v>0</v>
      </c>
      <c r="P3782">
        <v>1</v>
      </c>
      <c r="Q3782">
        <v>0</v>
      </c>
      <c r="R3782">
        <v>1</v>
      </c>
    </row>
    <row r="3783" spans="1:18" x14ac:dyDescent="0.25">
      <c r="A3783" t="s">
        <v>464</v>
      </c>
      <c r="B3783" t="s">
        <v>6</v>
      </c>
      <c r="C3783">
        <v>1</v>
      </c>
      <c r="D3783">
        <v>6</v>
      </c>
      <c r="E3783">
        <v>1</v>
      </c>
      <c r="F3783" s="15">
        <v>46118</v>
      </c>
      <c r="G3783" t="s">
        <v>471</v>
      </c>
      <c r="H3783">
        <v>3</v>
      </c>
      <c r="I3783">
        <v>2026</v>
      </c>
      <c r="J3783">
        <v>4</v>
      </c>
      <c r="K3783" t="s">
        <v>87</v>
      </c>
      <c r="L3783" t="s">
        <v>41</v>
      </c>
      <c r="M3783" t="s">
        <v>6</v>
      </c>
      <c r="N3783" t="b">
        <v>0</v>
      </c>
      <c r="O3783">
        <v>0</v>
      </c>
      <c r="P3783">
        <v>1</v>
      </c>
      <c r="Q3783">
        <v>0</v>
      </c>
      <c r="R3783">
        <v>0</v>
      </c>
    </row>
    <row r="3784" spans="1:18" x14ac:dyDescent="0.25">
      <c r="A3784" t="s">
        <v>465</v>
      </c>
      <c r="B3784" t="s">
        <v>8</v>
      </c>
      <c r="C3784">
        <v>2</v>
      </c>
      <c r="D3784">
        <v>6</v>
      </c>
      <c r="E3784">
        <v>1</v>
      </c>
      <c r="F3784" s="15">
        <v>46118</v>
      </c>
      <c r="G3784" t="s">
        <v>471</v>
      </c>
      <c r="H3784">
        <v>3</v>
      </c>
      <c r="I3784">
        <v>2026</v>
      </c>
      <c r="J3784">
        <v>4</v>
      </c>
      <c r="K3784" t="s">
        <v>87</v>
      </c>
      <c r="L3784" t="s">
        <v>464</v>
      </c>
      <c r="M3784" t="s">
        <v>6</v>
      </c>
      <c r="N3784" t="b">
        <v>0</v>
      </c>
      <c r="O3784">
        <v>1</v>
      </c>
      <c r="P3784">
        <v>0</v>
      </c>
      <c r="Q3784">
        <v>0</v>
      </c>
      <c r="R3784">
        <v>0</v>
      </c>
    </row>
    <row r="3785" spans="1:18" x14ac:dyDescent="0.25">
      <c r="A3785" t="s">
        <v>465</v>
      </c>
      <c r="B3785" t="s">
        <v>8</v>
      </c>
      <c r="C3785">
        <v>2</v>
      </c>
      <c r="D3785">
        <v>6</v>
      </c>
      <c r="E3785">
        <v>1</v>
      </c>
      <c r="F3785" s="15">
        <v>46118</v>
      </c>
      <c r="G3785" t="s">
        <v>471</v>
      </c>
      <c r="H3785">
        <v>3</v>
      </c>
      <c r="I3785">
        <v>2026</v>
      </c>
      <c r="J3785">
        <v>4</v>
      </c>
      <c r="K3785" t="s">
        <v>87</v>
      </c>
      <c r="L3785" t="s">
        <v>41</v>
      </c>
      <c r="M3785" t="s">
        <v>6</v>
      </c>
      <c r="N3785" t="b">
        <v>0</v>
      </c>
      <c r="O3785">
        <v>1</v>
      </c>
      <c r="P3785">
        <v>0</v>
      </c>
      <c r="Q3785">
        <v>0</v>
      </c>
      <c r="R3785">
        <v>0</v>
      </c>
    </row>
    <row r="3786" spans="1:18" x14ac:dyDescent="0.25">
      <c r="A3786" t="s">
        <v>41</v>
      </c>
      <c r="B3786" t="s">
        <v>6</v>
      </c>
      <c r="C3786">
        <v>3</v>
      </c>
      <c r="D3786">
        <v>6</v>
      </c>
      <c r="E3786">
        <v>1</v>
      </c>
      <c r="F3786" s="15">
        <v>46118</v>
      </c>
      <c r="G3786" t="s">
        <v>471</v>
      </c>
      <c r="H3786">
        <v>3</v>
      </c>
      <c r="I3786">
        <v>2026</v>
      </c>
      <c r="J3786">
        <v>4</v>
      </c>
      <c r="K3786" t="s">
        <v>87</v>
      </c>
      <c r="L3786" t="s">
        <v>464</v>
      </c>
      <c r="M3786" t="s">
        <v>6</v>
      </c>
      <c r="N3786" t="b">
        <v>0</v>
      </c>
      <c r="O3786">
        <v>0</v>
      </c>
      <c r="P3786">
        <v>1</v>
      </c>
      <c r="Q3786">
        <v>0</v>
      </c>
      <c r="R3786">
        <v>0</v>
      </c>
    </row>
    <row r="3787" spans="1:18" x14ac:dyDescent="0.25">
      <c r="A3787" t="s">
        <v>41</v>
      </c>
      <c r="B3787" t="s">
        <v>6</v>
      </c>
      <c r="C3787">
        <v>3</v>
      </c>
      <c r="D3787">
        <v>6</v>
      </c>
      <c r="E3787">
        <v>1</v>
      </c>
      <c r="F3787" s="15">
        <v>46118</v>
      </c>
      <c r="G3787" t="s">
        <v>471</v>
      </c>
      <c r="H3787">
        <v>3</v>
      </c>
      <c r="I3787">
        <v>2026</v>
      </c>
      <c r="J3787">
        <v>4</v>
      </c>
      <c r="K3787" t="s">
        <v>87</v>
      </c>
      <c r="L3787" t="s">
        <v>465</v>
      </c>
      <c r="M3787" t="s">
        <v>8</v>
      </c>
      <c r="N3787" t="b">
        <v>0</v>
      </c>
      <c r="O3787">
        <v>0</v>
      </c>
      <c r="P3787">
        <v>1</v>
      </c>
      <c r="Q3787">
        <v>0</v>
      </c>
      <c r="R3787">
        <v>1</v>
      </c>
    </row>
    <row r="3788" spans="1:18" x14ac:dyDescent="0.25">
      <c r="A3788" t="s">
        <v>465</v>
      </c>
      <c r="B3788" t="s">
        <v>6</v>
      </c>
      <c r="C3788">
        <v>1</v>
      </c>
      <c r="D3788">
        <v>1</v>
      </c>
      <c r="E3788">
        <v>2</v>
      </c>
      <c r="F3788" s="15">
        <v>46118</v>
      </c>
      <c r="G3788" t="s">
        <v>472</v>
      </c>
      <c r="H3788">
        <v>4</v>
      </c>
      <c r="I3788">
        <v>2026</v>
      </c>
      <c r="J3788">
        <v>4</v>
      </c>
      <c r="K3788" t="s">
        <v>87</v>
      </c>
      <c r="L3788" t="s">
        <v>580</v>
      </c>
      <c r="M3788" t="s">
        <v>6</v>
      </c>
      <c r="N3788" t="b">
        <v>0</v>
      </c>
      <c r="O3788">
        <v>0</v>
      </c>
      <c r="P3788">
        <v>1</v>
      </c>
      <c r="Q3788">
        <v>0</v>
      </c>
      <c r="R3788">
        <v>0</v>
      </c>
    </row>
    <row r="3789" spans="1:18" x14ac:dyDescent="0.25">
      <c r="A3789" t="s">
        <v>465</v>
      </c>
      <c r="B3789" t="s">
        <v>6</v>
      </c>
      <c r="C3789">
        <v>1</v>
      </c>
      <c r="D3789">
        <v>1</v>
      </c>
      <c r="E3789">
        <v>2</v>
      </c>
      <c r="F3789" s="15">
        <v>46118</v>
      </c>
      <c r="G3789" t="s">
        <v>472</v>
      </c>
      <c r="H3789">
        <v>4</v>
      </c>
      <c r="I3789">
        <v>2026</v>
      </c>
      <c r="J3789">
        <v>4</v>
      </c>
      <c r="K3789" t="s">
        <v>87</v>
      </c>
      <c r="L3789" t="s">
        <v>365</v>
      </c>
      <c r="M3789" t="s">
        <v>6</v>
      </c>
      <c r="N3789" t="b">
        <v>0</v>
      </c>
      <c r="O3789">
        <v>0</v>
      </c>
      <c r="P3789">
        <v>1</v>
      </c>
      <c r="Q3789">
        <v>0</v>
      </c>
      <c r="R3789">
        <v>0</v>
      </c>
    </row>
    <row r="3790" spans="1:18" x14ac:dyDescent="0.25">
      <c r="A3790" t="s">
        <v>465</v>
      </c>
      <c r="B3790" t="s">
        <v>6</v>
      </c>
      <c r="C3790">
        <v>1</v>
      </c>
      <c r="D3790">
        <v>1</v>
      </c>
      <c r="E3790">
        <v>2</v>
      </c>
      <c r="F3790" s="15">
        <v>46118</v>
      </c>
      <c r="G3790" t="s">
        <v>472</v>
      </c>
      <c r="H3790">
        <v>4</v>
      </c>
      <c r="I3790">
        <v>2026</v>
      </c>
      <c r="J3790">
        <v>4</v>
      </c>
      <c r="K3790" t="s">
        <v>87</v>
      </c>
      <c r="L3790" t="s">
        <v>10</v>
      </c>
      <c r="M3790" t="s">
        <v>8</v>
      </c>
      <c r="N3790" t="b">
        <v>0</v>
      </c>
      <c r="O3790">
        <v>0</v>
      </c>
      <c r="P3790">
        <v>1</v>
      </c>
      <c r="Q3790">
        <v>0</v>
      </c>
      <c r="R3790">
        <v>1</v>
      </c>
    </row>
    <row r="3791" spans="1:18" x14ac:dyDescent="0.25">
      <c r="A3791" t="s">
        <v>580</v>
      </c>
      <c r="B3791" t="s">
        <v>6</v>
      </c>
      <c r="C3791">
        <v>2</v>
      </c>
      <c r="D3791">
        <v>1</v>
      </c>
      <c r="E3791">
        <v>2</v>
      </c>
      <c r="F3791" s="15">
        <v>46118</v>
      </c>
      <c r="G3791" t="s">
        <v>472</v>
      </c>
      <c r="H3791">
        <v>4</v>
      </c>
      <c r="I3791">
        <v>2026</v>
      </c>
      <c r="J3791">
        <v>4</v>
      </c>
      <c r="K3791" t="s">
        <v>87</v>
      </c>
      <c r="L3791" t="s">
        <v>465</v>
      </c>
      <c r="M3791" t="s">
        <v>6</v>
      </c>
      <c r="N3791" t="b">
        <v>0</v>
      </c>
      <c r="O3791">
        <v>0</v>
      </c>
      <c r="P3791">
        <v>1</v>
      </c>
      <c r="Q3791">
        <v>0</v>
      </c>
      <c r="R3791">
        <v>0</v>
      </c>
    </row>
    <row r="3792" spans="1:18" x14ac:dyDescent="0.25">
      <c r="A3792" t="s">
        <v>580</v>
      </c>
      <c r="B3792" t="s">
        <v>6</v>
      </c>
      <c r="C3792">
        <v>2</v>
      </c>
      <c r="D3792">
        <v>1</v>
      </c>
      <c r="E3792">
        <v>2</v>
      </c>
      <c r="F3792" s="15">
        <v>46118</v>
      </c>
      <c r="G3792" t="s">
        <v>472</v>
      </c>
      <c r="H3792">
        <v>4</v>
      </c>
      <c r="I3792">
        <v>2026</v>
      </c>
      <c r="J3792">
        <v>4</v>
      </c>
      <c r="K3792" t="s">
        <v>87</v>
      </c>
      <c r="L3792" t="s">
        <v>365</v>
      </c>
      <c r="M3792" t="s">
        <v>6</v>
      </c>
      <c r="N3792" t="b">
        <v>0</v>
      </c>
      <c r="O3792">
        <v>0</v>
      </c>
      <c r="P3792">
        <v>1</v>
      </c>
      <c r="Q3792">
        <v>0</v>
      </c>
      <c r="R3792">
        <v>0</v>
      </c>
    </row>
    <row r="3793" spans="1:18" x14ac:dyDescent="0.25">
      <c r="A3793" t="s">
        <v>580</v>
      </c>
      <c r="B3793" t="s">
        <v>6</v>
      </c>
      <c r="C3793">
        <v>2</v>
      </c>
      <c r="D3793">
        <v>1</v>
      </c>
      <c r="E3793">
        <v>2</v>
      </c>
      <c r="F3793" s="15">
        <v>46118</v>
      </c>
      <c r="G3793" t="s">
        <v>472</v>
      </c>
      <c r="H3793">
        <v>4</v>
      </c>
      <c r="I3793">
        <v>2026</v>
      </c>
      <c r="J3793">
        <v>4</v>
      </c>
      <c r="K3793" t="s">
        <v>87</v>
      </c>
      <c r="L3793" t="s">
        <v>10</v>
      </c>
      <c r="M3793" t="s">
        <v>8</v>
      </c>
      <c r="N3793" t="b">
        <v>0</v>
      </c>
      <c r="O3793">
        <v>0</v>
      </c>
      <c r="P3793">
        <v>1</v>
      </c>
      <c r="Q3793">
        <v>0</v>
      </c>
      <c r="R3793">
        <v>1</v>
      </c>
    </row>
    <row r="3794" spans="1:18" x14ac:dyDescent="0.25">
      <c r="A3794" t="s">
        <v>365</v>
      </c>
      <c r="B3794" t="s">
        <v>6</v>
      </c>
      <c r="C3794">
        <v>3</v>
      </c>
      <c r="D3794">
        <v>1</v>
      </c>
      <c r="E3794">
        <v>2</v>
      </c>
      <c r="F3794" s="15">
        <v>46118</v>
      </c>
      <c r="G3794" t="s">
        <v>472</v>
      </c>
      <c r="H3794">
        <v>4</v>
      </c>
      <c r="I3794">
        <v>2026</v>
      </c>
      <c r="J3794">
        <v>4</v>
      </c>
      <c r="K3794" t="s">
        <v>87</v>
      </c>
      <c r="L3794" t="s">
        <v>465</v>
      </c>
      <c r="M3794" t="s">
        <v>6</v>
      </c>
      <c r="N3794" t="b">
        <v>0</v>
      </c>
      <c r="O3794">
        <v>0</v>
      </c>
      <c r="P3794">
        <v>1</v>
      </c>
      <c r="Q3794">
        <v>0</v>
      </c>
      <c r="R3794">
        <v>0</v>
      </c>
    </row>
    <row r="3795" spans="1:18" x14ac:dyDescent="0.25">
      <c r="A3795" t="s">
        <v>365</v>
      </c>
      <c r="B3795" t="s">
        <v>6</v>
      </c>
      <c r="C3795">
        <v>3</v>
      </c>
      <c r="D3795">
        <v>1</v>
      </c>
      <c r="E3795">
        <v>2</v>
      </c>
      <c r="F3795" s="15">
        <v>46118</v>
      </c>
      <c r="G3795" t="s">
        <v>472</v>
      </c>
      <c r="H3795">
        <v>4</v>
      </c>
      <c r="I3795">
        <v>2026</v>
      </c>
      <c r="J3795">
        <v>4</v>
      </c>
      <c r="K3795" t="s">
        <v>87</v>
      </c>
      <c r="L3795" t="s">
        <v>580</v>
      </c>
      <c r="M3795" t="s">
        <v>6</v>
      </c>
      <c r="N3795" t="b">
        <v>0</v>
      </c>
      <c r="O3795">
        <v>0</v>
      </c>
      <c r="P3795">
        <v>1</v>
      </c>
      <c r="Q3795">
        <v>0</v>
      </c>
      <c r="R3795">
        <v>0</v>
      </c>
    </row>
    <row r="3796" spans="1:18" x14ac:dyDescent="0.25">
      <c r="A3796" t="s">
        <v>365</v>
      </c>
      <c r="B3796" t="s">
        <v>6</v>
      </c>
      <c r="C3796">
        <v>3</v>
      </c>
      <c r="D3796">
        <v>1</v>
      </c>
      <c r="E3796">
        <v>2</v>
      </c>
      <c r="F3796" s="15">
        <v>46118</v>
      </c>
      <c r="G3796" t="s">
        <v>472</v>
      </c>
      <c r="H3796">
        <v>4</v>
      </c>
      <c r="I3796">
        <v>2026</v>
      </c>
      <c r="J3796">
        <v>4</v>
      </c>
      <c r="K3796" t="s">
        <v>87</v>
      </c>
      <c r="L3796" t="s">
        <v>10</v>
      </c>
      <c r="M3796" t="s">
        <v>8</v>
      </c>
      <c r="N3796" t="b">
        <v>0</v>
      </c>
      <c r="O3796">
        <v>0</v>
      </c>
      <c r="P3796">
        <v>1</v>
      </c>
      <c r="Q3796">
        <v>0</v>
      </c>
      <c r="R3796">
        <v>1</v>
      </c>
    </row>
    <row r="3797" spans="1:18" x14ac:dyDescent="0.25">
      <c r="A3797" t="s">
        <v>10</v>
      </c>
      <c r="B3797" t="s">
        <v>8</v>
      </c>
      <c r="C3797">
        <v>4</v>
      </c>
      <c r="D3797">
        <v>1</v>
      </c>
      <c r="E3797">
        <v>2</v>
      </c>
      <c r="F3797" s="15">
        <v>46118</v>
      </c>
      <c r="G3797" t="s">
        <v>472</v>
      </c>
      <c r="H3797">
        <v>4</v>
      </c>
      <c r="I3797">
        <v>2026</v>
      </c>
      <c r="J3797">
        <v>4</v>
      </c>
      <c r="K3797" t="s">
        <v>87</v>
      </c>
      <c r="L3797" t="s">
        <v>465</v>
      </c>
      <c r="M3797" t="s">
        <v>6</v>
      </c>
      <c r="N3797" t="b">
        <v>0</v>
      </c>
      <c r="O3797">
        <v>1</v>
      </c>
      <c r="P3797">
        <v>0</v>
      </c>
      <c r="Q3797">
        <v>0</v>
      </c>
      <c r="R3797">
        <v>0</v>
      </c>
    </row>
    <row r="3798" spans="1:18" x14ac:dyDescent="0.25">
      <c r="A3798" t="s">
        <v>10</v>
      </c>
      <c r="B3798" t="s">
        <v>8</v>
      </c>
      <c r="C3798">
        <v>4</v>
      </c>
      <c r="D3798">
        <v>1</v>
      </c>
      <c r="E3798">
        <v>2</v>
      </c>
      <c r="F3798" s="15">
        <v>46118</v>
      </c>
      <c r="G3798" t="s">
        <v>472</v>
      </c>
      <c r="H3798">
        <v>4</v>
      </c>
      <c r="I3798">
        <v>2026</v>
      </c>
      <c r="J3798">
        <v>4</v>
      </c>
      <c r="K3798" t="s">
        <v>87</v>
      </c>
      <c r="L3798" t="s">
        <v>580</v>
      </c>
      <c r="M3798" t="s">
        <v>6</v>
      </c>
      <c r="N3798" t="b">
        <v>0</v>
      </c>
      <c r="O3798">
        <v>1</v>
      </c>
      <c r="P3798">
        <v>0</v>
      </c>
      <c r="Q3798">
        <v>0</v>
      </c>
      <c r="R3798">
        <v>0</v>
      </c>
    </row>
    <row r="3799" spans="1:18" x14ac:dyDescent="0.25">
      <c r="A3799" t="s">
        <v>10</v>
      </c>
      <c r="B3799" t="s">
        <v>8</v>
      </c>
      <c r="C3799">
        <v>4</v>
      </c>
      <c r="D3799">
        <v>1</v>
      </c>
      <c r="E3799">
        <v>2</v>
      </c>
      <c r="F3799" s="15">
        <v>46118</v>
      </c>
      <c r="G3799" t="s">
        <v>472</v>
      </c>
      <c r="H3799">
        <v>4</v>
      </c>
      <c r="I3799">
        <v>2026</v>
      </c>
      <c r="J3799">
        <v>4</v>
      </c>
      <c r="K3799" t="s">
        <v>87</v>
      </c>
      <c r="L3799" t="s">
        <v>365</v>
      </c>
      <c r="M3799" t="s">
        <v>6</v>
      </c>
      <c r="N3799" t="b">
        <v>0</v>
      </c>
      <c r="O3799">
        <v>1</v>
      </c>
      <c r="P3799">
        <v>0</v>
      </c>
      <c r="Q3799">
        <v>0</v>
      </c>
      <c r="R3799">
        <v>0</v>
      </c>
    </row>
    <row r="3800" spans="1:18" x14ac:dyDescent="0.25">
      <c r="A3800" t="s">
        <v>436</v>
      </c>
      <c r="B3800" t="s">
        <v>6</v>
      </c>
      <c r="C3800">
        <v>1</v>
      </c>
      <c r="D3800">
        <v>2</v>
      </c>
      <c r="E3800">
        <v>2</v>
      </c>
      <c r="F3800" s="15">
        <v>46118</v>
      </c>
      <c r="G3800" t="s">
        <v>473</v>
      </c>
      <c r="H3800">
        <v>4</v>
      </c>
      <c r="I3800">
        <v>2026</v>
      </c>
      <c r="J3800">
        <v>4</v>
      </c>
      <c r="K3800" t="s">
        <v>87</v>
      </c>
      <c r="L3800" t="s">
        <v>322</v>
      </c>
      <c r="M3800" t="s">
        <v>8</v>
      </c>
      <c r="N3800" t="b">
        <v>0</v>
      </c>
      <c r="O3800">
        <v>0</v>
      </c>
      <c r="P3800">
        <v>1</v>
      </c>
      <c r="Q3800">
        <v>0</v>
      </c>
      <c r="R3800">
        <v>1</v>
      </c>
    </row>
    <row r="3801" spans="1:18" x14ac:dyDescent="0.25">
      <c r="A3801" t="s">
        <v>436</v>
      </c>
      <c r="B3801" t="s">
        <v>6</v>
      </c>
      <c r="C3801">
        <v>1</v>
      </c>
      <c r="D3801">
        <v>2</v>
      </c>
      <c r="E3801">
        <v>2</v>
      </c>
      <c r="F3801" s="15">
        <v>46118</v>
      </c>
      <c r="G3801" t="s">
        <v>473</v>
      </c>
      <c r="H3801">
        <v>4</v>
      </c>
      <c r="I3801">
        <v>2026</v>
      </c>
      <c r="J3801">
        <v>4</v>
      </c>
      <c r="K3801" t="s">
        <v>87</v>
      </c>
      <c r="L3801" t="s">
        <v>363</v>
      </c>
      <c r="M3801" t="s">
        <v>6</v>
      </c>
      <c r="N3801" t="b">
        <v>0</v>
      </c>
      <c r="O3801">
        <v>0</v>
      </c>
      <c r="P3801">
        <v>1</v>
      </c>
      <c r="Q3801">
        <v>0</v>
      </c>
      <c r="R3801">
        <v>0</v>
      </c>
    </row>
    <row r="3802" spans="1:18" x14ac:dyDescent="0.25">
      <c r="A3802" t="s">
        <v>436</v>
      </c>
      <c r="B3802" t="s">
        <v>6</v>
      </c>
      <c r="C3802">
        <v>1</v>
      </c>
      <c r="D3802">
        <v>2</v>
      </c>
      <c r="E3802">
        <v>2</v>
      </c>
      <c r="F3802" s="15">
        <v>46118</v>
      </c>
      <c r="G3802" t="s">
        <v>473</v>
      </c>
      <c r="H3802">
        <v>4</v>
      </c>
      <c r="I3802">
        <v>2026</v>
      </c>
      <c r="J3802">
        <v>4</v>
      </c>
      <c r="K3802" t="s">
        <v>87</v>
      </c>
      <c r="L3802" t="s">
        <v>464</v>
      </c>
      <c r="M3802" t="s">
        <v>6</v>
      </c>
      <c r="N3802" t="b">
        <v>0</v>
      </c>
      <c r="O3802">
        <v>0</v>
      </c>
      <c r="P3802">
        <v>1</v>
      </c>
      <c r="Q3802">
        <v>0</v>
      </c>
      <c r="R3802">
        <v>0</v>
      </c>
    </row>
    <row r="3803" spans="1:18" x14ac:dyDescent="0.25">
      <c r="A3803" t="s">
        <v>322</v>
      </c>
      <c r="B3803" t="s">
        <v>8</v>
      </c>
      <c r="C3803">
        <v>2</v>
      </c>
      <c r="D3803">
        <v>2</v>
      </c>
      <c r="E3803">
        <v>2</v>
      </c>
      <c r="F3803" s="15">
        <v>46118</v>
      </c>
      <c r="G3803" t="s">
        <v>473</v>
      </c>
      <c r="H3803">
        <v>4</v>
      </c>
      <c r="I3803">
        <v>2026</v>
      </c>
      <c r="J3803">
        <v>4</v>
      </c>
      <c r="K3803" t="s">
        <v>87</v>
      </c>
      <c r="L3803" t="s">
        <v>436</v>
      </c>
      <c r="M3803" t="s">
        <v>6</v>
      </c>
      <c r="N3803" t="b">
        <v>0</v>
      </c>
      <c r="O3803">
        <v>1</v>
      </c>
      <c r="P3803">
        <v>0</v>
      </c>
      <c r="Q3803">
        <v>0</v>
      </c>
      <c r="R3803">
        <v>0</v>
      </c>
    </row>
    <row r="3804" spans="1:18" x14ac:dyDescent="0.25">
      <c r="A3804" t="s">
        <v>322</v>
      </c>
      <c r="B3804" t="s">
        <v>8</v>
      </c>
      <c r="C3804">
        <v>2</v>
      </c>
      <c r="D3804">
        <v>2</v>
      </c>
      <c r="E3804">
        <v>2</v>
      </c>
      <c r="F3804" s="15">
        <v>46118</v>
      </c>
      <c r="G3804" t="s">
        <v>473</v>
      </c>
      <c r="H3804">
        <v>4</v>
      </c>
      <c r="I3804">
        <v>2026</v>
      </c>
      <c r="J3804">
        <v>4</v>
      </c>
      <c r="K3804" t="s">
        <v>87</v>
      </c>
      <c r="L3804" t="s">
        <v>363</v>
      </c>
      <c r="M3804" t="s">
        <v>6</v>
      </c>
      <c r="N3804" t="b">
        <v>0</v>
      </c>
      <c r="O3804">
        <v>1</v>
      </c>
      <c r="P3804">
        <v>0</v>
      </c>
      <c r="Q3804">
        <v>0</v>
      </c>
      <c r="R3804">
        <v>0</v>
      </c>
    </row>
    <row r="3805" spans="1:18" x14ac:dyDescent="0.25">
      <c r="A3805" t="s">
        <v>322</v>
      </c>
      <c r="B3805" t="s">
        <v>8</v>
      </c>
      <c r="C3805">
        <v>2</v>
      </c>
      <c r="D3805">
        <v>2</v>
      </c>
      <c r="E3805">
        <v>2</v>
      </c>
      <c r="F3805" s="15">
        <v>46118</v>
      </c>
      <c r="G3805" t="s">
        <v>473</v>
      </c>
      <c r="H3805">
        <v>4</v>
      </c>
      <c r="I3805">
        <v>2026</v>
      </c>
      <c r="J3805">
        <v>4</v>
      </c>
      <c r="K3805" t="s">
        <v>87</v>
      </c>
      <c r="L3805" t="s">
        <v>464</v>
      </c>
      <c r="M3805" t="s">
        <v>6</v>
      </c>
      <c r="N3805" t="b">
        <v>0</v>
      </c>
      <c r="O3805">
        <v>1</v>
      </c>
      <c r="P3805">
        <v>0</v>
      </c>
      <c r="Q3805">
        <v>0</v>
      </c>
      <c r="R3805">
        <v>0</v>
      </c>
    </row>
    <row r="3806" spans="1:18" x14ac:dyDescent="0.25">
      <c r="A3806" t="s">
        <v>363</v>
      </c>
      <c r="B3806" t="s">
        <v>6</v>
      </c>
      <c r="C3806">
        <v>3</v>
      </c>
      <c r="D3806">
        <v>2</v>
      </c>
      <c r="E3806">
        <v>2</v>
      </c>
      <c r="F3806" s="15">
        <v>46118</v>
      </c>
      <c r="G3806" t="s">
        <v>473</v>
      </c>
      <c r="H3806">
        <v>4</v>
      </c>
      <c r="I3806">
        <v>2026</v>
      </c>
      <c r="J3806">
        <v>4</v>
      </c>
      <c r="K3806" t="s">
        <v>87</v>
      </c>
      <c r="L3806" t="s">
        <v>436</v>
      </c>
      <c r="M3806" t="s">
        <v>6</v>
      </c>
      <c r="N3806" t="b">
        <v>0</v>
      </c>
      <c r="O3806">
        <v>0</v>
      </c>
      <c r="P3806">
        <v>1</v>
      </c>
      <c r="Q3806">
        <v>0</v>
      </c>
      <c r="R3806">
        <v>0</v>
      </c>
    </row>
    <row r="3807" spans="1:18" x14ac:dyDescent="0.25">
      <c r="A3807" t="s">
        <v>363</v>
      </c>
      <c r="B3807" t="s">
        <v>6</v>
      </c>
      <c r="C3807">
        <v>3</v>
      </c>
      <c r="D3807">
        <v>2</v>
      </c>
      <c r="E3807">
        <v>2</v>
      </c>
      <c r="F3807" s="15">
        <v>46118</v>
      </c>
      <c r="G3807" t="s">
        <v>473</v>
      </c>
      <c r="H3807">
        <v>4</v>
      </c>
      <c r="I3807">
        <v>2026</v>
      </c>
      <c r="J3807">
        <v>4</v>
      </c>
      <c r="K3807" t="s">
        <v>87</v>
      </c>
      <c r="L3807" t="s">
        <v>322</v>
      </c>
      <c r="M3807" t="s">
        <v>8</v>
      </c>
      <c r="N3807" t="b">
        <v>0</v>
      </c>
      <c r="O3807">
        <v>0</v>
      </c>
      <c r="P3807">
        <v>1</v>
      </c>
      <c r="Q3807">
        <v>0</v>
      </c>
      <c r="R3807">
        <v>1</v>
      </c>
    </row>
    <row r="3808" spans="1:18" x14ac:dyDescent="0.25">
      <c r="A3808" t="s">
        <v>363</v>
      </c>
      <c r="B3808" t="s">
        <v>6</v>
      </c>
      <c r="C3808">
        <v>3</v>
      </c>
      <c r="D3808">
        <v>2</v>
      </c>
      <c r="E3808">
        <v>2</v>
      </c>
      <c r="F3808" s="15">
        <v>46118</v>
      </c>
      <c r="G3808" t="s">
        <v>473</v>
      </c>
      <c r="H3808">
        <v>4</v>
      </c>
      <c r="I3808">
        <v>2026</v>
      </c>
      <c r="J3808">
        <v>4</v>
      </c>
      <c r="K3808" t="s">
        <v>87</v>
      </c>
      <c r="L3808" t="s">
        <v>464</v>
      </c>
      <c r="M3808" t="s">
        <v>6</v>
      </c>
      <c r="N3808" t="b">
        <v>0</v>
      </c>
      <c r="O3808">
        <v>0</v>
      </c>
      <c r="P3808">
        <v>1</v>
      </c>
      <c r="Q3808">
        <v>0</v>
      </c>
      <c r="R3808">
        <v>0</v>
      </c>
    </row>
    <row r="3809" spans="1:18" x14ac:dyDescent="0.25">
      <c r="A3809" t="s">
        <v>464</v>
      </c>
      <c r="B3809" t="s">
        <v>6</v>
      </c>
      <c r="C3809">
        <v>4</v>
      </c>
      <c r="D3809">
        <v>2</v>
      </c>
      <c r="E3809">
        <v>2</v>
      </c>
      <c r="F3809" s="15">
        <v>46118</v>
      </c>
      <c r="G3809" t="s">
        <v>473</v>
      </c>
      <c r="H3809">
        <v>4</v>
      </c>
      <c r="I3809">
        <v>2026</v>
      </c>
      <c r="J3809">
        <v>4</v>
      </c>
      <c r="K3809" t="s">
        <v>87</v>
      </c>
      <c r="L3809" t="s">
        <v>436</v>
      </c>
      <c r="M3809" t="s">
        <v>6</v>
      </c>
      <c r="N3809" t="b">
        <v>0</v>
      </c>
      <c r="O3809">
        <v>0</v>
      </c>
      <c r="P3809">
        <v>1</v>
      </c>
      <c r="Q3809">
        <v>0</v>
      </c>
      <c r="R3809">
        <v>0</v>
      </c>
    </row>
    <row r="3810" spans="1:18" x14ac:dyDescent="0.25">
      <c r="A3810" t="s">
        <v>464</v>
      </c>
      <c r="B3810" t="s">
        <v>6</v>
      </c>
      <c r="C3810">
        <v>4</v>
      </c>
      <c r="D3810">
        <v>2</v>
      </c>
      <c r="E3810">
        <v>2</v>
      </c>
      <c r="F3810" s="15">
        <v>46118</v>
      </c>
      <c r="G3810" t="s">
        <v>473</v>
      </c>
      <c r="H3810">
        <v>4</v>
      </c>
      <c r="I3810">
        <v>2026</v>
      </c>
      <c r="J3810">
        <v>4</v>
      </c>
      <c r="K3810" t="s">
        <v>87</v>
      </c>
      <c r="L3810" t="s">
        <v>322</v>
      </c>
      <c r="M3810" t="s">
        <v>8</v>
      </c>
      <c r="N3810" t="b">
        <v>0</v>
      </c>
      <c r="O3810">
        <v>0</v>
      </c>
      <c r="P3810">
        <v>1</v>
      </c>
      <c r="Q3810">
        <v>0</v>
      </c>
      <c r="R3810">
        <v>1</v>
      </c>
    </row>
    <row r="3811" spans="1:18" x14ac:dyDescent="0.25">
      <c r="A3811" t="s">
        <v>464</v>
      </c>
      <c r="B3811" t="s">
        <v>6</v>
      </c>
      <c r="C3811">
        <v>4</v>
      </c>
      <c r="D3811">
        <v>2</v>
      </c>
      <c r="E3811">
        <v>2</v>
      </c>
      <c r="F3811" s="15">
        <v>46118</v>
      </c>
      <c r="G3811" t="s">
        <v>473</v>
      </c>
      <c r="H3811">
        <v>4</v>
      </c>
      <c r="I3811">
        <v>2026</v>
      </c>
      <c r="J3811">
        <v>4</v>
      </c>
      <c r="K3811" t="s">
        <v>87</v>
      </c>
      <c r="L3811" t="s">
        <v>363</v>
      </c>
      <c r="M3811" t="s">
        <v>6</v>
      </c>
      <c r="N3811" t="b">
        <v>0</v>
      </c>
      <c r="O3811">
        <v>0</v>
      </c>
      <c r="P3811">
        <v>1</v>
      </c>
      <c r="Q3811">
        <v>0</v>
      </c>
      <c r="R3811">
        <v>0</v>
      </c>
    </row>
    <row r="3812" spans="1:18" x14ac:dyDescent="0.25">
      <c r="A3812" t="s">
        <v>41</v>
      </c>
      <c r="B3812" t="s">
        <v>6</v>
      </c>
      <c r="C3812">
        <v>1</v>
      </c>
      <c r="D3812">
        <v>3</v>
      </c>
      <c r="E3812">
        <v>2</v>
      </c>
      <c r="F3812" s="15">
        <v>46118</v>
      </c>
      <c r="G3812" t="s">
        <v>474</v>
      </c>
      <c r="H3812">
        <v>4</v>
      </c>
      <c r="I3812">
        <v>2026</v>
      </c>
      <c r="J3812">
        <v>4</v>
      </c>
      <c r="K3812" t="s">
        <v>87</v>
      </c>
      <c r="L3812" t="s">
        <v>13</v>
      </c>
      <c r="M3812" t="s">
        <v>6</v>
      </c>
      <c r="N3812" t="b">
        <v>0</v>
      </c>
      <c r="O3812">
        <v>0</v>
      </c>
      <c r="P3812">
        <v>1</v>
      </c>
      <c r="Q3812">
        <v>0</v>
      </c>
      <c r="R3812">
        <v>0</v>
      </c>
    </row>
    <row r="3813" spans="1:18" x14ac:dyDescent="0.25">
      <c r="A3813" t="s">
        <v>41</v>
      </c>
      <c r="B3813" t="s">
        <v>6</v>
      </c>
      <c r="C3813">
        <v>1</v>
      </c>
      <c r="D3813">
        <v>3</v>
      </c>
      <c r="E3813">
        <v>2</v>
      </c>
      <c r="F3813" s="15">
        <v>46118</v>
      </c>
      <c r="G3813" t="s">
        <v>474</v>
      </c>
      <c r="H3813">
        <v>4</v>
      </c>
      <c r="I3813">
        <v>2026</v>
      </c>
      <c r="J3813">
        <v>4</v>
      </c>
      <c r="K3813" t="s">
        <v>87</v>
      </c>
      <c r="L3813" t="s">
        <v>11</v>
      </c>
      <c r="M3813" t="s">
        <v>8</v>
      </c>
      <c r="N3813" t="b">
        <v>0</v>
      </c>
      <c r="O3813">
        <v>0</v>
      </c>
      <c r="P3813">
        <v>1</v>
      </c>
      <c r="Q3813">
        <v>0</v>
      </c>
      <c r="R3813">
        <v>1</v>
      </c>
    </row>
    <row r="3814" spans="1:18" x14ac:dyDescent="0.25">
      <c r="A3814" t="s">
        <v>41</v>
      </c>
      <c r="B3814" t="s">
        <v>6</v>
      </c>
      <c r="C3814">
        <v>1</v>
      </c>
      <c r="D3814">
        <v>3</v>
      </c>
      <c r="E3814">
        <v>2</v>
      </c>
      <c r="F3814" s="15">
        <v>46118</v>
      </c>
      <c r="G3814" t="s">
        <v>474</v>
      </c>
      <c r="H3814">
        <v>4</v>
      </c>
      <c r="I3814">
        <v>2026</v>
      </c>
      <c r="J3814">
        <v>4</v>
      </c>
      <c r="K3814" t="s">
        <v>87</v>
      </c>
      <c r="L3814" t="s">
        <v>17</v>
      </c>
      <c r="M3814" t="s">
        <v>6</v>
      </c>
      <c r="N3814" t="b">
        <v>0</v>
      </c>
      <c r="O3814">
        <v>0</v>
      </c>
      <c r="P3814">
        <v>1</v>
      </c>
      <c r="Q3814">
        <v>0</v>
      </c>
      <c r="R3814">
        <v>0</v>
      </c>
    </row>
    <row r="3815" spans="1:18" x14ac:dyDescent="0.25">
      <c r="A3815" t="s">
        <v>13</v>
      </c>
      <c r="B3815" t="s">
        <v>6</v>
      </c>
      <c r="C3815">
        <v>2</v>
      </c>
      <c r="D3815">
        <v>3</v>
      </c>
      <c r="E3815">
        <v>2</v>
      </c>
      <c r="F3815" s="15">
        <v>46118</v>
      </c>
      <c r="G3815" t="s">
        <v>474</v>
      </c>
      <c r="H3815">
        <v>4</v>
      </c>
      <c r="I3815">
        <v>2026</v>
      </c>
      <c r="J3815">
        <v>4</v>
      </c>
      <c r="K3815" t="s">
        <v>87</v>
      </c>
      <c r="L3815" t="s">
        <v>41</v>
      </c>
      <c r="M3815" t="s">
        <v>6</v>
      </c>
      <c r="N3815" t="b">
        <v>0</v>
      </c>
      <c r="O3815">
        <v>0</v>
      </c>
      <c r="P3815">
        <v>1</v>
      </c>
      <c r="Q3815">
        <v>0</v>
      </c>
      <c r="R3815">
        <v>0</v>
      </c>
    </row>
    <row r="3816" spans="1:18" x14ac:dyDescent="0.25">
      <c r="A3816" t="s">
        <v>13</v>
      </c>
      <c r="B3816" t="s">
        <v>6</v>
      </c>
      <c r="C3816">
        <v>2</v>
      </c>
      <c r="D3816">
        <v>3</v>
      </c>
      <c r="E3816">
        <v>2</v>
      </c>
      <c r="F3816" s="15">
        <v>46118</v>
      </c>
      <c r="G3816" t="s">
        <v>474</v>
      </c>
      <c r="H3816">
        <v>4</v>
      </c>
      <c r="I3816">
        <v>2026</v>
      </c>
      <c r="J3816">
        <v>4</v>
      </c>
      <c r="K3816" t="s">
        <v>87</v>
      </c>
      <c r="L3816" t="s">
        <v>11</v>
      </c>
      <c r="M3816" t="s">
        <v>8</v>
      </c>
      <c r="N3816" t="b">
        <v>0</v>
      </c>
      <c r="O3816">
        <v>0</v>
      </c>
      <c r="P3816">
        <v>1</v>
      </c>
      <c r="Q3816">
        <v>0</v>
      </c>
      <c r="R3816">
        <v>1</v>
      </c>
    </row>
    <row r="3817" spans="1:18" x14ac:dyDescent="0.25">
      <c r="A3817" t="s">
        <v>13</v>
      </c>
      <c r="B3817" t="s">
        <v>6</v>
      </c>
      <c r="C3817">
        <v>2</v>
      </c>
      <c r="D3817">
        <v>3</v>
      </c>
      <c r="E3817">
        <v>2</v>
      </c>
      <c r="F3817" s="15">
        <v>46118</v>
      </c>
      <c r="G3817" t="s">
        <v>474</v>
      </c>
      <c r="H3817">
        <v>4</v>
      </c>
      <c r="I3817">
        <v>2026</v>
      </c>
      <c r="J3817">
        <v>4</v>
      </c>
      <c r="K3817" t="s">
        <v>87</v>
      </c>
      <c r="L3817" t="s">
        <v>17</v>
      </c>
      <c r="M3817" t="s">
        <v>6</v>
      </c>
      <c r="N3817" t="b">
        <v>0</v>
      </c>
      <c r="O3817">
        <v>0</v>
      </c>
      <c r="P3817">
        <v>1</v>
      </c>
      <c r="Q3817">
        <v>0</v>
      </c>
      <c r="R3817">
        <v>0</v>
      </c>
    </row>
    <row r="3818" spans="1:18" x14ac:dyDescent="0.25">
      <c r="A3818" t="s">
        <v>11</v>
      </c>
      <c r="B3818" t="s">
        <v>8</v>
      </c>
      <c r="C3818">
        <v>3</v>
      </c>
      <c r="D3818">
        <v>3</v>
      </c>
      <c r="E3818">
        <v>2</v>
      </c>
      <c r="F3818" s="15">
        <v>46118</v>
      </c>
      <c r="G3818" t="s">
        <v>474</v>
      </c>
      <c r="H3818">
        <v>4</v>
      </c>
      <c r="I3818">
        <v>2026</v>
      </c>
      <c r="J3818">
        <v>4</v>
      </c>
      <c r="K3818" t="s">
        <v>87</v>
      </c>
      <c r="L3818" t="s">
        <v>41</v>
      </c>
      <c r="M3818" t="s">
        <v>6</v>
      </c>
      <c r="N3818" t="b">
        <v>0</v>
      </c>
      <c r="O3818">
        <v>1</v>
      </c>
      <c r="P3818">
        <v>0</v>
      </c>
      <c r="Q3818">
        <v>0</v>
      </c>
      <c r="R3818">
        <v>0</v>
      </c>
    </row>
    <row r="3819" spans="1:18" x14ac:dyDescent="0.25">
      <c r="A3819" t="s">
        <v>11</v>
      </c>
      <c r="B3819" t="s">
        <v>8</v>
      </c>
      <c r="C3819">
        <v>3</v>
      </c>
      <c r="D3819">
        <v>3</v>
      </c>
      <c r="E3819">
        <v>2</v>
      </c>
      <c r="F3819" s="15">
        <v>46118</v>
      </c>
      <c r="G3819" t="s">
        <v>474</v>
      </c>
      <c r="H3819">
        <v>4</v>
      </c>
      <c r="I3819">
        <v>2026</v>
      </c>
      <c r="J3819">
        <v>4</v>
      </c>
      <c r="K3819" t="s">
        <v>87</v>
      </c>
      <c r="L3819" t="s">
        <v>13</v>
      </c>
      <c r="M3819" t="s">
        <v>6</v>
      </c>
      <c r="N3819" t="b">
        <v>0</v>
      </c>
      <c r="O3819">
        <v>1</v>
      </c>
      <c r="P3819">
        <v>0</v>
      </c>
      <c r="Q3819">
        <v>0</v>
      </c>
      <c r="R3819">
        <v>0</v>
      </c>
    </row>
    <row r="3820" spans="1:18" x14ac:dyDescent="0.25">
      <c r="A3820" t="s">
        <v>11</v>
      </c>
      <c r="B3820" t="s">
        <v>8</v>
      </c>
      <c r="C3820">
        <v>3</v>
      </c>
      <c r="D3820">
        <v>3</v>
      </c>
      <c r="E3820">
        <v>2</v>
      </c>
      <c r="F3820" s="15">
        <v>46118</v>
      </c>
      <c r="G3820" t="s">
        <v>474</v>
      </c>
      <c r="H3820">
        <v>4</v>
      </c>
      <c r="I3820">
        <v>2026</v>
      </c>
      <c r="J3820">
        <v>4</v>
      </c>
      <c r="K3820" t="s">
        <v>87</v>
      </c>
      <c r="L3820" t="s">
        <v>17</v>
      </c>
      <c r="M3820" t="s">
        <v>6</v>
      </c>
      <c r="N3820" t="b">
        <v>0</v>
      </c>
      <c r="O3820">
        <v>1</v>
      </c>
      <c r="P3820">
        <v>0</v>
      </c>
      <c r="Q3820">
        <v>0</v>
      </c>
      <c r="R3820">
        <v>0</v>
      </c>
    </row>
    <row r="3821" spans="1:18" x14ac:dyDescent="0.25">
      <c r="A3821" t="s">
        <v>17</v>
      </c>
      <c r="B3821" t="s">
        <v>6</v>
      </c>
      <c r="C3821">
        <v>4</v>
      </c>
      <c r="D3821">
        <v>3</v>
      </c>
      <c r="E3821">
        <v>2</v>
      </c>
      <c r="F3821" s="15">
        <v>46118</v>
      </c>
      <c r="G3821" t="s">
        <v>474</v>
      </c>
      <c r="H3821">
        <v>4</v>
      </c>
      <c r="I3821">
        <v>2026</v>
      </c>
      <c r="J3821">
        <v>4</v>
      </c>
      <c r="K3821" t="s">
        <v>87</v>
      </c>
      <c r="L3821" t="s">
        <v>41</v>
      </c>
      <c r="M3821" t="s">
        <v>6</v>
      </c>
      <c r="N3821" t="b">
        <v>0</v>
      </c>
      <c r="O3821">
        <v>0</v>
      </c>
      <c r="P3821">
        <v>1</v>
      </c>
      <c r="Q3821">
        <v>0</v>
      </c>
      <c r="R3821">
        <v>0</v>
      </c>
    </row>
    <row r="3822" spans="1:18" x14ac:dyDescent="0.25">
      <c r="A3822" t="s">
        <v>17</v>
      </c>
      <c r="B3822" t="s">
        <v>6</v>
      </c>
      <c r="C3822">
        <v>4</v>
      </c>
      <c r="D3822">
        <v>3</v>
      </c>
      <c r="E3822">
        <v>2</v>
      </c>
      <c r="F3822" s="15">
        <v>46118</v>
      </c>
      <c r="G3822" t="s">
        <v>474</v>
      </c>
      <c r="H3822">
        <v>4</v>
      </c>
      <c r="I3822">
        <v>2026</v>
      </c>
      <c r="J3822">
        <v>4</v>
      </c>
      <c r="K3822" t="s">
        <v>87</v>
      </c>
      <c r="L3822" t="s">
        <v>13</v>
      </c>
      <c r="M3822" t="s">
        <v>6</v>
      </c>
      <c r="N3822" t="b">
        <v>0</v>
      </c>
      <c r="O3822">
        <v>0</v>
      </c>
      <c r="P3822">
        <v>1</v>
      </c>
      <c r="Q3822">
        <v>0</v>
      </c>
      <c r="R3822">
        <v>0</v>
      </c>
    </row>
    <row r="3823" spans="1:18" x14ac:dyDescent="0.25">
      <c r="A3823" t="s">
        <v>17</v>
      </c>
      <c r="B3823" t="s">
        <v>6</v>
      </c>
      <c r="C3823">
        <v>4</v>
      </c>
      <c r="D3823">
        <v>3</v>
      </c>
      <c r="E3823">
        <v>2</v>
      </c>
      <c r="F3823" s="15">
        <v>46118</v>
      </c>
      <c r="G3823" t="s">
        <v>474</v>
      </c>
      <c r="H3823">
        <v>4</v>
      </c>
      <c r="I3823">
        <v>2026</v>
      </c>
      <c r="J3823">
        <v>4</v>
      </c>
      <c r="K3823" t="s">
        <v>87</v>
      </c>
      <c r="L3823" t="s">
        <v>11</v>
      </c>
      <c r="M3823" t="s">
        <v>8</v>
      </c>
      <c r="N3823" t="b">
        <v>0</v>
      </c>
      <c r="O3823">
        <v>0</v>
      </c>
      <c r="P3823">
        <v>1</v>
      </c>
      <c r="Q3823">
        <v>0</v>
      </c>
      <c r="R3823">
        <v>1</v>
      </c>
    </row>
    <row r="3824" spans="1:18" x14ac:dyDescent="0.25">
      <c r="A3824" t="s">
        <v>364</v>
      </c>
      <c r="B3824" t="s">
        <v>63</v>
      </c>
      <c r="C3824">
        <v>1</v>
      </c>
      <c r="D3824">
        <v>4</v>
      </c>
      <c r="E3824">
        <v>2</v>
      </c>
      <c r="F3824" s="15">
        <v>46118</v>
      </c>
      <c r="G3824" t="s">
        <v>475</v>
      </c>
      <c r="H3824">
        <v>4</v>
      </c>
      <c r="I3824">
        <v>2026</v>
      </c>
      <c r="J3824">
        <v>4</v>
      </c>
      <c r="K3824" t="s">
        <v>87</v>
      </c>
      <c r="L3824" t="s">
        <v>9</v>
      </c>
      <c r="M3824" t="s">
        <v>63</v>
      </c>
      <c r="N3824" t="b">
        <v>0</v>
      </c>
      <c r="O3824">
        <v>0</v>
      </c>
      <c r="P3824">
        <v>0</v>
      </c>
      <c r="Q3824">
        <v>1</v>
      </c>
      <c r="R3824">
        <v>0</v>
      </c>
    </row>
    <row r="3825" spans="1:18" x14ac:dyDescent="0.25">
      <c r="A3825" t="s">
        <v>364</v>
      </c>
      <c r="B3825" t="s">
        <v>63</v>
      </c>
      <c r="C3825">
        <v>1</v>
      </c>
      <c r="D3825">
        <v>4</v>
      </c>
      <c r="E3825">
        <v>2</v>
      </c>
      <c r="F3825" s="15">
        <v>46118</v>
      </c>
      <c r="G3825" t="s">
        <v>475</v>
      </c>
      <c r="H3825">
        <v>4</v>
      </c>
      <c r="I3825">
        <v>2026</v>
      </c>
      <c r="J3825">
        <v>4</v>
      </c>
      <c r="K3825" t="s">
        <v>87</v>
      </c>
      <c r="L3825" t="s">
        <v>351</v>
      </c>
      <c r="M3825" t="s">
        <v>63</v>
      </c>
      <c r="N3825" t="b">
        <v>0</v>
      </c>
      <c r="O3825">
        <v>0</v>
      </c>
      <c r="P3825">
        <v>0</v>
      </c>
      <c r="Q3825">
        <v>1</v>
      </c>
      <c r="R3825">
        <v>0</v>
      </c>
    </row>
    <row r="3826" spans="1:18" x14ac:dyDescent="0.25">
      <c r="A3826" t="s">
        <v>364</v>
      </c>
      <c r="B3826" t="s">
        <v>63</v>
      </c>
      <c r="C3826">
        <v>1</v>
      </c>
      <c r="D3826">
        <v>4</v>
      </c>
      <c r="E3826">
        <v>2</v>
      </c>
      <c r="F3826" s="15">
        <v>46118</v>
      </c>
      <c r="G3826" t="s">
        <v>475</v>
      </c>
      <c r="H3826">
        <v>4</v>
      </c>
      <c r="I3826">
        <v>2026</v>
      </c>
      <c r="J3826">
        <v>4</v>
      </c>
      <c r="K3826" t="s">
        <v>87</v>
      </c>
      <c r="L3826" t="s">
        <v>352</v>
      </c>
      <c r="M3826" t="s">
        <v>63</v>
      </c>
      <c r="N3826" t="b">
        <v>0</v>
      </c>
      <c r="O3826">
        <v>0</v>
      </c>
      <c r="P3826">
        <v>0</v>
      </c>
      <c r="Q3826">
        <v>1</v>
      </c>
      <c r="R3826">
        <v>0</v>
      </c>
    </row>
    <row r="3827" spans="1:18" x14ac:dyDescent="0.25">
      <c r="A3827" t="s">
        <v>9</v>
      </c>
      <c r="B3827" t="s">
        <v>63</v>
      </c>
      <c r="C3827">
        <v>2</v>
      </c>
      <c r="D3827">
        <v>4</v>
      </c>
      <c r="E3827">
        <v>2</v>
      </c>
      <c r="F3827" s="15">
        <v>46118</v>
      </c>
      <c r="G3827" t="s">
        <v>475</v>
      </c>
      <c r="H3827">
        <v>4</v>
      </c>
      <c r="I3827">
        <v>2026</v>
      </c>
      <c r="J3827">
        <v>4</v>
      </c>
      <c r="K3827" t="s">
        <v>87</v>
      </c>
      <c r="L3827" t="s">
        <v>364</v>
      </c>
      <c r="M3827" t="s">
        <v>63</v>
      </c>
      <c r="N3827" t="b">
        <v>0</v>
      </c>
      <c r="O3827">
        <v>0</v>
      </c>
      <c r="P3827">
        <v>0</v>
      </c>
      <c r="Q3827">
        <v>1</v>
      </c>
      <c r="R3827">
        <v>0</v>
      </c>
    </row>
    <row r="3828" spans="1:18" x14ac:dyDescent="0.25">
      <c r="A3828" t="s">
        <v>9</v>
      </c>
      <c r="B3828" t="s">
        <v>63</v>
      </c>
      <c r="C3828">
        <v>2</v>
      </c>
      <c r="D3828">
        <v>4</v>
      </c>
      <c r="E3828">
        <v>2</v>
      </c>
      <c r="F3828" s="15">
        <v>46118</v>
      </c>
      <c r="G3828" t="s">
        <v>475</v>
      </c>
      <c r="H3828">
        <v>4</v>
      </c>
      <c r="I3828">
        <v>2026</v>
      </c>
      <c r="J3828">
        <v>4</v>
      </c>
      <c r="K3828" t="s">
        <v>87</v>
      </c>
      <c r="L3828" t="s">
        <v>351</v>
      </c>
      <c r="M3828" t="s">
        <v>63</v>
      </c>
      <c r="N3828" t="b">
        <v>0</v>
      </c>
      <c r="O3828">
        <v>0</v>
      </c>
      <c r="P3828">
        <v>0</v>
      </c>
      <c r="Q3828">
        <v>1</v>
      </c>
      <c r="R3828">
        <v>0</v>
      </c>
    </row>
    <row r="3829" spans="1:18" x14ac:dyDescent="0.25">
      <c r="A3829" t="s">
        <v>9</v>
      </c>
      <c r="B3829" t="s">
        <v>63</v>
      </c>
      <c r="C3829">
        <v>2</v>
      </c>
      <c r="D3829">
        <v>4</v>
      </c>
      <c r="E3829">
        <v>2</v>
      </c>
      <c r="F3829" s="15">
        <v>46118</v>
      </c>
      <c r="G3829" t="s">
        <v>475</v>
      </c>
      <c r="H3829">
        <v>4</v>
      </c>
      <c r="I3829">
        <v>2026</v>
      </c>
      <c r="J3829">
        <v>4</v>
      </c>
      <c r="K3829" t="s">
        <v>87</v>
      </c>
      <c r="L3829" t="s">
        <v>352</v>
      </c>
      <c r="M3829" t="s">
        <v>63</v>
      </c>
      <c r="N3829" t="b">
        <v>0</v>
      </c>
      <c r="O3829">
        <v>0</v>
      </c>
      <c r="P3829">
        <v>0</v>
      </c>
      <c r="Q3829">
        <v>1</v>
      </c>
      <c r="R3829">
        <v>0</v>
      </c>
    </row>
    <row r="3830" spans="1:18" x14ac:dyDescent="0.25">
      <c r="A3830" t="s">
        <v>351</v>
      </c>
      <c r="B3830" t="s">
        <v>63</v>
      </c>
      <c r="C3830">
        <v>3</v>
      </c>
      <c r="D3830">
        <v>4</v>
      </c>
      <c r="E3830">
        <v>2</v>
      </c>
      <c r="F3830" s="15">
        <v>46118</v>
      </c>
      <c r="G3830" t="s">
        <v>475</v>
      </c>
      <c r="H3830">
        <v>4</v>
      </c>
      <c r="I3830">
        <v>2026</v>
      </c>
      <c r="J3830">
        <v>4</v>
      </c>
      <c r="K3830" t="s">
        <v>87</v>
      </c>
      <c r="L3830" t="s">
        <v>364</v>
      </c>
      <c r="M3830" t="s">
        <v>63</v>
      </c>
      <c r="N3830" t="b">
        <v>0</v>
      </c>
      <c r="O3830">
        <v>0</v>
      </c>
      <c r="P3830">
        <v>0</v>
      </c>
      <c r="Q3830">
        <v>1</v>
      </c>
      <c r="R3830">
        <v>0</v>
      </c>
    </row>
    <row r="3831" spans="1:18" x14ac:dyDescent="0.25">
      <c r="A3831" t="s">
        <v>351</v>
      </c>
      <c r="B3831" t="s">
        <v>63</v>
      </c>
      <c r="C3831">
        <v>3</v>
      </c>
      <c r="D3831">
        <v>4</v>
      </c>
      <c r="E3831">
        <v>2</v>
      </c>
      <c r="F3831" s="15">
        <v>46118</v>
      </c>
      <c r="G3831" t="s">
        <v>475</v>
      </c>
      <c r="H3831">
        <v>4</v>
      </c>
      <c r="I3831">
        <v>2026</v>
      </c>
      <c r="J3831">
        <v>4</v>
      </c>
      <c r="K3831" t="s">
        <v>87</v>
      </c>
      <c r="L3831" t="s">
        <v>9</v>
      </c>
      <c r="M3831" t="s">
        <v>63</v>
      </c>
      <c r="N3831" t="b">
        <v>0</v>
      </c>
      <c r="O3831">
        <v>0</v>
      </c>
      <c r="P3831">
        <v>0</v>
      </c>
      <c r="Q3831">
        <v>1</v>
      </c>
      <c r="R3831">
        <v>0</v>
      </c>
    </row>
    <row r="3832" spans="1:18" x14ac:dyDescent="0.25">
      <c r="A3832" t="s">
        <v>351</v>
      </c>
      <c r="B3832" t="s">
        <v>63</v>
      </c>
      <c r="C3832">
        <v>3</v>
      </c>
      <c r="D3832">
        <v>4</v>
      </c>
      <c r="E3832">
        <v>2</v>
      </c>
      <c r="F3832" s="15">
        <v>46118</v>
      </c>
      <c r="G3832" t="s">
        <v>475</v>
      </c>
      <c r="H3832">
        <v>4</v>
      </c>
      <c r="I3832">
        <v>2026</v>
      </c>
      <c r="J3832">
        <v>4</v>
      </c>
      <c r="K3832" t="s">
        <v>87</v>
      </c>
      <c r="L3832" t="s">
        <v>352</v>
      </c>
      <c r="M3832" t="s">
        <v>63</v>
      </c>
      <c r="N3832" t="b">
        <v>0</v>
      </c>
      <c r="O3832">
        <v>0</v>
      </c>
      <c r="P3832">
        <v>0</v>
      </c>
      <c r="Q3832">
        <v>1</v>
      </c>
      <c r="R3832">
        <v>0</v>
      </c>
    </row>
    <row r="3833" spans="1:18" x14ac:dyDescent="0.25">
      <c r="A3833" t="s">
        <v>352</v>
      </c>
      <c r="B3833" t="s">
        <v>63</v>
      </c>
      <c r="C3833">
        <v>4</v>
      </c>
      <c r="D3833">
        <v>4</v>
      </c>
      <c r="E3833">
        <v>2</v>
      </c>
      <c r="F3833" s="15">
        <v>46118</v>
      </c>
      <c r="G3833" t="s">
        <v>475</v>
      </c>
      <c r="H3833">
        <v>4</v>
      </c>
      <c r="I3833">
        <v>2026</v>
      </c>
      <c r="J3833">
        <v>4</v>
      </c>
      <c r="K3833" t="s">
        <v>87</v>
      </c>
      <c r="L3833" t="s">
        <v>364</v>
      </c>
      <c r="M3833" t="s">
        <v>63</v>
      </c>
      <c r="N3833" t="b">
        <v>0</v>
      </c>
      <c r="O3833">
        <v>0</v>
      </c>
      <c r="P3833">
        <v>0</v>
      </c>
      <c r="Q3833">
        <v>1</v>
      </c>
      <c r="R3833">
        <v>0</v>
      </c>
    </row>
    <row r="3834" spans="1:18" x14ac:dyDescent="0.25">
      <c r="A3834" t="s">
        <v>352</v>
      </c>
      <c r="B3834" t="s">
        <v>63</v>
      </c>
      <c r="C3834">
        <v>4</v>
      </c>
      <c r="D3834">
        <v>4</v>
      </c>
      <c r="E3834">
        <v>2</v>
      </c>
      <c r="F3834" s="15">
        <v>46118</v>
      </c>
      <c r="G3834" t="s">
        <v>475</v>
      </c>
      <c r="H3834">
        <v>4</v>
      </c>
      <c r="I3834">
        <v>2026</v>
      </c>
      <c r="J3834">
        <v>4</v>
      </c>
      <c r="K3834" t="s">
        <v>87</v>
      </c>
      <c r="L3834" t="s">
        <v>9</v>
      </c>
      <c r="M3834" t="s">
        <v>63</v>
      </c>
      <c r="N3834" t="b">
        <v>0</v>
      </c>
      <c r="O3834">
        <v>0</v>
      </c>
      <c r="P3834">
        <v>0</v>
      </c>
      <c r="Q3834">
        <v>1</v>
      </c>
      <c r="R3834">
        <v>0</v>
      </c>
    </row>
    <row r="3835" spans="1:18" x14ac:dyDescent="0.25">
      <c r="A3835" t="s">
        <v>352</v>
      </c>
      <c r="B3835" t="s">
        <v>63</v>
      </c>
      <c r="C3835">
        <v>4</v>
      </c>
      <c r="D3835">
        <v>4</v>
      </c>
      <c r="E3835">
        <v>2</v>
      </c>
      <c r="F3835" s="15">
        <v>46118</v>
      </c>
      <c r="G3835" t="s">
        <v>475</v>
      </c>
      <c r="H3835">
        <v>4</v>
      </c>
      <c r="I3835">
        <v>2026</v>
      </c>
      <c r="J3835">
        <v>4</v>
      </c>
      <c r="K3835" t="s">
        <v>87</v>
      </c>
      <c r="L3835" t="s">
        <v>351</v>
      </c>
      <c r="M3835" t="s">
        <v>63</v>
      </c>
      <c r="N3835" t="b">
        <v>0</v>
      </c>
      <c r="O3835">
        <v>0</v>
      </c>
      <c r="P3835">
        <v>0</v>
      </c>
      <c r="Q3835">
        <v>1</v>
      </c>
      <c r="R3835">
        <v>0</v>
      </c>
    </row>
    <row r="3836" spans="1:18" x14ac:dyDescent="0.25">
      <c r="A3836" t="s">
        <v>434</v>
      </c>
      <c r="B3836" t="s">
        <v>8</v>
      </c>
      <c r="C3836">
        <v>1</v>
      </c>
      <c r="D3836">
        <v>5</v>
      </c>
      <c r="E3836">
        <v>2</v>
      </c>
      <c r="F3836" s="15">
        <v>46118</v>
      </c>
      <c r="G3836" t="s">
        <v>476</v>
      </c>
      <c r="H3836">
        <v>3</v>
      </c>
      <c r="I3836">
        <v>2026</v>
      </c>
      <c r="J3836">
        <v>4</v>
      </c>
      <c r="K3836" t="s">
        <v>87</v>
      </c>
      <c r="L3836" t="s">
        <v>14</v>
      </c>
      <c r="M3836" t="s">
        <v>6</v>
      </c>
      <c r="N3836" t="b">
        <v>0</v>
      </c>
      <c r="O3836">
        <v>1</v>
      </c>
      <c r="P3836">
        <v>0</v>
      </c>
      <c r="Q3836">
        <v>0</v>
      </c>
      <c r="R3836">
        <v>0</v>
      </c>
    </row>
    <row r="3837" spans="1:18" x14ac:dyDescent="0.25">
      <c r="A3837" t="s">
        <v>434</v>
      </c>
      <c r="B3837" t="s">
        <v>8</v>
      </c>
      <c r="C3837">
        <v>1</v>
      </c>
      <c r="D3837">
        <v>5</v>
      </c>
      <c r="E3837">
        <v>2</v>
      </c>
      <c r="F3837" s="15">
        <v>46118</v>
      </c>
      <c r="G3837" t="s">
        <v>476</v>
      </c>
      <c r="H3837">
        <v>3</v>
      </c>
      <c r="I3837">
        <v>2026</v>
      </c>
      <c r="J3837">
        <v>4</v>
      </c>
      <c r="K3837" t="s">
        <v>87</v>
      </c>
      <c r="L3837" t="s">
        <v>51</v>
      </c>
      <c r="M3837" t="s">
        <v>6</v>
      </c>
      <c r="N3837" t="b">
        <v>0</v>
      </c>
      <c r="O3837">
        <v>1</v>
      </c>
      <c r="P3837">
        <v>0</v>
      </c>
      <c r="Q3837">
        <v>0</v>
      </c>
      <c r="R3837">
        <v>0</v>
      </c>
    </row>
    <row r="3838" spans="1:18" x14ac:dyDescent="0.25">
      <c r="A3838" t="s">
        <v>14</v>
      </c>
      <c r="B3838" t="s">
        <v>6</v>
      </c>
      <c r="C3838">
        <v>2</v>
      </c>
      <c r="D3838">
        <v>5</v>
      </c>
      <c r="E3838">
        <v>2</v>
      </c>
      <c r="F3838" s="15">
        <v>46118</v>
      </c>
      <c r="G3838" t="s">
        <v>476</v>
      </c>
      <c r="H3838">
        <v>3</v>
      </c>
      <c r="I3838">
        <v>2026</v>
      </c>
      <c r="J3838">
        <v>4</v>
      </c>
      <c r="K3838" t="s">
        <v>87</v>
      </c>
      <c r="L3838" t="s">
        <v>434</v>
      </c>
      <c r="M3838" t="s">
        <v>8</v>
      </c>
      <c r="N3838" t="b">
        <v>0</v>
      </c>
      <c r="O3838">
        <v>0</v>
      </c>
      <c r="P3838">
        <v>1</v>
      </c>
      <c r="Q3838">
        <v>0</v>
      </c>
      <c r="R3838">
        <v>1</v>
      </c>
    </row>
    <row r="3839" spans="1:18" x14ac:dyDescent="0.25">
      <c r="A3839" t="s">
        <v>14</v>
      </c>
      <c r="B3839" t="s">
        <v>6</v>
      </c>
      <c r="C3839">
        <v>2</v>
      </c>
      <c r="D3839">
        <v>5</v>
      </c>
      <c r="E3839">
        <v>2</v>
      </c>
      <c r="F3839" s="15">
        <v>46118</v>
      </c>
      <c r="G3839" t="s">
        <v>476</v>
      </c>
      <c r="H3839">
        <v>3</v>
      </c>
      <c r="I3839">
        <v>2026</v>
      </c>
      <c r="J3839">
        <v>4</v>
      </c>
      <c r="K3839" t="s">
        <v>87</v>
      </c>
      <c r="L3839" t="s">
        <v>51</v>
      </c>
      <c r="M3839" t="s">
        <v>6</v>
      </c>
      <c r="N3839" t="b">
        <v>0</v>
      </c>
      <c r="O3839">
        <v>0</v>
      </c>
      <c r="P3839">
        <v>1</v>
      </c>
      <c r="Q3839">
        <v>0</v>
      </c>
      <c r="R3839">
        <v>0</v>
      </c>
    </row>
    <row r="3840" spans="1:18" x14ac:dyDescent="0.25">
      <c r="A3840" t="s">
        <v>51</v>
      </c>
      <c r="B3840" t="s">
        <v>6</v>
      </c>
      <c r="C3840">
        <v>3</v>
      </c>
      <c r="D3840">
        <v>5</v>
      </c>
      <c r="E3840">
        <v>2</v>
      </c>
      <c r="F3840" s="15">
        <v>46118</v>
      </c>
      <c r="G3840" t="s">
        <v>476</v>
      </c>
      <c r="H3840">
        <v>3</v>
      </c>
      <c r="I3840">
        <v>2026</v>
      </c>
      <c r="J3840">
        <v>4</v>
      </c>
      <c r="K3840" t="s">
        <v>87</v>
      </c>
      <c r="L3840" t="s">
        <v>434</v>
      </c>
      <c r="M3840" t="s">
        <v>8</v>
      </c>
      <c r="N3840" t="b">
        <v>0</v>
      </c>
      <c r="O3840">
        <v>0</v>
      </c>
      <c r="P3840">
        <v>1</v>
      </c>
      <c r="Q3840">
        <v>0</v>
      </c>
      <c r="R3840">
        <v>1</v>
      </c>
    </row>
    <row r="3841" spans="1:18" x14ac:dyDescent="0.25">
      <c r="A3841" t="s">
        <v>51</v>
      </c>
      <c r="B3841" t="s">
        <v>6</v>
      </c>
      <c r="C3841">
        <v>3</v>
      </c>
      <c r="D3841">
        <v>5</v>
      </c>
      <c r="E3841">
        <v>2</v>
      </c>
      <c r="F3841" s="15">
        <v>46118</v>
      </c>
      <c r="G3841" t="s">
        <v>476</v>
      </c>
      <c r="H3841">
        <v>3</v>
      </c>
      <c r="I3841">
        <v>2026</v>
      </c>
      <c r="J3841">
        <v>4</v>
      </c>
      <c r="K3841" t="s">
        <v>87</v>
      </c>
      <c r="L3841" t="s">
        <v>14</v>
      </c>
      <c r="M3841" t="s">
        <v>6</v>
      </c>
      <c r="N3841" t="b">
        <v>0</v>
      </c>
      <c r="O3841">
        <v>0</v>
      </c>
      <c r="P3841">
        <v>1</v>
      </c>
      <c r="Q3841">
        <v>0</v>
      </c>
      <c r="R3841">
        <v>0</v>
      </c>
    </row>
    <row r="3842" spans="1:18" x14ac:dyDescent="0.25">
      <c r="A3842" t="s">
        <v>52</v>
      </c>
      <c r="B3842" t="s">
        <v>6</v>
      </c>
      <c r="C3842">
        <v>1</v>
      </c>
      <c r="D3842">
        <v>6</v>
      </c>
      <c r="E3842">
        <v>2</v>
      </c>
      <c r="F3842" s="15">
        <v>46118</v>
      </c>
      <c r="G3842" t="s">
        <v>477</v>
      </c>
      <c r="H3842">
        <v>3</v>
      </c>
      <c r="I3842">
        <v>2026</v>
      </c>
      <c r="J3842">
        <v>4</v>
      </c>
      <c r="K3842" t="s">
        <v>87</v>
      </c>
      <c r="L3842" t="s">
        <v>19</v>
      </c>
      <c r="M3842" t="s">
        <v>8</v>
      </c>
      <c r="N3842" t="b">
        <v>0</v>
      </c>
      <c r="O3842">
        <v>0</v>
      </c>
      <c r="P3842">
        <v>1</v>
      </c>
      <c r="Q3842">
        <v>0</v>
      </c>
      <c r="R3842">
        <v>1</v>
      </c>
    </row>
    <row r="3843" spans="1:18" x14ac:dyDescent="0.25">
      <c r="A3843" t="s">
        <v>52</v>
      </c>
      <c r="B3843" t="s">
        <v>6</v>
      </c>
      <c r="C3843">
        <v>1</v>
      </c>
      <c r="D3843">
        <v>6</v>
      </c>
      <c r="E3843">
        <v>2</v>
      </c>
      <c r="F3843" s="15">
        <v>46118</v>
      </c>
      <c r="G3843" t="s">
        <v>477</v>
      </c>
      <c r="H3843">
        <v>3</v>
      </c>
      <c r="I3843">
        <v>2026</v>
      </c>
      <c r="J3843">
        <v>4</v>
      </c>
      <c r="K3843" t="s">
        <v>87</v>
      </c>
      <c r="L3843" t="s">
        <v>7</v>
      </c>
      <c r="M3843" t="s">
        <v>6</v>
      </c>
      <c r="N3843" t="b">
        <v>0</v>
      </c>
      <c r="O3843">
        <v>0</v>
      </c>
      <c r="P3843">
        <v>1</v>
      </c>
      <c r="Q3843">
        <v>0</v>
      </c>
      <c r="R3843">
        <v>0</v>
      </c>
    </row>
    <row r="3844" spans="1:18" x14ac:dyDescent="0.25">
      <c r="A3844" t="s">
        <v>19</v>
      </c>
      <c r="B3844" t="s">
        <v>8</v>
      </c>
      <c r="C3844">
        <v>2</v>
      </c>
      <c r="D3844">
        <v>6</v>
      </c>
      <c r="E3844">
        <v>2</v>
      </c>
      <c r="F3844" s="15">
        <v>46118</v>
      </c>
      <c r="G3844" t="s">
        <v>477</v>
      </c>
      <c r="H3844">
        <v>3</v>
      </c>
      <c r="I3844">
        <v>2026</v>
      </c>
      <c r="J3844">
        <v>4</v>
      </c>
      <c r="K3844" t="s">
        <v>87</v>
      </c>
      <c r="L3844" t="s">
        <v>52</v>
      </c>
      <c r="M3844" t="s">
        <v>6</v>
      </c>
      <c r="N3844" t="b">
        <v>0</v>
      </c>
      <c r="O3844">
        <v>1</v>
      </c>
      <c r="P3844">
        <v>0</v>
      </c>
      <c r="Q3844">
        <v>0</v>
      </c>
      <c r="R3844">
        <v>0</v>
      </c>
    </row>
    <row r="3845" spans="1:18" x14ac:dyDescent="0.25">
      <c r="A3845" t="s">
        <v>19</v>
      </c>
      <c r="B3845" t="s">
        <v>8</v>
      </c>
      <c r="C3845">
        <v>2</v>
      </c>
      <c r="D3845">
        <v>6</v>
      </c>
      <c r="E3845">
        <v>2</v>
      </c>
      <c r="F3845" s="15">
        <v>46118</v>
      </c>
      <c r="G3845" t="s">
        <v>477</v>
      </c>
      <c r="H3845">
        <v>3</v>
      </c>
      <c r="I3845">
        <v>2026</v>
      </c>
      <c r="J3845">
        <v>4</v>
      </c>
      <c r="K3845" t="s">
        <v>87</v>
      </c>
      <c r="L3845" t="s">
        <v>7</v>
      </c>
      <c r="M3845" t="s">
        <v>6</v>
      </c>
      <c r="N3845" t="b">
        <v>0</v>
      </c>
      <c r="O3845">
        <v>1</v>
      </c>
      <c r="P3845">
        <v>0</v>
      </c>
      <c r="Q3845">
        <v>0</v>
      </c>
      <c r="R3845">
        <v>0</v>
      </c>
    </row>
    <row r="3846" spans="1:18" x14ac:dyDescent="0.25">
      <c r="A3846" t="s">
        <v>7</v>
      </c>
      <c r="B3846" t="s">
        <v>6</v>
      </c>
      <c r="C3846">
        <v>3</v>
      </c>
      <c r="D3846">
        <v>6</v>
      </c>
      <c r="E3846">
        <v>2</v>
      </c>
      <c r="F3846" s="15">
        <v>46118</v>
      </c>
      <c r="G3846" t="s">
        <v>477</v>
      </c>
      <c r="H3846">
        <v>3</v>
      </c>
      <c r="I3846">
        <v>2026</v>
      </c>
      <c r="J3846">
        <v>4</v>
      </c>
      <c r="K3846" t="s">
        <v>87</v>
      </c>
      <c r="L3846" t="s">
        <v>52</v>
      </c>
      <c r="M3846" t="s">
        <v>6</v>
      </c>
      <c r="N3846" t="b">
        <v>0</v>
      </c>
      <c r="O3846">
        <v>0</v>
      </c>
      <c r="P3846">
        <v>1</v>
      </c>
      <c r="Q3846">
        <v>0</v>
      </c>
      <c r="R3846">
        <v>0</v>
      </c>
    </row>
    <row r="3847" spans="1:18" x14ac:dyDescent="0.25">
      <c r="A3847" t="s">
        <v>7</v>
      </c>
      <c r="B3847" t="s">
        <v>6</v>
      </c>
      <c r="C3847">
        <v>3</v>
      </c>
      <c r="D3847">
        <v>6</v>
      </c>
      <c r="E3847">
        <v>2</v>
      </c>
      <c r="F3847" s="15">
        <v>46118</v>
      </c>
      <c r="G3847" t="s">
        <v>477</v>
      </c>
      <c r="H3847">
        <v>3</v>
      </c>
      <c r="I3847">
        <v>2026</v>
      </c>
      <c r="J3847">
        <v>4</v>
      </c>
      <c r="K3847" t="s">
        <v>87</v>
      </c>
      <c r="L3847" t="s">
        <v>19</v>
      </c>
      <c r="M3847" t="s">
        <v>8</v>
      </c>
      <c r="N3847" t="b">
        <v>0</v>
      </c>
      <c r="O3847">
        <v>0</v>
      </c>
      <c r="P3847">
        <v>1</v>
      </c>
      <c r="Q3847">
        <v>0</v>
      </c>
      <c r="R3847">
        <v>1</v>
      </c>
    </row>
    <row r="3848" spans="1:18" x14ac:dyDescent="0.25">
      <c r="A3848" t="s">
        <v>17</v>
      </c>
      <c r="B3848" t="s">
        <v>6</v>
      </c>
      <c r="C3848">
        <v>1</v>
      </c>
      <c r="D3848">
        <v>1</v>
      </c>
      <c r="E3848">
        <v>1</v>
      </c>
      <c r="F3848" s="15">
        <v>46125</v>
      </c>
      <c r="G3848" t="s">
        <v>479</v>
      </c>
      <c r="H3848">
        <v>4</v>
      </c>
      <c r="I3848">
        <v>2026</v>
      </c>
      <c r="J3848">
        <v>4</v>
      </c>
      <c r="K3848" t="s">
        <v>87</v>
      </c>
      <c r="L3848" t="s">
        <v>363</v>
      </c>
      <c r="M3848" t="s">
        <v>6</v>
      </c>
      <c r="N3848" t="b">
        <v>0</v>
      </c>
      <c r="O3848">
        <v>0</v>
      </c>
      <c r="P3848">
        <v>1</v>
      </c>
      <c r="Q3848">
        <v>0</v>
      </c>
      <c r="R3848">
        <v>0</v>
      </c>
    </row>
    <row r="3849" spans="1:18" x14ac:dyDescent="0.25">
      <c r="A3849" t="s">
        <v>17</v>
      </c>
      <c r="B3849" t="s">
        <v>6</v>
      </c>
      <c r="C3849">
        <v>1</v>
      </c>
      <c r="D3849">
        <v>1</v>
      </c>
      <c r="E3849">
        <v>1</v>
      </c>
      <c r="F3849" s="15">
        <v>46125</v>
      </c>
      <c r="G3849" t="s">
        <v>479</v>
      </c>
      <c r="H3849">
        <v>4</v>
      </c>
      <c r="I3849">
        <v>2026</v>
      </c>
      <c r="J3849">
        <v>4</v>
      </c>
      <c r="K3849" t="s">
        <v>87</v>
      </c>
      <c r="L3849" t="s">
        <v>52</v>
      </c>
      <c r="M3849" t="s">
        <v>6</v>
      </c>
      <c r="N3849" t="b">
        <v>0</v>
      </c>
      <c r="O3849">
        <v>0</v>
      </c>
      <c r="P3849">
        <v>1</v>
      </c>
      <c r="Q3849">
        <v>0</v>
      </c>
      <c r="R3849">
        <v>0</v>
      </c>
    </row>
    <row r="3850" spans="1:18" x14ac:dyDescent="0.25">
      <c r="A3850" t="s">
        <v>17</v>
      </c>
      <c r="B3850" t="s">
        <v>6</v>
      </c>
      <c r="C3850">
        <v>1</v>
      </c>
      <c r="D3850">
        <v>1</v>
      </c>
      <c r="E3850">
        <v>1</v>
      </c>
      <c r="F3850" s="15">
        <v>46125</v>
      </c>
      <c r="G3850" t="s">
        <v>479</v>
      </c>
      <c r="H3850">
        <v>4</v>
      </c>
      <c r="I3850">
        <v>2026</v>
      </c>
      <c r="J3850">
        <v>4</v>
      </c>
      <c r="K3850" t="s">
        <v>87</v>
      </c>
      <c r="L3850" t="s">
        <v>352</v>
      </c>
      <c r="M3850" t="s">
        <v>8</v>
      </c>
      <c r="N3850" t="b">
        <v>0</v>
      </c>
      <c r="O3850">
        <v>0</v>
      </c>
      <c r="P3850">
        <v>1</v>
      </c>
      <c r="Q3850">
        <v>0</v>
      </c>
      <c r="R3850">
        <v>1</v>
      </c>
    </row>
    <row r="3851" spans="1:18" x14ac:dyDescent="0.25">
      <c r="A3851" t="s">
        <v>363</v>
      </c>
      <c r="B3851" t="s">
        <v>6</v>
      </c>
      <c r="C3851">
        <v>2</v>
      </c>
      <c r="D3851">
        <v>1</v>
      </c>
      <c r="E3851">
        <v>1</v>
      </c>
      <c r="F3851" s="15">
        <v>46125</v>
      </c>
      <c r="G3851" t="s">
        <v>479</v>
      </c>
      <c r="H3851">
        <v>4</v>
      </c>
      <c r="I3851">
        <v>2026</v>
      </c>
      <c r="J3851">
        <v>4</v>
      </c>
      <c r="K3851" t="s">
        <v>87</v>
      </c>
      <c r="L3851" t="s">
        <v>17</v>
      </c>
      <c r="M3851" t="s">
        <v>6</v>
      </c>
      <c r="N3851" t="b">
        <v>0</v>
      </c>
      <c r="O3851">
        <v>0</v>
      </c>
      <c r="P3851">
        <v>1</v>
      </c>
      <c r="Q3851">
        <v>0</v>
      </c>
      <c r="R3851">
        <v>0</v>
      </c>
    </row>
    <row r="3852" spans="1:18" x14ac:dyDescent="0.25">
      <c r="A3852" t="s">
        <v>363</v>
      </c>
      <c r="B3852" t="s">
        <v>6</v>
      </c>
      <c r="C3852">
        <v>2</v>
      </c>
      <c r="D3852">
        <v>1</v>
      </c>
      <c r="E3852">
        <v>1</v>
      </c>
      <c r="F3852" s="15">
        <v>46125</v>
      </c>
      <c r="G3852" t="s">
        <v>479</v>
      </c>
      <c r="H3852">
        <v>4</v>
      </c>
      <c r="I3852">
        <v>2026</v>
      </c>
      <c r="J3852">
        <v>4</v>
      </c>
      <c r="K3852" t="s">
        <v>87</v>
      </c>
      <c r="L3852" t="s">
        <v>52</v>
      </c>
      <c r="M3852" t="s">
        <v>6</v>
      </c>
      <c r="N3852" t="b">
        <v>0</v>
      </c>
      <c r="O3852">
        <v>0</v>
      </c>
      <c r="P3852">
        <v>1</v>
      </c>
      <c r="Q3852">
        <v>0</v>
      </c>
      <c r="R3852">
        <v>0</v>
      </c>
    </row>
    <row r="3853" spans="1:18" x14ac:dyDescent="0.25">
      <c r="A3853" t="s">
        <v>363</v>
      </c>
      <c r="B3853" t="s">
        <v>6</v>
      </c>
      <c r="C3853">
        <v>2</v>
      </c>
      <c r="D3853">
        <v>1</v>
      </c>
      <c r="E3853">
        <v>1</v>
      </c>
      <c r="F3853" s="15">
        <v>46125</v>
      </c>
      <c r="G3853" t="s">
        <v>479</v>
      </c>
      <c r="H3853">
        <v>4</v>
      </c>
      <c r="I3853">
        <v>2026</v>
      </c>
      <c r="J3853">
        <v>4</v>
      </c>
      <c r="K3853" t="s">
        <v>87</v>
      </c>
      <c r="L3853" t="s">
        <v>352</v>
      </c>
      <c r="M3853" t="s">
        <v>8</v>
      </c>
      <c r="N3853" t="b">
        <v>0</v>
      </c>
      <c r="O3853">
        <v>0</v>
      </c>
      <c r="P3853">
        <v>1</v>
      </c>
      <c r="Q3853">
        <v>0</v>
      </c>
      <c r="R3853">
        <v>1</v>
      </c>
    </row>
    <row r="3854" spans="1:18" x14ac:dyDescent="0.25">
      <c r="A3854" t="s">
        <v>52</v>
      </c>
      <c r="B3854" t="s">
        <v>6</v>
      </c>
      <c r="C3854">
        <v>3</v>
      </c>
      <c r="D3854">
        <v>1</v>
      </c>
      <c r="E3854">
        <v>1</v>
      </c>
      <c r="F3854" s="15">
        <v>46125</v>
      </c>
      <c r="G3854" t="s">
        <v>479</v>
      </c>
      <c r="H3854">
        <v>4</v>
      </c>
      <c r="I3854">
        <v>2026</v>
      </c>
      <c r="J3854">
        <v>4</v>
      </c>
      <c r="K3854" t="s">
        <v>87</v>
      </c>
      <c r="L3854" t="s">
        <v>17</v>
      </c>
      <c r="M3854" t="s">
        <v>6</v>
      </c>
      <c r="N3854" t="b">
        <v>0</v>
      </c>
      <c r="O3854">
        <v>0</v>
      </c>
      <c r="P3854">
        <v>1</v>
      </c>
      <c r="Q3854">
        <v>0</v>
      </c>
      <c r="R3854">
        <v>0</v>
      </c>
    </row>
    <row r="3855" spans="1:18" x14ac:dyDescent="0.25">
      <c r="A3855" t="s">
        <v>52</v>
      </c>
      <c r="B3855" t="s">
        <v>6</v>
      </c>
      <c r="C3855">
        <v>3</v>
      </c>
      <c r="D3855">
        <v>1</v>
      </c>
      <c r="E3855">
        <v>1</v>
      </c>
      <c r="F3855" s="15">
        <v>46125</v>
      </c>
      <c r="G3855" t="s">
        <v>479</v>
      </c>
      <c r="H3855">
        <v>4</v>
      </c>
      <c r="I3855">
        <v>2026</v>
      </c>
      <c r="J3855">
        <v>4</v>
      </c>
      <c r="K3855" t="s">
        <v>87</v>
      </c>
      <c r="L3855" t="s">
        <v>363</v>
      </c>
      <c r="M3855" t="s">
        <v>6</v>
      </c>
      <c r="N3855" t="b">
        <v>0</v>
      </c>
      <c r="O3855">
        <v>0</v>
      </c>
      <c r="P3855">
        <v>1</v>
      </c>
      <c r="Q3855">
        <v>0</v>
      </c>
      <c r="R3855">
        <v>0</v>
      </c>
    </row>
    <row r="3856" spans="1:18" x14ac:dyDescent="0.25">
      <c r="A3856" t="s">
        <v>52</v>
      </c>
      <c r="B3856" t="s">
        <v>6</v>
      </c>
      <c r="C3856">
        <v>3</v>
      </c>
      <c r="D3856">
        <v>1</v>
      </c>
      <c r="E3856">
        <v>1</v>
      </c>
      <c r="F3856" s="15">
        <v>46125</v>
      </c>
      <c r="G3856" t="s">
        <v>479</v>
      </c>
      <c r="H3856">
        <v>4</v>
      </c>
      <c r="I3856">
        <v>2026</v>
      </c>
      <c r="J3856">
        <v>4</v>
      </c>
      <c r="K3856" t="s">
        <v>87</v>
      </c>
      <c r="L3856" t="s">
        <v>352</v>
      </c>
      <c r="M3856" t="s">
        <v>8</v>
      </c>
      <c r="N3856" t="b">
        <v>0</v>
      </c>
      <c r="O3856">
        <v>0</v>
      </c>
      <c r="P3856">
        <v>1</v>
      </c>
      <c r="Q3856">
        <v>0</v>
      </c>
      <c r="R3856">
        <v>1</v>
      </c>
    </row>
    <row r="3857" spans="1:18" x14ac:dyDescent="0.25">
      <c r="A3857" t="s">
        <v>352</v>
      </c>
      <c r="B3857" t="s">
        <v>8</v>
      </c>
      <c r="C3857">
        <v>4</v>
      </c>
      <c r="D3857">
        <v>1</v>
      </c>
      <c r="E3857">
        <v>1</v>
      </c>
      <c r="F3857" s="15">
        <v>46125</v>
      </c>
      <c r="G3857" t="s">
        <v>479</v>
      </c>
      <c r="H3857">
        <v>4</v>
      </c>
      <c r="I3857">
        <v>2026</v>
      </c>
      <c r="J3857">
        <v>4</v>
      </c>
      <c r="K3857" t="s">
        <v>87</v>
      </c>
      <c r="L3857" t="s">
        <v>17</v>
      </c>
      <c r="M3857" t="s">
        <v>6</v>
      </c>
      <c r="N3857" t="b">
        <v>0</v>
      </c>
      <c r="O3857">
        <v>1</v>
      </c>
      <c r="P3857">
        <v>0</v>
      </c>
      <c r="Q3857">
        <v>0</v>
      </c>
      <c r="R3857">
        <v>0</v>
      </c>
    </row>
    <row r="3858" spans="1:18" x14ac:dyDescent="0.25">
      <c r="A3858" t="s">
        <v>352</v>
      </c>
      <c r="B3858" t="s">
        <v>8</v>
      </c>
      <c r="C3858">
        <v>4</v>
      </c>
      <c r="D3858">
        <v>1</v>
      </c>
      <c r="E3858">
        <v>1</v>
      </c>
      <c r="F3858" s="15">
        <v>46125</v>
      </c>
      <c r="G3858" t="s">
        <v>479</v>
      </c>
      <c r="H3858">
        <v>4</v>
      </c>
      <c r="I3858">
        <v>2026</v>
      </c>
      <c r="J3858">
        <v>4</v>
      </c>
      <c r="K3858" t="s">
        <v>87</v>
      </c>
      <c r="L3858" t="s">
        <v>363</v>
      </c>
      <c r="M3858" t="s">
        <v>6</v>
      </c>
      <c r="N3858" t="b">
        <v>0</v>
      </c>
      <c r="O3858">
        <v>1</v>
      </c>
      <c r="P3858">
        <v>0</v>
      </c>
      <c r="Q3858">
        <v>0</v>
      </c>
      <c r="R3858">
        <v>0</v>
      </c>
    </row>
    <row r="3859" spans="1:18" x14ac:dyDescent="0.25">
      <c r="A3859" t="s">
        <v>352</v>
      </c>
      <c r="B3859" t="s">
        <v>8</v>
      </c>
      <c r="C3859">
        <v>4</v>
      </c>
      <c r="D3859">
        <v>1</v>
      </c>
      <c r="E3859">
        <v>1</v>
      </c>
      <c r="F3859" s="15">
        <v>46125</v>
      </c>
      <c r="G3859" t="s">
        <v>479</v>
      </c>
      <c r="H3859">
        <v>4</v>
      </c>
      <c r="I3859">
        <v>2026</v>
      </c>
      <c r="J3859">
        <v>4</v>
      </c>
      <c r="K3859" t="s">
        <v>87</v>
      </c>
      <c r="L3859" t="s">
        <v>52</v>
      </c>
      <c r="M3859" t="s">
        <v>6</v>
      </c>
      <c r="N3859" t="b">
        <v>0</v>
      </c>
      <c r="O3859">
        <v>1</v>
      </c>
      <c r="P3859">
        <v>0</v>
      </c>
      <c r="Q3859">
        <v>0</v>
      </c>
      <c r="R3859">
        <v>0</v>
      </c>
    </row>
    <row r="3860" spans="1:18" x14ac:dyDescent="0.25">
      <c r="A3860" t="s">
        <v>7</v>
      </c>
      <c r="B3860" t="s">
        <v>63</v>
      </c>
      <c r="C3860">
        <v>1</v>
      </c>
      <c r="D3860">
        <v>2</v>
      </c>
      <c r="E3860">
        <v>1</v>
      </c>
      <c r="F3860" s="15">
        <v>46125</v>
      </c>
      <c r="G3860" t="s">
        <v>480</v>
      </c>
      <c r="H3860">
        <v>4</v>
      </c>
      <c r="I3860">
        <v>2026</v>
      </c>
      <c r="J3860">
        <v>4</v>
      </c>
      <c r="K3860" t="s">
        <v>87</v>
      </c>
      <c r="L3860" t="s">
        <v>478</v>
      </c>
      <c r="M3860" t="s">
        <v>63</v>
      </c>
      <c r="N3860" t="b">
        <v>0</v>
      </c>
      <c r="O3860">
        <v>0</v>
      </c>
      <c r="P3860">
        <v>0</v>
      </c>
      <c r="Q3860">
        <v>1</v>
      </c>
      <c r="R3860">
        <v>0</v>
      </c>
    </row>
    <row r="3861" spans="1:18" x14ac:dyDescent="0.25">
      <c r="A3861" t="s">
        <v>7</v>
      </c>
      <c r="B3861" t="s">
        <v>63</v>
      </c>
      <c r="C3861">
        <v>1</v>
      </c>
      <c r="D3861">
        <v>2</v>
      </c>
      <c r="E3861">
        <v>1</v>
      </c>
      <c r="F3861" s="15">
        <v>46125</v>
      </c>
      <c r="G3861" t="s">
        <v>480</v>
      </c>
      <c r="H3861">
        <v>4</v>
      </c>
      <c r="I3861">
        <v>2026</v>
      </c>
      <c r="J3861">
        <v>4</v>
      </c>
      <c r="K3861" t="s">
        <v>87</v>
      </c>
      <c r="L3861" t="s">
        <v>20</v>
      </c>
      <c r="M3861" t="s">
        <v>63</v>
      </c>
      <c r="N3861" t="b">
        <v>0</v>
      </c>
      <c r="O3861">
        <v>0</v>
      </c>
      <c r="P3861">
        <v>0</v>
      </c>
      <c r="Q3861">
        <v>1</v>
      </c>
      <c r="R3861">
        <v>0</v>
      </c>
    </row>
    <row r="3862" spans="1:18" x14ac:dyDescent="0.25">
      <c r="A3862" t="s">
        <v>7</v>
      </c>
      <c r="B3862" t="s">
        <v>63</v>
      </c>
      <c r="C3862">
        <v>1</v>
      </c>
      <c r="D3862">
        <v>2</v>
      </c>
      <c r="E3862">
        <v>1</v>
      </c>
      <c r="F3862" s="15">
        <v>46125</v>
      </c>
      <c r="G3862" t="s">
        <v>480</v>
      </c>
      <c r="H3862">
        <v>4</v>
      </c>
      <c r="I3862">
        <v>2026</v>
      </c>
      <c r="J3862">
        <v>4</v>
      </c>
      <c r="K3862" t="s">
        <v>87</v>
      </c>
      <c r="L3862" t="s">
        <v>51</v>
      </c>
      <c r="M3862" t="s">
        <v>63</v>
      </c>
      <c r="N3862" t="b">
        <v>0</v>
      </c>
      <c r="O3862">
        <v>0</v>
      </c>
      <c r="P3862">
        <v>0</v>
      </c>
      <c r="Q3862">
        <v>1</v>
      </c>
      <c r="R3862">
        <v>0</v>
      </c>
    </row>
    <row r="3863" spans="1:18" x14ac:dyDescent="0.25">
      <c r="A3863" t="s">
        <v>478</v>
      </c>
      <c r="B3863" t="s">
        <v>63</v>
      </c>
      <c r="C3863">
        <v>2</v>
      </c>
      <c r="D3863">
        <v>2</v>
      </c>
      <c r="E3863">
        <v>1</v>
      </c>
      <c r="F3863" s="15">
        <v>46125</v>
      </c>
      <c r="G3863" t="s">
        <v>480</v>
      </c>
      <c r="H3863">
        <v>4</v>
      </c>
      <c r="I3863">
        <v>2026</v>
      </c>
      <c r="J3863">
        <v>4</v>
      </c>
      <c r="K3863" t="s">
        <v>87</v>
      </c>
      <c r="L3863" t="s">
        <v>7</v>
      </c>
      <c r="M3863" t="s">
        <v>63</v>
      </c>
      <c r="N3863" t="b">
        <v>0</v>
      </c>
      <c r="O3863">
        <v>0</v>
      </c>
      <c r="P3863">
        <v>0</v>
      </c>
      <c r="Q3863">
        <v>1</v>
      </c>
      <c r="R3863">
        <v>0</v>
      </c>
    </row>
    <row r="3864" spans="1:18" x14ac:dyDescent="0.25">
      <c r="A3864" t="s">
        <v>478</v>
      </c>
      <c r="B3864" t="s">
        <v>63</v>
      </c>
      <c r="C3864">
        <v>2</v>
      </c>
      <c r="D3864">
        <v>2</v>
      </c>
      <c r="E3864">
        <v>1</v>
      </c>
      <c r="F3864" s="15">
        <v>46125</v>
      </c>
      <c r="G3864" t="s">
        <v>480</v>
      </c>
      <c r="H3864">
        <v>4</v>
      </c>
      <c r="I3864">
        <v>2026</v>
      </c>
      <c r="J3864">
        <v>4</v>
      </c>
      <c r="K3864" t="s">
        <v>87</v>
      </c>
      <c r="L3864" t="s">
        <v>20</v>
      </c>
      <c r="M3864" t="s">
        <v>63</v>
      </c>
      <c r="N3864" t="b">
        <v>0</v>
      </c>
      <c r="O3864">
        <v>0</v>
      </c>
      <c r="P3864">
        <v>0</v>
      </c>
      <c r="Q3864">
        <v>1</v>
      </c>
      <c r="R3864">
        <v>0</v>
      </c>
    </row>
    <row r="3865" spans="1:18" x14ac:dyDescent="0.25">
      <c r="A3865" t="s">
        <v>478</v>
      </c>
      <c r="B3865" t="s">
        <v>63</v>
      </c>
      <c r="C3865">
        <v>2</v>
      </c>
      <c r="D3865">
        <v>2</v>
      </c>
      <c r="E3865">
        <v>1</v>
      </c>
      <c r="F3865" s="15">
        <v>46125</v>
      </c>
      <c r="G3865" t="s">
        <v>480</v>
      </c>
      <c r="H3865">
        <v>4</v>
      </c>
      <c r="I3865">
        <v>2026</v>
      </c>
      <c r="J3865">
        <v>4</v>
      </c>
      <c r="K3865" t="s">
        <v>87</v>
      </c>
      <c r="L3865" t="s">
        <v>51</v>
      </c>
      <c r="M3865" t="s">
        <v>63</v>
      </c>
      <c r="N3865" t="b">
        <v>0</v>
      </c>
      <c r="O3865">
        <v>0</v>
      </c>
      <c r="P3865">
        <v>0</v>
      </c>
      <c r="Q3865">
        <v>1</v>
      </c>
      <c r="R3865">
        <v>0</v>
      </c>
    </row>
    <row r="3866" spans="1:18" x14ac:dyDescent="0.25">
      <c r="A3866" t="s">
        <v>20</v>
      </c>
      <c r="B3866" t="s">
        <v>63</v>
      </c>
      <c r="C3866">
        <v>3</v>
      </c>
      <c r="D3866">
        <v>2</v>
      </c>
      <c r="E3866">
        <v>1</v>
      </c>
      <c r="F3866" s="15">
        <v>46125</v>
      </c>
      <c r="G3866" t="s">
        <v>480</v>
      </c>
      <c r="H3866">
        <v>4</v>
      </c>
      <c r="I3866">
        <v>2026</v>
      </c>
      <c r="J3866">
        <v>4</v>
      </c>
      <c r="K3866" t="s">
        <v>87</v>
      </c>
      <c r="L3866" t="s">
        <v>7</v>
      </c>
      <c r="M3866" t="s">
        <v>63</v>
      </c>
      <c r="N3866" t="b">
        <v>0</v>
      </c>
      <c r="O3866">
        <v>0</v>
      </c>
      <c r="P3866">
        <v>0</v>
      </c>
      <c r="Q3866">
        <v>1</v>
      </c>
      <c r="R3866">
        <v>0</v>
      </c>
    </row>
    <row r="3867" spans="1:18" x14ac:dyDescent="0.25">
      <c r="A3867" t="s">
        <v>20</v>
      </c>
      <c r="B3867" t="s">
        <v>63</v>
      </c>
      <c r="C3867">
        <v>3</v>
      </c>
      <c r="D3867">
        <v>2</v>
      </c>
      <c r="E3867">
        <v>1</v>
      </c>
      <c r="F3867" s="15">
        <v>46125</v>
      </c>
      <c r="G3867" t="s">
        <v>480</v>
      </c>
      <c r="H3867">
        <v>4</v>
      </c>
      <c r="I3867">
        <v>2026</v>
      </c>
      <c r="J3867">
        <v>4</v>
      </c>
      <c r="K3867" t="s">
        <v>87</v>
      </c>
      <c r="L3867" t="s">
        <v>478</v>
      </c>
      <c r="M3867" t="s">
        <v>63</v>
      </c>
      <c r="N3867" t="b">
        <v>0</v>
      </c>
      <c r="O3867">
        <v>0</v>
      </c>
      <c r="P3867">
        <v>0</v>
      </c>
      <c r="Q3867">
        <v>1</v>
      </c>
      <c r="R3867">
        <v>0</v>
      </c>
    </row>
    <row r="3868" spans="1:18" x14ac:dyDescent="0.25">
      <c r="A3868" t="s">
        <v>20</v>
      </c>
      <c r="B3868" t="s">
        <v>63</v>
      </c>
      <c r="C3868">
        <v>3</v>
      </c>
      <c r="D3868">
        <v>2</v>
      </c>
      <c r="E3868">
        <v>1</v>
      </c>
      <c r="F3868" s="15">
        <v>46125</v>
      </c>
      <c r="G3868" t="s">
        <v>480</v>
      </c>
      <c r="H3868">
        <v>4</v>
      </c>
      <c r="I3868">
        <v>2026</v>
      </c>
      <c r="J3868">
        <v>4</v>
      </c>
      <c r="K3868" t="s">
        <v>87</v>
      </c>
      <c r="L3868" t="s">
        <v>51</v>
      </c>
      <c r="M3868" t="s">
        <v>63</v>
      </c>
      <c r="N3868" t="b">
        <v>0</v>
      </c>
      <c r="O3868">
        <v>0</v>
      </c>
      <c r="P3868">
        <v>0</v>
      </c>
      <c r="Q3868">
        <v>1</v>
      </c>
      <c r="R3868">
        <v>0</v>
      </c>
    </row>
    <row r="3869" spans="1:18" x14ac:dyDescent="0.25">
      <c r="A3869" t="s">
        <v>51</v>
      </c>
      <c r="B3869" t="s">
        <v>63</v>
      </c>
      <c r="C3869">
        <v>4</v>
      </c>
      <c r="D3869">
        <v>2</v>
      </c>
      <c r="E3869">
        <v>1</v>
      </c>
      <c r="F3869" s="15">
        <v>46125</v>
      </c>
      <c r="G3869" t="s">
        <v>480</v>
      </c>
      <c r="H3869">
        <v>4</v>
      </c>
      <c r="I3869">
        <v>2026</v>
      </c>
      <c r="J3869">
        <v>4</v>
      </c>
      <c r="K3869" t="s">
        <v>87</v>
      </c>
      <c r="L3869" t="s">
        <v>7</v>
      </c>
      <c r="M3869" t="s">
        <v>63</v>
      </c>
      <c r="N3869" t="b">
        <v>0</v>
      </c>
      <c r="O3869">
        <v>0</v>
      </c>
      <c r="P3869">
        <v>0</v>
      </c>
      <c r="Q3869">
        <v>1</v>
      </c>
      <c r="R3869">
        <v>0</v>
      </c>
    </row>
    <row r="3870" spans="1:18" x14ac:dyDescent="0.25">
      <c r="A3870" t="s">
        <v>51</v>
      </c>
      <c r="B3870" t="s">
        <v>63</v>
      </c>
      <c r="C3870">
        <v>4</v>
      </c>
      <c r="D3870">
        <v>2</v>
      </c>
      <c r="E3870">
        <v>1</v>
      </c>
      <c r="F3870" s="15">
        <v>46125</v>
      </c>
      <c r="G3870" t="s">
        <v>480</v>
      </c>
      <c r="H3870">
        <v>4</v>
      </c>
      <c r="I3870">
        <v>2026</v>
      </c>
      <c r="J3870">
        <v>4</v>
      </c>
      <c r="K3870" t="s">
        <v>87</v>
      </c>
      <c r="L3870" t="s">
        <v>478</v>
      </c>
      <c r="M3870" t="s">
        <v>63</v>
      </c>
      <c r="N3870" t="b">
        <v>0</v>
      </c>
      <c r="O3870">
        <v>0</v>
      </c>
      <c r="P3870">
        <v>0</v>
      </c>
      <c r="Q3870">
        <v>1</v>
      </c>
      <c r="R3870">
        <v>0</v>
      </c>
    </row>
    <row r="3871" spans="1:18" x14ac:dyDescent="0.25">
      <c r="A3871" t="s">
        <v>51</v>
      </c>
      <c r="B3871" t="s">
        <v>63</v>
      </c>
      <c r="C3871">
        <v>4</v>
      </c>
      <c r="D3871">
        <v>2</v>
      </c>
      <c r="E3871">
        <v>1</v>
      </c>
      <c r="F3871" s="15">
        <v>46125</v>
      </c>
      <c r="G3871" t="s">
        <v>480</v>
      </c>
      <c r="H3871">
        <v>4</v>
      </c>
      <c r="I3871">
        <v>2026</v>
      </c>
      <c r="J3871">
        <v>4</v>
      </c>
      <c r="K3871" t="s">
        <v>87</v>
      </c>
      <c r="L3871" t="s">
        <v>20</v>
      </c>
      <c r="M3871" t="s">
        <v>63</v>
      </c>
      <c r="N3871" t="b">
        <v>0</v>
      </c>
      <c r="O3871">
        <v>0</v>
      </c>
      <c r="P3871">
        <v>0</v>
      </c>
      <c r="Q3871">
        <v>1</v>
      </c>
      <c r="R3871">
        <v>0</v>
      </c>
    </row>
    <row r="3872" spans="1:18" x14ac:dyDescent="0.25">
      <c r="A3872" t="s">
        <v>405</v>
      </c>
      <c r="B3872" t="s">
        <v>8</v>
      </c>
      <c r="C3872">
        <v>1</v>
      </c>
      <c r="D3872">
        <v>3</v>
      </c>
      <c r="E3872">
        <v>1</v>
      </c>
      <c r="F3872" s="15">
        <v>46125</v>
      </c>
      <c r="G3872" t="s">
        <v>481</v>
      </c>
      <c r="H3872">
        <v>3</v>
      </c>
      <c r="I3872">
        <v>2026</v>
      </c>
      <c r="J3872">
        <v>4</v>
      </c>
      <c r="K3872" t="s">
        <v>87</v>
      </c>
      <c r="L3872" t="s">
        <v>14</v>
      </c>
      <c r="M3872" t="s">
        <v>6</v>
      </c>
      <c r="N3872" t="b">
        <v>0</v>
      </c>
      <c r="O3872">
        <v>1</v>
      </c>
      <c r="P3872">
        <v>0</v>
      </c>
      <c r="Q3872">
        <v>0</v>
      </c>
      <c r="R3872">
        <v>0</v>
      </c>
    </row>
    <row r="3873" spans="1:18" x14ac:dyDescent="0.25">
      <c r="A3873" t="s">
        <v>405</v>
      </c>
      <c r="B3873" t="s">
        <v>8</v>
      </c>
      <c r="C3873">
        <v>1</v>
      </c>
      <c r="D3873">
        <v>3</v>
      </c>
      <c r="E3873">
        <v>1</v>
      </c>
      <c r="F3873" s="15">
        <v>46125</v>
      </c>
      <c r="G3873" t="s">
        <v>481</v>
      </c>
      <c r="H3873">
        <v>3</v>
      </c>
      <c r="I3873">
        <v>2026</v>
      </c>
      <c r="J3873">
        <v>4</v>
      </c>
      <c r="K3873" t="s">
        <v>87</v>
      </c>
      <c r="L3873" t="s">
        <v>436</v>
      </c>
      <c r="M3873" t="s">
        <v>6</v>
      </c>
      <c r="N3873" t="b">
        <v>0</v>
      </c>
      <c r="O3873">
        <v>1</v>
      </c>
      <c r="P3873">
        <v>0</v>
      </c>
      <c r="Q3873">
        <v>0</v>
      </c>
      <c r="R3873">
        <v>0</v>
      </c>
    </row>
    <row r="3874" spans="1:18" x14ac:dyDescent="0.25">
      <c r="A3874" t="s">
        <v>14</v>
      </c>
      <c r="B3874" t="s">
        <v>6</v>
      </c>
      <c r="C3874">
        <v>2</v>
      </c>
      <c r="D3874">
        <v>3</v>
      </c>
      <c r="E3874">
        <v>1</v>
      </c>
      <c r="F3874" s="15">
        <v>46125</v>
      </c>
      <c r="G3874" t="s">
        <v>481</v>
      </c>
      <c r="H3874">
        <v>3</v>
      </c>
      <c r="I3874">
        <v>2026</v>
      </c>
      <c r="J3874">
        <v>4</v>
      </c>
      <c r="K3874" t="s">
        <v>87</v>
      </c>
      <c r="L3874" t="s">
        <v>405</v>
      </c>
      <c r="M3874" t="s">
        <v>8</v>
      </c>
      <c r="N3874" t="b">
        <v>0</v>
      </c>
      <c r="O3874">
        <v>0</v>
      </c>
      <c r="P3874">
        <v>1</v>
      </c>
      <c r="Q3874">
        <v>0</v>
      </c>
      <c r="R3874">
        <v>1</v>
      </c>
    </row>
    <row r="3875" spans="1:18" x14ac:dyDescent="0.25">
      <c r="A3875" t="s">
        <v>14</v>
      </c>
      <c r="B3875" t="s">
        <v>6</v>
      </c>
      <c r="C3875">
        <v>2</v>
      </c>
      <c r="D3875">
        <v>3</v>
      </c>
      <c r="E3875">
        <v>1</v>
      </c>
      <c r="F3875" s="15">
        <v>46125</v>
      </c>
      <c r="G3875" t="s">
        <v>481</v>
      </c>
      <c r="H3875">
        <v>3</v>
      </c>
      <c r="I3875">
        <v>2026</v>
      </c>
      <c r="J3875">
        <v>4</v>
      </c>
      <c r="K3875" t="s">
        <v>87</v>
      </c>
      <c r="L3875" t="s">
        <v>436</v>
      </c>
      <c r="M3875" t="s">
        <v>6</v>
      </c>
      <c r="N3875" t="b">
        <v>0</v>
      </c>
      <c r="O3875">
        <v>0</v>
      </c>
      <c r="P3875">
        <v>1</v>
      </c>
      <c r="Q3875">
        <v>0</v>
      </c>
      <c r="R3875">
        <v>0</v>
      </c>
    </row>
    <row r="3876" spans="1:18" x14ac:dyDescent="0.25">
      <c r="A3876" t="s">
        <v>436</v>
      </c>
      <c r="B3876" t="s">
        <v>6</v>
      </c>
      <c r="C3876">
        <v>3</v>
      </c>
      <c r="D3876">
        <v>3</v>
      </c>
      <c r="E3876">
        <v>1</v>
      </c>
      <c r="F3876" s="15">
        <v>46125</v>
      </c>
      <c r="G3876" t="s">
        <v>481</v>
      </c>
      <c r="H3876">
        <v>3</v>
      </c>
      <c r="I3876">
        <v>2026</v>
      </c>
      <c r="J3876">
        <v>4</v>
      </c>
      <c r="K3876" t="s">
        <v>87</v>
      </c>
      <c r="L3876" t="s">
        <v>405</v>
      </c>
      <c r="M3876" t="s">
        <v>8</v>
      </c>
      <c r="N3876" t="b">
        <v>0</v>
      </c>
      <c r="O3876">
        <v>0</v>
      </c>
      <c r="P3876">
        <v>1</v>
      </c>
      <c r="Q3876">
        <v>0</v>
      </c>
      <c r="R3876">
        <v>1</v>
      </c>
    </row>
    <row r="3877" spans="1:18" x14ac:dyDescent="0.25">
      <c r="A3877" t="s">
        <v>436</v>
      </c>
      <c r="B3877" t="s">
        <v>6</v>
      </c>
      <c r="C3877">
        <v>3</v>
      </c>
      <c r="D3877">
        <v>3</v>
      </c>
      <c r="E3877">
        <v>1</v>
      </c>
      <c r="F3877" s="15">
        <v>46125</v>
      </c>
      <c r="G3877" t="s">
        <v>481</v>
      </c>
      <c r="H3877">
        <v>3</v>
      </c>
      <c r="I3877">
        <v>2026</v>
      </c>
      <c r="J3877">
        <v>4</v>
      </c>
      <c r="K3877" t="s">
        <v>87</v>
      </c>
      <c r="L3877" t="s">
        <v>14</v>
      </c>
      <c r="M3877" t="s">
        <v>6</v>
      </c>
      <c r="N3877" t="b">
        <v>0</v>
      </c>
      <c r="O3877">
        <v>0</v>
      </c>
      <c r="P3877">
        <v>1</v>
      </c>
      <c r="Q3877">
        <v>0</v>
      </c>
      <c r="R3877">
        <v>0</v>
      </c>
    </row>
    <row r="3878" spans="1:18" x14ac:dyDescent="0.25">
      <c r="A3878" t="s">
        <v>326</v>
      </c>
      <c r="B3878" t="s">
        <v>6</v>
      </c>
      <c r="C3878">
        <v>1</v>
      </c>
      <c r="D3878">
        <v>4</v>
      </c>
      <c r="E3878">
        <v>1</v>
      </c>
      <c r="F3878" s="15">
        <v>46125</v>
      </c>
      <c r="G3878" t="s">
        <v>482</v>
      </c>
      <c r="H3878">
        <v>3</v>
      </c>
      <c r="I3878">
        <v>2026</v>
      </c>
      <c r="J3878">
        <v>4</v>
      </c>
      <c r="K3878" t="s">
        <v>87</v>
      </c>
      <c r="L3878" t="s">
        <v>465</v>
      </c>
      <c r="M3878" t="s">
        <v>8</v>
      </c>
      <c r="N3878" t="b">
        <v>0</v>
      </c>
      <c r="O3878">
        <v>0</v>
      </c>
      <c r="P3878">
        <v>1</v>
      </c>
      <c r="Q3878">
        <v>0</v>
      </c>
      <c r="R3878">
        <v>1</v>
      </c>
    </row>
    <row r="3879" spans="1:18" x14ac:dyDescent="0.25">
      <c r="A3879" t="s">
        <v>326</v>
      </c>
      <c r="B3879" t="s">
        <v>6</v>
      </c>
      <c r="C3879">
        <v>1</v>
      </c>
      <c r="D3879">
        <v>4</v>
      </c>
      <c r="E3879">
        <v>1</v>
      </c>
      <c r="F3879" s="15">
        <v>46125</v>
      </c>
      <c r="G3879" t="s">
        <v>482</v>
      </c>
      <c r="H3879">
        <v>3</v>
      </c>
      <c r="I3879">
        <v>2026</v>
      </c>
      <c r="J3879">
        <v>4</v>
      </c>
      <c r="K3879" t="s">
        <v>87</v>
      </c>
      <c r="L3879" t="s">
        <v>19</v>
      </c>
      <c r="M3879" t="s">
        <v>6</v>
      </c>
      <c r="N3879" t="b">
        <v>0</v>
      </c>
      <c r="O3879">
        <v>0</v>
      </c>
      <c r="P3879">
        <v>1</v>
      </c>
      <c r="Q3879">
        <v>0</v>
      </c>
      <c r="R3879">
        <v>0</v>
      </c>
    </row>
    <row r="3880" spans="1:18" x14ac:dyDescent="0.25">
      <c r="A3880" t="s">
        <v>465</v>
      </c>
      <c r="B3880" t="s">
        <v>8</v>
      </c>
      <c r="C3880">
        <v>2</v>
      </c>
      <c r="D3880">
        <v>4</v>
      </c>
      <c r="E3880">
        <v>1</v>
      </c>
      <c r="F3880" s="15">
        <v>46125</v>
      </c>
      <c r="G3880" t="s">
        <v>482</v>
      </c>
      <c r="H3880">
        <v>3</v>
      </c>
      <c r="I3880">
        <v>2026</v>
      </c>
      <c r="J3880">
        <v>4</v>
      </c>
      <c r="K3880" t="s">
        <v>87</v>
      </c>
      <c r="L3880" t="s">
        <v>326</v>
      </c>
      <c r="M3880" t="s">
        <v>6</v>
      </c>
      <c r="N3880" t="b">
        <v>0</v>
      </c>
      <c r="O3880">
        <v>1</v>
      </c>
      <c r="P3880">
        <v>0</v>
      </c>
      <c r="Q3880">
        <v>0</v>
      </c>
      <c r="R3880">
        <v>0</v>
      </c>
    </row>
    <row r="3881" spans="1:18" x14ac:dyDescent="0.25">
      <c r="A3881" t="s">
        <v>465</v>
      </c>
      <c r="B3881" t="s">
        <v>8</v>
      </c>
      <c r="C3881">
        <v>2</v>
      </c>
      <c r="D3881">
        <v>4</v>
      </c>
      <c r="E3881">
        <v>1</v>
      </c>
      <c r="F3881" s="15">
        <v>46125</v>
      </c>
      <c r="G3881" t="s">
        <v>482</v>
      </c>
      <c r="H3881">
        <v>3</v>
      </c>
      <c r="I3881">
        <v>2026</v>
      </c>
      <c r="J3881">
        <v>4</v>
      </c>
      <c r="K3881" t="s">
        <v>87</v>
      </c>
      <c r="L3881" t="s">
        <v>19</v>
      </c>
      <c r="M3881" t="s">
        <v>6</v>
      </c>
      <c r="N3881" t="b">
        <v>0</v>
      </c>
      <c r="O3881">
        <v>1</v>
      </c>
      <c r="P3881">
        <v>0</v>
      </c>
      <c r="Q3881">
        <v>0</v>
      </c>
      <c r="R3881">
        <v>0</v>
      </c>
    </row>
    <row r="3882" spans="1:18" x14ac:dyDescent="0.25">
      <c r="A3882" t="s">
        <v>19</v>
      </c>
      <c r="B3882" t="s">
        <v>6</v>
      </c>
      <c r="C3882">
        <v>3</v>
      </c>
      <c r="D3882">
        <v>4</v>
      </c>
      <c r="E3882">
        <v>1</v>
      </c>
      <c r="F3882" s="15">
        <v>46125</v>
      </c>
      <c r="G3882" t="s">
        <v>482</v>
      </c>
      <c r="H3882">
        <v>3</v>
      </c>
      <c r="I3882">
        <v>2026</v>
      </c>
      <c r="J3882">
        <v>4</v>
      </c>
      <c r="K3882" t="s">
        <v>87</v>
      </c>
      <c r="L3882" t="s">
        <v>326</v>
      </c>
      <c r="M3882" t="s">
        <v>6</v>
      </c>
      <c r="N3882" t="b">
        <v>0</v>
      </c>
      <c r="O3882">
        <v>0</v>
      </c>
      <c r="P3882">
        <v>1</v>
      </c>
      <c r="Q3882">
        <v>0</v>
      </c>
      <c r="R3882">
        <v>0</v>
      </c>
    </row>
    <row r="3883" spans="1:18" x14ac:dyDescent="0.25">
      <c r="A3883" t="s">
        <v>19</v>
      </c>
      <c r="B3883" t="s">
        <v>6</v>
      </c>
      <c r="C3883">
        <v>3</v>
      </c>
      <c r="D3883">
        <v>4</v>
      </c>
      <c r="E3883">
        <v>1</v>
      </c>
      <c r="F3883" s="15">
        <v>46125</v>
      </c>
      <c r="G3883" t="s">
        <v>482</v>
      </c>
      <c r="H3883">
        <v>3</v>
      </c>
      <c r="I3883">
        <v>2026</v>
      </c>
      <c r="J3883">
        <v>4</v>
      </c>
      <c r="K3883" t="s">
        <v>87</v>
      </c>
      <c r="L3883" t="s">
        <v>465</v>
      </c>
      <c r="M3883" t="s">
        <v>8</v>
      </c>
      <c r="N3883" t="b">
        <v>0</v>
      </c>
      <c r="O3883">
        <v>0</v>
      </c>
      <c r="P3883">
        <v>1</v>
      </c>
      <c r="Q3883">
        <v>0</v>
      </c>
      <c r="R3883">
        <v>1</v>
      </c>
    </row>
    <row r="3884" spans="1:18" x14ac:dyDescent="0.25">
      <c r="A3884" t="s">
        <v>27</v>
      </c>
      <c r="B3884" t="s">
        <v>6</v>
      </c>
      <c r="C3884">
        <v>1</v>
      </c>
      <c r="D3884">
        <v>5</v>
      </c>
      <c r="E3884">
        <v>1</v>
      </c>
      <c r="F3884" s="15">
        <v>46125</v>
      </c>
      <c r="G3884" t="s">
        <v>483</v>
      </c>
      <c r="H3884">
        <v>3</v>
      </c>
      <c r="I3884">
        <v>2026</v>
      </c>
      <c r="J3884">
        <v>4</v>
      </c>
      <c r="K3884" t="s">
        <v>87</v>
      </c>
      <c r="L3884" t="s">
        <v>10</v>
      </c>
      <c r="M3884" t="s">
        <v>8</v>
      </c>
      <c r="N3884" t="b">
        <v>0</v>
      </c>
      <c r="O3884">
        <v>0</v>
      </c>
      <c r="P3884">
        <v>1</v>
      </c>
      <c r="Q3884">
        <v>0</v>
      </c>
      <c r="R3884">
        <v>1</v>
      </c>
    </row>
    <row r="3885" spans="1:18" x14ac:dyDescent="0.25">
      <c r="A3885" t="s">
        <v>27</v>
      </c>
      <c r="B3885" t="s">
        <v>6</v>
      </c>
      <c r="C3885">
        <v>1</v>
      </c>
      <c r="D3885">
        <v>5</v>
      </c>
      <c r="E3885">
        <v>1</v>
      </c>
      <c r="F3885" s="15">
        <v>46125</v>
      </c>
      <c r="G3885" t="s">
        <v>483</v>
      </c>
      <c r="H3885">
        <v>3</v>
      </c>
      <c r="I3885">
        <v>2026</v>
      </c>
      <c r="J3885">
        <v>4</v>
      </c>
      <c r="K3885" t="s">
        <v>87</v>
      </c>
      <c r="L3885" t="s">
        <v>41</v>
      </c>
      <c r="M3885" t="s">
        <v>6</v>
      </c>
      <c r="N3885" t="b">
        <v>0</v>
      </c>
      <c r="O3885">
        <v>0</v>
      </c>
      <c r="P3885">
        <v>1</v>
      </c>
      <c r="Q3885">
        <v>0</v>
      </c>
      <c r="R3885">
        <v>0</v>
      </c>
    </row>
    <row r="3886" spans="1:18" x14ac:dyDescent="0.25">
      <c r="A3886" t="s">
        <v>10</v>
      </c>
      <c r="B3886" t="s">
        <v>8</v>
      </c>
      <c r="C3886">
        <v>2</v>
      </c>
      <c r="D3886">
        <v>5</v>
      </c>
      <c r="E3886">
        <v>1</v>
      </c>
      <c r="F3886" s="15">
        <v>46125</v>
      </c>
      <c r="G3886" t="s">
        <v>483</v>
      </c>
      <c r="H3886">
        <v>3</v>
      </c>
      <c r="I3886">
        <v>2026</v>
      </c>
      <c r="J3886">
        <v>4</v>
      </c>
      <c r="K3886" t="s">
        <v>87</v>
      </c>
      <c r="L3886" t="s">
        <v>27</v>
      </c>
      <c r="M3886" t="s">
        <v>6</v>
      </c>
      <c r="N3886" t="b">
        <v>0</v>
      </c>
      <c r="O3886">
        <v>1</v>
      </c>
      <c r="P3886">
        <v>0</v>
      </c>
      <c r="Q3886">
        <v>0</v>
      </c>
      <c r="R3886">
        <v>0</v>
      </c>
    </row>
    <row r="3887" spans="1:18" x14ac:dyDescent="0.25">
      <c r="A3887" t="s">
        <v>10</v>
      </c>
      <c r="B3887" t="s">
        <v>8</v>
      </c>
      <c r="C3887">
        <v>2</v>
      </c>
      <c r="D3887">
        <v>5</v>
      </c>
      <c r="E3887">
        <v>1</v>
      </c>
      <c r="F3887" s="15">
        <v>46125</v>
      </c>
      <c r="G3887" t="s">
        <v>483</v>
      </c>
      <c r="H3887">
        <v>3</v>
      </c>
      <c r="I3887">
        <v>2026</v>
      </c>
      <c r="J3887">
        <v>4</v>
      </c>
      <c r="K3887" t="s">
        <v>87</v>
      </c>
      <c r="L3887" t="s">
        <v>41</v>
      </c>
      <c r="M3887" t="s">
        <v>6</v>
      </c>
      <c r="N3887" t="b">
        <v>0</v>
      </c>
      <c r="O3887">
        <v>1</v>
      </c>
      <c r="P3887">
        <v>0</v>
      </c>
      <c r="Q3887">
        <v>0</v>
      </c>
      <c r="R3887">
        <v>0</v>
      </c>
    </row>
    <row r="3888" spans="1:18" x14ac:dyDescent="0.25">
      <c r="A3888" t="s">
        <v>41</v>
      </c>
      <c r="B3888" t="s">
        <v>6</v>
      </c>
      <c r="C3888">
        <v>3</v>
      </c>
      <c r="D3888">
        <v>5</v>
      </c>
      <c r="E3888">
        <v>1</v>
      </c>
      <c r="F3888" s="15">
        <v>46125</v>
      </c>
      <c r="G3888" t="s">
        <v>483</v>
      </c>
      <c r="H3888">
        <v>3</v>
      </c>
      <c r="I3888">
        <v>2026</v>
      </c>
      <c r="J3888">
        <v>4</v>
      </c>
      <c r="K3888" t="s">
        <v>87</v>
      </c>
      <c r="L3888" t="s">
        <v>27</v>
      </c>
      <c r="M3888" t="s">
        <v>6</v>
      </c>
      <c r="N3888" t="b">
        <v>0</v>
      </c>
      <c r="O3888">
        <v>0</v>
      </c>
      <c r="P3888">
        <v>1</v>
      </c>
      <c r="Q3888">
        <v>0</v>
      </c>
      <c r="R3888">
        <v>0</v>
      </c>
    </row>
    <row r="3889" spans="1:18" x14ac:dyDescent="0.25">
      <c r="A3889" t="s">
        <v>41</v>
      </c>
      <c r="B3889" t="s">
        <v>6</v>
      </c>
      <c r="C3889">
        <v>3</v>
      </c>
      <c r="D3889">
        <v>5</v>
      </c>
      <c r="E3889">
        <v>1</v>
      </c>
      <c r="F3889" s="15">
        <v>46125</v>
      </c>
      <c r="G3889" t="s">
        <v>483</v>
      </c>
      <c r="H3889">
        <v>3</v>
      </c>
      <c r="I3889">
        <v>2026</v>
      </c>
      <c r="J3889">
        <v>4</v>
      </c>
      <c r="K3889" t="s">
        <v>87</v>
      </c>
      <c r="L3889" t="s">
        <v>10</v>
      </c>
      <c r="M3889" t="s">
        <v>8</v>
      </c>
      <c r="N3889" t="b">
        <v>0</v>
      </c>
      <c r="O3889">
        <v>0</v>
      </c>
      <c r="P3889">
        <v>1</v>
      </c>
      <c r="Q3889">
        <v>0</v>
      </c>
      <c r="R3889">
        <v>1</v>
      </c>
    </row>
    <row r="3890" spans="1:18" x14ac:dyDescent="0.25">
      <c r="A3890" t="s">
        <v>51</v>
      </c>
      <c r="B3890" t="s">
        <v>8</v>
      </c>
      <c r="C3890">
        <v>1</v>
      </c>
      <c r="D3890">
        <v>1</v>
      </c>
      <c r="E3890">
        <v>2</v>
      </c>
      <c r="F3890" s="15">
        <v>46125</v>
      </c>
      <c r="G3890" t="s">
        <v>484</v>
      </c>
      <c r="H3890">
        <v>3</v>
      </c>
      <c r="I3890">
        <v>2026</v>
      </c>
      <c r="J3890">
        <v>4</v>
      </c>
      <c r="K3890" t="s">
        <v>87</v>
      </c>
      <c r="L3890" t="s">
        <v>52</v>
      </c>
      <c r="M3890" t="s">
        <v>6</v>
      </c>
      <c r="N3890" t="b">
        <v>0</v>
      </c>
      <c r="O3890">
        <v>1</v>
      </c>
      <c r="P3890">
        <v>0</v>
      </c>
      <c r="Q3890">
        <v>0</v>
      </c>
      <c r="R3890">
        <v>0</v>
      </c>
    </row>
    <row r="3891" spans="1:18" x14ac:dyDescent="0.25">
      <c r="A3891" t="s">
        <v>51</v>
      </c>
      <c r="B3891" t="s">
        <v>8</v>
      </c>
      <c r="C3891">
        <v>1</v>
      </c>
      <c r="D3891">
        <v>1</v>
      </c>
      <c r="E3891">
        <v>2</v>
      </c>
      <c r="F3891" s="15">
        <v>46125</v>
      </c>
      <c r="G3891" t="s">
        <v>484</v>
      </c>
      <c r="H3891">
        <v>3</v>
      </c>
      <c r="I3891">
        <v>2026</v>
      </c>
      <c r="J3891">
        <v>4</v>
      </c>
      <c r="K3891" t="s">
        <v>87</v>
      </c>
      <c r="L3891" t="s">
        <v>27</v>
      </c>
      <c r="M3891" t="s">
        <v>6</v>
      </c>
      <c r="N3891" t="b">
        <v>0</v>
      </c>
      <c r="O3891">
        <v>1</v>
      </c>
      <c r="P3891">
        <v>0</v>
      </c>
      <c r="Q3891">
        <v>0</v>
      </c>
      <c r="R3891">
        <v>0</v>
      </c>
    </row>
    <row r="3892" spans="1:18" x14ac:dyDescent="0.25">
      <c r="A3892" t="s">
        <v>52</v>
      </c>
      <c r="B3892" t="s">
        <v>6</v>
      </c>
      <c r="C3892">
        <v>2</v>
      </c>
      <c r="D3892">
        <v>1</v>
      </c>
      <c r="E3892">
        <v>2</v>
      </c>
      <c r="F3892" s="15">
        <v>46125</v>
      </c>
      <c r="G3892" t="s">
        <v>484</v>
      </c>
      <c r="H3892">
        <v>3</v>
      </c>
      <c r="I3892">
        <v>2026</v>
      </c>
      <c r="J3892">
        <v>4</v>
      </c>
      <c r="K3892" t="s">
        <v>87</v>
      </c>
      <c r="L3892" t="s">
        <v>51</v>
      </c>
      <c r="M3892" t="s">
        <v>8</v>
      </c>
      <c r="N3892" t="b">
        <v>0</v>
      </c>
      <c r="O3892">
        <v>0</v>
      </c>
      <c r="P3892">
        <v>1</v>
      </c>
      <c r="Q3892">
        <v>0</v>
      </c>
      <c r="R3892">
        <v>1</v>
      </c>
    </row>
    <row r="3893" spans="1:18" x14ac:dyDescent="0.25">
      <c r="A3893" t="s">
        <v>52</v>
      </c>
      <c r="B3893" t="s">
        <v>6</v>
      </c>
      <c r="C3893">
        <v>2</v>
      </c>
      <c r="D3893">
        <v>1</v>
      </c>
      <c r="E3893">
        <v>2</v>
      </c>
      <c r="F3893" s="15">
        <v>46125</v>
      </c>
      <c r="G3893" t="s">
        <v>484</v>
      </c>
      <c r="H3893">
        <v>3</v>
      </c>
      <c r="I3893">
        <v>2026</v>
      </c>
      <c r="J3893">
        <v>4</v>
      </c>
      <c r="K3893" t="s">
        <v>87</v>
      </c>
      <c r="L3893" t="s">
        <v>27</v>
      </c>
      <c r="M3893" t="s">
        <v>6</v>
      </c>
      <c r="N3893" t="b">
        <v>0</v>
      </c>
      <c r="O3893">
        <v>0</v>
      </c>
      <c r="P3893">
        <v>1</v>
      </c>
      <c r="Q3893">
        <v>0</v>
      </c>
      <c r="R3893">
        <v>0</v>
      </c>
    </row>
    <row r="3894" spans="1:18" x14ac:dyDescent="0.25">
      <c r="A3894" t="s">
        <v>27</v>
      </c>
      <c r="B3894" t="s">
        <v>6</v>
      </c>
      <c r="C3894">
        <v>3</v>
      </c>
      <c r="D3894">
        <v>1</v>
      </c>
      <c r="E3894">
        <v>2</v>
      </c>
      <c r="F3894" s="15">
        <v>46125</v>
      </c>
      <c r="G3894" t="s">
        <v>484</v>
      </c>
      <c r="H3894">
        <v>3</v>
      </c>
      <c r="I3894">
        <v>2026</v>
      </c>
      <c r="J3894">
        <v>4</v>
      </c>
      <c r="K3894" t="s">
        <v>87</v>
      </c>
      <c r="L3894" t="s">
        <v>51</v>
      </c>
      <c r="M3894" t="s">
        <v>8</v>
      </c>
      <c r="N3894" t="b">
        <v>0</v>
      </c>
      <c r="O3894">
        <v>0</v>
      </c>
      <c r="P3894">
        <v>1</v>
      </c>
      <c r="Q3894">
        <v>0</v>
      </c>
      <c r="R3894">
        <v>1</v>
      </c>
    </row>
    <row r="3895" spans="1:18" x14ac:dyDescent="0.25">
      <c r="A3895" t="s">
        <v>27</v>
      </c>
      <c r="B3895" t="s">
        <v>6</v>
      </c>
      <c r="C3895">
        <v>3</v>
      </c>
      <c r="D3895">
        <v>1</v>
      </c>
      <c r="E3895">
        <v>2</v>
      </c>
      <c r="F3895" s="15">
        <v>46125</v>
      </c>
      <c r="G3895" t="s">
        <v>484</v>
      </c>
      <c r="H3895">
        <v>3</v>
      </c>
      <c r="I3895">
        <v>2026</v>
      </c>
      <c r="J3895">
        <v>4</v>
      </c>
      <c r="K3895" t="s">
        <v>87</v>
      </c>
      <c r="L3895" t="s">
        <v>52</v>
      </c>
      <c r="M3895" t="s">
        <v>6</v>
      </c>
      <c r="N3895" t="b">
        <v>0</v>
      </c>
      <c r="O3895">
        <v>0</v>
      </c>
      <c r="P3895">
        <v>1</v>
      </c>
      <c r="Q3895">
        <v>0</v>
      </c>
      <c r="R3895">
        <v>0</v>
      </c>
    </row>
    <row r="3896" spans="1:18" x14ac:dyDescent="0.25">
      <c r="A3896" t="s">
        <v>436</v>
      </c>
      <c r="B3896" t="s">
        <v>8</v>
      </c>
      <c r="C3896">
        <v>1</v>
      </c>
      <c r="D3896">
        <v>2</v>
      </c>
      <c r="E3896">
        <v>2</v>
      </c>
      <c r="F3896" s="15">
        <v>46125</v>
      </c>
      <c r="G3896" t="s">
        <v>485</v>
      </c>
      <c r="H3896">
        <v>3</v>
      </c>
      <c r="I3896">
        <v>2026</v>
      </c>
      <c r="J3896">
        <v>4</v>
      </c>
      <c r="K3896" t="s">
        <v>87</v>
      </c>
      <c r="L3896" t="s">
        <v>19</v>
      </c>
      <c r="M3896" t="s">
        <v>6</v>
      </c>
      <c r="N3896" t="b">
        <v>0</v>
      </c>
      <c r="O3896">
        <v>1</v>
      </c>
      <c r="P3896">
        <v>0</v>
      </c>
      <c r="Q3896">
        <v>0</v>
      </c>
      <c r="R3896">
        <v>0</v>
      </c>
    </row>
    <row r="3897" spans="1:18" x14ac:dyDescent="0.25">
      <c r="A3897" t="s">
        <v>436</v>
      </c>
      <c r="B3897" t="s">
        <v>8</v>
      </c>
      <c r="C3897">
        <v>1</v>
      </c>
      <c r="D3897">
        <v>2</v>
      </c>
      <c r="E3897">
        <v>2</v>
      </c>
      <c r="F3897" s="15">
        <v>46125</v>
      </c>
      <c r="G3897" t="s">
        <v>485</v>
      </c>
      <c r="H3897">
        <v>3</v>
      </c>
      <c r="I3897">
        <v>2026</v>
      </c>
      <c r="J3897">
        <v>4</v>
      </c>
      <c r="K3897" t="s">
        <v>87</v>
      </c>
      <c r="L3897" t="s">
        <v>20</v>
      </c>
      <c r="M3897" t="s">
        <v>6</v>
      </c>
      <c r="N3897" t="b">
        <v>0</v>
      </c>
      <c r="O3897">
        <v>1</v>
      </c>
      <c r="P3897">
        <v>0</v>
      </c>
      <c r="Q3897">
        <v>0</v>
      </c>
      <c r="R3897">
        <v>0</v>
      </c>
    </row>
    <row r="3898" spans="1:18" x14ac:dyDescent="0.25">
      <c r="A3898" t="s">
        <v>19</v>
      </c>
      <c r="B3898" t="s">
        <v>6</v>
      </c>
      <c r="C3898">
        <v>2</v>
      </c>
      <c r="D3898">
        <v>2</v>
      </c>
      <c r="E3898">
        <v>2</v>
      </c>
      <c r="F3898" s="15">
        <v>46125</v>
      </c>
      <c r="G3898" t="s">
        <v>485</v>
      </c>
      <c r="H3898">
        <v>3</v>
      </c>
      <c r="I3898">
        <v>2026</v>
      </c>
      <c r="J3898">
        <v>4</v>
      </c>
      <c r="K3898" t="s">
        <v>87</v>
      </c>
      <c r="L3898" t="s">
        <v>436</v>
      </c>
      <c r="M3898" t="s">
        <v>8</v>
      </c>
      <c r="N3898" t="b">
        <v>0</v>
      </c>
      <c r="O3898">
        <v>0</v>
      </c>
      <c r="P3898">
        <v>1</v>
      </c>
      <c r="Q3898">
        <v>0</v>
      </c>
      <c r="R3898">
        <v>1</v>
      </c>
    </row>
    <row r="3899" spans="1:18" x14ac:dyDescent="0.25">
      <c r="A3899" t="s">
        <v>19</v>
      </c>
      <c r="B3899" t="s">
        <v>6</v>
      </c>
      <c r="C3899">
        <v>2</v>
      </c>
      <c r="D3899">
        <v>2</v>
      </c>
      <c r="E3899">
        <v>2</v>
      </c>
      <c r="F3899" s="15">
        <v>46125</v>
      </c>
      <c r="G3899" t="s">
        <v>485</v>
      </c>
      <c r="H3899">
        <v>3</v>
      </c>
      <c r="I3899">
        <v>2026</v>
      </c>
      <c r="J3899">
        <v>4</v>
      </c>
      <c r="K3899" t="s">
        <v>87</v>
      </c>
      <c r="L3899" t="s">
        <v>20</v>
      </c>
      <c r="M3899" t="s">
        <v>6</v>
      </c>
      <c r="N3899" t="b">
        <v>0</v>
      </c>
      <c r="O3899">
        <v>0</v>
      </c>
      <c r="P3899">
        <v>1</v>
      </c>
      <c r="Q3899">
        <v>0</v>
      </c>
      <c r="R3899">
        <v>0</v>
      </c>
    </row>
    <row r="3900" spans="1:18" x14ac:dyDescent="0.25">
      <c r="A3900" t="s">
        <v>20</v>
      </c>
      <c r="B3900" t="s">
        <v>6</v>
      </c>
      <c r="C3900">
        <v>3</v>
      </c>
      <c r="D3900">
        <v>2</v>
      </c>
      <c r="E3900">
        <v>2</v>
      </c>
      <c r="F3900" s="15">
        <v>46125</v>
      </c>
      <c r="G3900" t="s">
        <v>485</v>
      </c>
      <c r="H3900">
        <v>3</v>
      </c>
      <c r="I3900">
        <v>2026</v>
      </c>
      <c r="J3900">
        <v>4</v>
      </c>
      <c r="K3900" t="s">
        <v>87</v>
      </c>
      <c r="L3900" t="s">
        <v>436</v>
      </c>
      <c r="M3900" t="s">
        <v>8</v>
      </c>
      <c r="N3900" t="b">
        <v>0</v>
      </c>
      <c r="O3900">
        <v>0</v>
      </c>
      <c r="P3900">
        <v>1</v>
      </c>
      <c r="Q3900">
        <v>0</v>
      </c>
      <c r="R3900">
        <v>1</v>
      </c>
    </row>
    <row r="3901" spans="1:18" x14ac:dyDescent="0.25">
      <c r="A3901" t="s">
        <v>20</v>
      </c>
      <c r="B3901" t="s">
        <v>6</v>
      </c>
      <c r="C3901">
        <v>3</v>
      </c>
      <c r="D3901">
        <v>2</v>
      </c>
      <c r="E3901">
        <v>2</v>
      </c>
      <c r="F3901" s="15">
        <v>46125</v>
      </c>
      <c r="G3901" t="s">
        <v>485</v>
      </c>
      <c r="H3901">
        <v>3</v>
      </c>
      <c r="I3901">
        <v>2026</v>
      </c>
      <c r="J3901">
        <v>4</v>
      </c>
      <c r="K3901" t="s">
        <v>87</v>
      </c>
      <c r="L3901" t="s">
        <v>19</v>
      </c>
      <c r="M3901" t="s">
        <v>6</v>
      </c>
      <c r="N3901" t="b">
        <v>0</v>
      </c>
      <c r="O3901">
        <v>0</v>
      </c>
      <c r="P3901">
        <v>1</v>
      </c>
      <c r="Q3901">
        <v>0</v>
      </c>
      <c r="R3901">
        <v>0</v>
      </c>
    </row>
    <row r="3902" spans="1:18" x14ac:dyDescent="0.25">
      <c r="A3902" t="s">
        <v>465</v>
      </c>
      <c r="B3902" t="s">
        <v>6</v>
      </c>
      <c r="C3902">
        <v>1</v>
      </c>
      <c r="D3902">
        <v>3</v>
      </c>
      <c r="E3902">
        <v>2</v>
      </c>
      <c r="F3902" s="15">
        <v>46125</v>
      </c>
      <c r="G3902" t="s">
        <v>486</v>
      </c>
      <c r="H3902">
        <v>4</v>
      </c>
      <c r="I3902">
        <v>2026</v>
      </c>
      <c r="J3902">
        <v>4</v>
      </c>
      <c r="K3902" t="s">
        <v>87</v>
      </c>
      <c r="L3902" t="s">
        <v>352</v>
      </c>
      <c r="M3902" t="s">
        <v>6</v>
      </c>
      <c r="N3902" t="b">
        <v>0</v>
      </c>
      <c r="O3902">
        <v>0</v>
      </c>
      <c r="P3902">
        <v>1</v>
      </c>
      <c r="Q3902">
        <v>0</v>
      </c>
      <c r="R3902">
        <v>0</v>
      </c>
    </row>
    <row r="3903" spans="1:18" x14ac:dyDescent="0.25">
      <c r="A3903" t="s">
        <v>465</v>
      </c>
      <c r="B3903" t="s">
        <v>6</v>
      </c>
      <c r="C3903">
        <v>1</v>
      </c>
      <c r="D3903">
        <v>3</v>
      </c>
      <c r="E3903">
        <v>2</v>
      </c>
      <c r="F3903" s="15">
        <v>46125</v>
      </c>
      <c r="G3903" t="s">
        <v>486</v>
      </c>
      <c r="H3903">
        <v>4</v>
      </c>
      <c r="I3903">
        <v>2026</v>
      </c>
      <c r="J3903">
        <v>4</v>
      </c>
      <c r="K3903" t="s">
        <v>87</v>
      </c>
      <c r="L3903" t="s">
        <v>10</v>
      </c>
      <c r="M3903" t="s">
        <v>6</v>
      </c>
      <c r="N3903" t="b">
        <v>0</v>
      </c>
      <c r="O3903">
        <v>0</v>
      </c>
      <c r="P3903">
        <v>1</v>
      </c>
      <c r="Q3903">
        <v>0</v>
      </c>
      <c r="R3903">
        <v>0</v>
      </c>
    </row>
    <row r="3904" spans="1:18" x14ac:dyDescent="0.25">
      <c r="A3904" t="s">
        <v>465</v>
      </c>
      <c r="B3904" t="s">
        <v>6</v>
      </c>
      <c r="C3904">
        <v>1</v>
      </c>
      <c r="D3904">
        <v>3</v>
      </c>
      <c r="E3904">
        <v>2</v>
      </c>
      <c r="F3904" s="15">
        <v>46125</v>
      </c>
      <c r="G3904" t="s">
        <v>486</v>
      </c>
      <c r="H3904">
        <v>4</v>
      </c>
      <c r="I3904">
        <v>2026</v>
      </c>
      <c r="J3904">
        <v>4</v>
      </c>
      <c r="K3904" t="s">
        <v>87</v>
      </c>
      <c r="L3904" t="s">
        <v>405</v>
      </c>
      <c r="M3904" t="s">
        <v>8</v>
      </c>
      <c r="N3904" t="b">
        <v>0</v>
      </c>
      <c r="O3904">
        <v>0</v>
      </c>
      <c r="P3904">
        <v>1</v>
      </c>
      <c r="Q3904">
        <v>0</v>
      </c>
      <c r="R3904">
        <v>1</v>
      </c>
    </row>
    <row r="3905" spans="1:18" x14ac:dyDescent="0.25">
      <c r="A3905" t="s">
        <v>352</v>
      </c>
      <c r="B3905" t="s">
        <v>6</v>
      </c>
      <c r="C3905">
        <v>2</v>
      </c>
      <c r="D3905">
        <v>3</v>
      </c>
      <c r="E3905">
        <v>2</v>
      </c>
      <c r="F3905" s="15">
        <v>46125</v>
      </c>
      <c r="G3905" t="s">
        <v>486</v>
      </c>
      <c r="H3905">
        <v>4</v>
      </c>
      <c r="I3905">
        <v>2026</v>
      </c>
      <c r="J3905">
        <v>4</v>
      </c>
      <c r="K3905" t="s">
        <v>87</v>
      </c>
      <c r="L3905" t="s">
        <v>465</v>
      </c>
      <c r="M3905" t="s">
        <v>6</v>
      </c>
      <c r="N3905" t="b">
        <v>0</v>
      </c>
      <c r="O3905">
        <v>0</v>
      </c>
      <c r="P3905">
        <v>1</v>
      </c>
      <c r="Q3905">
        <v>0</v>
      </c>
      <c r="R3905">
        <v>0</v>
      </c>
    </row>
    <row r="3906" spans="1:18" x14ac:dyDescent="0.25">
      <c r="A3906" t="s">
        <v>352</v>
      </c>
      <c r="B3906" t="s">
        <v>6</v>
      </c>
      <c r="C3906">
        <v>2</v>
      </c>
      <c r="D3906">
        <v>3</v>
      </c>
      <c r="E3906">
        <v>2</v>
      </c>
      <c r="F3906" s="15">
        <v>46125</v>
      </c>
      <c r="G3906" t="s">
        <v>486</v>
      </c>
      <c r="H3906">
        <v>4</v>
      </c>
      <c r="I3906">
        <v>2026</v>
      </c>
      <c r="J3906">
        <v>4</v>
      </c>
      <c r="K3906" t="s">
        <v>87</v>
      </c>
      <c r="L3906" t="s">
        <v>10</v>
      </c>
      <c r="M3906" t="s">
        <v>6</v>
      </c>
      <c r="N3906" t="b">
        <v>0</v>
      </c>
      <c r="O3906">
        <v>0</v>
      </c>
      <c r="P3906">
        <v>1</v>
      </c>
      <c r="Q3906">
        <v>0</v>
      </c>
      <c r="R3906">
        <v>0</v>
      </c>
    </row>
    <row r="3907" spans="1:18" x14ac:dyDescent="0.25">
      <c r="A3907" t="s">
        <v>352</v>
      </c>
      <c r="B3907" t="s">
        <v>6</v>
      </c>
      <c r="C3907">
        <v>2</v>
      </c>
      <c r="D3907">
        <v>3</v>
      </c>
      <c r="E3907">
        <v>2</v>
      </c>
      <c r="F3907" s="15">
        <v>46125</v>
      </c>
      <c r="G3907" t="s">
        <v>486</v>
      </c>
      <c r="H3907">
        <v>4</v>
      </c>
      <c r="I3907">
        <v>2026</v>
      </c>
      <c r="J3907">
        <v>4</v>
      </c>
      <c r="K3907" t="s">
        <v>87</v>
      </c>
      <c r="L3907" t="s">
        <v>405</v>
      </c>
      <c r="M3907" t="s">
        <v>8</v>
      </c>
      <c r="N3907" t="b">
        <v>0</v>
      </c>
      <c r="O3907">
        <v>0</v>
      </c>
      <c r="P3907">
        <v>1</v>
      </c>
      <c r="Q3907">
        <v>0</v>
      </c>
      <c r="R3907">
        <v>1</v>
      </c>
    </row>
    <row r="3908" spans="1:18" x14ac:dyDescent="0.25">
      <c r="A3908" t="s">
        <v>10</v>
      </c>
      <c r="B3908" t="s">
        <v>6</v>
      </c>
      <c r="C3908">
        <v>3</v>
      </c>
      <c r="D3908">
        <v>3</v>
      </c>
      <c r="E3908">
        <v>2</v>
      </c>
      <c r="F3908" s="15">
        <v>46125</v>
      </c>
      <c r="G3908" t="s">
        <v>486</v>
      </c>
      <c r="H3908">
        <v>4</v>
      </c>
      <c r="I3908">
        <v>2026</v>
      </c>
      <c r="J3908">
        <v>4</v>
      </c>
      <c r="K3908" t="s">
        <v>87</v>
      </c>
      <c r="L3908" t="s">
        <v>465</v>
      </c>
      <c r="M3908" t="s">
        <v>6</v>
      </c>
      <c r="N3908" t="b">
        <v>0</v>
      </c>
      <c r="O3908">
        <v>0</v>
      </c>
      <c r="P3908">
        <v>1</v>
      </c>
      <c r="Q3908">
        <v>0</v>
      </c>
      <c r="R3908">
        <v>0</v>
      </c>
    </row>
    <row r="3909" spans="1:18" x14ac:dyDescent="0.25">
      <c r="A3909" t="s">
        <v>10</v>
      </c>
      <c r="B3909" t="s">
        <v>6</v>
      </c>
      <c r="C3909">
        <v>3</v>
      </c>
      <c r="D3909">
        <v>3</v>
      </c>
      <c r="E3909">
        <v>2</v>
      </c>
      <c r="F3909" s="15">
        <v>46125</v>
      </c>
      <c r="G3909" t="s">
        <v>486</v>
      </c>
      <c r="H3909">
        <v>4</v>
      </c>
      <c r="I3909">
        <v>2026</v>
      </c>
      <c r="J3909">
        <v>4</v>
      </c>
      <c r="K3909" t="s">
        <v>87</v>
      </c>
      <c r="L3909" t="s">
        <v>352</v>
      </c>
      <c r="M3909" t="s">
        <v>6</v>
      </c>
      <c r="N3909" t="b">
        <v>0</v>
      </c>
      <c r="O3909">
        <v>0</v>
      </c>
      <c r="P3909">
        <v>1</v>
      </c>
      <c r="Q3909">
        <v>0</v>
      </c>
      <c r="R3909">
        <v>0</v>
      </c>
    </row>
    <row r="3910" spans="1:18" x14ac:dyDescent="0.25">
      <c r="A3910" t="s">
        <v>10</v>
      </c>
      <c r="B3910" t="s">
        <v>6</v>
      </c>
      <c r="C3910">
        <v>3</v>
      </c>
      <c r="D3910">
        <v>3</v>
      </c>
      <c r="E3910">
        <v>2</v>
      </c>
      <c r="F3910" s="15">
        <v>46125</v>
      </c>
      <c r="G3910" t="s">
        <v>486</v>
      </c>
      <c r="H3910">
        <v>4</v>
      </c>
      <c r="I3910">
        <v>2026</v>
      </c>
      <c r="J3910">
        <v>4</v>
      </c>
      <c r="K3910" t="s">
        <v>87</v>
      </c>
      <c r="L3910" t="s">
        <v>405</v>
      </c>
      <c r="M3910" t="s">
        <v>8</v>
      </c>
      <c r="N3910" t="b">
        <v>0</v>
      </c>
      <c r="O3910">
        <v>0</v>
      </c>
      <c r="P3910">
        <v>1</v>
      </c>
      <c r="Q3910">
        <v>0</v>
      </c>
      <c r="R3910">
        <v>1</v>
      </c>
    </row>
    <row r="3911" spans="1:18" x14ac:dyDescent="0.25">
      <c r="A3911" t="s">
        <v>405</v>
      </c>
      <c r="B3911" t="s">
        <v>8</v>
      </c>
      <c r="C3911">
        <v>4</v>
      </c>
      <c r="D3911">
        <v>3</v>
      </c>
      <c r="E3911">
        <v>2</v>
      </c>
      <c r="F3911" s="15">
        <v>46125</v>
      </c>
      <c r="G3911" t="s">
        <v>486</v>
      </c>
      <c r="H3911">
        <v>4</v>
      </c>
      <c r="I3911">
        <v>2026</v>
      </c>
      <c r="J3911">
        <v>4</v>
      </c>
      <c r="K3911" t="s">
        <v>87</v>
      </c>
      <c r="L3911" t="s">
        <v>465</v>
      </c>
      <c r="M3911" t="s">
        <v>6</v>
      </c>
      <c r="N3911" t="b">
        <v>0</v>
      </c>
      <c r="O3911">
        <v>1</v>
      </c>
      <c r="P3911">
        <v>0</v>
      </c>
      <c r="Q3911">
        <v>0</v>
      </c>
      <c r="R3911">
        <v>0</v>
      </c>
    </row>
    <row r="3912" spans="1:18" x14ac:dyDescent="0.25">
      <c r="A3912" t="s">
        <v>405</v>
      </c>
      <c r="B3912" t="s">
        <v>8</v>
      </c>
      <c r="C3912">
        <v>4</v>
      </c>
      <c r="D3912">
        <v>3</v>
      </c>
      <c r="E3912">
        <v>2</v>
      </c>
      <c r="F3912" s="15">
        <v>46125</v>
      </c>
      <c r="G3912" t="s">
        <v>486</v>
      </c>
      <c r="H3912">
        <v>4</v>
      </c>
      <c r="I3912">
        <v>2026</v>
      </c>
      <c r="J3912">
        <v>4</v>
      </c>
      <c r="K3912" t="s">
        <v>87</v>
      </c>
      <c r="L3912" t="s">
        <v>352</v>
      </c>
      <c r="M3912" t="s">
        <v>6</v>
      </c>
      <c r="N3912" t="b">
        <v>0</v>
      </c>
      <c r="O3912">
        <v>1</v>
      </c>
      <c r="P3912">
        <v>0</v>
      </c>
      <c r="Q3912">
        <v>0</v>
      </c>
      <c r="R3912">
        <v>0</v>
      </c>
    </row>
    <row r="3913" spans="1:18" x14ac:dyDescent="0.25">
      <c r="A3913" t="s">
        <v>405</v>
      </c>
      <c r="B3913" t="s">
        <v>8</v>
      </c>
      <c r="C3913">
        <v>4</v>
      </c>
      <c r="D3913">
        <v>3</v>
      </c>
      <c r="E3913">
        <v>2</v>
      </c>
      <c r="F3913" s="15">
        <v>46125</v>
      </c>
      <c r="G3913" t="s">
        <v>486</v>
      </c>
      <c r="H3913">
        <v>4</v>
      </c>
      <c r="I3913">
        <v>2026</v>
      </c>
      <c r="J3913">
        <v>4</v>
      </c>
      <c r="K3913" t="s">
        <v>87</v>
      </c>
      <c r="L3913" t="s">
        <v>10</v>
      </c>
      <c r="M3913" t="s">
        <v>6</v>
      </c>
      <c r="N3913" t="b">
        <v>0</v>
      </c>
      <c r="O3913">
        <v>1</v>
      </c>
      <c r="P3913">
        <v>0</v>
      </c>
      <c r="Q3913">
        <v>0</v>
      </c>
      <c r="R3913">
        <v>0</v>
      </c>
    </row>
    <row r="3914" spans="1:18" x14ac:dyDescent="0.25">
      <c r="A3914" t="s">
        <v>41</v>
      </c>
      <c r="B3914" t="s">
        <v>6</v>
      </c>
      <c r="C3914">
        <v>1</v>
      </c>
      <c r="D3914">
        <v>4</v>
      </c>
      <c r="E3914">
        <v>2</v>
      </c>
      <c r="F3914" s="15">
        <v>46125</v>
      </c>
      <c r="G3914" t="s">
        <v>487</v>
      </c>
      <c r="H3914">
        <v>4</v>
      </c>
      <c r="I3914">
        <v>2026</v>
      </c>
      <c r="J3914">
        <v>4</v>
      </c>
      <c r="K3914" t="s">
        <v>87</v>
      </c>
      <c r="L3914" t="s">
        <v>14</v>
      </c>
      <c r="M3914" t="s">
        <v>6</v>
      </c>
      <c r="N3914" t="b">
        <v>0</v>
      </c>
      <c r="O3914">
        <v>0</v>
      </c>
      <c r="P3914">
        <v>1</v>
      </c>
      <c r="Q3914">
        <v>0</v>
      </c>
      <c r="R3914">
        <v>0</v>
      </c>
    </row>
    <row r="3915" spans="1:18" x14ac:dyDescent="0.25">
      <c r="A3915" t="s">
        <v>41</v>
      </c>
      <c r="B3915" t="s">
        <v>6</v>
      </c>
      <c r="C3915">
        <v>1</v>
      </c>
      <c r="D3915">
        <v>4</v>
      </c>
      <c r="E3915">
        <v>2</v>
      </c>
      <c r="F3915" s="15">
        <v>46125</v>
      </c>
      <c r="G3915" t="s">
        <v>487</v>
      </c>
      <c r="H3915">
        <v>4</v>
      </c>
      <c r="I3915">
        <v>2026</v>
      </c>
      <c r="J3915">
        <v>4</v>
      </c>
      <c r="K3915" t="s">
        <v>87</v>
      </c>
      <c r="L3915" t="s">
        <v>363</v>
      </c>
      <c r="M3915" t="s">
        <v>6</v>
      </c>
      <c r="N3915" t="b">
        <v>0</v>
      </c>
      <c r="O3915">
        <v>0</v>
      </c>
      <c r="P3915">
        <v>1</v>
      </c>
      <c r="Q3915">
        <v>0</v>
      </c>
      <c r="R3915">
        <v>0</v>
      </c>
    </row>
    <row r="3916" spans="1:18" x14ac:dyDescent="0.25">
      <c r="A3916" t="s">
        <v>41</v>
      </c>
      <c r="B3916" t="s">
        <v>6</v>
      </c>
      <c r="C3916">
        <v>1</v>
      </c>
      <c r="D3916">
        <v>4</v>
      </c>
      <c r="E3916">
        <v>2</v>
      </c>
      <c r="F3916" s="15">
        <v>46125</v>
      </c>
      <c r="G3916" t="s">
        <v>487</v>
      </c>
      <c r="H3916">
        <v>4</v>
      </c>
      <c r="I3916">
        <v>2026</v>
      </c>
      <c r="J3916">
        <v>4</v>
      </c>
      <c r="K3916" t="s">
        <v>87</v>
      </c>
      <c r="L3916" t="s">
        <v>7</v>
      </c>
      <c r="M3916" t="s">
        <v>8</v>
      </c>
      <c r="N3916" t="b">
        <v>0</v>
      </c>
      <c r="O3916">
        <v>0</v>
      </c>
      <c r="P3916">
        <v>1</v>
      </c>
      <c r="Q3916">
        <v>0</v>
      </c>
      <c r="R3916">
        <v>1</v>
      </c>
    </row>
    <row r="3917" spans="1:18" x14ac:dyDescent="0.25">
      <c r="A3917" t="s">
        <v>14</v>
      </c>
      <c r="B3917" t="s">
        <v>6</v>
      </c>
      <c r="C3917">
        <v>2</v>
      </c>
      <c r="D3917">
        <v>4</v>
      </c>
      <c r="E3917">
        <v>2</v>
      </c>
      <c r="F3917" s="15">
        <v>46125</v>
      </c>
      <c r="G3917" t="s">
        <v>487</v>
      </c>
      <c r="H3917">
        <v>4</v>
      </c>
      <c r="I3917">
        <v>2026</v>
      </c>
      <c r="J3917">
        <v>4</v>
      </c>
      <c r="K3917" t="s">
        <v>87</v>
      </c>
      <c r="L3917" t="s">
        <v>41</v>
      </c>
      <c r="M3917" t="s">
        <v>6</v>
      </c>
      <c r="N3917" t="b">
        <v>0</v>
      </c>
      <c r="O3917">
        <v>0</v>
      </c>
      <c r="P3917">
        <v>1</v>
      </c>
      <c r="Q3917">
        <v>0</v>
      </c>
      <c r="R3917">
        <v>0</v>
      </c>
    </row>
    <row r="3918" spans="1:18" x14ac:dyDescent="0.25">
      <c r="A3918" t="s">
        <v>14</v>
      </c>
      <c r="B3918" t="s">
        <v>6</v>
      </c>
      <c r="C3918">
        <v>2</v>
      </c>
      <c r="D3918">
        <v>4</v>
      </c>
      <c r="E3918">
        <v>2</v>
      </c>
      <c r="F3918" s="15">
        <v>46125</v>
      </c>
      <c r="G3918" t="s">
        <v>487</v>
      </c>
      <c r="H3918">
        <v>4</v>
      </c>
      <c r="I3918">
        <v>2026</v>
      </c>
      <c r="J3918">
        <v>4</v>
      </c>
      <c r="K3918" t="s">
        <v>87</v>
      </c>
      <c r="L3918" t="s">
        <v>363</v>
      </c>
      <c r="M3918" t="s">
        <v>6</v>
      </c>
      <c r="N3918" t="b">
        <v>0</v>
      </c>
      <c r="O3918">
        <v>0</v>
      </c>
      <c r="P3918">
        <v>1</v>
      </c>
      <c r="Q3918">
        <v>0</v>
      </c>
      <c r="R3918">
        <v>0</v>
      </c>
    </row>
    <row r="3919" spans="1:18" x14ac:dyDescent="0.25">
      <c r="A3919" t="s">
        <v>14</v>
      </c>
      <c r="B3919" t="s">
        <v>6</v>
      </c>
      <c r="C3919">
        <v>2</v>
      </c>
      <c r="D3919">
        <v>4</v>
      </c>
      <c r="E3919">
        <v>2</v>
      </c>
      <c r="F3919" s="15">
        <v>46125</v>
      </c>
      <c r="G3919" t="s">
        <v>487</v>
      </c>
      <c r="H3919">
        <v>4</v>
      </c>
      <c r="I3919">
        <v>2026</v>
      </c>
      <c r="J3919">
        <v>4</v>
      </c>
      <c r="K3919" t="s">
        <v>87</v>
      </c>
      <c r="L3919" t="s">
        <v>7</v>
      </c>
      <c r="M3919" t="s">
        <v>8</v>
      </c>
      <c r="N3919" t="b">
        <v>0</v>
      </c>
      <c r="O3919">
        <v>0</v>
      </c>
      <c r="P3919">
        <v>1</v>
      </c>
      <c r="Q3919">
        <v>0</v>
      </c>
      <c r="R3919">
        <v>1</v>
      </c>
    </row>
    <row r="3920" spans="1:18" x14ac:dyDescent="0.25">
      <c r="A3920" t="s">
        <v>363</v>
      </c>
      <c r="B3920" t="s">
        <v>6</v>
      </c>
      <c r="C3920">
        <v>3</v>
      </c>
      <c r="D3920">
        <v>4</v>
      </c>
      <c r="E3920">
        <v>2</v>
      </c>
      <c r="F3920" s="15">
        <v>46125</v>
      </c>
      <c r="G3920" t="s">
        <v>487</v>
      </c>
      <c r="H3920">
        <v>4</v>
      </c>
      <c r="I3920">
        <v>2026</v>
      </c>
      <c r="J3920">
        <v>4</v>
      </c>
      <c r="K3920" t="s">
        <v>87</v>
      </c>
      <c r="L3920" t="s">
        <v>41</v>
      </c>
      <c r="M3920" t="s">
        <v>6</v>
      </c>
      <c r="N3920" t="b">
        <v>0</v>
      </c>
      <c r="O3920">
        <v>0</v>
      </c>
      <c r="P3920">
        <v>1</v>
      </c>
      <c r="Q3920">
        <v>0</v>
      </c>
      <c r="R3920">
        <v>0</v>
      </c>
    </row>
    <row r="3921" spans="1:18" x14ac:dyDescent="0.25">
      <c r="A3921" t="s">
        <v>363</v>
      </c>
      <c r="B3921" t="s">
        <v>6</v>
      </c>
      <c r="C3921">
        <v>3</v>
      </c>
      <c r="D3921">
        <v>4</v>
      </c>
      <c r="E3921">
        <v>2</v>
      </c>
      <c r="F3921" s="15">
        <v>46125</v>
      </c>
      <c r="G3921" t="s">
        <v>487</v>
      </c>
      <c r="H3921">
        <v>4</v>
      </c>
      <c r="I3921">
        <v>2026</v>
      </c>
      <c r="J3921">
        <v>4</v>
      </c>
      <c r="K3921" t="s">
        <v>87</v>
      </c>
      <c r="L3921" t="s">
        <v>14</v>
      </c>
      <c r="M3921" t="s">
        <v>6</v>
      </c>
      <c r="N3921" t="b">
        <v>0</v>
      </c>
      <c r="O3921">
        <v>0</v>
      </c>
      <c r="P3921">
        <v>1</v>
      </c>
      <c r="Q3921">
        <v>0</v>
      </c>
      <c r="R3921">
        <v>0</v>
      </c>
    </row>
    <row r="3922" spans="1:18" x14ac:dyDescent="0.25">
      <c r="A3922" t="s">
        <v>363</v>
      </c>
      <c r="B3922" t="s">
        <v>6</v>
      </c>
      <c r="C3922">
        <v>3</v>
      </c>
      <c r="D3922">
        <v>4</v>
      </c>
      <c r="E3922">
        <v>2</v>
      </c>
      <c r="F3922" s="15">
        <v>46125</v>
      </c>
      <c r="G3922" t="s">
        <v>487</v>
      </c>
      <c r="H3922">
        <v>4</v>
      </c>
      <c r="I3922">
        <v>2026</v>
      </c>
      <c r="J3922">
        <v>4</v>
      </c>
      <c r="K3922" t="s">
        <v>87</v>
      </c>
      <c r="L3922" t="s">
        <v>7</v>
      </c>
      <c r="M3922" t="s">
        <v>8</v>
      </c>
      <c r="N3922" t="b">
        <v>0</v>
      </c>
      <c r="O3922">
        <v>0</v>
      </c>
      <c r="P3922">
        <v>1</v>
      </c>
      <c r="Q3922">
        <v>0</v>
      </c>
      <c r="R3922">
        <v>1</v>
      </c>
    </row>
    <row r="3923" spans="1:18" x14ac:dyDescent="0.25">
      <c r="A3923" t="s">
        <v>7</v>
      </c>
      <c r="B3923" t="s">
        <v>8</v>
      </c>
      <c r="C3923">
        <v>4</v>
      </c>
      <c r="D3923">
        <v>4</v>
      </c>
      <c r="E3923">
        <v>2</v>
      </c>
      <c r="F3923" s="15">
        <v>46125</v>
      </c>
      <c r="G3923" t="s">
        <v>487</v>
      </c>
      <c r="H3923">
        <v>4</v>
      </c>
      <c r="I3923">
        <v>2026</v>
      </c>
      <c r="J3923">
        <v>4</v>
      </c>
      <c r="K3923" t="s">
        <v>87</v>
      </c>
      <c r="L3923" t="s">
        <v>41</v>
      </c>
      <c r="M3923" t="s">
        <v>6</v>
      </c>
      <c r="N3923" t="b">
        <v>0</v>
      </c>
      <c r="O3923">
        <v>1</v>
      </c>
      <c r="P3923">
        <v>0</v>
      </c>
      <c r="Q3923">
        <v>0</v>
      </c>
      <c r="R3923">
        <v>0</v>
      </c>
    </row>
    <row r="3924" spans="1:18" x14ac:dyDescent="0.25">
      <c r="A3924" t="s">
        <v>7</v>
      </c>
      <c r="B3924" t="s">
        <v>8</v>
      </c>
      <c r="C3924">
        <v>4</v>
      </c>
      <c r="D3924">
        <v>4</v>
      </c>
      <c r="E3924">
        <v>2</v>
      </c>
      <c r="F3924" s="15">
        <v>46125</v>
      </c>
      <c r="G3924" t="s">
        <v>487</v>
      </c>
      <c r="H3924">
        <v>4</v>
      </c>
      <c r="I3924">
        <v>2026</v>
      </c>
      <c r="J3924">
        <v>4</v>
      </c>
      <c r="K3924" t="s">
        <v>87</v>
      </c>
      <c r="L3924" t="s">
        <v>14</v>
      </c>
      <c r="M3924" t="s">
        <v>6</v>
      </c>
      <c r="N3924" t="b">
        <v>0</v>
      </c>
      <c r="O3924">
        <v>1</v>
      </c>
      <c r="P3924">
        <v>0</v>
      </c>
      <c r="Q3924">
        <v>0</v>
      </c>
      <c r="R3924">
        <v>0</v>
      </c>
    </row>
    <row r="3925" spans="1:18" x14ac:dyDescent="0.25">
      <c r="A3925" t="s">
        <v>7</v>
      </c>
      <c r="B3925" t="s">
        <v>8</v>
      </c>
      <c r="C3925">
        <v>4</v>
      </c>
      <c r="D3925">
        <v>4</v>
      </c>
      <c r="E3925">
        <v>2</v>
      </c>
      <c r="F3925" s="15">
        <v>46125</v>
      </c>
      <c r="G3925" t="s">
        <v>487</v>
      </c>
      <c r="H3925">
        <v>4</v>
      </c>
      <c r="I3925">
        <v>2026</v>
      </c>
      <c r="J3925">
        <v>4</v>
      </c>
      <c r="K3925" t="s">
        <v>87</v>
      </c>
      <c r="L3925" t="s">
        <v>363</v>
      </c>
      <c r="M3925" t="s">
        <v>6</v>
      </c>
      <c r="N3925" t="b">
        <v>0</v>
      </c>
      <c r="O3925">
        <v>1</v>
      </c>
      <c r="P3925">
        <v>0</v>
      </c>
      <c r="Q3925">
        <v>0</v>
      </c>
      <c r="R3925">
        <v>0</v>
      </c>
    </row>
    <row r="3926" spans="1:18" x14ac:dyDescent="0.25">
      <c r="A3926" t="s">
        <v>17</v>
      </c>
      <c r="B3926" t="s">
        <v>8</v>
      </c>
      <c r="C3926">
        <v>1</v>
      </c>
      <c r="D3926">
        <v>5</v>
      </c>
      <c r="E3926">
        <v>2</v>
      </c>
      <c r="F3926" s="15">
        <v>46125</v>
      </c>
      <c r="G3926" t="s">
        <v>488</v>
      </c>
      <c r="H3926">
        <v>3</v>
      </c>
      <c r="I3926">
        <v>2026</v>
      </c>
      <c r="J3926">
        <v>4</v>
      </c>
      <c r="K3926" t="s">
        <v>87</v>
      </c>
      <c r="L3926" t="s">
        <v>478</v>
      </c>
      <c r="M3926" t="s">
        <v>6</v>
      </c>
      <c r="N3926" t="b">
        <v>0</v>
      </c>
      <c r="O3926">
        <v>1</v>
      </c>
      <c r="P3926">
        <v>0</v>
      </c>
      <c r="Q3926">
        <v>0</v>
      </c>
      <c r="R3926">
        <v>0</v>
      </c>
    </row>
    <row r="3927" spans="1:18" x14ac:dyDescent="0.25">
      <c r="A3927" t="s">
        <v>17</v>
      </c>
      <c r="B3927" t="s">
        <v>8</v>
      </c>
      <c r="C3927">
        <v>1</v>
      </c>
      <c r="D3927">
        <v>5</v>
      </c>
      <c r="E3927">
        <v>2</v>
      </c>
      <c r="F3927" s="15">
        <v>46125</v>
      </c>
      <c r="G3927" t="s">
        <v>488</v>
      </c>
      <c r="H3927">
        <v>3</v>
      </c>
      <c r="I3927">
        <v>2026</v>
      </c>
      <c r="J3927">
        <v>4</v>
      </c>
      <c r="K3927" t="s">
        <v>87</v>
      </c>
      <c r="L3927" t="s">
        <v>326</v>
      </c>
      <c r="M3927" t="s">
        <v>6</v>
      </c>
      <c r="N3927" t="b">
        <v>0</v>
      </c>
      <c r="O3927">
        <v>1</v>
      </c>
      <c r="P3927">
        <v>0</v>
      </c>
      <c r="Q3927">
        <v>0</v>
      </c>
      <c r="R3927">
        <v>0</v>
      </c>
    </row>
    <row r="3928" spans="1:18" x14ac:dyDescent="0.25">
      <c r="A3928" t="s">
        <v>478</v>
      </c>
      <c r="B3928" t="s">
        <v>6</v>
      </c>
      <c r="C3928">
        <v>2</v>
      </c>
      <c r="D3928">
        <v>5</v>
      </c>
      <c r="E3928">
        <v>2</v>
      </c>
      <c r="F3928" s="15">
        <v>46125</v>
      </c>
      <c r="G3928" t="s">
        <v>488</v>
      </c>
      <c r="H3928">
        <v>3</v>
      </c>
      <c r="I3928">
        <v>2026</v>
      </c>
      <c r="J3928">
        <v>4</v>
      </c>
      <c r="K3928" t="s">
        <v>87</v>
      </c>
      <c r="L3928" t="s">
        <v>17</v>
      </c>
      <c r="M3928" t="s">
        <v>8</v>
      </c>
      <c r="N3928" t="b">
        <v>0</v>
      </c>
      <c r="O3928">
        <v>0</v>
      </c>
      <c r="P3928">
        <v>1</v>
      </c>
      <c r="Q3928">
        <v>0</v>
      </c>
      <c r="R3928">
        <v>1</v>
      </c>
    </row>
    <row r="3929" spans="1:18" x14ac:dyDescent="0.25">
      <c r="A3929" t="s">
        <v>478</v>
      </c>
      <c r="B3929" t="s">
        <v>6</v>
      </c>
      <c r="C3929">
        <v>2</v>
      </c>
      <c r="D3929">
        <v>5</v>
      </c>
      <c r="E3929">
        <v>2</v>
      </c>
      <c r="F3929" s="15">
        <v>46125</v>
      </c>
      <c r="G3929" t="s">
        <v>488</v>
      </c>
      <c r="H3929">
        <v>3</v>
      </c>
      <c r="I3929">
        <v>2026</v>
      </c>
      <c r="J3929">
        <v>4</v>
      </c>
      <c r="K3929" t="s">
        <v>87</v>
      </c>
      <c r="L3929" t="s">
        <v>326</v>
      </c>
      <c r="M3929" t="s">
        <v>6</v>
      </c>
      <c r="N3929" t="b">
        <v>0</v>
      </c>
      <c r="O3929">
        <v>0</v>
      </c>
      <c r="P3929">
        <v>1</v>
      </c>
      <c r="Q3929">
        <v>0</v>
      </c>
      <c r="R3929">
        <v>0</v>
      </c>
    </row>
    <row r="3930" spans="1:18" x14ac:dyDescent="0.25">
      <c r="A3930" t="s">
        <v>326</v>
      </c>
      <c r="B3930" t="s">
        <v>6</v>
      </c>
      <c r="C3930">
        <v>3</v>
      </c>
      <c r="D3930">
        <v>5</v>
      </c>
      <c r="E3930">
        <v>2</v>
      </c>
      <c r="F3930" s="15">
        <v>46125</v>
      </c>
      <c r="G3930" t="s">
        <v>488</v>
      </c>
      <c r="H3930">
        <v>3</v>
      </c>
      <c r="I3930">
        <v>2026</v>
      </c>
      <c r="J3930">
        <v>4</v>
      </c>
      <c r="K3930" t="s">
        <v>87</v>
      </c>
      <c r="L3930" t="s">
        <v>17</v>
      </c>
      <c r="M3930" t="s">
        <v>8</v>
      </c>
      <c r="N3930" t="b">
        <v>0</v>
      </c>
      <c r="O3930">
        <v>0</v>
      </c>
      <c r="P3930">
        <v>1</v>
      </c>
      <c r="Q3930">
        <v>0</v>
      </c>
      <c r="R3930">
        <v>1</v>
      </c>
    </row>
    <row r="3931" spans="1:18" x14ac:dyDescent="0.25">
      <c r="A3931" t="s">
        <v>326</v>
      </c>
      <c r="B3931" t="s">
        <v>6</v>
      </c>
      <c r="C3931">
        <v>3</v>
      </c>
      <c r="D3931">
        <v>5</v>
      </c>
      <c r="E3931">
        <v>2</v>
      </c>
      <c r="F3931" s="15">
        <v>46125</v>
      </c>
      <c r="G3931" t="s">
        <v>488</v>
      </c>
      <c r="H3931">
        <v>3</v>
      </c>
      <c r="I3931">
        <v>2026</v>
      </c>
      <c r="J3931">
        <v>4</v>
      </c>
      <c r="K3931" t="s">
        <v>87</v>
      </c>
      <c r="L3931" t="s">
        <v>478</v>
      </c>
      <c r="M3931" t="s">
        <v>6</v>
      </c>
      <c r="N3931" t="b">
        <v>0</v>
      </c>
      <c r="O3931">
        <v>0</v>
      </c>
      <c r="P3931">
        <v>1</v>
      </c>
      <c r="Q3931">
        <v>0</v>
      </c>
      <c r="R3931">
        <v>0</v>
      </c>
    </row>
    <row r="3932" spans="1:18" x14ac:dyDescent="0.25">
      <c r="A3932" t="s">
        <v>11</v>
      </c>
      <c r="B3932" t="s">
        <v>6</v>
      </c>
      <c r="C3932">
        <v>1</v>
      </c>
      <c r="D3932">
        <v>1</v>
      </c>
      <c r="E3932">
        <v>1</v>
      </c>
      <c r="F3932" s="15">
        <v>46132</v>
      </c>
      <c r="G3932" t="s">
        <v>489</v>
      </c>
      <c r="H3932">
        <v>4</v>
      </c>
      <c r="I3932">
        <v>2026</v>
      </c>
      <c r="J3932">
        <v>4</v>
      </c>
      <c r="K3932" t="s">
        <v>87</v>
      </c>
      <c r="L3932" t="s">
        <v>465</v>
      </c>
      <c r="M3932" t="s">
        <v>8</v>
      </c>
      <c r="N3932" t="b">
        <v>0</v>
      </c>
      <c r="O3932">
        <v>0</v>
      </c>
      <c r="P3932">
        <v>1</v>
      </c>
      <c r="Q3932">
        <v>0</v>
      </c>
      <c r="R3932">
        <v>1</v>
      </c>
    </row>
    <row r="3933" spans="1:18" x14ac:dyDescent="0.25">
      <c r="A3933" t="s">
        <v>11</v>
      </c>
      <c r="B3933" t="s">
        <v>6</v>
      </c>
      <c r="C3933">
        <v>1</v>
      </c>
      <c r="D3933">
        <v>1</v>
      </c>
      <c r="E3933">
        <v>1</v>
      </c>
      <c r="F3933" s="15">
        <v>46132</v>
      </c>
      <c r="G3933" t="s">
        <v>489</v>
      </c>
      <c r="H3933">
        <v>4</v>
      </c>
      <c r="I3933">
        <v>2026</v>
      </c>
      <c r="J3933">
        <v>4</v>
      </c>
      <c r="K3933" t="s">
        <v>87</v>
      </c>
      <c r="L3933" t="s">
        <v>59</v>
      </c>
      <c r="M3933" t="s">
        <v>6</v>
      </c>
      <c r="N3933" t="b">
        <v>0</v>
      </c>
      <c r="O3933">
        <v>0</v>
      </c>
      <c r="P3933">
        <v>1</v>
      </c>
      <c r="Q3933">
        <v>0</v>
      </c>
      <c r="R3933">
        <v>0</v>
      </c>
    </row>
    <row r="3934" spans="1:18" x14ac:dyDescent="0.25">
      <c r="A3934" t="s">
        <v>11</v>
      </c>
      <c r="B3934" t="s">
        <v>6</v>
      </c>
      <c r="C3934">
        <v>1</v>
      </c>
      <c r="D3934">
        <v>1</v>
      </c>
      <c r="E3934">
        <v>1</v>
      </c>
      <c r="F3934" s="15">
        <v>46132</v>
      </c>
      <c r="G3934" t="s">
        <v>489</v>
      </c>
      <c r="H3934">
        <v>4</v>
      </c>
      <c r="I3934">
        <v>2026</v>
      </c>
      <c r="J3934">
        <v>4</v>
      </c>
      <c r="K3934" t="s">
        <v>87</v>
      </c>
      <c r="L3934" t="s">
        <v>438</v>
      </c>
      <c r="M3934" t="s">
        <v>6</v>
      </c>
      <c r="N3934" t="b">
        <v>0</v>
      </c>
      <c r="O3934">
        <v>0</v>
      </c>
      <c r="P3934">
        <v>1</v>
      </c>
      <c r="Q3934">
        <v>0</v>
      </c>
      <c r="R3934">
        <v>0</v>
      </c>
    </row>
    <row r="3935" spans="1:18" x14ac:dyDescent="0.25">
      <c r="A3935" t="s">
        <v>465</v>
      </c>
      <c r="B3935" t="s">
        <v>8</v>
      </c>
      <c r="C3935">
        <v>2</v>
      </c>
      <c r="D3935">
        <v>1</v>
      </c>
      <c r="E3935">
        <v>1</v>
      </c>
      <c r="F3935" s="15">
        <v>46132</v>
      </c>
      <c r="G3935" t="s">
        <v>489</v>
      </c>
      <c r="H3935">
        <v>4</v>
      </c>
      <c r="I3935">
        <v>2026</v>
      </c>
      <c r="J3935">
        <v>4</v>
      </c>
      <c r="K3935" t="s">
        <v>87</v>
      </c>
      <c r="L3935" t="s">
        <v>11</v>
      </c>
      <c r="M3935" t="s">
        <v>6</v>
      </c>
      <c r="N3935" t="b">
        <v>0</v>
      </c>
      <c r="O3935">
        <v>1</v>
      </c>
      <c r="P3935">
        <v>0</v>
      </c>
      <c r="Q3935">
        <v>0</v>
      </c>
      <c r="R3935">
        <v>0</v>
      </c>
    </row>
    <row r="3936" spans="1:18" x14ac:dyDescent="0.25">
      <c r="A3936" t="s">
        <v>465</v>
      </c>
      <c r="B3936" t="s">
        <v>8</v>
      </c>
      <c r="C3936">
        <v>2</v>
      </c>
      <c r="D3936">
        <v>1</v>
      </c>
      <c r="E3936">
        <v>1</v>
      </c>
      <c r="F3936" s="15">
        <v>46132</v>
      </c>
      <c r="G3936" t="s">
        <v>489</v>
      </c>
      <c r="H3936">
        <v>4</v>
      </c>
      <c r="I3936">
        <v>2026</v>
      </c>
      <c r="J3936">
        <v>4</v>
      </c>
      <c r="K3936" t="s">
        <v>87</v>
      </c>
      <c r="L3936" t="s">
        <v>59</v>
      </c>
      <c r="M3936" t="s">
        <v>6</v>
      </c>
      <c r="N3936" t="b">
        <v>0</v>
      </c>
      <c r="O3936">
        <v>1</v>
      </c>
      <c r="P3936">
        <v>0</v>
      </c>
      <c r="Q3936">
        <v>0</v>
      </c>
      <c r="R3936">
        <v>0</v>
      </c>
    </row>
    <row r="3937" spans="1:18" x14ac:dyDescent="0.25">
      <c r="A3937" t="s">
        <v>465</v>
      </c>
      <c r="B3937" t="s">
        <v>8</v>
      </c>
      <c r="C3937">
        <v>2</v>
      </c>
      <c r="D3937">
        <v>1</v>
      </c>
      <c r="E3937">
        <v>1</v>
      </c>
      <c r="F3937" s="15">
        <v>46132</v>
      </c>
      <c r="G3937" t="s">
        <v>489</v>
      </c>
      <c r="H3937">
        <v>4</v>
      </c>
      <c r="I3937">
        <v>2026</v>
      </c>
      <c r="J3937">
        <v>4</v>
      </c>
      <c r="K3937" t="s">
        <v>87</v>
      </c>
      <c r="L3937" t="s">
        <v>438</v>
      </c>
      <c r="M3937" t="s">
        <v>6</v>
      </c>
      <c r="N3937" t="b">
        <v>0</v>
      </c>
      <c r="O3937">
        <v>1</v>
      </c>
      <c r="P3937">
        <v>0</v>
      </c>
      <c r="Q3937">
        <v>0</v>
      </c>
      <c r="R3937">
        <v>0</v>
      </c>
    </row>
    <row r="3938" spans="1:18" x14ac:dyDescent="0.25">
      <c r="A3938" t="s">
        <v>59</v>
      </c>
      <c r="B3938" t="s">
        <v>6</v>
      </c>
      <c r="C3938">
        <v>3</v>
      </c>
      <c r="D3938">
        <v>1</v>
      </c>
      <c r="E3938">
        <v>1</v>
      </c>
      <c r="F3938" s="15">
        <v>46132</v>
      </c>
      <c r="G3938" t="s">
        <v>489</v>
      </c>
      <c r="H3938">
        <v>4</v>
      </c>
      <c r="I3938">
        <v>2026</v>
      </c>
      <c r="J3938">
        <v>4</v>
      </c>
      <c r="K3938" t="s">
        <v>87</v>
      </c>
      <c r="L3938" t="s">
        <v>11</v>
      </c>
      <c r="M3938" t="s">
        <v>6</v>
      </c>
      <c r="N3938" t="b">
        <v>0</v>
      </c>
      <c r="O3938">
        <v>0</v>
      </c>
      <c r="P3938">
        <v>1</v>
      </c>
      <c r="Q3938">
        <v>0</v>
      </c>
      <c r="R3938">
        <v>0</v>
      </c>
    </row>
    <row r="3939" spans="1:18" x14ac:dyDescent="0.25">
      <c r="A3939" t="s">
        <v>59</v>
      </c>
      <c r="B3939" t="s">
        <v>6</v>
      </c>
      <c r="C3939">
        <v>3</v>
      </c>
      <c r="D3939">
        <v>1</v>
      </c>
      <c r="E3939">
        <v>1</v>
      </c>
      <c r="F3939" s="15">
        <v>46132</v>
      </c>
      <c r="G3939" t="s">
        <v>489</v>
      </c>
      <c r="H3939">
        <v>4</v>
      </c>
      <c r="I3939">
        <v>2026</v>
      </c>
      <c r="J3939">
        <v>4</v>
      </c>
      <c r="K3939" t="s">
        <v>87</v>
      </c>
      <c r="L3939" t="s">
        <v>465</v>
      </c>
      <c r="M3939" t="s">
        <v>8</v>
      </c>
      <c r="N3939" t="b">
        <v>0</v>
      </c>
      <c r="O3939">
        <v>0</v>
      </c>
      <c r="P3939">
        <v>1</v>
      </c>
      <c r="Q3939">
        <v>0</v>
      </c>
      <c r="R3939">
        <v>1</v>
      </c>
    </row>
    <row r="3940" spans="1:18" x14ac:dyDescent="0.25">
      <c r="A3940" t="s">
        <v>59</v>
      </c>
      <c r="B3940" t="s">
        <v>6</v>
      </c>
      <c r="C3940">
        <v>3</v>
      </c>
      <c r="D3940">
        <v>1</v>
      </c>
      <c r="E3940">
        <v>1</v>
      </c>
      <c r="F3940" s="15">
        <v>46132</v>
      </c>
      <c r="G3940" t="s">
        <v>489</v>
      </c>
      <c r="H3940">
        <v>4</v>
      </c>
      <c r="I3940">
        <v>2026</v>
      </c>
      <c r="J3940">
        <v>4</v>
      </c>
      <c r="K3940" t="s">
        <v>87</v>
      </c>
      <c r="L3940" t="s">
        <v>438</v>
      </c>
      <c r="M3940" t="s">
        <v>6</v>
      </c>
      <c r="N3940" t="b">
        <v>0</v>
      </c>
      <c r="O3940">
        <v>0</v>
      </c>
      <c r="P3940">
        <v>1</v>
      </c>
      <c r="Q3940">
        <v>0</v>
      </c>
      <c r="R3940">
        <v>0</v>
      </c>
    </row>
    <row r="3941" spans="1:18" x14ac:dyDescent="0.25">
      <c r="A3941" t="s">
        <v>438</v>
      </c>
      <c r="B3941" t="s">
        <v>6</v>
      </c>
      <c r="C3941">
        <v>4</v>
      </c>
      <c r="D3941">
        <v>1</v>
      </c>
      <c r="E3941">
        <v>1</v>
      </c>
      <c r="F3941" s="15">
        <v>46132</v>
      </c>
      <c r="G3941" t="s">
        <v>489</v>
      </c>
      <c r="H3941">
        <v>4</v>
      </c>
      <c r="I3941">
        <v>2026</v>
      </c>
      <c r="J3941">
        <v>4</v>
      </c>
      <c r="K3941" t="s">
        <v>87</v>
      </c>
      <c r="L3941" t="s">
        <v>11</v>
      </c>
      <c r="M3941" t="s">
        <v>6</v>
      </c>
      <c r="N3941" t="b">
        <v>0</v>
      </c>
      <c r="O3941">
        <v>0</v>
      </c>
      <c r="P3941">
        <v>1</v>
      </c>
      <c r="Q3941">
        <v>0</v>
      </c>
      <c r="R3941">
        <v>0</v>
      </c>
    </row>
    <row r="3942" spans="1:18" x14ac:dyDescent="0.25">
      <c r="A3942" t="s">
        <v>438</v>
      </c>
      <c r="B3942" t="s">
        <v>6</v>
      </c>
      <c r="C3942">
        <v>4</v>
      </c>
      <c r="D3942">
        <v>1</v>
      </c>
      <c r="E3942">
        <v>1</v>
      </c>
      <c r="F3942" s="15">
        <v>46132</v>
      </c>
      <c r="G3942" t="s">
        <v>489</v>
      </c>
      <c r="H3942">
        <v>4</v>
      </c>
      <c r="I3942">
        <v>2026</v>
      </c>
      <c r="J3942">
        <v>4</v>
      </c>
      <c r="K3942" t="s">
        <v>87</v>
      </c>
      <c r="L3942" t="s">
        <v>465</v>
      </c>
      <c r="M3942" t="s">
        <v>8</v>
      </c>
      <c r="N3942" t="b">
        <v>0</v>
      </c>
      <c r="O3942">
        <v>0</v>
      </c>
      <c r="P3942">
        <v>1</v>
      </c>
      <c r="Q3942">
        <v>0</v>
      </c>
      <c r="R3942">
        <v>1</v>
      </c>
    </row>
    <row r="3943" spans="1:18" x14ac:dyDescent="0.25">
      <c r="A3943" t="s">
        <v>438</v>
      </c>
      <c r="B3943" t="s">
        <v>6</v>
      </c>
      <c r="C3943">
        <v>4</v>
      </c>
      <c r="D3943">
        <v>1</v>
      </c>
      <c r="E3943">
        <v>1</v>
      </c>
      <c r="F3943" s="15">
        <v>46132</v>
      </c>
      <c r="G3943" t="s">
        <v>489</v>
      </c>
      <c r="H3943">
        <v>4</v>
      </c>
      <c r="I3943">
        <v>2026</v>
      </c>
      <c r="J3943">
        <v>4</v>
      </c>
      <c r="K3943" t="s">
        <v>87</v>
      </c>
      <c r="L3943" t="s">
        <v>59</v>
      </c>
      <c r="M3943" t="s">
        <v>6</v>
      </c>
      <c r="N3943" t="b">
        <v>0</v>
      </c>
      <c r="O3943">
        <v>0</v>
      </c>
      <c r="P3943">
        <v>1</v>
      </c>
      <c r="Q3943">
        <v>0</v>
      </c>
      <c r="R3943">
        <v>0</v>
      </c>
    </row>
    <row r="3944" spans="1:18" x14ac:dyDescent="0.25">
      <c r="A3944" t="s">
        <v>10</v>
      </c>
      <c r="B3944" t="s">
        <v>6</v>
      </c>
      <c r="C3944">
        <v>1</v>
      </c>
      <c r="D3944">
        <v>2</v>
      </c>
      <c r="E3944">
        <v>1</v>
      </c>
      <c r="F3944" s="15">
        <v>46132</v>
      </c>
      <c r="G3944" t="s">
        <v>490</v>
      </c>
      <c r="H3944">
        <v>4</v>
      </c>
      <c r="I3944">
        <v>2026</v>
      </c>
      <c r="J3944">
        <v>4</v>
      </c>
      <c r="K3944" t="s">
        <v>87</v>
      </c>
      <c r="L3944" t="s">
        <v>436</v>
      </c>
      <c r="M3944" t="s">
        <v>8</v>
      </c>
      <c r="N3944" t="b">
        <v>0</v>
      </c>
      <c r="O3944">
        <v>0</v>
      </c>
      <c r="P3944">
        <v>1</v>
      </c>
      <c r="Q3944">
        <v>0</v>
      </c>
      <c r="R3944">
        <v>1</v>
      </c>
    </row>
    <row r="3945" spans="1:18" x14ac:dyDescent="0.25">
      <c r="A3945" t="s">
        <v>10</v>
      </c>
      <c r="B3945" t="s">
        <v>6</v>
      </c>
      <c r="C3945">
        <v>1</v>
      </c>
      <c r="D3945">
        <v>2</v>
      </c>
      <c r="E3945">
        <v>1</v>
      </c>
      <c r="F3945" s="15">
        <v>46132</v>
      </c>
      <c r="G3945" t="s">
        <v>490</v>
      </c>
      <c r="H3945">
        <v>4</v>
      </c>
      <c r="I3945">
        <v>2026</v>
      </c>
      <c r="J3945">
        <v>4</v>
      </c>
      <c r="K3945" t="s">
        <v>87</v>
      </c>
      <c r="L3945" t="s">
        <v>14</v>
      </c>
      <c r="M3945" t="s">
        <v>6</v>
      </c>
      <c r="N3945" t="b">
        <v>0</v>
      </c>
      <c r="O3945">
        <v>0</v>
      </c>
      <c r="P3945">
        <v>1</v>
      </c>
      <c r="Q3945">
        <v>0</v>
      </c>
      <c r="R3945">
        <v>0</v>
      </c>
    </row>
    <row r="3946" spans="1:18" x14ac:dyDescent="0.25">
      <c r="A3946" t="s">
        <v>10</v>
      </c>
      <c r="B3946" t="s">
        <v>6</v>
      </c>
      <c r="C3946">
        <v>1</v>
      </c>
      <c r="D3946">
        <v>2</v>
      </c>
      <c r="E3946">
        <v>1</v>
      </c>
      <c r="F3946" s="15">
        <v>46132</v>
      </c>
      <c r="G3946" t="s">
        <v>490</v>
      </c>
      <c r="H3946">
        <v>4</v>
      </c>
      <c r="I3946">
        <v>2026</v>
      </c>
      <c r="J3946">
        <v>4</v>
      </c>
      <c r="K3946" t="s">
        <v>87</v>
      </c>
      <c r="L3946" t="s">
        <v>325</v>
      </c>
      <c r="M3946" t="s">
        <v>6</v>
      </c>
      <c r="N3946" t="b">
        <v>0</v>
      </c>
      <c r="O3946">
        <v>0</v>
      </c>
      <c r="P3946">
        <v>1</v>
      </c>
      <c r="Q3946">
        <v>0</v>
      </c>
      <c r="R3946">
        <v>0</v>
      </c>
    </row>
    <row r="3947" spans="1:18" x14ac:dyDescent="0.25">
      <c r="A3947" t="s">
        <v>436</v>
      </c>
      <c r="B3947" t="s">
        <v>8</v>
      </c>
      <c r="C3947">
        <v>2</v>
      </c>
      <c r="D3947">
        <v>2</v>
      </c>
      <c r="E3947">
        <v>1</v>
      </c>
      <c r="F3947" s="15">
        <v>46132</v>
      </c>
      <c r="G3947" t="s">
        <v>490</v>
      </c>
      <c r="H3947">
        <v>4</v>
      </c>
      <c r="I3947">
        <v>2026</v>
      </c>
      <c r="J3947">
        <v>4</v>
      </c>
      <c r="K3947" t="s">
        <v>87</v>
      </c>
      <c r="L3947" t="s">
        <v>10</v>
      </c>
      <c r="M3947" t="s">
        <v>6</v>
      </c>
      <c r="N3947" t="b">
        <v>0</v>
      </c>
      <c r="O3947">
        <v>1</v>
      </c>
      <c r="P3947">
        <v>0</v>
      </c>
      <c r="Q3947">
        <v>0</v>
      </c>
      <c r="R3947">
        <v>0</v>
      </c>
    </row>
    <row r="3948" spans="1:18" x14ac:dyDescent="0.25">
      <c r="A3948" t="s">
        <v>436</v>
      </c>
      <c r="B3948" t="s">
        <v>8</v>
      </c>
      <c r="C3948">
        <v>2</v>
      </c>
      <c r="D3948">
        <v>2</v>
      </c>
      <c r="E3948">
        <v>1</v>
      </c>
      <c r="F3948" s="15">
        <v>46132</v>
      </c>
      <c r="G3948" t="s">
        <v>490</v>
      </c>
      <c r="H3948">
        <v>4</v>
      </c>
      <c r="I3948">
        <v>2026</v>
      </c>
      <c r="J3948">
        <v>4</v>
      </c>
      <c r="K3948" t="s">
        <v>87</v>
      </c>
      <c r="L3948" t="s">
        <v>14</v>
      </c>
      <c r="M3948" t="s">
        <v>6</v>
      </c>
      <c r="N3948" t="b">
        <v>0</v>
      </c>
      <c r="O3948">
        <v>1</v>
      </c>
      <c r="P3948">
        <v>0</v>
      </c>
      <c r="Q3948">
        <v>0</v>
      </c>
      <c r="R3948">
        <v>0</v>
      </c>
    </row>
    <row r="3949" spans="1:18" x14ac:dyDescent="0.25">
      <c r="A3949" t="s">
        <v>436</v>
      </c>
      <c r="B3949" t="s">
        <v>8</v>
      </c>
      <c r="C3949">
        <v>2</v>
      </c>
      <c r="D3949">
        <v>2</v>
      </c>
      <c r="E3949">
        <v>1</v>
      </c>
      <c r="F3949" s="15">
        <v>46132</v>
      </c>
      <c r="G3949" t="s">
        <v>490</v>
      </c>
      <c r="H3949">
        <v>4</v>
      </c>
      <c r="I3949">
        <v>2026</v>
      </c>
      <c r="J3949">
        <v>4</v>
      </c>
      <c r="K3949" t="s">
        <v>87</v>
      </c>
      <c r="L3949" t="s">
        <v>325</v>
      </c>
      <c r="M3949" t="s">
        <v>6</v>
      </c>
      <c r="N3949" t="b">
        <v>0</v>
      </c>
      <c r="O3949">
        <v>1</v>
      </c>
      <c r="P3949">
        <v>0</v>
      </c>
      <c r="Q3949">
        <v>0</v>
      </c>
      <c r="R3949">
        <v>0</v>
      </c>
    </row>
    <row r="3950" spans="1:18" x14ac:dyDescent="0.25">
      <c r="A3950" t="s">
        <v>14</v>
      </c>
      <c r="B3950" t="s">
        <v>6</v>
      </c>
      <c r="C3950">
        <v>3</v>
      </c>
      <c r="D3950">
        <v>2</v>
      </c>
      <c r="E3950">
        <v>1</v>
      </c>
      <c r="F3950" s="15">
        <v>46132</v>
      </c>
      <c r="G3950" t="s">
        <v>490</v>
      </c>
      <c r="H3950">
        <v>4</v>
      </c>
      <c r="I3950">
        <v>2026</v>
      </c>
      <c r="J3950">
        <v>4</v>
      </c>
      <c r="K3950" t="s">
        <v>87</v>
      </c>
      <c r="L3950" t="s">
        <v>10</v>
      </c>
      <c r="M3950" t="s">
        <v>6</v>
      </c>
      <c r="N3950" t="b">
        <v>0</v>
      </c>
      <c r="O3950">
        <v>0</v>
      </c>
      <c r="P3950">
        <v>1</v>
      </c>
      <c r="Q3950">
        <v>0</v>
      </c>
      <c r="R3950">
        <v>0</v>
      </c>
    </row>
    <row r="3951" spans="1:18" x14ac:dyDescent="0.25">
      <c r="A3951" t="s">
        <v>14</v>
      </c>
      <c r="B3951" t="s">
        <v>6</v>
      </c>
      <c r="C3951">
        <v>3</v>
      </c>
      <c r="D3951">
        <v>2</v>
      </c>
      <c r="E3951">
        <v>1</v>
      </c>
      <c r="F3951" s="15">
        <v>46132</v>
      </c>
      <c r="G3951" t="s">
        <v>490</v>
      </c>
      <c r="H3951">
        <v>4</v>
      </c>
      <c r="I3951">
        <v>2026</v>
      </c>
      <c r="J3951">
        <v>4</v>
      </c>
      <c r="K3951" t="s">
        <v>87</v>
      </c>
      <c r="L3951" t="s">
        <v>436</v>
      </c>
      <c r="M3951" t="s">
        <v>8</v>
      </c>
      <c r="N3951" t="b">
        <v>0</v>
      </c>
      <c r="O3951">
        <v>0</v>
      </c>
      <c r="P3951">
        <v>1</v>
      </c>
      <c r="Q3951">
        <v>0</v>
      </c>
      <c r="R3951">
        <v>1</v>
      </c>
    </row>
    <row r="3952" spans="1:18" x14ac:dyDescent="0.25">
      <c r="A3952" t="s">
        <v>14</v>
      </c>
      <c r="B3952" t="s">
        <v>6</v>
      </c>
      <c r="C3952">
        <v>3</v>
      </c>
      <c r="D3952">
        <v>2</v>
      </c>
      <c r="E3952">
        <v>1</v>
      </c>
      <c r="F3952" s="15">
        <v>46132</v>
      </c>
      <c r="G3952" t="s">
        <v>490</v>
      </c>
      <c r="H3952">
        <v>4</v>
      </c>
      <c r="I3952">
        <v>2026</v>
      </c>
      <c r="J3952">
        <v>4</v>
      </c>
      <c r="K3952" t="s">
        <v>87</v>
      </c>
      <c r="L3952" t="s">
        <v>325</v>
      </c>
      <c r="M3952" t="s">
        <v>6</v>
      </c>
      <c r="N3952" t="b">
        <v>0</v>
      </c>
      <c r="O3952">
        <v>0</v>
      </c>
      <c r="P3952">
        <v>1</v>
      </c>
      <c r="Q3952">
        <v>0</v>
      </c>
      <c r="R3952">
        <v>0</v>
      </c>
    </row>
    <row r="3953" spans="1:18" x14ac:dyDescent="0.25">
      <c r="A3953" t="s">
        <v>325</v>
      </c>
      <c r="B3953" t="s">
        <v>6</v>
      </c>
      <c r="C3953">
        <v>4</v>
      </c>
      <c r="D3953">
        <v>2</v>
      </c>
      <c r="E3953">
        <v>1</v>
      </c>
      <c r="F3953" s="15">
        <v>46132</v>
      </c>
      <c r="G3953" t="s">
        <v>490</v>
      </c>
      <c r="H3953">
        <v>4</v>
      </c>
      <c r="I3953">
        <v>2026</v>
      </c>
      <c r="J3953">
        <v>4</v>
      </c>
      <c r="K3953" t="s">
        <v>87</v>
      </c>
      <c r="L3953" t="s">
        <v>10</v>
      </c>
      <c r="M3953" t="s">
        <v>6</v>
      </c>
      <c r="N3953" t="b">
        <v>0</v>
      </c>
      <c r="O3953">
        <v>0</v>
      </c>
      <c r="P3953">
        <v>1</v>
      </c>
      <c r="Q3953">
        <v>0</v>
      </c>
      <c r="R3953">
        <v>0</v>
      </c>
    </row>
    <row r="3954" spans="1:18" x14ac:dyDescent="0.25">
      <c r="A3954" t="s">
        <v>325</v>
      </c>
      <c r="B3954" t="s">
        <v>6</v>
      </c>
      <c r="C3954">
        <v>4</v>
      </c>
      <c r="D3954">
        <v>2</v>
      </c>
      <c r="E3954">
        <v>1</v>
      </c>
      <c r="F3954" s="15">
        <v>46132</v>
      </c>
      <c r="G3954" t="s">
        <v>490</v>
      </c>
      <c r="H3954">
        <v>4</v>
      </c>
      <c r="I3954">
        <v>2026</v>
      </c>
      <c r="J3954">
        <v>4</v>
      </c>
      <c r="K3954" t="s">
        <v>87</v>
      </c>
      <c r="L3954" t="s">
        <v>436</v>
      </c>
      <c r="M3954" t="s">
        <v>8</v>
      </c>
      <c r="N3954" t="b">
        <v>0</v>
      </c>
      <c r="O3954">
        <v>0</v>
      </c>
      <c r="P3954">
        <v>1</v>
      </c>
      <c r="Q3954">
        <v>0</v>
      </c>
      <c r="R3954">
        <v>1</v>
      </c>
    </row>
    <row r="3955" spans="1:18" x14ac:dyDescent="0.25">
      <c r="A3955" t="s">
        <v>325</v>
      </c>
      <c r="B3955" t="s">
        <v>6</v>
      </c>
      <c r="C3955">
        <v>4</v>
      </c>
      <c r="D3955">
        <v>2</v>
      </c>
      <c r="E3955">
        <v>1</v>
      </c>
      <c r="F3955" s="15">
        <v>46132</v>
      </c>
      <c r="G3955" t="s">
        <v>490</v>
      </c>
      <c r="H3955">
        <v>4</v>
      </c>
      <c r="I3955">
        <v>2026</v>
      </c>
      <c r="J3955">
        <v>4</v>
      </c>
      <c r="K3955" t="s">
        <v>87</v>
      </c>
      <c r="L3955" t="s">
        <v>14</v>
      </c>
      <c r="M3955" t="s">
        <v>6</v>
      </c>
      <c r="N3955" t="b">
        <v>0</v>
      </c>
      <c r="O3955">
        <v>0</v>
      </c>
      <c r="P3955">
        <v>1</v>
      </c>
      <c r="Q3955">
        <v>0</v>
      </c>
      <c r="R3955">
        <v>0</v>
      </c>
    </row>
    <row r="3956" spans="1:18" x14ac:dyDescent="0.25">
      <c r="A3956" t="s">
        <v>52</v>
      </c>
      <c r="B3956" t="s">
        <v>6</v>
      </c>
      <c r="C3956">
        <v>1</v>
      </c>
      <c r="D3956">
        <v>3</v>
      </c>
      <c r="E3956">
        <v>1</v>
      </c>
      <c r="F3956" s="15">
        <v>46132</v>
      </c>
      <c r="G3956" t="s">
        <v>491</v>
      </c>
      <c r="H3956">
        <v>4</v>
      </c>
      <c r="I3956">
        <v>2026</v>
      </c>
      <c r="J3956">
        <v>4</v>
      </c>
      <c r="K3956" t="s">
        <v>87</v>
      </c>
      <c r="L3956" t="s">
        <v>19</v>
      </c>
      <c r="M3956" t="s">
        <v>8</v>
      </c>
      <c r="N3956" t="b">
        <v>0</v>
      </c>
      <c r="O3956">
        <v>0</v>
      </c>
      <c r="P3956">
        <v>1</v>
      </c>
      <c r="Q3956">
        <v>0</v>
      </c>
      <c r="R3956">
        <v>1</v>
      </c>
    </row>
    <row r="3957" spans="1:18" x14ac:dyDescent="0.25">
      <c r="A3957" t="s">
        <v>52</v>
      </c>
      <c r="B3957" t="s">
        <v>6</v>
      </c>
      <c r="C3957">
        <v>1</v>
      </c>
      <c r="D3957">
        <v>3</v>
      </c>
      <c r="E3957">
        <v>1</v>
      </c>
      <c r="F3957" s="15">
        <v>46132</v>
      </c>
      <c r="G3957" t="s">
        <v>491</v>
      </c>
      <c r="H3957">
        <v>4</v>
      </c>
      <c r="I3957">
        <v>2026</v>
      </c>
      <c r="J3957">
        <v>4</v>
      </c>
      <c r="K3957" t="s">
        <v>87</v>
      </c>
      <c r="L3957" t="s">
        <v>13</v>
      </c>
      <c r="M3957" t="s">
        <v>6</v>
      </c>
      <c r="N3957" t="b">
        <v>0</v>
      </c>
      <c r="O3957">
        <v>0</v>
      </c>
      <c r="P3957">
        <v>1</v>
      </c>
      <c r="Q3957">
        <v>0</v>
      </c>
      <c r="R3957">
        <v>0</v>
      </c>
    </row>
    <row r="3958" spans="1:18" x14ac:dyDescent="0.25">
      <c r="A3958" t="s">
        <v>52</v>
      </c>
      <c r="B3958" t="s">
        <v>6</v>
      </c>
      <c r="C3958">
        <v>1</v>
      </c>
      <c r="D3958">
        <v>3</v>
      </c>
      <c r="E3958">
        <v>1</v>
      </c>
      <c r="F3958" s="15">
        <v>46132</v>
      </c>
      <c r="G3958" t="s">
        <v>491</v>
      </c>
      <c r="H3958">
        <v>4</v>
      </c>
      <c r="I3958">
        <v>2026</v>
      </c>
      <c r="J3958">
        <v>4</v>
      </c>
      <c r="K3958" t="s">
        <v>87</v>
      </c>
      <c r="L3958" t="s">
        <v>364</v>
      </c>
      <c r="M3958" t="s">
        <v>6</v>
      </c>
      <c r="N3958" t="b">
        <v>0</v>
      </c>
      <c r="O3958">
        <v>0</v>
      </c>
      <c r="P3958">
        <v>1</v>
      </c>
      <c r="Q3958">
        <v>0</v>
      </c>
      <c r="R3958">
        <v>0</v>
      </c>
    </row>
    <row r="3959" spans="1:18" x14ac:dyDescent="0.25">
      <c r="A3959" t="s">
        <v>19</v>
      </c>
      <c r="B3959" t="s">
        <v>8</v>
      </c>
      <c r="C3959">
        <v>2</v>
      </c>
      <c r="D3959">
        <v>3</v>
      </c>
      <c r="E3959">
        <v>1</v>
      </c>
      <c r="F3959" s="15">
        <v>46132</v>
      </c>
      <c r="G3959" t="s">
        <v>491</v>
      </c>
      <c r="H3959">
        <v>4</v>
      </c>
      <c r="I3959">
        <v>2026</v>
      </c>
      <c r="J3959">
        <v>4</v>
      </c>
      <c r="K3959" t="s">
        <v>87</v>
      </c>
      <c r="L3959" t="s">
        <v>52</v>
      </c>
      <c r="M3959" t="s">
        <v>6</v>
      </c>
      <c r="N3959" t="b">
        <v>0</v>
      </c>
      <c r="O3959">
        <v>1</v>
      </c>
      <c r="P3959">
        <v>0</v>
      </c>
      <c r="Q3959">
        <v>0</v>
      </c>
      <c r="R3959">
        <v>0</v>
      </c>
    </row>
    <row r="3960" spans="1:18" x14ac:dyDescent="0.25">
      <c r="A3960" t="s">
        <v>19</v>
      </c>
      <c r="B3960" t="s">
        <v>8</v>
      </c>
      <c r="C3960">
        <v>2</v>
      </c>
      <c r="D3960">
        <v>3</v>
      </c>
      <c r="E3960">
        <v>1</v>
      </c>
      <c r="F3960" s="15">
        <v>46132</v>
      </c>
      <c r="G3960" t="s">
        <v>491</v>
      </c>
      <c r="H3960">
        <v>4</v>
      </c>
      <c r="I3960">
        <v>2026</v>
      </c>
      <c r="J3960">
        <v>4</v>
      </c>
      <c r="K3960" t="s">
        <v>87</v>
      </c>
      <c r="L3960" t="s">
        <v>13</v>
      </c>
      <c r="M3960" t="s">
        <v>6</v>
      </c>
      <c r="N3960" t="b">
        <v>0</v>
      </c>
      <c r="O3960">
        <v>1</v>
      </c>
      <c r="P3960">
        <v>0</v>
      </c>
      <c r="Q3960">
        <v>0</v>
      </c>
      <c r="R3960">
        <v>0</v>
      </c>
    </row>
    <row r="3961" spans="1:18" x14ac:dyDescent="0.25">
      <c r="A3961" t="s">
        <v>19</v>
      </c>
      <c r="B3961" t="s">
        <v>8</v>
      </c>
      <c r="C3961">
        <v>2</v>
      </c>
      <c r="D3961">
        <v>3</v>
      </c>
      <c r="E3961">
        <v>1</v>
      </c>
      <c r="F3961" s="15">
        <v>46132</v>
      </c>
      <c r="G3961" t="s">
        <v>491</v>
      </c>
      <c r="H3961">
        <v>4</v>
      </c>
      <c r="I3961">
        <v>2026</v>
      </c>
      <c r="J3961">
        <v>4</v>
      </c>
      <c r="K3961" t="s">
        <v>87</v>
      </c>
      <c r="L3961" t="s">
        <v>364</v>
      </c>
      <c r="M3961" t="s">
        <v>6</v>
      </c>
      <c r="N3961" t="b">
        <v>0</v>
      </c>
      <c r="O3961">
        <v>1</v>
      </c>
      <c r="P3961">
        <v>0</v>
      </c>
      <c r="Q3961">
        <v>0</v>
      </c>
      <c r="R3961">
        <v>0</v>
      </c>
    </row>
    <row r="3962" spans="1:18" x14ac:dyDescent="0.25">
      <c r="A3962" t="s">
        <v>13</v>
      </c>
      <c r="B3962" t="s">
        <v>6</v>
      </c>
      <c r="C3962">
        <v>3</v>
      </c>
      <c r="D3962">
        <v>3</v>
      </c>
      <c r="E3962">
        <v>1</v>
      </c>
      <c r="F3962" s="15">
        <v>46132</v>
      </c>
      <c r="G3962" t="s">
        <v>491</v>
      </c>
      <c r="H3962">
        <v>4</v>
      </c>
      <c r="I3962">
        <v>2026</v>
      </c>
      <c r="J3962">
        <v>4</v>
      </c>
      <c r="K3962" t="s">
        <v>87</v>
      </c>
      <c r="L3962" t="s">
        <v>52</v>
      </c>
      <c r="M3962" t="s">
        <v>6</v>
      </c>
      <c r="N3962" t="b">
        <v>0</v>
      </c>
      <c r="O3962">
        <v>0</v>
      </c>
      <c r="P3962">
        <v>1</v>
      </c>
      <c r="Q3962">
        <v>0</v>
      </c>
      <c r="R3962">
        <v>0</v>
      </c>
    </row>
    <row r="3963" spans="1:18" x14ac:dyDescent="0.25">
      <c r="A3963" t="s">
        <v>13</v>
      </c>
      <c r="B3963" t="s">
        <v>6</v>
      </c>
      <c r="C3963">
        <v>3</v>
      </c>
      <c r="D3963">
        <v>3</v>
      </c>
      <c r="E3963">
        <v>1</v>
      </c>
      <c r="F3963" s="15">
        <v>46132</v>
      </c>
      <c r="G3963" t="s">
        <v>491</v>
      </c>
      <c r="H3963">
        <v>4</v>
      </c>
      <c r="I3963">
        <v>2026</v>
      </c>
      <c r="J3963">
        <v>4</v>
      </c>
      <c r="K3963" t="s">
        <v>87</v>
      </c>
      <c r="L3963" t="s">
        <v>19</v>
      </c>
      <c r="M3963" t="s">
        <v>8</v>
      </c>
      <c r="N3963" t="b">
        <v>0</v>
      </c>
      <c r="O3963">
        <v>0</v>
      </c>
      <c r="P3963">
        <v>1</v>
      </c>
      <c r="Q3963">
        <v>0</v>
      </c>
      <c r="R3963">
        <v>1</v>
      </c>
    </row>
    <row r="3964" spans="1:18" x14ac:dyDescent="0.25">
      <c r="A3964" t="s">
        <v>13</v>
      </c>
      <c r="B3964" t="s">
        <v>6</v>
      </c>
      <c r="C3964">
        <v>3</v>
      </c>
      <c r="D3964">
        <v>3</v>
      </c>
      <c r="E3964">
        <v>1</v>
      </c>
      <c r="F3964" s="15">
        <v>46132</v>
      </c>
      <c r="G3964" t="s">
        <v>491</v>
      </c>
      <c r="H3964">
        <v>4</v>
      </c>
      <c r="I3964">
        <v>2026</v>
      </c>
      <c r="J3964">
        <v>4</v>
      </c>
      <c r="K3964" t="s">
        <v>87</v>
      </c>
      <c r="L3964" t="s">
        <v>364</v>
      </c>
      <c r="M3964" t="s">
        <v>6</v>
      </c>
      <c r="N3964" t="b">
        <v>0</v>
      </c>
      <c r="O3964">
        <v>0</v>
      </c>
      <c r="P3964">
        <v>1</v>
      </c>
      <c r="Q3964">
        <v>0</v>
      </c>
      <c r="R3964">
        <v>0</v>
      </c>
    </row>
    <row r="3965" spans="1:18" x14ac:dyDescent="0.25">
      <c r="A3965" t="s">
        <v>364</v>
      </c>
      <c r="B3965" t="s">
        <v>6</v>
      </c>
      <c r="C3965">
        <v>4</v>
      </c>
      <c r="D3965">
        <v>3</v>
      </c>
      <c r="E3965">
        <v>1</v>
      </c>
      <c r="F3965" s="15">
        <v>46132</v>
      </c>
      <c r="G3965" t="s">
        <v>491</v>
      </c>
      <c r="H3965">
        <v>4</v>
      </c>
      <c r="I3965">
        <v>2026</v>
      </c>
      <c r="J3965">
        <v>4</v>
      </c>
      <c r="K3965" t="s">
        <v>87</v>
      </c>
      <c r="L3965" t="s">
        <v>52</v>
      </c>
      <c r="M3965" t="s">
        <v>6</v>
      </c>
      <c r="N3965" t="b">
        <v>0</v>
      </c>
      <c r="O3965">
        <v>0</v>
      </c>
      <c r="P3965">
        <v>1</v>
      </c>
      <c r="Q3965">
        <v>0</v>
      </c>
      <c r="R3965">
        <v>0</v>
      </c>
    </row>
    <row r="3966" spans="1:18" x14ac:dyDescent="0.25">
      <c r="A3966" t="s">
        <v>364</v>
      </c>
      <c r="B3966" t="s">
        <v>6</v>
      </c>
      <c r="C3966">
        <v>4</v>
      </c>
      <c r="D3966">
        <v>3</v>
      </c>
      <c r="E3966">
        <v>1</v>
      </c>
      <c r="F3966" s="15">
        <v>46132</v>
      </c>
      <c r="G3966" t="s">
        <v>491</v>
      </c>
      <c r="H3966">
        <v>4</v>
      </c>
      <c r="I3966">
        <v>2026</v>
      </c>
      <c r="J3966">
        <v>4</v>
      </c>
      <c r="K3966" t="s">
        <v>87</v>
      </c>
      <c r="L3966" t="s">
        <v>19</v>
      </c>
      <c r="M3966" t="s">
        <v>8</v>
      </c>
      <c r="N3966" t="b">
        <v>0</v>
      </c>
      <c r="O3966">
        <v>0</v>
      </c>
      <c r="P3966">
        <v>1</v>
      </c>
      <c r="Q3966">
        <v>0</v>
      </c>
      <c r="R3966">
        <v>1</v>
      </c>
    </row>
    <row r="3967" spans="1:18" x14ac:dyDescent="0.25">
      <c r="A3967" t="s">
        <v>364</v>
      </c>
      <c r="B3967" t="s">
        <v>6</v>
      </c>
      <c r="C3967">
        <v>4</v>
      </c>
      <c r="D3967">
        <v>3</v>
      </c>
      <c r="E3967">
        <v>1</v>
      </c>
      <c r="F3967" s="15">
        <v>46132</v>
      </c>
      <c r="G3967" t="s">
        <v>491</v>
      </c>
      <c r="H3967">
        <v>4</v>
      </c>
      <c r="I3967">
        <v>2026</v>
      </c>
      <c r="J3967">
        <v>4</v>
      </c>
      <c r="K3967" t="s">
        <v>87</v>
      </c>
      <c r="L3967" t="s">
        <v>13</v>
      </c>
      <c r="M3967" t="s">
        <v>6</v>
      </c>
      <c r="N3967" t="b">
        <v>0</v>
      </c>
      <c r="O3967">
        <v>0</v>
      </c>
      <c r="P3967">
        <v>1</v>
      </c>
      <c r="Q3967">
        <v>0</v>
      </c>
      <c r="R3967">
        <v>0</v>
      </c>
    </row>
    <row r="3968" spans="1:18" x14ac:dyDescent="0.25">
      <c r="A3968" t="s">
        <v>41</v>
      </c>
      <c r="B3968" t="s">
        <v>8</v>
      </c>
      <c r="C3968">
        <v>1</v>
      </c>
      <c r="D3968">
        <v>4</v>
      </c>
      <c r="E3968">
        <v>1</v>
      </c>
      <c r="F3968" s="15">
        <v>46132</v>
      </c>
      <c r="G3968" t="s">
        <v>492</v>
      </c>
      <c r="H3968">
        <v>3</v>
      </c>
      <c r="I3968">
        <v>2026</v>
      </c>
      <c r="J3968">
        <v>4</v>
      </c>
      <c r="K3968" t="s">
        <v>87</v>
      </c>
      <c r="L3968" t="s">
        <v>28</v>
      </c>
      <c r="M3968" t="s">
        <v>6</v>
      </c>
      <c r="N3968" t="b">
        <v>0</v>
      </c>
      <c r="O3968">
        <v>1</v>
      </c>
      <c r="P3968">
        <v>0</v>
      </c>
      <c r="Q3968">
        <v>0</v>
      </c>
      <c r="R3968">
        <v>0</v>
      </c>
    </row>
    <row r="3969" spans="1:18" x14ac:dyDescent="0.25">
      <c r="A3969" t="s">
        <v>41</v>
      </c>
      <c r="B3969" t="s">
        <v>8</v>
      </c>
      <c r="C3969">
        <v>1</v>
      </c>
      <c r="D3969">
        <v>4</v>
      </c>
      <c r="E3969">
        <v>1</v>
      </c>
      <c r="F3969" s="15">
        <v>46132</v>
      </c>
      <c r="G3969" t="s">
        <v>492</v>
      </c>
      <c r="H3969">
        <v>3</v>
      </c>
      <c r="I3969">
        <v>2026</v>
      </c>
      <c r="J3969">
        <v>4</v>
      </c>
      <c r="K3969" t="s">
        <v>87</v>
      </c>
      <c r="L3969" t="s">
        <v>363</v>
      </c>
      <c r="M3969" t="s">
        <v>6</v>
      </c>
      <c r="N3969" t="b">
        <v>0</v>
      </c>
      <c r="O3969">
        <v>1</v>
      </c>
      <c r="P3969">
        <v>0</v>
      </c>
      <c r="Q3969">
        <v>0</v>
      </c>
      <c r="R3969">
        <v>0</v>
      </c>
    </row>
    <row r="3970" spans="1:18" x14ac:dyDescent="0.25">
      <c r="A3970" t="s">
        <v>28</v>
      </c>
      <c r="B3970" t="s">
        <v>6</v>
      </c>
      <c r="C3970">
        <v>2</v>
      </c>
      <c r="D3970">
        <v>4</v>
      </c>
      <c r="E3970">
        <v>1</v>
      </c>
      <c r="F3970" s="15">
        <v>46132</v>
      </c>
      <c r="G3970" t="s">
        <v>492</v>
      </c>
      <c r="H3970">
        <v>3</v>
      </c>
      <c r="I3970">
        <v>2026</v>
      </c>
      <c r="J3970">
        <v>4</v>
      </c>
      <c r="K3970" t="s">
        <v>87</v>
      </c>
      <c r="L3970" t="s">
        <v>41</v>
      </c>
      <c r="M3970" t="s">
        <v>8</v>
      </c>
      <c r="N3970" t="b">
        <v>0</v>
      </c>
      <c r="O3970">
        <v>0</v>
      </c>
      <c r="P3970">
        <v>1</v>
      </c>
      <c r="Q3970">
        <v>0</v>
      </c>
      <c r="R3970">
        <v>1</v>
      </c>
    </row>
    <row r="3971" spans="1:18" x14ac:dyDescent="0.25">
      <c r="A3971" t="s">
        <v>28</v>
      </c>
      <c r="B3971" t="s">
        <v>6</v>
      </c>
      <c r="C3971">
        <v>2</v>
      </c>
      <c r="D3971">
        <v>4</v>
      </c>
      <c r="E3971">
        <v>1</v>
      </c>
      <c r="F3971" s="15">
        <v>46132</v>
      </c>
      <c r="G3971" t="s">
        <v>492</v>
      </c>
      <c r="H3971">
        <v>3</v>
      </c>
      <c r="I3971">
        <v>2026</v>
      </c>
      <c r="J3971">
        <v>4</v>
      </c>
      <c r="K3971" t="s">
        <v>87</v>
      </c>
      <c r="L3971" t="s">
        <v>363</v>
      </c>
      <c r="M3971" t="s">
        <v>6</v>
      </c>
      <c r="N3971" t="b">
        <v>0</v>
      </c>
      <c r="O3971">
        <v>0</v>
      </c>
      <c r="P3971">
        <v>1</v>
      </c>
      <c r="Q3971">
        <v>0</v>
      </c>
      <c r="R3971">
        <v>0</v>
      </c>
    </row>
    <row r="3972" spans="1:18" x14ac:dyDescent="0.25">
      <c r="A3972" t="s">
        <v>363</v>
      </c>
      <c r="B3972" t="s">
        <v>6</v>
      </c>
      <c r="C3972">
        <v>3</v>
      </c>
      <c r="D3972">
        <v>4</v>
      </c>
      <c r="E3972">
        <v>1</v>
      </c>
      <c r="F3972" s="15">
        <v>46132</v>
      </c>
      <c r="G3972" t="s">
        <v>492</v>
      </c>
      <c r="H3972">
        <v>3</v>
      </c>
      <c r="I3972">
        <v>2026</v>
      </c>
      <c r="J3972">
        <v>4</v>
      </c>
      <c r="K3972" t="s">
        <v>87</v>
      </c>
      <c r="L3972" t="s">
        <v>41</v>
      </c>
      <c r="M3972" t="s">
        <v>8</v>
      </c>
      <c r="N3972" t="b">
        <v>0</v>
      </c>
      <c r="O3972">
        <v>0</v>
      </c>
      <c r="P3972">
        <v>1</v>
      </c>
      <c r="Q3972">
        <v>0</v>
      </c>
      <c r="R3972">
        <v>1</v>
      </c>
    </row>
    <row r="3973" spans="1:18" x14ac:dyDescent="0.25">
      <c r="A3973" t="s">
        <v>363</v>
      </c>
      <c r="B3973" t="s">
        <v>6</v>
      </c>
      <c r="C3973">
        <v>3</v>
      </c>
      <c r="D3973">
        <v>4</v>
      </c>
      <c r="E3973">
        <v>1</v>
      </c>
      <c r="F3973" s="15">
        <v>46132</v>
      </c>
      <c r="G3973" t="s">
        <v>492</v>
      </c>
      <c r="H3973">
        <v>3</v>
      </c>
      <c r="I3973">
        <v>2026</v>
      </c>
      <c r="J3973">
        <v>4</v>
      </c>
      <c r="K3973" t="s">
        <v>87</v>
      </c>
      <c r="L3973" t="s">
        <v>28</v>
      </c>
      <c r="M3973" t="s">
        <v>6</v>
      </c>
      <c r="N3973" t="b">
        <v>0</v>
      </c>
      <c r="O3973">
        <v>0</v>
      </c>
      <c r="P3973">
        <v>1</v>
      </c>
      <c r="Q3973">
        <v>0</v>
      </c>
      <c r="R3973">
        <v>0</v>
      </c>
    </row>
    <row r="3974" spans="1:18" x14ac:dyDescent="0.25">
      <c r="A3974" t="s">
        <v>326</v>
      </c>
      <c r="B3974" t="s">
        <v>8</v>
      </c>
      <c r="C3974">
        <v>1</v>
      </c>
      <c r="D3974">
        <v>5</v>
      </c>
      <c r="E3974">
        <v>1</v>
      </c>
      <c r="F3974" s="15">
        <v>46132</v>
      </c>
      <c r="G3974" t="s">
        <v>493</v>
      </c>
      <c r="H3974">
        <v>3</v>
      </c>
      <c r="I3974">
        <v>2026</v>
      </c>
      <c r="J3974">
        <v>4</v>
      </c>
      <c r="K3974" t="s">
        <v>87</v>
      </c>
      <c r="L3974" t="s">
        <v>17</v>
      </c>
      <c r="M3974" t="s">
        <v>6</v>
      </c>
      <c r="N3974" t="b">
        <v>0</v>
      </c>
      <c r="O3974">
        <v>1</v>
      </c>
      <c r="P3974">
        <v>0</v>
      </c>
      <c r="Q3974">
        <v>0</v>
      </c>
      <c r="R3974">
        <v>0</v>
      </c>
    </row>
    <row r="3975" spans="1:18" x14ac:dyDescent="0.25">
      <c r="A3975" t="s">
        <v>326</v>
      </c>
      <c r="B3975" t="s">
        <v>8</v>
      </c>
      <c r="C3975">
        <v>1</v>
      </c>
      <c r="D3975">
        <v>5</v>
      </c>
      <c r="E3975">
        <v>1</v>
      </c>
      <c r="F3975" s="15">
        <v>46132</v>
      </c>
      <c r="G3975" t="s">
        <v>493</v>
      </c>
      <c r="H3975">
        <v>3</v>
      </c>
      <c r="I3975">
        <v>2026</v>
      </c>
      <c r="J3975">
        <v>4</v>
      </c>
      <c r="K3975" t="s">
        <v>87</v>
      </c>
      <c r="L3975" t="s">
        <v>352</v>
      </c>
      <c r="M3975" t="s">
        <v>6</v>
      </c>
      <c r="N3975" t="b">
        <v>0</v>
      </c>
      <c r="O3975">
        <v>1</v>
      </c>
      <c r="P3975">
        <v>0</v>
      </c>
      <c r="Q3975">
        <v>0</v>
      </c>
      <c r="R3975">
        <v>0</v>
      </c>
    </row>
    <row r="3976" spans="1:18" x14ac:dyDescent="0.25">
      <c r="A3976" t="s">
        <v>17</v>
      </c>
      <c r="B3976" t="s">
        <v>6</v>
      </c>
      <c r="C3976">
        <v>2</v>
      </c>
      <c r="D3976">
        <v>5</v>
      </c>
      <c r="E3976">
        <v>1</v>
      </c>
      <c r="F3976" s="15">
        <v>46132</v>
      </c>
      <c r="G3976" t="s">
        <v>493</v>
      </c>
      <c r="H3976">
        <v>3</v>
      </c>
      <c r="I3976">
        <v>2026</v>
      </c>
      <c r="J3976">
        <v>4</v>
      </c>
      <c r="K3976" t="s">
        <v>87</v>
      </c>
      <c r="L3976" t="s">
        <v>326</v>
      </c>
      <c r="M3976" t="s">
        <v>8</v>
      </c>
      <c r="N3976" t="b">
        <v>0</v>
      </c>
      <c r="O3976">
        <v>0</v>
      </c>
      <c r="P3976">
        <v>1</v>
      </c>
      <c r="Q3976">
        <v>0</v>
      </c>
      <c r="R3976">
        <v>1</v>
      </c>
    </row>
    <row r="3977" spans="1:18" x14ac:dyDescent="0.25">
      <c r="A3977" t="s">
        <v>17</v>
      </c>
      <c r="B3977" t="s">
        <v>6</v>
      </c>
      <c r="C3977">
        <v>2</v>
      </c>
      <c r="D3977">
        <v>5</v>
      </c>
      <c r="E3977">
        <v>1</v>
      </c>
      <c r="F3977" s="15">
        <v>46132</v>
      </c>
      <c r="G3977" t="s">
        <v>493</v>
      </c>
      <c r="H3977">
        <v>3</v>
      </c>
      <c r="I3977">
        <v>2026</v>
      </c>
      <c r="J3977">
        <v>4</v>
      </c>
      <c r="K3977" t="s">
        <v>87</v>
      </c>
      <c r="L3977" t="s">
        <v>352</v>
      </c>
      <c r="M3977" t="s">
        <v>6</v>
      </c>
      <c r="N3977" t="b">
        <v>0</v>
      </c>
      <c r="O3977">
        <v>0</v>
      </c>
      <c r="P3977">
        <v>1</v>
      </c>
      <c r="Q3977">
        <v>0</v>
      </c>
      <c r="R3977">
        <v>0</v>
      </c>
    </row>
    <row r="3978" spans="1:18" x14ac:dyDescent="0.25">
      <c r="A3978" t="s">
        <v>352</v>
      </c>
      <c r="B3978" t="s">
        <v>6</v>
      </c>
      <c r="C3978">
        <v>3</v>
      </c>
      <c r="D3978">
        <v>5</v>
      </c>
      <c r="E3978">
        <v>1</v>
      </c>
      <c r="F3978" s="15">
        <v>46132</v>
      </c>
      <c r="G3978" t="s">
        <v>493</v>
      </c>
      <c r="H3978">
        <v>3</v>
      </c>
      <c r="I3978">
        <v>2026</v>
      </c>
      <c r="J3978">
        <v>4</v>
      </c>
      <c r="K3978" t="s">
        <v>87</v>
      </c>
      <c r="L3978" t="s">
        <v>326</v>
      </c>
      <c r="M3978" t="s">
        <v>8</v>
      </c>
      <c r="N3978" t="b">
        <v>0</v>
      </c>
      <c r="O3978">
        <v>0</v>
      </c>
      <c r="P3978">
        <v>1</v>
      </c>
      <c r="Q3978">
        <v>0</v>
      </c>
      <c r="R3978">
        <v>1</v>
      </c>
    </row>
    <row r="3979" spans="1:18" x14ac:dyDescent="0.25">
      <c r="A3979" t="s">
        <v>352</v>
      </c>
      <c r="B3979" t="s">
        <v>6</v>
      </c>
      <c r="C3979">
        <v>3</v>
      </c>
      <c r="D3979">
        <v>5</v>
      </c>
      <c r="E3979">
        <v>1</v>
      </c>
      <c r="F3979" s="15">
        <v>46132</v>
      </c>
      <c r="G3979" t="s">
        <v>493</v>
      </c>
      <c r="H3979">
        <v>3</v>
      </c>
      <c r="I3979">
        <v>2026</v>
      </c>
      <c r="J3979">
        <v>4</v>
      </c>
      <c r="K3979" t="s">
        <v>87</v>
      </c>
      <c r="L3979" t="s">
        <v>17</v>
      </c>
      <c r="M3979" t="s">
        <v>6</v>
      </c>
      <c r="N3979" t="b">
        <v>0</v>
      </c>
      <c r="O3979">
        <v>0</v>
      </c>
      <c r="P3979">
        <v>1</v>
      </c>
      <c r="Q3979">
        <v>0</v>
      </c>
      <c r="R3979">
        <v>0</v>
      </c>
    </row>
    <row r="3980" spans="1:18" x14ac:dyDescent="0.25">
      <c r="A3980" t="s">
        <v>405</v>
      </c>
      <c r="B3980" t="s">
        <v>6</v>
      </c>
      <c r="C3980">
        <v>1</v>
      </c>
      <c r="D3980">
        <v>6</v>
      </c>
      <c r="E3980">
        <v>1</v>
      </c>
      <c r="F3980" s="15">
        <v>46132</v>
      </c>
      <c r="G3980" t="s">
        <v>494</v>
      </c>
      <c r="H3980">
        <v>3</v>
      </c>
      <c r="I3980">
        <v>2026</v>
      </c>
      <c r="J3980">
        <v>4</v>
      </c>
      <c r="K3980" t="s">
        <v>87</v>
      </c>
      <c r="L3980" t="s">
        <v>7</v>
      </c>
      <c r="M3980" t="s">
        <v>8</v>
      </c>
      <c r="N3980" t="b">
        <v>0</v>
      </c>
      <c r="O3980">
        <v>0</v>
      </c>
      <c r="P3980">
        <v>1</v>
      </c>
      <c r="Q3980">
        <v>0</v>
      </c>
      <c r="R3980">
        <v>1</v>
      </c>
    </row>
    <row r="3981" spans="1:18" x14ac:dyDescent="0.25">
      <c r="A3981" t="s">
        <v>405</v>
      </c>
      <c r="B3981" t="s">
        <v>6</v>
      </c>
      <c r="C3981">
        <v>1</v>
      </c>
      <c r="D3981">
        <v>6</v>
      </c>
      <c r="E3981">
        <v>1</v>
      </c>
      <c r="F3981" s="15">
        <v>46132</v>
      </c>
      <c r="G3981" t="s">
        <v>494</v>
      </c>
      <c r="H3981">
        <v>3</v>
      </c>
      <c r="I3981">
        <v>2026</v>
      </c>
      <c r="J3981">
        <v>4</v>
      </c>
      <c r="K3981" t="s">
        <v>87</v>
      </c>
      <c r="L3981" t="s">
        <v>51</v>
      </c>
      <c r="M3981" t="s">
        <v>6</v>
      </c>
      <c r="N3981" t="b">
        <v>0</v>
      </c>
      <c r="O3981">
        <v>0</v>
      </c>
      <c r="P3981">
        <v>1</v>
      </c>
      <c r="Q3981">
        <v>0</v>
      </c>
      <c r="R3981">
        <v>0</v>
      </c>
    </row>
    <row r="3982" spans="1:18" x14ac:dyDescent="0.25">
      <c r="A3982" t="s">
        <v>7</v>
      </c>
      <c r="B3982" t="s">
        <v>8</v>
      </c>
      <c r="C3982">
        <v>2</v>
      </c>
      <c r="D3982">
        <v>6</v>
      </c>
      <c r="E3982">
        <v>1</v>
      </c>
      <c r="F3982" s="15">
        <v>46132</v>
      </c>
      <c r="G3982" t="s">
        <v>494</v>
      </c>
      <c r="H3982">
        <v>3</v>
      </c>
      <c r="I3982">
        <v>2026</v>
      </c>
      <c r="J3982">
        <v>4</v>
      </c>
      <c r="K3982" t="s">
        <v>87</v>
      </c>
      <c r="L3982" t="s">
        <v>405</v>
      </c>
      <c r="M3982" t="s">
        <v>6</v>
      </c>
      <c r="N3982" t="b">
        <v>0</v>
      </c>
      <c r="O3982">
        <v>1</v>
      </c>
      <c r="P3982">
        <v>0</v>
      </c>
      <c r="Q3982">
        <v>0</v>
      </c>
      <c r="R3982">
        <v>0</v>
      </c>
    </row>
    <row r="3983" spans="1:18" x14ac:dyDescent="0.25">
      <c r="A3983" t="s">
        <v>7</v>
      </c>
      <c r="B3983" t="s">
        <v>8</v>
      </c>
      <c r="C3983">
        <v>2</v>
      </c>
      <c r="D3983">
        <v>6</v>
      </c>
      <c r="E3983">
        <v>1</v>
      </c>
      <c r="F3983" s="15">
        <v>46132</v>
      </c>
      <c r="G3983" t="s">
        <v>494</v>
      </c>
      <c r="H3983">
        <v>3</v>
      </c>
      <c r="I3983">
        <v>2026</v>
      </c>
      <c r="J3983">
        <v>4</v>
      </c>
      <c r="K3983" t="s">
        <v>87</v>
      </c>
      <c r="L3983" t="s">
        <v>51</v>
      </c>
      <c r="M3983" t="s">
        <v>6</v>
      </c>
      <c r="N3983" t="b">
        <v>0</v>
      </c>
      <c r="O3983">
        <v>1</v>
      </c>
      <c r="P3983">
        <v>0</v>
      </c>
      <c r="Q3983">
        <v>0</v>
      </c>
      <c r="R3983">
        <v>0</v>
      </c>
    </row>
    <row r="3984" spans="1:18" x14ac:dyDescent="0.25">
      <c r="A3984" t="s">
        <v>51</v>
      </c>
      <c r="B3984" t="s">
        <v>6</v>
      </c>
      <c r="C3984">
        <v>3</v>
      </c>
      <c r="D3984">
        <v>6</v>
      </c>
      <c r="E3984">
        <v>1</v>
      </c>
      <c r="F3984" s="15">
        <v>46132</v>
      </c>
      <c r="G3984" t="s">
        <v>494</v>
      </c>
      <c r="H3984">
        <v>3</v>
      </c>
      <c r="I3984">
        <v>2026</v>
      </c>
      <c r="J3984">
        <v>4</v>
      </c>
      <c r="K3984" t="s">
        <v>87</v>
      </c>
      <c r="L3984" t="s">
        <v>405</v>
      </c>
      <c r="M3984" t="s">
        <v>6</v>
      </c>
      <c r="N3984" t="b">
        <v>0</v>
      </c>
      <c r="O3984">
        <v>0</v>
      </c>
      <c r="P3984">
        <v>1</v>
      </c>
      <c r="Q3984">
        <v>0</v>
      </c>
      <c r="R3984">
        <v>0</v>
      </c>
    </row>
    <row r="3985" spans="1:18" x14ac:dyDescent="0.25">
      <c r="A3985" t="s">
        <v>51</v>
      </c>
      <c r="B3985" t="s">
        <v>6</v>
      </c>
      <c r="C3985">
        <v>3</v>
      </c>
      <c r="D3985">
        <v>6</v>
      </c>
      <c r="E3985">
        <v>1</v>
      </c>
      <c r="F3985" s="15">
        <v>46132</v>
      </c>
      <c r="G3985" t="s">
        <v>494</v>
      </c>
      <c r="H3985">
        <v>3</v>
      </c>
      <c r="I3985">
        <v>2026</v>
      </c>
      <c r="J3985">
        <v>4</v>
      </c>
      <c r="K3985" t="s">
        <v>87</v>
      </c>
      <c r="L3985" t="s">
        <v>7</v>
      </c>
      <c r="M3985" t="s">
        <v>8</v>
      </c>
      <c r="N3985" t="b">
        <v>0</v>
      </c>
      <c r="O3985">
        <v>0</v>
      </c>
      <c r="P3985">
        <v>1</v>
      </c>
      <c r="Q3985">
        <v>0</v>
      </c>
      <c r="R3985">
        <v>1</v>
      </c>
    </row>
    <row r="3986" spans="1:18" x14ac:dyDescent="0.25">
      <c r="A3986" t="s">
        <v>52</v>
      </c>
      <c r="B3986" t="s">
        <v>8</v>
      </c>
      <c r="C3986">
        <v>1</v>
      </c>
      <c r="D3986">
        <v>1</v>
      </c>
      <c r="E3986">
        <v>2</v>
      </c>
      <c r="F3986" s="15">
        <v>46132</v>
      </c>
      <c r="G3986" t="s">
        <v>495</v>
      </c>
      <c r="H3986">
        <v>3</v>
      </c>
      <c r="I3986">
        <v>2026</v>
      </c>
      <c r="J3986">
        <v>4</v>
      </c>
      <c r="K3986" t="s">
        <v>87</v>
      </c>
      <c r="L3986" t="s">
        <v>438</v>
      </c>
      <c r="M3986" t="s">
        <v>6</v>
      </c>
      <c r="N3986" t="b">
        <v>0</v>
      </c>
      <c r="O3986">
        <v>1</v>
      </c>
      <c r="P3986">
        <v>0</v>
      </c>
      <c r="Q3986">
        <v>0</v>
      </c>
      <c r="R3986">
        <v>0</v>
      </c>
    </row>
    <row r="3987" spans="1:18" x14ac:dyDescent="0.25">
      <c r="A3987" t="s">
        <v>52</v>
      </c>
      <c r="B3987" t="s">
        <v>8</v>
      </c>
      <c r="C3987">
        <v>1</v>
      </c>
      <c r="D3987">
        <v>1</v>
      </c>
      <c r="E3987">
        <v>2</v>
      </c>
      <c r="F3987" s="15">
        <v>46132</v>
      </c>
      <c r="G3987" t="s">
        <v>495</v>
      </c>
      <c r="H3987">
        <v>3</v>
      </c>
      <c r="I3987">
        <v>2026</v>
      </c>
      <c r="J3987">
        <v>4</v>
      </c>
      <c r="K3987" t="s">
        <v>87</v>
      </c>
      <c r="L3987" t="s">
        <v>436</v>
      </c>
      <c r="M3987" t="s">
        <v>6</v>
      </c>
      <c r="N3987" t="b">
        <v>0</v>
      </c>
      <c r="O3987">
        <v>1</v>
      </c>
      <c r="P3987">
        <v>0</v>
      </c>
      <c r="Q3987">
        <v>0</v>
      </c>
      <c r="R3987">
        <v>0</v>
      </c>
    </row>
    <row r="3988" spans="1:18" x14ac:dyDescent="0.25">
      <c r="A3988" t="s">
        <v>438</v>
      </c>
      <c r="B3988" t="s">
        <v>6</v>
      </c>
      <c r="C3988">
        <v>2</v>
      </c>
      <c r="D3988">
        <v>1</v>
      </c>
      <c r="E3988">
        <v>2</v>
      </c>
      <c r="F3988" s="15">
        <v>46132</v>
      </c>
      <c r="G3988" t="s">
        <v>495</v>
      </c>
      <c r="H3988">
        <v>3</v>
      </c>
      <c r="I3988">
        <v>2026</v>
      </c>
      <c r="J3988">
        <v>4</v>
      </c>
      <c r="K3988" t="s">
        <v>87</v>
      </c>
      <c r="L3988" t="s">
        <v>52</v>
      </c>
      <c r="M3988" t="s">
        <v>8</v>
      </c>
      <c r="N3988" t="b">
        <v>0</v>
      </c>
      <c r="O3988">
        <v>0</v>
      </c>
      <c r="P3988">
        <v>1</v>
      </c>
      <c r="Q3988">
        <v>0</v>
      </c>
      <c r="R3988">
        <v>1</v>
      </c>
    </row>
    <row r="3989" spans="1:18" x14ac:dyDescent="0.25">
      <c r="A3989" t="s">
        <v>438</v>
      </c>
      <c r="B3989" t="s">
        <v>6</v>
      </c>
      <c r="C3989">
        <v>2</v>
      </c>
      <c r="D3989">
        <v>1</v>
      </c>
      <c r="E3989">
        <v>2</v>
      </c>
      <c r="F3989" s="15">
        <v>46132</v>
      </c>
      <c r="G3989" t="s">
        <v>495</v>
      </c>
      <c r="H3989">
        <v>3</v>
      </c>
      <c r="I3989">
        <v>2026</v>
      </c>
      <c r="J3989">
        <v>4</v>
      </c>
      <c r="K3989" t="s">
        <v>87</v>
      </c>
      <c r="L3989" t="s">
        <v>436</v>
      </c>
      <c r="M3989" t="s">
        <v>6</v>
      </c>
      <c r="N3989" t="b">
        <v>0</v>
      </c>
      <c r="O3989">
        <v>0</v>
      </c>
      <c r="P3989">
        <v>1</v>
      </c>
      <c r="Q3989">
        <v>0</v>
      </c>
      <c r="R3989">
        <v>0</v>
      </c>
    </row>
    <row r="3990" spans="1:18" x14ac:dyDescent="0.25">
      <c r="A3990" t="s">
        <v>436</v>
      </c>
      <c r="B3990" t="s">
        <v>6</v>
      </c>
      <c r="C3990">
        <v>3</v>
      </c>
      <c r="D3990">
        <v>1</v>
      </c>
      <c r="E3990">
        <v>2</v>
      </c>
      <c r="F3990" s="15">
        <v>46132</v>
      </c>
      <c r="G3990" t="s">
        <v>495</v>
      </c>
      <c r="H3990">
        <v>3</v>
      </c>
      <c r="I3990">
        <v>2026</v>
      </c>
      <c r="J3990">
        <v>4</v>
      </c>
      <c r="K3990" t="s">
        <v>87</v>
      </c>
      <c r="L3990" t="s">
        <v>52</v>
      </c>
      <c r="M3990" t="s">
        <v>8</v>
      </c>
      <c r="N3990" t="b">
        <v>0</v>
      </c>
      <c r="O3990">
        <v>0</v>
      </c>
      <c r="P3990">
        <v>1</v>
      </c>
      <c r="Q3990">
        <v>0</v>
      </c>
      <c r="R3990">
        <v>1</v>
      </c>
    </row>
    <row r="3991" spans="1:18" x14ac:dyDescent="0.25">
      <c r="A3991" t="s">
        <v>436</v>
      </c>
      <c r="B3991" t="s">
        <v>6</v>
      </c>
      <c r="C3991">
        <v>3</v>
      </c>
      <c r="D3991">
        <v>1</v>
      </c>
      <c r="E3991">
        <v>2</v>
      </c>
      <c r="F3991" s="15">
        <v>46132</v>
      </c>
      <c r="G3991" t="s">
        <v>495</v>
      </c>
      <c r="H3991">
        <v>3</v>
      </c>
      <c r="I3991">
        <v>2026</v>
      </c>
      <c r="J3991">
        <v>4</v>
      </c>
      <c r="K3991" t="s">
        <v>87</v>
      </c>
      <c r="L3991" t="s">
        <v>438</v>
      </c>
      <c r="M3991" t="s">
        <v>6</v>
      </c>
      <c r="N3991" t="b">
        <v>0</v>
      </c>
      <c r="O3991">
        <v>0</v>
      </c>
      <c r="P3991">
        <v>1</v>
      </c>
      <c r="Q3991">
        <v>0</v>
      </c>
      <c r="R3991">
        <v>0</v>
      </c>
    </row>
    <row r="3992" spans="1:18" x14ac:dyDescent="0.25">
      <c r="A3992" t="s">
        <v>364</v>
      </c>
      <c r="B3992" t="s">
        <v>6</v>
      </c>
      <c r="C3992">
        <v>1</v>
      </c>
      <c r="D3992">
        <v>2</v>
      </c>
      <c r="E3992">
        <v>2</v>
      </c>
      <c r="F3992" s="15">
        <v>46132</v>
      </c>
      <c r="G3992" t="s">
        <v>496</v>
      </c>
      <c r="H3992">
        <v>3</v>
      </c>
      <c r="I3992">
        <v>2026</v>
      </c>
      <c r="J3992">
        <v>4</v>
      </c>
      <c r="K3992" t="s">
        <v>87</v>
      </c>
      <c r="L3992" t="s">
        <v>13</v>
      </c>
      <c r="M3992" t="s">
        <v>8</v>
      </c>
      <c r="N3992" t="b">
        <v>0</v>
      </c>
      <c r="O3992">
        <v>0</v>
      </c>
      <c r="P3992">
        <v>1</v>
      </c>
      <c r="Q3992">
        <v>0</v>
      </c>
      <c r="R3992">
        <v>1</v>
      </c>
    </row>
    <row r="3993" spans="1:18" x14ac:dyDescent="0.25">
      <c r="A3993" t="s">
        <v>364</v>
      </c>
      <c r="B3993" t="s">
        <v>6</v>
      </c>
      <c r="C3993">
        <v>1</v>
      </c>
      <c r="D3993">
        <v>2</v>
      </c>
      <c r="E3993">
        <v>2</v>
      </c>
      <c r="F3993" s="15">
        <v>46132</v>
      </c>
      <c r="G3993" t="s">
        <v>496</v>
      </c>
      <c r="H3993">
        <v>3</v>
      </c>
      <c r="I3993">
        <v>2026</v>
      </c>
      <c r="J3993">
        <v>4</v>
      </c>
      <c r="K3993" t="s">
        <v>87</v>
      </c>
      <c r="L3993" t="s">
        <v>465</v>
      </c>
      <c r="M3993" t="s">
        <v>6</v>
      </c>
      <c r="N3993" t="b">
        <v>0</v>
      </c>
      <c r="O3993">
        <v>0</v>
      </c>
      <c r="P3993">
        <v>1</v>
      </c>
      <c r="Q3993">
        <v>0</v>
      </c>
      <c r="R3993">
        <v>0</v>
      </c>
    </row>
    <row r="3994" spans="1:18" x14ac:dyDescent="0.25">
      <c r="A3994" t="s">
        <v>13</v>
      </c>
      <c r="B3994" t="s">
        <v>8</v>
      </c>
      <c r="C3994">
        <v>2</v>
      </c>
      <c r="D3994">
        <v>2</v>
      </c>
      <c r="E3994">
        <v>2</v>
      </c>
      <c r="F3994" s="15">
        <v>46132</v>
      </c>
      <c r="G3994" t="s">
        <v>496</v>
      </c>
      <c r="H3994">
        <v>3</v>
      </c>
      <c r="I3994">
        <v>2026</v>
      </c>
      <c r="J3994">
        <v>4</v>
      </c>
      <c r="K3994" t="s">
        <v>87</v>
      </c>
      <c r="L3994" t="s">
        <v>364</v>
      </c>
      <c r="M3994" t="s">
        <v>6</v>
      </c>
      <c r="N3994" t="b">
        <v>0</v>
      </c>
      <c r="O3994">
        <v>1</v>
      </c>
      <c r="P3994">
        <v>0</v>
      </c>
      <c r="Q3994">
        <v>0</v>
      </c>
      <c r="R3994">
        <v>0</v>
      </c>
    </row>
    <row r="3995" spans="1:18" x14ac:dyDescent="0.25">
      <c r="A3995" t="s">
        <v>13</v>
      </c>
      <c r="B3995" t="s">
        <v>8</v>
      </c>
      <c r="C3995">
        <v>2</v>
      </c>
      <c r="D3995">
        <v>2</v>
      </c>
      <c r="E3995">
        <v>2</v>
      </c>
      <c r="F3995" s="15">
        <v>46132</v>
      </c>
      <c r="G3995" t="s">
        <v>496</v>
      </c>
      <c r="H3995">
        <v>3</v>
      </c>
      <c r="I3995">
        <v>2026</v>
      </c>
      <c r="J3995">
        <v>4</v>
      </c>
      <c r="K3995" t="s">
        <v>87</v>
      </c>
      <c r="L3995" t="s">
        <v>465</v>
      </c>
      <c r="M3995" t="s">
        <v>6</v>
      </c>
      <c r="N3995" t="b">
        <v>0</v>
      </c>
      <c r="O3995">
        <v>1</v>
      </c>
      <c r="P3995">
        <v>0</v>
      </c>
      <c r="Q3995">
        <v>0</v>
      </c>
      <c r="R3995">
        <v>0</v>
      </c>
    </row>
    <row r="3996" spans="1:18" x14ac:dyDescent="0.25">
      <c r="A3996" t="s">
        <v>465</v>
      </c>
      <c r="B3996" t="s">
        <v>6</v>
      </c>
      <c r="C3996">
        <v>3</v>
      </c>
      <c r="D3996">
        <v>2</v>
      </c>
      <c r="E3996">
        <v>2</v>
      </c>
      <c r="F3996" s="15">
        <v>46132</v>
      </c>
      <c r="G3996" t="s">
        <v>496</v>
      </c>
      <c r="H3996">
        <v>3</v>
      </c>
      <c r="I3996">
        <v>2026</v>
      </c>
      <c r="J3996">
        <v>4</v>
      </c>
      <c r="K3996" t="s">
        <v>87</v>
      </c>
      <c r="L3996" t="s">
        <v>364</v>
      </c>
      <c r="M3996" t="s">
        <v>6</v>
      </c>
      <c r="N3996" t="b">
        <v>0</v>
      </c>
      <c r="O3996">
        <v>0</v>
      </c>
      <c r="P3996">
        <v>1</v>
      </c>
      <c r="Q3996">
        <v>0</v>
      </c>
      <c r="R3996">
        <v>0</v>
      </c>
    </row>
    <row r="3997" spans="1:18" x14ac:dyDescent="0.25">
      <c r="A3997" t="s">
        <v>465</v>
      </c>
      <c r="B3997" t="s">
        <v>6</v>
      </c>
      <c r="C3997">
        <v>3</v>
      </c>
      <c r="D3997">
        <v>2</v>
      </c>
      <c r="E3997">
        <v>2</v>
      </c>
      <c r="F3997" s="15">
        <v>46132</v>
      </c>
      <c r="G3997" t="s">
        <v>496</v>
      </c>
      <c r="H3997">
        <v>3</v>
      </c>
      <c r="I3997">
        <v>2026</v>
      </c>
      <c r="J3997">
        <v>4</v>
      </c>
      <c r="K3997" t="s">
        <v>87</v>
      </c>
      <c r="L3997" t="s">
        <v>13</v>
      </c>
      <c r="M3997" t="s">
        <v>8</v>
      </c>
      <c r="N3997" t="b">
        <v>0</v>
      </c>
      <c r="O3997">
        <v>0</v>
      </c>
      <c r="P3997">
        <v>1</v>
      </c>
      <c r="Q3997">
        <v>0</v>
      </c>
      <c r="R3997">
        <v>1</v>
      </c>
    </row>
    <row r="3998" spans="1:18" x14ac:dyDescent="0.25">
      <c r="A3998" t="s">
        <v>352</v>
      </c>
      <c r="B3998" t="s">
        <v>6</v>
      </c>
      <c r="C3998">
        <v>1</v>
      </c>
      <c r="D3998">
        <v>3</v>
      </c>
      <c r="E3998">
        <v>2</v>
      </c>
      <c r="F3998" s="15">
        <v>46132</v>
      </c>
      <c r="G3998" t="s">
        <v>497</v>
      </c>
      <c r="H3998">
        <v>4</v>
      </c>
      <c r="I3998">
        <v>2026</v>
      </c>
      <c r="J3998">
        <v>4</v>
      </c>
      <c r="K3998" t="s">
        <v>87</v>
      </c>
      <c r="L3998" t="s">
        <v>10</v>
      </c>
      <c r="M3998" t="s">
        <v>6</v>
      </c>
      <c r="N3998" t="b">
        <v>0</v>
      </c>
      <c r="O3998">
        <v>0</v>
      </c>
      <c r="P3998">
        <v>1</v>
      </c>
      <c r="Q3998">
        <v>0</v>
      </c>
      <c r="R3998">
        <v>0</v>
      </c>
    </row>
    <row r="3999" spans="1:18" x14ac:dyDescent="0.25">
      <c r="A3999" t="s">
        <v>352</v>
      </c>
      <c r="B3999" t="s">
        <v>6</v>
      </c>
      <c r="C3999">
        <v>1</v>
      </c>
      <c r="D3999">
        <v>3</v>
      </c>
      <c r="E3999">
        <v>2</v>
      </c>
      <c r="F3999" s="15">
        <v>46132</v>
      </c>
      <c r="G3999" t="s">
        <v>497</v>
      </c>
      <c r="H3999">
        <v>4</v>
      </c>
      <c r="I3999">
        <v>2026</v>
      </c>
      <c r="J3999">
        <v>4</v>
      </c>
      <c r="K3999" t="s">
        <v>87</v>
      </c>
      <c r="L3999" t="s">
        <v>405</v>
      </c>
      <c r="M3999" t="s">
        <v>6</v>
      </c>
      <c r="N3999" t="b">
        <v>0</v>
      </c>
      <c r="O3999">
        <v>0</v>
      </c>
      <c r="P3999">
        <v>1</v>
      </c>
      <c r="Q3999">
        <v>0</v>
      </c>
      <c r="R3999">
        <v>0</v>
      </c>
    </row>
    <row r="4000" spans="1:18" x14ac:dyDescent="0.25">
      <c r="A4000" t="s">
        <v>352</v>
      </c>
      <c r="B4000" t="s">
        <v>6</v>
      </c>
      <c r="C4000">
        <v>1</v>
      </c>
      <c r="D4000">
        <v>3</v>
      </c>
      <c r="E4000">
        <v>2</v>
      </c>
      <c r="F4000" s="15">
        <v>46132</v>
      </c>
      <c r="G4000" t="s">
        <v>497</v>
      </c>
      <c r="H4000">
        <v>4</v>
      </c>
      <c r="I4000">
        <v>2026</v>
      </c>
      <c r="J4000">
        <v>4</v>
      </c>
      <c r="K4000" t="s">
        <v>87</v>
      </c>
      <c r="L4000" t="s">
        <v>41</v>
      </c>
      <c r="M4000" t="s">
        <v>8</v>
      </c>
      <c r="N4000" t="b">
        <v>0</v>
      </c>
      <c r="O4000">
        <v>0</v>
      </c>
      <c r="P4000">
        <v>1</v>
      </c>
      <c r="Q4000">
        <v>0</v>
      </c>
      <c r="R4000">
        <v>1</v>
      </c>
    </row>
    <row r="4001" spans="1:18" x14ac:dyDescent="0.25">
      <c r="A4001" t="s">
        <v>10</v>
      </c>
      <c r="B4001" t="s">
        <v>6</v>
      </c>
      <c r="C4001">
        <v>2</v>
      </c>
      <c r="D4001">
        <v>3</v>
      </c>
      <c r="E4001">
        <v>2</v>
      </c>
      <c r="F4001" s="15">
        <v>46132</v>
      </c>
      <c r="G4001" t="s">
        <v>497</v>
      </c>
      <c r="H4001">
        <v>4</v>
      </c>
      <c r="I4001">
        <v>2026</v>
      </c>
      <c r="J4001">
        <v>4</v>
      </c>
      <c r="K4001" t="s">
        <v>87</v>
      </c>
      <c r="L4001" t="s">
        <v>352</v>
      </c>
      <c r="M4001" t="s">
        <v>6</v>
      </c>
      <c r="N4001" t="b">
        <v>0</v>
      </c>
      <c r="O4001">
        <v>0</v>
      </c>
      <c r="P4001">
        <v>1</v>
      </c>
      <c r="Q4001">
        <v>0</v>
      </c>
      <c r="R4001">
        <v>0</v>
      </c>
    </row>
    <row r="4002" spans="1:18" x14ac:dyDescent="0.25">
      <c r="A4002" t="s">
        <v>10</v>
      </c>
      <c r="B4002" t="s">
        <v>6</v>
      </c>
      <c r="C4002">
        <v>2</v>
      </c>
      <c r="D4002">
        <v>3</v>
      </c>
      <c r="E4002">
        <v>2</v>
      </c>
      <c r="F4002" s="15">
        <v>46132</v>
      </c>
      <c r="G4002" t="s">
        <v>497</v>
      </c>
      <c r="H4002">
        <v>4</v>
      </c>
      <c r="I4002">
        <v>2026</v>
      </c>
      <c r="J4002">
        <v>4</v>
      </c>
      <c r="K4002" t="s">
        <v>87</v>
      </c>
      <c r="L4002" t="s">
        <v>405</v>
      </c>
      <c r="M4002" t="s">
        <v>6</v>
      </c>
      <c r="N4002" t="b">
        <v>0</v>
      </c>
      <c r="O4002">
        <v>0</v>
      </c>
      <c r="P4002">
        <v>1</v>
      </c>
      <c r="Q4002">
        <v>0</v>
      </c>
      <c r="R4002">
        <v>0</v>
      </c>
    </row>
    <row r="4003" spans="1:18" x14ac:dyDescent="0.25">
      <c r="A4003" t="s">
        <v>10</v>
      </c>
      <c r="B4003" t="s">
        <v>6</v>
      </c>
      <c r="C4003">
        <v>2</v>
      </c>
      <c r="D4003">
        <v>3</v>
      </c>
      <c r="E4003">
        <v>2</v>
      </c>
      <c r="F4003" s="15">
        <v>46132</v>
      </c>
      <c r="G4003" t="s">
        <v>497</v>
      </c>
      <c r="H4003">
        <v>4</v>
      </c>
      <c r="I4003">
        <v>2026</v>
      </c>
      <c r="J4003">
        <v>4</v>
      </c>
      <c r="K4003" t="s">
        <v>87</v>
      </c>
      <c r="L4003" t="s">
        <v>41</v>
      </c>
      <c r="M4003" t="s">
        <v>8</v>
      </c>
      <c r="N4003" t="b">
        <v>0</v>
      </c>
      <c r="O4003">
        <v>0</v>
      </c>
      <c r="P4003">
        <v>1</v>
      </c>
      <c r="Q4003">
        <v>0</v>
      </c>
      <c r="R4003">
        <v>1</v>
      </c>
    </row>
    <row r="4004" spans="1:18" x14ac:dyDescent="0.25">
      <c r="A4004" t="s">
        <v>405</v>
      </c>
      <c r="B4004" t="s">
        <v>6</v>
      </c>
      <c r="C4004">
        <v>3</v>
      </c>
      <c r="D4004">
        <v>3</v>
      </c>
      <c r="E4004">
        <v>2</v>
      </c>
      <c r="F4004" s="15">
        <v>46132</v>
      </c>
      <c r="G4004" t="s">
        <v>497</v>
      </c>
      <c r="H4004">
        <v>4</v>
      </c>
      <c r="I4004">
        <v>2026</v>
      </c>
      <c r="J4004">
        <v>4</v>
      </c>
      <c r="K4004" t="s">
        <v>87</v>
      </c>
      <c r="L4004" t="s">
        <v>352</v>
      </c>
      <c r="M4004" t="s">
        <v>6</v>
      </c>
      <c r="N4004" t="b">
        <v>0</v>
      </c>
      <c r="O4004">
        <v>0</v>
      </c>
      <c r="P4004">
        <v>1</v>
      </c>
      <c r="Q4004">
        <v>0</v>
      </c>
      <c r="R4004">
        <v>0</v>
      </c>
    </row>
    <row r="4005" spans="1:18" x14ac:dyDescent="0.25">
      <c r="A4005" t="s">
        <v>405</v>
      </c>
      <c r="B4005" t="s">
        <v>6</v>
      </c>
      <c r="C4005">
        <v>3</v>
      </c>
      <c r="D4005">
        <v>3</v>
      </c>
      <c r="E4005">
        <v>2</v>
      </c>
      <c r="F4005" s="15">
        <v>46132</v>
      </c>
      <c r="G4005" t="s">
        <v>497</v>
      </c>
      <c r="H4005">
        <v>4</v>
      </c>
      <c r="I4005">
        <v>2026</v>
      </c>
      <c r="J4005">
        <v>4</v>
      </c>
      <c r="K4005" t="s">
        <v>87</v>
      </c>
      <c r="L4005" t="s">
        <v>10</v>
      </c>
      <c r="M4005" t="s">
        <v>6</v>
      </c>
      <c r="N4005" t="b">
        <v>0</v>
      </c>
      <c r="O4005">
        <v>0</v>
      </c>
      <c r="P4005">
        <v>1</v>
      </c>
      <c r="Q4005">
        <v>0</v>
      </c>
      <c r="R4005">
        <v>0</v>
      </c>
    </row>
    <row r="4006" spans="1:18" x14ac:dyDescent="0.25">
      <c r="A4006" t="s">
        <v>405</v>
      </c>
      <c r="B4006" t="s">
        <v>6</v>
      </c>
      <c r="C4006">
        <v>3</v>
      </c>
      <c r="D4006">
        <v>3</v>
      </c>
      <c r="E4006">
        <v>2</v>
      </c>
      <c r="F4006" s="15">
        <v>46132</v>
      </c>
      <c r="G4006" t="s">
        <v>497</v>
      </c>
      <c r="H4006">
        <v>4</v>
      </c>
      <c r="I4006">
        <v>2026</v>
      </c>
      <c r="J4006">
        <v>4</v>
      </c>
      <c r="K4006" t="s">
        <v>87</v>
      </c>
      <c r="L4006" t="s">
        <v>41</v>
      </c>
      <c r="M4006" t="s">
        <v>8</v>
      </c>
      <c r="N4006" t="b">
        <v>0</v>
      </c>
      <c r="O4006">
        <v>0</v>
      </c>
      <c r="P4006">
        <v>1</v>
      </c>
      <c r="Q4006">
        <v>0</v>
      </c>
      <c r="R4006">
        <v>1</v>
      </c>
    </row>
    <row r="4007" spans="1:18" x14ac:dyDescent="0.25">
      <c r="A4007" t="s">
        <v>41</v>
      </c>
      <c r="B4007" t="s">
        <v>8</v>
      </c>
      <c r="C4007">
        <v>4</v>
      </c>
      <c r="D4007">
        <v>3</v>
      </c>
      <c r="E4007">
        <v>2</v>
      </c>
      <c r="F4007" s="15">
        <v>46132</v>
      </c>
      <c r="G4007" t="s">
        <v>497</v>
      </c>
      <c r="H4007">
        <v>4</v>
      </c>
      <c r="I4007">
        <v>2026</v>
      </c>
      <c r="J4007">
        <v>4</v>
      </c>
      <c r="K4007" t="s">
        <v>87</v>
      </c>
      <c r="L4007" t="s">
        <v>352</v>
      </c>
      <c r="M4007" t="s">
        <v>6</v>
      </c>
      <c r="N4007" t="b">
        <v>0</v>
      </c>
      <c r="O4007">
        <v>1</v>
      </c>
      <c r="P4007">
        <v>0</v>
      </c>
      <c r="Q4007">
        <v>0</v>
      </c>
      <c r="R4007">
        <v>0</v>
      </c>
    </row>
    <row r="4008" spans="1:18" x14ac:dyDescent="0.25">
      <c r="A4008" t="s">
        <v>41</v>
      </c>
      <c r="B4008" t="s">
        <v>8</v>
      </c>
      <c r="C4008">
        <v>4</v>
      </c>
      <c r="D4008">
        <v>3</v>
      </c>
      <c r="E4008">
        <v>2</v>
      </c>
      <c r="F4008" s="15">
        <v>46132</v>
      </c>
      <c r="G4008" t="s">
        <v>497</v>
      </c>
      <c r="H4008">
        <v>4</v>
      </c>
      <c r="I4008">
        <v>2026</v>
      </c>
      <c r="J4008">
        <v>4</v>
      </c>
      <c r="K4008" t="s">
        <v>87</v>
      </c>
      <c r="L4008" t="s">
        <v>10</v>
      </c>
      <c r="M4008" t="s">
        <v>6</v>
      </c>
      <c r="N4008" t="b">
        <v>0</v>
      </c>
      <c r="O4008">
        <v>1</v>
      </c>
      <c r="P4008">
        <v>0</v>
      </c>
      <c r="Q4008">
        <v>0</v>
      </c>
      <c r="R4008">
        <v>0</v>
      </c>
    </row>
    <row r="4009" spans="1:18" x14ac:dyDescent="0.25">
      <c r="A4009" t="s">
        <v>41</v>
      </c>
      <c r="B4009" t="s">
        <v>8</v>
      </c>
      <c r="C4009">
        <v>4</v>
      </c>
      <c r="D4009">
        <v>3</v>
      </c>
      <c r="E4009">
        <v>2</v>
      </c>
      <c r="F4009" s="15">
        <v>46132</v>
      </c>
      <c r="G4009" t="s">
        <v>497</v>
      </c>
      <c r="H4009">
        <v>4</v>
      </c>
      <c r="I4009">
        <v>2026</v>
      </c>
      <c r="J4009">
        <v>4</v>
      </c>
      <c r="K4009" t="s">
        <v>87</v>
      </c>
      <c r="L4009" t="s">
        <v>405</v>
      </c>
      <c r="M4009" t="s">
        <v>6</v>
      </c>
      <c r="N4009" t="b">
        <v>0</v>
      </c>
      <c r="O4009">
        <v>1</v>
      </c>
      <c r="P4009">
        <v>0</v>
      </c>
      <c r="Q4009">
        <v>0</v>
      </c>
      <c r="R4009">
        <v>0</v>
      </c>
    </row>
    <row r="4010" spans="1:18" x14ac:dyDescent="0.25">
      <c r="A4010" t="s">
        <v>325</v>
      </c>
      <c r="B4010" t="s">
        <v>6</v>
      </c>
      <c r="C4010">
        <v>1</v>
      </c>
      <c r="D4010">
        <v>4</v>
      </c>
      <c r="E4010">
        <v>2</v>
      </c>
      <c r="F4010" s="15">
        <v>46132</v>
      </c>
      <c r="G4010" t="s">
        <v>498</v>
      </c>
      <c r="H4010">
        <v>4</v>
      </c>
      <c r="I4010">
        <v>2026</v>
      </c>
      <c r="J4010">
        <v>4</v>
      </c>
      <c r="K4010" t="s">
        <v>87</v>
      </c>
      <c r="L4010" t="s">
        <v>7</v>
      </c>
      <c r="M4010" t="s">
        <v>6</v>
      </c>
      <c r="N4010" t="b">
        <v>0</v>
      </c>
      <c r="O4010">
        <v>0</v>
      </c>
      <c r="P4010">
        <v>1</v>
      </c>
      <c r="Q4010">
        <v>0</v>
      </c>
      <c r="R4010">
        <v>0</v>
      </c>
    </row>
    <row r="4011" spans="1:18" x14ac:dyDescent="0.25">
      <c r="A4011" t="s">
        <v>325</v>
      </c>
      <c r="B4011" t="s">
        <v>6</v>
      </c>
      <c r="C4011">
        <v>1</v>
      </c>
      <c r="D4011">
        <v>4</v>
      </c>
      <c r="E4011">
        <v>2</v>
      </c>
      <c r="F4011" s="15">
        <v>46132</v>
      </c>
      <c r="G4011" t="s">
        <v>498</v>
      </c>
      <c r="H4011">
        <v>4</v>
      </c>
      <c r="I4011">
        <v>2026</v>
      </c>
      <c r="J4011">
        <v>4</v>
      </c>
      <c r="K4011" t="s">
        <v>87</v>
      </c>
      <c r="L4011" t="s">
        <v>28</v>
      </c>
      <c r="M4011" t="s">
        <v>6</v>
      </c>
      <c r="N4011" t="b">
        <v>0</v>
      </c>
      <c r="O4011">
        <v>0</v>
      </c>
      <c r="P4011">
        <v>1</v>
      </c>
      <c r="Q4011">
        <v>0</v>
      </c>
      <c r="R4011">
        <v>0</v>
      </c>
    </row>
    <row r="4012" spans="1:18" x14ac:dyDescent="0.25">
      <c r="A4012" t="s">
        <v>325</v>
      </c>
      <c r="B4012" t="s">
        <v>6</v>
      </c>
      <c r="C4012">
        <v>1</v>
      </c>
      <c r="D4012">
        <v>4</v>
      </c>
      <c r="E4012">
        <v>2</v>
      </c>
      <c r="F4012" s="15">
        <v>46132</v>
      </c>
      <c r="G4012" t="s">
        <v>498</v>
      </c>
      <c r="H4012">
        <v>4</v>
      </c>
      <c r="I4012">
        <v>2026</v>
      </c>
      <c r="J4012">
        <v>4</v>
      </c>
      <c r="K4012" t="s">
        <v>87</v>
      </c>
      <c r="L4012" t="s">
        <v>17</v>
      </c>
      <c r="M4012" t="s">
        <v>8</v>
      </c>
      <c r="N4012" t="b">
        <v>0</v>
      </c>
      <c r="O4012">
        <v>0</v>
      </c>
      <c r="P4012">
        <v>1</v>
      </c>
      <c r="Q4012">
        <v>0</v>
      </c>
      <c r="R4012">
        <v>1</v>
      </c>
    </row>
    <row r="4013" spans="1:18" x14ac:dyDescent="0.25">
      <c r="A4013" t="s">
        <v>7</v>
      </c>
      <c r="B4013" t="s">
        <v>6</v>
      </c>
      <c r="C4013">
        <v>2</v>
      </c>
      <c r="D4013">
        <v>4</v>
      </c>
      <c r="E4013">
        <v>2</v>
      </c>
      <c r="F4013" s="15">
        <v>46132</v>
      </c>
      <c r="G4013" t="s">
        <v>498</v>
      </c>
      <c r="H4013">
        <v>4</v>
      </c>
      <c r="I4013">
        <v>2026</v>
      </c>
      <c r="J4013">
        <v>4</v>
      </c>
      <c r="K4013" t="s">
        <v>87</v>
      </c>
      <c r="L4013" t="s">
        <v>325</v>
      </c>
      <c r="M4013" t="s">
        <v>6</v>
      </c>
      <c r="N4013" t="b">
        <v>0</v>
      </c>
      <c r="O4013">
        <v>0</v>
      </c>
      <c r="P4013">
        <v>1</v>
      </c>
      <c r="Q4013">
        <v>0</v>
      </c>
      <c r="R4013">
        <v>0</v>
      </c>
    </row>
    <row r="4014" spans="1:18" x14ac:dyDescent="0.25">
      <c r="A4014" t="s">
        <v>7</v>
      </c>
      <c r="B4014" t="s">
        <v>6</v>
      </c>
      <c r="C4014">
        <v>2</v>
      </c>
      <c r="D4014">
        <v>4</v>
      </c>
      <c r="E4014">
        <v>2</v>
      </c>
      <c r="F4014" s="15">
        <v>46132</v>
      </c>
      <c r="G4014" t="s">
        <v>498</v>
      </c>
      <c r="H4014">
        <v>4</v>
      </c>
      <c r="I4014">
        <v>2026</v>
      </c>
      <c r="J4014">
        <v>4</v>
      </c>
      <c r="K4014" t="s">
        <v>87</v>
      </c>
      <c r="L4014" t="s">
        <v>28</v>
      </c>
      <c r="M4014" t="s">
        <v>6</v>
      </c>
      <c r="N4014" t="b">
        <v>0</v>
      </c>
      <c r="O4014">
        <v>0</v>
      </c>
      <c r="P4014">
        <v>1</v>
      </c>
      <c r="Q4014">
        <v>0</v>
      </c>
      <c r="R4014">
        <v>0</v>
      </c>
    </row>
    <row r="4015" spans="1:18" x14ac:dyDescent="0.25">
      <c r="A4015" t="s">
        <v>7</v>
      </c>
      <c r="B4015" t="s">
        <v>6</v>
      </c>
      <c r="C4015">
        <v>2</v>
      </c>
      <c r="D4015">
        <v>4</v>
      </c>
      <c r="E4015">
        <v>2</v>
      </c>
      <c r="F4015" s="15">
        <v>46132</v>
      </c>
      <c r="G4015" t="s">
        <v>498</v>
      </c>
      <c r="H4015">
        <v>4</v>
      </c>
      <c r="I4015">
        <v>2026</v>
      </c>
      <c r="J4015">
        <v>4</v>
      </c>
      <c r="K4015" t="s">
        <v>87</v>
      </c>
      <c r="L4015" t="s">
        <v>17</v>
      </c>
      <c r="M4015" t="s">
        <v>8</v>
      </c>
      <c r="N4015" t="b">
        <v>0</v>
      </c>
      <c r="O4015">
        <v>0</v>
      </c>
      <c r="P4015">
        <v>1</v>
      </c>
      <c r="Q4015">
        <v>0</v>
      </c>
      <c r="R4015">
        <v>1</v>
      </c>
    </row>
    <row r="4016" spans="1:18" x14ac:dyDescent="0.25">
      <c r="A4016" t="s">
        <v>28</v>
      </c>
      <c r="B4016" t="s">
        <v>6</v>
      </c>
      <c r="C4016">
        <v>3</v>
      </c>
      <c r="D4016">
        <v>4</v>
      </c>
      <c r="E4016">
        <v>2</v>
      </c>
      <c r="F4016" s="15">
        <v>46132</v>
      </c>
      <c r="G4016" t="s">
        <v>498</v>
      </c>
      <c r="H4016">
        <v>4</v>
      </c>
      <c r="I4016">
        <v>2026</v>
      </c>
      <c r="J4016">
        <v>4</v>
      </c>
      <c r="K4016" t="s">
        <v>87</v>
      </c>
      <c r="L4016" t="s">
        <v>325</v>
      </c>
      <c r="M4016" t="s">
        <v>6</v>
      </c>
      <c r="N4016" t="b">
        <v>0</v>
      </c>
      <c r="O4016">
        <v>0</v>
      </c>
      <c r="P4016">
        <v>1</v>
      </c>
      <c r="Q4016">
        <v>0</v>
      </c>
      <c r="R4016">
        <v>0</v>
      </c>
    </row>
    <row r="4017" spans="1:18" x14ac:dyDescent="0.25">
      <c r="A4017" t="s">
        <v>28</v>
      </c>
      <c r="B4017" t="s">
        <v>6</v>
      </c>
      <c r="C4017">
        <v>3</v>
      </c>
      <c r="D4017">
        <v>4</v>
      </c>
      <c r="E4017">
        <v>2</v>
      </c>
      <c r="F4017" s="15">
        <v>46132</v>
      </c>
      <c r="G4017" t="s">
        <v>498</v>
      </c>
      <c r="H4017">
        <v>4</v>
      </c>
      <c r="I4017">
        <v>2026</v>
      </c>
      <c r="J4017">
        <v>4</v>
      </c>
      <c r="K4017" t="s">
        <v>87</v>
      </c>
      <c r="L4017" t="s">
        <v>7</v>
      </c>
      <c r="M4017" t="s">
        <v>6</v>
      </c>
      <c r="N4017" t="b">
        <v>0</v>
      </c>
      <c r="O4017">
        <v>0</v>
      </c>
      <c r="P4017">
        <v>1</v>
      </c>
      <c r="Q4017">
        <v>0</v>
      </c>
      <c r="R4017">
        <v>0</v>
      </c>
    </row>
    <row r="4018" spans="1:18" x14ac:dyDescent="0.25">
      <c r="A4018" t="s">
        <v>28</v>
      </c>
      <c r="B4018" t="s">
        <v>6</v>
      </c>
      <c r="C4018">
        <v>3</v>
      </c>
      <c r="D4018">
        <v>4</v>
      </c>
      <c r="E4018">
        <v>2</v>
      </c>
      <c r="F4018" s="15">
        <v>46132</v>
      </c>
      <c r="G4018" t="s">
        <v>498</v>
      </c>
      <c r="H4018">
        <v>4</v>
      </c>
      <c r="I4018">
        <v>2026</v>
      </c>
      <c r="J4018">
        <v>4</v>
      </c>
      <c r="K4018" t="s">
        <v>87</v>
      </c>
      <c r="L4018" t="s">
        <v>17</v>
      </c>
      <c r="M4018" t="s">
        <v>8</v>
      </c>
      <c r="N4018" t="b">
        <v>0</v>
      </c>
      <c r="O4018">
        <v>0</v>
      </c>
      <c r="P4018">
        <v>1</v>
      </c>
      <c r="Q4018">
        <v>0</v>
      </c>
      <c r="R4018">
        <v>1</v>
      </c>
    </row>
    <row r="4019" spans="1:18" x14ac:dyDescent="0.25">
      <c r="A4019" t="s">
        <v>17</v>
      </c>
      <c r="B4019" t="s">
        <v>8</v>
      </c>
      <c r="C4019">
        <v>4</v>
      </c>
      <c r="D4019">
        <v>4</v>
      </c>
      <c r="E4019">
        <v>2</v>
      </c>
      <c r="F4019" s="15">
        <v>46132</v>
      </c>
      <c r="G4019" t="s">
        <v>498</v>
      </c>
      <c r="H4019">
        <v>4</v>
      </c>
      <c r="I4019">
        <v>2026</v>
      </c>
      <c r="J4019">
        <v>4</v>
      </c>
      <c r="K4019" t="s">
        <v>87</v>
      </c>
      <c r="L4019" t="s">
        <v>325</v>
      </c>
      <c r="M4019" t="s">
        <v>6</v>
      </c>
      <c r="N4019" t="b">
        <v>0</v>
      </c>
      <c r="O4019">
        <v>1</v>
      </c>
      <c r="P4019">
        <v>0</v>
      </c>
      <c r="Q4019">
        <v>0</v>
      </c>
      <c r="R4019">
        <v>0</v>
      </c>
    </row>
    <row r="4020" spans="1:18" x14ac:dyDescent="0.25">
      <c r="A4020" t="s">
        <v>17</v>
      </c>
      <c r="B4020" t="s">
        <v>8</v>
      </c>
      <c r="C4020">
        <v>4</v>
      </c>
      <c r="D4020">
        <v>4</v>
      </c>
      <c r="E4020">
        <v>2</v>
      </c>
      <c r="F4020" s="15">
        <v>46132</v>
      </c>
      <c r="G4020" t="s">
        <v>498</v>
      </c>
      <c r="H4020">
        <v>4</v>
      </c>
      <c r="I4020">
        <v>2026</v>
      </c>
      <c r="J4020">
        <v>4</v>
      </c>
      <c r="K4020" t="s">
        <v>87</v>
      </c>
      <c r="L4020" t="s">
        <v>7</v>
      </c>
      <c r="M4020" t="s">
        <v>6</v>
      </c>
      <c r="N4020" t="b">
        <v>0</v>
      </c>
      <c r="O4020">
        <v>1</v>
      </c>
      <c r="P4020">
        <v>0</v>
      </c>
      <c r="Q4020">
        <v>0</v>
      </c>
      <c r="R4020">
        <v>0</v>
      </c>
    </row>
    <row r="4021" spans="1:18" x14ac:dyDescent="0.25">
      <c r="A4021" t="s">
        <v>17</v>
      </c>
      <c r="B4021" t="s">
        <v>8</v>
      </c>
      <c r="C4021">
        <v>4</v>
      </c>
      <c r="D4021">
        <v>4</v>
      </c>
      <c r="E4021">
        <v>2</v>
      </c>
      <c r="F4021" s="15">
        <v>46132</v>
      </c>
      <c r="G4021" t="s">
        <v>498</v>
      </c>
      <c r="H4021">
        <v>4</v>
      </c>
      <c r="I4021">
        <v>2026</v>
      </c>
      <c r="J4021">
        <v>4</v>
      </c>
      <c r="K4021" t="s">
        <v>87</v>
      </c>
      <c r="L4021" t="s">
        <v>28</v>
      </c>
      <c r="M4021" t="s">
        <v>6</v>
      </c>
      <c r="N4021" t="b">
        <v>0</v>
      </c>
      <c r="O4021">
        <v>1</v>
      </c>
      <c r="P4021">
        <v>0</v>
      </c>
      <c r="Q4021">
        <v>0</v>
      </c>
      <c r="R4021">
        <v>0</v>
      </c>
    </row>
    <row r="4022" spans="1:18" x14ac:dyDescent="0.25">
      <c r="A4022" t="s">
        <v>59</v>
      </c>
      <c r="B4022" t="s">
        <v>6</v>
      </c>
      <c r="C4022">
        <v>1</v>
      </c>
      <c r="D4022">
        <v>5</v>
      </c>
      <c r="E4022">
        <v>2</v>
      </c>
      <c r="F4022" s="15">
        <v>46132</v>
      </c>
      <c r="G4022" t="s">
        <v>499</v>
      </c>
      <c r="H4022">
        <v>4</v>
      </c>
      <c r="I4022">
        <v>2026</v>
      </c>
      <c r="J4022">
        <v>4</v>
      </c>
      <c r="K4022" t="s">
        <v>87</v>
      </c>
      <c r="L4022" t="s">
        <v>363</v>
      </c>
      <c r="M4022" t="s">
        <v>6</v>
      </c>
      <c r="N4022" t="b">
        <v>0</v>
      </c>
      <c r="O4022">
        <v>0</v>
      </c>
      <c r="P4022">
        <v>1</v>
      </c>
      <c r="Q4022">
        <v>0</v>
      </c>
      <c r="R4022">
        <v>0</v>
      </c>
    </row>
    <row r="4023" spans="1:18" x14ac:dyDescent="0.25">
      <c r="A4023" t="s">
        <v>59</v>
      </c>
      <c r="B4023" t="s">
        <v>6</v>
      </c>
      <c r="C4023">
        <v>1</v>
      </c>
      <c r="D4023">
        <v>5</v>
      </c>
      <c r="E4023">
        <v>2</v>
      </c>
      <c r="F4023" s="15">
        <v>46132</v>
      </c>
      <c r="G4023" t="s">
        <v>499</v>
      </c>
      <c r="H4023">
        <v>4</v>
      </c>
      <c r="I4023">
        <v>2026</v>
      </c>
      <c r="J4023">
        <v>4</v>
      </c>
      <c r="K4023" t="s">
        <v>87</v>
      </c>
      <c r="L4023" t="s">
        <v>51</v>
      </c>
      <c r="M4023" t="s">
        <v>6</v>
      </c>
      <c r="N4023" t="b">
        <v>0</v>
      </c>
      <c r="O4023">
        <v>0</v>
      </c>
      <c r="P4023">
        <v>1</v>
      </c>
      <c r="Q4023">
        <v>0</v>
      </c>
      <c r="R4023">
        <v>0</v>
      </c>
    </row>
    <row r="4024" spans="1:18" x14ac:dyDescent="0.25">
      <c r="A4024" t="s">
        <v>59</v>
      </c>
      <c r="B4024" t="s">
        <v>6</v>
      </c>
      <c r="C4024">
        <v>1</v>
      </c>
      <c r="D4024">
        <v>5</v>
      </c>
      <c r="E4024">
        <v>2</v>
      </c>
      <c r="F4024" s="15">
        <v>46132</v>
      </c>
      <c r="G4024" t="s">
        <v>499</v>
      </c>
      <c r="H4024">
        <v>4</v>
      </c>
      <c r="I4024">
        <v>2026</v>
      </c>
      <c r="J4024">
        <v>4</v>
      </c>
      <c r="K4024" t="s">
        <v>87</v>
      </c>
      <c r="L4024" t="s">
        <v>326</v>
      </c>
      <c r="M4024" t="s">
        <v>8</v>
      </c>
      <c r="N4024" t="b">
        <v>0</v>
      </c>
      <c r="O4024">
        <v>0</v>
      </c>
      <c r="P4024">
        <v>1</v>
      </c>
      <c r="Q4024">
        <v>0</v>
      </c>
      <c r="R4024">
        <v>1</v>
      </c>
    </row>
    <row r="4025" spans="1:18" x14ac:dyDescent="0.25">
      <c r="A4025" t="s">
        <v>363</v>
      </c>
      <c r="B4025" t="s">
        <v>6</v>
      </c>
      <c r="C4025">
        <v>2</v>
      </c>
      <c r="D4025">
        <v>5</v>
      </c>
      <c r="E4025">
        <v>2</v>
      </c>
      <c r="F4025" s="15">
        <v>46132</v>
      </c>
      <c r="G4025" t="s">
        <v>499</v>
      </c>
      <c r="H4025">
        <v>4</v>
      </c>
      <c r="I4025">
        <v>2026</v>
      </c>
      <c r="J4025">
        <v>4</v>
      </c>
      <c r="K4025" t="s">
        <v>87</v>
      </c>
      <c r="L4025" t="s">
        <v>59</v>
      </c>
      <c r="M4025" t="s">
        <v>6</v>
      </c>
      <c r="N4025" t="b">
        <v>0</v>
      </c>
      <c r="O4025">
        <v>0</v>
      </c>
      <c r="P4025">
        <v>1</v>
      </c>
      <c r="Q4025">
        <v>0</v>
      </c>
      <c r="R4025">
        <v>0</v>
      </c>
    </row>
    <row r="4026" spans="1:18" x14ac:dyDescent="0.25">
      <c r="A4026" t="s">
        <v>363</v>
      </c>
      <c r="B4026" t="s">
        <v>6</v>
      </c>
      <c r="C4026">
        <v>2</v>
      </c>
      <c r="D4026">
        <v>5</v>
      </c>
      <c r="E4026">
        <v>2</v>
      </c>
      <c r="F4026" s="15">
        <v>46132</v>
      </c>
      <c r="G4026" t="s">
        <v>499</v>
      </c>
      <c r="H4026">
        <v>4</v>
      </c>
      <c r="I4026">
        <v>2026</v>
      </c>
      <c r="J4026">
        <v>4</v>
      </c>
      <c r="K4026" t="s">
        <v>87</v>
      </c>
      <c r="L4026" t="s">
        <v>51</v>
      </c>
      <c r="M4026" t="s">
        <v>6</v>
      </c>
      <c r="N4026" t="b">
        <v>0</v>
      </c>
      <c r="O4026">
        <v>0</v>
      </c>
      <c r="P4026">
        <v>1</v>
      </c>
      <c r="Q4026">
        <v>0</v>
      </c>
      <c r="R4026">
        <v>0</v>
      </c>
    </row>
    <row r="4027" spans="1:18" x14ac:dyDescent="0.25">
      <c r="A4027" t="s">
        <v>363</v>
      </c>
      <c r="B4027" t="s">
        <v>6</v>
      </c>
      <c r="C4027">
        <v>2</v>
      </c>
      <c r="D4027">
        <v>5</v>
      </c>
      <c r="E4027">
        <v>2</v>
      </c>
      <c r="F4027" s="15">
        <v>46132</v>
      </c>
      <c r="G4027" t="s">
        <v>499</v>
      </c>
      <c r="H4027">
        <v>4</v>
      </c>
      <c r="I4027">
        <v>2026</v>
      </c>
      <c r="J4027">
        <v>4</v>
      </c>
      <c r="K4027" t="s">
        <v>87</v>
      </c>
      <c r="L4027" t="s">
        <v>326</v>
      </c>
      <c r="M4027" t="s">
        <v>8</v>
      </c>
      <c r="N4027" t="b">
        <v>0</v>
      </c>
      <c r="O4027">
        <v>0</v>
      </c>
      <c r="P4027">
        <v>1</v>
      </c>
      <c r="Q4027">
        <v>0</v>
      </c>
      <c r="R4027">
        <v>1</v>
      </c>
    </row>
    <row r="4028" spans="1:18" x14ac:dyDescent="0.25">
      <c r="A4028" t="s">
        <v>51</v>
      </c>
      <c r="B4028" t="s">
        <v>6</v>
      </c>
      <c r="C4028">
        <v>3</v>
      </c>
      <c r="D4028">
        <v>5</v>
      </c>
      <c r="E4028">
        <v>2</v>
      </c>
      <c r="F4028" s="15">
        <v>46132</v>
      </c>
      <c r="G4028" t="s">
        <v>499</v>
      </c>
      <c r="H4028">
        <v>4</v>
      </c>
      <c r="I4028">
        <v>2026</v>
      </c>
      <c r="J4028">
        <v>4</v>
      </c>
      <c r="K4028" t="s">
        <v>87</v>
      </c>
      <c r="L4028" t="s">
        <v>59</v>
      </c>
      <c r="M4028" t="s">
        <v>6</v>
      </c>
      <c r="N4028" t="b">
        <v>0</v>
      </c>
      <c r="O4028">
        <v>0</v>
      </c>
      <c r="P4028">
        <v>1</v>
      </c>
      <c r="Q4028">
        <v>0</v>
      </c>
      <c r="R4028">
        <v>0</v>
      </c>
    </row>
    <row r="4029" spans="1:18" x14ac:dyDescent="0.25">
      <c r="A4029" t="s">
        <v>51</v>
      </c>
      <c r="B4029" t="s">
        <v>6</v>
      </c>
      <c r="C4029">
        <v>3</v>
      </c>
      <c r="D4029">
        <v>5</v>
      </c>
      <c r="E4029">
        <v>2</v>
      </c>
      <c r="F4029" s="15">
        <v>46132</v>
      </c>
      <c r="G4029" t="s">
        <v>499</v>
      </c>
      <c r="H4029">
        <v>4</v>
      </c>
      <c r="I4029">
        <v>2026</v>
      </c>
      <c r="J4029">
        <v>4</v>
      </c>
      <c r="K4029" t="s">
        <v>87</v>
      </c>
      <c r="L4029" t="s">
        <v>363</v>
      </c>
      <c r="M4029" t="s">
        <v>6</v>
      </c>
      <c r="N4029" t="b">
        <v>0</v>
      </c>
      <c r="O4029">
        <v>0</v>
      </c>
      <c r="P4029">
        <v>1</v>
      </c>
      <c r="Q4029">
        <v>0</v>
      </c>
      <c r="R4029">
        <v>0</v>
      </c>
    </row>
    <row r="4030" spans="1:18" x14ac:dyDescent="0.25">
      <c r="A4030" t="s">
        <v>51</v>
      </c>
      <c r="B4030" t="s">
        <v>6</v>
      </c>
      <c r="C4030">
        <v>3</v>
      </c>
      <c r="D4030">
        <v>5</v>
      </c>
      <c r="E4030">
        <v>2</v>
      </c>
      <c r="F4030" s="15">
        <v>46132</v>
      </c>
      <c r="G4030" t="s">
        <v>499</v>
      </c>
      <c r="H4030">
        <v>4</v>
      </c>
      <c r="I4030">
        <v>2026</v>
      </c>
      <c r="J4030">
        <v>4</v>
      </c>
      <c r="K4030" t="s">
        <v>87</v>
      </c>
      <c r="L4030" t="s">
        <v>326</v>
      </c>
      <c r="M4030" t="s">
        <v>8</v>
      </c>
      <c r="N4030" t="b">
        <v>0</v>
      </c>
      <c r="O4030">
        <v>0</v>
      </c>
      <c r="P4030">
        <v>1</v>
      </c>
      <c r="Q4030">
        <v>0</v>
      </c>
      <c r="R4030">
        <v>1</v>
      </c>
    </row>
    <row r="4031" spans="1:18" x14ac:dyDescent="0.25">
      <c r="A4031" t="s">
        <v>326</v>
      </c>
      <c r="B4031" t="s">
        <v>8</v>
      </c>
      <c r="C4031">
        <v>4</v>
      </c>
      <c r="D4031">
        <v>5</v>
      </c>
      <c r="E4031">
        <v>2</v>
      </c>
      <c r="F4031" s="15">
        <v>46132</v>
      </c>
      <c r="G4031" t="s">
        <v>499</v>
      </c>
      <c r="H4031">
        <v>4</v>
      </c>
      <c r="I4031">
        <v>2026</v>
      </c>
      <c r="J4031">
        <v>4</v>
      </c>
      <c r="K4031" t="s">
        <v>87</v>
      </c>
      <c r="L4031" t="s">
        <v>59</v>
      </c>
      <c r="M4031" t="s">
        <v>6</v>
      </c>
      <c r="N4031" t="b">
        <v>0</v>
      </c>
      <c r="O4031">
        <v>1</v>
      </c>
      <c r="P4031">
        <v>0</v>
      </c>
      <c r="Q4031">
        <v>0</v>
      </c>
      <c r="R4031">
        <v>0</v>
      </c>
    </row>
    <row r="4032" spans="1:18" x14ac:dyDescent="0.25">
      <c r="A4032" t="s">
        <v>326</v>
      </c>
      <c r="B4032" t="s">
        <v>8</v>
      </c>
      <c r="C4032">
        <v>4</v>
      </c>
      <c r="D4032">
        <v>5</v>
      </c>
      <c r="E4032">
        <v>2</v>
      </c>
      <c r="F4032" s="15">
        <v>46132</v>
      </c>
      <c r="G4032" t="s">
        <v>499</v>
      </c>
      <c r="H4032">
        <v>4</v>
      </c>
      <c r="I4032">
        <v>2026</v>
      </c>
      <c r="J4032">
        <v>4</v>
      </c>
      <c r="K4032" t="s">
        <v>87</v>
      </c>
      <c r="L4032" t="s">
        <v>363</v>
      </c>
      <c r="M4032" t="s">
        <v>6</v>
      </c>
      <c r="N4032" t="b">
        <v>0</v>
      </c>
      <c r="O4032">
        <v>1</v>
      </c>
      <c r="P4032">
        <v>0</v>
      </c>
      <c r="Q4032">
        <v>0</v>
      </c>
      <c r="R4032">
        <v>0</v>
      </c>
    </row>
    <row r="4033" spans="1:18" x14ac:dyDescent="0.25">
      <c r="A4033" t="s">
        <v>326</v>
      </c>
      <c r="B4033" t="s">
        <v>8</v>
      </c>
      <c r="C4033">
        <v>4</v>
      </c>
      <c r="D4033">
        <v>5</v>
      </c>
      <c r="E4033">
        <v>2</v>
      </c>
      <c r="F4033" s="15">
        <v>46132</v>
      </c>
      <c r="G4033" t="s">
        <v>499</v>
      </c>
      <c r="H4033">
        <v>4</v>
      </c>
      <c r="I4033">
        <v>2026</v>
      </c>
      <c r="J4033">
        <v>4</v>
      </c>
      <c r="K4033" t="s">
        <v>87</v>
      </c>
      <c r="L4033" t="s">
        <v>51</v>
      </c>
      <c r="M4033" t="s">
        <v>6</v>
      </c>
      <c r="N4033" t="b">
        <v>0</v>
      </c>
      <c r="O4033">
        <v>1</v>
      </c>
      <c r="P4033">
        <v>0</v>
      </c>
      <c r="Q4033">
        <v>0</v>
      </c>
      <c r="R4033">
        <v>0</v>
      </c>
    </row>
    <row r="4034" spans="1:18" x14ac:dyDescent="0.25">
      <c r="A4034" t="s">
        <v>14</v>
      </c>
      <c r="B4034" t="s">
        <v>6</v>
      </c>
      <c r="C4034">
        <v>1</v>
      </c>
      <c r="D4034">
        <v>6</v>
      </c>
      <c r="E4034">
        <v>2</v>
      </c>
      <c r="F4034" s="15">
        <v>46132</v>
      </c>
      <c r="G4034" t="s">
        <v>500</v>
      </c>
      <c r="H4034">
        <v>3</v>
      </c>
      <c r="I4034">
        <v>2026</v>
      </c>
      <c r="J4034">
        <v>4</v>
      </c>
      <c r="K4034" t="s">
        <v>87</v>
      </c>
      <c r="L4034" t="s">
        <v>19</v>
      </c>
      <c r="M4034" t="s">
        <v>6</v>
      </c>
      <c r="N4034" t="b">
        <v>0</v>
      </c>
      <c r="O4034">
        <v>0</v>
      </c>
      <c r="P4034">
        <v>1</v>
      </c>
      <c r="Q4034">
        <v>0</v>
      </c>
      <c r="R4034">
        <v>0</v>
      </c>
    </row>
    <row r="4035" spans="1:18" x14ac:dyDescent="0.25">
      <c r="A4035" t="s">
        <v>14</v>
      </c>
      <c r="B4035" t="s">
        <v>6</v>
      </c>
      <c r="C4035">
        <v>1</v>
      </c>
      <c r="D4035">
        <v>6</v>
      </c>
      <c r="E4035">
        <v>2</v>
      </c>
      <c r="F4035" s="15">
        <v>46132</v>
      </c>
      <c r="G4035" t="s">
        <v>500</v>
      </c>
      <c r="H4035">
        <v>3</v>
      </c>
      <c r="I4035">
        <v>2026</v>
      </c>
      <c r="J4035">
        <v>4</v>
      </c>
      <c r="K4035" t="s">
        <v>87</v>
      </c>
      <c r="L4035" t="s">
        <v>11</v>
      </c>
      <c r="M4035" t="s">
        <v>8</v>
      </c>
      <c r="N4035" t="b">
        <v>0</v>
      </c>
      <c r="O4035">
        <v>0</v>
      </c>
      <c r="P4035">
        <v>1</v>
      </c>
      <c r="Q4035">
        <v>0</v>
      </c>
      <c r="R4035">
        <v>1</v>
      </c>
    </row>
    <row r="4036" spans="1:18" x14ac:dyDescent="0.25">
      <c r="A4036" t="s">
        <v>19</v>
      </c>
      <c r="B4036" t="s">
        <v>6</v>
      </c>
      <c r="C4036">
        <v>2</v>
      </c>
      <c r="D4036">
        <v>6</v>
      </c>
      <c r="E4036">
        <v>2</v>
      </c>
      <c r="F4036" s="15">
        <v>46132</v>
      </c>
      <c r="G4036" t="s">
        <v>500</v>
      </c>
      <c r="H4036">
        <v>3</v>
      </c>
      <c r="I4036">
        <v>2026</v>
      </c>
      <c r="J4036">
        <v>4</v>
      </c>
      <c r="K4036" t="s">
        <v>87</v>
      </c>
      <c r="L4036" t="s">
        <v>14</v>
      </c>
      <c r="M4036" t="s">
        <v>6</v>
      </c>
      <c r="N4036" t="b">
        <v>0</v>
      </c>
      <c r="O4036">
        <v>0</v>
      </c>
      <c r="P4036">
        <v>1</v>
      </c>
      <c r="Q4036">
        <v>0</v>
      </c>
      <c r="R4036">
        <v>0</v>
      </c>
    </row>
    <row r="4037" spans="1:18" x14ac:dyDescent="0.25">
      <c r="A4037" t="s">
        <v>19</v>
      </c>
      <c r="B4037" t="s">
        <v>6</v>
      </c>
      <c r="C4037">
        <v>2</v>
      </c>
      <c r="D4037">
        <v>6</v>
      </c>
      <c r="E4037">
        <v>2</v>
      </c>
      <c r="F4037" s="15">
        <v>46132</v>
      </c>
      <c r="G4037" t="s">
        <v>500</v>
      </c>
      <c r="H4037">
        <v>3</v>
      </c>
      <c r="I4037">
        <v>2026</v>
      </c>
      <c r="J4037">
        <v>4</v>
      </c>
      <c r="K4037" t="s">
        <v>87</v>
      </c>
      <c r="L4037" t="s">
        <v>11</v>
      </c>
      <c r="M4037" t="s">
        <v>8</v>
      </c>
      <c r="N4037" t="b">
        <v>0</v>
      </c>
      <c r="O4037">
        <v>0</v>
      </c>
      <c r="P4037">
        <v>1</v>
      </c>
      <c r="Q4037">
        <v>0</v>
      </c>
      <c r="R4037">
        <v>1</v>
      </c>
    </row>
    <row r="4038" spans="1:18" x14ac:dyDescent="0.25">
      <c r="A4038" t="s">
        <v>11</v>
      </c>
      <c r="B4038" t="s">
        <v>8</v>
      </c>
      <c r="C4038">
        <v>3</v>
      </c>
      <c r="D4038">
        <v>6</v>
      </c>
      <c r="E4038">
        <v>2</v>
      </c>
      <c r="F4038" s="15">
        <v>46132</v>
      </c>
      <c r="G4038" t="s">
        <v>500</v>
      </c>
      <c r="H4038">
        <v>3</v>
      </c>
      <c r="I4038">
        <v>2026</v>
      </c>
      <c r="J4038">
        <v>4</v>
      </c>
      <c r="K4038" t="s">
        <v>87</v>
      </c>
      <c r="L4038" t="s">
        <v>14</v>
      </c>
      <c r="M4038" t="s">
        <v>6</v>
      </c>
      <c r="N4038" t="b">
        <v>0</v>
      </c>
      <c r="O4038">
        <v>1</v>
      </c>
      <c r="P4038">
        <v>0</v>
      </c>
      <c r="Q4038">
        <v>0</v>
      </c>
      <c r="R4038">
        <v>0</v>
      </c>
    </row>
    <row r="4039" spans="1:18" x14ac:dyDescent="0.25">
      <c r="A4039" t="s">
        <v>11</v>
      </c>
      <c r="B4039" t="s">
        <v>8</v>
      </c>
      <c r="C4039">
        <v>3</v>
      </c>
      <c r="D4039">
        <v>6</v>
      </c>
      <c r="E4039">
        <v>2</v>
      </c>
      <c r="F4039" s="15">
        <v>46132</v>
      </c>
      <c r="G4039" t="s">
        <v>500</v>
      </c>
      <c r="H4039">
        <v>3</v>
      </c>
      <c r="I4039">
        <v>2026</v>
      </c>
      <c r="J4039">
        <v>4</v>
      </c>
      <c r="K4039" t="s">
        <v>87</v>
      </c>
      <c r="L4039" t="s">
        <v>19</v>
      </c>
      <c r="M4039" t="s">
        <v>6</v>
      </c>
      <c r="N4039" t="b">
        <v>0</v>
      </c>
      <c r="O4039">
        <v>1</v>
      </c>
      <c r="P4039">
        <v>0</v>
      </c>
      <c r="Q4039">
        <v>0</v>
      </c>
      <c r="R4039">
        <v>0</v>
      </c>
    </row>
    <row r="4040" spans="1:18" x14ac:dyDescent="0.25">
      <c r="A4040" t="s">
        <v>19</v>
      </c>
      <c r="B4040" t="s">
        <v>63</v>
      </c>
      <c r="C4040">
        <v>1</v>
      </c>
      <c r="D4040">
        <v>1</v>
      </c>
      <c r="E4040">
        <v>1</v>
      </c>
      <c r="F4040" s="15">
        <v>46139</v>
      </c>
      <c r="G4040" t="s">
        <v>501</v>
      </c>
      <c r="H4040">
        <v>4</v>
      </c>
      <c r="I4040">
        <v>2026</v>
      </c>
      <c r="J4040">
        <v>4</v>
      </c>
      <c r="K4040" t="s">
        <v>87</v>
      </c>
      <c r="L4040" t="s">
        <v>11</v>
      </c>
      <c r="M4040" t="s">
        <v>63</v>
      </c>
      <c r="N4040" t="b">
        <v>0</v>
      </c>
      <c r="O4040">
        <v>0</v>
      </c>
      <c r="P4040">
        <v>0</v>
      </c>
      <c r="Q4040">
        <v>1</v>
      </c>
      <c r="R4040">
        <v>0</v>
      </c>
    </row>
    <row r="4041" spans="1:18" x14ac:dyDescent="0.25">
      <c r="A4041" t="s">
        <v>19</v>
      </c>
      <c r="B4041" t="s">
        <v>63</v>
      </c>
      <c r="C4041">
        <v>1</v>
      </c>
      <c r="D4041">
        <v>1</v>
      </c>
      <c r="E4041">
        <v>1</v>
      </c>
      <c r="F4041" s="15">
        <v>46139</v>
      </c>
      <c r="G4041" t="s">
        <v>501</v>
      </c>
      <c r="H4041">
        <v>4</v>
      </c>
      <c r="I4041">
        <v>2026</v>
      </c>
      <c r="J4041">
        <v>4</v>
      </c>
      <c r="K4041" t="s">
        <v>87</v>
      </c>
      <c r="L4041" t="s">
        <v>13</v>
      </c>
      <c r="M4041" t="s">
        <v>63</v>
      </c>
      <c r="N4041" t="b">
        <v>0</v>
      </c>
      <c r="O4041">
        <v>0</v>
      </c>
      <c r="P4041">
        <v>0</v>
      </c>
      <c r="Q4041">
        <v>1</v>
      </c>
      <c r="R4041">
        <v>0</v>
      </c>
    </row>
    <row r="4042" spans="1:18" x14ac:dyDescent="0.25">
      <c r="A4042" t="s">
        <v>19</v>
      </c>
      <c r="B4042" t="s">
        <v>63</v>
      </c>
      <c r="C4042">
        <v>1</v>
      </c>
      <c r="D4042">
        <v>1</v>
      </c>
      <c r="E4042">
        <v>1</v>
      </c>
      <c r="F4042" s="15">
        <v>46139</v>
      </c>
      <c r="G4042" t="s">
        <v>501</v>
      </c>
      <c r="H4042">
        <v>4</v>
      </c>
      <c r="I4042">
        <v>2026</v>
      </c>
      <c r="J4042">
        <v>4</v>
      </c>
      <c r="K4042" t="s">
        <v>87</v>
      </c>
      <c r="L4042" t="s">
        <v>20</v>
      </c>
      <c r="M4042" t="s">
        <v>63</v>
      </c>
      <c r="N4042" t="b">
        <v>0</v>
      </c>
      <c r="O4042">
        <v>0</v>
      </c>
      <c r="P4042">
        <v>0</v>
      </c>
      <c r="Q4042">
        <v>1</v>
      </c>
      <c r="R4042">
        <v>0</v>
      </c>
    </row>
    <row r="4043" spans="1:18" x14ac:dyDescent="0.25">
      <c r="A4043" t="s">
        <v>11</v>
      </c>
      <c r="B4043" t="s">
        <v>63</v>
      </c>
      <c r="C4043">
        <v>2</v>
      </c>
      <c r="D4043">
        <v>1</v>
      </c>
      <c r="E4043">
        <v>1</v>
      </c>
      <c r="F4043" s="15">
        <v>46139</v>
      </c>
      <c r="G4043" t="s">
        <v>501</v>
      </c>
      <c r="H4043">
        <v>4</v>
      </c>
      <c r="I4043">
        <v>2026</v>
      </c>
      <c r="J4043">
        <v>4</v>
      </c>
      <c r="K4043" t="s">
        <v>87</v>
      </c>
      <c r="L4043" t="s">
        <v>19</v>
      </c>
      <c r="M4043" t="s">
        <v>63</v>
      </c>
      <c r="N4043" t="b">
        <v>0</v>
      </c>
      <c r="O4043">
        <v>0</v>
      </c>
      <c r="P4043">
        <v>0</v>
      </c>
      <c r="Q4043">
        <v>1</v>
      </c>
      <c r="R4043">
        <v>0</v>
      </c>
    </row>
    <row r="4044" spans="1:18" x14ac:dyDescent="0.25">
      <c r="A4044" t="s">
        <v>11</v>
      </c>
      <c r="B4044" t="s">
        <v>63</v>
      </c>
      <c r="C4044">
        <v>2</v>
      </c>
      <c r="D4044">
        <v>1</v>
      </c>
      <c r="E4044">
        <v>1</v>
      </c>
      <c r="F4044" s="15">
        <v>46139</v>
      </c>
      <c r="G4044" t="s">
        <v>501</v>
      </c>
      <c r="H4044">
        <v>4</v>
      </c>
      <c r="I4044">
        <v>2026</v>
      </c>
      <c r="J4044">
        <v>4</v>
      </c>
      <c r="K4044" t="s">
        <v>87</v>
      </c>
      <c r="L4044" t="s">
        <v>13</v>
      </c>
      <c r="M4044" t="s">
        <v>63</v>
      </c>
      <c r="N4044" t="b">
        <v>0</v>
      </c>
      <c r="O4044">
        <v>0</v>
      </c>
      <c r="P4044">
        <v>0</v>
      </c>
      <c r="Q4044">
        <v>1</v>
      </c>
      <c r="R4044">
        <v>0</v>
      </c>
    </row>
    <row r="4045" spans="1:18" x14ac:dyDescent="0.25">
      <c r="A4045" t="s">
        <v>11</v>
      </c>
      <c r="B4045" t="s">
        <v>63</v>
      </c>
      <c r="C4045">
        <v>2</v>
      </c>
      <c r="D4045">
        <v>1</v>
      </c>
      <c r="E4045">
        <v>1</v>
      </c>
      <c r="F4045" s="15">
        <v>46139</v>
      </c>
      <c r="G4045" t="s">
        <v>501</v>
      </c>
      <c r="H4045">
        <v>4</v>
      </c>
      <c r="I4045">
        <v>2026</v>
      </c>
      <c r="J4045">
        <v>4</v>
      </c>
      <c r="K4045" t="s">
        <v>87</v>
      </c>
      <c r="L4045" t="s">
        <v>20</v>
      </c>
      <c r="M4045" t="s">
        <v>63</v>
      </c>
      <c r="N4045" t="b">
        <v>0</v>
      </c>
      <c r="O4045">
        <v>0</v>
      </c>
      <c r="P4045">
        <v>0</v>
      </c>
      <c r="Q4045">
        <v>1</v>
      </c>
      <c r="R4045">
        <v>0</v>
      </c>
    </row>
    <row r="4046" spans="1:18" x14ac:dyDescent="0.25">
      <c r="A4046" t="s">
        <v>13</v>
      </c>
      <c r="B4046" t="s">
        <v>63</v>
      </c>
      <c r="C4046">
        <v>3</v>
      </c>
      <c r="D4046">
        <v>1</v>
      </c>
      <c r="E4046">
        <v>1</v>
      </c>
      <c r="F4046" s="15">
        <v>46139</v>
      </c>
      <c r="G4046" t="s">
        <v>501</v>
      </c>
      <c r="H4046">
        <v>4</v>
      </c>
      <c r="I4046">
        <v>2026</v>
      </c>
      <c r="J4046">
        <v>4</v>
      </c>
      <c r="K4046" t="s">
        <v>87</v>
      </c>
      <c r="L4046" t="s">
        <v>19</v>
      </c>
      <c r="M4046" t="s">
        <v>63</v>
      </c>
      <c r="N4046" t="b">
        <v>0</v>
      </c>
      <c r="O4046">
        <v>0</v>
      </c>
      <c r="P4046">
        <v>0</v>
      </c>
      <c r="Q4046">
        <v>1</v>
      </c>
      <c r="R4046">
        <v>0</v>
      </c>
    </row>
    <row r="4047" spans="1:18" x14ac:dyDescent="0.25">
      <c r="A4047" t="s">
        <v>13</v>
      </c>
      <c r="B4047" t="s">
        <v>63</v>
      </c>
      <c r="C4047">
        <v>3</v>
      </c>
      <c r="D4047">
        <v>1</v>
      </c>
      <c r="E4047">
        <v>1</v>
      </c>
      <c r="F4047" s="15">
        <v>46139</v>
      </c>
      <c r="G4047" t="s">
        <v>501</v>
      </c>
      <c r="H4047">
        <v>4</v>
      </c>
      <c r="I4047">
        <v>2026</v>
      </c>
      <c r="J4047">
        <v>4</v>
      </c>
      <c r="K4047" t="s">
        <v>87</v>
      </c>
      <c r="L4047" t="s">
        <v>11</v>
      </c>
      <c r="M4047" t="s">
        <v>63</v>
      </c>
      <c r="N4047" t="b">
        <v>0</v>
      </c>
      <c r="O4047">
        <v>0</v>
      </c>
      <c r="P4047">
        <v>0</v>
      </c>
      <c r="Q4047">
        <v>1</v>
      </c>
      <c r="R4047">
        <v>0</v>
      </c>
    </row>
    <row r="4048" spans="1:18" x14ac:dyDescent="0.25">
      <c r="A4048" t="s">
        <v>13</v>
      </c>
      <c r="B4048" t="s">
        <v>63</v>
      </c>
      <c r="C4048">
        <v>3</v>
      </c>
      <c r="D4048">
        <v>1</v>
      </c>
      <c r="E4048">
        <v>1</v>
      </c>
      <c r="F4048" s="15">
        <v>46139</v>
      </c>
      <c r="G4048" t="s">
        <v>501</v>
      </c>
      <c r="H4048">
        <v>4</v>
      </c>
      <c r="I4048">
        <v>2026</v>
      </c>
      <c r="J4048">
        <v>4</v>
      </c>
      <c r="K4048" t="s">
        <v>87</v>
      </c>
      <c r="L4048" t="s">
        <v>20</v>
      </c>
      <c r="M4048" t="s">
        <v>63</v>
      </c>
      <c r="N4048" t="b">
        <v>0</v>
      </c>
      <c r="O4048">
        <v>0</v>
      </c>
      <c r="P4048">
        <v>0</v>
      </c>
      <c r="Q4048">
        <v>1</v>
      </c>
      <c r="R4048">
        <v>0</v>
      </c>
    </row>
    <row r="4049" spans="1:18" x14ac:dyDescent="0.25">
      <c r="A4049" t="s">
        <v>20</v>
      </c>
      <c r="B4049" t="s">
        <v>63</v>
      </c>
      <c r="C4049">
        <v>4</v>
      </c>
      <c r="D4049">
        <v>1</v>
      </c>
      <c r="E4049">
        <v>1</v>
      </c>
      <c r="F4049" s="15">
        <v>46139</v>
      </c>
      <c r="G4049" t="s">
        <v>501</v>
      </c>
      <c r="H4049">
        <v>4</v>
      </c>
      <c r="I4049">
        <v>2026</v>
      </c>
      <c r="J4049">
        <v>4</v>
      </c>
      <c r="K4049" t="s">
        <v>87</v>
      </c>
      <c r="L4049" t="s">
        <v>19</v>
      </c>
      <c r="M4049" t="s">
        <v>63</v>
      </c>
      <c r="N4049" t="b">
        <v>0</v>
      </c>
      <c r="O4049">
        <v>0</v>
      </c>
      <c r="P4049">
        <v>0</v>
      </c>
      <c r="Q4049">
        <v>1</v>
      </c>
      <c r="R4049">
        <v>0</v>
      </c>
    </row>
    <row r="4050" spans="1:18" x14ac:dyDescent="0.25">
      <c r="A4050" t="s">
        <v>20</v>
      </c>
      <c r="B4050" t="s">
        <v>63</v>
      </c>
      <c r="C4050">
        <v>4</v>
      </c>
      <c r="D4050">
        <v>1</v>
      </c>
      <c r="E4050">
        <v>1</v>
      </c>
      <c r="F4050" s="15">
        <v>46139</v>
      </c>
      <c r="G4050" t="s">
        <v>501</v>
      </c>
      <c r="H4050">
        <v>4</v>
      </c>
      <c r="I4050">
        <v>2026</v>
      </c>
      <c r="J4050">
        <v>4</v>
      </c>
      <c r="K4050" t="s">
        <v>87</v>
      </c>
      <c r="L4050" t="s">
        <v>11</v>
      </c>
      <c r="M4050" t="s">
        <v>63</v>
      </c>
      <c r="N4050" t="b">
        <v>0</v>
      </c>
      <c r="O4050">
        <v>0</v>
      </c>
      <c r="P4050">
        <v>0</v>
      </c>
      <c r="Q4050">
        <v>1</v>
      </c>
      <c r="R4050">
        <v>0</v>
      </c>
    </row>
    <row r="4051" spans="1:18" x14ac:dyDescent="0.25">
      <c r="A4051" t="s">
        <v>20</v>
      </c>
      <c r="B4051" t="s">
        <v>63</v>
      </c>
      <c r="C4051">
        <v>4</v>
      </c>
      <c r="D4051">
        <v>1</v>
      </c>
      <c r="E4051">
        <v>1</v>
      </c>
      <c r="F4051" s="15">
        <v>46139</v>
      </c>
      <c r="G4051" t="s">
        <v>501</v>
      </c>
      <c r="H4051">
        <v>4</v>
      </c>
      <c r="I4051">
        <v>2026</v>
      </c>
      <c r="J4051">
        <v>4</v>
      </c>
      <c r="K4051" t="s">
        <v>87</v>
      </c>
      <c r="L4051" t="s">
        <v>13</v>
      </c>
      <c r="M4051" t="s">
        <v>63</v>
      </c>
      <c r="N4051" t="b">
        <v>0</v>
      </c>
      <c r="O4051">
        <v>0</v>
      </c>
      <c r="P4051">
        <v>0</v>
      </c>
      <c r="Q4051">
        <v>1</v>
      </c>
      <c r="R4051">
        <v>0</v>
      </c>
    </row>
    <row r="4052" spans="1:18" x14ac:dyDescent="0.25">
      <c r="A4052" t="s">
        <v>465</v>
      </c>
      <c r="B4052" t="s">
        <v>63</v>
      </c>
      <c r="C4052">
        <v>1</v>
      </c>
      <c r="D4052">
        <v>2</v>
      </c>
      <c r="E4052">
        <v>1</v>
      </c>
      <c r="F4052" s="15">
        <v>46139</v>
      </c>
      <c r="G4052" t="s">
        <v>502</v>
      </c>
      <c r="H4052">
        <v>4</v>
      </c>
      <c r="I4052">
        <v>2026</v>
      </c>
      <c r="J4052">
        <v>4</v>
      </c>
      <c r="K4052" t="s">
        <v>87</v>
      </c>
      <c r="L4052" t="s">
        <v>27</v>
      </c>
      <c r="M4052" t="s">
        <v>63</v>
      </c>
      <c r="N4052" t="b">
        <v>0</v>
      </c>
      <c r="O4052">
        <v>0</v>
      </c>
      <c r="P4052">
        <v>0</v>
      </c>
      <c r="Q4052">
        <v>1</v>
      </c>
      <c r="R4052">
        <v>0</v>
      </c>
    </row>
    <row r="4053" spans="1:18" x14ac:dyDescent="0.25">
      <c r="A4053" t="s">
        <v>465</v>
      </c>
      <c r="B4053" t="s">
        <v>63</v>
      </c>
      <c r="C4053">
        <v>1</v>
      </c>
      <c r="D4053">
        <v>2</v>
      </c>
      <c r="E4053">
        <v>1</v>
      </c>
      <c r="F4053" s="15">
        <v>46139</v>
      </c>
      <c r="G4053" t="s">
        <v>502</v>
      </c>
      <c r="H4053">
        <v>4</v>
      </c>
      <c r="I4053">
        <v>2026</v>
      </c>
      <c r="J4053">
        <v>4</v>
      </c>
      <c r="K4053" t="s">
        <v>87</v>
      </c>
      <c r="L4053" t="s">
        <v>352</v>
      </c>
      <c r="M4053" t="s">
        <v>63</v>
      </c>
      <c r="N4053" t="b">
        <v>0</v>
      </c>
      <c r="O4053">
        <v>0</v>
      </c>
      <c r="P4053">
        <v>0</v>
      </c>
      <c r="Q4053">
        <v>1</v>
      </c>
      <c r="R4053">
        <v>0</v>
      </c>
    </row>
    <row r="4054" spans="1:18" x14ac:dyDescent="0.25">
      <c r="A4054" t="s">
        <v>465</v>
      </c>
      <c r="B4054" t="s">
        <v>63</v>
      </c>
      <c r="C4054">
        <v>1</v>
      </c>
      <c r="D4054">
        <v>2</v>
      </c>
      <c r="E4054">
        <v>1</v>
      </c>
      <c r="F4054" s="15">
        <v>46139</v>
      </c>
      <c r="G4054" t="s">
        <v>502</v>
      </c>
      <c r="H4054">
        <v>4</v>
      </c>
      <c r="I4054">
        <v>2026</v>
      </c>
      <c r="J4054">
        <v>4</v>
      </c>
      <c r="K4054" t="s">
        <v>87</v>
      </c>
      <c r="L4054" t="s">
        <v>10</v>
      </c>
      <c r="M4054" t="s">
        <v>63</v>
      </c>
      <c r="N4054" t="b">
        <v>0</v>
      </c>
      <c r="O4054">
        <v>0</v>
      </c>
      <c r="P4054">
        <v>0</v>
      </c>
      <c r="Q4054">
        <v>1</v>
      </c>
      <c r="R4054">
        <v>0</v>
      </c>
    </row>
    <row r="4055" spans="1:18" x14ac:dyDescent="0.25">
      <c r="A4055" t="s">
        <v>27</v>
      </c>
      <c r="B4055" t="s">
        <v>63</v>
      </c>
      <c r="C4055">
        <v>2</v>
      </c>
      <c r="D4055">
        <v>2</v>
      </c>
      <c r="E4055">
        <v>1</v>
      </c>
      <c r="F4055" s="15">
        <v>46139</v>
      </c>
      <c r="G4055" t="s">
        <v>502</v>
      </c>
      <c r="H4055">
        <v>4</v>
      </c>
      <c r="I4055">
        <v>2026</v>
      </c>
      <c r="J4055">
        <v>4</v>
      </c>
      <c r="K4055" t="s">
        <v>87</v>
      </c>
      <c r="L4055" t="s">
        <v>465</v>
      </c>
      <c r="M4055" t="s">
        <v>63</v>
      </c>
      <c r="N4055" t="b">
        <v>0</v>
      </c>
      <c r="O4055">
        <v>0</v>
      </c>
      <c r="P4055">
        <v>0</v>
      </c>
      <c r="Q4055">
        <v>1</v>
      </c>
      <c r="R4055">
        <v>0</v>
      </c>
    </row>
    <row r="4056" spans="1:18" x14ac:dyDescent="0.25">
      <c r="A4056" t="s">
        <v>27</v>
      </c>
      <c r="B4056" t="s">
        <v>63</v>
      </c>
      <c r="C4056">
        <v>2</v>
      </c>
      <c r="D4056">
        <v>2</v>
      </c>
      <c r="E4056">
        <v>1</v>
      </c>
      <c r="F4056" s="15">
        <v>46139</v>
      </c>
      <c r="G4056" t="s">
        <v>502</v>
      </c>
      <c r="H4056">
        <v>4</v>
      </c>
      <c r="I4056">
        <v>2026</v>
      </c>
      <c r="J4056">
        <v>4</v>
      </c>
      <c r="K4056" t="s">
        <v>87</v>
      </c>
      <c r="L4056" t="s">
        <v>352</v>
      </c>
      <c r="M4056" t="s">
        <v>63</v>
      </c>
      <c r="N4056" t="b">
        <v>0</v>
      </c>
      <c r="O4056">
        <v>0</v>
      </c>
      <c r="P4056">
        <v>0</v>
      </c>
      <c r="Q4056">
        <v>1</v>
      </c>
      <c r="R4056">
        <v>0</v>
      </c>
    </row>
    <row r="4057" spans="1:18" x14ac:dyDescent="0.25">
      <c r="A4057" t="s">
        <v>27</v>
      </c>
      <c r="B4057" t="s">
        <v>63</v>
      </c>
      <c r="C4057">
        <v>2</v>
      </c>
      <c r="D4057">
        <v>2</v>
      </c>
      <c r="E4057">
        <v>1</v>
      </c>
      <c r="F4057" s="15">
        <v>46139</v>
      </c>
      <c r="G4057" t="s">
        <v>502</v>
      </c>
      <c r="H4057">
        <v>4</v>
      </c>
      <c r="I4057">
        <v>2026</v>
      </c>
      <c r="J4057">
        <v>4</v>
      </c>
      <c r="K4057" t="s">
        <v>87</v>
      </c>
      <c r="L4057" t="s">
        <v>10</v>
      </c>
      <c r="M4057" t="s">
        <v>63</v>
      </c>
      <c r="N4057" t="b">
        <v>0</v>
      </c>
      <c r="O4057">
        <v>0</v>
      </c>
      <c r="P4057">
        <v>0</v>
      </c>
      <c r="Q4057">
        <v>1</v>
      </c>
      <c r="R4057">
        <v>0</v>
      </c>
    </row>
    <row r="4058" spans="1:18" x14ac:dyDescent="0.25">
      <c r="A4058" t="s">
        <v>352</v>
      </c>
      <c r="B4058" t="s">
        <v>63</v>
      </c>
      <c r="C4058">
        <v>3</v>
      </c>
      <c r="D4058">
        <v>2</v>
      </c>
      <c r="E4058">
        <v>1</v>
      </c>
      <c r="F4058" s="15">
        <v>46139</v>
      </c>
      <c r="G4058" t="s">
        <v>502</v>
      </c>
      <c r="H4058">
        <v>4</v>
      </c>
      <c r="I4058">
        <v>2026</v>
      </c>
      <c r="J4058">
        <v>4</v>
      </c>
      <c r="K4058" t="s">
        <v>87</v>
      </c>
      <c r="L4058" t="s">
        <v>465</v>
      </c>
      <c r="M4058" t="s">
        <v>63</v>
      </c>
      <c r="N4058" t="b">
        <v>0</v>
      </c>
      <c r="O4058">
        <v>0</v>
      </c>
      <c r="P4058">
        <v>0</v>
      </c>
      <c r="Q4058">
        <v>1</v>
      </c>
      <c r="R4058">
        <v>0</v>
      </c>
    </row>
    <row r="4059" spans="1:18" x14ac:dyDescent="0.25">
      <c r="A4059" t="s">
        <v>352</v>
      </c>
      <c r="B4059" t="s">
        <v>63</v>
      </c>
      <c r="C4059">
        <v>3</v>
      </c>
      <c r="D4059">
        <v>2</v>
      </c>
      <c r="E4059">
        <v>1</v>
      </c>
      <c r="F4059" s="15">
        <v>46139</v>
      </c>
      <c r="G4059" t="s">
        <v>502</v>
      </c>
      <c r="H4059">
        <v>4</v>
      </c>
      <c r="I4059">
        <v>2026</v>
      </c>
      <c r="J4059">
        <v>4</v>
      </c>
      <c r="K4059" t="s">
        <v>87</v>
      </c>
      <c r="L4059" t="s">
        <v>27</v>
      </c>
      <c r="M4059" t="s">
        <v>63</v>
      </c>
      <c r="N4059" t="b">
        <v>0</v>
      </c>
      <c r="O4059">
        <v>0</v>
      </c>
      <c r="P4059">
        <v>0</v>
      </c>
      <c r="Q4059">
        <v>1</v>
      </c>
      <c r="R4059">
        <v>0</v>
      </c>
    </row>
    <row r="4060" spans="1:18" x14ac:dyDescent="0.25">
      <c r="A4060" t="s">
        <v>352</v>
      </c>
      <c r="B4060" t="s">
        <v>63</v>
      </c>
      <c r="C4060">
        <v>3</v>
      </c>
      <c r="D4060">
        <v>2</v>
      </c>
      <c r="E4060">
        <v>1</v>
      </c>
      <c r="F4060" s="15">
        <v>46139</v>
      </c>
      <c r="G4060" t="s">
        <v>502</v>
      </c>
      <c r="H4060">
        <v>4</v>
      </c>
      <c r="I4060">
        <v>2026</v>
      </c>
      <c r="J4060">
        <v>4</v>
      </c>
      <c r="K4060" t="s">
        <v>87</v>
      </c>
      <c r="L4060" t="s">
        <v>10</v>
      </c>
      <c r="M4060" t="s">
        <v>63</v>
      </c>
      <c r="N4060" t="b">
        <v>0</v>
      </c>
      <c r="O4060">
        <v>0</v>
      </c>
      <c r="P4060">
        <v>0</v>
      </c>
      <c r="Q4060">
        <v>1</v>
      </c>
      <c r="R4060">
        <v>0</v>
      </c>
    </row>
    <row r="4061" spans="1:18" x14ac:dyDescent="0.25">
      <c r="A4061" t="s">
        <v>10</v>
      </c>
      <c r="B4061" t="s">
        <v>63</v>
      </c>
      <c r="C4061">
        <v>4</v>
      </c>
      <c r="D4061">
        <v>2</v>
      </c>
      <c r="E4061">
        <v>1</v>
      </c>
      <c r="F4061" s="15">
        <v>46139</v>
      </c>
      <c r="G4061" t="s">
        <v>502</v>
      </c>
      <c r="H4061">
        <v>4</v>
      </c>
      <c r="I4061">
        <v>2026</v>
      </c>
      <c r="J4061">
        <v>4</v>
      </c>
      <c r="K4061" t="s">
        <v>87</v>
      </c>
      <c r="L4061" t="s">
        <v>465</v>
      </c>
      <c r="M4061" t="s">
        <v>63</v>
      </c>
      <c r="N4061" t="b">
        <v>0</v>
      </c>
      <c r="O4061">
        <v>0</v>
      </c>
      <c r="P4061">
        <v>0</v>
      </c>
      <c r="Q4061">
        <v>1</v>
      </c>
      <c r="R4061">
        <v>0</v>
      </c>
    </row>
    <row r="4062" spans="1:18" x14ac:dyDescent="0.25">
      <c r="A4062" t="s">
        <v>10</v>
      </c>
      <c r="B4062" t="s">
        <v>63</v>
      </c>
      <c r="C4062">
        <v>4</v>
      </c>
      <c r="D4062">
        <v>2</v>
      </c>
      <c r="E4062">
        <v>1</v>
      </c>
      <c r="F4062" s="15">
        <v>46139</v>
      </c>
      <c r="G4062" t="s">
        <v>502</v>
      </c>
      <c r="H4062">
        <v>4</v>
      </c>
      <c r="I4062">
        <v>2026</v>
      </c>
      <c r="J4062">
        <v>4</v>
      </c>
      <c r="K4062" t="s">
        <v>87</v>
      </c>
      <c r="L4062" t="s">
        <v>27</v>
      </c>
      <c r="M4062" t="s">
        <v>63</v>
      </c>
      <c r="N4062" t="b">
        <v>0</v>
      </c>
      <c r="O4062">
        <v>0</v>
      </c>
      <c r="P4062">
        <v>0</v>
      </c>
      <c r="Q4062">
        <v>1</v>
      </c>
      <c r="R4062">
        <v>0</v>
      </c>
    </row>
    <row r="4063" spans="1:18" x14ac:dyDescent="0.25">
      <c r="A4063" t="s">
        <v>10</v>
      </c>
      <c r="B4063" t="s">
        <v>63</v>
      </c>
      <c r="C4063">
        <v>4</v>
      </c>
      <c r="D4063">
        <v>2</v>
      </c>
      <c r="E4063">
        <v>1</v>
      </c>
      <c r="F4063" s="15">
        <v>46139</v>
      </c>
      <c r="G4063" t="s">
        <v>502</v>
      </c>
      <c r="H4063">
        <v>4</v>
      </c>
      <c r="I4063">
        <v>2026</v>
      </c>
      <c r="J4063">
        <v>4</v>
      </c>
      <c r="K4063" t="s">
        <v>87</v>
      </c>
      <c r="L4063" t="s">
        <v>352</v>
      </c>
      <c r="M4063" t="s">
        <v>63</v>
      </c>
      <c r="N4063" t="b">
        <v>0</v>
      </c>
      <c r="O4063">
        <v>0</v>
      </c>
      <c r="P4063">
        <v>0</v>
      </c>
      <c r="Q4063">
        <v>1</v>
      </c>
      <c r="R4063">
        <v>0</v>
      </c>
    </row>
    <row r="4064" spans="1:18" x14ac:dyDescent="0.25">
      <c r="A4064" t="s">
        <v>17</v>
      </c>
      <c r="B4064" t="s">
        <v>63</v>
      </c>
      <c r="C4064">
        <v>1</v>
      </c>
      <c r="D4064">
        <v>3</v>
      </c>
      <c r="E4064">
        <v>1</v>
      </c>
      <c r="F4064" s="15">
        <v>46139</v>
      </c>
      <c r="G4064" t="s">
        <v>503</v>
      </c>
      <c r="H4064">
        <v>3</v>
      </c>
      <c r="I4064">
        <v>2026</v>
      </c>
      <c r="J4064">
        <v>4</v>
      </c>
      <c r="K4064" t="s">
        <v>87</v>
      </c>
      <c r="L4064" t="s">
        <v>405</v>
      </c>
      <c r="M4064" t="s">
        <v>63</v>
      </c>
      <c r="N4064" t="b">
        <v>0</v>
      </c>
      <c r="O4064">
        <v>0</v>
      </c>
      <c r="P4064">
        <v>0</v>
      </c>
      <c r="Q4064">
        <v>1</v>
      </c>
      <c r="R4064">
        <v>0</v>
      </c>
    </row>
    <row r="4065" spans="1:18" x14ac:dyDescent="0.25">
      <c r="A4065" t="s">
        <v>17</v>
      </c>
      <c r="B4065" t="s">
        <v>63</v>
      </c>
      <c r="C4065">
        <v>1</v>
      </c>
      <c r="D4065">
        <v>3</v>
      </c>
      <c r="E4065">
        <v>1</v>
      </c>
      <c r="F4065" s="15">
        <v>46139</v>
      </c>
      <c r="G4065" t="s">
        <v>503</v>
      </c>
      <c r="H4065">
        <v>3</v>
      </c>
      <c r="I4065">
        <v>2026</v>
      </c>
      <c r="J4065">
        <v>4</v>
      </c>
      <c r="K4065" t="s">
        <v>87</v>
      </c>
      <c r="L4065" t="s">
        <v>51</v>
      </c>
      <c r="M4065" t="s">
        <v>63</v>
      </c>
      <c r="N4065" t="b">
        <v>0</v>
      </c>
      <c r="O4065">
        <v>0</v>
      </c>
      <c r="P4065">
        <v>0</v>
      </c>
      <c r="Q4065">
        <v>1</v>
      </c>
      <c r="R4065">
        <v>0</v>
      </c>
    </row>
    <row r="4066" spans="1:18" x14ac:dyDescent="0.25">
      <c r="A4066" t="s">
        <v>405</v>
      </c>
      <c r="B4066" t="s">
        <v>63</v>
      </c>
      <c r="C4066">
        <v>2</v>
      </c>
      <c r="D4066">
        <v>3</v>
      </c>
      <c r="E4066">
        <v>1</v>
      </c>
      <c r="F4066" s="15">
        <v>46139</v>
      </c>
      <c r="G4066" t="s">
        <v>503</v>
      </c>
      <c r="H4066">
        <v>3</v>
      </c>
      <c r="I4066">
        <v>2026</v>
      </c>
      <c r="J4066">
        <v>4</v>
      </c>
      <c r="K4066" t="s">
        <v>87</v>
      </c>
      <c r="L4066" t="s">
        <v>17</v>
      </c>
      <c r="M4066" t="s">
        <v>63</v>
      </c>
      <c r="N4066" t="b">
        <v>0</v>
      </c>
      <c r="O4066">
        <v>0</v>
      </c>
      <c r="P4066">
        <v>0</v>
      </c>
      <c r="Q4066">
        <v>1</v>
      </c>
      <c r="R4066">
        <v>0</v>
      </c>
    </row>
    <row r="4067" spans="1:18" x14ac:dyDescent="0.25">
      <c r="A4067" t="s">
        <v>405</v>
      </c>
      <c r="B4067" t="s">
        <v>63</v>
      </c>
      <c r="C4067">
        <v>2</v>
      </c>
      <c r="D4067">
        <v>3</v>
      </c>
      <c r="E4067">
        <v>1</v>
      </c>
      <c r="F4067" s="15">
        <v>46139</v>
      </c>
      <c r="G4067" t="s">
        <v>503</v>
      </c>
      <c r="H4067">
        <v>3</v>
      </c>
      <c r="I4067">
        <v>2026</v>
      </c>
      <c r="J4067">
        <v>4</v>
      </c>
      <c r="K4067" t="s">
        <v>87</v>
      </c>
      <c r="L4067" t="s">
        <v>51</v>
      </c>
      <c r="M4067" t="s">
        <v>63</v>
      </c>
      <c r="N4067" t="b">
        <v>0</v>
      </c>
      <c r="O4067">
        <v>0</v>
      </c>
      <c r="P4067">
        <v>0</v>
      </c>
      <c r="Q4067">
        <v>1</v>
      </c>
      <c r="R4067">
        <v>0</v>
      </c>
    </row>
    <row r="4068" spans="1:18" x14ac:dyDescent="0.25">
      <c r="A4068" t="s">
        <v>51</v>
      </c>
      <c r="B4068" t="s">
        <v>63</v>
      </c>
      <c r="C4068">
        <v>3</v>
      </c>
      <c r="D4068">
        <v>3</v>
      </c>
      <c r="E4068">
        <v>1</v>
      </c>
      <c r="F4068" s="15">
        <v>46139</v>
      </c>
      <c r="G4068" t="s">
        <v>503</v>
      </c>
      <c r="H4068">
        <v>3</v>
      </c>
      <c r="I4068">
        <v>2026</v>
      </c>
      <c r="J4068">
        <v>4</v>
      </c>
      <c r="K4068" t="s">
        <v>87</v>
      </c>
      <c r="L4068" t="s">
        <v>17</v>
      </c>
      <c r="M4068" t="s">
        <v>63</v>
      </c>
      <c r="N4068" t="b">
        <v>0</v>
      </c>
      <c r="O4068">
        <v>0</v>
      </c>
      <c r="P4068">
        <v>0</v>
      </c>
      <c r="Q4068">
        <v>1</v>
      </c>
      <c r="R4068">
        <v>0</v>
      </c>
    </row>
    <row r="4069" spans="1:18" x14ac:dyDescent="0.25">
      <c r="A4069" t="s">
        <v>51</v>
      </c>
      <c r="B4069" t="s">
        <v>63</v>
      </c>
      <c r="C4069">
        <v>3</v>
      </c>
      <c r="D4069">
        <v>3</v>
      </c>
      <c r="E4069">
        <v>1</v>
      </c>
      <c r="F4069" s="15">
        <v>46139</v>
      </c>
      <c r="G4069" t="s">
        <v>503</v>
      </c>
      <c r="H4069">
        <v>3</v>
      </c>
      <c r="I4069">
        <v>2026</v>
      </c>
      <c r="J4069">
        <v>4</v>
      </c>
      <c r="K4069" t="s">
        <v>87</v>
      </c>
      <c r="L4069" t="s">
        <v>405</v>
      </c>
      <c r="M4069" t="s">
        <v>63</v>
      </c>
      <c r="N4069" t="b">
        <v>0</v>
      </c>
      <c r="O4069">
        <v>0</v>
      </c>
      <c r="P4069">
        <v>0</v>
      </c>
      <c r="Q4069">
        <v>1</v>
      </c>
      <c r="R4069">
        <v>0</v>
      </c>
    </row>
    <row r="4070" spans="1:18" x14ac:dyDescent="0.25">
      <c r="A4070" t="s">
        <v>351</v>
      </c>
      <c r="B4070" t="s">
        <v>6</v>
      </c>
      <c r="C4070">
        <v>1</v>
      </c>
      <c r="D4070">
        <v>4</v>
      </c>
      <c r="E4070">
        <v>1</v>
      </c>
      <c r="F4070" s="15">
        <v>46139</v>
      </c>
      <c r="G4070" t="s">
        <v>504</v>
      </c>
      <c r="H4070">
        <v>3</v>
      </c>
      <c r="I4070">
        <v>2026</v>
      </c>
      <c r="J4070">
        <v>4</v>
      </c>
      <c r="K4070" t="s">
        <v>87</v>
      </c>
      <c r="L4070" t="s">
        <v>436</v>
      </c>
      <c r="M4070" t="s">
        <v>8</v>
      </c>
      <c r="N4070" t="b">
        <v>0</v>
      </c>
      <c r="O4070">
        <v>0</v>
      </c>
      <c r="P4070">
        <v>1</v>
      </c>
      <c r="Q4070">
        <v>0</v>
      </c>
      <c r="R4070">
        <v>1</v>
      </c>
    </row>
    <row r="4071" spans="1:18" x14ac:dyDescent="0.25">
      <c r="A4071" t="s">
        <v>351</v>
      </c>
      <c r="B4071" t="s">
        <v>6</v>
      </c>
      <c r="C4071">
        <v>1</v>
      </c>
      <c r="D4071">
        <v>4</v>
      </c>
      <c r="E4071">
        <v>1</v>
      </c>
      <c r="F4071" s="15">
        <v>46139</v>
      </c>
      <c r="G4071" t="s">
        <v>504</v>
      </c>
      <c r="H4071">
        <v>3</v>
      </c>
      <c r="I4071">
        <v>2026</v>
      </c>
      <c r="J4071">
        <v>4</v>
      </c>
      <c r="K4071" t="s">
        <v>87</v>
      </c>
      <c r="L4071" t="s">
        <v>14</v>
      </c>
      <c r="M4071" t="s">
        <v>6</v>
      </c>
      <c r="N4071" t="b">
        <v>0</v>
      </c>
      <c r="O4071">
        <v>0</v>
      </c>
      <c r="P4071">
        <v>1</v>
      </c>
      <c r="Q4071">
        <v>0</v>
      </c>
      <c r="R4071">
        <v>0</v>
      </c>
    </row>
    <row r="4072" spans="1:18" x14ac:dyDescent="0.25">
      <c r="A4072" t="s">
        <v>436</v>
      </c>
      <c r="B4072" t="s">
        <v>8</v>
      </c>
      <c r="C4072">
        <v>2</v>
      </c>
      <c r="D4072">
        <v>4</v>
      </c>
      <c r="E4072">
        <v>1</v>
      </c>
      <c r="F4072" s="15">
        <v>46139</v>
      </c>
      <c r="G4072" t="s">
        <v>504</v>
      </c>
      <c r="H4072">
        <v>3</v>
      </c>
      <c r="I4072">
        <v>2026</v>
      </c>
      <c r="J4072">
        <v>4</v>
      </c>
      <c r="K4072" t="s">
        <v>87</v>
      </c>
      <c r="L4072" t="s">
        <v>351</v>
      </c>
      <c r="M4072" t="s">
        <v>6</v>
      </c>
      <c r="N4072" t="b">
        <v>0</v>
      </c>
      <c r="O4072">
        <v>1</v>
      </c>
      <c r="P4072">
        <v>0</v>
      </c>
      <c r="Q4072">
        <v>0</v>
      </c>
      <c r="R4072">
        <v>0</v>
      </c>
    </row>
    <row r="4073" spans="1:18" x14ac:dyDescent="0.25">
      <c r="A4073" t="s">
        <v>436</v>
      </c>
      <c r="B4073" t="s">
        <v>8</v>
      </c>
      <c r="C4073">
        <v>2</v>
      </c>
      <c r="D4073">
        <v>4</v>
      </c>
      <c r="E4073">
        <v>1</v>
      </c>
      <c r="F4073" s="15">
        <v>46139</v>
      </c>
      <c r="G4073" t="s">
        <v>504</v>
      </c>
      <c r="H4073">
        <v>3</v>
      </c>
      <c r="I4073">
        <v>2026</v>
      </c>
      <c r="J4073">
        <v>4</v>
      </c>
      <c r="K4073" t="s">
        <v>87</v>
      </c>
      <c r="L4073" t="s">
        <v>14</v>
      </c>
      <c r="M4073" t="s">
        <v>6</v>
      </c>
      <c r="N4073" t="b">
        <v>0</v>
      </c>
      <c r="O4073">
        <v>1</v>
      </c>
      <c r="P4073">
        <v>0</v>
      </c>
      <c r="Q4073">
        <v>0</v>
      </c>
      <c r="R4073">
        <v>0</v>
      </c>
    </row>
    <row r="4074" spans="1:18" x14ac:dyDescent="0.25">
      <c r="A4074" t="s">
        <v>14</v>
      </c>
      <c r="B4074" t="s">
        <v>6</v>
      </c>
      <c r="C4074">
        <v>3</v>
      </c>
      <c r="D4074">
        <v>4</v>
      </c>
      <c r="E4074">
        <v>1</v>
      </c>
      <c r="F4074" s="15">
        <v>46139</v>
      </c>
      <c r="G4074" t="s">
        <v>504</v>
      </c>
      <c r="H4074">
        <v>3</v>
      </c>
      <c r="I4074">
        <v>2026</v>
      </c>
      <c r="J4074">
        <v>4</v>
      </c>
      <c r="K4074" t="s">
        <v>87</v>
      </c>
      <c r="L4074" t="s">
        <v>351</v>
      </c>
      <c r="M4074" t="s">
        <v>6</v>
      </c>
      <c r="N4074" t="b">
        <v>0</v>
      </c>
      <c r="O4074">
        <v>0</v>
      </c>
      <c r="P4074">
        <v>1</v>
      </c>
      <c r="Q4074">
        <v>0</v>
      </c>
      <c r="R4074">
        <v>0</v>
      </c>
    </row>
    <row r="4075" spans="1:18" x14ac:dyDescent="0.25">
      <c r="A4075" t="s">
        <v>14</v>
      </c>
      <c r="B4075" t="s">
        <v>6</v>
      </c>
      <c r="C4075">
        <v>3</v>
      </c>
      <c r="D4075">
        <v>4</v>
      </c>
      <c r="E4075">
        <v>1</v>
      </c>
      <c r="F4075" s="15">
        <v>46139</v>
      </c>
      <c r="G4075" t="s">
        <v>504</v>
      </c>
      <c r="H4075">
        <v>3</v>
      </c>
      <c r="I4075">
        <v>2026</v>
      </c>
      <c r="J4075">
        <v>4</v>
      </c>
      <c r="K4075" t="s">
        <v>87</v>
      </c>
      <c r="L4075" t="s">
        <v>436</v>
      </c>
      <c r="M4075" t="s">
        <v>8</v>
      </c>
      <c r="N4075" t="b">
        <v>0</v>
      </c>
      <c r="O4075">
        <v>0</v>
      </c>
      <c r="P4075">
        <v>1</v>
      </c>
      <c r="Q4075">
        <v>0</v>
      </c>
      <c r="R4075">
        <v>1</v>
      </c>
    </row>
    <row r="4076" spans="1:18" x14ac:dyDescent="0.25">
      <c r="A4076" t="s">
        <v>7</v>
      </c>
      <c r="B4076" t="s">
        <v>8</v>
      </c>
      <c r="C4076">
        <v>1</v>
      </c>
      <c r="D4076">
        <v>5</v>
      </c>
      <c r="E4076">
        <v>1</v>
      </c>
      <c r="F4076" s="15">
        <v>46139</v>
      </c>
      <c r="G4076" t="s">
        <v>505</v>
      </c>
      <c r="H4076">
        <v>3</v>
      </c>
      <c r="I4076">
        <v>2026</v>
      </c>
      <c r="J4076">
        <v>4</v>
      </c>
      <c r="K4076" t="s">
        <v>87</v>
      </c>
      <c r="L4076" t="s">
        <v>41</v>
      </c>
      <c r="M4076" t="s">
        <v>6</v>
      </c>
      <c r="N4076" t="b">
        <v>0</v>
      </c>
      <c r="O4076">
        <v>1</v>
      </c>
      <c r="P4076">
        <v>0</v>
      </c>
      <c r="Q4076">
        <v>0</v>
      </c>
      <c r="R4076">
        <v>0</v>
      </c>
    </row>
    <row r="4077" spans="1:18" x14ac:dyDescent="0.25">
      <c r="A4077" t="s">
        <v>7</v>
      </c>
      <c r="B4077" t="s">
        <v>8</v>
      </c>
      <c r="C4077">
        <v>1</v>
      </c>
      <c r="D4077">
        <v>5</v>
      </c>
      <c r="E4077">
        <v>1</v>
      </c>
      <c r="F4077" s="15">
        <v>46139</v>
      </c>
      <c r="G4077" t="s">
        <v>505</v>
      </c>
      <c r="H4077">
        <v>3</v>
      </c>
      <c r="I4077">
        <v>2026</v>
      </c>
      <c r="J4077">
        <v>4</v>
      </c>
      <c r="K4077" t="s">
        <v>87</v>
      </c>
      <c r="L4077" t="s">
        <v>52</v>
      </c>
      <c r="M4077" t="s">
        <v>6</v>
      </c>
      <c r="N4077" t="b">
        <v>0</v>
      </c>
      <c r="O4077">
        <v>1</v>
      </c>
      <c r="P4077">
        <v>0</v>
      </c>
      <c r="Q4077">
        <v>0</v>
      </c>
      <c r="R4077">
        <v>0</v>
      </c>
    </row>
    <row r="4078" spans="1:18" x14ac:dyDescent="0.25">
      <c r="A4078" t="s">
        <v>41</v>
      </c>
      <c r="B4078" t="s">
        <v>6</v>
      </c>
      <c r="C4078">
        <v>2</v>
      </c>
      <c r="D4078">
        <v>5</v>
      </c>
      <c r="E4078">
        <v>1</v>
      </c>
      <c r="F4078" s="15">
        <v>46139</v>
      </c>
      <c r="G4078" t="s">
        <v>505</v>
      </c>
      <c r="H4078">
        <v>3</v>
      </c>
      <c r="I4078">
        <v>2026</v>
      </c>
      <c r="J4078">
        <v>4</v>
      </c>
      <c r="K4078" t="s">
        <v>87</v>
      </c>
      <c r="L4078" t="s">
        <v>7</v>
      </c>
      <c r="M4078" t="s">
        <v>8</v>
      </c>
      <c r="N4078" t="b">
        <v>0</v>
      </c>
      <c r="O4078">
        <v>0</v>
      </c>
      <c r="P4078">
        <v>1</v>
      </c>
      <c r="Q4078">
        <v>0</v>
      </c>
      <c r="R4078">
        <v>1</v>
      </c>
    </row>
    <row r="4079" spans="1:18" x14ac:dyDescent="0.25">
      <c r="A4079" t="s">
        <v>41</v>
      </c>
      <c r="B4079" t="s">
        <v>6</v>
      </c>
      <c r="C4079">
        <v>2</v>
      </c>
      <c r="D4079">
        <v>5</v>
      </c>
      <c r="E4079">
        <v>1</v>
      </c>
      <c r="F4079" s="15">
        <v>46139</v>
      </c>
      <c r="G4079" t="s">
        <v>505</v>
      </c>
      <c r="H4079">
        <v>3</v>
      </c>
      <c r="I4079">
        <v>2026</v>
      </c>
      <c r="J4079">
        <v>4</v>
      </c>
      <c r="K4079" t="s">
        <v>87</v>
      </c>
      <c r="L4079" t="s">
        <v>52</v>
      </c>
      <c r="M4079" t="s">
        <v>6</v>
      </c>
      <c r="N4079" t="b">
        <v>0</v>
      </c>
      <c r="O4079">
        <v>0</v>
      </c>
      <c r="P4079">
        <v>1</v>
      </c>
      <c r="Q4079">
        <v>0</v>
      </c>
      <c r="R4079">
        <v>0</v>
      </c>
    </row>
    <row r="4080" spans="1:18" x14ac:dyDescent="0.25">
      <c r="A4080" t="s">
        <v>52</v>
      </c>
      <c r="B4080" t="s">
        <v>6</v>
      </c>
      <c r="C4080">
        <v>3</v>
      </c>
      <c r="D4080">
        <v>5</v>
      </c>
      <c r="E4080">
        <v>1</v>
      </c>
      <c r="F4080" s="15">
        <v>46139</v>
      </c>
      <c r="G4080" t="s">
        <v>505</v>
      </c>
      <c r="H4080">
        <v>3</v>
      </c>
      <c r="I4080">
        <v>2026</v>
      </c>
      <c r="J4080">
        <v>4</v>
      </c>
      <c r="K4080" t="s">
        <v>87</v>
      </c>
      <c r="L4080" t="s">
        <v>7</v>
      </c>
      <c r="M4080" t="s">
        <v>8</v>
      </c>
      <c r="N4080" t="b">
        <v>0</v>
      </c>
      <c r="O4080">
        <v>0</v>
      </c>
      <c r="P4080">
        <v>1</v>
      </c>
      <c r="Q4080">
        <v>0</v>
      </c>
      <c r="R4080">
        <v>1</v>
      </c>
    </row>
    <row r="4081" spans="1:18" x14ac:dyDescent="0.25">
      <c r="A4081" t="s">
        <v>52</v>
      </c>
      <c r="B4081" t="s">
        <v>6</v>
      </c>
      <c r="C4081">
        <v>3</v>
      </c>
      <c r="D4081">
        <v>5</v>
      </c>
      <c r="E4081">
        <v>1</v>
      </c>
      <c r="F4081" s="15">
        <v>46139</v>
      </c>
      <c r="G4081" t="s">
        <v>505</v>
      </c>
      <c r="H4081">
        <v>3</v>
      </c>
      <c r="I4081">
        <v>2026</v>
      </c>
      <c r="J4081">
        <v>4</v>
      </c>
      <c r="K4081" t="s">
        <v>87</v>
      </c>
      <c r="L4081" t="s">
        <v>41</v>
      </c>
      <c r="M4081" t="s">
        <v>6</v>
      </c>
      <c r="N4081" t="b">
        <v>0</v>
      </c>
      <c r="O4081">
        <v>0</v>
      </c>
      <c r="P4081">
        <v>1</v>
      </c>
      <c r="Q4081">
        <v>0</v>
      </c>
      <c r="R4081">
        <v>0</v>
      </c>
    </row>
    <row r="4082" spans="1:18" x14ac:dyDescent="0.25">
      <c r="A4082" t="s">
        <v>20</v>
      </c>
      <c r="B4082" t="s">
        <v>63</v>
      </c>
      <c r="C4082">
        <v>1</v>
      </c>
      <c r="D4082">
        <v>1</v>
      </c>
      <c r="E4082">
        <v>2</v>
      </c>
      <c r="F4082" s="15">
        <v>46139</v>
      </c>
      <c r="G4082" t="s">
        <v>506</v>
      </c>
      <c r="H4082">
        <v>4</v>
      </c>
      <c r="I4082">
        <v>2026</v>
      </c>
      <c r="J4082">
        <v>4</v>
      </c>
      <c r="K4082" t="s">
        <v>87</v>
      </c>
      <c r="L4082" t="s">
        <v>436</v>
      </c>
      <c r="M4082" t="s">
        <v>63</v>
      </c>
      <c r="N4082" t="b">
        <v>0</v>
      </c>
      <c r="O4082">
        <v>0</v>
      </c>
      <c r="P4082">
        <v>0</v>
      </c>
      <c r="Q4082">
        <v>1</v>
      </c>
      <c r="R4082">
        <v>0</v>
      </c>
    </row>
    <row r="4083" spans="1:18" x14ac:dyDescent="0.25">
      <c r="A4083" t="s">
        <v>20</v>
      </c>
      <c r="B4083" t="s">
        <v>63</v>
      </c>
      <c r="C4083">
        <v>1</v>
      </c>
      <c r="D4083">
        <v>1</v>
      </c>
      <c r="E4083">
        <v>2</v>
      </c>
      <c r="F4083" s="15">
        <v>46139</v>
      </c>
      <c r="G4083" t="s">
        <v>506</v>
      </c>
      <c r="H4083">
        <v>4</v>
      </c>
      <c r="I4083">
        <v>2026</v>
      </c>
      <c r="J4083">
        <v>4</v>
      </c>
      <c r="K4083" t="s">
        <v>87</v>
      </c>
      <c r="L4083" t="s">
        <v>7</v>
      </c>
      <c r="M4083" t="s">
        <v>63</v>
      </c>
      <c r="N4083" t="b">
        <v>0</v>
      </c>
      <c r="O4083">
        <v>0</v>
      </c>
      <c r="P4083">
        <v>0</v>
      </c>
      <c r="Q4083">
        <v>1</v>
      </c>
      <c r="R4083">
        <v>0</v>
      </c>
    </row>
    <row r="4084" spans="1:18" x14ac:dyDescent="0.25">
      <c r="A4084" t="s">
        <v>20</v>
      </c>
      <c r="B4084" t="s">
        <v>63</v>
      </c>
      <c r="C4084">
        <v>1</v>
      </c>
      <c r="D4084">
        <v>1</v>
      </c>
      <c r="E4084">
        <v>2</v>
      </c>
      <c r="F4084" s="15">
        <v>46139</v>
      </c>
      <c r="G4084" t="s">
        <v>506</v>
      </c>
      <c r="H4084">
        <v>4</v>
      </c>
      <c r="I4084">
        <v>2026</v>
      </c>
      <c r="J4084">
        <v>4</v>
      </c>
      <c r="K4084" t="s">
        <v>87</v>
      </c>
      <c r="L4084" t="s">
        <v>27</v>
      </c>
      <c r="M4084" t="s">
        <v>63</v>
      </c>
      <c r="N4084" t="b">
        <v>0</v>
      </c>
      <c r="O4084">
        <v>0</v>
      </c>
      <c r="P4084">
        <v>0</v>
      </c>
      <c r="Q4084">
        <v>1</v>
      </c>
      <c r="R4084">
        <v>0</v>
      </c>
    </row>
    <row r="4085" spans="1:18" x14ac:dyDescent="0.25">
      <c r="A4085" t="s">
        <v>436</v>
      </c>
      <c r="B4085" t="s">
        <v>63</v>
      </c>
      <c r="C4085">
        <v>2</v>
      </c>
      <c r="D4085">
        <v>1</v>
      </c>
      <c r="E4085">
        <v>2</v>
      </c>
      <c r="F4085" s="15">
        <v>46139</v>
      </c>
      <c r="G4085" t="s">
        <v>506</v>
      </c>
      <c r="H4085">
        <v>4</v>
      </c>
      <c r="I4085">
        <v>2026</v>
      </c>
      <c r="J4085">
        <v>4</v>
      </c>
      <c r="K4085" t="s">
        <v>87</v>
      </c>
      <c r="L4085" t="s">
        <v>20</v>
      </c>
      <c r="M4085" t="s">
        <v>63</v>
      </c>
      <c r="N4085" t="b">
        <v>0</v>
      </c>
      <c r="O4085">
        <v>0</v>
      </c>
      <c r="P4085">
        <v>0</v>
      </c>
      <c r="Q4085">
        <v>1</v>
      </c>
      <c r="R4085">
        <v>0</v>
      </c>
    </row>
    <row r="4086" spans="1:18" x14ac:dyDescent="0.25">
      <c r="A4086" t="s">
        <v>436</v>
      </c>
      <c r="B4086" t="s">
        <v>63</v>
      </c>
      <c r="C4086">
        <v>2</v>
      </c>
      <c r="D4086">
        <v>1</v>
      </c>
      <c r="E4086">
        <v>2</v>
      </c>
      <c r="F4086" s="15">
        <v>46139</v>
      </c>
      <c r="G4086" t="s">
        <v>506</v>
      </c>
      <c r="H4086">
        <v>4</v>
      </c>
      <c r="I4086">
        <v>2026</v>
      </c>
      <c r="J4086">
        <v>4</v>
      </c>
      <c r="K4086" t="s">
        <v>87</v>
      </c>
      <c r="L4086" t="s">
        <v>7</v>
      </c>
      <c r="M4086" t="s">
        <v>63</v>
      </c>
      <c r="N4086" t="b">
        <v>0</v>
      </c>
      <c r="O4086">
        <v>0</v>
      </c>
      <c r="P4086">
        <v>0</v>
      </c>
      <c r="Q4086">
        <v>1</v>
      </c>
      <c r="R4086">
        <v>0</v>
      </c>
    </row>
    <row r="4087" spans="1:18" x14ac:dyDescent="0.25">
      <c r="A4087" t="s">
        <v>436</v>
      </c>
      <c r="B4087" t="s">
        <v>63</v>
      </c>
      <c r="C4087">
        <v>2</v>
      </c>
      <c r="D4087">
        <v>1</v>
      </c>
      <c r="E4087">
        <v>2</v>
      </c>
      <c r="F4087" s="15">
        <v>46139</v>
      </c>
      <c r="G4087" t="s">
        <v>506</v>
      </c>
      <c r="H4087">
        <v>4</v>
      </c>
      <c r="I4087">
        <v>2026</v>
      </c>
      <c r="J4087">
        <v>4</v>
      </c>
      <c r="K4087" t="s">
        <v>87</v>
      </c>
      <c r="L4087" t="s">
        <v>27</v>
      </c>
      <c r="M4087" t="s">
        <v>63</v>
      </c>
      <c r="N4087" t="b">
        <v>0</v>
      </c>
      <c r="O4087">
        <v>0</v>
      </c>
      <c r="P4087">
        <v>0</v>
      </c>
      <c r="Q4087">
        <v>1</v>
      </c>
      <c r="R4087">
        <v>0</v>
      </c>
    </row>
    <row r="4088" spans="1:18" x14ac:dyDescent="0.25">
      <c r="A4088" t="s">
        <v>7</v>
      </c>
      <c r="B4088" t="s">
        <v>63</v>
      </c>
      <c r="C4088">
        <v>3</v>
      </c>
      <c r="D4088">
        <v>1</v>
      </c>
      <c r="E4088">
        <v>2</v>
      </c>
      <c r="F4088" s="15">
        <v>46139</v>
      </c>
      <c r="G4088" t="s">
        <v>506</v>
      </c>
      <c r="H4088">
        <v>4</v>
      </c>
      <c r="I4088">
        <v>2026</v>
      </c>
      <c r="J4088">
        <v>4</v>
      </c>
      <c r="K4088" t="s">
        <v>87</v>
      </c>
      <c r="L4088" t="s">
        <v>20</v>
      </c>
      <c r="M4088" t="s">
        <v>63</v>
      </c>
      <c r="N4088" t="b">
        <v>0</v>
      </c>
      <c r="O4088">
        <v>0</v>
      </c>
      <c r="P4088">
        <v>0</v>
      </c>
      <c r="Q4088">
        <v>1</v>
      </c>
      <c r="R4088">
        <v>0</v>
      </c>
    </row>
    <row r="4089" spans="1:18" x14ac:dyDescent="0.25">
      <c r="A4089" t="s">
        <v>7</v>
      </c>
      <c r="B4089" t="s">
        <v>63</v>
      </c>
      <c r="C4089">
        <v>3</v>
      </c>
      <c r="D4089">
        <v>1</v>
      </c>
      <c r="E4089">
        <v>2</v>
      </c>
      <c r="F4089" s="15">
        <v>46139</v>
      </c>
      <c r="G4089" t="s">
        <v>506</v>
      </c>
      <c r="H4089">
        <v>4</v>
      </c>
      <c r="I4089">
        <v>2026</v>
      </c>
      <c r="J4089">
        <v>4</v>
      </c>
      <c r="K4089" t="s">
        <v>87</v>
      </c>
      <c r="L4089" t="s">
        <v>436</v>
      </c>
      <c r="M4089" t="s">
        <v>63</v>
      </c>
      <c r="N4089" t="b">
        <v>0</v>
      </c>
      <c r="O4089">
        <v>0</v>
      </c>
      <c r="P4089">
        <v>0</v>
      </c>
      <c r="Q4089">
        <v>1</v>
      </c>
      <c r="R4089">
        <v>0</v>
      </c>
    </row>
    <row r="4090" spans="1:18" x14ac:dyDescent="0.25">
      <c r="A4090" t="s">
        <v>7</v>
      </c>
      <c r="B4090" t="s">
        <v>63</v>
      </c>
      <c r="C4090">
        <v>3</v>
      </c>
      <c r="D4090">
        <v>1</v>
      </c>
      <c r="E4090">
        <v>2</v>
      </c>
      <c r="F4090" s="15">
        <v>46139</v>
      </c>
      <c r="G4090" t="s">
        <v>506</v>
      </c>
      <c r="H4090">
        <v>4</v>
      </c>
      <c r="I4090">
        <v>2026</v>
      </c>
      <c r="J4090">
        <v>4</v>
      </c>
      <c r="K4090" t="s">
        <v>87</v>
      </c>
      <c r="L4090" t="s">
        <v>27</v>
      </c>
      <c r="M4090" t="s">
        <v>63</v>
      </c>
      <c r="N4090" t="b">
        <v>0</v>
      </c>
      <c r="O4090">
        <v>0</v>
      </c>
      <c r="P4090">
        <v>0</v>
      </c>
      <c r="Q4090">
        <v>1</v>
      </c>
      <c r="R4090">
        <v>0</v>
      </c>
    </row>
    <row r="4091" spans="1:18" x14ac:dyDescent="0.25">
      <c r="A4091" t="s">
        <v>27</v>
      </c>
      <c r="B4091" t="s">
        <v>63</v>
      </c>
      <c r="C4091">
        <v>4</v>
      </c>
      <c r="D4091">
        <v>1</v>
      </c>
      <c r="E4091">
        <v>2</v>
      </c>
      <c r="F4091" s="15">
        <v>46139</v>
      </c>
      <c r="G4091" t="s">
        <v>506</v>
      </c>
      <c r="H4091">
        <v>4</v>
      </c>
      <c r="I4091">
        <v>2026</v>
      </c>
      <c r="J4091">
        <v>4</v>
      </c>
      <c r="K4091" t="s">
        <v>87</v>
      </c>
      <c r="L4091" t="s">
        <v>20</v>
      </c>
      <c r="M4091" t="s">
        <v>63</v>
      </c>
      <c r="N4091" t="b">
        <v>0</v>
      </c>
      <c r="O4091">
        <v>0</v>
      </c>
      <c r="P4091">
        <v>0</v>
      </c>
      <c r="Q4091">
        <v>1</v>
      </c>
      <c r="R4091">
        <v>0</v>
      </c>
    </row>
    <row r="4092" spans="1:18" x14ac:dyDescent="0.25">
      <c r="A4092" t="s">
        <v>27</v>
      </c>
      <c r="B4092" t="s">
        <v>63</v>
      </c>
      <c r="C4092">
        <v>4</v>
      </c>
      <c r="D4092">
        <v>1</v>
      </c>
      <c r="E4092">
        <v>2</v>
      </c>
      <c r="F4092" s="15">
        <v>46139</v>
      </c>
      <c r="G4092" t="s">
        <v>506</v>
      </c>
      <c r="H4092">
        <v>4</v>
      </c>
      <c r="I4092">
        <v>2026</v>
      </c>
      <c r="J4092">
        <v>4</v>
      </c>
      <c r="K4092" t="s">
        <v>87</v>
      </c>
      <c r="L4092" t="s">
        <v>436</v>
      </c>
      <c r="M4092" t="s">
        <v>63</v>
      </c>
      <c r="N4092" t="b">
        <v>0</v>
      </c>
      <c r="O4092">
        <v>0</v>
      </c>
      <c r="P4092">
        <v>0</v>
      </c>
      <c r="Q4092">
        <v>1</v>
      </c>
      <c r="R4092">
        <v>0</v>
      </c>
    </row>
    <row r="4093" spans="1:18" x14ac:dyDescent="0.25">
      <c r="A4093" t="s">
        <v>27</v>
      </c>
      <c r="B4093" t="s">
        <v>63</v>
      </c>
      <c r="C4093">
        <v>4</v>
      </c>
      <c r="D4093">
        <v>1</v>
      </c>
      <c r="E4093">
        <v>2</v>
      </c>
      <c r="F4093" s="15">
        <v>46139</v>
      </c>
      <c r="G4093" t="s">
        <v>506</v>
      </c>
      <c r="H4093">
        <v>4</v>
      </c>
      <c r="I4093">
        <v>2026</v>
      </c>
      <c r="J4093">
        <v>4</v>
      </c>
      <c r="K4093" t="s">
        <v>87</v>
      </c>
      <c r="L4093" t="s">
        <v>7</v>
      </c>
      <c r="M4093" t="s">
        <v>63</v>
      </c>
      <c r="N4093" t="b">
        <v>0</v>
      </c>
      <c r="O4093">
        <v>0</v>
      </c>
      <c r="P4093">
        <v>0</v>
      </c>
      <c r="Q4093">
        <v>1</v>
      </c>
      <c r="R4093">
        <v>0</v>
      </c>
    </row>
    <row r="4094" spans="1:18" x14ac:dyDescent="0.25">
      <c r="A4094" t="s">
        <v>405</v>
      </c>
      <c r="B4094" t="s">
        <v>6</v>
      </c>
      <c r="C4094">
        <v>1</v>
      </c>
      <c r="D4094">
        <v>2</v>
      </c>
      <c r="E4094">
        <v>2</v>
      </c>
      <c r="F4094" s="15">
        <v>46139</v>
      </c>
      <c r="G4094" t="s">
        <v>507</v>
      </c>
      <c r="H4094">
        <v>4</v>
      </c>
      <c r="I4094">
        <v>2026</v>
      </c>
      <c r="J4094">
        <v>4</v>
      </c>
      <c r="K4094" t="s">
        <v>87</v>
      </c>
      <c r="L4094" t="s">
        <v>465</v>
      </c>
      <c r="M4094" t="s">
        <v>6</v>
      </c>
      <c r="N4094" t="b">
        <v>0</v>
      </c>
      <c r="O4094">
        <v>0</v>
      </c>
      <c r="P4094">
        <v>1</v>
      </c>
      <c r="Q4094">
        <v>0</v>
      </c>
      <c r="R4094">
        <v>0</v>
      </c>
    </row>
    <row r="4095" spans="1:18" x14ac:dyDescent="0.25">
      <c r="A4095" t="s">
        <v>405</v>
      </c>
      <c r="B4095" t="s">
        <v>6</v>
      </c>
      <c r="C4095">
        <v>1</v>
      </c>
      <c r="D4095">
        <v>2</v>
      </c>
      <c r="E4095">
        <v>2</v>
      </c>
      <c r="F4095" s="15">
        <v>46139</v>
      </c>
      <c r="G4095" t="s">
        <v>507</v>
      </c>
      <c r="H4095">
        <v>4</v>
      </c>
      <c r="I4095">
        <v>2026</v>
      </c>
      <c r="J4095">
        <v>4</v>
      </c>
      <c r="K4095" t="s">
        <v>87</v>
      </c>
      <c r="L4095" t="s">
        <v>351</v>
      </c>
      <c r="M4095" t="s">
        <v>6</v>
      </c>
      <c r="N4095" t="b">
        <v>0</v>
      </c>
      <c r="O4095">
        <v>0</v>
      </c>
      <c r="P4095">
        <v>1</v>
      </c>
      <c r="Q4095">
        <v>0</v>
      </c>
      <c r="R4095">
        <v>0</v>
      </c>
    </row>
    <row r="4096" spans="1:18" x14ac:dyDescent="0.25">
      <c r="A4096" t="s">
        <v>405</v>
      </c>
      <c r="B4096" t="s">
        <v>6</v>
      </c>
      <c r="C4096">
        <v>1</v>
      </c>
      <c r="D4096">
        <v>2</v>
      </c>
      <c r="E4096">
        <v>2</v>
      </c>
      <c r="F4096" s="15">
        <v>46139</v>
      </c>
      <c r="G4096" t="s">
        <v>507</v>
      </c>
      <c r="H4096">
        <v>4</v>
      </c>
      <c r="I4096">
        <v>2026</v>
      </c>
      <c r="J4096">
        <v>4</v>
      </c>
      <c r="K4096" t="s">
        <v>87</v>
      </c>
      <c r="L4096" t="s">
        <v>19</v>
      </c>
      <c r="M4096" t="s">
        <v>8</v>
      </c>
      <c r="N4096" t="b">
        <v>0</v>
      </c>
      <c r="O4096">
        <v>0</v>
      </c>
      <c r="P4096">
        <v>1</v>
      </c>
      <c r="Q4096">
        <v>0</v>
      </c>
      <c r="R4096">
        <v>1</v>
      </c>
    </row>
    <row r="4097" spans="1:18" x14ac:dyDescent="0.25">
      <c r="A4097" t="s">
        <v>465</v>
      </c>
      <c r="B4097" t="s">
        <v>6</v>
      </c>
      <c r="C4097">
        <v>2</v>
      </c>
      <c r="D4097">
        <v>2</v>
      </c>
      <c r="E4097">
        <v>2</v>
      </c>
      <c r="F4097" s="15">
        <v>46139</v>
      </c>
      <c r="G4097" t="s">
        <v>507</v>
      </c>
      <c r="H4097">
        <v>4</v>
      </c>
      <c r="I4097">
        <v>2026</v>
      </c>
      <c r="J4097">
        <v>4</v>
      </c>
      <c r="K4097" t="s">
        <v>87</v>
      </c>
      <c r="L4097" t="s">
        <v>405</v>
      </c>
      <c r="M4097" t="s">
        <v>6</v>
      </c>
      <c r="N4097" t="b">
        <v>0</v>
      </c>
      <c r="O4097">
        <v>0</v>
      </c>
      <c r="P4097">
        <v>1</v>
      </c>
      <c r="Q4097">
        <v>0</v>
      </c>
      <c r="R4097">
        <v>0</v>
      </c>
    </row>
    <row r="4098" spans="1:18" x14ac:dyDescent="0.25">
      <c r="A4098" t="s">
        <v>465</v>
      </c>
      <c r="B4098" t="s">
        <v>6</v>
      </c>
      <c r="C4098">
        <v>2</v>
      </c>
      <c r="D4098">
        <v>2</v>
      </c>
      <c r="E4098">
        <v>2</v>
      </c>
      <c r="F4098" s="15">
        <v>46139</v>
      </c>
      <c r="G4098" t="s">
        <v>507</v>
      </c>
      <c r="H4098">
        <v>4</v>
      </c>
      <c r="I4098">
        <v>2026</v>
      </c>
      <c r="J4098">
        <v>4</v>
      </c>
      <c r="K4098" t="s">
        <v>87</v>
      </c>
      <c r="L4098" t="s">
        <v>351</v>
      </c>
      <c r="M4098" t="s">
        <v>6</v>
      </c>
      <c r="N4098" t="b">
        <v>0</v>
      </c>
      <c r="O4098">
        <v>0</v>
      </c>
      <c r="P4098">
        <v>1</v>
      </c>
      <c r="Q4098">
        <v>0</v>
      </c>
      <c r="R4098">
        <v>0</v>
      </c>
    </row>
    <row r="4099" spans="1:18" x14ac:dyDescent="0.25">
      <c r="A4099" t="s">
        <v>465</v>
      </c>
      <c r="B4099" t="s">
        <v>6</v>
      </c>
      <c r="C4099">
        <v>2</v>
      </c>
      <c r="D4099">
        <v>2</v>
      </c>
      <c r="E4099">
        <v>2</v>
      </c>
      <c r="F4099" s="15">
        <v>46139</v>
      </c>
      <c r="G4099" t="s">
        <v>507</v>
      </c>
      <c r="H4099">
        <v>4</v>
      </c>
      <c r="I4099">
        <v>2026</v>
      </c>
      <c r="J4099">
        <v>4</v>
      </c>
      <c r="K4099" t="s">
        <v>87</v>
      </c>
      <c r="L4099" t="s">
        <v>19</v>
      </c>
      <c r="M4099" t="s">
        <v>8</v>
      </c>
      <c r="N4099" t="b">
        <v>0</v>
      </c>
      <c r="O4099">
        <v>0</v>
      </c>
      <c r="P4099">
        <v>1</v>
      </c>
      <c r="Q4099">
        <v>0</v>
      </c>
      <c r="R4099">
        <v>1</v>
      </c>
    </row>
    <row r="4100" spans="1:18" x14ac:dyDescent="0.25">
      <c r="A4100" t="s">
        <v>351</v>
      </c>
      <c r="B4100" t="s">
        <v>6</v>
      </c>
      <c r="C4100">
        <v>3</v>
      </c>
      <c r="D4100">
        <v>2</v>
      </c>
      <c r="E4100">
        <v>2</v>
      </c>
      <c r="F4100" s="15">
        <v>46139</v>
      </c>
      <c r="G4100" t="s">
        <v>507</v>
      </c>
      <c r="H4100">
        <v>4</v>
      </c>
      <c r="I4100">
        <v>2026</v>
      </c>
      <c r="J4100">
        <v>4</v>
      </c>
      <c r="K4100" t="s">
        <v>87</v>
      </c>
      <c r="L4100" t="s">
        <v>405</v>
      </c>
      <c r="M4100" t="s">
        <v>6</v>
      </c>
      <c r="N4100" t="b">
        <v>0</v>
      </c>
      <c r="O4100">
        <v>0</v>
      </c>
      <c r="P4100">
        <v>1</v>
      </c>
      <c r="Q4100">
        <v>0</v>
      </c>
      <c r="R4100">
        <v>0</v>
      </c>
    </row>
    <row r="4101" spans="1:18" x14ac:dyDescent="0.25">
      <c r="A4101" t="s">
        <v>351</v>
      </c>
      <c r="B4101" t="s">
        <v>6</v>
      </c>
      <c r="C4101">
        <v>3</v>
      </c>
      <c r="D4101">
        <v>2</v>
      </c>
      <c r="E4101">
        <v>2</v>
      </c>
      <c r="F4101" s="15">
        <v>46139</v>
      </c>
      <c r="G4101" t="s">
        <v>507</v>
      </c>
      <c r="H4101">
        <v>4</v>
      </c>
      <c r="I4101">
        <v>2026</v>
      </c>
      <c r="J4101">
        <v>4</v>
      </c>
      <c r="K4101" t="s">
        <v>87</v>
      </c>
      <c r="L4101" t="s">
        <v>465</v>
      </c>
      <c r="M4101" t="s">
        <v>6</v>
      </c>
      <c r="N4101" t="b">
        <v>0</v>
      </c>
      <c r="O4101">
        <v>0</v>
      </c>
      <c r="P4101">
        <v>1</v>
      </c>
      <c r="Q4101">
        <v>0</v>
      </c>
      <c r="R4101">
        <v>0</v>
      </c>
    </row>
    <row r="4102" spans="1:18" x14ac:dyDescent="0.25">
      <c r="A4102" t="s">
        <v>351</v>
      </c>
      <c r="B4102" t="s">
        <v>6</v>
      </c>
      <c r="C4102">
        <v>3</v>
      </c>
      <c r="D4102">
        <v>2</v>
      </c>
      <c r="E4102">
        <v>2</v>
      </c>
      <c r="F4102" s="15">
        <v>46139</v>
      </c>
      <c r="G4102" t="s">
        <v>507</v>
      </c>
      <c r="H4102">
        <v>4</v>
      </c>
      <c r="I4102">
        <v>2026</v>
      </c>
      <c r="J4102">
        <v>4</v>
      </c>
      <c r="K4102" t="s">
        <v>87</v>
      </c>
      <c r="L4102" t="s">
        <v>19</v>
      </c>
      <c r="M4102" t="s">
        <v>8</v>
      </c>
      <c r="N4102" t="b">
        <v>0</v>
      </c>
      <c r="O4102">
        <v>0</v>
      </c>
      <c r="P4102">
        <v>1</v>
      </c>
      <c r="Q4102">
        <v>0</v>
      </c>
      <c r="R4102">
        <v>1</v>
      </c>
    </row>
    <row r="4103" spans="1:18" x14ac:dyDescent="0.25">
      <c r="A4103" t="s">
        <v>19</v>
      </c>
      <c r="B4103" t="s">
        <v>8</v>
      </c>
      <c r="C4103">
        <v>4</v>
      </c>
      <c r="D4103">
        <v>2</v>
      </c>
      <c r="E4103">
        <v>2</v>
      </c>
      <c r="F4103" s="15">
        <v>46139</v>
      </c>
      <c r="G4103" t="s">
        <v>507</v>
      </c>
      <c r="H4103">
        <v>4</v>
      </c>
      <c r="I4103">
        <v>2026</v>
      </c>
      <c r="J4103">
        <v>4</v>
      </c>
      <c r="K4103" t="s">
        <v>87</v>
      </c>
      <c r="L4103" t="s">
        <v>405</v>
      </c>
      <c r="M4103" t="s">
        <v>6</v>
      </c>
      <c r="N4103" t="b">
        <v>0</v>
      </c>
      <c r="O4103">
        <v>1</v>
      </c>
      <c r="P4103">
        <v>0</v>
      </c>
      <c r="Q4103">
        <v>0</v>
      </c>
      <c r="R4103">
        <v>0</v>
      </c>
    </row>
    <row r="4104" spans="1:18" x14ac:dyDescent="0.25">
      <c r="A4104" t="s">
        <v>19</v>
      </c>
      <c r="B4104" t="s">
        <v>8</v>
      </c>
      <c r="C4104">
        <v>4</v>
      </c>
      <c r="D4104">
        <v>2</v>
      </c>
      <c r="E4104">
        <v>2</v>
      </c>
      <c r="F4104" s="15">
        <v>46139</v>
      </c>
      <c r="G4104" t="s">
        <v>507</v>
      </c>
      <c r="H4104">
        <v>4</v>
      </c>
      <c r="I4104">
        <v>2026</v>
      </c>
      <c r="J4104">
        <v>4</v>
      </c>
      <c r="K4104" t="s">
        <v>87</v>
      </c>
      <c r="L4104" t="s">
        <v>465</v>
      </c>
      <c r="M4104" t="s">
        <v>6</v>
      </c>
      <c r="N4104" t="b">
        <v>0</v>
      </c>
      <c r="O4104">
        <v>1</v>
      </c>
      <c r="P4104">
        <v>0</v>
      </c>
      <c r="Q4104">
        <v>0</v>
      </c>
      <c r="R4104">
        <v>0</v>
      </c>
    </row>
    <row r="4105" spans="1:18" x14ac:dyDescent="0.25">
      <c r="A4105" t="s">
        <v>19</v>
      </c>
      <c r="B4105" t="s">
        <v>8</v>
      </c>
      <c r="C4105">
        <v>4</v>
      </c>
      <c r="D4105">
        <v>2</v>
      </c>
      <c r="E4105">
        <v>2</v>
      </c>
      <c r="F4105" s="15">
        <v>46139</v>
      </c>
      <c r="G4105" t="s">
        <v>507</v>
      </c>
      <c r="H4105">
        <v>4</v>
      </c>
      <c r="I4105">
        <v>2026</v>
      </c>
      <c r="J4105">
        <v>4</v>
      </c>
      <c r="K4105" t="s">
        <v>87</v>
      </c>
      <c r="L4105" t="s">
        <v>351</v>
      </c>
      <c r="M4105" t="s">
        <v>6</v>
      </c>
      <c r="N4105" t="b">
        <v>0</v>
      </c>
      <c r="O4105">
        <v>1</v>
      </c>
      <c r="P4105">
        <v>0</v>
      </c>
      <c r="Q4105">
        <v>0</v>
      </c>
      <c r="R4105">
        <v>0</v>
      </c>
    </row>
    <row r="4106" spans="1:18" x14ac:dyDescent="0.25">
      <c r="A4106" t="s">
        <v>51</v>
      </c>
      <c r="B4106" t="s">
        <v>8</v>
      </c>
      <c r="C4106">
        <v>1</v>
      </c>
      <c r="D4106">
        <v>3</v>
      </c>
      <c r="E4106">
        <v>2</v>
      </c>
      <c r="F4106" s="15">
        <v>46139</v>
      </c>
      <c r="G4106" t="s">
        <v>508</v>
      </c>
      <c r="H4106">
        <v>3</v>
      </c>
      <c r="I4106">
        <v>2026</v>
      </c>
      <c r="J4106">
        <v>4</v>
      </c>
      <c r="K4106" t="s">
        <v>87</v>
      </c>
      <c r="L4106" t="s">
        <v>10</v>
      </c>
      <c r="M4106" t="s">
        <v>6</v>
      </c>
      <c r="N4106" t="b">
        <v>0</v>
      </c>
      <c r="O4106">
        <v>1</v>
      </c>
      <c r="P4106">
        <v>0</v>
      </c>
      <c r="Q4106">
        <v>0</v>
      </c>
      <c r="R4106">
        <v>0</v>
      </c>
    </row>
    <row r="4107" spans="1:18" x14ac:dyDescent="0.25">
      <c r="A4107" t="s">
        <v>51</v>
      </c>
      <c r="B4107" t="s">
        <v>8</v>
      </c>
      <c r="C4107">
        <v>1</v>
      </c>
      <c r="D4107">
        <v>3</v>
      </c>
      <c r="E4107">
        <v>2</v>
      </c>
      <c r="F4107" s="15">
        <v>46139</v>
      </c>
      <c r="G4107" t="s">
        <v>508</v>
      </c>
      <c r="H4107">
        <v>3</v>
      </c>
      <c r="I4107">
        <v>2026</v>
      </c>
      <c r="J4107">
        <v>4</v>
      </c>
      <c r="K4107" t="s">
        <v>87</v>
      </c>
      <c r="L4107" t="s">
        <v>13</v>
      </c>
      <c r="M4107" t="s">
        <v>6</v>
      </c>
      <c r="N4107" t="b">
        <v>0</v>
      </c>
      <c r="O4107">
        <v>1</v>
      </c>
      <c r="P4107">
        <v>0</v>
      </c>
      <c r="Q4107">
        <v>0</v>
      </c>
      <c r="R4107">
        <v>0</v>
      </c>
    </row>
    <row r="4108" spans="1:18" x14ac:dyDescent="0.25">
      <c r="A4108" t="s">
        <v>10</v>
      </c>
      <c r="B4108" t="s">
        <v>6</v>
      </c>
      <c r="C4108">
        <v>2</v>
      </c>
      <c r="D4108">
        <v>3</v>
      </c>
      <c r="E4108">
        <v>2</v>
      </c>
      <c r="F4108" s="15">
        <v>46139</v>
      </c>
      <c r="G4108" t="s">
        <v>508</v>
      </c>
      <c r="H4108">
        <v>3</v>
      </c>
      <c r="I4108">
        <v>2026</v>
      </c>
      <c r="J4108">
        <v>4</v>
      </c>
      <c r="K4108" t="s">
        <v>87</v>
      </c>
      <c r="L4108" t="s">
        <v>51</v>
      </c>
      <c r="M4108" t="s">
        <v>8</v>
      </c>
      <c r="N4108" t="b">
        <v>0</v>
      </c>
      <c r="O4108">
        <v>0</v>
      </c>
      <c r="P4108">
        <v>1</v>
      </c>
      <c r="Q4108">
        <v>0</v>
      </c>
      <c r="R4108">
        <v>1</v>
      </c>
    </row>
    <row r="4109" spans="1:18" x14ac:dyDescent="0.25">
      <c r="A4109" t="s">
        <v>10</v>
      </c>
      <c r="B4109" t="s">
        <v>6</v>
      </c>
      <c r="C4109">
        <v>2</v>
      </c>
      <c r="D4109">
        <v>3</v>
      </c>
      <c r="E4109">
        <v>2</v>
      </c>
      <c r="F4109" s="15">
        <v>46139</v>
      </c>
      <c r="G4109" t="s">
        <v>508</v>
      </c>
      <c r="H4109">
        <v>3</v>
      </c>
      <c r="I4109">
        <v>2026</v>
      </c>
      <c r="J4109">
        <v>4</v>
      </c>
      <c r="K4109" t="s">
        <v>87</v>
      </c>
      <c r="L4109" t="s">
        <v>13</v>
      </c>
      <c r="M4109" t="s">
        <v>6</v>
      </c>
      <c r="N4109" t="b">
        <v>0</v>
      </c>
      <c r="O4109">
        <v>0</v>
      </c>
      <c r="P4109">
        <v>1</v>
      </c>
      <c r="Q4109">
        <v>0</v>
      </c>
      <c r="R4109">
        <v>0</v>
      </c>
    </row>
    <row r="4110" spans="1:18" x14ac:dyDescent="0.25">
      <c r="A4110" t="s">
        <v>13</v>
      </c>
      <c r="B4110" t="s">
        <v>6</v>
      </c>
      <c r="C4110">
        <v>3</v>
      </c>
      <c r="D4110">
        <v>3</v>
      </c>
      <c r="E4110">
        <v>2</v>
      </c>
      <c r="F4110" s="15">
        <v>46139</v>
      </c>
      <c r="G4110" t="s">
        <v>508</v>
      </c>
      <c r="H4110">
        <v>3</v>
      </c>
      <c r="I4110">
        <v>2026</v>
      </c>
      <c r="J4110">
        <v>4</v>
      </c>
      <c r="K4110" t="s">
        <v>87</v>
      </c>
      <c r="L4110" t="s">
        <v>51</v>
      </c>
      <c r="M4110" t="s">
        <v>8</v>
      </c>
      <c r="N4110" t="b">
        <v>0</v>
      </c>
      <c r="O4110">
        <v>0</v>
      </c>
      <c r="P4110">
        <v>1</v>
      </c>
      <c r="Q4110">
        <v>0</v>
      </c>
      <c r="R4110">
        <v>1</v>
      </c>
    </row>
    <row r="4111" spans="1:18" x14ac:dyDescent="0.25">
      <c r="A4111" t="s">
        <v>13</v>
      </c>
      <c r="B4111" t="s">
        <v>6</v>
      </c>
      <c r="C4111">
        <v>3</v>
      </c>
      <c r="D4111">
        <v>3</v>
      </c>
      <c r="E4111">
        <v>2</v>
      </c>
      <c r="F4111" s="15">
        <v>46139</v>
      </c>
      <c r="G4111" t="s">
        <v>508</v>
      </c>
      <c r="H4111">
        <v>3</v>
      </c>
      <c r="I4111">
        <v>2026</v>
      </c>
      <c r="J4111">
        <v>4</v>
      </c>
      <c r="K4111" t="s">
        <v>87</v>
      </c>
      <c r="L4111" t="s">
        <v>10</v>
      </c>
      <c r="M4111" t="s">
        <v>6</v>
      </c>
      <c r="N4111" t="b">
        <v>0</v>
      </c>
      <c r="O4111">
        <v>0</v>
      </c>
      <c r="P4111">
        <v>1</v>
      </c>
      <c r="Q4111">
        <v>0</v>
      </c>
      <c r="R4111">
        <v>0</v>
      </c>
    </row>
    <row r="4112" spans="1:18" x14ac:dyDescent="0.25">
      <c r="A4112" t="s">
        <v>41</v>
      </c>
      <c r="B4112" t="s">
        <v>6</v>
      </c>
      <c r="C4112">
        <v>1</v>
      </c>
      <c r="D4112">
        <v>4</v>
      </c>
      <c r="E4112">
        <v>2</v>
      </c>
      <c r="F4112" s="15">
        <v>46139</v>
      </c>
      <c r="G4112" t="s">
        <v>509</v>
      </c>
      <c r="H4112">
        <v>3</v>
      </c>
      <c r="I4112">
        <v>2026</v>
      </c>
      <c r="J4112">
        <v>4</v>
      </c>
      <c r="K4112" t="s">
        <v>87</v>
      </c>
      <c r="L4112" t="s">
        <v>17</v>
      </c>
      <c r="M4112" t="s">
        <v>6</v>
      </c>
      <c r="N4112" t="b">
        <v>0</v>
      </c>
      <c r="O4112">
        <v>0</v>
      </c>
      <c r="P4112">
        <v>1</v>
      </c>
      <c r="Q4112">
        <v>0</v>
      </c>
      <c r="R4112">
        <v>0</v>
      </c>
    </row>
    <row r="4113" spans="1:18" x14ac:dyDescent="0.25">
      <c r="A4113" t="s">
        <v>41</v>
      </c>
      <c r="B4113" t="s">
        <v>6</v>
      </c>
      <c r="C4113">
        <v>1</v>
      </c>
      <c r="D4113">
        <v>4</v>
      </c>
      <c r="E4113">
        <v>2</v>
      </c>
      <c r="F4113" s="15">
        <v>46139</v>
      </c>
      <c r="G4113" t="s">
        <v>509</v>
      </c>
      <c r="H4113">
        <v>3</v>
      </c>
      <c r="I4113">
        <v>2026</v>
      </c>
      <c r="J4113">
        <v>4</v>
      </c>
      <c r="K4113" t="s">
        <v>87</v>
      </c>
      <c r="L4113" t="s">
        <v>11</v>
      </c>
      <c r="M4113" t="s">
        <v>8</v>
      </c>
      <c r="N4113" t="b">
        <v>0</v>
      </c>
      <c r="O4113">
        <v>0</v>
      </c>
      <c r="P4113">
        <v>1</v>
      </c>
      <c r="Q4113">
        <v>0</v>
      </c>
      <c r="R4113">
        <v>1</v>
      </c>
    </row>
    <row r="4114" spans="1:18" x14ac:dyDescent="0.25">
      <c r="A4114" t="s">
        <v>17</v>
      </c>
      <c r="B4114" t="s">
        <v>6</v>
      </c>
      <c r="C4114">
        <v>2</v>
      </c>
      <c r="D4114">
        <v>4</v>
      </c>
      <c r="E4114">
        <v>2</v>
      </c>
      <c r="F4114" s="15">
        <v>46139</v>
      </c>
      <c r="G4114" t="s">
        <v>509</v>
      </c>
      <c r="H4114">
        <v>3</v>
      </c>
      <c r="I4114">
        <v>2026</v>
      </c>
      <c r="J4114">
        <v>4</v>
      </c>
      <c r="K4114" t="s">
        <v>87</v>
      </c>
      <c r="L4114" t="s">
        <v>41</v>
      </c>
      <c r="M4114" t="s">
        <v>6</v>
      </c>
      <c r="N4114" t="b">
        <v>0</v>
      </c>
      <c r="O4114">
        <v>0</v>
      </c>
      <c r="P4114">
        <v>1</v>
      </c>
      <c r="Q4114">
        <v>0</v>
      </c>
      <c r="R4114">
        <v>0</v>
      </c>
    </row>
    <row r="4115" spans="1:18" x14ac:dyDescent="0.25">
      <c r="A4115" t="s">
        <v>17</v>
      </c>
      <c r="B4115" t="s">
        <v>6</v>
      </c>
      <c r="C4115">
        <v>2</v>
      </c>
      <c r="D4115">
        <v>4</v>
      </c>
      <c r="E4115">
        <v>2</v>
      </c>
      <c r="F4115" s="15">
        <v>46139</v>
      </c>
      <c r="G4115" t="s">
        <v>509</v>
      </c>
      <c r="H4115">
        <v>3</v>
      </c>
      <c r="I4115">
        <v>2026</v>
      </c>
      <c r="J4115">
        <v>4</v>
      </c>
      <c r="K4115" t="s">
        <v>87</v>
      </c>
      <c r="L4115" t="s">
        <v>11</v>
      </c>
      <c r="M4115" t="s">
        <v>8</v>
      </c>
      <c r="N4115" t="b">
        <v>0</v>
      </c>
      <c r="O4115">
        <v>0</v>
      </c>
      <c r="P4115">
        <v>1</v>
      </c>
      <c r="Q4115">
        <v>0</v>
      </c>
      <c r="R4115">
        <v>1</v>
      </c>
    </row>
    <row r="4116" spans="1:18" x14ac:dyDescent="0.25">
      <c r="A4116" t="s">
        <v>11</v>
      </c>
      <c r="B4116" t="s">
        <v>8</v>
      </c>
      <c r="C4116">
        <v>3</v>
      </c>
      <c r="D4116">
        <v>4</v>
      </c>
      <c r="E4116">
        <v>2</v>
      </c>
      <c r="F4116" s="15">
        <v>46139</v>
      </c>
      <c r="G4116" t="s">
        <v>509</v>
      </c>
      <c r="H4116">
        <v>3</v>
      </c>
      <c r="I4116">
        <v>2026</v>
      </c>
      <c r="J4116">
        <v>4</v>
      </c>
      <c r="K4116" t="s">
        <v>87</v>
      </c>
      <c r="L4116" t="s">
        <v>41</v>
      </c>
      <c r="M4116" t="s">
        <v>6</v>
      </c>
      <c r="N4116" t="b">
        <v>0</v>
      </c>
      <c r="O4116">
        <v>1</v>
      </c>
      <c r="P4116">
        <v>0</v>
      </c>
      <c r="Q4116">
        <v>0</v>
      </c>
      <c r="R4116">
        <v>0</v>
      </c>
    </row>
    <row r="4117" spans="1:18" x14ac:dyDescent="0.25">
      <c r="A4117" t="s">
        <v>11</v>
      </c>
      <c r="B4117" t="s">
        <v>8</v>
      </c>
      <c r="C4117">
        <v>3</v>
      </c>
      <c r="D4117">
        <v>4</v>
      </c>
      <c r="E4117">
        <v>2</v>
      </c>
      <c r="F4117" s="15">
        <v>46139</v>
      </c>
      <c r="G4117" t="s">
        <v>509</v>
      </c>
      <c r="H4117">
        <v>3</v>
      </c>
      <c r="I4117">
        <v>2026</v>
      </c>
      <c r="J4117">
        <v>4</v>
      </c>
      <c r="K4117" t="s">
        <v>87</v>
      </c>
      <c r="L4117" t="s">
        <v>17</v>
      </c>
      <c r="M4117" t="s">
        <v>6</v>
      </c>
      <c r="N4117" t="b">
        <v>0</v>
      </c>
      <c r="O4117">
        <v>1</v>
      </c>
      <c r="P4117">
        <v>0</v>
      </c>
      <c r="Q4117">
        <v>0</v>
      </c>
      <c r="R4117">
        <v>0</v>
      </c>
    </row>
    <row r="4118" spans="1:18" x14ac:dyDescent="0.25">
      <c r="A4118" t="s">
        <v>14</v>
      </c>
      <c r="B4118" t="s">
        <v>63</v>
      </c>
      <c r="C4118">
        <v>1</v>
      </c>
      <c r="D4118">
        <v>5</v>
      </c>
      <c r="E4118">
        <v>2</v>
      </c>
      <c r="F4118" s="15">
        <v>46139</v>
      </c>
      <c r="G4118" t="s">
        <v>510</v>
      </c>
      <c r="H4118">
        <v>3</v>
      </c>
      <c r="I4118">
        <v>2026</v>
      </c>
      <c r="J4118">
        <v>4</v>
      </c>
      <c r="K4118" t="s">
        <v>87</v>
      </c>
      <c r="L4118" t="s">
        <v>52</v>
      </c>
      <c r="M4118" t="s">
        <v>63</v>
      </c>
      <c r="N4118" t="b">
        <v>0</v>
      </c>
      <c r="O4118">
        <v>0</v>
      </c>
      <c r="P4118">
        <v>0</v>
      </c>
      <c r="Q4118">
        <v>1</v>
      </c>
      <c r="R4118">
        <v>0</v>
      </c>
    </row>
    <row r="4119" spans="1:18" x14ac:dyDescent="0.25">
      <c r="A4119" t="s">
        <v>14</v>
      </c>
      <c r="B4119" t="s">
        <v>63</v>
      </c>
      <c r="C4119">
        <v>1</v>
      </c>
      <c r="D4119">
        <v>5</v>
      </c>
      <c r="E4119">
        <v>2</v>
      </c>
      <c r="F4119" s="15">
        <v>46139</v>
      </c>
      <c r="G4119" t="s">
        <v>510</v>
      </c>
      <c r="H4119">
        <v>3</v>
      </c>
      <c r="I4119">
        <v>2026</v>
      </c>
      <c r="J4119">
        <v>4</v>
      </c>
      <c r="K4119" t="s">
        <v>87</v>
      </c>
      <c r="L4119" t="s">
        <v>352</v>
      </c>
      <c r="M4119" t="s">
        <v>63</v>
      </c>
      <c r="N4119" t="b">
        <v>0</v>
      </c>
      <c r="O4119">
        <v>0</v>
      </c>
      <c r="P4119">
        <v>0</v>
      </c>
      <c r="Q4119">
        <v>1</v>
      </c>
      <c r="R4119">
        <v>0</v>
      </c>
    </row>
    <row r="4120" spans="1:18" x14ac:dyDescent="0.25">
      <c r="A4120" t="s">
        <v>52</v>
      </c>
      <c r="B4120" t="s">
        <v>63</v>
      </c>
      <c r="C4120">
        <v>2</v>
      </c>
      <c r="D4120">
        <v>5</v>
      </c>
      <c r="E4120">
        <v>2</v>
      </c>
      <c r="F4120" s="15">
        <v>46139</v>
      </c>
      <c r="G4120" t="s">
        <v>510</v>
      </c>
      <c r="H4120">
        <v>3</v>
      </c>
      <c r="I4120">
        <v>2026</v>
      </c>
      <c r="J4120">
        <v>4</v>
      </c>
      <c r="K4120" t="s">
        <v>87</v>
      </c>
      <c r="L4120" t="s">
        <v>14</v>
      </c>
      <c r="M4120" t="s">
        <v>63</v>
      </c>
      <c r="N4120" t="b">
        <v>0</v>
      </c>
      <c r="O4120">
        <v>0</v>
      </c>
      <c r="P4120">
        <v>0</v>
      </c>
      <c r="Q4120">
        <v>1</v>
      </c>
      <c r="R4120">
        <v>0</v>
      </c>
    </row>
    <row r="4121" spans="1:18" x14ac:dyDescent="0.25">
      <c r="A4121" t="s">
        <v>52</v>
      </c>
      <c r="B4121" t="s">
        <v>63</v>
      </c>
      <c r="C4121">
        <v>2</v>
      </c>
      <c r="D4121">
        <v>5</v>
      </c>
      <c r="E4121">
        <v>2</v>
      </c>
      <c r="F4121" s="15">
        <v>46139</v>
      </c>
      <c r="G4121" t="s">
        <v>510</v>
      </c>
      <c r="H4121">
        <v>3</v>
      </c>
      <c r="I4121">
        <v>2026</v>
      </c>
      <c r="J4121">
        <v>4</v>
      </c>
      <c r="K4121" t="s">
        <v>87</v>
      </c>
      <c r="L4121" t="s">
        <v>352</v>
      </c>
      <c r="M4121" t="s">
        <v>63</v>
      </c>
      <c r="N4121" t="b">
        <v>0</v>
      </c>
      <c r="O4121">
        <v>0</v>
      </c>
      <c r="P4121">
        <v>0</v>
      </c>
      <c r="Q4121">
        <v>1</v>
      </c>
      <c r="R4121">
        <v>0</v>
      </c>
    </row>
    <row r="4122" spans="1:18" x14ac:dyDescent="0.25">
      <c r="A4122" t="s">
        <v>352</v>
      </c>
      <c r="B4122" t="s">
        <v>63</v>
      </c>
      <c r="C4122">
        <v>3</v>
      </c>
      <c r="D4122">
        <v>5</v>
      </c>
      <c r="E4122">
        <v>2</v>
      </c>
      <c r="F4122" s="15">
        <v>46139</v>
      </c>
      <c r="G4122" t="s">
        <v>510</v>
      </c>
      <c r="H4122">
        <v>3</v>
      </c>
      <c r="I4122">
        <v>2026</v>
      </c>
      <c r="J4122">
        <v>4</v>
      </c>
      <c r="K4122" t="s">
        <v>87</v>
      </c>
      <c r="L4122" t="s">
        <v>14</v>
      </c>
      <c r="M4122" t="s">
        <v>63</v>
      </c>
      <c r="N4122" t="b">
        <v>0</v>
      </c>
      <c r="O4122">
        <v>0</v>
      </c>
      <c r="P4122">
        <v>0</v>
      </c>
      <c r="Q4122">
        <v>1</v>
      </c>
      <c r="R4122">
        <v>0</v>
      </c>
    </row>
    <row r="4123" spans="1:18" x14ac:dyDescent="0.25">
      <c r="A4123" t="s">
        <v>352</v>
      </c>
      <c r="B4123" t="s">
        <v>63</v>
      </c>
      <c r="C4123">
        <v>3</v>
      </c>
      <c r="D4123">
        <v>5</v>
      </c>
      <c r="E4123">
        <v>2</v>
      </c>
      <c r="F4123" s="15">
        <v>46139</v>
      </c>
      <c r="G4123" t="s">
        <v>510</v>
      </c>
      <c r="H4123">
        <v>3</v>
      </c>
      <c r="I4123">
        <v>2026</v>
      </c>
      <c r="J4123">
        <v>4</v>
      </c>
      <c r="K4123" t="s">
        <v>87</v>
      </c>
      <c r="L4123" t="s">
        <v>52</v>
      </c>
      <c r="M4123" t="s">
        <v>63</v>
      </c>
      <c r="N4123" t="b">
        <v>0</v>
      </c>
      <c r="O4123">
        <v>0</v>
      </c>
      <c r="P4123">
        <v>0</v>
      </c>
      <c r="Q4123">
        <v>1</v>
      </c>
      <c r="R4123">
        <v>0</v>
      </c>
    </row>
    <row r="4124" spans="1:18" x14ac:dyDescent="0.25">
      <c r="A4124" t="s">
        <v>41</v>
      </c>
      <c r="B4124" t="s">
        <v>6</v>
      </c>
      <c r="C4124">
        <v>1</v>
      </c>
      <c r="D4124">
        <v>1</v>
      </c>
      <c r="E4124">
        <v>1</v>
      </c>
      <c r="F4124" s="15">
        <v>46146</v>
      </c>
      <c r="G4124" t="s">
        <v>511</v>
      </c>
      <c r="H4124">
        <v>4</v>
      </c>
      <c r="I4124">
        <v>2026</v>
      </c>
      <c r="J4124">
        <v>5</v>
      </c>
      <c r="K4124" t="s">
        <v>87</v>
      </c>
      <c r="L4124" t="s">
        <v>352</v>
      </c>
      <c r="M4124" t="s">
        <v>8</v>
      </c>
      <c r="N4124" t="b">
        <v>0</v>
      </c>
      <c r="O4124">
        <v>0</v>
      </c>
      <c r="P4124">
        <v>1</v>
      </c>
      <c r="Q4124">
        <v>0</v>
      </c>
      <c r="R4124">
        <v>1</v>
      </c>
    </row>
    <row r="4125" spans="1:18" x14ac:dyDescent="0.25">
      <c r="A4125" t="s">
        <v>41</v>
      </c>
      <c r="B4125" t="s">
        <v>6</v>
      </c>
      <c r="C4125">
        <v>1</v>
      </c>
      <c r="D4125">
        <v>1</v>
      </c>
      <c r="E4125">
        <v>1</v>
      </c>
      <c r="F4125" s="15">
        <v>46146</v>
      </c>
      <c r="G4125" t="s">
        <v>511</v>
      </c>
      <c r="H4125">
        <v>4</v>
      </c>
      <c r="I4125">
        <v>2026</v>
      </c>
      <c r="J4125">
        <v>5</v>
      </c>
      <c r="K4125" t="s">
        <v>87</v>
      </c>
      <c r="L4125" t="s">
        <v>363</v>
      </c>
      <c r="M4125" t="s">
        <v>6</v>
      </c>
      <c r="N4125" t="b">
        <v>0</v>
      </c>
      <c r="O4125">
        <v>0</v>
      </c>
      <c r="P4125">
        <v>1</v>
      </c>
      <c r="Q4125">
        <v>0</v>
      </c>
      <c r="R4125">
        <v>0</v>
      </c>
    </row>
    <row r="4126" spans="1:18" x14ac:dyDescent="0.25">
      <c r="A4126" t="s">
        <v>41</v>
      </c>
      <c r="B4126" t="s">
        <v>6</v>
      </c>
      <c r="C4126">
        <v>1</v>
      </c>
      <c r="D4126">
        <v>1</v>
      </c>
      <c r="E4126">
        <v>1</v>
      </c>
      <c r="F4126" s="15">
        <v>46146</v>
      </c>
      <c r="G4126" t="s">
        <v>511</v>
      </c>
      <c r="H4126">
        <v>4</v>
      </c>
      <c r="I4126">
        <v>2026</v>
      </c>
      <c r="J4126">
        <v>5</v>
      </c>
      <c r="K4126" t="s">
        <v>87</v>
      </c>
      <c r="L4126" t="s">
        <v>9</v>
      </c>
      <c r="M4126" t="s">
        <v>6</v>
      </c>
      <c r="N4126" t="b">
        <v>0</v>
      </c>
      <c r="O4126">
        <v>0</v>
      </c>
      <c r="P4126">
        <v>1</v>
      </c>
      <c r="Q4126">
        <v>0</v>
      </c>
      <c r="R4126">
        <v>0</v>
      </c>
    </row>
    <row r="4127" spans="1:18" x14ac:dyDescent="0.25">
      <c r="A4127" t="s">
        <v>352</v>
      </c>
      <c r="B4127" t="s">
        <v>8</v>
      </c>
      <c r="C4127">
        <v>2</v>
      </c>
      <c r="D4127">
        <v>1</v>
      </c>
      <c r="E4127">
        <v>1</v>
      </c>
      <c r="F4127" s="15">
        <v>46146</v>
      </c>
      <c r="G4127" t="s">
        <v>511</v>
      </c>
      <c r="H4127">
        <v>4</v>
      </c>
      <c r="I4127">
        <v>2026</v>
      </c>
      <c r="J4127">
        <v>5</v>
      </c>
      <c r="K4127" t="s">
        <v>87</v>
      </c>
      <c r="L4127" t="s">
        <v>41</v>
      </c>
      <c r="M4127" t="s">
        <v>6</v>
      </c>
      <c r="N4127" t="b">
        <v>0</v>
      </c>
      <c r="O4127">
        <v>1</v>
      </c>
      <c r="P4127">
        <v>0</v>
      </c>
      <c r="Q4127">
        <v>0</v>
      </c>
      <c r="R4127">
        <v>0</v>
      </c>
    </row>
    <row r="4128" spans="1:18" x14ac:dyDescent="0.25">
      <c r="A4128" t="s">
        <v>352</v>
      </c>
      <c r="B4128" t="s">
        <v>8</v>
      </c>
      <c r="C4128">
        <v>2</v>
      </c>
      <c r="D4128">
        <v>1</v>
      </c>
      <c r="E4128">
        <v>1</v>
      </c>
      <c r="F4128" s="15">
        <v>46146</v>
      </c>
      <c r="G4128" t="s">
        <v>511</v>
      </c>
      <c r="H4128">
        <v>4</v>
      </c>
      <c r="I4128">
        <v>2026</v>
      </c>
      <c r="J4128">
        <v>5</v>
      </c>
      <c r="K4128" t="s">
        <v>87</v>
      </c>
      <c r="L4128" t="s">
        <v>363</v>
      </c>
      <c r="M4128" t="s">
        <v>6</v>
      </c>
      <c r="N4128" t="b">
        <v>0</v>
      </c>
      <c r="O4128">
        <v>1</v>
      </c>
      <c r="P4128">
        <v>0</v>
      </c>
      <c r="Q4128">
        <v>0</v>
      </c>
      <c r="R4128">
        <v>0</v>
      </c>
    </row>
    <row r="4129" spans="1:18" x14ac:dyDescent="0.25">
      <c r="A4129" t="s">
        <v>352</v>
      </c>
      <c r="B4129" t="s">
        <v>8</v>
      </c>
      <c r="C4129">
        <v>2</v>
      </c>
      <c r="D4129">
        <v>1</v>
      </c>
      <c r="E4129">
        <v>1</v>
      </c>
      <c r="F4129" s="15">
        <v>46146</v>
      </c>
      <c r="G4129" t="s">
        <v>511</v>
      </c>
      <c r="H4129">
        <v>4</v>
      </c>
      <c r="I4129">
        <v>2026</v>
      </c>
      <c r="J4129">
        <v>5</v>
      </c>
      <c r="K4129" t="s">
        <v>87</v>
      </c>
      <c r="L4129" t="s">
        <v>9</v>
      </c>
      <c r="M4129" t="s">
        <v>6</v>
      </c>
      <c r="N4129" t="b">
        <v>0</v>
      </c>
      <c r="O4129">
        <v>1</v>
      </c>
      <c r="P4129">
        <v>0</v>
      </c>
      <c r="Q4129">
        <v>0</v>
      </c>
      <c r="R4129">
        <v>0</v>
      </c>
    </row>
    <row r="4130" spans="1:18" x14ac:dyDescent="0.25">
      <c r="A4130" t="s">
        <v>363</v>
      </c>
      <c r="B4130" t="s">
        <v>6</v>
      </c>
      <c r="C4130">
        <v>3</v>
      </c>
      <c r="D4130">
        <v>1</v>
      </c>
      <c r="E4130">
        <v>1</v>
      </c>
      <c r="F4130" s="15">
        <v>46146</v>
      </c>
      <c r="G4130" t="s">
        <v>511</v>
      </c>
      <c r="H4130">
        <v>4</v>
      </c>
      <c r="I4130">
        <v>2026</v>
      </c>
      <c r="J4130">
        <v>5</v>
      </c>
      <c r="K4130" t="s">
        <v>87</v>
      </c>
      <c r="L4130" t="s">
        <v>41</v>
      </c>
      <c r="M4130" t="s">
        <v>6</v>
      </c>
      <c r="N4130" t="b">
        <v>0</v>
      </c>
      <c r="O4130">
        <v>0</v>
      </c>
      <c r="P4130">
        <v>1</v>
      </c>
      <c r="Q4130">
        <v>0</v>
      </c>
      <c r="R4130">
        <v>0</v>
      </c>
    </row>
    <row r="4131" spans="1:18" x14ac:dyDescent="0.25">
      <c r="A4131" t="s">
        <v>363</v>
      </c>
      <c r="B4131" t="s">
        <v>6</v>
      </c>
      <c r="C4131">
        <v>3</v>
      </c>
      <c r="D4131">
        <v>1</v>
      </c>
      <c r="E4131">
        <v>1</v>
      </c>
      <c r="F4131" s="15">
        <v>46146</v>
      </c>
      <c r="G4131" t="s">
        <v>511</v>
      </c>
      <c r="H4131">
        <v>4</v>
      </c>
      <c r="I4131">
        <v>2026</v>
      </c>
      <c r="J4131">
        <v>5</v>
      </c>
      <c r="K4131" t="s">
        <v>87</v>
      </c>
      <c r="L4131" t="s">
        <v>352</v>
      </c>
      <c r="M4131" t="s">
        <v>8</v>
      </c>
      <c r="N4131" t="b">
        <v>0</v>
      </c>
      <c r="O4131">
        <v>0</v>
      </c>
      <c r="P4131">
        <v>1</v>
      </c>
      <c r="Q4131">
        <v>0</v>
      </c>
      <c r="R4131">
        <v>1</v>
      </c>
    </row>
    <row r="4132" spans="1:18" x14ac:dyDescent="0.25">
      <c r="A4132" t="s">
        <v>363</v>
      </c>
      <c r="B4132" t="s">
        <v>6</v>
      </c>
      <c r="C4132">
        <v>3</v>
      </c>
      <c r="D4132">
        <v>1</v>
      </c>
      <c r="E4132">
        <v>1</v>
      </c>
      <c r="F4132" s="15">
        <v>46146</v>
      </c>
      <c r="G4132" t="s">
        <v>511</v>
      </c>
      <c r="H4132">
        <v>4</v>
      </c>
      <c r="I4132">
        <v>2026</v>
      </c>
      <c r="J4132">
        <v>5</v>
      </c>
      <c r="K4132" t="s">
        <v>87</v>
      </c>
      <c r="L4132" t="s">
        <v>9</v>
      </c>
      <c r="M4132" t="s">
        <v>6</v>
      </c>
      <c r="N4132" t="b">
        <v>0</v>
      </c>
      <c r="O4132">
        <v>0</v>
      </c>
      <c r="P4132">
        <v>1</v>
      </c>
      <c r="Q4132">
        <v>0</v>
      </c>
      <c r="R4132">
        <v>0</v>
      </c>
    </row>
    <row r="4133" spans="1:18" x14ac:dyDescent="0.25">
      <c r="A4133" t="s">
        <v>9</v>
      </c>
      <c r="B4133" t="s">
        <v>6</v>
      </c>
      <c r="C4133">
        <v>4</v>
      </c>
      <c r="D4133">
        <v>1</v>
      </c>
      <c r="E4133">
        <v>1</v>
      </c>
      <c r="F4133" s="15">
        <v>46146</v>
      </c>
      <c r="G4133" t="s">
        <v>511</v>
      </c>
      <c r="H4133">
        <v>4</v>
      </c>
      <c r="I4133">
        <v>2026</v>
      </c>
      <c r="J4133">
        <v>5</v>
      </c>
      <c r="K4133" t="s">
        <v>87</v>
      </c>
      <c r="L4133" t="s">
        <v>41</v>
      </c>
      <c r="M4133" t="s">
        <v>6</v>
      </c>
      <c r="N4133" t="b">
        <v>0</v>
      </c>
      <c r="O4133">
        <v>0</v>
      </c>
      <c r="P4133">
        <v>1</v>
      </c>
      <c r="Q4133">
        <v>0</v>
      </c>
      <c r="R4133">
        <v>0</v>
      </c>
    </row>
    <row r="4134" spans="1:18" x14ac:dyDescent="0.25">
      <c r="A4134" t="s">
        <v>9</v>
      </c>
      <c r="B4134" t="s">
        <v>6</v>
      </c>
      <c r="C4134">
        <v>4</v>
      </c>
      <c r="D4134">
        <v>1</v>
      </c>
      <c r="E4134">
        <v>1</v>
      </c>
      <c r="F4134" s="15">
        <v>46146</v>
      </c>
      <c r="G4134" t="s">
        <v>511</v>
      </c>
      <c r="H4134">
        <v>4</v>
      </c>
      <c r="I4134">
        <v>2026</v>
      </c>
      <c r="J4134">
        <v>5</v>
      </c>
      <c r="K4134" t="s">
        <v>87</v>
      </c>
      <c r="L4134" t="s">
        <v>352</v>
      </c>
      <c r="M4134" t="s">
        <v>8</v>
      </c>
      <c r="N4134" t="b">
        <v>0</v>
      </c>
      <c r="O4134">
        <v>0</v>
      </c>
      <c r="P4134">
        <v>1</v>
      </c>
      <c r="Q4134">
        <v>0</v>
      </c>
      <c r="R4134">
        <v>1</v>
      </c>
    </row>
    <row r="4135" spans="1:18" x14ac:dyDescent="0.25">
      <c r="A4135" t="s">
        <v>9</v>
      </c>
      <c r="B4135" t="s">
        <v>6</v>
      </c>
      <c r="C4135">
        <v>4</v>
      </c>
      <c r="D4135">
        <v>1</v>
      </c>
      <c r="E4135">
        <v>1</v>
      </c>
      <c r="F4135" s="15">
        <v>46146</v>
      </c>
      <c r="G4135" t="s">
        <v>511</v>
      </c>
      <c r="H4135">
        <v>4</v>
      </c>
      <c r="I4135">
        <v>2026</v>
      </c>
      <c r="J4135">
        <v>5</v>
      </c>
      <c r="K4135" t="s">
        <v>87</v>
      </c>
      <c r="L4135" t="s">
        <v>363</v>
      </c>
      <c r="M4135" t="s">
        <v>6</v>
      </c>
      <c r="N4135" t="b">
        <v>0</v>
      </c>
      <c r="O4135">
        <v>0</v>
      </c>
      <c r="P4135">
        <v>1</v>
      </c>
      <c r="Q4135">
        <v>0</v>
      </c>
      <c r="R4135">
        <v>0</v>
      </c>
    </row>
    <row r="4136" spans="1:18" x14ac:dyDescent="0.25">
      <c r="A4136" t="s">
        <v>52</v>
      </c>
      <c r="B4136" t="s">
        <v>6</v>
      </c>
      <c r="C4136">
        <v>1</v>
      </c>
      <c r="D4136">
        <v>2</v>
      </c>
      <c r="E4136">
        <v>1</v>
      </c>
      <c r="F4136" s="15">
        <v>46146</v>
      </c>
      <c r="G4136" t="s">
        <v>512</v>
      </c>
      <c r="H4136">
        <v>3</v>
      </c>
      <c r="I4136">
        <v>2026</v>
      </c>
      <c r="J4136">
        <v>5</v>
      </c>
      <c r="K4136" t="s">
        <v>87</v>
      </c>
      <c r="L4136" t="s">
        <v>51</v>
      </c>
      <c r="M4136" t="s">
        <v>6</v>
      </c>
      <c r="N4136" t="b">
        <v>0</v>
      </c>
      <c r="O4136">
        <v>0</v>
      </c>
      <c r="P4136">
        <v>1</v>
      </c>
      <c r="Q4136">
        <v>0</v>
      </c>
      <c r="R4136">
        <v>0</v>
      </c>
    </row>
    <row r="4137" spans="1:18" x14ac:dyDescent="0.25">
      <c r="A4137" t="s">
        <v>52</v>
      </c>
      <c r="B4137" t="s">
        <v>6</v>
      </c>
      <c r="C4137">
        <v>1</v>
      </c>
      <c r="D4137">
        <v>2</v>
      </c>
      <c r="E4137">
        <v>1</v>
      </c>
      <c r="F4137" s="15">
        <v>46146</v>
      </c>
      <c r="G4137" t="s">
        <v>512</v>
      </c>
      <c r="H4137">
        <v>3</v>
      </c>
      <c r="I4137">
        <v>2026</v>
      </c>
      <c r="J4137">
        <v>5</v>
      </c>
      <c r="K4137" t="s">
        <v>87</v>
      </c>
      <c r="L4137" t="s">
        <v>14</v>
      </c>
      <c r="M4137" t="s">
        <v>8</v>
      </c>
      <c r="N4137" t="b">
        <v>0</v>
      </c>
      <c r="O4137">
        <v>0</v>
      </c>
      <c r="P4137">
        <v>1</v>
      </c>
      <c r="Q4137">
        <v>0</v>
      </c>
      <c r="R4137">
        <v>1</v>
      </c>
    </row>
    <row r="4138" spans="1:18" x14ac:dyDescent="0.25">
      <c r="A4138" t="s">
        <v>51</v>
      </c>
      <c r="B4138" t="s">
        <v>6</v>
      </c>
      <c r="C4138">
        <v>2</v>
      </c>
      <c r="D4138">
        <v>2</v>
      </c>
      <c r="E4138">
        <v>1</v>
      </c>
      <c r="F4138" s="15">
        <v>46146</v>
      </c>
      <c r="G4138" t="s">
        <v>512</v>
      </c>
      <c r="H4138">
        <v>3</v>
      </c>
      <c r="I4138">
        <v>2026</v>
      </c>
      <c r="J4138">
        <v>5</v>
      </c>
      <c r="K4138" t="s">
        <v>87</v>
      </c>
      <c r="L4138" t="s">
        <v>52</v>
      </c>
      <c r="M4138" t="s">
        <v>6</v>
      </c>
      <c r="N4138" t="b">
        <v>0</v>
      </c>
      <c r="O4138">
        <v>0</v>
      </c>
      <c r="P4138">
        <v>1</v>
      </c>
      <c r="Q4138">
        <v>0</v>
      </c>
      <c r="R4138">
        <v>0</v>
      </c>
    </row>
    <row r="4139" spans="1:18" x14ac:dyDescent="0.25">
      <c r="A4139" t="s">
        <v>51</v>
      </c>
      <c r="B4139" t="s">
        <v>6</v>
      </c>
      <c r="C4139">
        <v>2</v>
      </c>
      <c r="D4139">
        <v>2</v>
      </c>
      <c r="E4139">
        <v>1</v>
      </c>
      <c r="F4139" s="15">
        <v>46146</v>
      </c>
      <c r="G4139" t="s">
        <v>512</v>
      </c>
      <c r="H4139">
        <v>3</v>
      </c>
      <c r="I4139">
        <v>2026</v>
      </c>
      <c r="J4139">
        <v>5</v>
      </c>
      <c r="K4139" t="s">
        <v>87</v>
      </c>
      <c r="L4139" t="s">
        <v>14</v>
      </c>
      <c r="M4139" t="s">
        <v>8</v>
      </c>
      <c r="N4139" t="b">
        <v>0</v>
      </c>
      <c r="O4139">
        <v>0</v>
      </c>
      <c r="P4139">
        <v>1</v>
      </c>
      <c r="Q4139">
        <v>0</v>
      </c>
      <c r="R4139">
        <v>1</v>
      </c>
    </row>
    <row r="4140" spans="1:18" x14ac:dyDescent="0.25">
      <c r="A4140" t="s">
        <v>14</v>
      </c>
      <c r="B4140" t="s">
        <v>8</v>
      </c>
      <c r="C4140">
        <v>3</v>
      </c>
      <c r="D4140">
        <v>2</v>
      </c>
      <c r="E4140">
        <v>1</v>
      </c>
      <c r="F4140" s="15">
        <v>46146</v>
      </c>
      <c r="G4140" t="s">
        <v>512</v>
      </c>
      <c r="H4140">
        <v>3</v>
      </c>
      <c r="I4140">
        <v>2026</v>
      </c>
      <c r="J4140">
        <v>5</v>
      </c>
      <c r="K4140" t="s">
        <v>87</v>
      </c>
      <c r="L4140" t="s">
        <v>52</v>
      </c>
      <c r="M4140" t="s">
        <v>6</v>
      </c>
      <c r="N4140" t="b">
        <v>0</v>
      </c>
      <c r="O4140">
        <v>1</v>
      </c>
      <c r="P4140">
        <v>0</v>
      </c>
      <c r="Q4140">
        <v>0</v>
      </c>
      <c r="R4140">
        <v>0</v>
      </c>
    </row>
    <row r="4141" spans="1:18" x14ac:dyDescent="0.25">
      <c r="A4141" t="s">
        <v>14</v>
      </c>
      <c r="B4141" t="s">
        <v>8</v>
      </c>
      <c r="C4141">
        <v>3</v>
      </c>
      <c r="D4141">
        <v>2</v>
      </c>
      <c r="E4141">
        <v>1</v>
      </c>
      <c r="F4141" s="15">
        <v>46146</v>
      </c>
      <c r="G4141" t="s">
        <v>512</v>
      </c>
      <c r="H4141">
        <v>3</v>
      </c>
      <c r="I4141">
        <v>2026</v>
      </c>
      <c r="J4141">
        <v>5</v>
      </c>
      <c r="K4141" t="s">
        <v>87</v>
      </c>
      <c r="L4141" t="s">
        <v>51</v>
      </c>
      <c r="M4141" t="s">
        <v>6</v>
      </c>
      <c r="N4141" t="b">
        <v>0</v>
      </c>
      <c r="O4141">
        <v>1</v>
      </c>
      <c r="P4141">
        <v>0</v>
      </c>
      <c r="Q4141">
        <v>0</v>
      </c>
      <c r="R4141">
        <v>0</v>
      </c>
    </row>
    <row r="4142" spans="1:18" x14ac:dyDescent="0.25">
      <c r="A4142" t="s">
        <v>7</v>
      </c>
      <c r="B4142" t="s">
        <v>63</v>
      </c>
      <c r="C4142">
        <v>1</v>
      </c>
      <c r="D4142">
        <v>3</v>
      </c>
      <c r="E4142">
        <v>1</v>
      </c>
      <c r="F4142" s="15">
        <v>46146</v>
      </c>
      <c r="G4142" t="s">
        <v>513</v>
      </c>
      <c r="H4142">
        <v>3</v>
      </c>
      <c r="I4142">
        <v>2026</v>
      </c>
      <c r="J4142">
        <v>5</v>
      </c>
      <c r="K4142" t="s">
        <v>87</v>
      </c>
      <c r="L4142" t="s">
        <v>436</v>
      </c>
      <c r="M4142" t="s">
        <v>63</v>
      </c>
      <c r="N4142" t="b">
        <v>0</v>
      </c>
      <c r="O4142">
        <v>0</v>
      </c>
      <c r="P4142">
        <v>0</v>
      </c>
      <c r="Q4142">
        <v>1</v>
      </c>
      <c r="R4142">
        <v>0</v>
      </c>
    </row>
    <row r="4143" spans="1:18" x14ac:dyDescent="0.25">
      <c r="A4143" t="s">
        <v>7</v>
      </c>
      <c r="B4143" t="s">
        <v>63</v>
      </c>
      <c r="C4143">
        <v>1</v>
      </c>
      <c r="D4143">
        <v>3</v>
      </c>
      <c r="E4143">
        <v>1</v>
      </c>
      <c r="F4143" s="15">
        <v>46146</v>
      </c>
      <c r="G4143" t="s">
        <v>513</v>
      </c>
      <c r="H4143">
        <v>3</v>
      </c>
      <c r="I4143">
        <v>2026</v>
      </c>
      <c r="J4143">
        <v>5</v>
      </c>
      <c r="K4143" t="s">
        <v>87</v>
      </c>
      <c r="L4143" t="s">
        <v>405</v>
      </c>
      <c r="M4143" t="s">
        <v>63</v>
      </c>
      <c r="N4143" t="b">
        <v>0</v>
      </c>
      <c r="O4143">
        <v>0</v>
      </c>
      <c r="P4143">
        <v>0</v>
      </c>
      <c r="Q4143">
        <v>1</v>
      </c>
      <c r="R4143">
        <v>0</v>
      </c>
    </row>
    <row r="4144" spans="1:18" x14ac:dyDescent="0.25">
      <c r="A4144" t="s">
        <v>436</v>
      </c>
      <c r="B4144" t="s">
        <v>63</v>
      </c>
      <c r="C4144">
        <v>2</v>
      </c>
      <c r="D4144">
        <v>3</v>
      </c>
      <c r="E4144">
        <v>1</v>
      </c>
      <c r="F4144" s="15">
        <v>46146</v>
      </c>
      <c r="G4144" t="s">
        <v>513</v>
      </c>
      <c r="H4144">
        <v>3</v>
      </c>
      <c r="I4144">
        <v>2026</v>
      </c>
      <c r="J4144">
        <v>5</v>
      </c>
      <c r="K4144" t="s">
        <v>87</v>
      </c>
      <c r="L4144" t="s">
        <v>7</v>
      </c>
      <c r="M4144" t="s">
        <v>63</v>
      </c>
      <c r="N4144" t="b">
        <v>0</v>
      </c>
      <c r="O4144">
        <v>0</v>
      </c>
      <c r="P4144">
        <v>0</v>
      </c>
      <c r="Q4144">
        <v>1</v>
      </c>
      <c r="R4144">
        <v>0</v>
      </c>
    </row>
    <row r="4145" spans="1:18" x14ac:dyDescent="0.25">
      <c r="A4145" t="s">
        <v>436</v>
      </c>
      <c r="B4145" t="s">
        <v>63</v>
      </c>
      <c r="C4145">
        <v>2</v>
      </c>
      <c r="D4145">
        <v>3</v>
      </c>
      <c r="E4145">
        <v>1</v>
      </c>
      <c r="F4145" s="15">
        <v>46146</v>
      </c>
      <c r="G4145" t="s">
        <v>513</v>
      </c>
      <c r="H4145">
        <v>3</v>
      </c>
      <c r="I4145">
        <v>2026</v>
      </c>
      <c r="J4145">
        <v>5</v>
      </c>
      <c r="K4145" t="s">
        <v>87</v>
      </c>
      <c r="L4145" t="s">
        <v>405</v>
      </c>
      <c r="M4145" t="s">
        <v>63</v>
      </c>
      <c r="N4145" t="b">
        <v>0</v>
      </c>
      <c r="O4145">
        <v>0</v>
      </c>
      <c r="P4145">
        <v>0</v>
      </c>
      <c r="Q4145">
        <v>1</v>
      </c>
      <c r="R4145">
        <v>0</v>
      </c>
    </row>
    <row r="4146" spans="1:18" x14ac:dyDescent="0.25">
      <c r="A4146" t="s">
        <v>405</v>
      </c>
      <c r="B4146" t="s">
        <v>63</v>
      </c>
      <c r="C4146">
        <v>3</v>
      </c>
      <c r="D4146">
        <v>3</v>
      </c>
      <c r="E4146">
        <v>1</v>
      </c>
      <c r="F4146" s="15">
        <v>46146</v>
      </c>
      <c r="G4146" t="s">
        <v>513</v>
      </c>
      <c r="H4146">
        <v>3</v>
      </c>
      <c r="I4146">
        <v>2026</v>
      </c>
      <c r="J4146">
        <v>5</v>
      </c>
      <c r="K4146" t="s">
        <v>87</v>
      </c>
      <c r="L4146" t="s">
        <v>7</v>
      </c>
      <c r="M4146" t="s">
        <v>63</v>
      </c>
      <c r="N4146" t="b">
        <v>0</v>
      </c>
      <c r="O4146">
        <v>0</v>
      </c>
      <c r="P4146">
        <v>0</v>
      </c>
      <c r="Q4146">
        <v>1</v>
      </c>
      <c r="R4146">
        <v>0</v>
      </c>
    </row>
    <row r="4147" spans="1:18" x14ac:dyDescent="0.25">
      <c r="A4147" t="s">
        <v>405</v>
      </c>
      <c r="B4147" t="s">
        <v>63</v>
      </c>
      <c r="C4147">
        <v>3</v>
      </c>
      <c r="D4147">
        <v>3</v>
      </c>
      <c r="E4147">
        <v>1</v>
      </c>
      <c r="F4147" s="15">
        <v>46146</v>
      </c>
      <c r="G4147" t="s">
        <v>513</v>
      </c>
      <c r="H4147">
        <v>3</v>
      </c>
      <c r="I4147">
        <v>2026</v>
      </c>
      <c r="J4147">
        <v>5</v>
      </c>
      <c r="K4147" t="s">
        <v>87</v>
      </c>
      <c r="L4147" t="s">
        <v>436</v>
      </c>
      <c r="M4147" t="s">
        <v>63</v>
      </c>
      <c r="N4147" t="b">
        <v>0</v>
      </c>
      <c r="O4147">
        <v>0</v>
      </c>
      <c r="P4147">
        <v>0</v>
      </c>
      <c r="Q4147">
        <v>1</v>
      </c>
      <c r="R4147">
        <v>0</v>
      </c>
    </row>
    <row r="4148" spans="1:18" x14ac:dyDescent="0.25">
      <c r="A4148" t="s">
        <v>351</v>
      </c>
      <c r="B4148" t="s">
        <v>6</v>
      </c>
      <c r="C4148">
        <v>1</v>
      </c>
      <c r="D4148">
        <v>4</v>
      </c>
      <c r="E4148">
        <v>1</v>
      </c>
      <c r="F4148" s="15">
        <v>46146</v>
      </c>
      <c r="G4148" t="s">
        <v>514</v>
      </c>
      <c r="H4148">
        <v>3</v>
      </c>
      <c r="I4148">
        <v>2026</v>
      </c>
      <c r="J4148">
        <v>5</v>
      </c>
      <c r="K4148" t="s">
        <v>87</v>
      </c>
      <c r="L4148" t="s">
        <v>10</v>
      </c>
      <c r="M4148" t="s">
        <v>6</v>
      </c>
      <c r="N4148" t="b">
        <v>0</v>
      </c>
      <c r="O4148">
        <v>0</v>
      </c>
      <c r="P4148">
        <v>1</v>
      </c>
      <c r="Q4148">
        <v>0</v>
      </c>
      <c r="R4148">
        <v>0</v>
      </c>
    </row>
    <row r="4149" spans="1:18" x14ac:dyDescent="0.25">
      <c r="A4149" t="s">
        <v>351</v>
      </c>
      <c r="B4149" t="s">
        <v>6</v>
      </c>
      <c r="C4149">
        <v>1</v>
      </c>
      <c r="D4149">
        <v>4</v>
      </c>
      <c r="E4149">
        <v>1</v>
      </c>
      <c r="F4149" s="15">
        <v>46146</v>
      </c>
      <c r="G4149" t="s">
        <v>514</v>
      </c>
      <c r="H4149">
        <v>3</v>
      </c>
      <c r="I4149">
        <v>2026</v>
      </c>
      <c r="J4149">
        <v>5</v>
      </c>
      <c r="K4149" t="s">
        <v>87</v>
      </c>
      <c r="L4149" t="s">
        <v>13</v>
      </c>
      <c r="M4149" t="s">
        <v>8</v>
      </c>
      <c r="N4149" t="b">
        <v>0</v>
      </c>
      <c r="O4149">
        <v>0</v>
      </c>
      <c r="P4149">
        <v>1</v>
      </c>
      <c r="Q4149">
        <v>0</v>
      </c>
      <c r="R4149">
        <v>1</v>
      </c>
    </row>
    <row r="4150" spans="1:18" x14ac:dyDescent="0.25">
      <c r="A4150" t="s">
        <v>10</v>
      </c>
      <c r="B4150" t="s">
        <v>6</v>
      </c>
      <c r="C4150">
        <v>2</v>
      </c>
      <c r="D4150">
        <v>4</v>
      </c>
      <c r="E4150">
        <v>1</v>
      </c>
      <c r="F4150" s="15">
        <v>46146</v>
      </c>
      <c r="G4150" t="s">
        <v>514</v>
      </c>
      <c r="H4150">
        <v>3</v>
      </c>
      <c r="I4150">
        <v>2026</v>
      </c>
      <c r="J4150">
        <v>5</v>
      </c>
      <c r="K4150" t="s">
        <v>87</v>
      </c>
      <c r="L4150" t="s">
        <v>351</v>
      </c>
      <c r="M4150" t="s">
        <v>6</v>
      </c>
      <c r="N4150" t="b">
        <v>0</v>
      </c>
      <c r="O4150">
        <v>0</v>
      </c>
      <c r="P4150">
        <v>1</v>
      </c>
      <c r="Q4150">
        <v>0</v>
      </c>
      <c r="R4150">
        <v>0</v>
      </c>
    </row>
    <row r="4151" spans="1:18" x14ac:dyDescent="0.25">
      <c r="A4151" t="s">
        <v>10</v>
      </c>
      <c r="B4151" t="s">
        <v>6</v>
      </c>
      <c r="C4151">
        <v>2</v>
      </c>
      <c r="D4151">
        <v>4</v>
      </c>
      <c r="E4151">
        <v>1</v>
      </c>
      <c r="F4151" s="15">
        <v>46146</v>
      </c>
      <c r="G4151" t="s">
        <v>514</v>
      </c>
      <c r="H4151">
        <v>3</v>
      </c>
      <c r="I4151">
        <v>2026</v>
      </c>
      <c r="J4151">
        <v>5</v>
      </c>
      <c r="K4151" t="s">
        <v>87</v>
      </c>
      <c r="L4151" t="s">
        <v>13</v>
      </c>
      <c r="M4151" t="s">
        <v>8</v>
      </c>
      <c r="N4151" t="b">
        <v>0</v>
      </c>
      <c r="O4151">
        <v>0</v>
      </c>
      <c r="P4151">
        <v>1</v>
      </c>
      <c r="Q4151">
        <v>0</v>
      </c>
      <c r="R4151">
        <v>1</v>
      </c>
    </row>
    <row r="4152" spans="1:18" x14ac:dyDescent="0.25">
      <c r="A4152" t="s">
        <v>13</v>
      </c>
      <c r="B4152" t="s">
        <v>8</v>
      </c>
      <c r="C4152">
        <v>3</v>
      </c>
      <c r="D4152">
        <v>4</v>
      </c>
      <c r="E4152">
        <v>1</v>
      </c>
      <c r="F4152" s="15">
        <v>46146</v>
      </c>
      <c r="G4152" t="s">
        <v>514</v>
      </c>
      <c r="H4152">
        <v>3</v>
      </c>
      <c r="I4152">
        <v>2026</v>
      </c>
      <c r="J4152">
        <v>5</v>
      </c>
      <c r="K4152" t="s">
        <v>87</v>
      </c>
      <c r="L4152" t="s">
        <v>351</v>
      </c>
      <c r="M4152" t="s">
        <v>6</v>
      </c>
      <c r="N4152" t="b">
        <v>0</v>
      </c>
      <c r="O4152">
        <v>1</v>
      </c>
      <c r="P4152">
        <v>0</v>
      </c>
      <c r="Q4152">
        <v>0</v>
      </c>
      <c r="R4152">
        <v>0</v>
      </c>
    </row>
    <row r="4153" spans="1:18" x14ac:dyDescent="0.25">
      <c r="A4153" t="s">
        <v>13</v>
      </c>
      <c r="B4153" t="s">
        <v>8</v>
      </c>
      <c r="C4153">
        <v>3</v>
      </c>
      <c r="D4153">
        <v>4</v>
      </c>
      <c r="E4153">
        <v>1</v>
      </c>
      <c r="F4153" s="15">
        <v>46146</v>
      </c>
      <c r="G4153" t="s">
        <v>514</v>
      </c>
      <c r="H4153">
        <v>3</v>
      </c>
      <c r="I4153">
        <v>2026</v>
      </c>
      <c r="J4153">
        <v>5</v>
      </c>
      <c r="K4153" t="s">
        <v>87</v>
      </c>
      <c r="L4153" t="s">
        <v>10</v>
      </c>
      <c r="M4153" t="s">
        <v>6</v>
      </c>
      <c r="N4153" t="b">
        <v>0</v>
      </c>
      <c r="O4153">
        <v>1</v>
      </c>
      <c r="P4153">
        <v>0</v>
      </c>
      <c r="Q4153">
        <v>0</v>
      </c>
      <c r="R4153">
        <v>0</v>
      </c>
    </row>
    <row r="4154" spans="1:18" x14ac:dyDescent="0.25">
      <c r="A4154" t="s">
        <v>7</v>
      </c>
      <c r="B4154" t="s">
        <v>63</v>
      </c>
      <c r="C4154">
        <v>1</v>
      </c>
      <c r="D4154">
        <v>1</v>
      </c>
      <c r="E4154">
        <v>2</v>
      </c>
      <c r="F4154" s="15">
        <v>46146</v>
      </c>
      <c r="G4154" t="s">
        <v>515</v>
      </c>
      <c r="H4154">
        <v>4</v>
      </c>
      <c r="I4154">
        <v>2026</v>
      </c>
      <c r="J4154">
        <v>5</v>
      </c>
      <c r="K4154" t="s">
        <v>87</v>
      </c>
      <c r="L4154" t="s">
        <v>14</v>
      </c>
      <c r="M4154" t="s">
        <v>63</v>
      </c>
      <c r="N4154" t="b">
        <v>0</v>
      </c>
      <c r="O4154">
        <v>0</v>
      </c>
      <c r="P4154">
        <v>0</v>
      </c>
      <c r="Q4154">
        <v>1</v>
      </c>
      <c r="R4154">
        <v>0</v>
      </c>
    </row>
    <row r="4155" spans="1:18" x14ac:dyDescent="0.25">
      <c r="A4155" t="s">
        <v>7</v>
      </c>
      <c r="B4155" t="s">
        <v>63</v>
      </c>
      <c r="C4155">
        <v>1</v>
      </c>
      <c r="D4155">
        <v>1</v>
      </c>
      <c r="E4155">
        <v>2</v>
      </c>
      <c r="F4155" s="15">
        <v>46146</v>
      </c>
      <c r="G4155" t="s">
        <v>515</v>
      </c>
      <c r="H4155">
        <v>4</v>
      </c>
      <c r="I4155">
        <v>2026</v>
      </c>
      <c r="J4155">
        <v>5</v>
      </c>
      <c r="K4155" t="s">
        <v>87</v>
      </c>
      <c r="L4155" t="s">
        <v>13</v>
      </c>
      <c r="M4155" t="s">
        <v>63</v>
      </c>
      <c r="N4155" t="b">
        <v>0</v>
      </c>
      <c r="O4155">
        <v>0</v>
      </c>
      <c r="P4155">
        <v>0</v>
      </c>
      <c r="Q4155">
        <v>1</v>
      </c>
      <c r="R4155">
        <v>0</v>
      </c>
    </row>
    <row r="4156" spans="1:18" x14ac:dyDescent="0.25">
      <c r="A4156" t="s">
        <v>7</v>
      </c>
      <c r="B4156" t="s">
        <v>63</v>
      </c>
      <c r="C4156">
        <v>1</v>
      </c>
      <c r="D4156">
        <v>1</v>
      </c>
      <c r="E4156">
        <v>2</v>
      </c>
      <c r="F4156" s="15">
        <v>46146</v>
      </c>
      <c r="G4156" t="s">
        <v>515</v>
      </c>
      <c r="H4156">
        <v>4</v>
      </c>
      <c r="I4156">
        <v>2026</v>
      </c>
      <c r="J4156">
        <v>5</v>
      </c>
      <c r="K4156" t="s">
        <v>87</v>
      </c>
      <c r="L4156" t="s">
        <v>352</v>
      </c>
      <c r="M4156" t="s">
        <v>63</v>
      </c>
      <c r="N4156" t="b">
        <v>0</v>
      </c>
      <c r="O4156">
        <v>0</v>
      </c>
      <c r="P4156">
        <v>0</v>
      </c>
      <c r="Q4156">
        <v>1</v>
      </c>
      <c r="R4156">
        <v>0</v>
      </c>
    </row>
    <row r="4157" spans="1:18" x14ac:dyDescent="0.25">
      <c r="A4157" t="s">
        <v>14</v>
      </c>
      <c r="B4157" t="s">
        <v>63</v>
      </c>
      <c r="C4157">
        <v>2</v>
      </c>
      <c r="D4157">
        <v>1</v>
      </c>
      <c r="E4157">
        <v>2</v>
      </c>
      <c r="F4157" s="15">
        <v>46146</v>
      </c>
      <c r="G4157" t="s">
        <v>515</v>
      </c>
      <c r="H4157">
        <v>4</v>
      </c>
      <c r="I4157">
        <v>2026</v>
      </c>
      <c r="J4157">
        <v>5</v>
      </c>
      <c r="K4157" t="s">
        <v>87</v>
      </c>
      <c r="L4157" t="s">
        <v>7</v>
      </c>
      <c r="M4157" t="s">
        <v>63</v>
      </c>
      <c r="N4157" t="b">
        <v>0</v>
      </c>
      <c r="O4157">
        <v>0</v>
      </c>
      <c r="P4157">
        <v>0</v>
      </c>
      <c r="Q4157">
        <v>1</v>
      </c>
      <c r="R4157">
        <v>0</v>
      </c>
    </row>
    <row r="4158" spans="1:18" x14ac:dyDescent="0.25">
      <c r="A4158" t="s">
        <v>14</v>
      </c>
      <c r="B4158" t="s">
        <v>63</v>
      </c>
      <c r="C4158">
        <v>2</v>
      </c>
      <c r="D4158">
        <v>1</v>
      </c>
      <c r="E4158">
        <v>2</v>
      </c>
      <c r="F4158" s="15">
        <v>46146</v>
      </c>
      <c r="G4158" t="s">
        <v>515</v>
      </c>
      <c r="H4158">
        <v>4</v>
      </c>
      <c r="I4158">
        <v>2026</v>
      </c>
      <c r="J4158">
        <v>5</v>
      </c>
      <c r="K4158" t="s">
        <v>87</v>
      </c>
      <c r="L4158" t="s">
        <v>13</v>
      </c>
      <c r="M4158" t="s">
        <v>63</v>
      </c>
      <c r="N4158" t="b">
        <v>0</v>
      </c>
      <c r="O4158">
        <v>0</v>
      </c>
      <c r="P4158">
        <v>0</v>
      </c>
      <c r="Q4158">
        <v>1</v>
      </c>
      <c r="R4158">
        <v>0</v>
      </c>
    </row>
    <row r="4159" spans="1:18" x14ac:dyDescent="0.25">
      <c r="A4159" t="s">
        <v>14</v>
      </c>
      <c r="B4159" t="s">
        <v>63</v>
      </c>
      <c r="C4159">
        <v>2</v>
      </c>
      <c r="D4159">
        <v>1</v>
      </c>
      <c r="E4159">
        <v>2</v>
      </c>
      <c r="F4159" s="15">
        <v>46146</v>
      </c>
      <c r="G4159" t="s">
        <v>515</v>
      </c>
      <c r="H4159">
        <v>4</v>
      </c>
      <c r="I4159">
        <v>2026</v>
      </c>
      <c r="J4159">
        <v>5</v>
      </c>
      <c r="K4159" t="s">
        <v>87</v>
      </c>
      <c r="L4159" t="s">
        <v>352</v>
      </c>
      <c r="M4159" t="s">
        <v>63</v>
      </c>
      <c r="N4159" t="b">
        <v>0</v>
      </c>
      <c r="O4159">
        <v>0</v>
      </c>
      <c r="P4159">
        <v>0</v>
      </c>
      <c r="Q4159">
        <v>1</v>
      </c>
      <c r="R4159">
        <v>0</v>
      </c>
    </row>
    <row r="4160" spans="1:18" x14ac:dyDescent="0.25">
      <c r="A4160" t="s">
        <v>13</v>
      </c>
      <c r="B4160" t="s">
        <v>63</v>
      </c>
      <c r="C4160">
        <v>3</v>
      </c>
      <c r="D4160">
        <v>1</v>
      </c>
      <c r="E4160">
        <v>2</v>
      </c>
      <c r="F4160" s="15">
        <v>46146</v>
      </c>
      <c r="G4160" t="s">
        <v>515</v>
      </c>
      <c r="H4160">
        <v>4</v>
      </c>
      <c r="I4160">
        <v>2026</v>
      </c>
      <c r="J4160">
        <v>5</v>
      </c>
      <c r="K4160" t="s">
        <v>87</v>
      </c>
      <c r="L4160" t="s">
        <v>7</v>
      </c>
      <c r="M4160" t="s">
        <v>63</v>
      </c>
      <c r="N4160" t="b">
        <v>0</v>
      </c>
      <c r="O4160">
        <v>0</v>
      </c>
      <c r="P4160">
        <v>0</v>
      </c>
      <c r="Q4160">
        <v>1</v>
      </c>
      <c r="R4160">
        <v>0</v>
      </c>
    </row>
    <row r="4161" spans="1:18" x14ac:dyDescent="0.25">
      <c r="A4161" t="s">
        <v>13</v>
      </c>
      <c r="B4161" t="s">
        <v>63</v>
      </c>
      <c r="C4161">
        <v>3</v>
      </c>
      <c r="D4161">
        <v>1</v>
      </c>
      <c r="E4161">
        <v>2</v>
      </c>
      <c r="F4161" s="15">
        <v>46146</v>
      </c>
      <c r="G4161" t="s">
        <v>515</v>
      </c>
      <c r="H4161">
        <v>4</v>
      </c>
      <c r="I4161">
        <v>2026</v>
      </c>
      <c r="J4161">
        <v>5</v>
      </c>
      <c r="K4161" t="s">
        <v>87</v>
      </c>
      <c r="L4161" t="s">
        <v>14</v>
      </c>
      <c r="M4161" t="s">
        <v>63</v>
      </c>
      <c r="N4161" t="b">
        <v>0</v>
      </c>
      <c r="O4161">
        <v>0</v>
      </c>
      <c r="P4161">
        <v>0</v>
      </c>
      <c r="Q4161">
        <v>1</v>
      </c>
      <c r="R4161">
        <v>0</v>
      </c>
    </row>
    <row r="4162" spans="1:18" x14ac:dyDescent="0.25">
      <c r="A4162" t="s">
        <v>13</v>
      </c>
      <c r="B4162" t="s">
        <v>63</v>
      </c>
      <c r="C4162">
        <v>3</v>
      </c>
      <c r="D4162">
        <v>1</v>
      </c>
      <c r="E4162">
        <v>2</v>
      </c>
      <c r="F4162" s="15">
        <v>46146</v>
      </c>
      <c r="G4162" t="s">
        <v>515</v>
      </c>
      <c r="H4162">
        <v>4</v>
      </c>
      <c r="I4162">
        <v>2026</v>
      </c>
      <c r="J4162">
        <v>5</v>
      </c>
      <c r="K4162" t="s">
        <v>87</v>
      </c>
      <c r="L4162" t="s">
        <v>352</v>
      </c>
      <c r="M4162" t="s">
        <v>63</v>
      </c>
      <c r="N4162" t="b">
        <v>0</v>
      </c>
      <c r="O4162">
        <v>0</v>
      </c>
      <c r="P4162">
        <v>0</v>
      </c>
      <c r="Q4162">
        <v>1</v>
      </c>
      <c r="R4162">
        <v>0</v>
      </c>
    </row>
    <row r="4163" spans="1:18" x14ac:dyDescent="0.25">
      <c r="A4163" t="s">
        <v>352</v>
      </c>
      <c r="B4163" t="s">
        <v>63</v>
      </c>
      <c r="C4163">
        <v>4</v>
      </c>
      <c r="D4163">
        <v>1</v>
      </c>
      <c r="E4163">
        <v>2</v>
      </c>
      <c r="F4163" s="15">
        <v>46146</v>
      </c>
      <c r="G4163" t="s">
        <v>515</v>
      </c>
      <c r="H4163">
        <v>4</v>
      </c>
      <c r="I4163">
        <v>2026</v>
      </c>
      <c r="J4163">
        <v>5</v>
      </c>
      <c r="K4163" t="s">
        <v>87</v>
      </c>
      <c r="L4163" t="s">
        <v>7</v>
      </c>
      <c r="M4163" t="s">
        <v>63</v>
      </c>
      <c r="N4163" t="b">
        <v>0</v>
      </c>
      <c r="O4163">
        <v>0</v>
      </c>
      <c r="P4163">
        <v>0</v>
      </c>
      <c r="Q4163">
        <v>1</v>
      </c>
      <c r="R4163">
        <v>0</v>
      </c>
    </row>
    <row r="4164" spans="1:18" x14ac:dyDescent="0.25">
      <c r="A4164" t="s">
        <v>352</v>
      </c>
      <c r="B4164" t="s">
        <v>63</v>
      </c>
      <c r="C4164">
        <v>4</v>
      </c>
      <c r="D4164">
        <v>1</v>
      </c>
      <c r="E4164">
        <v>2</v>
      </c>
      <c r="F4164" s="15">
        <v>46146</v>
      </c>
      <c r="G4164" t="s">
        <v>515</v>
      </c>
      <c r="H4164">
        <v>4</v>
      </c>
      <c r="I4164">
        <v>2026</v>
      </c>
      <c r="J4164">
        <v>5</v>
      </c>
      <c r="K4164" t="s">
        <v>87</v>
      </c>
      <c r="L4164" t="s">
        <v>14</v>
      </c>
      <c r="M4164" t="s">
        <v>63</v>
      </c>
      <c r="N4164" t="b">
        <v>0</v>
      </c>
      <c r="O4164">
        <v>0</v>
      </c>
      <c r="P4164">
        <v>0</v>
      </c>
      <c r="Q4164">
        <v>1</v>
      </c>
      <c r="R4164">
        <v>0</v>
      </c>
    </row>
    <row r="4165" spans="1:18" x14ac:dyDescent="0.25">
      <c r="A4165" t="s">
        <v>352</v>
      </c>
      <c r="B4165" t="s">
        <v>63</v>
      </c>
      <c r="C4165">
        <v>4</v>
      </c>
      <c r="D4165">
        <v>1</v>
      </c>
      <c r="E4165">
        <v>2</v>
      </c>
      <c r="F4165" s="15">
        <v>46146</v>
      </c>
      <c r="G4165" t="s">
        <v>515</v>
      </c>
      <c r="H4165">
        <v>4</v>
      </c>
      <c r="I4165">
        <v>2026</v>
      </c>
      <c r="J4165">
        <v>5</v>
      </c>
      <c r="K4165" t="s">
        <v>87</v>
      </c>
      <c r="L4165" t="s">
        <v>13</v>
      </c>
      <c r="M4165" t="s">
        <v>63</v>
      </c>
      <c r="N4165" t="b">
        <v>0</v>
      </c>
      <c r="O4165">
        <v>0</v>
      </c>
      <c r="P4165">
        <v>0</v>
      </c>
      <c r="Q4165">
        <v>1</v>
      </c>
      <c r="R4165">
        <v>0</v>
      </c>
    </row>
    <row r="4166" spans="1:18" x14ac:dyDescent="0.25">
      <c r="A4166" t="s">
        <v>405</v>
      </c>
      <c r="B4166" t="s">
        <v>6</v>
      </c>
      <c r="C4166">
        <v>1</v>
      </c>
      <c r="D4166">
        <v>2</v>
      </c>
      <c r="E4166">
        <v>2</v>
      </c>
      <c r="F4166" s="15">
        <v>46146</v>
      </c>
      <c r="G4166" t="s">
        <v>516</v>
      </c>
      <c r="H4166">
        <v>3</v>
      </c>
      <c r="I4166">
        <v>2026</v>
      </c>
      <c r="J4166">
        <v>5</v>
      </c>
      <c r="K4166" t="s">
        <v>87</v>
      </c>
      <c r="L4166" t="s">
        <v>10</v>
      </c>
      <c r="M4166" t="s">
        <v>6</v>
      </c>
      <c r="N4166" t="b">
        <v>0</v>
      </c>
      <c r="O4166">
        <v>0</v>
      </c>
      <c r="P4166">
        <v>1</v>
      </c>
      <c r="Q4166">
        <v>0</v>
      </c>
      <c r="R4166">
        <v>0</v>
      </c>
    </row>
    <row r="4167" spans="1:18" x14ac:dyDescent="0.25">
      <c r="A4167" t="s">
        <v>405</v>
      </c>
      <c r="B4167" t="s">
        <v>6</v>
      </c>
      <c r="C4167">
        <v>1</v>
      </c>
      <c r="D4167">
        <v>2</v>
      </c>
      <c r="E4167">
        <v>2</v>
      </c>
      <c r="F4167" s="15">
        <v>46146</v>
      </c>
      <c r="G4167" t="s">
        <v>516</v>
      </c>
      <c r="H4167">
        <v>3</v>
      </c>
      <c r="I4167">
        <v>2026</v>
      </c>
      <c r="J4167">
        <v>5</v>
      </c>
      <c r="K4167" t="s">
        <v>87</v>
      </c>
      <c r="L4167" t="s">
        <v>41</v>
      </c>
      <c r="M4167" t="s">
        <v>8</v>
      </c>
      <c r="N4167" t="b">
        <v>0</v>
      </c>
      <c r="O4167">
        <v>0</v>
      </c>
      <c r="P4167">
        <v>1</v>
      </c>
      <c r="Q4167">
        <v>0</v>
      </c>
      <c r="R4167">
        <v>1</v>
      </c>
    </row>
    <row r="4168" spans="1:18" x14ac:dyDescent="0.25">
      <c r="A4168" t="s">
        <v>10</v>
      </c>
      <c r="B4168" t="s">
        <v>6</v>
      </c>
      <c r="C4168">
        <v>2</v>
      </c>
      <c r="D4168">
        <v>2</v>
      </c>
      <c r="E4168">
        <v>2</v>
      </c>
      <c r="F4168" s="15">
        <v>46146</v>
      </c>
      <c r="G4168" t="s">
        <v>516</v>
      </c>
      <c r="H4168">
        <v>3</v>
      </c>
      <c r="I4168">
        <v>2026</v>
      </c>
      <c r="J4168">
        <v>5</v>
      </c>
      <c r="K4168" t="s">
        <v>87</v>
      </c>
      <c r="L4168" t="s">
        <v>405</v>
      </c>
      <c r="M4168" t="s">
        <v>6</v>
      </c>
      <c r="N4168" t="b">
        <v>0</v>
      </c>
      <c r="O4168">
        <v>0</v>
      </c>
      <c r="P4168">
        <v>1</v>
      </c>
      <c r="Q4168">
        <v>0</v>
      </c>
      <c r="R4168">
        <v>0</v>
      </c>
    </row>
    <row r="4169" spans="1:18" x14ac:dyDescent="0.25">
      <c r="A4169" t="s">
        <v>10</v>
      </c>
      <c r="B4169" t="s">
        <v>6</v>
      </c>
      <c r="C4169">
        <v>2</v>
      </c>
      <c r="D4169">
        <v>2</v>
      </c>
      <c r="E4169">
        <v>2</v>
      </c>
      <c r="F4169" s="15">
        <v>46146</v>
      </c>
      <c r="G4169" t="s">
        <v>516</v>
      </c>
      <c r="H4169">
        <v>3</v>
      </c>
      <c r="I4169">
        <v>2026</v>
      </c>
      <c r="J4169">
        <v>5</v>
      </c>
      <c r="K4169" t="s">
        <v>87</v>
      </c>
      <c r="L4169" t="s">
        <v>41</v>
      </c>
      <c r="M4169" t="s">
        <v>8</v>
      </c>
      <c r="N4169" t="b">
        <v>0</v>
      </c>
      <c r="O4169">
        <v>0</v>
      </c>
      <c r="P4169">
        <v>1</v>
      </c>
      <c r="Q4169">
        <v>0</v>
      </c>
      <c r="R4169">
        <v>1</v>
      </c>
    </row>
    <row r="4170" spans="1:18" x14ac:dyDescent="0.25">
      <c r="A4170" t="s">
        <v>41</v>
      </c>
      <c r="B4170" t="s">
        <v>8</v>
      </c>
      <c r="C4170">
        <v>3</v>
      </c>
      <c r="D4170">
        <v>2</v>
      </c>
      <c r="E4170">
        <v>2</v>
      </c>
      <c r="F4170" s="15">
        <v>46146</v>
      </c>
      <c r="G4170" t="s">
        <v>516</v>
      </c>
      <c r="H4170">
        <v>3</v>
      </c>
      <c r="I4170">
        <v>2026</v>
      </c>
      <c r="J4170">
        <v>5</v>
      </c>
      <c r="K4170" t="s">
        <v>87</v>
      </c>
      <c r="L4170" t="s">
        <v>405</v>
      </c>
      <c r="M4170" t="s">
        <v>6</v>
      </c>
      <c r="N4170" t="b">
        <v>0</v>
      </c>
      <c r="O4170">
        <v>1</v>
      </c>
      <c r="P4170">
        <v>0</v>
      </c>
      <c r="Q4170">
        <v>0</v>
      </c>
      <c r="R4170">
        <v>0</v>
      </c>
    </row>
    <row r="4171" spans="1:18" x14ac:dyDescent="0.25">
      <c r="A4171" t="s">
        <v>41</v>
      </c>
      <c r="B4171" t="s">
        <v>8</v>
      </c>
      <c r="C4171">
        <v>3</v>
      </c>
      <c r="D4171">
        <v>2</v>
      </c>
      <c r="E4171">
        <v>2</v>
      </c>
      <c r="F4171" s="15">
        <v>46146</v>
      </c>
      <c r="G4171" t="s">
        <v>516</v>
      </c>
      <c r="H4171">
        <v>3</v>
      </c>
      <c r="I4171">
        <v>2026</v>
      </c>
      <c r="J4171">
        <v>5</v>
      </c>
      <c r="K4171" t="s">
        <v>87</v>
      </c>
      <c r="L4171" t="s">
        <v>10</v>
      </c>
      <c r="M4171" t="s">
        <v>6</v>
      </c>
      <c r="N4171" t="b">
        <v>0</v>
      </c>
      <c r="O4171">
        <v>1</v>
      </c>
      <c r="P4171">
        <v>0</v>
      </c>
      <c r="Q4171">
        <v>0</v>
      </c>
      <c r="R4171">
        <v>0</v>
      </c>
    </row>
    <row r="4172" spans="1:18" x14ac:dyDescent="0.25">
      <c r="A4172" t="s">
        <v>9</v>
      </c>
      <c r="B4172" t="s">
        <v>8</v>
      </c>
      <c r="C4172">
        <v>1</v>
      </c>
      <c r="D4172">
        <v>3</v>
      </c>
      <c r="E4172">
        <v>2</v>
      </c>
      <c r="F4172" s="15">
        <v>46146</v>
      </c>
      <c r="G4172" t="s">
        <v>517</v>
      </c>
      <c r="H4172">
        <v>3</v>
      </c>
      <c r="I4172">
        <v>2026</v>
      </c>
      <c r="J4172">
        <v>5</v>
      </c>
      <c r="K4172" t="s">
        <v>87</v>
      </c>
      <c r="L4172" t="s">
        <v>436</v>
      </c>
      <c r="M4172" t="s">
        <v>6</v>
      </c>
      <c r="N4172" t="b">
        <v>0</v>
      </c>
      <c r="O4172">
        <v>1</v>
      </c>
      <c r="P4172">
        <v>0</v>
      </c>
      <c r="Q4172">
        <v>0</v>
      </c>
      <c r="R4172">
        <v>0</v>
      </c>
    </row>
    <row r="4173" spans="1:18" x14ac:dyDescent="0.25">
      <c r="A4173" t="s">
        <v>9</v>
      </c>
      <c r="B4173" t="s">
        <v>8</v>
      </c>
      <c r="C4173">
        <v>1</v>
      </c>
      <c r="D4173">
        <v>3</v>
      </c>
      <c r="E4173">
        <v>2</v>
      </c>
      <c r="F4173" s="15">
        <v>46146</v>
      </c>
      <c r="G4173" t="s">
        <v>517</v>
      </c>
      <c r="H4173">
        <v>3</v>
      </c>
      <c r="I4173">
        <v>2026</v>
      </c>
      <c r="J4173">
        <v>5</v>
      </c>
      <c r="K4173" t="s">
        <v>87</v>
      </c>
      <c r="L4173" t="s">
        <v>52</v>
      </c>
      <c r="M4173" t="s">
        <v>6</v>
      </c>
      <c r="N4173" t="b">
        <v>0</v>
      </c>
      <c r="O4173">
        <v>1</v>
      </c>
      <c r="P4173">
        <v>0</v>
      </c>
      <c r="Q4173">
        <v>0</v>
      </c>
      <c r="R4173">
        <v>0</v>
      </c>
    </row>
    <row r="4174" spans="1:18" x14ac:dyDescent="0.25">
      <c r="A4174" t="s">
        <v>436</v>
      </c>
      <c r="B4174" t="s">
        <v>6</v>
      </c>
      <c r="C4174">
        <v>2</v>
      </c>
      <c r="D4174">
        <v>3</v>
      </c>
      <c r="E4174">
        <v>2</v>
      </c>
      <c r="F4174" s="15">
        <v>46146</v>
      </c>
      <c r="G4174" t="s">
        <v>517</v>
      </c>
      <c r="H4174">
        <v>3</v>
      </c>
      <c r="I4174">
        <v>2026</v>
      </c>
      <c r="J4174">
        <v>5</v>
      </c>
      <c r="K4174" t="s">
        <v>87</v>
      </c>
      <c r="L4174" t="s">
        <v>9</v>
      </c>
      <c r="M4174" t="s">
        <v>8</v>
      </c>
      <c r="N4174" t="b">
        <v>0</v>
      </c>
      <c r="O4174">
        <v>0</v>
      </c>
      <c r="P4174">
        <v>1</v>
      </c>
      <c r="Q4174">
        <v>0</v>
      </c>
      <c r="R4174">
        <v>1</v>
      </c>
    </row>
    <row r="4175" spans="1:18" x14ac:dyDescent="0.25">
      <c r="A4175" t="s">
        <v>436</v>
      </c>
      <c r="B4175" t="s">
        <v>6</v>
      </c>
      <c r="C4175">
        <v>2</v>
      </c>
      <c r="D4175">
        <v>3</v>
      </c>
      <c r="E4175">
        <v>2</v>
      </c>
      <c r="F4175" s="15">
        <v>46146</v>
      </c>
      <c r="G4175" t="s">
        <v>517</v>
      </c>
      <c r="H4175">
        <v>3</v>
      </c>
      <c r="I4175">
        <v>2026</v>
      </c>
      <c r="J4175">
        <v>5</v>
      </c>
      <c r="K4175" t="s">
        <v>87</v>
      </c>
      <c r="L4175" t="s">
        <v>52</v>
      </c>
      <c r="M4175" t="s">
        <v>6</v>
      </c>
      <c r="N4175" t="b">
        <v>0</v>
      </c>
      <c r="O4175">
        <v>0</v>
      </c>
      <c r="P4175">
        <v>1</v>
      </c>
      <c r="Q4175">
        <v>0</v>
      </c>
      <c r="R4175">
        <v>0</v>
      </c>
    </row>
    <row r="4176" spans="1:18" x14ac:dyDescent="0.25">
      <c r="A4176" t="s">
        <v>52</v>
      </c>
      <c r="B4176" t="s">
        <v>6</v>
      </c>
      <c r="C4176">
        <v>3</v>
      </c>
      <c r="D4176">
        <v>3</v>
      </c>
      <c r="E4176">
        <v>2</v>
      </c>
      <c r="F4176" s="15">
        <v>46146</v>
      </c>
      <c r="G4176" t="s">
        <v>517</v>
      </c>
      <c r="H4176">
        <v>3</v>
      </c>
      <c r="I4176">
        <v>2026</v>
      </c>
      <c r="J4176">
        <v>5</v>
      </c>
      <c r="K4176" t="s">
        <v>87</v>
      </c>
      <c r="L4176" t="s">
        <v>9</v>
      </c>
      <c r="M4176" t="s">
        <v>8</v>
      </c>
      <c r="N4176" t="b">
        <v>0</v>
      </c>
      <c r="O4176">
        <v>0</v>
      </c>
      <c r="P4176">
        <v>1</v>
      </c>
      <c r="Q4176">
        <v>0</v>
      </c>
      <c r="R4176">
        <v>1</v>
      </c>
    </row>
    <row r="4177" spans="1:18" x14ac:dyDescent="0.25">
      <c r="A4177" t="s">
        <v>52</v>
      </c>
      <c r="B4177" t="s">
        <v>6</v>
      </c>
      <c r="C4177">
        <v>3</v>
      </c>
      <c r="D4177">
        <v>3</v>
      </c>
      <c r="E4177">
        <v>2</v>
      </c>
      <c r="F4177" s="15">
        <v>46146</v>
      </c>
      <c r="G4177" t="s">
        <v>517</v>
      </c>
      <c r="H4177">
        <v>3</v>
      </c>
      <c r="I4177">
        <v>2026</v>
      </c>
      <c r="J4177">
        <v>5</v>
      </c>
      <c r="K4177" t="s">
        <v>87</v>
      </c>
      <c r="L4177" t="s">
        <v>436</v>
      </c>
      <c r="M4177" t="s">
        <v>6</v>
      </c>
      <c r="N4177" t="b">
        <v>0</v>
      </c>
      <c r="O4177">
        <v>0</v>
      </c>
      <c r="P4177">
        <v>1</v>
      </c>
      <c r="Q4177">
        <v>0</v>
      </c>
      <c r="R4177">
        <v>0</v>
      </c>
    </row>
    <row r="4178" spans="1:18" x14ac:dyDescent="0.25">
      <c r="A4178" t="s">
        <v>51</v>
      </c>
      <c r="B4178" t="s">
        <v>6</v>
      </c>
      <c r="C4178">
        <v>1</v>
      </c>
      <c r="D4178">
        <v>4</v>
      </c>
      <c r="E4178">
        <v>2</v>
      </c>
      <c r="F4178" s="15">
        <v>46146</v>
      </c>
      <c r="G4178" t="s">
        <v>518</v>
      </c>
      <c r="H4178">
        <v>3</v>
      </c>
      <c r="I4178">
        <v>2026</v>
      </c>
      <c r="J4178">
        <v>5</v>
      </c>
      <c r="K4178" t="s">
        <v>87</v>
      </c>
      <c r="L4178" t="s">
        <v>351</v>
      </c>
      <c r="M4178" t="s">
        <v>8</v>
      </c>
      <c r="N4178" t="b">
        <v>0</v>
      </c>
      <c r="O4178">
        <v>0</v>
      </c>
      <c r="P4178">
        <v>1</v>
      </c>
      <c r="Q4178">
        <v>0</v>
      </c>
      <c r="R4178">
        <v>1</v>
      </c>
    </row>
    <row r="4179" spans="1:18" x14ac:dyDescent="0.25">
      <c r="A4179" t="s">
        <v>51</v>
      </c>
      <c r="B4179" t="s">
        <v>6</v>
      </c>
      <c r="C4179">
        <v>1</v>
      </c>
      <c r="D4179">
        <v>4</v>
      </c>
      <c r="E4179">
        <v>2</v>
      </c>
      <c r="F4179" s="15">
        <v>46146</v>
      </c>
      <c r="G4179" t="s">
        <v>518</v>
      </c>
      <c r="H4179">
        <v>3</v>
      </c>
      <c r="I4179">
        <v>2026</v>
      </c>
      <c r="J4179">
        <v>5</v>
      </c>
      <c r="K4179" t="s">
        <v>87</v>
      </c>
      <c r="L4179" t="s">
        <v>363</v>
      </c>
      <c r="M4179" t="s">
        <v>6</v>
      </c>
      <c r="N4179" t="b">
        <v>0</v>
      </c>
      <c r="O4179">
        <v>0</v>
      </c>
      <c r="P4179">
        <v>1</v>
      </c>
      <c r="Q4179">
        <v>0</v>
      </c>
      <c r="R4179">
        <v>0</v>
      </c>
    </row>
    <row r="4180" spans="1:18" x14ac:dyDescent="0.25">
      <c r="A4180" t="s">
        <v>351</v>
      </c>
      <c r="B4180" t="s">
        <v>8</v>
      </c>
      <c r="C4180">
        <v>2</v>
      </c>
      <c r="D4180">
        <v>4</v>
      </c>
      <c r="E4180">
        <v>2</v>
      </c>
      <c r="F4180" s="15">
        <v>46146</v>
      </c>
      <c r="G4180" t="s">
        <v>518</v>
      </c>
      <c r="H4180">
        <v>3</v>
      </c>
      <c r="I4180">
        <v>2026</v>
      </c>
      <c r="J4180">
        <v>5</v>
      </c>
      <c r="K4180" t="s">
        <v>87</v>
      </c>
      <c r="L4180" t="s">
        <v>51</v>
      </c>
      <c r="M4180" t="s">
        <v>6</v>
      </c>
      <c r="N4180" t="b">
        <v>0</v>
      </c>
      <c r="O4180">
        <v>1</v>
      </c>
      <c r="P4180">
        <v>0</v>
      </c>
      <c r="Q4180">
        <v>0</v>
      </c>
      <c r="R4180">
        <v>0</v>
      </c>
    </row>
    <row r="4181" spans="1:18" x14ac:dyDescent="0.25">
      <c r="A4181" t="s">
        <v>351</v>
      </c>
      <c r="B4181" t="s">
        <v>8</v>
      </c>
      <c r="C4181">
        <v>2</v>
      </c>
      <c r="D4181">
        <v>4</v>
      </c>
      <c r="E4181">
        <v>2</v>
      </c>
      <c r="F4181" s="15">
        <v>46146</v>
      </c>
      <c r="G4181" t="s">
        <v>518</v>
      </c>
      <c r="H4181">
        <v>3</v>
      </c>
      <c r="I4181">
        <v>2026</v>
      </c>
      <c r="J4181">
        <v>5</v>
      </c>
      <c r="K4181" t="s">
        <v>87</v>
      </c>
      <c r="L4181" t="s">
        <v>363</v>
      </c>
      <c r="M4181" t="s">
        <v>6</v>
      </c>
      <c r="N4181" t="b">
        <v>0</v>
      </c>
      <c r="O4181">
        <v>1</v>
      </c>
      <c r="P4181">
        <v>0</v>
      </c>
      <c r="Q4181">
        <v>0</v>
      </c>
      <c r="R4181">
        <v>0</v>
      </c>
    </row>
    <row r="4182" spans="1:18" x14ac:dyDescent="0.25">
      <c r="A4182" t="s">
        <v>363</v>
      </c>
      <c r="B4182" t="s">
        <v>6</v>
      </c>
      <c r="C4182">
        <v>3</v>
      </c>
      <c r="D4182">
        <v>4</v>
      </c>
      <c r="E4182">
        <v>2</v>
      </c>
      <c r="F4182" s="15">
        <v>46146</v>
      </c>
      <c r="G4182" t="s">
        <v>518</v>
      </c>
      <c r="H4182">
        <v>3</v>
      </c>
      <c r="I4182">
        <v>2026</v>
      </c>
      <c r="J4182">
        <v>5</v>
      </c>
      <c r="K4182" t="s">
        <v>87</v>
      </c>
      <c r="L4182" t="s">
        <v>51</v>
      </c>
      <c r="M4182" t="s">
        <v>6</v>
      </c>
      <c r="N4182" t="b">
        <v>0</v>
      </c>
      <c r="O4182">
        <v>0</v>
      </c>
      <c r="P4182">
        <v>1</v>
      </c>
      <c r="Q4182">
        <v>0</v>
      </c>
      <c r="R4182">
        <v>0</v>
      </c>
    </row>
    <row r="4183" spans="1:18" x14ac:dyDescent="0.25">
      <c r="A4183" t="s">
        <v>363</v>
      </c>
      <c r="B4183" t="s">
        <v>6</v>
      </c>
      <c r="C4183">
        <v>3</v>
      </c>
      <c r="D4183">
        <v>4</v>
      </c>
      <c r="E4183">
        <v>2</v>
      </c>
      <c r="F4183" s="15">
        <v>46146</v>
      </c>
      <c r="G4183" t="s">
        <v>518</v>
      </c>
      <c r="H4183">
        <v>3</v>
      </c>
      <c r="I4183">
        <v>2026</v>
      </c>
      <c r="J4183">
        <v>5</v>
      </c>
      <c r="K4183" t="s">
        <v>87</v>
      </c>
      <c r="L4183" t="s">
        <v>351</v>
      </c>
      <c r="M4183" t="s">
        <v>8</v>
      </c>
      <c r="N4183" t="b">
        <v>0</v>
      </c>
      <c r="O4183">
        <v>0</v>
      </c>
      <c r="P4183">
        <v>1</v>
      </c>
      <c r="Q4183">
        <v>0</v>
      </c>
      <c r="R4183">
        <v>1</v>
      </c>
    </row>
    <row r="4184" spans="1:18" x14ac:dyDescent="0.25">
      <c r="A4184" t="s">
        <v>20</v>
      </c>
      <c r="B4184" t="s">
        <v>63</v>
      </c>
      <c r="C4184">
        <v>1</v>
      </c>
      <c r="D4184">
        <v>1</v>
      </c>
      <c r="E4184">
        <v>1</v>
      </c>
      <c r="F4184" s="15">
        <v>46153</v>
      </c>
      <c r="G4184" t="s">
        <v>520</v>
      </c>
      <c r="H4184">
        <v>4</v>
      </c>
      <c r="I4184">
        <v>2026</v>
      </c>
      <c r="J4184">
        <v>5</v>
      </c>
      <c r="K4184" t="s">
        <v>87</v>
      </c>
      <c r="L4184" t="s">
        <v>7</v>
      </c>
      <c r="M4184" t="s">
        <v>63</v>
      </c>
      <c r="N4184" t="b">
        <v>0</v>
      </c>
      <c r="O4184">
        <v>0</v>
      </c>
      <c r="P4184">
        <v>0</v>
      </c>
      <c r="Q4184">
        <v>1</v>
      </c>
      <c r="R4184">
        <v>0</v>
      </c>
    </row>
    <row r="4185" spans="1:18" x14ac:dyDescent="0.25">
      <c r="A4185" t="s">
        <v>20</v>
      </c>
      <c r="B4185" t="s">
        <v>63</v>
      </c>
      <c r="C4185">
        <v>1</v>
      </c>
      <c r="D4185">
        <v>1</v>
      </c>
      <c r="E4185">
        <v>1</v>
      </c>
      <c r="F4185" s="15">
        <v>46153</v>
      </c>
      <c r="G4185" t="s">
        <v>520</v>
      </c>
      <c r="H4185">
        <v>4</v>
      </c>
      <c r="I4185">
        <v>2026</v>
      </c>
      <c r="J4185">
        <v>5</v>
      </c>
      <c r="K4185" t="s">
        <v>87</v>
      </c>
      <c r="L4185" t="s">
        <v>363</v>
      </c>
      <c r="M4185" t="s">
        <v>63</v>
      </c>
      <c r="N4185" t="b">
        <v>0</v>
      </c>
      <c r="O4185">
        <v>0</v>
      </c>
      <c r="P4185">
        <v>0</v>
      </c>
      <c r="Q4185">
        <v>1</v>
      </c>
      <c r="R4185">
        <v>0</v>
      </c>
    </row>
    <row r="4186" spans="1:18" x14ac:dyDescent="0.25">
      <c r="A4186" t="s">
        <v>20</v>
      </c>
      <c r="B4186" t="s">
        <v>63</v>
      </c>
      <c r="C4186">
        <v>1</v>
      </c>
      <c r="D4186">
        <v>1</v>
      </c>
      <c r="E4186">
        <v>1</v>
      </c>
      <c r="F4186" s="15">
        <v>46153</v>
      </c>
      <c r="G4186" t="s">
        <v>520</v>
      </c>
      <c r="H4186">
        <v>4</v>
      </c>
      <c r="I4186">
        <v>2026</v>
      </c>
      <c r="J4186">
        <v>5</v>
      </c>
      <c r="K4186" t="s">
        <v>87</v>
      </c>
      <c r="L4186" t="s">
        <v>13</v>
      </c>
      <c r="M4186" t="s">
        <v>63</v>
      </c>
      <c r="N4186" t="b">
        <v>0</v>
      </c>
      <c r="O4186">
        <v>0</v>
      </c>
      <c r="P4186">
        <v>0</v>
      </c>
      <c r="Q4186">
        <v>1</v>
      </c>
      <c r="R4186">
        <v>0</v>
      </c>
    </row>
    <row r="4187" spans="1:18" x14ac:dyDescent="0.25">
      <c r="A4187" t="s">
        <v>7</v>
      </c>
      <c r="B4187" t="s">
        <v>63</v>
      </c>
      <c r="C4187">
        <v>2</v>
      </c>
      <c r="D4187">
        <v>1</v>
      </c>
      <c r="E4187">
        <v>1</v>
      </c>
      <c r="F4187" s="15">
        <v>46153</v>
      </c>
      <c r="G4187" t="s">
        <v>520</v>
      </c>
      <c r="H4187">
        <v>4</v>
      </c>
      <c r="I4187">
        <v>2026</v>
      </c>
      <c r="J4187">
        <v>5</v>
      </c>
      <c r="K4187" t="s">
        <v>87</v>
      </c>
      <c r="L4187" t="s">
        <v>20</v>
      </c>
      <c r="M4187" t="s">
        <v>63</v>
      </c>
      <c r="N4187" t="b">
        <v>0</v>
      </c>
      <c r="O4187">
        <v>0</v>
      </c>
      <c r="P4187">
        <v>0</v>
      </c>
      <c r="Q4187">
        <v>1</v>
      </c>
      <c r="R4187">
        <v>0</v>
      </c>
    </row>
    <row r="4188" spans="1:18" x14ac:dyDescent="0.25">
      <c r="A4188" t="s">
        <v>7</v>
      </c>
      <c r="B4188" t="s">
        <v>63</v>
      </c>
      <c r="C4188">
        <v>2</v>
      </c>
      <c r="D4188">
        <v>1</v>
      </c>
      <c r="E4188">
        <v>1</v>
      </c>
      <c r="F4188" s="15">
        <v>46153</v>
      </c>
      <c r="G4188" t="s">
        <v>520</v>
      </c>
      <c r="H4188">
        <v>4</v>
      </c>
      <c r="I4188">
        <v>2026</v>
      </c>
      <c r="J4188">
        <v>5</v>
      </c>
      <c r="K4188" t="s">
        <v>87</v>
      </c>
      <c r="L4188" t="s">
        <v>363</v>
      </c>
      <c r="M4188" t="s">
        <v>63</v>
      </c>
      <c r="N4188" t="b">
        <v>0</v>
      </c>
      <c r="O4188">
        <v>0</v>
      </c>
      <c r="P4188">
        <v>0</v>
      </c>
      <c r="Q4188">
        <v>1</v>
      </c>
      <c r="R4188">
        <v>0</v>
      </c>
    </row>
    <row r="4189" spans="1:18" x14ac:dyDescent="0.25">
      <c r="A4189" t="s">
        <v>7</v>
      </c>
      <c r="B4189" t="s">
        <v>63</v>
      </c>
      <c r="C4189">
        <v>2</v>
      </c>
      <c r="D4189">
        <v>1</v>
      </c>
      <c r="E4189">
        <v>1</v>
      </c>
      <c r="F4189" s="15">
        <v>46153</v>
      </c>
      <c r="G4189" t="s">
        <v>520</v>
      </c>
      <c r="H4189">
        <v>4</v>
      </c>
      <c r="I4189">
        <v>2026</v>
      </c>
      <c r="J4189">
        <v>5</v>
      </c>
      <c r="K4189" t="s">
        <v>87</v>
      </c>
      <c r="L4189" t="s">
        <v>13</v>
      </c>
      <c r="M4189" t="s">
        <v>63</v>
      </c>
      <c r="N4189" t="b">
        <v>0</v>
      </c>
      <c r="O4189">
        <v>0</v>
      </c>
      <c r="P4189">
        <v>0</v>
      </c>
      <c r="Q4189">
        <v>1</v>
      </c>
      <c r="R4189">
        <v>0</v>
      </c>
    </row>
    <row r="4190" spans="1:18" x14ac:dyDescent="0.25">
      <c r="A4190" t="s">
        <v>363</v>
      </c>
      <c r="B4190" t="s">
        <v>63</v>
      </c>
      <c r="C4190">
        <v>3</v>
      </c>
      <c r="D4190">
        <v>1</v>
      </c>
      <c r="E4190">
        <v>1</v>
      </c>
      <c r="F4190" s="15">
        <v>46153</v>
      </c>
      <c r="G4190" t="s">
        <v>520</v>
      </c>
      <c r="H4190">
        <v>4</v>
      </c>
      <c r="I4190">
        <v>2026</v>
      </c>
      <c r="J4190">
        <v>5</v>
      </c>
      <c r="K4190" t="s">
        <v>87</v>
      </c>
      <c r="L4190" t="s">
        <v>20</v>
      </c>
      <c r="M4190" t="s">
        <v>63</v>
      </c>
      <c r="N4190" t="b">
        <v>0</v>
      </c>
      <c r="O4190">
        <v>0</v>
      </c>
      <c r="P4190">
        <v>0</v>
      </c>
      <c r="Q4190">
        <v>1</v>
      </c>
      <c r="R4190">
        <v>0</v>
      </c>
    </row>
    <row r="4191" spans="1:18" x14ac:dyDescent="0.25">
      <c r="A4191" t="s">
        <v>363</v>
      </c>
      <c r="B4191" t="s">
        <v>63</v>
      </c>
      <c r="C4191">
        <v>3</v>
      </c>
      <c r="D4191">
        <v>1</v>
      </c>
      <c r="E4191">
        <v>1</v>
      </c>
      <c r="F4191" s="15">
        <v>46153</v>
      </c>
      <c r="G4191" t="s">
        <v>520</v>
      </c>
      <c r="H4191">
        <v>4</v>
      </c>
      <c r="I4191">
        <v>2026</v>
      </c>
      <c r="J4191">
        <v>5</v>
      </c>
      <c r="K4191" t="s">
        <v>87</v>
      </c>
      <c r="L4191" t="s">
        <v>7</v>
      </c>
      <c r="M4191" t="s">
        <v>63</v>
      </c>
      <c r="N4191" t="b">
        <v>0</v>
      </c>
      <c r="O4191">
        <v>0</v>
      </c>
      <c r="P4191">
        <v>0</v>
      </c>
      <c r="Q4191">
        <v>1</v>
      </c>
      <c r="R4191">
        <v>0</v>
      </c>
    </row>
    <row r="4192" spans="1:18" x14ac:dyDescent="0.25">
      <c r="A4192" t="s">
        <v>363</v>
      </c>
      <c r="B4192" t="s">
        <v>63</v>
      </c>
      <c r="C4192">
        <v>3</v>
      </c>
      <c r="D4192">
        <v>1</v>
      </c>
      <c r="E4192">
        <v>1</v>
      </c>
      <c r="F4192" s="15">
        <v>46153</v>
      </c>
      <c r="G4192" t="s">
        <v>520</v>
      </c>
      <c r="H4192">
        <v>4</v>
      </c>
      <c r="I4192">
        <v>2026</v>
      </c>
      <c r="J4192">
        <v>5</v>
      </c>
      <c r="K4192" t="s">
        <v>87</v>
      </c>
      <c r="L4192" t="s">
        <v>13</v>
      </c>
      <c r="M4192" t="s">
        <v>63</v>
      </c>
      <c r="N4192" t="b">
        <v>0</v>
      </c>
      <c r="O4192">
        <v>0</v>
      </c>
      <c r="P4192">
        <v>0</v>
      </c>
      <c r="Q4192">
        <v>1</v>
      </c>
      <c r="R4192">
        <v>0</v>
      </c>
    </row>
    <row r="4193" spans="1:18" x14ac:dyDescent="0.25">
      <c r="A4193" t="s">
        <v>13</v>
      </c>
      <c r="B4193" t="s">
        <v>63</v>
      </c>
      <c r="C4193">
        <v>4</v>
      </c>
      <c r="D4193">
        <v>1</v>
      </c>
      <c r="E4193">
        <v>1</v>
      </c>
      <c r="F4193" s="15">
        <v>46153</v>
      </c>
      <c r="G4193" t="s">
        <v>520</v>
      </c>
      <c r="H4193">
        <v>4</v>
      </c>
      <c r="I4193">
        <v>2026</v>
      </c>
      <c r="J4193">
        <v>5</v>
      </c>
      <c r="K4193" t="s">
        <v>87</v>
      </c>
      <c r="L4193" t="s">
        <v>20</v>
      </c>
      <c r="M4193" t="s">
        <v>63</v>
      </c>
      <c r="N4193" t="b">
        <v>0</v>
      </c>
      <c r="O4193">
        <v>0</v>
      </c>
      <c r="P4193">
        <v>0</v>
      </c>
      <c r="Q4193">
        <v>1</v>
      </c>
      <c r="R4193">
        <v>0</v>
      </c>
    </row>
    <row r="4194" spans="1:18" x14ac:dyDescent="0.25">
      <c r="A4194" t="s">
        <v>13</v>
      </c>
      <c r="B4194" t="s">
        <v>63</v>
      </c>
      <c r="C4194">
        <v>4</v>
      </c>
      <c r="D4194">
        <v>1</v>
      </c>
      <c r="E4194">
        <v>1</v>
      </c>
      <c r="F4194" s="15">
        <v>46153</v>
      </c>
      <c r="G4194" t="s">
        <v>520</v>
      </c>
      <c r="H4194">
        <v>4</v>
      </c>
      <c r="I4194">
        <v>2026</v>
      </c>
      <c r="J4194">
        <v>5</v>
      </c>
      <c r="K4194" t="s">
        <v>87</v>
      </c>
      <c r="L4194" t="s">
        <v>7</v>
      </c>
      <c r="M4194" t="s">
        <v>63</v>
      </c>
      <c r="N4194" t="b">
        <v>0</v>
      </c>
      <c r="O4194">
        <v>0</v>
      </c>
      <c r="P4194">
        <v>0</v>
      </c>
      <c r="Q4194">
        <v>1</v>
      </c>
      <c r="R4194">
        <v>0</v>
      </c>
    </row>
    <row r="4195" spans="1:18" x14ac:dyDescent="0.25">
      <c r="A4195" t="s">
        <v>13</v>
      </c>
      <c r="B4195" t="s">
        <v>63</v>
      </c>
      <c r="C4195">
        <v>4</v>
      </c>
      <c r="D4195">
        <v>1</v>
      </c>
      <c r="E4195">
        <v>1</v>
      </c>
      <c r="F4195" s="15">
        <v>46153</v>
      </c>
      <c r="G4195" t="s">
        <v>520</v>
      </c>
      <c r="H4195">
        <v>4</v>
      </c>
      <c r="I4195">
        <v>2026</v>
      </c>
      <c r="J4195">
        <v>5</v>
      </c>
      <c r="K4195" t="s">
        <v>87</v>
      </c>
      <c r="L4195" t="s">
        <v>363</v>
      </c>
      <c r="M4195" t="s">
        <v>63</v>
      </c>
      <c r="N4195" t="b">
        <v>0</v>
      </c>
      <c r="O4195">
        <v>0</v>
      </c>
      <c r="P4195">
        <v>0</v>
      </c>
      <c r="Q4195">
        <v>1</v>
      </c>
      <c r="R4195">
        <v>0</v>
      </c>
    </row>
    <row r="4196" spans="1:18" x14ac:dyDescent="0.25">
      <c r="A4196" t="s">
        <v>52</v>
      </c>
      <c r="B4196" t="s">
        <v>6</v>
      </c>
      <c r="C4196">
        <v>1</v>
      </c>
      <c r="D4196">
        <v>2</v>
      </c>
      <c r="E4196">
        <v>1</v>
      </c>
      <c r="F4196" s="15">
        <v>46153</v>
      </c>
      <c r="G4196" t="s">
        <v>521</v>
      </c>
      <c r="H4196">
        <v>4</v>
      </c>
      <c r="I4196">
        <v>2026</v>
      </c>
      <c r="J4196">
        <v>5</v>
      </c>
      <c r="K4196" t="s">
        <v>87</v>
      </c>
      <c r="L4196" t="s">
        <v>352</v>
      </c>
      <c r="M4196" t="s">
        <v>8</v>
      </c>
      <c r="N4196" t="b">
        <v>0</v>
      </c>
      <c r="O4196">
        <v>0</v>
      </c>
      <c r="P4196">
        <v>1</v>
      </c>
      <c r="Q4196">
        <v>0</v>
      </c>
      <c r="R4196">
        <v>1</v>
      </c>
    </row>
    <row r="4197" spans="1:18" x14ac:dyDescent="0.25">
      <c r="A4197" t="s">
        <v>52</v>
      </c>
      <c r="B4197" t="s">
        <v>6</v>
      </c>
      <c r="C4197">
        <v>1</v>
      </c>
      <c r="D4197">
        <v>2</v>
      </c>
      <c r="E4197">
        <v>1</v>
      </c>
      <c r="F4197" s="15">
        <v>46153</v>
      </c>
      <c r="G4197" t="s">
        <v>521</v>
      </c>
      <c r="H4197">
        <v>4</v>
      </c>
      <c r="I4197">
        <v>2026</v>
      </c>
      <c r="J4197">
        <v>5</v>
      </c>
      <c r="K4197" t="s">
        <v>87</v>
      </c>
      <c r="L4197" t="s">
        <v>30</v>
      </c>
      <c r="M4197" t="s">
        <v>6</v>
      </c>
      <c r="N4197" t="b">
        <v>0</v>
      </c>
      <c r="O4197">
        <v>0</v>
      </c>
      <c r="P4197">
        <v>1</v>
      </c>
      <c r="Q4197">
        <v>0</v>
      </c>
      <c r="R4197">
        <v>0</v>
      </c>
    </row>
    <row r="4198" spans="1:18" x14ac:dyDescent="0.25">
      <c r="A4198" t="s">
        <v>52</v>
      </c>
      <c r="B4198" t="s">
        <v>6</v>
      </c>
      <c r="C4198">
        <v>1</v>
      </c>
      <c r="D4198">
        <v>2</v>
      </c>
      <c r="E4198">
        <v>1</v>
      </c>
      <c r="F4198" s="15">
        <v>46153</v>
      </c>
      <c r="G4198" t="s">
        <v>521</v>
      </c>
      <c r="H4198">
        <v>4</v>
      </c>
      <c r="I4198">
        <v>2026</v>
      </c>
      <c r="J4198">
        <v>5</v>
      </c>
      <c r="K4198" t="s">
        <v>87</v>
      </c>
      <c r="L4198" t="s">
        <v>10</v>
      </c>
      <c r="M4198" t="s">
        <v>6</v>
      </c>
      <c r="N4198" t="b">
        <v>0</v>
      </c>
      <c r="O4198">
        <v>0</v>
      </c>
      <c r="P4198">
        <v>1</v>
      </c>
      <c r="Q4198">
        <v>0</v>
      </c>
      <c r="R4198">
        <v>0</v>
      </c>
    </row>
    <row r="4199" spans="1:18" x14ac:dyDescent="0.25">
      <c r="A4199" t="s">
        <v>352</v>
      </c>
      <c r="B4199" t="s">
        <v>8</v>
      </c>
      <c r="C4199">
        <v>2</v>
      </c>
      <c r="D4199">
        <v>2</v>
      </c>
      <c r="E4199">
        <v>1</v>
      </c>
      <c r="F4199" s="15">
        <v>46153</v>
      </c>
      <c r="G4199" t="s">
        <v>521</v>
      </c>
      <c r="H4199">
        <v>4</v>
      </c>
      <c r="I4199">
        <v>2026</v>
      </c>
      <c r="J4199">
        <v>5</v>
      </c>
      <c r="K4199" t="s">
        <v>87</v>
      </c>
      <c r="L4199" t="s">
        <v>52</v>
      </c>
      <c r="M4199" t="s">
        <v>6</v>
      </c>
      <c r="N4199" t="b">
        <v>0</v>
      </c>
      <c r="O4199">
        <v>1</v>
      </c>
      <c r="P4199">
        <v>0</v>
      </c>
      <c r="Q4199">
        <v>0</v>
      </c>
      <c r="R4199">
        <v>0</v>
      </c>
    </row>
    <row r="4200" spans="1:18" x14ac:dyDescent="0.25">
      <c r="A4200" t="s">
        <v>352</v>
      </c>
      <c r="B4200" t="s">
        <v>8</v>
      </c>
      <c r="C4200">
        <v>2</v>
      </c>
      <c r="D4200">
        <v>2</v>
      </c>
      <c r="E4200">
        <v>1</v>
      </c>
      <c r="F4200" s="15">
        <v>46153</v>
      </c>
      <c r="G4200" t="s">
        <v>521</v>
      </c>
      <c r="H4200">
        <v>4</v>
      </c>
      <c r="I4200">
        <v>2026</v>
      </c>
      <c r="J4200">
        <v>5</v>
      </c>
      <c r="K4200" t="s">
        <v>87</v>
      </c>
      <c r="L4200" t="s">
        <v>30</v>
      </c>
      <c r="M4200" t="s">
        <v>6</v>
      </c>
      <c r="N4200" t="b">
        <v>0</v>
      </c>
      <c r="O4200">
        <v>1</v>
      </c>
      <c r="P4200">
        <v>0</v>
      </c>
      <c r="Q4200">
        <v>0</v>
      </c>
      <c r="R4200">
        <v>0</v>
      </c>
    </row>
    <row r="4201" spans="1:18" x14ac:dyDescent="0.25">
      <c r="A4201" t="s">
        <v>352</v>
      </c>
      <c r="B4201" t="s">
        <v>8</v>
      </c>
      <c r="C4201">
        <v>2</v>
      </c>
      <c r="D4201">
        <v>2</v>
      </c>
      <c r="E4201">
        <v>1</v>
      </c>
      <c r="F4201" s="15">
        <v>46153</v>
      </c>
      <c r="G4201" t="s">
        <v>521</v>
      </c>
      <c r="H4201">
        <v>4</v>
      </c>
      <c r="I4201">
        <v>2026</v>
      </c>
      <c r="J4201">
        <v>5</v>
      </c>
      <c r="K4201" t="s">
        <v>87</v>
      </c>
      <c r="L4201" t="s">
        <v>10</v>
      </c>
      <c r="M4201" t="s">
        <v>6</v>
      </c>
      <c r="N4201" t="b">
        <v>0</v>
      </c>
      <c r="O4201">
        <v>1</v>
      </c>
      <c r="P4201">
        <v>0</v>
      </c>
      <c r="Q4201">
        <v>0</v>
      </c>
      <c r="R4201">
        <v>0</v>
      </c>
    </row>
    <row r="4202" spans="1:18" x14ac:dyDescent="0.25">
      <c r="A4202" t="s">
        <v>30</v>
      </c>
      <c r="B4202" t="s">
        <v>6</v>
      </c>
      <c r="C4202">
        <v>3</v>
      </c>
      <c r="D4202">
        <v>2</v>
      </c>
      <c r="E4202">
        <v>1</v>
      </c>
      <c r="F4202" s="15">
        <v>46153</v>
      </c>
      <c r="G4202" t="s">
        <v>521</v>
      </c>
      <c r="H4202">
        <v>4</v>
      </c>
      <c r="I4202">
        <v>2026</v>
      </c>
      <c r="J4202">
        <v>5</v>
      </c>
      <c r="K4202" t="s">
        <v>87</v>
      </c>
      <c r="L4202" t="s">
        <v>52</v>
      </c>
      <c r="M4202" t="s">
        <v>6</v>
      </c>
      <c r="N4202" t="b">
        <v>0</v>
      </c>
      <c r="O4202">
        <v>0</v>
      </c>
      <c r="P4202">
        <v>1</v>
      </c>
      <c r="Q4202">
        <v>0</v>
      </c>
      <c r="R4202">
        <v>0</v>
      </c>
    </row>
    <row r="4203" spans="1:18" x14ac:dyDescent="0.25">
      <c r="A4203" t="s">
        <v>30</v>
      </c>
      <c r="B4203" t="s">
        <v>6</v>
      </c>
      <c r="C4203">
        <v>3</v>
      </c>
      <c r="D4203">
        <v>2</v>
      </c>
      <c r="E4203">
        <v>1</v>
      </c>
      <c r="F4203" s="15">
        <v>46153</v>
      </c>
      <c r="G4203" t="s">
        <v>521</v>
      </c>
      <c r="H4203">
        <v>4</v>
      </c>
      <c r="I4203">
        <v>2026</v>
      </c>
      <c r="J4203">
        <v>5</v>
      </c>
      <c r="K4203" t="s">
        <v>87</v>
      </c>
      <c r="L4203" t="s">
        <v>352</v>
      </c>
      <c r="M4203" t="s">
        <v>8</v>
      </c>
      <c r="N4203" t="b">
        <v>0</v>
      </c>
      <c r="O4203">
        <v>0</v>
      </c>
      <c r="P4203">
        <v>1</v>
      </c>
      <c r="Q4203">
        <v>0</v>
      </c>
      <c r="R4203">
        <v>1</v>
      </c>
    </row>
    <row r="4204" spans="1:18" x14ac:dyDescent="0.25">
      <c r="A4204" t="s">
        <v>30</v>
      </c>
      <c r="B4204" t="s">
        <v>6</v>
      </c>
      <c r="C4204">
        <v>3</v>
      </c>
      <c r="D4204">
        <v>2</v>
      </c>
      <c r="E4204">
        <v>1</v>
      </c>
      <c r="F4204" s="15">
        <v>46153</v>
      </c>
      <c r="G4204" t="s">
        <v>521</v>
      </c>
      <c r="H4204">
        <v>4</v>
      </c>
      <c r="I4204">
        <v>2026</v>
      </c>
      <c r="J4204">
        <v>5</v>
      </c>
      <c r="K4204" t="s">
        <v>87</v>
      </c>
      <c r="L4204" t="s">
        <v>10</v>
      </c>
      <c r="M4204" t="s">
        <v>6</v>
      </c>
      <c r="N4204" t="b">
        <v>0</v>
      </c>
      <c r="O4204">
        <v>0</v>
      </c>
      <c r="P4204">
        <v>1</v>
      </c>
      <c r="Q4204">
        <v>0</v>
      </c>
      <c r="R4204">
        <v>0</v>
      </c>
    </row>
    <row r="4205" spans="1:18" x14ac:dyDescent="0.25">
      <c r="A4205" t="s">
        <v>10</v>
      </c>
      <c r="B4205" t="s">
        <v>6</v>
      </c>
      <c r="C4205">
        <v>4</v>
      </c>
      <c r="D4205">
        <v>2</v>
      </c>
      <c r="E4205">
        <v>1</v>
      </c>
      <c r="F4205" s="15">
        <v>46153</v>
      </c>
      <c r="G4205" t="s">
        <v>521</v>
      </c>
      <c r="H4205">
        <v>4</v>
      </c>
      <c r="I4205">
        <v>2026</v>
      </c>
      <c r="J4205">
        <v>5</v>
      </c>
      <c r="K4205" t="s">
        <v>87</v>
      </c>
      <c r="L4205" t="s">
        <v>52</v>
      </c>
      <c r="M4205" t="s">
        <v>6</v>
      </c>
      <c r="N4205" t="b">
        <v>0</v>
      </c>
      <c r="O4205">
        <v>0</v>
      </c>
      <c r="P4205">
        <v>1</v>
      </c>
      <c r="Q4205">
        <v>0</v>
      </c>
      <c r="R4205">
        <v>0</v>
      </c>
    </row>
    <row r="4206" spans="1:18" x14ac:dyDescent="0.25">
      <c r="A4206" t="s">
        <v>10</v>
      </c>
      <c r="B4206" t="s">
        <v>6</v>
      </c>
      <c r="C4206">
        <v>4</v>
      </c>
      <c r="D4206">
        <v>2</v>
      </c>
      <c r="E4206">
        <v>1</v>
      </c>
      <c r="F4206" s="15">
        <v>46153</v>
      </c>
      <c r="G4206" t="s">
        <v>521</v>
      </c>
      <c r="H4206">
        <v>4</v>
      </c>
      <c r="I4206">
        <v>2026</v>
      </c>
      <c r="J4206">
        <v>5</v>
      </c>
      <c r="K4206" t="s">
        <v>87</v>
      </c>
      <c r="L4206" t="s">
        <v>352</v>
      </c>
      <c r="M4206" t="s">
        <v>8</v>
      </c>
      <c r="N4206" t="b">
        <v>0</v>
      </c>
      <c r="O4206">
        <v>0</v>
      </c>
      <c r="P4206">
        <v>1</v>
      </c>
      <c r="Q4206">
        <v>0</v>
      </c>
      <c r="R4206">
        <v>1</v>
      </c>
    </row>
    <row r="4207" spans="1:18" x14ac:dyDescent="0.25">
      <c r="A4207" t="s">
        <v>10</v>
      </c>
      <c r="B4207" t="s">
        <v>6</v>
      </c>
      <c r="C4207">
        <v>4</v>
      </c>
      <c r="D4207">
        <v>2</v>
      </c>
      <c r="E4207">
        <v>1</v>
      </c>
      <c r="F4207" s="15">
        <v>46153</v>
      </c>
      <c r="G4207" t="s">
        <v>521</v>
      </c>
      <c r="H4207">
        <v>4</v>
      </c>
      <c r="I4207">
        <v>2026</v>
      </c>
      <c r="J4207">
        <v>5</v>
      </c>
      <c r="K4207" t="s">
        <v>87</v>
      </c>
      <c r="L4207" t="s">
        <v>30</v>
      </c>
      <c r="M4207" t="s">
        <v>6</v>
      </c>
      <c r="N4207" t="b">
        <v>0</v>
      </c>
      <c r="O4207">
        <v>0</v>
      </c>
      <c r="P4207">
        <v>1</v>
      </c>
      <c r="Q4207">
        <v>0</v>
      </c>
      <c r="R4207">
        <v>0</v>
      </c>
    </row>
    <row r="4208" spans="1:18" x14ac:dyDescent="0.25">
      <c r="A4208" t="s">
        <v>11</v>
      </c>
      <c r="B4208" t="s">
        <v>8</v>
      </c>
      <c r="C4208">
        <v>1</v>
      </c>
      <c r="D4208">
        <v>3</v>
      </c>
      <c r="E4208">
        <v>1</v>
      </c>
      <c r="F4208" s="15">
        <v>46153</v>
      </c>
      <c r="G4208" t="s">
        <v>522</v>
      </c>
      <c r="H4208">
        <v>4</v>
      </c>
      <c r="I4208">
        <v>2026</v>
      </c>
      <c r="J4208">
        <v>5</v>
      </c>
      <c r="K4208" t="s">
        <v>87</v>
      </c>
      <c r="L4208" t="s">
        <v>14</v>
      </c>
      <c r="M4208" t="s">
        <v>6</v>
      </c>
      <c r="N4208" t="b">
        <v>0</v>
      </c>
      <c r="O4208">
        <v>1</v>
      </c>
      <c r="P4208">
        <v>0</v>
      </c>
      <c r="Q4208">
        <v>0</v>
      </c>
      <c r="R4208">
        <v>0</v>
      </c>
    </row>
    <row r="4209" spans="1:18" x14ac:dyDescent="0.25">
      <c r="A4209" t="s">
        <v>11</v>
      </c>
      <c r="B4209" t="s">
        <v>8</v>
      </c>
      <c r="C4209">
        <v>1</v>
      </c>
      <c r="D4209">
        <v>3</v>
      </c>
      <c r="E4209">
        <v>1</v>
      </c>
      <c r="F4209" s="15">
        <v>46153</v>
      </c>
      <c r="G4209" t="s">
        <v>522</v>
      </c>
      <c r="H4209">
        <v>4</v>
      </c>
      <c r="I4209">
        <v>2026</v>
      </c>
      <c r="J4209">
        <v>5</v>
      </c>
      <c r="K4209" t="s">
        <v>87</v>
      </c>
      <c r="L4209" t="s">
        <v>351</v>
      </c>
      <c r="M4209" t="s">
        <v>6</v>
      </c>
      <c r="N4209" t="b">
        <v>0</v>
      </c>
      <c r="O4209">
        <v>1</v>
      </c>
      <c r="P4209">
        <v>0</v>
      </c>
      <c r="Q4209">
        <v>0</v>
      </c>
      <c r="R4209">
        <v>0</v>
      </c>
    </row>
    <row r="4210" spans="1:18" x14ac:dyDescent="0.25">
      <c r="A4210" t="s">
        <v>11</v>
      </c>
      <c r="B4210" t="s">
        <v>8</v>
      </c>
      <c r="C4210">
        <v>1</v>
      </c>
      <c r="D4210">
        <v>3</v>
      </c>
      <c r="E4210">
        <v>1</v>
      </c>
      <c r="F4210" s="15">
        <v>46153</v>
      </c>
      <c r="G4210" t="s">
        <v>522</v>
      </c>
      <c r="H4210">
        <v>4</v>
      </c>
      <c r="I4210">
        <v>2026</v>
      </c>
      <c r="J4210">
        <v>5</v>
      </c>
      <c r="K4210" t="s">
        <v>87</v>
      </c>
      <c r="L4210" t="s">
        <v>41</v>
      </c>
      <c r="M4210" t="s">
        <v>6</v>
      </c>
      <c r="N4210" t="b">
        <v>0</v>
      </c>
      <c r="O4210">
        <v>1</v>
      </c>
      <c r="P4210">
        <v>0</v>
      </c>
      <c r="Q4210">
        <v>0</v>
      </c>
      <c r="R4210">
        <v>0</v>
      </c>
    </row>
    <row r="4211" spans="1:18" x14ac:dyDescent="0.25">
      <c r="A4211" t="s">
        <v>14</v>
      </c>
      <c r="B4211" t="s">
        <v>6</v>
      </c>
      <c r="C4211">
        <v>2</v>
      </c>
      <c r="D4211">
        <v>3</v>
      </c>
      <c r="E4211">
        <v>1</v>
      </c>
      <c r="F4211" s="15">
        <v>46153</v>
      </c>
      <c r="G4211" t="s">
        <v>522</v>
      </c>
      <c r="H4211">
        <v>4</v>
      </c>
      <c r="I4211">
        <v>2026</v>
      </c>
      <c r="J4211">
        <v>5</v>
      </c>
      <c r="K4211" t="s">
        <v>87</v>
      </c>
      <c r="L4211" t="s">
        <v>11</v>
      </c>
      <c r="M4211" t="s">
        <v>8</v>
      </c>
      <c r="N4211" t="b">
        <v>0</v>
      </c>
      <c r="O4211">
        <v>0</v>
      </c>
      <c r="P4211">
        <v>1</v>
      </c>
      <c r="Q4211">
        <v>0</v>
      </c>
      <c r="R4211">
        <v>1</v>
      </c>
    </row>
    <row r="4212" spans="1:18" x14ac:dyDescent="0.25">
      <c r="A4212" t="s">
        <v>14</v>
      </c>
      <c r="B4212" t="s">
        <v>6</v>
      </c>
      <c r="C4212">
        <v>2</v>
      </c>
      <c r="D4212">
        <v>3</v>
      </c>
      <c r="E4212">
        <v>1</v>
      </c>
      <c r="F4212" s="15">
        <v>46153</v>
      </c>
      <c r="G4212" t="s">
        <v>522</v>
      </c>
      <c r="H4212">
        <v>4</v>
      </c>
      <c r="I4212">
        <v>2026</v>
      </c>
      <c r="J4212">
        <v>5</v>
      </c>
      <c r="K4212" t="s">
        <v>87</v>
      </c>
      <c r="L4212" t="s">
        <v>351</v>
      </c>
      <c r="M4212" t="s">
        <v>6</v>
      </c>
      <c r="N4212" t="b">
        <v>0</v>
      </c>
      <c r="O4212">
        <v>0</v>
      </c>
      <c r="P4212">
        <v>1</v>
      </c>
      <c r="Q4212">
        <v>0</v>
      </c>
      <c r="R4212">
        <v>0</v>
      </c>
    </row>
    <row r="4213" spans="1:18" x14ac:dyDescent="0.25">
      <c r="A4213" t="s">
        <v>14</v>
      </c>
      <c r="B4213" t="s">
        <v>6</v>
      </c>
      <c r="C4213">
        <v>2</v>
      </c>
      <c r="D4213">
        <v>3</v>
      </c>
      <c r="E4213">
        <v>1</v>
      </c>
      <c r="F4213" s="15">
        <v>46153</v>
      </c>
      <c r="G4213" t="s">
        <v>522</v>
      </c>
      <c r="H4213">
        <v>4</v>
      </c>
      <c r="I4213">
        <v>2026</v>
      </c>
      <c r="J4213">
        <v>5</v>
      </c>
      <c r="K4213" t="s">
        <v>87</v>
      </c>
      <c r="L4213" t="s">
        <v>41</v>
      </c>
      <c r="M4213" t="s">
        <v>6</v>
      </c>
      <c r="N4213" t="b">
        <v>0</v>
      </c>
      <c r="O4213">
        <v>0</v>
      </c>
      <c r="P4213">
        <v>1</v>
      </c>
      <c r="Q4213">
        <v>0</v>
      </c>
      <c r="R4213">
        <v>0</v>
      </c>
    </row>
    <row r="4214" spans="1:18" x14ac:dyDescent="0.25">
      <c r="A4214" t="s">
        <v>351</v>
      </c>
      <c r="B4214" t="s">
        <v>6</v>
      </c>
      <c r="C4214">
        <v>3</v>
      </c>
      <c r="D4214">
        <v>3</v>
      </c>
      <c r="E4214">
        <v>1</v>
      </c>
      <c r="F4214" s="15">
        <v>46153</v>
      </c>
      <c r="G4214" t="s">
        <v>522</v>
      </c>
      <c r="H4214">
        <v>4</v>
      </c>
      <c r="I4214">
        <v>2026</v>
      </c>
      <c r="J4214">
        <v>5</v>
      </c>
      <c r="K4214" t="s">
        <v>87</v>
      </c>
      <c r="L4214" t="s">
        <v>11</v>
      </c>
      <c r="M4214" t="s">
        <v>8</v>
      </c>
      <c r="N4214" t="b">
        <v>0</v>
      </c>
      <c r="O4214">
        <v>0</v>
      </c>
      <c r="P4214">
        <v>1</v>
      </c>
      <c r="Q4214">
        <v>0</v>
      </c>
      <c r="R4214">
        <v>1</v>
      </c>
    </row>
    <row r="4215" spans="1:18" x14ac:dyDescent="0.25">
      <c r="A4215" t="s">
        <v>351</v>
      </c>
      <c r="B4215" t="s">
        <v>6</v>
      </c>
      <c r="C4215">
        <v>3</v>
      </c>
      <c r="D4215">
        <v>3</v>
      </c>
      <c r="E4215">
        <v>1</v>
      </c>
      <c r="F4215" s="15">
        <v>46153</v>
      </c>
      <c r="G4215" t="s">
        <v>522</v>
      </c>
      <c r="H4215">
        <v>4</v>
      </c>
      <c r="I4215">
        <v>2026</v>
      </c>
      <c r="J4215">
        <v>5</v>
      </c>
      <c r="K4215" t="s">
        <v>87</v>
      </c>
      <c r="L4215" t="s">
        <v>14</v>
      </c>
      <c r="M4215" t="s">
        <v>6</v>
      </c>
      <c r="N4215" t="b">
        <v>0</v>
      </c>
      <c r="O4215">
        <v>0</v>
      </c>
      <c r="P4215">
        <v>1</v>
      </c>
      <c r="Q4215">
        <v>0</v>
      </c>
      <c r="R4215">
        <v>0</v>
      </c>
    </row>
    <row r="4216" spans="1:18" x14ac:dyDescent="0.25">
      <c r="A4216" t="s">
        <v>351</v>
      </c>
      <c r="B4216" t="s">
        <v>6</v>
      </c>
      <c r="C4216">
        <v>3</v>
      </c>
      <c r="D4216">
        <v>3</v>
      </c>
      <c r="E4216">
        <v>1</v>
      </c>
      <c r="F4216" s="15">
        <v>46153</v>
      </c>
      <c r="G4216" t="s">
        <v>522</v>
      </c>
      <c r="H4216">
        <v>4</v>
      </c>
      <c r="I4216">
        <v>2026</v>
      </c>
      <c r="J4216">
        <v>5</v>
      </c>
      <c r="K4216" t="s">
        <v>87</v>
      </c>
      <c r="L4216" t="s">
        <v>41</v>
      </c>
      <c r="M4216" t="s">
        <v>6</v>
      </c>
      <c r="N4216" t="b">
        <v>0</v>
      </c>
      <c r="O4216">
        <v>0</v>
      </c>
      <c r="P4216">
        <v>1</v>
      </c>
      <c r="Q4216">
        <v>0</v>
      </c>
      <c r="R4216">
        <v>0</v>
      </c>
    </row>
    <row r="4217" spans="1:18" x14ac:dyDescent="0.25">
      <c r="A4217" t="s">
        <v>41</v>
      </c>
      <c r="B4217" t="s">
        <v>6</v>
      </c>
      <c r="C4217">
        <v>4</v>
      </c>
      <c r="D4217">
        <v>3</v>
      </c>
      <c r="E4217">
        <v>1</v>
      </c>
      <c r="F4217" s="15">
        <v>46153</v>
      </c>
      <c r="G4217" t="s">
        <v>522</v>
      </c>
      <c r="H4217">
        <v>4</v>
      </c>
      <c r="I4217">
        <v>2026</v>
      </c>
      <c r="J4217">
        <v>5</v>
      </c>
      <c r="K4217" t="s">
        <v>87</v>
      </c>
      <c r="L4217" t="s">
        <v>11</v>
      </c>
      <c r="M4217" t="s">
        <v>8</v>
      </c>
      <c r="N4217" t="b">
        <v>0</v>
      </c>
      <c r="O4217">
        <v>0</v>
      </c>
      <c r="P4217">
        <v>1</v>
      </c>
      <c r="Q4217">
        <v>0</v>
      </c>
      <c r="R4217">
        <v>1</v>
      </c>
    </row>
    <row r="4218" spans="1:18" x14ac:dyDescent="0.25">
      <c r="A4218" t="s">
        <v>41</v>
      </c>
      <c r="B4218" t="s">
        <v>6</v>
      </c>
      <c r="C4218">
        <v>4</v>
      </c>
      <c r="D4218">
        <v>3</v>
      </c>
      <c r="E4218">
        <v>1</v>
      </c>
      <c r="F4218" s="15">
        <v>46153</v>
      </c>
      <c r="G4218" t="s">
        <v>522</v>
      </c>
      <c r="H4218">
        <v>4</v>
      </c>
      <c r="I4218">
        <v>2026</v>
      </c>
      <c r="J4218">
        <v>5</v>
      </c>
      <c r="K4218" t="s">
        <v>87</v>
      </c>
      <c r="L4218" t="s">
        <v>14</v>
      </c>
      <c r="M4218" t="s">
        <v>6</v>
      </c>
      <c r="N4218" t="b">
        <v>0</v>
      </c>
      <c r="O4218">
        <v>0</v>
      </c>
      <c r="P4218">
        <v>1</v>
      </c>
      <c r="Q4218">
        <v>0</v>
      </c>
      <c r="R4218">
        <v>0</v>
      </c>
    </row>
    <row r="4219" spans="1:18" x14ac:dyDescent="0.25">
      <c r="A4219" t="s">
        <v>41</v>
      </c>
      <c r="B4219" t="s">
        <v>6</v>
      </c>
      <c r="C4219">
        <v>4</v>
      </c>
      <c r="D4219">
        <v>3</v>
      </c>
      <c r="E4219">
        <v>1</v>
      </c>
      <c r="F4219" s="15">
        <v>46153</v>
      </c>
      <c r="G4219" t="s">
        <v>522</v>
      </c>
      <c r="H4219">
        <v>4</v>
      </c>
      <c r="I4219">
        <v>2026</v>
      </c>
      <c r="J4219">
        <v>5</v>
      </c>
      <c r="K4219" t="s">
        <v>87</v>
      </c>
      <c r="L4219" t="s">
        <v>351</v>
      </c>
      <c r="M4219" t="s">
        <v>6</v>
      </c>
      <c r="N4219" t="b">
        <v>0</v>
      </c>
      <c r="O4219">
        <v>0</v>
      </c>
      <c r="P4219">
        <v>1</v>
      </c>
      <c r="Q4219">
        <v>0</v>
      </c>
      <c r="R4219">
        <v>0</v>
      </c>
    </row>
    <row r="4220" spans="1:18" x14ac:dyDescent="0.25">
      <c r="A4220" t="s">
        <v>9</v>
      </c>
      <c r="B4220" t="s">
        <v>8</v>
      </c>
      <c r="C4220">
        <v>1</v>
      </c>
      <c r="D4220">
        <v>4</v>
      </c>
      <c r="E4220">
        <v>1</v>
      </c>
      <c r="F4220" s="15">
        <v>46153</v>
      </c>
      <c r="G4220" t="s">
        <v>523</v>
      </c>
      <c r="H4220">
        <v>4</v>
      </c>
      <c r="I4220">
        <v>2026</v>
      </c>
      <c r="J4220">
        <v>5</v>
      </c>
      <c r="K4220" t="s">
        <v>87</v>
      </c>
      <c r="L4220" t="s">
        <v>17</v>
      </c>
      <c r="M4220" t="s">
        <v>6</v>
      </c>
      <c r="N4220" t="b">
        <v>0</v>
      </c>
      <c r="O4220">
        <v>1</v>
      </c>
      <c r="P4220">
        <v>0</v>
      </c>
      <c r="Q4220">
        <v>0</v>
      </c>
      <c r="R4220">
        <v>0</v>
      </c>
    </row>
    <row r="4221" spans="1:18" x14ac:dyDescent="0.25">
      <c r="A4221" t="s">
        <v>9</v>
      </c>
      <c r="B4221" t="s">
        <v>8</v>
      </c>
      <c r="C4221">
        <v>1</v>
      </c>
      <c r="D4221">
        <v>4</v>
      </c>
      <c r="E4221">
        <v>1</v>
      </c>
      <c r="F4221" s="15">
        <v>46153</v>
      </c>
      <c r="G4221" t="s">
        <v>523</v>
      </c>
      <c r="H4221">
        <v>4</v>
      </c>
      <c r="I4221">
        <v>2026</v>
      </c>
      <c r="J4221">
        <v>5</v>
      </c>
      <c r="K4221" t="s">
        <v>87</v>
      </c>
      <c r="L4221" t="s">
        <v>519</v>
      </c>
      <c r="M4221" t="s">
        <v>6</v>
      </c>
      <c r="N4221" t="b">
        <v>0</v>
      </c>
      <c r="O4221">
        <v>1</v>
      </c>
      <c r="P4221">
        <v>0</v>
      </c>
      <c r="Q4221">
        <v>0</v>
      </c>
      <c r="R4221">
        <v>0</v>
      </c>
    </row>
    <row r="4222" spans="1:18" x14ac:dyDescent="0.25">
      <c r="A4222" t="s">
        <v>9</v>
      </c>
      <c r="B4222" t="s">
        <v>8</v>
      </c>
      <c r="C4222">
        <v>1</v>
      </c>
      <c r="D4222">
        <v>4</v>
      </c>
      <c r="E4222">
        <v>1</v>
      </c>
      <c r="F4222" s="15">
        <v>46153</v>
      </c>
      <c r="G4222" t="s">
        <v>523</v>
      </c>
      <c r="H4222">
        <v>4</v>
      </c>
      <c r="I4222">
        <v>2026</v>
      </c>
      <c r="J4222">
        <v>5</v>
      </c>
      <c r="K4222" t="s">
        <v>87</v>
      </c>
      <c r="L4222" t="s">
        <v>402</v>
      </c>
      <c r="M4222" t="s">
        <v>6</v>
      </c>
      <c r="N4222" t="b">
        <v>0</v>
      </c>
      <c r="O4222">
        <v>1</v>
      </c>
      <c r="P4222">
        <v>0</v>
      </c>
      <c r="Q4222">
        <v>0</v>
      </c>
      <c r="R4222">
        <v>0</v>
      </c>
    </row>
    <row r="4223" spans="1:18" x14ac:dyDescent="0.25">
      <c r="A4223" t="s">
        <v>17</v>
      </c>
      <c r="B4223" t="s">
        <v>6</v>
      </c>
      <c r="C4223">
        <v>2</v>
      </c>
      <c r="D4223">
        <v>4</v>
      </c>
      <c r="E4223">
        <v>1</v>
      </c>
      <c r="F4223" s="15">
        <v>46153</v>
      </c>
      <c r="G4223" t="s">
        <v>523</v>
      </c>
      <c r="H4223">
        <v>4</v>
      </c>
      <c r="I4223">
        <v>2026</v>
      </c>
      <c r="J4223">
        <v>5</v>
      </c>
      <c r="K4223" t="s">
        <v>87</v>
      </c>
      <c r="L4223" t="s">
        <v>9</v>
      </c>
      <c r="M4223" t="s">
        <v>8</v>
      </c>
      <c r="N4223" t="b">
        <v>0</v>
      </c>
      <c r="O4223">
        <v>0</v>
      </c>
      <c r="P4223">
        <v>1</v>
      </c>
      <c r="Q4223">
        <v>0</v>
      </c>
      <c r="R4223">
        <v>1</v>
      </c>
    </row>
    <row r="4224" spans="1:18" x14ac:dyDescent="0.25">
      <c r="A4224" t="s">
        <v>17</v>
      </c>
      <c r="B4224" t="s">
        <v>6</v>
      </c>
      <c r="C4224">
        <v>2</v>
      </c>
      <c r="D4224">
        <v>4</v>
      </c>
      <c r="E4224">
        <v>1</v>
      </c>
      <c r="F4224" s="15">
        <v>46153</v>
      </c>
      <c r="G4224" t="s">
        <v>523</v>
      </c>
      <c r="H4224">
        <v>4</v>
      </c>
      <c r="I4224">
        <v>2026</v>
      </c>
      <c r="J4224">
        <v>5</v>
      </c>
      <c r="K4224" t="s">
        <v>87</v>
      </c>
      <c r="L4224" t="s">
        <v>519</v>
      </c>
      <c r="M4224" t="s">
        <v>6</v>
      </c>
      <c r="N4224" t="b">
        <v>0</v>
      </c>
      <c r="O4224">
        <v>0</v>
      </c>
      <c r="P4224">
        <v>1</v>
      </c>
      <c r="Q4224">
        <v>0</v>
      </c>
      <c r="R4224">
        <v>0</v>
      </c>
    </row>
    <row r="4225" spans="1:18" x14ac:dyDescent="0.25">
      <c r="A4225" t="s">
        <v>17</v>
      </c>
      <c r="B4225" t="s">
        <v>6</v>
      </c>
      <c r="C4225">
        <v>2</v>
      </c>
      <c r="D4225">
        <v>4</v>
      </c>
      <c r="E4225">
        <v>1</v>
      </c>
      <c r="F4225" s="15">
        <v>46153</v>
      </c>
      <c r="G4225" t="s">
        <v>523</v>
      </c>
      <c r="H4225">
        <v>4</v>
      </c>
      <c r="I4225">
        <v>2026</v>
      </c>
      <c r="J4225">
        <v>5</v>
      </c>
      <c r="K4225" t="s">
        <v>87</v>
      </c>
      <c r="L4225" t="s">
        <v>402</v>
      </c>
      <c r="M4225" t="s">
        <v>6</v>
      </c>
      <c r="N4225" t="b">
        <v>0</v>
      </c>
      <c r="O4225">
        <v>0</v>
      </c>
      <c r="P4225">
        <v>1</v>
      </c>
      <c r="Q4225">
        <v>0</v>
      </c>
      <c r="R4225">
        <v>0</v>
      </c>
    </row>
    <row r="4226" spans="1:18" x14ac:dyDescent="0.25">
      <c r="A4226" t="s">
        <v>519</v>
      </c>
      <c r="B4226" t="s">
        <v>6</v>
      </c>
      <c r="C4226">
        <v>3</v>
      </c>
      <c r="D4226">
        <v>4</v>
      </c>
      <c r="E4226">
        <v>1</v>
      </c>
      <c r="F4226" s="15">
        <v>46153</v>
      </c>
      <c r="G4226" t="s">
        <v>523</v>
      </c>
      <c r="H4226">
        <v>4</v>
      </c>
      <c r="I4226">
        <v>2026</v>
      </c>
      <c r="J4226">
        <v>5</v>
      </c>
      <c r="K4226" t="s">
        <v>87</v>
      </c>
      <c r="L4226" t="s">
        <v>9</v>
      </c>
      <c r="M4226" t="s">
        <v>8</v>
      </c>
      <c r="N4226" t="b">
        <v>0</v>
      </c>
      <c r="O4226">
        <v>0</v>
      </c>
      <c r="P4226">
        <v>1</v>
      </c>
      <c r="Q4226">
        <v>0</v>
      </c>
      <c r="R4226">
        <v>1</v>
      </c>
    </row>
    <row r="4227" spans="1:18" x14ac:dyDescent="0.25">
      <c r="A4227" t="s">
        <v>519</v>
      </c>
      <c r="B4227" t="s">
        <v>6</v>
      </c>
      <c r="C4227">
        <v>3</v>
      </c>
      <c r="D4227">
        <v>4</v>
      </c>
      <c r="E4227">
        <v>1</v>
      </c>
      <c r="F4227" s="15">
        <v>46153</v>
      </c>
      <c r="G4227" t="s">
        <v>523</v>
      </c>
      <c r="H4227">
        <v>4</v>
      </c>
      <c r="I4227">
        <v>2026</v>
      </c>
      <c r="J4227">
        <v>5</v>
      </c>
      <c r="K4227" t="s">
        <v>87</v>
      </c>
      <c r="L4227" t="s">
        <v>17</v>
      </c>
      <c r="M4227" t="s">
        <v>6</v>
      </c>
      <c r="N4227" t="b">
        <v>0</v>
      </c>
      <c r="O4227">
        <v>0</v>
      </c>
      <c r="P4227">
        <v>1</v>
      </c>
      <c r="Q4227">
        <v>0</v>
      </c>
      <c r="R4227">
        <v>0</v>
      </c>
    </row>
    <row r="4228" spans="1:18" x14ac:dyDescent="0.25">
      <c r="A4228" t="s">
        <v>519</v>
      </c>
      <c r="B4228" t="s">
        <v>6</v>
      </c>
      <c r="C4228">
        <v>3</v>
      </c>
      <c r="D4228">
        <v>4</v>
      </c>
      <c r="E4228">
        <v>1</v>
      </c>
      <c r="F4228" s="15">
        <v>46153</v>
      </c>
      <c r="G4228" t="s">
        <v>523</v>
      </c>
      <c r="H4228">
        <v>4</v>
      </c>
      <c r="I4228">
        <v>2026</v>
      </c>
      <c r="J4228">
        <v>5</v>
      </c>
      <c r="K4228" t="s">
        <v>87</v>
      </c>
      <c r="L4228" t="s">
        <v>402</v>
      </c>
      <c r="M4228" t="s">
        <v>6</v>
      </c>
      <c r="N4228" t="b">
        <v>0</v>
      </c>
      <c r="O4228">
        <v>0</v>
      </c>
      <c r="P4228">
        <v>1</v>
      </c>
      <c r="Q4228">
        <v>0</v>
      </c>
      <c r="R4228">
        <v>0</v>
      </c>
    </row>
    <row r="4229" spans="1:18" x14ac:dyDescent="0.25">
      <c r="A4229" t="s">
        <v>402</v>
      </c>
      <c r="B4229" t="s">
        <v>6</v>
      </c>
      <c r="C4229">
        <v>4</v>
      </c>
      <c r="D4229">
        <v>4</v>
      </c>
      <c r="E4229">
        <v>1</v>
      </c>
      <c r="F4229" s="15">
        <v>46153</v>
      </c>
      <c r="G4229" t="s">
        <v>523</v>
      </c>
      <c r="H4229">
        <v>4</v>
      </c>
      <c r="I4229">
        <v>2026</v>
      </c>
      <c r="J4229">
        <v>5</v>
      </c>
      <c r="K4229" t="s">
        <v>87</v>
      </c>
      <c r="L4229" t="s">
        <v>9</v>
      </c>
      <c r="M4229" t="s">
        <v>8</v>
      </c>
      <c r="N4229" t="b">
        <v>0</v>
      </c>
      <c r="O4229">
        <v>0</v>
      </c>
      <c r="P4229">
        <v>1</v>
      </c>
      <c r="Q4229">
        <v>0</v>
      </c>
      <c r="R4229">
        <v>1</v>
      </c>
    </row>
    <row r="4230" spans="1:18" x14ac:dyDescent="0.25">
      <c r="A4230" t="s">
        <v>402</v>
      </c>
      <c r="B4230" t="s">
        <v>6</v>
      </c>
      <c r="C4230">
        <v>4</v>
      </c>
      <c r="D4230">
        <v>4</v>
      </c>
      <c r="E4230">
        <v>1</v>
      </c>
      <c r="F4230" s="15">
        <v>46153</v>
      </c>
      <c r="G4230" t="s">
        <v>523</v>
      </c>
      <c r="H4230">
        <v>4</v>
      </c>
      <c r="I4230">
        <v>2026</v>
      </c>
      <c r="J4230">
        <v>5</v>
      </c>
      <c r="K4230" t="s">
        <v>87</v>
      </c>
      <c r="L4230" t="s">
        <v>17</v>
      </c>
      <c r="M4230" t="s">
        <v>6</v>
      </c>
      <c r="N4230" t="b">
        <v>0</v>
      </c>
      <c r="O4230">
        <v>0</v>
      </c>
      <c r="P4230">
        <v>1</v>
      </c>
      <c r="Q4230">
        <v>0</v>
      </c>
      <c r="R4230">
        <v>0</v>
      </c>
    </row>
    <row r="4231" spans="1:18" x14ac:dyDescent="0.25">
      <c r="A4231" t="s">
        <v>402</v>
      </c>
      <c r="B4231" t="s">
        <v>6</v>
      </c>
      <c r="C4231">
        <v>4</v>
      </c>
      <c r="D4231">
        <v>4</v>
      </c>
      <c r="E4231">
        <v>1</v>
      </c>
      <c r="F4231" s="15">
        <v>46153</v>
      </c>
      <c r="G4231" t="s">
        <v>523</v>
      </c>
      <c r="H4231">
        <v>4</v>
      </c>
      <c r="I4231">
        <v>2026</v>
      </c>
      <c r="J4231">
        <v>5</v>
      </c>
      <c r="K4231" t="s">
        <v>87</v>
      </c>
      <c r="L4231" t="s">
        <v>519</v>
      </c>
      <c r="M4231" t="s">
        <v>6</v>
      </c>
      <c r="N4231" t="b">
        <v>0</v>
      </c>
      <c r="O4231">
        <v>0</v>
      </c>
      <c r="P4231">
        <v>1</v>
      </c>
      <c r="Q4231">
        <v>0</v>
      </c>
      <c r="R4231">
        <v>0</v>
      </c>
    </row>
    <row r="4232" spans="1:18" x14ac:dyDescent="0.25">
      <c r="A4232" t="s">
        <v>9</v>
      </c>
      <c r="B4232" t="s">
        <v>6</v>
      </c>
      <c r="C4232">
        <v>1</v>
      </c>
      <c r="D4232">
        <v>1</v>
      </c>
      <c r="E4232">
        <v>2</v>
      </c>
      <c r="F4232" s="15">
        <v>46153</v>
      </c>
      <c r="G4232" t="s">
        <v>524</v>
      </c>
      <c r="H4232">
        <v>4</v>
      </c>
      <c r="I4232">
        <v>2026</v>
      </c>
      <c r="J4232">
        <v>5</v>
      </c>
      <c r="K4232" t="s">
        <v>87</v>
      </c>
      <c r="L4232" t="s">
        <v>11</v>
      </c>
      <c r="M4232" t="s">
        <v>6</v>
      </c>
      <c r="N4232" t="b">
        <v>0</v>
      </c>
      <c r="O4232">
        <v>0</v>
      </c>
      <c r="P4232">
        <v>1</v>
      </c>
      <c r="Q4232">
        <v>0</v>
      </c>
      <c r="R4232">
        <v>0</v>
      </c>
    </row>
    <row r="4233" spans="1:18" x14ac:dyDescent="0.25">
      <c r="A4233" t="s">
        <v>9</v>
      </c>
      <c r="B4233" t="s">
        <v>6</v>
      </c>
      <c r="C4233">
        <v>1</v>
      </c>
      <c r="D4233">
        <v>1</v>
      </c>
      <c r="E4233">
        <v>2</v>
      </c>
      <c r="F4233" s="15">
        <v>46153</v>
      </c>
      <c r="G4233" t="s">
        <v>524</v>
      </c>
      <c r="H4233">
        <v>4</v>
      </c>
      <c r="I4233">
        <v>2026</v>
      </c>
      <c r="J4233">
        <v>5</v>
      </c>
      <c r="K4233" t="s">
        <v>87</v>
      </c>
      <c r="L4233" t="s">
        <v>352</v>
      </c>
      <c r="M4233" t="s">
        <v>6</v>
      </c>
      <c r="N4233" t="b">
        <v>0</v>
      </c>
      <c r="O4233">
        <v>0</v>
      </c>
      <c r="P4233">
        <v>1</v>
      </c>
      <c r="Q4233">
        <v>0</v>
      </c>
      <c r="R4233">
        <v>0</v>
      </c>
    </row>
    <row r="4234" spans="1:18" x14ac:dyDescent="0.25">
      <c r="A4234" t="s">
        <v>9</v>
      </c>
      <c r="B4234" t="s">
        <v>6</v>
      </c>
      <c r="C4234">
        <v>1</v>
      </c>
      <c r="D4234">
        <v>1</v>
      </c>
      <c r="E4234">
        <v>2</v>
      </c>
      <c r="F4234" s="15">
        <v>46153</v>
      </c>
      <c r="G4234" t="s">
        <v>524</v>
      </c>
      <c r="H4234">
        <v>4</v>
      </c>
      <c r="I4234">
        <v>2026</v>
      </c>
      <c r="J4234">
        <v>5</v>
      </c>
      <c r="K4234" t="s">
        <v>87</v>
      </c>
      <c r="L4234" t="s">
        <v>7</v>
      </c>
      <c r="M4234" t="s">
        <v>8</v>
      </c>
      <c r="N4234" t="b">
        <v>0</v>
      </c>
      <c r="O4234">
        <v>0</v>
      </c>
      <c r="P4234">
        <v>1</v>
      </c>
      <c r="Q4234">
        <v>0</v>
      </c>
      <c r="R4234">
        <v>1</v>
      </c>
    </row>
    <row r="4235" spans="1:18" x14ac:dyDescent="0.25">
      <c r="A4235" t="s">
        <v>11</v>
      </c>
      <c r="B4235" t="s">
        <v>6</v>
      </c>
      <c r="C4235">
        <v>2</v>
      </c>
      <c r="D4235">
        <v>1</v>
      </c>
      <c r="E4235">
        <v>2</v>
      </c>
      <c r="F4235" s="15">
        <v>46153</v>
      </c>
      <c r="G4235" t="s">
        <v>524</v>
      </c>
      <c r="H4235">
        <v>4</v>
      </c>
      <c r="I4235">
        <v>2026</v>
      </c>
      <c r="J4235">
        <v>5</v>
      </c>
      <c r="K4235" t="s">
        <v>87</v>
      </c>
      <c r="L4235" t="s">
        <v>9</v>
      </c>
      <c r="M4235" t="s">
        <v>6</v>
      </c>
      <c r="N4235" t="b">
        <v>0</v>
      </c>
      <c r="O4235">
        <v>0</v>
      </c>
      <c r="P4235">
        <v>1</v>
      </c>
      <c r="Q4235">
        <v>0</v>
      </c>
      <c r="R4235">
        <v>0</v>
      </c>
    </row>
    <row r="4236" spans="1:18" x14ac:dyDescent="0.25">
      <c r="A4236" t="s">
        <v>11</v>
      </c>
      <c r="B4236" t="s">
        <v>6</v>
      </c>
      <c r="C4236">
        <v>2</v>
      </c>
      <c r="D4236">
        <v>1</v>
      </c>
      <c r="E4236">
        <v>2</v>
      </c>
      <c r="F4236" s="15">
        <v>46153</v>
      </c>
      <c r="G4236" t="s">
        <v>524</v>
      </c>
      <c r="H4236">
        <v>4</v>
      </c>
      <c r="I4236">
        <v>2026</v>
      </c>
      <c r="J4236">
        <v>5</v>
      </c>
      <c r="K4236" t="s">
        <v>87</v>
      </c>
      <c r="L4236" t="s">
        <v>352</v>
      </c>
      <c r="M4236" t="s">
        <v>6</v>
      </c>
      <c r="N4236" t="b">
        <v>0</v>
      </c>
      <c r="O4236">
        <v>0</v>
      </c>
      <c r="P4236">
        <v>1</v>
      </c>
      <c r="Q4236">
        <v>0</v>
      </c>
      <c r="R4236">
        <v>0</v>
      </c>
    </row>
    <row r="4237" spans="1:18" x14ac:dyDescent="0.25">
      <c r="A4237" t="s">
        <v>11</v>
      </c>
      <c r="B4237" t="s">
        <v>6</v>
      </c>
      <c r="C4237">
        <v>2</v>
      </c>
      <c r="D4237">
        <v>1</v>
      </c>
      <c r="E4237">
        <v>2</v>
      </c>
      <c r="F4237" s="15">
        <v>46153</v>
      </c>
      <c r="G4237" t="s">
        <v>524</v>
      </c>
      <c r="H4237">
        <v>4</v>
      </c>
      <c r="I4237">
        <v>2026</v>
      </c>
      <c r="J4237">
        <v>5</v>
      </c>
      <c r="K4237" t="s">
        <v>87</v>
      </c>
      <c r="L4237" t="s">
        <v>7</v>
      </c>
      <c r="M4237" t="s">
        <v>8</v>
      </c>
      <c r="N4237" t="b">
        <v>0</v>
      </c>
      <c r="O4237">
        <v>0</v>
      </c>
      <c r="P4237">
        <v>1</v>
      </c>
      <c r="Q4237">
        <v>0</v>
      </c>
      <c r="R4237">
        <v>1</v>
      </c>
    </row>
    <row r="4238" spans="1:18" x14ac:dyDescent="0.25">
      <c r="A4238" t="s">
        <v>352</v>
      </c>
      <c r="B4238" t="s">
        <v>6</v>
      </c>
      <c r="C4238">
        <v>3</v>
      </c>
      <c r="D4238">
        <v>1</v>
      </c>
      <c r="E4238">
        <v>2</v>
      </c>
      <c r="F4238" s="15">
        <v>46153</v>
      </c>
      <c r="G4238" t="s">
        <v>524</v>
      </c>
      <c r="H4238">
        <v>4</v>
      </c>
      <c r="I4238">
        <v>2026</v>
      </c>
      <c r="J4238">
        <v>5</v>
      </c>
      <c r="K4238" t="s">
        <v>87</v>
      </c>
      <c r="L4238" t="s">
        <v>9</v>
      </c>
      <c r="M4238" t="s">
        <v>6</v>
      </c>
      <c r="N4238" t="b">
        <v>0</v>
      </c>
      <c r="O4238">
        <v>0</v>
      </c>
      <c r="P4238">
        <v>1</v>
      </c>
      <c r="Q4238">
        <v>0</v>
      </c>
      <c r="R4238">
        <v>0</v>
      </c>
    </row>
    <row r="4239" spans="1:18" x14ac:dyDescent="0.25">
      <c r="A4239" t="s">
        <v>352</v>
      </c>
      <c r="B4239" t="s">
        <v>6</v>
      </c>
      <c r="C4239">
        <v>3</v>
      </c>
      <c r="D4239">
        <v>1</v>
      </c>
      <c r="E4239">
        <v>2</v>
      </c>
      <c r="F4239" s="15">
        <v>46153</v>
      </c>
      <c r="G4239" t="s">
        <v>524</v>
      </c>
      <c r="H4239">
        <v>4</v>
      </c>
      <c r="I4239">
        <v>2026</v>
      </c>
      <c r="J4239">
        <v>5</v>
      </c>
      <c r="K4239" t="s">
        <v>87</v>
      </c>
      <c r="L4239" t="s">
        <v>11</v>
      </c>
      <c r="M4239" t="s">
        <v>6</v>
      </c>
      <c r="N4239" t="b">
        <v>0</v>
      </c>
      <c r="O4239">
        <v>0</v>
      </c>
      <c r="P4239">
        <v>1</v>
      </c>
      <c r="Q4239">
        <v>0</v>
      </c>
      <c r="R4239">
        <v>0</v>
      </c>
    </row>
    <row r="4240" spans="1:18" x14ac:dyDescent="0.25">
      <c r="A4240" t="s">
        <v>352</v>
      </c>
      <c r="B4240" t="s">
        <v>6</v>
      </c>
      <c r="C4240">
        <v>3</v>
      </c>
      <c r="D4240">
        <v>1</v>
      </c>
      <c r="E4240">
        <v>2</v>
      </c>
      <c r="F4240" s="15">
        <v>46153</v>
      </c>
      <c r="G4240" t="s">
        <v>524</v>
      </c>
      <c r="H4240">
        <v>4</v>
      </c>
      <c r="I4240">
        <v>2026</v>
      </c>
      <c r="J4240">
        <v>5</v>
      </c>
      <c r="K4240" t="s">
        <v>87</v>
      </c>
      <c r="L4240" t="s">
        <v>7</v>
      </c>
      <c r="M4240" t="s">
        <v>8</v>
      </c>
      <c r="N4240" t="b">
        <v>0</v>
      </c>
      <c r="O4240">
        <v>0</v>
      </c>
      <c r="P4240">
        <v>1</v>
      </c>
      <c r="Q4240">
        <v>0</v>
      </c>
      <c r="R4240">
        <v>1</v>
      </c>
    </row>
    <row r="4241" spans="1:18" x14ac:dyDescent="0.25">
      <c r="A4241" t="s">
        <v>7</v>
      </c>
      <c r="B4241" t="s">
        <v>8</v>
      </c>
      <c r="C4241">
        <v>4</v>
      </c>
      <c r="D4241">
        <v>1</v>
      </c>
      <c r="E4241">
        <v>2</v>
      </c>
      <c r="F4241" s="15">
        <v>46153</v>
      </c>
      <c r="G4241" t="s">
        <v>524</v>
      </c>
      <c r="H4241">
        <v>4</v>
      </c>
      <c r="I4241">
        <v>2026</v>
      </c>
      <c r="J4241">
        <v>5</v>
      </c>
      <c r="K4241" t="s">
        <v>87</v>
      </c>
      <c r="L4241" t="s">
        <v>9</v>
      </c>
      <c r="M4241" t="s">
        <v>6</v>
      </c>
      <c r="N4241" t="b">
        <v>0</v>
      </c>
      <c r="O4241">
        <v>1</v>
      </c>
      <c r="P4241">
        <v>0</v>
      </c>
      <c r="Q4241">
        <v>0</v>
      </c>
      <c r="R4241">
        <v>0</v>
      </c>
    </row>
    <row r="4242" spans="1:18" x14ac:dyDescent="0.25">
      <c r="A4242" t="s">
        <v>7</v>
      </c>
      <c r="B4242" t="s">
        <v>8</v>
      </c>
      <c r="C4242">
        <v>4</v>
      </c>
      <c r="D4242">
        <v>1</v>
      </c>
      <c r="E4242">
        <v>2</v>
      </c>
      <c r="F4242" s="15">
        <v>46153</v>
      </c>
      <c r="G4242" t="s">
        <v>524</v>
      </c>
      <c r="H4242">
        <v>4</v>
      </c>
      <c r="I4242">
        <v>2026</v>
      </c>
      <c r="J4242">
        <v>5</v>
      </c>
      <c r="K4242" t="s">
        <v>87</v>
      </c>
      <c r="L4242" t="s">
        <v>11</v>
      </c>
      <c r="M4242" t="s">
        <v>6</v>
      </c>
      <c r="N4242" t="b">
        <v>0</v>
      </c>
      <c r="O4242">
        <v>1</v>
      </c>
      <c r="P4242">
        <v>0</v>
      </c>
      <c r="Q4242">
        <v>0</v>
      </c>
      <c r="R4242">
        <v>0</v>
      </c>
    </row>
    <row r="4243" spans="1:18" x14ac:dyDescent="0.25">
      <c r="A4243" t="s">
        <v>7</v>
      </c>
      <c r="B4243" t="s">
        <v>8</v>
      </c>
      <c r="C4243">
        <v>4</v>
      </c>
      <c r="D4243">
        <v>1</v>
      </c>
      <c r="E4243">
        <v>2</v>
      </c>
      <c r="F4243" s="15">
        <v>46153</v>
      </c>
      <c r="G4243" t="s">
        <v>524</v>
      </c>
      <c r="H4243">
        <v>4</v>
      </c>
      <c r="I4243">
        <v>2026</v>
      </c>
      <c r="J4243">
        <v>5</v>
      </c>
      <c r="K4243" t="s">
        <v>87</v>
      </c>
      <c r="L4243" t="s">
        <v>352</v>
      </c>
      <c r="M4243" t="s">
        <v>6</v>
      </c>
      <c r="N4243" t="b">
        <v>0</v>
      </c>
      <c r="O4243">
        <v>1</v>
      </c>
      <c r="P4243">
        <v>0</v>
      </c>
      <c r="Q4243">
        <v>0</v>
      </c>
      <c r="R4243">
        <v>0</v>
      </c>
    </row>
    <row r="4244" spans="1:18" x14ac:dyDescent="0.25">
      <c r="A4244" t="s">
        <v>17</v>
      </c>
      <c r="B4244" t="s">
        <v>8</v>
      </c>
      <c r="C4244">
        <v>1</v>
      </c>
      <c r="D4244">
        <v>2</v>
      </c>
      <c r="E4244">
        <v>2</v>
      </c>
      <c r="F4244" s="15">
        <v>46153</v>
      </c>
      <c r="G4244" t="s">
        <v>525</v>
      </c>
      <c r="H4244">
        <v>4</v>
      </c>
      <c r="I4244">
        <v>2026</v>
      </c>
      <c r="J4244">
        <v>5</v>
      </c>
      <c r="K4244" t="s">
        <v>87</v>
      </c>
      <c r="L4244" t="s">
        <v>351</v>
      </c>
      <c r="M4244" t="s">
        <v>6</v>
      </c>
      <c r="N4244" t="b">
        <v>0</v>
      </c>
      <c r="O4244">
        <v>1</v>
      </c>
      <c r="P4244">
        <v>0</v>
      </c>
      <c r="Q4244">
        <v>0</v>
      </c>
      <c r="R4244">
        <v>0</v>
      </c>
    </row>
    <row r="4245" spans="1:18" x14ac:dyDescent="0.25">
      <c r="A4245" t="s">
        <v>17</v>
      </c>
      <c r="B4245" t="s">
        <v>8</v>
      </c>
      <c r="C4245">
        <v>1</v>
      </c>
      <c r="D4245">
        <v>2</v>
      </c>
      <c r="E4245">
        <v>2</v>
      </c>
      <c r="F4245" s="15">
        <v>46153</v>
      </c>
      <c r="G4245" t="s">
        <v>525</v>
      </c>
      <c r="H4245">
        <v>4</v>
      </c>
      <c r="I4245">
        <v>2026</v>
      </c>
      <c r="J4245">
        <v>5</v>
      </c>
      <c r="K4245" t="s">
        <v>87</v>
      </c>
      <c r="L4245" t="s">
        <v>20</v>
      </c>
      <c r="M4245" t="s">
        <v>6</v>
      </c>
      <c r="N4245" t="b">
        <v>0</v>
      </c>
      <c r="O4245">
        <v>1</v>
      </c>
      <c r="P4245">
        <v>0</v>
      </c>
      <c r="Q4245">
        <v>0</v>
      </c>
      <c r="R4245">
        <v>0</v>
      </c>
    </row>
    <row r="4246" spans="1:18" x14ac:dyDescent="0.25">
      <c r="A4246" t="s">
        <v>17</v>
      </c>
      <c r="B4246" t="s">
        <v>8</v>
      </c>
      <c r="C4246">
        <v>1</v>
      </c>
      <c r="D4246">
        <v>2</v>
      </c>
      <c r="E4246">
        <v>2</v>
      </c>
      <c r="F4246" s="15">
        <v>46153</v>
      </c>
      <c r="G4246" t="s">
        <v>525</v>
      </c>
      <c r="H4246">
        <v>4</v>
      </c>
      <c r="I4246">
        <v>2026</v>
      </c>
      <c r="J4246">
        <v>5</v>
      </c>
      <c r="K4246" t="s">
        <v>87</v>
      </c>
      <c r="L4246" t="s">
        <v>30</v>
      </c>
      <c r="M4246" t="s">
        <v>6</v>
      </c>
      <c r="N4246" t="b">
        <v>0</v>
      </c>
      <c r="O4246">
        <v>1</v>
      </c>
      <c r="P4246">
        <v>0</v>
      </c>
      <c r="Q4246">
        <v>0</v>
      </c>
      <c r="R4246">
        <v>0</v>
      </c>
    </row>
    <row r="4247" spans="1:18" x14ac:dyDescent="0.25">
      <c r="A4247" t="s">
        <v>351</v>
      </c>
      <c r="B4247" t="s">
        <v>6</v>
      </c>
      <c r="C4247">
        <v>2</v>
      </c>
      <c r="D4247">
        <v>2</v>
      </c>
      <c r="E4247">
        <v>2</v>
      </c>
      <c r="F4247" s="15">
        <v>46153</v>
      </c>
      <c r="G4247" t="s">
        <v>525</v>
      </c>
      <c r="H4247">
        <v>4</v>
      </c>
      <c r="I4247">
        <v>2026</v>
      </c>
      <c r="J4247">
        <v>5</v>
      </c>
      <c r="K4247" t="s">
        <v>87</v>
      </c>
      <c r="L4247" t="s">
        <v>17</v>
      </c>
      <c r="M4247" t="s">
        <v>8</v>
      </c>
      <c r="N4247" t="b">
        <v>0</v>
      </c>
      <c r="O4247">
        <v>0</v>
      </c>
      <c r="P4247">
        <v>1</v>
      </c>
      <c r="Q4247">
        <v>0</v>
      </c>
      <c r="R4247">
        <v>1</v>
      </c>
    </row>
    <row r="4248" spans="1:18" x14ac:dyDescent="0.25">
      <c r="A4248" t="s">
        <v>351</v>
      </c>
      <c r="B4248" t="s">
        <v>6</v>
      </c>
      <c r="C4248">
        <v>2</v>
      </c>
      <c r="D4248">
        <v>2</v>
      </c>
      <c r="E4248">
        <v>2</v>
      </c>
      <c r="F4248" s="15">
        <v>46153</v>
      </c>
      <c r="G4248" t="s">
        <v>525</v>
      </c>
      <c r="H4248">
        <v>4</v>
      </c>
      <c r="I4248">
        <v>2026</v>
      </c>
      <c r="J4248">
        <v>5</v>
      </c>
      <c r="K4248" t="s">
        <v>87</v>
      </c>
      <c r="L4248" t="s">
        <v>20</v>
      </c>
      <c r="M4248" t="s">
        <v>6</v>
      </c>
      <c r="N4248" t="b">
        <v>0</v>
      </c>
      <c r="O4248">
        <v>0</v>
      </c>
      <c r="P4248">
        <v>1</v>
      </c>
      <c r="Q4248">
        <v>0</v>
      </c>
      <c r="R4248">
        <v>0</v>
      </c>
    </row>
    <row r="4249" spans="1:18" x14ac:dyDescent="0.25">
      <c r="A4249" t="s">
        <v>351</v>
      </c>
      <c r="B4249" t="s">
        <v>6</v>
      </c>
      <c r="C4249">
        <v>2</v>
      </c>
      <c r="D4249">
        <v>2</v>
      </c>
      <c r="E4249">
        <v>2</v>
      </c>
      <c r="F4249" s="15">
        <v>46153</v>
      </c>
      <c r="G4249" t="s">
        <v>525</v>
      </c>
      <c r="H4249">
        <v>4</v>
      </c>
      <c r="I4249">
        <v>2026</v>
      </c>
      <c r="J4249">
        <v>5</v>
      </c>
      <c r="K4249" t="s">
        <v>87</v>
      </c>
      <c r="L4249" t="s">
        <v>30</v>
      </c>
      <c r="M4249" t="s">
        <v>6</v>
      </c>
      <c r="N4249" t="b">
        <v>0</v>
      </c>
      <c r="O4249">
        <v>0</v>
      </c>
      <c r="P4249">
        <v>1</v>
      </c>
      <c r="Q4249">
        <v>0</v>
      </c>
      <c r="R4249">
        <v>0</v>
      </c>
    </row>
    <row r="4250" spans="1:18" x14ac:dyDescent="0.25">
      <c r="A4250" t="s">
        <v>20</v>
      </c>
      <c r="B4250" t="s">
        <v>6</v>
      </c>
      <c r="C4250">
        <v>3</v>
      </c>
      <c r="D4250">
        <v>2</v>
      </c>
      <c r="E4250">
        <v>2</v>
      </c>
      <c r="F4250" s="15">
        <v>46153</v>
      </c>
      <c r="G4250" t="s">
        <v>525</v>
      </c>
      <c r="H4250">
        <v>4</v>
      </c>
      <c r="I4250">
        <v>2026</v>
      </c>
      <c r="J4250">
        <v>5</v>
      </c>
      <c r="K4250" t="s">
        <v>87</v>
      </c>
      <c r="L4250" t="s">
        <v>17</v>
      </c>
      <c r="M4250" t="s">
        <v>8</v>
      </c>
      <c r="N4250" t="b">
        <v>0</v>
      </c>
      <c r="O4250">
        <v>0</v>
      </c>
      <c r="P4250">
        <v>1</v>
      </c>
      <c r="Q4250">
        <v>0</v>
      </c>
      <c r="R4250">
        <v>1</v>
      </c>
    </row>
    <row r="4251" spans="1:18" x14ac:dyDescent="0.25">
      <c r="A4251" t="s">
        <v>20</v>
      </c>
      <c r="B4251" t="s">
        <v>6</v>
      </c>
      <c r="C4251">
        <v>3</v>
      </c>
      <c r="D4251">
        <v>2</v>
      </c>
      <c r="E4251">
        <v>2</v>
      </c>
      <c r="F4251" s="15">
        <v>46153</v>
      </c>
      <c r="G4251" t="s">
        <v>525</v>
      </c>
      <c r="H4251">
        <v>4</v>
      </c>
      <c r="I4251">
        <v>2026</v>
      </c>
      <c r="J4251">
        <v>5</v>
      </c>
      <c r="K4251" t="s">
        <v>87</v>
      </c>
      <c r="L4251" t="s">
        <v>351</v>
      </c>
      <c r="M4251" t="s">
        <v>6</v>
      </c>
      <c r="N4251" t="b">
        <v>0</v>
      </c>
      <c r="O4251">
        <v>0</v>
      </c>
      <c r="P4251">
        <v>1</v>
      </c>
      <c r="Q4251">
        <v>0</v>
      </c>
      <c r="R4251">
        <v>0</v>
      </c>
    </row>
    <row r="4252" spans="1:18" x14ac:dyDescent="0.25">
      <c r="A4252" t="s">
        <v>20</v>
      </c>
      <c r="B4252" t="s">
        <v>6</v>
      </c>
      <c r="C4252">
        <v>3</v>
      </c>
      <c r="D4252">
        <v>2</v>
      </c>
      <c r="E4252">
        <v>2</v>
      </c>
      <c r="F4252" s="15">
        <v>46153</v>
      </c>
      <c r="G4252" t="s">
        <v>525</v>
      </c>
      <c r="H4252">
        <v>4</v>
      </c>
      <c r="I4252">
        <v>2026</v>
      </c>
      <c r="J4252">
        <v>5</v>
      </c>
      <c r="K4252" t="s">
        <v>87</v>
      </c>
      <c r="L4252" t="s">
        <v>30</v>
      </c>
      <c r="M4252" t="s">
        <v>6</v>
      </c>
      <c r="N4252" t="b">
        <v>0</v>
      </c>
      <c r="O4252">
        <v>0</v>
      </c>
      <c r="P4252">
        <v>1</v>
      </c>
      <c r="Q4252">
        <v>0</v>
      </c>
      <c r="R4252">
        <v>0</v>
      </c>
    </row>
    <row r="4253" spans="1:18" x14ac:dyDescent="0.25">
      <c r="A4253" t="s">
        <v>30</v>
      </c>
      <c r="B4253" t="s">
        <v>6</v>
      </c>
      <c r="C4253">
        <v>4</v>
      </c>
      <c r="D4253">
        <v>2</v>
      </c>
      <c r="E4253">
        <v>2</v>
      </c>
      <c r="F4253" s="15">
        <v>46153</v>
      </c>
      <c r="G4253" t="s">
        <v>525</v>
      </c>
      <c r="H4253">
        <v>4</v>
      </c>
      <c r="I4253">
        <v>2026</v>
      </c>
      <c r="J4253">
        <v>5</v>
      </c>
      <c r="K4253" t="s">
        <v>87</v>
      </c>
      <c r="L4253" t="s">
        <v>17</v>
      </c>
      <c r="M4253" t="s">
        <v>8</v>
      </c>
      <c r="N4253" t="b">
        <v>0</v>
      </c>
      <c r="O4253">
        <v>0</v>
      </c>
      <c r="P4253">
        <v>1</v>
      </c>
      <c r="Q4253">
        <v>0</v>
      </c>
      <c r="R4253">
        <v>1</v>
      </c>
    </row>
    <row r="4254" spans="1:18" x14ac:dyDescent="0.25">
      <c r="A4254" t="s">
        <v>30</v>
      </c>
      <c r="B4254" t="s">
        <v>6</v>
      </c>
      <c r="C4254">
        <v>4</v>
      </c>
      <c r="D4254">
        <v>2</v>
      </c>
      <c r="E4254">
        <v>2</v>
      </c>
      <c r="F4254" s="15">
        <v>46153</v>
      </c>
      <c r="G4254" t="s">
        <v>525</v>
      </c>
      <c r="H4254">
        <v>4</v>
      </c>
      <c r="I4254">
        <v>2026</v>
      </c>
      <c r="J4254">
        <v>5</v>
      </c>
      <c r="K4254" t="s">
        <v>87</v>
      </c>
      <c r="L4254" t="s">
        <v>351</v>
      </c>
      <c r="M4254" t="s">
        <v>6</v>
      </c>
      <c r="N4254" t="b">
        <v>0</v>
      </c>
      <c r="O4254">
        <v>0</v>
      </c>
      <c r="P4254">
        <v>1</v>
      </c>
      <c r="Q4254">
        <v>0</v>
      </c>
      <c r="R4254">
        <v>0</v>
      </c>
    </row>
    <row r="4255" spans="1:18" x14ac:dyDescent="0.25">
      <c r="A4255" t="s">
        <v>30</v>
      </c>
      <c r="B4255" t="s">
        <v>6</v>
      </c>
      <c r="C4255">
        <v>4</v>
      </c>
      <c r="D4255">
        <v>2</v>
      </c>
      <c r="E4255">
        <v>2</v>
      </c>
      <c r="F4255" s="15">
        <v>46153</v>
      </c>
      <c r="G4255" t="s">
        <v>525</v>
      </c>
      <c r="H4255">
        <v>4</v>
      </c>
      <c r="I4255">
        <v>2026</v>
      </c>
      <c r="J4255">
        <v>5</v>
      </c>
      <c r="K4255" t="s">
        <v>87</v>
      </c>
      <c r="L4255" t="s">
        <v>20</v>
      </c>
      <c r="M4255" t="s">
        <v>6</v>
      </c>
      <c r="N4255" t="b">
        <v>0</v>
      </c>
      <c r="O4255">
        <v>0</v>
      </c>
      <c r="P4255">
        <v>1</v>
      </c>
      <c r="Q4255">
        <v>0</v>
      </c>
      <c r="R4255">
        <v>0</v>
      </c>
    </row>
    <row r="4256" spans="1:18" x14ac:dyDescent="0.25">
      <c r="A4256" t="s">
        <v>402</v>
      </c>
      <c r="B4256" t="s">
        <v>8</v>
      </c>
      <c r="C4256">
        <v>1</v>
      </c>
      <c r="D4256">
        <v>3</v>
      </c>
      <c r="E4256">
        <v>2</v>
      </c>
      <c r="F4256" s="15">
        <v>46153</v>
      </c>
      <c r="G4256" t="s">
        <v>526</v>
      </c>
      <c r="H4256">
        <v>3</v>
      </c>
      <c r="I4256">
        <v>2026</v>
      </c>
      <c r="J4256">
        <v>5</v>
      </c>
      <c r="K4256" t="s">
        <v>87</v>
      </c>
      <c r="L4256" t="s">
        <v>13</v>
      </c>
      <c r="M4256" t="s">
        <v>6</v>
      </c>
      <c r="N4256" t="b">
        <v>0</v>
      </c>
      <c r="O4256">
        <v>1</v>
      </c>
      <c r="P4256">
        <v>0</v>
      </c>
      <c r="Q4256">
        <v>0</v>
      </c>
      <c r="R4256">
        <v>0</v>
      </c>
    </row>
    <row r="4257" spans="1:18" x14ac:dyDescent="0.25">
      <c r="A4257" t="s">
        <v>402</v>
      </c>
      <c r="B4257" t="s">
        <v>8</v>
      </c>
      <c r="C4257">
        <v>1</v>
      </c>
      <c r="D4257">
        <v>3</v>
      </c>
      <c r="E4257">
        <v>2</v>
      </c>
      <c r="F4257" s="15">
        <v>46153</v>
      </c>
      <c r="G4257" t="s">
        <v>526</v>
      </c>
      <c r="H4257">
        <v>3</v>
      </c>
      <c r="I4257">
        <v>2026</v>
      </c>
      <c r="J4257">
        <v>5</v>
      </c>
      <c r="K4257" t="s">
        <v>87</v>
      </c>
      <c r="L4257" t="s">
        <v>14</v>
      </c>
      <c r="M4257" t="s">
        <v>6</v>
      </c>
      <c r="N4257" t="b">
        <v>0</v>
      </c>
      <c r="O4257">
        <v>1</v>
      </c>
      <c r="P4257">
        <v>0</v>
      </c>
      <c r="Q4257">
        <v>0</v>
      </c>
      <c r="R4257">
        <v>0</v>
      </c>
    </row>
    <row r="4258" spans="1:18" x14ac:dyDescent="0.25">
      <c r="A4258" t="s">
        <v>13</v>
      </c>
      <c r="B4258" t="s">
        <v>6</v>
      </c>
      <c r="C4258">
        <v>2</v>
      </c>
      <c r="D4258">
        <v>3</v>
      </c>
      <c r="E4258">
        <v>2</v>
      </c>
      <c r="F4258" s="15">
        <v>46153</v>
      </c>
      <c r="G4258" t="s">
        <v>526</v>
      </c>
      <c r="H4258">
        <v>3</v>
      </c>
      <c r="I4258">
        <v>2026</v>
      </c>
      <c r="J4258">
        <v>5</v>
      </c>
      <c r="K4258" t="s">
        <v>87</v>
      </c>
      <c r="L4258" t="s">
        <v>402</v>
      </c>
      <c r="M4258" t="s">
        <v>8</v>
      </c>
      <c r="N4258" t="b">
        <v>0</v>
      </c>
      <c r="O4258">
        <v>0</v>
      </c>
      <c r="P4258">
        <v>1</v>
      </c>
      <c r="Q4258">
        <v>0</v>
      </c>
      <c r="R4258">
        <v>1</v>
      </c>
    </row>
    <row r="4259" spans="1:18" x14ac:dyDescent="0.25">
      <c r="A4259" t="s">
        <v>13</v>
      </c>
      <c r="B4259" t="s">
        <v>6</v>
      </c>
      <c r="C4259">
        <v>2</v>
      </c>
      <c r="D4259">
        <v>3</v>
      </c>
      <c r="E4259">
        <v>2</v>
      </c>
      <c r="F4259" s="15">
        <v>46153</v>
      </c>
      <c r="G4259" t="s">
        <v>526</v>
      </c>
      <c r="H4259">
        <v>3</v>
      </c>
      <c r="I4259">
        <v>2026</v>
      </c>
      <c r="J4259">
        <v>5</v>
      </c>
      <c r="K4259" t="s">
        <v>87</v>
      </c>
      <c r="L4259" t="s">
        <v>14</v>
      </c>
      <c r="M4259" t="s">
        <v>6</v>
      </c>
      <c r="N4259" t="b">
        <v>0</v>
      </c>
      <c r="O4259">
        <v>0</v>
      </c>
      <c r="P4259">
        <v>1</v>
      </c>
      <c r="Q4259">
        <v>0</v>
      </c>
      <c r="R4259">
        <v>0</v>
      </c>
    </row>
    <row r="4260" spans="1:18" x14ac:dyDescent="0.25">
      <c r="A4260" t="s">
        <v>14</v>
      </c>
      <c r="B4260" t="s">
        <v>6</v>
      </c>
      <c r="C4260">
        <v>3</v>
      </c>
      <c r="D4260">
        <v>3</v>
      </c>
      <c r="E4260">
        <v>2</v>
      </c>
      <c r="F4260" s="15">
        <v>46153</v>
      </c>
      <c r="G4260" t="s">
        <v>526</v>
      </c>
      <c r="H4260">
        <v>3</v>
      </c>
      <c r="I4260">
        <v>2026</v>
      </c>
      <c r="J4260">
        <v>5</v>
      </c>
      <c r="K4260" t="s">
        <v>87</v>
      </c>
      <c r="L4260" t="s">
        <v>402</v>
      </c>
      <c r="M4260" t="s">
        <v>8</v>
      </c>
      <c r="N4260" t="b">
        <v>0</v>
      </c>
      <c r="O4260">
        <v>0</v>
      </c>
      <c r="P4260">
        <v>1</v>
      </c>
      <c r="Q4260">
        <v>0</v>
      </c>
      <c r="R4260">
        <v>1</v>
      </c>
    </row>
    <row r="4261" spans="1:18" x14ac:dyDescent="0.25">
      <c r="A4261" t="s">
        <v>14</v>
      </c>
      <c r="B4261" t="s">
        <v>6</v>
      </c>
      <c r="C4261">
        <v>3</v>
      </c>
      <c r="D4261">
        <v>3</v>
      </c>
      <c r="E4261">
        <v>2</v>
      </c>
      <c r="F4261" s="15">
        <v>46153</v>
      </c>
      <c r="G4261" t="s">
        <v>526</v>
      </c>
      <c r="H4261">
        <v>3</v>
      </c>
      <c r="I4261">
        <v>2026</v>
      </c>
      <c r="J4261">
        <v>5</v>
      </c>
      <c r="K4261" t="s">
        <v>87</v>
      </c>
      <c r="L4261" t="s">
        <v>13</v>
      </c>
      <c r="M4261" t="s">
        <v>6</v>
      </c>
      <c r="N4261" t="b">
        <v>0</v>
      </c>
      <c r="O4261">
        <v>0</v>
      </c>
      <c r="P4261">
        <v>1</v>
      </c>
      <c r="Q4261">
        <v>0</v>
      </c>
      <c r="R4261">
        <v>0</v>
      </c>
    </row>
    <row r="4262" spans="1:18" x14ac:dyDescent="0.25">
      <c r="A4262" t="s">
        <v>52</v>
      </c>
      <c r="B4262" t="s">
        <v>8</v>
      </c>
      <c r="C4262">
        <v>1</v>
      </c>
      <c r="D4262">
        <v>4</v>
      </c>
      <c r="E4262">
        <v>2</v>
      </c>
      <c r="F4262" s="15">
        <v>46153</v>
      </c>
      <c r="G4262" t="s">
        <v>527</v>
      </c>
      <c r="H4262">
        <v>3</v>
      </c>
      <c r="I4262">
        <v>2026</v>
      </c>
      <c r="J4262">
        <v>5</v>
      </c>
      <c r="K4262" t="s">
        <v>87</v>
      </c>
      <c r="L4262" t="s">
        <v>363</v>
      </c>
      <c r="M4262" t="s">
        <v>6</v>
      </c>
      <c r="N4262" t="b">
        <v>0</v>
      </c>
      <c r="O4262">
        <v>1</v>
      </c>
      <c r="P4262">
        <v>0</v>
      </c>
      <c r="Q4262">
        <v>0</v>
      </c>
      <c r="R4262">
        <v>0</v>
      </c>
    </row>
    <row r="4263" spans="1:18" x14ac:dyDescent="0.25">
      <c r="A4263" t="s">
        <v>52</v>
      </c>
      <c r="B4263" t="s">
        <v>8</v>
      </c>
      <c r="C4263">
        <v>1</v>
      </c>
      <c r="D4263">
        <v>4</v>
      </c>
      <c r="E4263">
        <v>2</v>
      </c>
      <c r="F4263" s="15">
        <v>46153</v>
      </c>
      <c r="G4263" t="s">
        <v>527</v>
      </c>
      <c r="H4263">
        <v>3</v>
      </c>
      <c r="I4263">
        <v>2026</v>
      </c>
      <c r="J4263">
        <v>5</v>
      </c>
      <c r="K4263" t="s">
        <v>87</v>
      </c>
      <c r="L4263" t="s">
        <v>41</v>
      </c>
      <c r="M4263" t="s">
        <v>6</v>
      </c>
      <c r="N4263" t="b">
        <v>0</v>
      </c>
      <c r="O4263">
        <v>1</v>
      </c>
      <c r="P4263">
        <v>0</v>
      </c>
      <c r="Q4263">
        <v>0</v>
      </c>
      <c r="R4263">
        <v>0</v>
      </c>
    </row>
    <row r="4264" spans="1:18" x14ac:dyDescent="0.25">
      <c r="A4264" t="s">
        <v>363</v>
      </c>
      <c r="B4264" t="s">
        <v>6</v>
      </c>
      <c r="C4264">
        <v>2</v>
      </c>
      <c r="D4264">
        <v>4</v>
      </c>
      <c r="E4264">
        <v>2</v>
      </c>
      <c r="F4264" s="15">
        <v>46153</v>
      </c>
      <c r="G4264" t="s">
        <v>527</v>
      </c>
      <c r="H4264">
        <v>3</v>
      </c>
      <c r="I4264">
        <v>2026</v>
      </c>
      <c r="J4264">
        <v>5</v>
      </c>
      <c r="K4264" t="s">
        <v>87</v>
      </c>
      <c r="L4264" t="s">
        <v>52</v>
      </c>
      <c r="M4264" t="s">
        <v>8</v>
      </c>
      <c r="N4264" t="b">
        <v>0</v>
      </c>
      <c r="O4264">
        <v>0</v>
      </c>
      <c r="P4264">
        <v>1</v>
      </c>
      <c r="Q4264">
        <v>0</v>
      </c>
      <c r="R4264">
        <v>1</v>
      </c>
    </row>
    <row r="4265" spans="1:18" x14ac:dyDescent="0.25">
      <c r="A4265" t="s">
        <v>363</v>
      </c>
      <c r="B4265" t="s">
        <v>6</v>
      </c>
      <c r="C4265">
        <v>2</v>
      </c>
      <c r="D4265">
        <v>4</v>
      </c>
      <c r="E4265">
        <v>2</v>
      </c>
      <c r="F4265" s="15">
        <v>46153</v>
      </c>
      <c r="G4265" t="s">
        <v>527</v>
      </c>
      <c r="H4265">
        <v>3</v>
      </c>
      <c r="I4265">
        <v>2026</v>
      </c>
      <c r="J4265">
        <v>5</v>
      </c>
      <c r="K4265" t="s">
        <v>87</v>
      </c>
      <c r="L4265" t="s">
        <v>41</v>
      </c>
      <c r="M4265" t="s">
        <v>6</v>
      </c>
      <c r="N4265" t="b">
        <v>0</v>
      </c>
      <c r="O4265">
        <v>0</v>
      </c>
      <c r="P4265">
        <v>1</v>
      </c>
      <c r="Q4265">
        <v>0</v>
      </c>
      <c r="R4265">
        <v>0</v>
      </c>
    </row>
    <row r="4266" spans="1:18" x14ac:dyDescent="0.25">
      <c r="A4266" t="s">
        <v>41</v>
      </c>
      <c r="B4266" t="s">
        <v>6</v>
      </c>
      <c r="C4266">
        <v>3</v>
      </c>
      <c r="D4266">
        <v>4</v>
      </c>
      <c r="E4266">
        <v>2</v>
      </c>
      <c r="F4266" s="15">
        <v>46153</v>
      </c>
      <c r="G4266" t="s">
        <v>527</v>
      </c>
      <c r="H4266">
        <v>3</v>
      </c>
      <c r="I4266">
        <v>2026</v>
      </c>
      <c r="J4266">
        <v>5</v>
      </c>
      <c r="K4266" t="s">
        <v>87</v>
      </c>
      <c r="L4266" t="s">
        <v>52</v>
      </c>
      <c r="M4266" t="s">
        <v>8</v>
      </c>
      <c r="N4266" t="b">
        <v>0</v>
      </c>
      <c r="O4266">
        <v>0</v>
      </c>
      <c r="P4266">
        <v>1</v>
      </c>
      <c r="Q4266">
        <v>0</v>
      </c>
      <c r="R4266">
        <v>1</v>
      </c>
    </row>
    <row r="4267" spans="1:18" x14ac:dyDescent="0.25">
      <c r="A4267" t="s">
        <v>41</v>
      </c>
      <c r="B4267" t="s">
        <v>6</v>
      </c>
      <c r="C4267">
        <v>3</v>
      </c>
      <c r="D4267">
        <v>4</v>
      </c>
      <c r="E4267">
        <v>2</v>
      </c>
      <c r="F4267" s="15">
        <v>46153</v>
      </c>
      <c r="G4267" t="s">
        <v>527</v>
      </c>
      <c r="H4267">
        <v>3</v>
      </c>
      <c r="I4267">
        <v>2026</v>
      </c>
      <c r="J4267">
        <v>5</v>
      </c>
      <c r="K4267" t="s">
        <v>87</v>
      </c>
      <c r="L4267" t="s">
        <v>363</v>
      </c>
      <c r="M4267" t="s">
        <v>6</v>
      </c>
      <c r="N4267" t="b">
        <v>0</v>
      </c>
      <c r="O4267">
        <v>0</v>
      </c>
      <c r="P4267">
        <v>1</v>
      </c>
      <c r="Q4267">
        <v>0</v>
      </c>
      <c r="R4267">
        <v>0</v>
      </c>
    </row>
    <row r="4268" spans="1:18" x14ac:dyDescent="0.25">
      <c r="A4268" t="s">
        <v>10</v>
      </c>
      <c r="B4268" t="s">
        <v>6</v>
      </c>
      <c r="C4268">
        <v>1</v>
      </c>
      <c r="D4268">
        <v>5</v>
      </c>
      <c r="E4268">
        <v>2</v>
      </c>
      <c r="F4268" s="15">
        <v>46153</v>
      </c>
      <c r="G4268" t="s">
        <v>528</v>
      </c>
      <c r="H4268">
        <v>3</v>
      </c>
      <c r="I4268">
        <v>2026</v>
      </c>
      <c r="J4268">
        <v>5</v>
      </c>
      <c r="K4268" t="s">
        <v>87</v>
      </c>
      <c r="L4268" t="s">
        <v>28</v>
      </c>
      <c r="M4268" t="s">
        <v>6</v>
      </c>
      <c r="N4268" t="b">
        <v>0</v>
      </c>
      <c r="O4268">
        <v>0</v>
      </c>
      <c r="P4268">
        <v>1</v>
      </c>
      <c r="Q4268">
        <v>0</v>
      </c>
      <c r="R4268">
        <v>0</v>
      </c>
    </row>
    <row r="4269" spans="1:18" x14ac:dyDescent="0.25">
      <c r="A4269" t="s">
        <v>10</v>
      </c>
      <c r="B4269" t="s">
        <v>6</v>
      </c>
      <c r="C4269">
        <v>1</v>
      </c>
      <c r="D4269">
        <v>5</v>
      </c>
      <c r="E4269">
        <v>2</v>
      </c>
      <c r="F4269" s="15">
        <v>46153</v>
      </c>
      <c r="G4269" t="s">
        <v>528</v>
      </c>
      <c r="H4269">
        <v>3</v>
      </c>
      <c r="I4269">
        <v>2026</v>
      </c>
      <c r="J4269">
        <v>5</v>
      </c>
      <c r="K4269" t="s">
        <v>87</v>
      </c>
      <c r="L4269" t="s">
        <v>519</v>
      </c>
      <c r="M4269" t="s">
        <v>8</v>
      </c>
      <c r="N4269" t="b">
        <v>0</v>
      </c>
      <c r="O4269">
        <v>0</v>
      </c>
      <c r="P4269">
        <v>1</v>
      </c>
      <c r="Q4269">
        <v>0</v>
      </c>
      <c r="R4269">
        <v>1</v>
      </c>
    </row>
    <row r="4270" spans="1:18" x14ac:dyDescent="0.25">
      <c r="A4270" t="s">
        <v>28</v>
      </c>
      <c r="B4270" t="s">
        <v>6</v>
      </c>
      <c r="C4270">
        <v>2</v>
      </c>
      <c r="D4270">
        <v>5</v>
      </c>
      <c r="E4270">
        <v>2</v>
      </c>
      <c r="F4270" s="15">
        <v>46153</v>
      </c>
      <c r="G4270" t="s">
        <v>528</v>
      </c>
      <c r="H4270">
        <v>3</v>
      </c>
      <c r="I4270">
        <v>2026</v>
      </c>
      <c r="J4270">
        <v>5</v>
      </c>
      <c r="K4270" t="s">
        <v>87</v>
      </c>
      <c r="L4270" t="s">
        <v>10</v>
      </c>
      <c r="M4270" t="s">
        <v>6</v>
      </c>
      <c r="N4270" t="b">
        <v>0</v>
      </c>
      <c r="O4270">
        <v>0</v>
      </c>
      <c r="P4270">
        <v>1</v>
      </c>
      <c r="Q4270">
        <v>0</v>
      </c>
      <c r="R4270">
        <v>0</v>
      </c>
    </row>
    <row r="4271" spans="1:18" x14ac:dyDescent="0.25">
      <c r="A4271" t="s">
        <v>28</v>
      </c>
      <c r="B4271" t="s">
        <v>6</v>
      </c>
      <c r="C4271">
        <v>2</v>
      </c>
      <c r="D4271">
        <v>5</v>
      </c>
      <c r="E4271">
        <v>2</v>
      </c>
      <c r="F4271" s="15">
        <v>46153</v>
      </c>
      <c r="G4271" t="s">
        <v>528</v>
      </c>
      <c r="H4271">
        <v>3</v>
      </c>
      <c r="I4271">
        <v>2026</v>
      </c>
      <c r="J4271">
        <v>5</v>
      </c>
      <c r="K4271" t="s">
        <v>87</v>
      </c>
      <c r="L4271" t="s">
        <v>519</v>
      </c>
      <c r="M4271" t="s">
        <v>8</v>
      </c>
      <c r="N4271" t="b">
        <v>0</v>
      </c>
      <c r="O4271">
        <v>0</v>
      </c>
      <c r="P4271">
        <v>1</v>
      </c>
      <c r="Q4271">
        <v>0</v>
      </c>
      <c r="R4271">
        <v>1</v>
      </c>
    </row>
    <row r="4272" spans="1:18" x14ac:dyDescent="0.25">
      <c r="A4272" t="s">
        <v>519</v>
      </c>
      <c r="B4272" t="s">
        <v>8</v>
      </c>
      <c r="C4272">
        <v>3</v>
      </c>
      <c r="D4272">
        <v>5</v>
      </c>
      <c r="E4272">
        <v>2</v>
      </c>
      <c r="F4272" s="15">
        <v>46153</v>
      </c>
      <c r="G4272" t="s">
        <v>528</v>
      </c>
      <c r="H4272">
        <v>3</v>
      </c>
      <c r="I4272">
        <v>2026</v>
      </c>
      <c r="J4272">
        <v>5</v>
      </c>
      <c r="K4272" t="s">
        <v>87</v>
      </c>
      <c r="L4272" t="s">
        <v>10</v>
      </c>
      <c r="M4272" t="s">
        <v>6</v>
      </c>
      <c r="N4272" t="b">
        <v>0</v>
      </c>
      <c r="O4272">
        <v>1</v>
      </c>
      <c r="P4272">
        <v>0</v>
      </c>
      <c r="Q4272">
        <v>0</v>
      </c>
      <c r="R4272">
        <v>0</v>
      </c>
    </row>
    <row r="4273" spans="1:18" x14ac:dyDescent="0.25">
      <c r="A4273" t="s">
        <v>519</v>
      </c>
      <c r="B4273" t="s">
        <v>8</v>
      </c>
      <c r="C4273">
        <v>3</v>
      </c>
      <c r="D4273">
        <v>5</v>
      </c>
      <c r="E4273">
        <v>2</v>
      </c>
      <c r="F4273" s="15">
        <v>46153</v>
      </c>
      <c r="G4273" t="s">
        <v>528</v>
      </c>
      <c r="H4273">
        <v>3</v>
      </c>
      <c r="I4273">
        <v>2026</v>
      </c>
      <c r="J4273">
        <v>5</v>
      </c>
      <c r="K4273" t="s">
        <v>87</v>
      </c>
      <c r="L4273" t="s">
        <v>28</v>
      </c>
      <c r="M4273" t="s">
        <v>6</v>
      </c>
      <c r="N4273" t="b">
        <v>0</v>
      </c>
      <c r="O4273">
        <v>1</v>
      </c>
      <c r="P4273">
        <v>0</v>
      </c>
      <c r="Q4273">
        <v>0</v>
      </c>
      <c r="R4273">
        <v>0</v>
      </c>
    </row>
    <row r="4274" spans="1:18" x14ac:dyDescent="0.25">
      <c r="A4274" t="s">
        <v>28</v>
      </c>
      <c r="B4274" t="s">
        <v>6</v>
      </c>
      <c r="C4274">
        <v>1</v>
      </c>
      <c r="D4274">
        <v>1</v>
      </c>
      <c r="E4274">
        <v>1</v>
      </c>
      <c r="F4274" s="15">
        <v>46160</v>
      </c>
      <c r="G4274" t="s">
        <v>529</v>
      </c>
      <c r="H4274">
        <v>4</v>
      </c>
      <c r="I4274">
        <v>2026</v>
      </c>
      <c r="J4274">
        <v>5</v>
      </c>
      <c r="K4274" t="s">
        <v>87</v>
      </c>
      <c r="L4274" t="s">
        <v>351</v>
      </c>
      <c r="M4274" t="s">
        <v>8</v>
      </c>
      <c r="N4274" t="b">
        <v>0</v>
      </c>
      <c r="O4274">
        <v>0</v>
      </c>
      <c r="P4274">
        <v>1</v>
      </c>
      <c r="Q4274">
        <v>0</v>
      </c>
      <c r="R4274">
        <v>1</v>
      </c>
    </row>
    <row r="4275" spans="1:18" x14ac:dyDescent="0.25">
      <c r="A4275" t="s">
        <v>28</v>
      </c>
      <c r="B4275" t="s">
        <v>6</v>
      </c>
      <c r="C4275">
        <v>1</v>
      </c>
      <c r="D4275">
        <v>1</v>
      </c>
      <c r="E4275">
        <v>1</v>
      </c>
      <c r="F4275" s="15">
        <v>46160</v>
      </c>
      <c r="G4275" t="s">
        <v>529</v>
      </c>
      <c r="H4275">
        <v>4</v>
      </c>
      <c r="I4275">
        <v>2026</v>
      </c>
      <c r="J4275">
        <v>5</v>
      </c>
      <c r="K4275" t="s">
        <v>87</v>
      </c>
      <c r="L4275" t="s">
        <v>7</v>
      </c>
      <c r="M4275" t="s">
        <v>6</v>
      </c>
      <c r="N4275" t="b">
        <v>0</v>
      </c>
      <c r="O4275">
        <v>0</v>
      </c>
      <c r="P4275">
        <v>1</v>
      </c>
      <c r="Q4275">
        <v>0</v>
      </c>
      <c r="R4275">
        <v>0</v>
      </c>
    </row>
    <row r="4276" spans="1:18" x14ac:dyDescent="0.25">
      <c r="A4276" t="s">
        <v>28</v>
      </c>
      <c r="B4276" t="s">
        <v>6</v>
      </c>
      <c r="C4276">
        <v>1</v>
      </c>
      <c r="D4276">
        <v>1</v>
      </c>
      <c r="E4276">
        <v>1</v>
      </c>
      <c r="F4276" s="15">
        <v>46160</v>
      </c>
      <c r="G4276" t="s">
        <v>529</v>
      </c>
      <c r="H4276">
        <v>4</v>
      </c>
      <c r="I4276">
        <v>2026</v>
      </c>
      <c r="J4276">
        <v>5</v>
      </c>
      <c r="K4276" t="s">
        <v>87</v>
      </c>
      <c r="L4276" t="s">
        <v>13</v>
      </c>
      <c r="M4276" t="s">
        <v>6</v>
      </c>
      <c r="N4276" t="b">
        <v>0</v>
      </c>
      <c r="O4276">
        <v>0</v>
      </c>
      <c r="P4276">
        <v>1</v>
      </c>
      <c r="Q4276">
        <v>0</v>
      </c>
      <c r="R4276">
        <v>0</v>
      </c>
    </row>
    <row r="4277" spans="1:18" x14ac:dyDescent="0.25">
      <c r="A4277" t="s">
        <v>351</v>
      </c>
      <c r="B4277" t="s">
        <v>8</v>
      </c>
      <c r="C4277">
        <v>2</v>
      </c>
      <c r="D4277">
        <v>1</v>
      </c>
      <c r="E4277">
        <v>1</v>
      </c>
      <c r="F4277" s="15">
        <v>46160</v>
      </c>
      <c r="G4277" t="s">
        <v>529</v>
      </c>
      <c r="H4277">
        <v>4</v>
      </c>
      <c r="I4277">
        <v>2026</v>
      </c>
      <c r="J4277">
        <v>5</v>
      </c>
      <c r="K4277" t="s">
        <v>87</v>
      </c>
      <c r="L4277" t="s">
        <v>28</v>
      </c>
      <c r="M4277" t="s">
        <v>6</v>
      </c>
      <c r="N4277" t="b">
        <v>0</v>
      </c>
      <c r="O4277">
        <v>1</v>
      </c>
      <c r="P4277">
        <v>0</v>
      </c>
      <c r="Q4277">
        <v>0</v>
      </c>
      <c r="R4277">
        <v>0</v>
      </c>
    </row>
    <row r="4278" spans="1:18" x14ac:dyDescent="0.25">
      <c r="A4278" t="s">
        <v>351</v>
      </c>
      <c r="B4278" t="s">
        <v>8</v>
      </c>
      <c r="C4278">
        <v>2</v>
      </c>
      <c r="D4278">
        <v>1</v>
      </c>
      <c r="E4278">
        <v>1</v>
      </c>
      <c r="F4278" s="15">
        <v>46160</v>
      </c>
      <c r="G4278" t="s">
        <v>529</v>
      </c>
      <c r="H4278">
        <v>4</v>
      </c>
      <c r="I4278">
        <v>2026</v>
      </c>
      <c r="J4278">
        <v>5</v>
      </c>
      <c r="K4278" t="s">
        <v>87</v>
      </c>
      <c r="L4278" t="s">
        <v>7</v>
      </c>
      <c r="M4278" t="s">
        <v>6</v>
      </c>
      <c r="N4278" t="b">
        <v>0</v>
      </c>
      <c r="O4278">
        <v>1</v>
      </c>
      <c r="P4278">
        <v>0</v>
      </c>
      <c r="Q4278">
        <v>0</v>
      </c>
      <c r="R4278">
        <v>0</v>
      </c>
    </row>
    <row r="4279" spans="1:18" x14ac:dyDescent="0.25">
      <c r="A4279" t="s">
        <v>351</v>
      </c>
      <c r="B4279" t="s">
        <v>8</v>
      </c>
      <c r="C4279">
        <v>2</v>
      </c>
      <c r="D4279">
        <v>1</v>
      </c>
      <c r="E4279">
        <v>1</v>
      </c>
      <c r="F4279" s="15">
        <v>46160</v>
      </c>
      <c r="G4279" t="s">
        <v>529</v>
      </c>
      <c r="H4279">
        <v>4</v>
      </c>
      <c r="I4279">
        <v>2026</v>
      </c>
      <c r="J4279">
        <v>5</v>
      </c>
      <c r="K4279" t="s">
        <v>87</v>
      </c>
      <c r="L4279" t="s">
        <v>13</v>
      </c>
      <c r="M4279" t="s">
        <v>6</v>
      </c>
      <c r="N4279" t="b">
        <v>0</v>
      </c>
      <c r="O4279">
        <v>1</v>
      </c>
      <c r="P4279">
        <v>0</v>
      </c>
      <c r="Q4279">
        <v>0</v>
      </c>
      <c r="R4279">
        <v>0</v>
      </c>
    </row>
    <row r="4280" spans="1:18" x14ac:dyDescent="0.25">
      <c r="A4280" t="s">
        <v>7</v>
      </c>
      <c r="B4280" t="s">
        <v>6</v>
      </c>
      <c r="C4280">
        <v>3</v>
      </c>
      <c r="D4280">
        <v>1</v>
      </c>
      <c r="E4280">
        <v>1</v>
      </c>
      <c r="F4280" s="15">
        <v>46160</v>
      </c>
      <c r="G4280" t="s">
        <v>529</v>
      </c>
      <c r="H4280">
        <v>4</v>
      </c>
      <c r="I4280">
        <v>2026</v>
      </c>
      <c r="J4280">
        <v>5</v>
      </c>
      <c r="K4280" t="s">
        <v>87</v>
      </c>
      <c r="L4280" t="s">
        <v>28</v>
      </c>
      <c r="M4280" t="s">
        <v>6</v>
      </c>
      <c r="N4280" t="b">
        <v>0</v>
      </c>
      <c r="O4280">
        <v>0</v>
      </c>
      <c r="P4280">
        <v>1</v>
      </c>
      <c r="Q4280">
        <v>0</v>
      </c>
      <c r="R4280">
        <v>0</v>
      </c>
    </row>
    <row r="4281" spans="1:18" x14ac:dyDescent="0.25">
      <c r="A4281" t="s">
        <v>7</v>
      </c>
      <c r="B4281" t="s">
        <v>6</v>
      </c>
      <c r="C4281">
        <v>3</v>
      </c>
      <c r="D4281">
        <v>1</v>
      </c>
      <c r="E4281">
        <v>1</v>
      </c>
      <c r="F4281" s="15">
        <v>46160</v>
      </c>
      <c r="G4281" t="s">
        <v>529</v>
      </c>
      <c r="H4281">
        <v>4</v>
      </c>
      <c r="I4281">
        <v>2026</v>
      </c>
      <c r="J4281">
        <v>5</v>
      </c>
      <c r="K4281" t="s">
        <v>87</v>
      </c>
      <c r="L4281" t="s">
        <v>351</v>
      </c>
      <c r="M4281" t="s">
        <v>8</v>
      </c>
      <c r="N4281" t="b">
        <v>0</v>
      </c>
      <c r="O4281">
        <v>0</v>
      </c>
      <c r="P4281">
        <v>1</v>
      </c>
      <c r="Q4281">
        <v>0</v>
      </c>
      <c r="R4281">
        <v>1</v>
      </c>
    </row>
    <row r="4282" spans="1:18" x14ac:dyDescent="0.25">
      <c r="A4282" t="s">
        <v>7</v>
      </c>
      <c r="B4282" t="s">
        <v>6</v>
      </c>
      <c r="C4282">
        <v>3</v>
      </c>
      <c r="D4282">
        <v>1</v>
      </c>
      <c r="E4282">
        <v>1</v>
      </c>
      <c r="F4282" s="15">
        <v>46160</v>
      </c>
      <c r="G4282" t="s">
        <v>529</v>
      </c>
      <c r="H4282">
        <v>4</v>
      </c>
      <c r="I4282">
        <v>2026</v>
      </c>
      <c r="J4282">
        <v>5</v>
      </c>
      <c r="K4282" t="s">
        <v>87</v>
      </c>
      <c r="L4282" t="s">
        <v>13</v>
      </c>
      <c r="M4282" t="s">
        <v>6</v>
      </c>
      <c r="N4282" t="b">
        <v>0</v>
      </c>
      <c r="O4282">
        <v>0</v>
      </c>
      <c r="P4282">
        <v>1</v>
      </c>
      <c r="Q4282">
        <v>0</v>
      </c>
      <c r="R4282">
        <v>0</v>
      </c>
    </row>
    <row r="4283" spans="1:18" x14ac:dyDescent="0.25">
      <c r="A4283" t="s">
        <v>13</v>
      </c>
      <c r="B4283" t="s">
        <v>6</v>
      </c>
      <c r="C4283">
        <v>4</v>
      </c>
      <c r="D4283">
        <v>1</v>
      </c>
      <c r="E4283">
        <v>1</v>
      </c>
      <c r="F4283" s="15">
        <v>46160</v>
      </c>
      <c r="G4283" t="s">
        <v>529</v>
      </c>
      <c r="H4283">
        <v>4</v>
      </c>
      <c r="I4283">
        <v>2026</v>
      </c>
      <c r="J4283">
        <v>5</v>
      </c>
      <c r="K4283" t="s">
        <v>87</v>
      </c>
      <c r="L4283" t="s">
        <v>28</v>
      </c>
      <c r="M4283" t="s">
        <v>6</v>
      </c>
      <c r="N4283" t="b">
        <v>0</v>
      </c>
      <c r="O4283">
        <v>0</v>
      </c>
      <c r="P4283">
        <v>1</v>
      </c>
      <c r="Q4283">
        <v>0</v>
      </c>
      <c r="R4283">
        <v>0</v>
      </c>
    </row>
    <row r="4284" spans="1:18" x14ac:dyDescent="0.25">
      <c r="A4284" t="s">
        <v>13</v>
      </c>
      <c r="B4284" t="s">
        <v>6</v>
      </c>
      <c r="C4284">
        <v>4</v>
      </c>
      <c r="D4284">
        <v>1</v>
      </c>
      <c r="E4284">
        <v>1</v>
      </c>
      <c r="F4284" s="15">
        <v>46160</v>
      </c>
      <c r="G4284" t="s">
        <v>529</v>
      </c>
      <c r="H4284">
        <v>4</v>
      </c>
      <c r="I4284">
        <v>2026</v>
      </c>
      <c r="J4284">
        <v>5</v>
      </c>
      <c r="K4284" t="s">
        <v>87</v>
      </c>
      <c r="L4284" t="s">
        <v>351</v>
      </c>
      <c r="M4284" t="s">
        <v>8</v>
      </c>
      <c r="N4284" t="b">
        <v>0</v>
      </c>
      <c r="O4284">
        <v>0</v>
      </c>
      <c r="P4284">
        <v>1</v>
      </c>
      <c r="Q4284">
        <v>0</v>
      </c>
      <c r="R4284">
        <v>1</v>
      </c>
    </row>
    <row r="4285" spans="1:18" x14ac:dyDescent="0.25">
      <c r="A4285" t="s">
        <v>13</v>
      </c>
      <c r="B4285" t="s">
        <v>6</v>
      </c>
      <c r="C4285">
        <v>4</v>
      </c>
      <c r="D4285">
        <v>1</v>
      </c>
      <c r="E4285">
        <v>1</v>
      </c>
      <c r="F4285" s="15">
        <v>46160</v>
      </c>
      <c r="G4285" t="s">
        <v>529</v>
      </c>
      <c r="H4285">
        <v>4</v>
      </c>
      <c r="I4285">
        <v>2026</v>
      </c>
      <c r="J4285">
        <v>5</v>
      </c>
      <c r="K4285" t="s">
        <v>87</v>
      </c>
      <c r="L4285" t="s">
        <v>7</v>
      </c>
      <c r="M4285" t="s">
        <v>6</v>
      </c>
      <c r="N4285" t="b">
        <v>0</v>
      </c>
      <c r="O4285">
        <v>0</v>
      </c>
      <c r="P4285">
        <v>1</v>
      </c>
      <c r="Q4285">
        <v>0</v>
      </c>
      <c r="R4285">
        <v>0</v>
      </c>
    </row>
    <row r="4286" spans="1:18" x14ac:dyDescent="0.25">
      <c r="A4286" t="s">
        <v>30</v>
      </c>
      <c r="B4286" t="s">
        <v>63</v>
      </c>
      <c r="C4286">
        <v>1</v>
      </c>
      <c r="D4286">
        <v>2</v>
      </c>
      <c r="E4286">
        <v>1</v>
      </c>
      <c r="F4286" s="15">
        <v>46160</v>
      </c>
      <c r="G4286" t="s">
        <v>530</v>
      </c>
      <c r="H4286">
        <v>3</v>
      </c>
      <c r="I4286">
        <v>2026</v>
      </c>
      <c r="J4286">
        <v>5</v>
      </c>
      <c r="K4286" t="s">
        <v>87</v>
      </c>
      <c r="L4286" t="s">
        <v>11</v>
      </c>
      <c r="M4286" t="s">
        <v>63</v>
      </c>
      <c r="N4286" t="b">
        <v>0</v>
      </c>
      <c r="O4286">
        <v>0</v>
      </c>
      <c r="P4286">
        <v>0</v>
      </c>
      <c r="Q4286">
        <v>1</v>
      </c>
      <c r="R4286">
        <v>0</v>
      </c>
    </row>
    <row r="4287" spans="1:18" x14ac:dyDescent="0.25">
      <c r="A4287" t="s">
        <v>30</v>
      </c>
      <c r="B4287" t="s">
        <v>63</v>
      </c>
      <c r="C4287">
        <v>1</v>
      </c>
      <c r="D4287">
        <v>2</v>
      </c>
      <c r="E4287">
        <v>1</v>
      </c>
      <c r="F4287" s="15">
        <v>46160</v>
      </c>
      <c r="G4287" t="s">
        <v>530</v>
      </c>
      <c r="H4287">
        <v>3</v>
      </c>
      <c r="I4287">
        <v>2026</v>
      </c>
      <c r="J4287">
        <v>5</v>
      </c>
      <c r="K4287" t="s">
        <v>87</v>
      </c>
      <c r="L4287" t="s">
        <v>10</v>
      </c>
      <c r="M4287" t="s">
        <v>63</v>
      </c>
      <c r="N4287" t="b">
        <v>0</v>
      </c>
      <c r="O4287">
        <v>0</v>
      </c>
      <c r="P4287">
        <v>0</v>
      </c>
      <c r="Q4287">
        <v>1</v>
      </c>
      <c r="R4287">
        <v>0</v>
      </c>
    </row>
    <row r="4288" spans="1:18" x14ac:dyDescent="0.25">
      <c r="A4288" t="s">
        <v>11</v>
      </c>
      <c r="B4288" t="s">
        <v>63</v>
      </c>
      <c r="C4288">
        <v>3</v>
      </c>
      <c r="D4288">
        <v>2</v>
      </c>
      <c r="E4288">
        <v>1</v>
      </c>
      <c r="F4288" s="15">
        <v>46160</v>
      </c>
      <c r="G4288" t="s">
        <v>530</v>
      </c>
      <c r="H4288">
        <v>3</v>
      </c>
      <c r="I4288">
        <v>2026</v>
      </c>
      <c r="J4288">
        <v>5</v>
      </c>
      <c r="K4288" t="s">
        <v>87</v>
      </c>
      <c r="L4288" t="s">
        <v>30</v>
      </c>
      <c r="M4288" t="s">
        <v>63</v>
      </c>
      <c r="N4288" t="b">
        <v>0</v>
      </c>
      <c r="O4288">
        <v>0</v>
      </c>
      <c r="P4288">
        <v>0</v>
      </c>
      <c r="Q4288">
        <v>1</v>
      </c>
      <c r="R4288">
        <v>0</v>
      </c>
    </row>
    <row r="4289" spans="1:18" x14ac:dyDescent="0.25">
      <c r="A4289" t="s">
        <v>11</v>
      </c>
      <c r="B4289" t="s">
        <v>63</v>
      </c>
      <c r="C4289">
        <v>3</v>
      </c>
      <c r="D4289">
        <v>2</v>
      </c>
      <c r="E4289">
        <v>1</v>
      </c>
      <c r="F4289" s="15">
        <v>46160</v>
      </c>
      <c r="G4289" t="s">
        <v>530</v>
      </c>
      <c r="H4289">
        <v>3</v>
      </c>
      <c r="I4289">
        <v>2026</v>
      </c>
      <c r="J4289">
        <v>5</v>
      </c>
      <c r="K4289" t="s">
        <v>87</v>
      </c>
      <c r="L4289" t="s">
        <v>10</v>
      </c>
      <c r="M4289" t="s">
        <v>63</v>
      </c>
      <c r="N4289" t="b">
        <v>0</v>
      </c>
      <c r="O4289">
        <v>0</v>
      </c>
      <c r="P4289">
        <v>0</v>
      </c>
      <c r="Q4289">
        <v>1</v>
      </c>
      <c r="R4289">
        <v>0</v>
      </c>
    </row>
    <row r="4290" spans="1:18" x14ac:dyDescent="0.25">
      <c r="A4290" t="s">
        <v>10</v>
      </c>
      <c r="B4290" t="s">
        <v>63</v>
      </c>
      <c r="C4290">
        <v>4</v>
      </c>
      <c r="D4290">
        <v>2</v>
      </c>
      <c r="E4290">
        <v>1</v>
      </c>
      <c r="F4290" s="15">
        <v>46160</v>
      </c>
      <c r="G4290" t="s">
        <v>530</v>
      </c>
      <c r="H4290">
        <v>3</v>
      </c>
      <c r="I4290">
        <v>2026</v>
      </c>
      <c r="J4290">
        <v>5</v>
      </c>
      <c r="K4290" t="s">
        <v>87</v>
      </c>
      <c r="L4290" t="s">
        <v>30</v>
      </c>
      <c r="M4290" t="s">
        <v>63</v>
      </c>
      <c r="N4290" t="b">
        <v>0</v>
      </c>
      <c r="O4290">
        <v>0</v>
      </c>
      <c r="P4290">
        <v>0</v>
      </c>
      <c r="Q4290">
        <v>1</v>
      </c>
      <c r="R4290">
        <v>0</v>
      </c>
    </row>
    <row r="4291" spans="1:18" x14ac:dyDescent="0.25">
      <c r="A4291" t="s">
        <v>10</v>
      </c>
      <c r="B4291" t="s">
        <v>63</v>
      </c>
      <c r="C4291">
        <v>4</v>
      </c>
      <c r="D4291">
        <v>2</v>
      </c>
      <c r="E4291">
        <v>1</v>
      </c>
      <c r="F4291" s="15">
        <v>46160</v>
      </c>
      <c r="G4291" t="s">
        <v>530</v>
      </c>
      <c r="H4291">
        <v>3</v>
      </c>
      <c r="I4291">
        <v>2026</v>
      </c>
      <c r="J4291">
        <v>5</v>
      </c>
      <c r="K4291" t="s">
        <v>87</v>
      </c>
      <c r="L4291" t="s">
        <v>11</v>
      </c>
      <c r="M4291" t="s">
        <v>63</v>
      </c>
      <c r="N4291" t="b">
        <v>0</v>
      </c>
      <c r="O4291">
        <v>0</v>
      </c>
      <c r="P4291">
        <v>0</v>
      </c>
      <c r="Q4291">
        <v>1</v>
      </c>
      <c r="R4291">
        <v>0</v>
      </c>
    </row>
    <row r="4292" spans="1:18" x14ac:dyDescent="0.25">
      <c r="A4292" t="s">
        <v>14</v>
      </c>
      <c r="B4292" t="s">
        <v>63</v>
      </c>
      <c r="C4292">
        <v>1</v>
      </c>
      <c r="D4292">
        <v>3</v>
      </c>
      <c r="E4292">
        <v>1</v>
      </c>
      <c r="F4292" s="15">
        <v>46160</v>
      </c>
      <c r="G4292" t="s">
        <v>531</v>
      </c>
      <c r="H4292">
        <v>4</v>
      </c>
      <c r="I4292">
        <v>2026</v>
      </c>
      <c r="J4292">
        <v>5</v>
      </c>
      <c r="K4292" t="s">
        <v>87</v>
      </c>
      <c r="L4292" t="s">
        <v>364</v>
      </c>
      <c r="M4292" t="s">
        <v>63</v>
      </c>
      <c r="N4292" t="b">
        <v>0</v>
      </c>
      <c r="O4292">
        <v>0</v>
      </c>
      <c r="P4292">
        <v>0</v>
      </c>
      <c r="Q4292">
        <v>1</v>
      </c>
      <c r="R4292">
        <v>0</v>
      </c>
    </row>
    <row r="4293" spans="1:18" x14ac:dyDescent="0.25">
      <c r="A4293" t="s">
        <v>14</v>
      </c>
      <c r="B4293" t="s">
        <v>63</v>
      </c>
      <c r="C4293">
        <v>1</v>
      </c>
      <c r="D4293">
        <v>3</v>
      </c>
      <c r="E4293">
        <v>1</v>
      </c>
      <c r="F4293" s="15">
        <v>46160</v>
      </c>
      <c r="G4293" t="s">
        <v>531</v>
      </c>
      <c r="H4293">
        <v>4</v>
      </c>
      <c r="I4293">
        <v>2026</v>
      </c>
      <c r="J4293">
        <v>5</v>
      </c>
      <c r="K4293" t="s">
        <v>87</v>
      </c>
      <c r="L4293" t="s">
        <v>51</v>
      </c>
      <c r="M4293" t="s">
        <v>63</v>
      </c>
      <c r="N4293" t="b">
        <v>0</v>
      </c>
      <c r="O4293">
        <v>0</v>
      </c>
      <c r="P4293">
        <v>0</v>
      </c>
      <c r="Q4293">
        <v>1</v>
      </c>
      <c r="R4293">
        <v>0</v>
      </c>
    </row>
    <row r="4294" spans="1:18" x14ac:dyDescent="0.25">
      <c r="A4294" t="s">
        <v>14</v>
      </c>
      <c r="B4294" t="s">
        <v>63</v>
      </c>
      <c r="C4294">
        <v>1</v>
      </c>
      <c r="D4294">
        <v>3</v>
      </c>
      <c r="E4294">
        <v>1</v>
      </c>
      <c r="F4294" s="15">
        <v>46160</v>
      </c>
      <c r="G4294" t="s">
        <v>531</v>
      </c>
      <c r="H4294">
        <v>4</v>
      </c>
      <c r="I4294">
        <v>2026</v>
      </c>
      <c r="J4294">
        <v>5</v>
      </c>
      <c r="K4294" t="s">
        <v>87</v>
      </c>
      <c r="L4294" t="s">
        <v>363</v>
      </c>
      <c r="M4294" t="s">
        <v>63</v>
      </c>
      <c r="N4294" t="b">
        <v>0</v>
      </c>
      <c r="O4294">
        <v>0</v>
      </c>
      <c r="P4294">
        <v>0</v>
      </c>
      <c r="Q4294">
        <v>1</v>
      </c>
      <c r="R4294">
        <v>0</v>
      </c>
    </row>
    <row r="4295" spans="1:18" x14ac:dyDescent="0.25">
      <c r="A4295" t="s">
        <v>364</v>
      </c>
      <c r="B4295" t="s">
        <v>63</v>
      </c>
      <c r="C4295">
        <v>2</v>
      </c>
      <c r="D4295">
        <v>3</v>
      </c>
      <c r="E4295">
        <v>1</v>
      </c>
      <c r="F4295" s="15">
        <v>46160</v>
      </c>
      <c r="G4295" t="s">
        <v>531</v>
      </c>
      <c r="H4295">
        <v>4</v>
      </c>
      <c r="I4295">
        <v>2026</v>
      </c>
      <c r="J4295">
        <v>5</v>
      </c>
      <c r="K4295" t="s">
        <v>87</v>
      </c>
      <c r="L4295" t="s">
        <v>14</v>
      </c>
      <c r="M4295" t="s">
        <v>63</v>
      </c>
      <c r="N4295" t="b">
        <v>0</v>
      </c>
      <c r="O4295">
        <v>0</v>
      </c>
      <c r="P4295">
        <v>0</v>
      </c>
      <c r="Q4295">
        <v>1</v>
      </c>
      <c r="R4295">
        <v>0</v>
      </c>
    </row>
    <row r="4296" spans="1:18" x14ac:dyDescent="0.25">
      <c r="A4296" t="s">
        <v>364</v>
      </c>
      <c r="B4296" t="s">
        <v>63</v>
      </c>
      <c r="C4296">
        <v>2</v>
      </c>
      <c r="D4296">
        <v>3</v>
      </c>
      <c r="E4296">
        <v>1</v>
      </c>
      <c r="F4296" s="15">
        <v>46160</v>
      </c>
      <c r="G4296" t="s">
        <v>531</v>
      </c>
      <c r="H4296">
        <v>4</v>
      </c>
      <c r="I4296">
        <v>2026</v>
      </c>
      <c r="J4296">
        <v>5</v>
      </c>
      <c r="K4296" t="s">
        <v>87</v>
      </c>
      <c r="L4296" t="s">
        <v>51</v>
      </c>
      <c r="M4296" t="s">
        <v>63</v>
      </c>
      <c r="N4296" t="b">
        <v>0</v>
      </c>
      <c r="O4296">
        <v>0</v>
      </c>
      <c r="P4296">
        <v>0</v>
      </c>
      <c r="Q4296">
        <v>1</v>
      </c>
      <c r="R4296">
        <v>0</v>
      </c>
    </row>
    <row r="4297" spans="1:18" x14ac:dyDescent="0.25">
      <c r="A4297" t="s">
        <v>364</v>
      </c>
      <c r="B4297" t="s">
        <v>63</v>
      </c>
      <c r="C4297">
        <v>2</v>
      </c>
      <c r="D4297">
        <v>3</v>
      </c>
      <c r="E4297">
        <v>1</v>
      </c>
      <c r="F4297" s="15">
        <v>46160</v>
      </c>
      <c r="G4297" t="s">
        <v>531</v>
      </c>
      <c r="H4297">
        <v>4</v>
      </c>
      <c r="I4297">
        <v>2026</v>
      </c>
      <c r="J4297">
        <v>5</v>
      </c>
      <c r="K4297" t="s">
        <v>87</v>
      </c>
      <c r="L4297" t="s">
        <v>363</v>
      </c>
      <c r="M4297" t="s">
        <v>63</v>
      </c>
      <c r="N4297" t="b">
        <v>0</v>
      </c>
      <c r="O4297">
        <v>0</v>
      </c>
      <c r="P4297">
        <v>0</v>
      </c>
      <c r="Q4297">
        <v>1</v>
      </c>
      <c r="R4297">
        <v>0</v>
      </c>
    </row>
    <row r="4298" spans="1:18" x14ac:dyDescent="0.25">
      <c r="A4298" t="s">
        <v>51</v>
      </c>
      <c r="B4298" t="s">
        <v>63</v>
      </c>
      <c r="C4298">
        <v>3</v>
      </c>
      <c r="D4298">
        <v>3</v>
      </c>
      <c r="E4298">
        <v>1</v>
      </c>
      <c r="F4298" s="15">
        <v>46160</v>
      </c>
      <c r="G4298" t="s">
        <v>531</v>
      </c>
      <c r="H4298">
        <v>4</v>
      </c>
      <c r="I4298">
        <v>2026</v>
      </c>
      <c r="J4298">
        <v>5</v>
      </c>
      <c r="K4298" t="s">
        <v>87</v>
      </c>
      <c r="L4298" t="s">
        <v>14</v>
      </c>
      <c r="M4298" t="s">
        <v>63</v>
      </c>
      <c r="N4298" t="b">
        <v>0</v>
      </c>
      <c r="O4298">
        <v>0</v>
      </c>
      <c r="P4298">
        <v>0</v>
      </c>
      <c r="Q4298">
        <v>1</v>
      </c>
      <c r="R4298">
        <v>0</v>
      </c>
    </row>
    <row r="4299" spans="1:18" x14ac:dyDescent="0.25">
      <c r="A4299" t="s">
        <v>51</v>
      </c>
      <c r="B4299" t="s">
        <v>63</v>
      </c>
      <c r="C4299">
        <v>3</v>
      </c>
      <c r="D4299">
        <v>3</v>
      </c>
      <c r="E4299">
        <v>1</v>
      </c>
      <c r="F4299" s="15">
        <v>46160</v>
      </c>
      <c r="G4299" t="s">
        <v>531</v>
      </c>
      <c r="H4299">
        <v>4</v>
      </c>
      <c r="I4299">
        <v>2026</v>
      </c>
      <c r="J4299">
        <v>5</v>
      </c>
      <c r="K4299" t="s">
        <v>87</v>
      </c>
      <c r="L4299" t="s">
        <v>364</v>
      </c>
      <c r="M4299" t="s">
        <v>63</v>
      </c>
      <c r="N4299" t="b">
        <v>0</v>
      </c>
      <c r="O4299">
        <v>0</v>
      </c>
      <c r="P4299">
        <v>0</v>
      </c>
      <c r="Q4299">
        <v>1</v>
      </c>
      <c r="R4299">
        <v>0</v>
      </c>
    </row>
    <row r="4300" spans="1:18" x14ac:dyDescent="0.25">
      <c r="A4300" t="s">
        <v>51</v>
      </c>
      <c r="B4300" t="s">
        <v>63</v>
      </c>
      <c r="C4300">
        <v>3</v>
      </c>
      <c r="D4300">
        <v>3</v>
      </c>
      <c r="E4300">
        <v>1</v>
      </c>
      <c r="F4300" s="15">
        <v>46160</v>
      </c>
      <c r="G4300" t="s">
        <v>531</v>
      </c>
      <c r="H4300">
        <v>4</v>
      </c>
      <c r="I4300">
        <v>2026</v>
      </c>
      <c r="J4300">
        <v>5</v>
      </c>
      <c r="K4300" t="s">
        <v>87</v>
      </c>
      <c r="L4300" t="s">
        <v>363</v>
      </c>
      <c r="M4300" t="s">
        <v>63</v>
      </c>
      <c r="N4300" t="b">
        <v>0</v>
      </c>
      <c r="O4300">
        <v>0</v>
      </c>
      <c r="P4300">
        <v>0</v>
      </c>
      <c r="Q4300">
        <v>1</v>
      </c>
      <c r="R4300">
        <v>0</v>
      </c>
    </row>
    <row r="4301" spans="1:18" x14ac:dyDescent="0.25">
      <c r="A4301" t="s">
        <v>363</v>
      </c>
      <c r="B4301" t="s">
        <v>63</v>
      </c>
      <c r="C4301">
        <v>4</v>
      </c>
      <c r="D4301">
        <v>3</v>
      </c>
      <c r="E4301">
        <v>1</v>
      </c>
      <c r="F4301" s="15">
        <v>46160</v>
      </c>
      <c r="G4301" t="s">
        <v>531</v>
      </c>
      <c r="H4301">
        <v>4</v>
      </c>
      <c r="I4301">
        <v>2026</v>
      </c>
      <c r="J4301">
        <v>5</v>
      </c>
      <c r="K4301" t="s">
        <v>87</v>
      </c>
      <c r="L4301" t="s">
        <v>14</v>
      </c>
      <c r="M4301" t="s">
        <v>63</v>
      </c>
      <c r="N4301" t="b">
        <v>0</v>
      </c>
      <c r="O4301">
        <v>0</v>
      </c>
      <c r="P4301">
        <v>0</v>
      </c>
      <c r="Q4301">
        <v>1</v>
      </c>
      <c r="R4301">
        <v>0</v>
      </c>
    </row>
    <row r="4302" spans="1:18" x14ac:dyDescent="0.25">
      <c r="A4302" t="s">
        <v>363</v>
      </c>
      <c r="B4302" t="s">
        <v>63</v>
      </c>
      <c r="C4302">
        <v>4</v>
      </c>
      <c r="D4302">
        <v>3</v>
      </c>
      <c r="E4302">
        <v>1</v>
      </c>
      <c r="F4302" s="15">
        <v>46160</v>
      </c>
      <c r="G4302" t="s">
        <v>531</v>
      </c>
      <c r="H4302">
        <v>4</v>
      </c>
      <c r="I4302">
        <v>2026</v>
      </c>
      <c r="J4302">
        <v>5</v>
      </c>
      <c r="K4302" t="s">
        <v>87</v>
      </c>
      <c r="L4302" t="s">
        <v>364</v>
      </c>
      <c r="M4302" t="s">
        <v>63</v>
      </c>
      <c r="N4302" t="b">
        <v>0</v>
      </c>
      <c r="O4302">
        <v>0</v>
      </c>
      <c r="P4302">
        <v>0</v>
      </c>
      <c r="Q4302">
        <v>1</v>
      </c>
      <c r="R4302">
        <v>0</v>
      </c>
    </row>
    <row r="4303" spans="1:18" x14ac:dyDescent="0.25">
      <c r="A4303" t="s">
        <v>363</v>
      </c>
      <c r="B4303" t="s">
        <v>63</v>
      </c>
      <c r="C4303">
        <v>4</v>
      </c>
      <c r="D4303">
        <v>3</v>
      </c>
      <c r="E4303">
        <v>1</v>
      </c>
      <c r="F4303" s="15">
        <v>46160</v>
      </c>
      <c r="G4303" t="s">
        <v>531</v>
      </c>
      <c r="H4303">
        <v>4</v>
      </c>
      <c r="I4303">
        <v>2026</v>
      </c>
      <c r="J4303">
        <v>5</v>
      </c>
      <c r="K4303" t="s">
        <v>87</v>
      </c>
      <c r="L4303" t="s">
        <v>51</v>
      </c>
      <c r="M4303" t="s">
        <v>63</v>
      </c>
      <c r="N4303" t="b">
        <v>0</v>
      </c>
      <c r="O4303">
        <v>0</v>
      </c>
      <c r="P4303">
        <v>0</v>
      </c>
      <c r="Q4303">
        <v>1</v>
      </c>
      <c r="R4303">
        <v>0</v>
      </c>
    </row>
    <row r="4304" spans="1:18" x14ac:dyDescent="0.25">
      <c r="A4304" t="s">
        <v>41</v>
      </c>
      <c r="B4304" t="s">
        <v>63</v>
      </c>
      <c r="C4304">
        <v>1</v>
      </c>
      <c r="D4304">
        <v>4</v>
      </c>
      <c r="E4304">
        <v>1</v>
      </c>
      <c r="F4304" s="15">
        <v>46160</v>
      </c>
      <c r="G4304" t="s">
        <v>532</v>
      </c>
      <c r="H4304">
        <v>4</v>
      </c>
      <c r="I4304">
        <v>2026</v>
      </c>
      <c r="J4304">
        <v>5</v>
      </c>
      <c r="K4304" t="s">
        <v>87</v>
      </c>
      <c r="L4304" t="s">
        <v>433</v>
      </c>
      <c r="M4304" t="s">
        <v>63</v>
      </c>
      <c r="N4304" t="b">
        <v>0</v>
      </c>
      <c r="O4304">
        <v>0</v>
      </c>
      <c r="P4304">
        <v>0</v>
      </c>
      <c r="Q4304">
        <v>1</v>
      </c>
      <c r="R4304">
        <v>0</v>
      </c>
    </row>
    <row r="4305" spans="1:18" x14ac:dyDescent="0.25">
      <c r="A4305" t="s">
        <v>41</v>
      </c>
      <c r="B4305" t="s">
        <v>63</v>
      </c>
      <c r="C4305">
        <v>1</v>
      </c>
      <c r="D4305">
        <v>4</v>
      </c>
      <c r="E4305">
        <v>1</v>
      </c>
      <c r="F4305" s="15">
        <v>46160</v>
      </c>
      <c r="G4305" t="s">
        <v>532</v>
      </c>
      <c r="H4305">
        <v>4</v>
      </c>
      <c r="I4305">
        <v>2026</v>
      </c>
      <c r="J4305">
        <v>5</v>
      </c>
      <c r="K4305" t="s">
        <v>87</v>
      </c>
      <c r="L4305" t="s">
        <v>9</v>
      </c>
      <c r="M4305" t="s">
        <v>63</v>
      </c>
      <c r="N4305" t="b">
        <v>0</v>
      </c>
      <c r="O4305">
        <v>0</v>
      </c>
      <c r="P4305">
        <v>0</v>
      </c>
      <c r="Q4305">
        <v>1</v>
      </c>
      <c r="R4305">
        <v>0</v>
      </c>
    </row>
    <row r="4306" spans="1:18" x14ac:dyDescent="0.25">
      <c r="A4306" t="s">
        <v>41</v>
      </c>
      <c r="B4306" t="s">
        <v>63</v>
      </c>
      <c r="C4306">
        <v>1</v>
      </c>
      <c r="D4306">
        <v>4</v>
      </c>
      <c r="E4306">
        <v>1</v>
      </c>
      <c r="F4306" s="15">
        <v>46160</v>
      </c>
      <c r="G4306" t="s">
        <v>532</v>
      </c>
      <c r="H4306">
        <v>4</v>
      </c>
      <c r="I4306">
        <v>2026</v>
      </c>
      <c r="J4306">
        <v>5</v>
      </c>
      <c r="K4306" t="s">
        <v>87</v>
      </c>
      <c r="L4306" t="s">
        <v>402</v>
      </c>
      <c r="M4306" t="s">
        <v>63</v>
      </c>
      <c r="N4306" t="b">
        <v>0</v>
      </c>
      <c r="O4306">
        <v>0</v>
      </c>
      <c r="P4306">
        <v>0</v>
      </c>
      <c r="Q4306">
        <v>1</v>
      </c>
      <c r="R4306">
        <v>0</v>
      </c>
    </row>
    <row r="4307" spans="1:18" x14ac:dyDescent="0.25">
      <c r="A4307" t="s">
        <v>433</v>
      </c>
      <c r="B4307" t="s">
        <v>63</v>
      </c>
      <c r="C4307">
        <v>2</v>
      </c>
      <c r="D4307">
        <v>4</v>
      </c>
      <c r="E4307">
        <v>1</v>
      </c>
      <c r="F4307" s="15">
        <v>46160</v>
      </c>
      <c r="G4307" t="s">
        <v>532</v>
      </c>
      <c r="H4307">
        <v>4</v>
      </c>
      <c r="I4307">
        <v>2026</v>
      </c>
      <c r="J4307">
        <v>5</v>
      </c>
      <c r="K4307" t="s">
        <v>87</v>
      </c>
      <c r="L4307" t="s">
        <v>41</v>
      </c>
      <c r="M4307" t="s">
        <v>63</v>
      </c>
      <c r="N4307" t="b">
        <v>0</v>
      </c>
      <c r="O4307">
        <v>0</v>
      </c>
      <c r="P4307">
        <v>0</v>
      </c>
      <c r="Q4307">
        <v>1</v>
      </c>
      <c r="R4307">
        <v>0</v>
      </c>
    </row>
    <row r="4308" spans="1:18" x14ac:dyDescent="0.25">
      <c r="A4308" t="s">
        <v>433</v>
      </c>
      <c r="B4308" t="s">
        <v>63</v>
      </c>
      <c r="C4308">
        <v>2</v>
      </c>
      <c r="D4308">
        <v>4</v>
      </c>
      <c r="E4308">
        <v>1</v>
      </c>
      <c r="F4308" s="15">
        <v>46160</v>
      </c>
      <c r="G4308" t="s">
        <v>532</v>
      </c>
      <c r="H4308">
        <v>4</v>
      </c>
      <c r="I4308">
        <v>2026</v>
      </c>
      <c r="J4308">
        <v>5</v>
      </c>
      <c r="K4308" t="s">
        <v>87</v>
      </c>
      <c r="L4308" t="s">
        <v>9</v>
      </c>
      <c r="M4308" t="s">
        <v>63</v>
      </c>
      <c r="N4308" t="b">
        <v>0</v>
      </c>
      <c r="O4308">
        <v>0</v>
      </c>
      <c r="P4308">
        <v>0</v>
      </c>
      <c r="Q4308">
        <v>1</v>
      </c>
      <c r="R4308">
        <v>0</v>
      </c>
    </row>
    <row r="4309" spans="1:18" x14ac:dyDescent="0.25">
      <c r="A4309" t="s">
        <v>433</v>
      </c>
      <c r="B4309" t="s">
        <v>63</v>
      </c>
      <c r="C4309">
        <v>2</v>
      </c>
      <c r="D4309">
        <v>4</v>
      </c>
      <c r="E4309">
        <v>1</v>
      </c>
      <c r="F4309" s="15">
        <v>46160</v>
      </c>
      <c r="G4309" t="s">
        <v>532</v>
      </c>
      <c r="H4309">
        <v>4</v>
      </c>
      <c r="I4309">
        <v>2026</v>
      </c>
      <c r="J4309">
        <v>5</v>
      </c>
      <c r="K4309" t="s">
        <v>87</v>
      </c>
      <c r="L4309" t="s">
        <v>402</v>
      </c>
      <c r="M4309" t="s">
        <v>63</v>
      </c>
      <c r="N4309" t="b">
        <v>0</v>
      </c>
      <c r="O4309">
        <v>0</v>
      </c>
      <c r="P4309">
        <v>0</v>
      </c>
      <c r="Q4309">
        <v>1</v>
      </c>
      <c r="R4309">
        <v>0</v>
      </c>
    </row>
    <row r="4310" spans="1:18" x14ac:dyDescent="0.25">
      <c r="A4310" t="s">
        <v>9</v>
      </c>
      <c r="B4310" t="s">
        <v>63</v>
      </c>
      <c r="C4310">
        <v>3</v>
      </c>
      <c r="D4310">
        <v>4</v>
      </c>
      <c r="E4310">
        <v>1</v>
      </c>
      <c r="F4310" s="15">
        <v>46160</v>
      </c>
      <c r="G4310" t="s">
        <v>532</v>
      </c>
      <c r="H4310">
        <v>4</v>
      </c>
      <c r="I4310">
        <v>2026</v>
      </c>
      <c r="J4310">
        <v>5</v>
      </c>
      <c r="K4310" t="s">
        <v>87</v>
      </c>
      <c r="L4310" t="s">
        <v>41</v>
      </c>
      <c r="M4310" t="s">
        <v>63</v>
      </c>
      <c r="N4310" t="b">
        <v>0</v>
      </c>
      <c r="O4310">
        <v>0</v>
      </c>
      <c r="P4310">
        <v>0</v>
      </c>
      <c r="Q4310">
        <v>1</v>
      </c>
      <c r="R4310">
        <v>0</v>
      </c>
    </row>
    <row r="4311" spans="1:18" x14ac:dyDescent="0.25">
      <c r="A4311" t="s">
        <v>9</v>
      </c>
      <c r="B4311" t="s">
        <v>63</v>
      </c>
      <c r="C4311">
        <v>3</v>
      </c>
      <c r="D4311">
        <v>4</v>
      </c>
      <c r="E4311">
        <v>1</v>
      </c>
      <c r="F4311" s="15">
        <v>46160</v>
      </c>
      <c r="G4311" t="s">
        <v>532</v>
      </c>
      <c r="H4311">
        <v>4</v>
      </c>
      <c r="I4311">
        <v>2026</v>
      </c>
      <c r="J4311">
        <v>5</v>
      </c>
      <c r="K4311" t="s">
        <v>87</v>
      </c>
      <c r="L4311" t="s">
        <v>433</v>
      </c>
      <c r="M4311" t="s">
        <v>63</v>
      </c>
      <c r="N4311" t="b">
        <v>0</v>
      </c>
      <c r="O4311">
        <v>0</v>
      </c>
      <c r="P4311">
        <v>0</v>
      </c>
      <c r="Q4311">
        <v>1</v>
      </c>
      <c r="R4311">
        <v>0</v>
      </c>
    </row>
    <row r="4312" spans="1:18" x14ac:dyDescent="0.25">
      <c r="A4312" t="s">
        <v>9</v>
      </c>
      <c r="B4312" t="s">
        <v>63</v>
      </c>
      <c r="C4312">
        <v>3</v>
      </c>
      <c r="D4312">
        <v>4</v>
      </c>
      <c r="E4312">
        <v>1</v>
      </c>
      <c r="F4312" s="15">
        <v>46160</v>
      </c>
      <c r="G4312" t="s">
        <v>532</v>
      </c>
      <c r="H4312">
        <v>4</v>
      </c>
      <c r="I4312">
        <v>2026</v>
      </c>
      <c r="J4312">
        <v>5</v>
      </c>
      <c r="K4312" t="s">
        <v>87</v>
      </c>
      <c r="L4312" t="s">
        <v>402</v>
      </c>
      <c r="M4312" t="s">
        <v>63</v>
      </c>
      <c r="N4312" t="b">
        <v>0</v>
      </c>
      <c r="O4312">
        <v>0</v>
      </c>
      <c r="P4312">
        <v>0</v>
      </c>
      <c r="Q4312">
        <v>1</v>
      </c>
      <c r="R4312">
        <v>0</v>
      </c>
    </row>
    <row r="4313" spans="1:18" x14ac:dyDescent="0.25">
      <c r="A4313" t="s">
        <v>402</v>
      </c>
      <c r="B4313" t="s">
        <v>63</v>
      </c>
      <c r="C4313">
        <v>4</v>
      </c>
      <c r="D4313">
        <v>4</v>
      </c>
      <c r="E4313">
        <v>1</v>
      </c>
      <c r="F4313" s="15">
        <v>46160</v>
      </c>
      <c r="G4313" t="s">
        <v>532</v>
      </c>
      <c r="H4313">
        <v>4</v>
      </c>
      <c r="I4313">
        <v>2026</v>
      </c>
      <c r="J4313">
        <v>5</v>
      </c>
      <c r="K4313" t="s">
        <v>87</v>
      </c>
      <c r="L4313" t="s">
        <v>41</v>
      </c>
      <c r="M4313" t="s">
        <v>63</v>
      </c>
      <c r="N4313" t="b">
        <v>0</v>
      </c>
      <c r="O4313">
        <v>0</v>
      </c>
      <c r="P4313">
        <v>0</v>
      </c>
      <c r="Q4313">
        <v>1</v>
      </c>
      <c r="R4313">
        <v>0</v>
      </c>
    </row>
    <row r="4314" spans="1:18" x14ac:dyDescent="0.25">
      <c r="A4314" t="s">
        <v>402</v>
      </c>
      <c r="B4314" t="s">
        <v>63</v>
      </c>
      <c r="C4314">
        <v>4</v>
      </c>
      <c r="D4314">
        <v>4</v>
      </c>
      <c r="E4314">
        <v>1</v>
      </c>
      <c r="F4314" s="15">
        <v>46160</v>
      </c>
      <c r="G4314" t="s">
        <v>532</v>
      </c>
      <c r="H4314">
        <v>4</v>
      </c>
      <c r="I4314">
        <v>2026</v>
      </c>
      <c r="J4314">
        <v>5</v>
      </c>
      <c r="K4314" t="s">
        <v>87</v>
      </c>
      <c r="L4314" t="s">
        <v>433</v>
      </c>
      <c r="M4314" t="s">
        <v>63</v>
      </c>
      <c r="N4314" t="b">
        <v>0</v>
      </c>
      <c r="O4314">
        <v>0</v>
      </c>
      <c r="P4314">
        <v>0</v>
      </c>
      <c r="Q4314">
        <v>1</v>
      </c>
      <c r="R4314">
        <v>0</v>
      </c>
    </row>
    <row r="4315" spans="1:18" x14ac:dyDescent="0.25">
      <c r="A4315" t="s">
        <v>402</v>
      </c>
      <c r="B4315" t="s">
        <v>63</v>
      </c>
      <c r="C4315">
        <v>4</v>
      </c>
      <c r="D4315">
        <v>4</v>
      </c>
      <c r="E4315">
        <v>1</v>
      </c>
      <c r="F4315" s="15">
        <v>46160</v>
      </c>
      <c r="G4315" t="s">
        <v>532</v>
      </c>
      <c r="H4315">
        <v>4</v>
      </c>
      <c r="I4315">
        <v>2026</v>
      </c>
      <c r="J4315">
        <v>5</v>
      </c>
      <c r="K4315" t="s">
        <v>87</v>
      </c>
      <c r="L4315" t="s">
        <v>9</v>
      </c>
      <c r="M4315" t="s">
        <v>63</v>
      </c>
      <c r="N4315" t="b">
        <v>0</v>
      </c>
      <c r="O4315">
        <v>0</v>
      </c>
      <c r="P4315">
        <v>0</v>
      </c>
      <c r="Q4315">
        <v>1</v>
      </c>
      <c r="R4315">
        <v>0</v>
      </c>
    </row>
    <row r="4316" spans="1:18" x14ac:dyDescent="0.25">
      <c r="A4316" t="s">
        <v>17</v>
      </c>
      <c r="B4316" t="s">
        <v>6</v>
      </c>
      <c r="C4316">
        <v>1</v>
      </c>
      <c r="D4316">
        <v>5</v>
      </c>
      <c r="E4316">
        <v>1</v>
      </c>
      <c r="F4316" s="15">
        <v>46160</v>
      </c>
      <c r="G4316" t="s">
        <v>533</v>
      </c>
      <c r="H4316">
        <v>3</v>
      </c>
      <c r="I4316">
        <v>2026</v>
      </c>
      <c r="J4316">
        <v>5</v>
      </c>
      <c r="K4316" t="s">
        <v>87</v>
      </c>
      <c r="L4316" t="s">
        <v>352</v>
      </c>
      <c r="M4316" t="s">
        <v>6</v>
      </c>
      <c r="N4316" t="b">
        <v>0</v>
      </c>
      <c r="O4316">
        <v>0</v>
      </c>
      <c r="P4316">
        <v>1</v>
      </c>
      <c r="Q4316">
        <v>0</v>
      </c>
      <c r="R4316">
        <v>0</v>
      </c>
    </row>
    <row r="4317" spans="1:18" x14ac:dyDescent="0.25">
      <c r="A4317" t="s">
        <v>17</v>
      </c>
      <c r="B4317" t="s">
        <v>6</v>
      </c>
      <c r="C4317">
        <v>1</v>
      </c>
      <c r="D4317">
        <v>5</v>
      </c>
      <c r="E4317">
        <v>1</v>
      </c>
      <c r="F4317" s="15">
        <v>46160</v>
      </c>
      <c r="G4317" t="s">
        <v>533</v>
      </c>
      <c r="H4317">
        <v>3</v>
      </c>
      <c r="I4317">
        <v>2026</v>
      </c>
      <c r="J4317">
        <v>5</v>
      </c>
      <c r="K4317" t="s">
        <v>87</v>
      </c>
      <c r="L4317" t="s">
        <v>19</v>
      </c>
      <c r="M4317" t="s">
        <v>8</v>
      </c>
      <c r="N4317" t="b">
        <v>0</v>
      </c>
      <c r="O4317">
        <v>0</v>
      </c>
      <c r="P4317">
        <v>1</v>
      </c>
      <c r="Q4317">
        <v>0</v>
      </c>
      <c r="R4317">
        <v>1</v>
      </c>
    </row>
    <row r="4318" spans="1:18" x14ac:dyDescent="0.25">
      <c r="A4318" t="s">
        <v>352</v>
      </c>
      <c r="B4318" t="s">
        <v>6</v>
      </c>
      <c r="C4318">
        <v>2</v>
      </c>
      <c r="D4318">
        <v>5</v>
      </c>
      <c r="E4318">
        <v>1</v>
      </c>
      <c r="F4318" s="15">
        <v>46160</v>
      </c>
      <c r="G4318" t="s">
        <v>533</v>
      </c>
      <c r="H4318">
        <v>3</v>
      </c>
      <c r="I4318">
        <v>2026</v>
      </c>
      <c r="J4318">
        <v>5</v>
      </c>
      <c r="K4318" t="s">
        <v>87</v>
      </c>
      <c r="L4318" t="s">
        <v>17</v>
      </c>
      <c r="M4318" t="s">
        <v>6</v>
      </c>
      <c r="N4318" t="b">
        <v>0</v>
      </c>
      <c r="O4318">
        <v>0</v>
      </c>
      <c r="P4318">
        <v>1</v>
      </c>
      <c r="Q4318">
        <v>0</v>
      </c>
      <c r="R4318">
        <v>0</v>
      </c>
    </row>
    <row r="4319" spans="1:18" x14ac:dyDescent="0.25">
      <c r="A4319" t="s">
        <v>352</v>
      </c>
      <c r="B4319" t="s">
        <v>6</v>
      </c>
      <c r="C4319">
        <v>2</v>
      </c>
      <c r="D4319">
        <v>5</v>
      </c>
      <c r="E4319">
        <v>1</v>
      </c>
      <c r="F4319" s="15">
        <v>46160</v>
      </c>
      <c r="G4319" t="s">
        <v>533</v>
      </c>
      <c r="H4319">
        <v>3</v>
      </c>
      <c r="I4319">
        <v>2026</v>
      </c>
      <c r="J4319">
        <v>5</v>
      </c>
      <c r="K4319" t="s">
        <v>87</v>
      </c>
      <c r="L4319" t="s">
        <v>19</v>
      </c>
      <c r="M4319" t="s">
        <v>8</v>
      </c>
      <c r="N4319" t="b">
        <v>0</v>
      </c>
      <c r="O4319">
        <v>0</v>
      </c>
      <c r="P4319">
        <v>1</v>
      </c>
      <c r="Q4319">
        <v>0</v>
      </c>
      <c r="R4319">
        <v>1</v>
      </c>
    </row>
    <row r="4320" spans="1:18" x14ac:dyDescent="0.25">
      <c r="A4320" t="s">
        <v>19</v>
      </c>
      <c r="B4320" t="s">
        <v>8</v>
      </c>
      <c r="C4320">
        <v>3</v>
      </c>
      <c r="D4320">
        <v>5</v>
      </c>
      <c r="E4320">
        <v>1</v>
      </c>
      <c r="F4320" s="15">
        <v>46160</v>
      </c>
      <c r="G4320" t="s">
        <v>533</v>
      </c>
      <c r="H4320">
        <v>3</v>
      </c>
      <c r="I4320">
        <v>2026</v>
      </c>
      <c r="J4320">
        <v>5</v>
      </c>
      <c r="K4320" t="s">
        <v>87</v>
      </c>
      <c r="L4320" t="s">
        <v>17</v>
      </c>
      <c r="M4320" t="s">
        <v>6</v>
      </c>
      <c r="N4320" t="b">
        <v>0</v>
      </c>
      <c r="O4320">
        <v>1</v>
      </c>
      <c r="P4320">
        <v>0</v>
      </c>
      <c r="Q4320">
        <v>0</v>
      </c>
      <c r="R4320">
        <v>0</v>
      </c>
    </row>
    <row r="4321" spans="1:18" x14ac:dyDescent="0.25">
      <c r="A4321" t="s">
        <v>19</v>
      </c>
      <c r="B4321" t="s">
        <v>8</v>
      </c>
      <c r="C4321">
        <v>3</v>
      </c>
      <c r="D4321">
        <v>5</v>
      </c>
      <c r="E4321">
        <v>1</v>
      </c>
      <c r="F4321" s="15">
        <v>46160</v>
      </c>
      <c r="G4321" t="s">
        <v>533</v>
      </c>
      <c r="H4321">
        <v>3</v>
      </c>
      <c r="I4321">
        <v>2026</v>
      </c>
      <c r="J4321">
        <v>5</v>
      </c>
      <c r="K4321" t="s">
        <v>87</v>
      </c>
      <c r="L4321" t="s">
        <v>352</v>
      </c>
      <c r="M4321" t="s">
        <v>6</v>
      </c>
      <c r="N4321" t="b">
        <v>0</v>
      </c>
      <c r="O4321">
        <v>1</v>
      </c>
      <c r="P4321">
        <v>0</v>
      </c>
      <c r="Q4321">
        <v>0</v>
      </c>
      <c r="R4321">
        <v>0</v>
      </c>
    </row>
    <row r="4322" spans="1:18" x14ac:dyDescent="0.25">
      <c r="A4322" t="s">
        <v>19</v>
      </c>
      <c r="B4322" t="s">
        <v>8</v>
      </c>
      <c r="C4322">
        <v>1</v>
      </c>
      <c r="D4322">
        <v>1</v>
      </c>
      <c r="E4322">
        <v>2</v>
      </c>
      <c r="F4322" s="15">
        <v>46160</v>
      </c>
      <c r="G4322" t="s">
        <v>534</v>
      </c>
      <c r="H4322">
        <v>4</v>
      </c>
      <c r="I4322">
        <v>2026</v>
      </c>
      <c r="J4322">
        <v>5</v>
      </c>
      <c r="K4322" t="s">
        <v>87</v>
      </c>
      <c r="L4322" t="s">
        <v>351</v>
      </c>
      <c r="M4322" t="s">
        <v>6</v>
      </c>
      <c r="N4322" t="b">
        <v>0</v>
      </c>
      <c r="O4322">
        <v>1</v>
      </c>
      <c r="P4322">
        <v>0</v>
      </c>
      <c r="Q4322">
        <v>0</v>
      </c>
      <c r="R4322">
        <v>0</v>
      </c>
    </row>
    <row r="4323" spans="1:18" x14ac:dyDescent="0.25">
      <c r="A4323" t="s">
        <v>19</v>
      </c>
      <c r="B4323" t="s">
        <v>8</v>
      </c>
      <c r="C4323">
        <v>1</v>
      </c>
      <c r="D4323">
        <v>1</v>
      </c>
      <c r="E4323">
        <v>2</v>
      </c>
      <c r="F4323" s="15">
        <v>46160</v>
      </c>
      <c r="G4323" t="s">
        <v>534</v>
      </c>
      <c r="H4323">
        <v>4</v>
      </c>
      <c r="I4323">
        <v>2026</v>
      </c>
      <c r="J4323">
        <v>5</v>
      </c>
      <c r="K4323" t="s">
        <v>87</v>
      </c>
      <c r="L4323" t="s">
        <v>30</v>
      </c>
      <c r="M4323" t="s">
        <v>6</v>
      </c>
      <c r="N4323" t="b">
        <v>0</v>
      </c>
      <c r="O4323">
        <v>1</v>
      </c>
      <c r="P4323">
        <v>0</v>
      </c>
      <c r="Q4323">
        <v>0</v>
      </c>
      <c r="R4323">
        <v>0</v>
      </c>
    </row>
    <row r="4324" spans="1:18" x14ac:dyDescent="0.25">
      <c r="A4324" t="s">
        <v>19</v>
      </c>
      <c r="B4324" t="s">
        <v>8</v>
      </c>
      <c r="C4324">
        <v>1</v>
      </c>
      <c r="D4324">
        <v>1</v>
      </c>
      <c r="E4324">
        <v>2</v>
      </c>
      <c r="F4324" s="15">
        <v>46160</v>
      </c>
      <c r="G4324" t="s">
        <v>534</v>
      </c>
      <c r="H4324">
        <v>4</v>
      </c>
      <c r="I4324">
        <v>2026</v>
      </c>
      <c r="J4324">
        <v>5</v>
      </c>
      <c r="K4324" t="s">
        <v>87</v>
      </c>
      <c r="L4324" t="s">
        <v>14</v>
      </c>
      <c r="M4324" t="s">
        <v>6</v>
      </c>
      <c r="N4324" t="b">
        <v>0</v>
      </c>
      <c r="O4324">
        <v>1</v>
      </c>
      <c r="P4324">
        <v>0</v>
      </c>
      <c r="Q4324">
        <v>0</v>
      </c>
      <c r="R4324">
        <v>0</v>
      </c>
    </row>
    <row r="4325" spans="1:18" x14ac:dyDescent="0.25">
      <c r="A4325" t="s">
        <v>351</v>
      </c>
      <c r="B4325" t="s">
        <v>6</v>
      </c>
      <c r="C4325">
        <v>2</v>
      </c>
      <c r="D4325">
        <v>1</v>
      </c>
      <c r="E4325">
        <v>2</v>
      </c>
      <c r="F4325" s="15">
        <v>46160</v>
      </c>
      <c r="G4325" t="s">
        <v>534</v>
      </c>
      <c r="H4325">
        <v>4</v>
      </c>
      <c r="I4325">
        <v>2026</v>
      </c>
      <c r="J4325">
        <v>5</v>
      </c>
      <c r="K4325" t="s">
        <v>87</v>
      </c>
      <c r="L4325" t="s">
        <v>19</v>
      </c>
      <c r="M4325" t="s">
        <v>8</v>
      </c>
      <c r="N4325" t="b">
        <v>0</v>
      </c>
      <c r="O4325">
        <v>0</v>
      </c>
      <c r="P4325">
        <v>1</v>
      </c>
      <c r="Q4325">
        <v>0</v>
      </c>
      <c r="R4325">
        <v>1</v>
      </c>
    </row>
    <row r="4326" spans="1:18" x14ac:dyDescent="0.25">
      <c r="A4326" t="s">
        <v>351</v>
      </c>
      <c r="B4326" t="s">
        <v>6</v>
      </c>
      <c r="C4326">
        <v>2</v>
      </c>
      <c r="D4326">
        <v>1</v>
      </c>
      <c r="E4326">
        <v>2</v>
      </c>
      <c r="F4326" s="15">
        <v>46160</v>
      </c>
      <c r="G4326" t="s">
        <v>534</v>
      </c>
      <c r="H4326">
        <v>4</v>
      </c>
      <c r="I4326">
        <v>2026</v>
      </c>
      <c r="J4326">
        <v>5</v>
      </c>
      <c r="K4326" t="s">
        <v>87</v>
      </c>
      <c r="L4326" t="s">
        <v>30</v>
      </c>
      <c r="M4326" t="s">
        <v>6</v>
      </c>
      <c r="N4326" t="b">
        <v>0</v>
      </c>
      <c r="O4326">
        <v>0</v>
      </c>
      <c r="P4326">
        <v>1</v>
      </c>
      <c r="Q4326">
        <v>0</v>
      </c>
      <c r="R4326">
        <v>0</v>
      </c>
    </row>
    <row r="4327" spans="1:18" x14ac:dyDescent="0.25">
      <c r="A4327" t="s">
        <v>351</v>
      </c>
      <c r="B4327" t="s">
        <v>6</v>
      </c>
      <c r="C4327">
        <v>2</v>
      </c>
      <c r="D4327">
        <v>1</v>
      </c>
      <c r="E4327">
        <v>2</v>
      </c>
      <c r="F4327" s="15">
        <v>46160</v>
      </c>
      <c r="G4327" t="s">
        <v>534</v>
      </c>
      <c r="H4327">
        <v>4</v>
      </c>
      <c r="I4327">
        <v>2026</v>
      </c>
      <c r="J4327">
        <v>5</v>
      </c>
      <c r="K4327" t="s">
        <v>87</v>
      </c>
      <c r="L4327" t="s">
        <v>14</v>
      </c>
      <c r="M4327" t="s">
        <v>6</v>
      </c>
      <c r="N4327" t="b">
        <v>0</v>
      </c>
      <c r="O4327">
        <v>0</v>
      </c>
      <c r="P4327">
        <v>1</v>
      </c>
      <c r="Q4327">
        <v>0</v>
      </c>
      <c r="R4327">
        <v>0</v>
      </c>
    </row>
    <row r="4328" spans="1:18" x14ac:dyDescent="0.25">
      <c r="A4328" t="s">
        <v>30</v>
      </c>
      <c r="B4328" t="s">
        <v>6</v>
      </c>
      <c r="C4328">
        <v>3</v>
      </c>
      <c r="D4328">
        <v>1</v>
      </c>
      <c r="E4328">
        <v>2</v>
      </c>
      <c r="F4328" s="15">
        <v>46160</v>
      </c>
      <c r="G4328" t="s">
        <v>534</v>
      </c>
      <c r="H4328">
        <v>4</v>
      </c>
      <c r="I4328">
        <v>2026</v>
      </c>
      <c r="J4328">
        <v>5</v>
      </c>
      <c r="K4328" t="s">
        <v>87</v>
      </c>
      <c r="L4328" t="s">
        <v>19</v>
      </c>
      <c r="M4328" t="s">
        <v>8</v>
      </c>
      <c r="N4328" t="b">
        <v>0</v>
      </c>
      <c r="O4328">
        <v>0</v>
      </c>
      <c r="P4328">
        <v>1</v>
      </c>
      <c r="Q4328">
        <v>0</v>
      </c>
      <c r="R4328">
        <v>1</v>
      </c>
    </row>
    <row r="4329" spans="1:18" x14ac:dyDescent="0.25">
      <c r="A4329" t="s">
        <v>30</v>
      </c>
      <c r="B4329" t="s">
        <v>6</v>
      </c>
      <c r="C4329">
        <v>3</v>
      </c>
      <c r="D4329">
        <v>1</v>
      </c>
      <c r="E4329">
        <v>2</v>
      </c>
      <c r="F4329" s="15">
        <v>46160</v>
      </c>
      <c r="G4329" t="s">
        <v>534</v>
      </c>
      <c r="H4329">
        <v>4</v>
      </c>
      <c r="I4329">
        <v>2026</v>
      </c>
      <c r="J4329">
        <v>5</v>
      </c>
      <c r="K4329" t="s">
        <v>87</v>
      </c>
      <c r="L4329" t="s">
        <v>351</v>
      </c>
      <c r="M4329" t="s">
        <v>6</v>
      </c>
      <c r="N4329" t="b">
        <v>0</v>
      </c>
      <c r="O4329">
        <v>0</v>
      </c>
      <c r="P4329">
        <v>1</v>
      </c>
      <c r="Q4329">
        <v>0</v>
      </c>
      <c r="R4329">
        <v>0</v>
      </c>
    </row>
    <row r="4330" spans="1:18" x14ac:dyDescent="0.25">
      <c r="A4330" t="s">
        <v>30</v>
      </c>
      <c r="B4330" t="s">
        <v>6</v>
      </c>
      <c r="C4330">
        <v>3</v>
      </c>
      <c r="D4330">
        <v>1</v>
      </c>
      <c r="E4330">
        <v>2</v>
      </c>
      <c r="F4330" s="15">
        <v>46160</v>
      </c>
      <c r="G4330" t="s">
        <v>534</v>
      </c>
      <c r="H4330">
        <v>4</v>
      </c>
      <c r="I4330">
        <v>2026</v>
      </c>
      <c r="J4330">
        <v>5</v>
      </c>
      <c r="K4330" t="s">
        <v>87</v>
      </c>
      <c r="L4330" t="s">
        <v>14</v>
      </c>
      <c r="M4330" t="s">
        <v>6</v>
      </c>
      <c r="N4330" t="b">
        <v>0</v>
      </c>
      <c r="O4330">
        <v>0</v>
      </c>
      <c r="P4330">
        <v>1</v>
      </c>
      <c r="Q4330">
        <v>0</v>
      </c>
      <c r="R4330">
        <v>0</v>
      </c>
    </row>
    <row r="4331" spans="1:18" x14ac:dyDescent="0.25">
      <c r="A4331" t="s">
        <v>14</v>
      </c>
      <c r="B4331" t="s">
        <v>6</v>
      </c>
      <c r="C4331">
        <v>4</v>
      </c>
      <c r="D4331">
        <v>1</v>
      </c>
      <c r="E4331">
        <v>2</v>
      </c>
      <c r="F4331" s="15">
        <v>46160</v>
      </c>
      <c r="G4331" t="s">
        <v>534</v>
      </c>
      <c r="H4331">
        <v>4</v>
      </c>
      <c r="I4331">
        <v>2026</v>
      </c>
      <c r="J4331">
        <v>5</v>
      </c>
      <c r="K4331" t="s">
        <v>87</v>
      </c>
      <c r="L4331" t="s">
        <v>19</v>
      </c>
      <c r="M4331" t="s">
        <v>8</v>
      </c>
      <c r="N4331" t="b">
        <v>0</v>
      </c>
      <c r="O4331">
        <v>0</v>
      </c>
      <c r="P4331">
        <v>1</v>
      </c>
      <c r="Q4331">
        <v>0</v>
      </c>
      <c r="R4331">
        <v>1</v>
      </c>
    </row>
    <row r="4332" spans="1:18" x14ac:dyDescent="0.25">
      <c r="A4332" t="s">
        <v>14</v>
      </c>
      <c r="B4332" t="s">
        <v>6</v>
      </c>
      <c r="C4332">
        <v>4</v>
      </c>
      <c r="D4332">
        <v>1</v>
      </c>
      <c r="E4332">
        <v>2</v>
      </c>
      <c r="F4332" s="15">
        <v>46160</v>
      </c>
      <c r="G4332" t="s">
        <v>534</v>
      </c>
      <c r="H4332">
        <v>4</v>
      </c>
      <c r="I4332">
        <v>2026</v>
      </c>
      <c r="J4332">
        <v>5</v>
      </c>
      <c r="K4332" t="s">
        <v>87</v>
      </c>
      <c r="L4332" t="s">
        <v>351</v>
      </c>
      <c r="M4332" t="s">
        <v>6</v>
      </c>
      <c r="N4332" t="b">
        <v>0</v>
      </c>
      <c r="O4332">
        <v>0</v>
      </c>
      <c r="P4332">
        <v>1</v>
      </c>
      <c r="Q4332">
        <v>0</v>
      </c>
      <c r="R4332">
        <v>0</v>
      </c>
    </row>
    <row r="4333" spans="1:18" x14ac:dyDescent="0.25">
      <c r="A4333" t="s">
        <v>14</v>
      </c>
      <c r="B4333" t="s">
        <v>6</v>
      </c>
      <c r="C4333">
        <v>4</v>
      </c>
      <c r="D4333">
        <v>1</v>
      </c>
      <c r="E4333">
        <v>2</v>
      </c>
      <c r="F4333" s="15">
        <v>46160</v>
      </c>
      <c r="G4333" t="s">
        <v>534</v>
      </c>
      <c r="H4333">
        <v>4</v>
      </c>
      <c r="I4333">
        <v>2026</v>
      </c>
      <c r="J4333">
        <v>5</v>
      </c>
      <c r="K4333" t="s">
        <v>87</v>
      </c>
      <c r="L4333" t="s">
        <v>30</v>
      </c>
      <c r="M4333" t="s">
        <v>6</v>
      </c>
      <c r="N4333" t="b">
        <v>0</v>
      </c>
      <c r="O4333">
        <v>0</v>
      </c>
      <c r="P4333">
        <v>1</v>
      </c>
      <c r="Q4333">
        <v>0</v>
      </c>
      <c r="R4333">
        <v>0</v>
      </c>
    </row>
    <row r="4334" spans="1:18" x14ac:dyDescent="0.25">
      <c r="A4334" t="s">
        <v>363</v>
      </c>
      <c r="B4334" t="s">
        <v>63</v>
      </c>
      <c r="C4334">
        <v>1</v>
      </c>
      <c r="D4334">
        <v>2</v>
      </c>
      <c r="E4334">
        <v>2</v>
      </c>
      <c r="F4334" s="15">
        <v>46160</v>
      </c>
      <c r="G4334" t="s">
        <v>535</v>
      </c>
      <c r="H4334">
        <v>4</v>
      </c>
      <c r="I4334">
        <v>2026</v>
      </c>
      <c r="J4334">
        <v>5</v>
      </c>
      <c r="K4334" t="s">
        <v>87</v>
      </c>
      <c r="L4334" t="s">
        <v>11</v>
      </c>
      <c r="M4334" t="s">
        <v>63</v>
      </c>
      <c r="N4334" t="b">
        <v>0</v>
      </c>
      <c r="O4334">
        <v>0</v>
      </c>
      <c r="P4334">
        <v>0</v>
      </c>
      <c r="Q4334">
        <v>1</v>
      </c>
      <c r="R4334">
        <v>0</v>
      </c>
    </row>
    <row r="4335" spans="1:18" x14ac:dyDescent="0.25">
      <c r="A4335" t="s">
        <v>363</v>
      </c>
      <c r="B4335" t="s">
        <v>63</v>
      </c>
      <c r="C4335">
        <v>1</v>
      </c>
      <c r="D4335">
        <v>2</v>
      </c>
      <c r="E4335">
        <v>2</v>
      </c>
      <c r="F4335" s="15">
        <v>46160</v>
      </c>
      <c r="G4335" t="s">
        <v>535</v>
      </c>
      <c r="H4335">
        <v>4</v>
      </c>
      <c r="I4335">
        <v>2026</v>
      </c>
      <c r="J4335">
        <v>5</v>
      </c>
      <c r="K4335" t="s">
        <v>87</v>
      </c>
      <c r="L4335" t="s">
        <v>9</v>
      </c>
      <c r="M4335" t="s">
        <v>63</v>
      </c>
      <c r="N4335" t="b">
        <v>0</v>
      </c>
      <c r="O4335">
        <v>0</v>
      </c>
      <c r="P4335">
        <v>0</v>
      </c>
      <c r="Q4335">
        <v>1</v>
      </c>
      <c r="R4335">
        <v>0</v>
      </c>
    </row>
    <row r="4336" spans="1:18" x14ac:dyDescent="0.25">
      <c r="A4336" t="s">
        <v>363</v>
      </c>
      <c r="B4336" t="s">
        <v>63</v>
      </c>
      <c r="C4336">
        <v>1</v>
      </c>
      <c r="D4336">
        <v>2</v>
      </c>
      <c r="E4336">
        <v>2</v>
      </c>
      <c r="F4336" s="15">
        <v>46160</v>
      </c>
      <c r="G4336" t="s">
        <v>535</v>
      </c>
      <c r="H4336">
        <v>4</v>
      </c>
      <c r="I4336">
        <v>2026</v>
      </c>
      <c r="J4336">
        <v>5</v>
      </c>
      <c r="K4336" t="s">
        <v>87</v>
      </c>
      <c r="L4336" t="s">
        <v>17</v>
      </c>
      <c r="M4336" t="s">
        <v>63</v>
      </c>
      <c r="N4336" t="b">
        <v>0</v>
      </c>
      <c r="O4336">
        <v>0</v>
      </c>
      <c r="P4336">
        <v>0</v>
      </c>
      <c r="Q4336">
        <v>1</v>
      </c>
      <c r="R4336">
        <v>0</v>
      </c>
    </row>
    <row r="4337" spans="1:18" x14ac:dyDescent="0.25">
      <c r="A4337" t="s">
        <v>11</v>
      </c>
      <c r="B4337" t="s">
        <v>63</v>
      </c>
      <c r="C4337">
        <v>2</v>
      </c>
      <c r="D4337">
        <v>2</v>
      </c>
      <c r="E4337">
        <v>2</v>
      </c>
      <c r="F4337" s="15">
        <v>46160</v>
      </c>
      <c r="G4337" t="s">
        <v>535</v>
      </c>
      <c r="H4337">
        <v>4</v>
      </c>
      <c r="I4337">
        <v>2026</v>
      </c>
      <c r="J4337">
        <v>5</v>
      </c>
      <c r="K4337" t="s">
        <v>87</v>
      </c>
      <c r="L4337" t="s">
        <v>363</v>
      </c>
      <c r="M4337" t="s">
        <v>63</v>
      </c>
      <c r="N4337" t="b">
        <v>0</v>
      </c>
      <c r="O4337">
        <v>0</v>
      </c>
      <c r="P4337">
        <v>0</v>
      </c>
      <c r="Q4337">
        <v>1</v>
      </c>
      <c r="R4337">
        <v>0</v>
      </c>
    </row>
    <row r="4338" spans="1:18" x14ac:dyDescent="0.25">
      <c r="A4338" t="s">
        <v>11</v>
      </c>
      <c r="B4338" t="s">
        <v>63</v>
      </c>
      <c r="C4338">
        <v>2</v>
      </c>
      <c r="D4338">
        <v>2</v>
      </c>
      <c r="E4338">
        <v>2</v>
      </c>
      <c r="F4338" s="15">
        <v>46160</v>
      </c>
      <c r="G4338" t="s">
        <v>535</v>
      </c>
      <c r="H4338">
        <v>4</v>
      </c>
      <c r="I4338">
        <v>2026</v>
      </c>
      <c r="J4338">
        <v>5</v>
      </c>
      <c r="K4338" t="s">
        <v>87</v>
      </c>
      <c r="L4338" t="s">
        <v>9</v>
      </c>
      <c r="M4338" t="s">
        <v>63</v>
      </c>
      <c r="N4338" t="b">
        <v>0</v>
      </c>
      <c r="O4338">
        <v>0</v>
      </c>
      <c r="P4338">
        <v>0</v>
      </c>
      <c r="Q4338">
        <v>1</v>
      </c>
      <c r="R4338">
        <v>0</v>
      </c>
    </row>
    <row r="4339" spans="1:18" x14ac:dyDescent="0.25">
      <c r="A4339" t="s">
        <v>11</v>
      </c>
      <c r="B4339" t="s">
        <v>63</v>
      </c>
      <c r="C4339">
        <v>2</v>
      </c>
      <c r="D4339">
        <v>2</v>
      </c>
      <c r="E4339">
        <v>2</v>
      </c>
      <c r="F4339" s="15">
        <v>46160</v>
      </c>
      <c r="G4339" t="s">
        <v>535</v>
      </c>
      <c r="H4339">
        <v>4</v>
      </c>
      <c r="I4339">
        <v>2026</v>
      </c>
      <c r="J4339">
        <v>5</v>
      </c>
      <c r="K4339" t="s">
        <v>87</v>
      </c>
      <c r="L4339" t="s">
        <v>17</v>
      </c>
      <c r="M4339" t="s">
        <v>63</v>
      </c>
      <c r="N4339" t="b">
        <v>0</v>
      </c>
      <c r="O4339">
        <v>0</v>
      </c>
      <c r="P4339">
        <v>0</v>
      </c>
      <c r="Q4339">
        <v>1</v>
      </c>
      <c r="R4339">
        <v>0</v>
      </c>
    </row>
    <row r="4340" spans="1:18" x14ac:dyDescent="0.25">
      <c r="A4340" t="s">
        <v>9</v>
      </c>
      <c r="B4340" t="s">
        <v>63</v>
      </c>
      <c r="C4340">
        <v>3</v>
      </c>
      <c r="D4340">
        <v>2</v>
      </c>
      <c r="E4340">
        <v>2</v>
      </c>
      <c r="F4340" s="15">
        <v>46160</v>
      </c>
      <c r="G4340" t="s">
        <v>535</v>
      </c>
      <c r="H4340">
        <v>4</v>
      </c>
      <c r="I4340">
        <v>2026</v>
      </c>
      <c r="J4340">
        <v>5</v>
      </c>
      <c r="K4340" t="s">
        <v>87</v>
      </c>
      <c r="L4340" t="s">
        <v>363</v>
      </c>
      <c r="M4340" t="s">
        <v>63</v>
      </c>
      <c r="N4340" t="b">
        <v>0</v>
      </c>
      <c r="O4340">
        <v>0</v>
      </c>
      <c r="P4340">
        <v>0</v>
      </c>
      <c r="Q4340">
        <v>1</v>
      </c>
      <c r="R4340">
        <v>0</v>
      </c>
    </row>
    <row r="4341" spans="1:18" x14ac:dyDescent="0.25">
      <c r="A4341" t="s">
        <v>9</v>
      </c>
      <c r="B4341" t="s">
        <v>63</v>
      </c>
      <c r="C4341">
        <v>3</v>
      </c>
      <c r="D4341">
        <v>2</v>
      </c>
      <c r="E4341">
        <v>2</v>
      </c>
      <c r="F4341" s="15">
        <v>46160</v>
      </c>
      <c r="G4341" t="s">
        <v>535</v>
      </c>
      <c r="H4341">
        <v>4</v>
      </c>
      <c r="I4341">
        <v>2026</v>
      </c>
      <c r="J4341">
        <v>5</v>
      </c>
      <c r="K4341" t="s">
        <v>87</v>
      </c>
      <c r="L4341" t="s">
        <v>11</v>
      </c>
      <c r="M4341" t="s">
        <v>63</v>
      </c>
      <c r="N4341" t="b">
        <v>0</v>
      </c>
      <c r="O4341">
        <v>0</v>
      </c>
      <c r="P4341">
        <v>0</v>
      </c>
      <c r="Q4341">
        <v>1</v>
      </c>
      <c r="R4341">
        <v>0</v>
      </c>
    </row>
    <row r="4342" spans="1:18" x14ac:dyDescent="0.25">
      <c r="A4342" t="s">
        <v>9</v>
      </c>
      <c r="B4342" t="s">
        <v>63</v>
      </c>
      <c r="C4342">
        <v>3</v>
      </c>
      <c r="D4342">
        <v>2</v>
      </c>
      <c r="E4342">
        <v>2</v>
      </c>
      <c r="F4342" s="15">
        <v>46160</v>
      </c>
      <c r="G4342" t="s">
        <v>535</v>
      </c>
      <c r="H4342">
        <v>4</v>
      </c>
      <c r="I4342">
        <v>2026</v>
      </c>
      <c r="J4342">
        <v>5</v>
      </c>
      <c r="K4342" t="s">
        <v>87</v>
      </c>
      <c r="L4342" t="s">
        <v>17</v>
      </c>
      <c r="M4342" t="s">
        <v>63</v>
      </c>
      <c r="N4342" t="b">
        <v>0</v>
      </c>
      <c r="O4342">
        <v>0</v>
      </c>
      <c r="P4342">
        <v>0</v>
      </c>
      <c r="Q4342">
        <v>1</v>
      </c>
      <c r="R4342">
        <v>0</v>
      </c>
    </row>
    <row r="4343" spans="1:18" x14ac:dyDescent="0.25">
      <c r="A4343" t="s">
        <v>17</v>
      </c>
      <c r="B4343" t="s">
        <v>63</v>
      </c>
      <c r="C4343">
        <v>4</v>
      </c>
      <c r="D4343">
        <v>2</v>
      </c>
      <c r="E4343">
        <v>2</v>
      </c>
      <c r="F4343" s="15">
        <v>46160</v>
      </c>
      <c r="G4343" t="s">
        <v>535</v>
      </c>
      <c r="H4343">
        <v>4</v>
      </c>
      <c r="I4343">
        <v>2026</v>
      </c>
      <c r="J4343">
        <v>5</v>
      </c>
      <c r="K4343" t="s">
        <v>87</v>
      </c>
      <c r="L4343" t="s">
        <v>363</v>
      </c>
      <c r="M4343" t="s">
        <v>63</v>
      </c>
      <c r="N4343" t="b">
        <v>0</v>
      </c>
      <c r="O4343">
        <v>0</v>
      </c>
      <c r="P4343">
        <v>0</v>
      </c>
      <c r="Q4343">
        <v>1</v>
      </c>
      <c r="R4343">
        <v>0</v>
      </c>
    </row>
    <row r="4344" spans="1:18" x14ac:dyDescent="0.25">
      <c r="A4344" t="s">
        <v>17</v>
      </c>
      <c r="B4344" t="s">
        <v>63</v>
      </c>
      <c r="C4344">
        <v>4</v>
      </c>
      <c r="D4344">
        <v>2</v>
      </c>
      <c r="E4344">
        <v>2</v>
      </c>
      <c r="F4344" s="15">
        <v>46160</v>
      </c>
      <c r="G4344" t="s">
        <v>535</v>
      </c>
      <c r="H4344">
        <v>4</v>
      </c>
      <c r="I4344">
        <v>2026</v>
      </c>
      <c r="J4344">
        <v>5</v>
      </c>
      <c r="K4344" t="s">
        <v>87</v>
      </c>
      <c r="L4344" t="s">
        <v>11</v>
      </c>
      <c r="M4344" t="s">
        <v>63</v>
      </c>
      <c r="N4344" t="b">
        <v>0</v>
      </c>
      <c r="O4344">
        <v>0</v>
      </c>
      <c r="P4344">
        <v>0</v>
      </c>
      <c r="Q4344">
        <v>1</v>
      </c>
      <c r="R4344">
        <v>0</v>
      </c>
    </row>
    <row r="4345" spans="1:18" x14ac:dyDescent="0.25">
      <c r="A4345" t="s">
        <v>17</v>
      </c>
      <c r="B4345" t="s">
        <v>63</v>
      </c>
      <c r="C4345">
        <v>4</v>
      </c>
      <c r="D4345">
        <v>2</v>
      </c>
      <c r="E4345">
        <v>2</v>
      </c>
      <c r="F4345" s="15">
        <v>46160</v>
      </c>
      <c r="G4345" t="s">
        <v>535</v>
      </c>
      <c r="H4345">
        <v>4</v>
      </c>
      <c r="I4345">
        <v>2026</v>
      </c>
      <c r="J4345">
        <v>5</v>
      </c>
      <c r="K4345" t="s">
        <v>87</v>
      </c>
      <c r="L4345" t="s">
        <v>9</v>
      </c>
      <c r="M4345" t="s">
        <v>63</v>
      </c>
      <c r="N4345" t="b">
        <v>0</v>
      </c>
      <c r="O4345">
        <v>0</v>
      </c>
      <c r="P4345">
        <v>0</v>
      </c>
      <c r="Q4345">
        <v>1</v>
      </c>
      <c r="R4345">
        <v>0</v>
      </c>
    </row>
    <row r="4346" spans="1:18" x14ac:dyDescent="0.25">
      <c r="A4346" t="s">
        <v>13</v>
      </c>
      <c r="B4346" t="s">
        <v>8</v>
      </c>
      <c r="C4346">
        <v>1</v>
      </c>
      <c r="D4346">
        <v>3</v>
      </c>
      <c r="E4346">
        <v>2</v>
      </c>
      <c r="F4346" s="15">
        <v>46160</v>
      </c>
      <c r="G4346" t="s">
        <v>536</v>
      </c>
      <c r="H4346">
        <v>4</v>
      </c>
      <c r="I4346">
        <v>2026</v>
      </c>
      <c r="J4346">
        <v>5</v>
      </c>
      <c r="K4346" t="s">
        <v>87</v>
      </c>
      <c r="L4346" t="s">
        <v>10</v>
      </c>
      <c r="M4346" t="s">
        <v>6</v>
      </c>
      <c r="N4346" t="b">
        <v>0</v>
      </c>
      <c r="O4346">
        <v>1</v>
      </c>
      <c r="P4346">
        <v>0</v>
      </c>
      <c r="Q4346">
        <v>0</v>
      </c>
      <c r="R4346">
        <v>0</v>
      </c>
    </row>
    <row r="4347" spans="1:18" x14ac:dyDescent="0.25">
      <c r="A4347" t="s">
        <v>13</v>
      </c>
      <c r="B4347" t="s">
        <v>8</v>
      </c>
      <c r="C4347">
        <v>1</v>
      </c>
      <c r="D4347">
        <v>3</v>
      </c>
      <c r="E4347">
        <v>2</v>
      </c>
      <c r="F4347" s="15">
        <v>46160</v>
      </c>
      <c r="G4347" t="s">
        <v>536</v>
      </c>
      <c r="H4347">
        <v>4</v>
      </c>
      <c r="I4347">
        <v>2026</v>
      </c>
      <c r="J4347">
        <v>5</v>
      </c>
      <c r="K4347" t="s">
        <v>87</v>
      </c>
      <c r="L4347" t="s">
        <v>364</v>
      </c>
      <c r="M4347" t="s">
        <v>6</v>
      </c>
      <c r="N4347" t="b">
        <v>0</v>
      </c>
      <c r="O4347">
        <v>1</v>
      </c>
      <c r="P4347">
        <v>0</v>
      </c>
      <c r="Q4347">
        <v>0</v>
      </c>
      <c r="R4347">
        <v>0</v>
      </c>
    </row>
    <row r="4348" spans="1:18" x14ac:dyDescent="0.25">
      <c r="A4348" t="s">
        <v>13</v>
      </c>
      <c r="B4348" t="s">
        <v>8</v>
      </c>
      <c r="C4348">
        <v>1</v>
      </c>
      <c r="D4348">
        <v>3</v>
      </c>
      <c r="E4348">
        <v>2</v>
      </c>
      <c r="F4348" s="15">
        <v>46160</v>
      </c>
      <c r="G4348" t="s">
        <v>536</v>
      </c>
      <c r="H4348">
        <v>4</v>
      </c>
      <c r="I4348">
        <v>2026</v>
      </c>
      <c r="J4348">
        <v>5</v>
      </c>
      <c r="K4348" t="s">
        <v>87</v>
      </c>
      <c r="L4348" t="s">
        <v>433</v>
      </c>
      <c r="M4348" t="s">
        <v>6</v>
      </c>
      <c r="N4348" t="b">
        <v>0</v>
      </c>
      <c r="O4348">
        <v>1</v>
      </c>
      <c r="P4348">
        <v>0</v>
      </c>
      <c r="Q4348">
        <v>0</v>
      </c>
      <c r="R4348">
        <v>0</v>
      </c>
    </row>
    <row r="4349" spans="1:18" x14ac:dyDescent="0.25">
      <c r="A4349" t="s">
        <v>10</v>
      </c>
      <c r="B4349" t="s">
        <v>6</v>
      </c>
      <c r="C4349">
        <v>2</v>
      </c>
      <c r="D4349">
        <v>3</v>
      </c>
      <c r="E4349">
        <v>2</v>
      </c>
      <c r="F4349" s="15">
        <v>46160</v>
      </c>
      <c r="G4349" t="s">
        <v>536</v>
      </c>
      <c r="H4349">
        <v>4</v>
      </c>
      <c r="I4349">
        <v>2026</v>
      </c>
      <c r="J4349">
        <v>5</v>
      </c>
      <c r="K4349" t="s">
        <v>87</v>
      </c>
      <c r="L4349" t="s">
        <v>13</v>
      </c>
      <c r="M4349" t="s">
        <v>8</v>
      </c>
      <c r="N4349" t="b">
        <v>0</v>
      </c>
      <c r="O4349">
        <v>0</v>
      </c>
      <c r="P4349">
        <v>1</v>
      </c>
      <c r="Q4349">
        <v>0</v>
      </c>
      <c r="R4349">
        <v>1</v>
      </c>
    </row>
    <row r="4350" spans="1:18" x14ac:dyDescent="0.25">
      <c r="A4350" t="s">
        <v>10</v>
      </c>
      <c r="B4350" t="s">
        <v>6</v>
      </c>
      <c r="C4350">
        <v>2</v>
      </c>
      <c r="D4350">
        <v>3</v>
      </c>
      <c r="E4350">
        <v>2</v>
      </c>
      <c r="F4350" s="15">
        <v>46160</v>
      </c>
      <c r="G4350" t="s">
        <v>536</v>
      </c>
      <c r="H4350">
        <v>4</v>
      </c>
      <c r="I4350">
        <v>2026</v>
      </c>
      <c r="J4350">
        <v>5</v>
      </c>
      <c r="K4350" t="s">
        <v>87</v>
      </c>
      <c r="L4350" t="s">
        <v>364</v>
      </c>
      <c r="M4350" t="s">
        <v>6</v>
      </c>
      <c r="N4350" t="b">
        <v>0</v>
      </c>
      <c r="O4350">
        <v>0</v>
      </c>
      <c r="P4350">
        <v>1</v>
      </c>
      <c r="Q4350">
        <v>0</v>
      </c>
      <c r="R4350">
        <v>0</v>
      </c>
    </row>
    <row r="4351" spans="1:18" x14ac:dyDescent="0.25">
      <c r="A4351" t="s">
        <v>10</v>
      </c>
      <c r="B4351" t="s">
        <v>6</v>
      </c>
      <c r="C4351">
        <v>2</v>
      </c>
      <c r="D4351">
        <v>3</v>
      </c>
      <c r="E4351">
        <v>2</v>
      </c>
      <c r="F4351" s="15">
        <v>46160</v>
      </c>
      <c r="G4351" t="s">
        <v>536</v>
      </c>
      <c r="H4351">
        <v>4</v>
      </c>
      <c r="I4351">
        <v>2026</v>
      </c>
      <c r="J4351">
        <v>5</v>
      </c>
      <c r="K4351" t="s">
        <v>87</v>
      </c>
      <c r="L4351" t="s">
        <v>433</v>
      </c>
      <c r="M4351" t="s">
        <v>6</v>
      </c>
      <c r="N4351" t="b">
        <v>0</v>
      </c>
      <c r="O4351">
        <v>0</v>
      </c>
      <c r="P4351">
        <v>1</v>
      </c>
      <c r="Q4351">
        <v>0</v>
      </c>
      <c r="R4351">
        <v>0</v>
      </c>
    </row>
    <row r="4352" spans="1:18" x14ac:dyDescent="0.25">
      <c r="A4352" t="s">
        <v>364</v>
      </c>
      <c r="B4352" t="s">
        <v>6</v>
      </c>
      <c r="C4352">
        <v>3</v>
      </c>
      <c r="D4352">
        <v>3</v>
      </c>
      <c r="E4352">
        <v>2</v>
      </c>
      <c r="F4352" s="15">
        <v>46160</v>
      </c>
      <c r="G4352" t="s">
        <v>536</v>
      </c>
      <c r="H4352">
        <v>4</v>
      </c>
      <c r="I4352">
        <v>2026</v>
      </c>
      <c r="J4352">
        <v>5</v>
      </c>
      <c r="K4352" t="s">
        <v>87</v>
      </c>
      <c r="L4352" t="s">
        <v>13</v>
      </c>
      <c r="M4352" t="s">
        <v>8</v>
      </c>
      <c r="N4352" t="b">
        <v>0</v>
      </c>
      <c r="O4352">
        <v>0</v>
      </c>
      <c r="P4352">
        <v>1</v>
      </c>
      <c r="Q4352">
        <v>0</v>
      </c>
      <c r="R4352">
        <v>1</v>
      </c>
    </row>
    <row r="4353" spans="1:18" x14ac:dyDescent="0.25">
      <c r="A4353" t="s">
        <v>364</v>
      </c>
      <c r="B4353" t="s">
        <v>6</v>
      </c>
      <c r="C4353">
        <v>3</v>
      </c>
      <c r="D4353">
        <v>3</v>
      </c>
      <c r="E4353">
        <v>2</v>
      </c>
      <c r="F4353" s="15">
        <v>46160</v>
      </c>
      <c r="G4353" t="s">
        <v>536</v>
      </c>
      <c r="H4353">
        <v>4</v>
      </c>
      <c r="I4353">
        <v>2026</v>
      </c>
      <c r="J4353">
        <v>5</v>
      </c>
      <c r="K4353" t="s">
        <v>87</v>
      </c>
      <c r="L4353" t="s">
        <v>10</v>
      </c>
      <c r="M4353" t="s">
        <v>6</v>
      </c>
      <c r="N4353" t="b">
        <v>0</v>
      </c>
      <c r="O4353">
        <v>0</v>
      </c>
      <c r="P4353">
        <v>1</v>
      </c>
      <c r="Q4353">
        <v>0</v>
      </c>
      <c r="R4353">
        <v>0</v>
      </c>
    </row>
    <row r="4354" spans="1:18" x14ac:dyDescent="0.25">
      <c r="A4354" t="s">
        <v>364</v>
      </c>
      <c r="B4354" t="s">
        <v>6</v>
      </c>
      <c r="C4354">
        <v>3</v>
      </c>
      <c r="D4354">
        <v>3</v>
      </c>
      <c r="E4354">
        <v>2</v>
      </c>
      <c r="F4354" s="15">
        <v>46160</v>
      </c>
      <c r="G4354" t="s">
        <v>536</v>
      </c>
      <c r="H4354">
        <v>4</v>
      </c>
      <c r="I4354">
        <v>2026</v>
      </c>
      <c r="J4354">
        <v>5</v>
      </c>
      <c r="K4354" t="s">
        <v>87</v>
      </c>
      <c r="L4354" t="s">
        <v>433</v>
      </c>
      <c r="M4354" t="s">
        <v>6</v>
      </c>
      <c r="N4354" t="b">
        <v>0</v>
      </c>
      <c r="O4354">
        <v>0</v>
      </c>
      <c r="P4354">
        <v>1</v>
      </c>
      <c r="Q4354">
        <v>0</v>
      </c>
      <c r="R4354">
        <v>0</v>
      </c>
    </row>
    <row r="4355" spans="1:18" x14ac:dyDescent="0.25">
      <c r="A4355" t="s">
        <v>433</v>
      </c>
      <c r="B4355" t="s">
        <v>6</v>
      </c>
      <c r="C4355">
        <v>4</v>
      </c>
      <c r="D4355">
        <v>3</v>
      </c>
      <c r="E4355">
        <v>2</v>
      </c>
      <c r="F4355" s="15">
        <v>46160</v>
      </c>
      <c r="G4355" t="s">
        <v>536</v>
      </c>
      <c r="H4355">
        <v>4</v>
      </c>
      <c r="I4355">
        <v>2026</v>
      </c>
      <c r="J4355">
        <v>5</v>
      </c>
      <c r="K4355" t="s">
        <v>87</v>
      </c>
      <c r="L4355" t="s">
        <v>13</v>
      </c>
      <c r="M4355" t="s">
        <v>8</v>
      </c>
      <c r="N4355" t="b">
        <v>0</v>
      </c>
      <c r="O4355">
        <v>0</v>
      </c>
      <c r="P4355">
        <v>1</v>
      </c>
      <c r="Q4355">
        <v>0</v>
      </c>
      <c r="R4355">
        <v>1</v>
      </c>
    </row>
    <row r="4356" spans="1:18" x14ac:dyDescent="0.25">
      <c r="A4356" t="s">
        <v>433</v>
      </c>
      <c r="B4356" t="s">
        <v>6</v>
      </c>
      <c r="C4356">
        <v>4</v>
      </c>
      <c r="D4356">
        <v>3</v>
      </c>
      <c r="E4356">
        <v>2</v>
      </c>
      <c r="F4356" s="15">
        <v>46160</v>
      </c>
      <c r="G4356" t="s">
        <v>536</v>
      </c>
      <c r="H4356">
        <v>4</v>
      </c>
      <c r="I4356">
        <v>2026</v>
      </c>
      <c r="J4356">
        <v>5</v>
      </c>
      <c r="K4356" t="s">
        <v>87</v>
      </c>
      <c r="L4356" t="s">
        <v>10</v>
      </c>
      <c r="M4356" t="s">
        <v>6</v>
      </c>
      <c r="N4356" t="b">
        <v>0</v>
      </c>
      <c r="O4356">
        <v>0</v>
      </c>
      <c r="P4356">
        <v>1</v>
      </c>
      <c r="Q4356">
        <v>0</v>
      </c>
      <c r="R4356">
        <v>0</v>
      </c>
    </row>
    <row r="4357" spans="1:18" x14ac:dyDescent="0.25">
      <c r="A4357" t="s">
        <v>433</v>
      </c>
      <c r="B4357" t="s">
        <v>6</v>
      </c>
      <c r="C4357">
        <v>4</v>
      </c>
      <c r="D4357">
        <v>3</v>
      </c>
      <c r="E4357">
        <v>2</v>
      </c>
      <c r="F4357" s="15">
        <v>46160</v>
      </c>
      <c r="G4357" t="s">
        <v>536</v>
      </c>
      <c r="H4357">
        <v>4</v>
      </c>
      <c r="I4357">
        <v>2026</v>
      </c>
      <c r="J4357">
        <v>5</v>
      </c>
      <c r="K4357" t="s">
        <v>87</v>
      </c>
      <c r="L4357" t="s">
        <v>364</v>
      </c>
      <c r="M4357" t="s">
        <v>6</v>
      </c>
      <c r="N4357" t="b">
        <v>0</v>
      </c>
      <c r="O4357">
        <v>0</v>
      </c>
      <c r="P4357">
        <v>1</v>
      </c>
      <c r="Q4357">
        <v>0</v>
      </c>
      <c r="R4357">
        <v>0</v>
      </c>
    </row>
    <row r="4358" spans="1:18" x14ac:dyDescent="0.25">
      <c r="A4358" t="s">
        <v>28</v>
      </c>
      <c r="B4358" t="s">
        <v>63</v>
      </c>
      <c r="C4358">
        <v>1</v>
      </c>
      <c r="D4358">
        <v>4</v>
      </c>
      <c r="E4358">
        <v>2</v>
      </c>
      <c r="F4358" s="15">
        <v>46160</v>
      </c>
      <c r="G4358" t="s">
        <v>537</v>
      </c>
      <c r="H4358">
        <v>5</v>
      </c>
      <c r="I4358">
        <v>2026</v>
      </c>
      <c r="J4358">
        <v>5</v>
      </c>
      <c r="K4358" t="s">
        <v>87</v>
      </c>
      <c r="L4358" t="s">
        <v>402</v>
      </c>
      <c r="M4358" t="s">
        <v>63</v>
      </c>
      <c r="N4358" t="b">
        <v>0</v>
      </c>
      <c r="O4358">
        <v>0</v>
      </c>
      <c r="P4358">
        <v>0</v>
      </c>
      <c r="Q4358">
        <v>1</v>
      </c>
      <c r="R4358">
        <v>0</v>
      </c>
    </row>
    <row r="4359" spans="1:18" x14ac:dyDescent="0.25">
      <c r="A4359" t="s">
        <v>28</v>
      </c>
      <c r="B4359" t="s">
        <v>63</v>
      </c>
      <c r="C4359">
        <v>1</v>
      </c>
      <c r="D4359">
        <v>4</v>
      </c>
      <c r="E4359">
        <v>2</v>
      </c>
      <c r="F4359" s="15">
        <v>46160</v>
      </c>
      <c r="G4359" t="s">
        <v>537</v>
      </c>
      <c r="H4359">
        <v>5</v>
      </c>
      <c r="I4359">
        <v>2026</v>
      </c>
      <c r="J4359">
        <v>5</v>
      </c>
      <c r="K4359" t="s">
        <v>87</v>
      </c>
      <c r="L4359" t="s">
        <v>51</v>
      </c>
      <c r="M4359" t="s">
        <v>63</v>
      </c>
      <c r="N4359" t="b">
        <v>0</v>
      </c>
      <c r="O4359">
        <v>0</v>
      </c>
      <c r="P4359">
        <v>0</v>
      </c>
      <c r="Q4359">
        <v>1</v>
      </c>
      <c r="R4359">
        <v>0</v>
      </c>
    </row>
    <row r="4360" spans="1:18" x14ac:dyDescent="0.25">
      <c r="A4360" t="s">
        <v>28</v>
      </c>
      <c r="B4360" t="s">
        <v>63</v>
      </c>
      <c r="C4360">
        <v>1</v>
      </c>
      <c r="D4360">
        <v>4</v>
      </c>
      <c r="E4360">
        <v>2</v>
      </c>
      <c r="F4360" s="15">
        <v>46160</v>
      </c>
      <c r="G4360" t="s">
        <v>537</v>
      </c>
      <c r="H4360">
        <v>5</v>
      </c>
      <c r="I4360">
        <v>2026</v>
      </c>
      <c r="J4360">
        <v>5</v>
      </c>
      <c r="K4360" t="s">
        <v>87</v>
      </c>
      <c r="L4360" t="s">
        <v>405</v>
      </c>
      <c r="M4360" t="s">
        <v>63</v>
      </c>
      <c r="N4360" t="b">
        <v>0</v>
      </c>
      <c r="O4360">
        <v>0</v>
      </c>
      <c r="P4360">
        <v>0</v>
      </c>
      <c r="Q4360">
        <v>1</v>
      </c>
      <c r="R4360">
        <v>0</v>
      </c>
    </row>
    <row r="4361" spans="1:18" x14ac:dyDescent="0.25">
      <c r="A4361" t="s">
        <v>28</v>
      </c>
      <c r="B4361" t="s">
        <v>63</v>
      </c>
      <c r="C4361">
        <v>1</v>
      </c>
      <c r="D4361">
        <v>4</v>
      </c>
      <c r="E4361">
        <v>2</v>
      </c>
      <c r="F4361" s="15">
        <v>46160</v>
      </c>
      <c r="G4361" t="s">
        <v>537</v>
      </c>
      <c r="H4361">
        <v>5</v>
      </c>
      <c r="I4361">
        <v>2026</v>
      </c>
      <c r="J4361">
        <v>5</v>
      </c>
      <c r="K4361" t="s">
        <v>87</v>
      </c>
      <c r="L4361" t="s">
        <v>405</v>
      </c>
      <c r="M4361" t="s">
        <v>63</v>
      </c>
      <c r="N4361" t="b">
        <v>0</v>
      </c>
      <c r="O4361">
        <v>0</v>
      </c>
      <c r="P4361">
        <v>0</v>
      </c>
      <c r="Q4361">
        <v>1</v>
      </c>
      <c r="R4361">
        <v>0</v>
      </c>
    </row>
    <row r="4362" spans="1:18" x14ac:dyDescent="0.25">
      <c r="A4362" t="s">
        <v>402</v>
      </c>
      <c r="B4362" t="s">
        <v>63</v>
      </c>
      <c r="C4362">
        <v>2</v>
      </c>
      <c r="D4362">
        <v>4</v>
      </c>
      <c r="E4362">
        <v>2</v>
      </c>
      <c r="F4362" s="15">
        <v>46160</v>
      </c>
      <c r="G4362" t="s">
        <v>537</v>
      </c>
      <c r="H4362">
        <v>5</v>
      </c>
      <c r="I4362">
        <v>2026</v>
      </c>
      <c r="J4362">
        <v>5</v>
      </c>
      <c r="K4362" t="s">
        <v>87</v>
      </c>
      <c r="L4362" t="s">
        <v>28</v>
      </c>
      <c r="M4362" t="s">
        <v>63</v>
      </c>
      <c r="N4362" t="b">
        <v>0</v>
      </c>
      <c r="O4362">
        <v>0</v>
      </c>
      <c r="P4362">
        <v>0</v>
      </c>
      <c r="Q4362">
        <v>1</v>
      </c>
      <c r="R4362">
        <v>0</v>
      </c>
    </row>
    <row r="4363" spans="1:18" x14ac:dyDescent="0.25">
      <c r="A4363" t="s">
        <v>402</v>
      </c>
      <c r="B4363" t="s">
        <v>63</v>
      </c>
      <c r="C4363">
        <v>2</v>
      </c>
      <c r="D4363">
        <v>4</v>
      </c>
      <c r="E4363">
        <v>2</v>
      </c>
      <c r="F4363" s="15">
        <v>46160</v>
      </c>
      <c r="G4363" t="s">
        <v>537</v>
      </c>
      <c r="H4363">
        <v>5</v>
      </c>
      <c r="I4363">
        <v>2026</v>
      </c>
      <c r="J4363">
        <v>5</v>
      </c>
      <c r="K4363" t="s">
        <v>87</v>
      </c>
      <c r="L4363" t="s">
        <v>51</v>
      </c>
      <c r="M4363" t="s">
        <v>63</v>
      </c>
      <c r="N4363" t="b">
        <v>0</v>
      </c>
      <c r="O4363">
        <v>0</v>
      </c>
      <c r="P4363">
        <v>0</v>
      </c>
      <c r="Q4363">
        <v>1</v>
      </c>
      <c r="R4363">
        <v>0</v>
      </c>
    </row>
    <row r="4364" spans="1:18" x14ac:dyDescent="0.25">
      <c r="A4364" t="s">
        <v>402</v>
      </c>
      <c r="B4364" t="s">
        <v>63</v>
      </c>
      <c r="C4364">
        <v>2</v>
      </c>
      <c r="D4364">
        <v>4</v>
      </c>
      <c r="E4364">
        <v>2</v>
      </c>
      <c r="F4364" s="15">
        <v>46160</v>
      </c>
      <c r="G4364" t="s">
        <v>537</v>
      </c>
      <c r="H4364">
        <v>5</v>
      </c>
      <c r="I4364">
        <v>2026</v>
      </c>
      <c r="J4364">
        <v>5</v>
      </c>
      <c r="K4364" t="s">
        <v>87</v>
      </c>
      <c r="L4364" t="s">
        <v>405</v>
      </c>
      <c r="M4364" t="s">
        <v>63</v>
      </c>
      <c r="N4364" t="b">
        <v>0</v>
      </c>
      <c r="O4364">
        <v>0</v>
      </c>
      <c r="P4364">
        <v>0</v>
      </c>
      <c r="Q4364">
        <v>1</v>
      </c>
      <c r="R4364">
        <v>0</v>
      </c>
    </row>
    <row r="4365" spans="1:18" x14ac:dyDescent="0.25">
      <c r="A4365" t="s">
        <v>402</v>
      </c>
      <c r="B4365" t="s">
        <v>63</v>
      </c>
      <c r="C4365">
        <v>2</v>
      </c>
      <c r="D4365">
        <v>4</v>
      </c>
      <c r="E4365">
        <v>2</v>
      </c>
      <c r="F4365" s="15">
        <v>46160</v>
      </c>
      <c r="G4365" t="s">
        <v>537</v>
      </c>
      <c r="H4365">
        <v>5</v>
      </c>
      <c r="I4365">
        <v>2026</v>
      </c>
      <c r="J4365">
        <v>5</v>
      </c>
      <c r="K4365" t="s">
        <v>87</v>
      </c>
      <c r="L4365" t="s">
        <v>405</v>
      </c>
      <c r="M4365" t="s">
        <v>63</v>
      </c>
      <c r="N4365" t="b">
        <v>0</v>
      </c>
      <c r="O4365">
        <v>0</v>
      </c>
      <c r="P4365">
        <v>0</v>
      </c>
      <c r="Q4365">
        <v>1</v>
      </c>
      <c r="R4365">
        <v>0</v>
      </c>
    </row>
    <row r="4366" spans="1:18" x14ac:dyDescent="0.25">
      <c r="A4366" t="s">
        <v>51</v>
      </c>
      <c r="B4366" t="s">
        <v>63</v>
      </c>
      <c r="C4366">
        <v>3</v>
      </c>
      <c r="D4366">
        <v>4</v>
      </c>
      <c r="E4366">
        <v>2</v>
      </c>
      <c r="F4366" s="15">
        <v>46160</v>
      </c>
      <c r="G4366" t="s">
        <v>537</v>
      </c>
      <c r="H4366">
        <v>5</v>
      </c>
      <c r="I4366">
        <v>2026</v>
      </c>
      <c r="J4366">
        <v>5</v>
      </c>
      <c r="K4366" t="s">
        <v>87</v>
      </c>
      <c r="L4366" t="s">
        <v>28</v>
      </c>
      <c r="M4366" t="s">
        <v>63</v>
      </c>
      <c r="N4366" t="b">
        <v>0</v>
      </c>
      <c r="O4366">
        <v>0</v>
      </c>
      <c r="P4366">
        <v>0</v>
      </c>
      <c r="Q4366">
        <v>1</v>
      </c>
      <c r="R4366">
        <v>0</v>
      </c>
    </row>
    <row r="4367" spans="1:18" x14ac:dyDescent="0.25">
      <c r="A4367" t="s">
        <v>51</v>
      </c>
      <c r="B4367" t="s">
        <v>63</v>
      </c>
      <c r="C4367">
        <v>3</v>
      </c>
      <c r="D4367">
        <v>4</v>
      </c>
      <c r="E4367">
        <v>2</v>
      </c>
      <c r="F4367" s="15">
        <v>46160</v>
      </c>
      <c r="G4367" t="s">
        <v>537</v>
      </c>
      <c r="H4367">
        <v>5</v>
      </c>
      <c r="I4367">
        <v>2026</v>
      </c>
      <c r="J4367">
        <v>5</v>
      </c>
      <c r="K4367" t="s">
        <v>87</v>
      </c>
      <c r="L4367" t="s">
        <v>402</v>
      </c>
      <c r="M4367" t="s">
        <v>63</v>
      </c>
      <c r="N4367" t="b">
        <v>0</v>
      </c>
      <c r="O4367">
        <v>0</v>
      </c>
      <c r="P4367">
        <v>0</v>
      </c>
      <c r="Q4367">
        <v>1</v>
      </c>
      <c r="R4367">
        <v>0</v>
      </c>
    </row>
    <row r="4368" spans="1:18" x14ac:dyDescent="0.25">
      <c r="A4368" t="s">
        <v>51</v>
      </c>
      <c r="B4368" t="s">
        <v>63</v>
      </c>
      <c r="C4368">
        <v>3</v>
      </c>
      <c r="D4368">
        <v>4</v>
      </c>
      <c r="E4368">
        <v>2</v>
      </c>
      <c r="F4368" s="15">
        <v>46160</v>
      </c>
      <c r="G4368" t="s">
        <v>537</v>
      </c>
      <c r="H4368">
        <v>5</v>
      </c>
      <c r="I4368">
        <v>2026</v>
      </c>
      <c r="J4368">
        <v>5</v>
      </c>
      <c r="K4368" t="s">
        <v>87</v>
      </c>
      <c r="L4368" t="s">
        <v>405</v>
      </c>
      <c r="M4368" t="s">
        <v>63</v>
      </c>
      <c r="N4368" t="b">
        <v>0</v>
      </c>
      <c r="O4368">
        <v>0</v>
      </c>
      <c r="P4368">
        <v>0</v>
      </c>
      <c r="Q4368">
        <v>1</v>
      </c>
      <c r="R4368">
        <v>0</v>
      </c>
    </row>
    <row r="4369" spans="1:18" x14ac:dyDescent="0.25">
      <c r="A4369" t="s">
        <v>51</v>
      </c>
      <c r="B4369" t="s">
        <v>63</v>
      </c>
      <c r="C4369">
        <v>3</v>
      </c>
      <c r="D4369">
        <v>4</v>
      </c>
      <c r="E4369">
        <v>2</v>
      </c>
      <c r="F4369" s="15">
        <v>46160</v>
      </c>
      <c r="G4369" t="s">
        <v>537</v>
      </c>
      <c r="H4369">
        <v>5</v>
      </c>
      <c r="I4369">
        <v>2026</v>
      </c>
      <c r="J4369">
        <v>5</v>
      </c>
      <c r="K4369" t="s">
        <v>87</v>
      </c>
      <c r="L4369" t="s">
        <v>405</v>
      </c>
      <c r="M4369" t="s">
        <v>63</v>
      </c>
      <c r="N4369" t="b">
        <v>0</v>
      </c>
      <c r="O4369">
        <v>0</v>
      </c>
      <c r="P4369">
        <v>0</v>
      </c>
      <c r="Q4369">
        <v>1</v>
      </c>
      <c r="R4369">
        <v>0</v>
      </c>
    </row>
    <row r="4370" spans="1:18" x14ac:dyDescent="0.25">
      <c r="A4370" t="s">
        <v>405</v>
      </c>
      <c r="B4370" t="s">
        <v>63</v>
      </c>
      <c r="C4370">
        <v>4</v>
      </c>
      <c r="D4370">
        <v>4</v>
      </c>
      <c r="E4370">
        <v>2</v>
      </c>
      <c r="F4370" s="15">
        <v>46160</v>
      </c>
      <c r="G4370" t="s">
        <v>537</v>
      </c>
      <c r="H4370">
        <v>5</v>
      </c>
      <c r="I4370">
        <v>2026</v>
      </c>
      <c r="J4370">
        <v>5</v>
      </c>
      <c r="K4370" t="s">
        <v>87</v>
      </c>
      <c r="L4370" t="s">
        <v>28</v>
      </c>
      <c r="M4370" t="s">
        <v>63</v>
      </c>
      <c r="N4370" t="b">
        <v>0</v>
      </c>
      <c r="O4370">
        <v>0</v>
      </c>
      <c r="P4370">
        <v>0</v>
      </c>
      <c r="Q4370">
        <v>1</v>
      </c>
      <c r="R4370">
        <v>0</v>
      </c>
    </row>
    <row r="4371" spans="1:18" x14ac:dyDescent="0.25">
      <c r="A4371" t="s">
        <v>405</v>
      </c>
      <c r="B4371" t="s">
        <v>63</v>
      </c>
      <c r="C4371">
        <v>4</v>
      </c>
      <c r="D4371">
        <v>4</v>
      </c>
      <c r="E4371">
        <v>2</v>
      </c>
      <c r="F4371" s="15">
        <v>46160</v>
      </c>
      <c r="G4371" t="s">
        <v>537</v>
      </c>
      <c r="H4371">
        <v>5</v>
      </c>
      <c r="I4371">
        <v>2026</v>
      </c>
      <c r="J4371">
        <v>5</v>
      </c>
      <c r="K4371" t="s">
        <v>87</v>
      </c>
      <c r="L4371" t="s">
        <v>402</v>
      </c>
      <c r="M4371" t="s">
        <v>63</v>
      </c>
      <c r="N4371" t="b">
        <v>0</v>
      </c>
      <c r="O4371">
        <v>0</v>
      </c>
      <c r="P4371">
        <v>0</v>
      </c>
      <c r="Q4371">
        <v>1</v>
      </c>
      <c r="R4371">
        <v>0</v>
      </c>
    </row>
    <row r="4372" spans="1:18" x14ac:dyDescent="0.25">
      <c r="A4372" t="s">
        <v>405</v>
      </c>
      <c r="B4372" t="s">
        <v>63</v>
      </c>
      <c r="C4372">
        <v>4</v>
      </c>
      <c r="D4372">
        <v>4</v>
      </c>
      <c r="E4372">
        <v>2</v>
      </c>
      <c r="F4372" s="15">
        <v>46160</v>
      </c>
      <c r="G4372" t="s">
        <v>537</v>
      </c>
      <c r="H4372">
        <v>5</v>
      </c>
      <c r="I4372">
        <v>2026</v>
      </c>
      <c r="J4372">
        <v>5</v>
      </c>
      <c r="K4372" t="s">
        <v>87</v>
      </c>
      <c r="L4372" t="s">
        <v>51</v>
      </c>
      <c r="M4372" t="s">
        <v>63</v>
      </c>
      <c r="N4372" t="b">
        <v>0</v>
      </c>
      <c r="O4372">
        <v>0</v>
      </c>
      <c r="P4372">
        <v>0</v>
      </c>
      <c r="Q4372">
        <v>1</v>
      </c>
      <c r="R4372">
        <v>0</v>
      </c>
    </row>
    <row r="4373" spans="1:18" x14ac:dyDescent="0.25">
      <c r="A4373" t="s">
        <v>405</v>
      </c>
      <c r="B4373" t="s">
        <v>63</v>
      </c>
      <c r="C4373">
        <v>4</v>
      </c>
      <c r="D4373">
        <v>4</v>
      </c>
      <c r="E4373">
        <v>2</v>
      </c>
      <c r="F4373" s="15">
        <v>46160</v>
      </c>
      <c r="G4373" t="s">
        <v>537</v>
      </c>
      <c r="H4373">
        <v>5</v>
      </c>
      <c r="I4373">
        <v>2026</v>
      </c>
      <c r="J4373">
        <v>5</v>
      </c>
      <c r="K4373" t="s">
        <v>87</v>
      </c>
      <c r="L4373" t="s">
        <v>28</v>
      </c>
      <c r="M4373" t="s">
        <v>63</v>
      </c>
      <c r="N4373" t="b">
        <v>0</v>
      </c>
      <c r="O4373">
        <v>0</v>
      </c>
      <c r="P4373">
        <v>0</v>
      </c>
      <c r="Q4373">
        <v>1</v>
      </c>
      <c r="R4373">
        <v>0</v>
      </c>
    </row>
    <row r="4374" spans="1:18" x14ac:dyDescent="0.25">
      <c r="A4374" t="s">
        <v>405</v>
      </c>
      <c r="B4374" t="s">
        <v>63</v>
      </c>
      <c r="C4374">
        <v>4</v>
      </c>
      <c r="D4374">
        <v>4</v>
      </c>
      <c r="E4374">
        <v>2</v>
      </c>
      <c r="F4374" s="15">
        <v>46160</v>
      </c>
      <c r="G4374" t="s">
        <v>537</v>
      </c>
      <c r="H4374">
        <v>5</v>
      </c>
      <c r="I4374">
        <v>2026</v>
      </c>
      <c r="J4374">
        <v>5</v>
      </c>
      <c r="K4374" t="s">
        <v>87</v>
      </c>
      <c r="L4374" t="s">
        <v>402</v>
      </c>
      <c r="M4374" t="s">
        <v>63</v>
      </c>
      <c r="N4374" t="b">
        <v>0</v>
      </c>
      <c r="O4374">
        <v>0</v>
      </c>
      <c r="P4374">
        <v>0</v>
      </c>
      <c r="Q4374">
        <v>1</v>
      </c>
      <c r="R4374">
        <v>0</v>
      </c>
    </row>
    <row r="4375" spans="1:18" x14ac:dyDescent="0.25">
      <c r="A4375" t="s">
        <v>405</v>
      </c>
      <c r="B4375" t="s">
        <v>63</v>
      </c>
      <c r="C4375">
        <v>4</v>
      </c>
      <c r="D4375">
        <v>4</v>
      </c>
      <c r="E4375">
        <v>2</v>
      </c>
      <c r="F4375" s="15">
        <v>46160</v>
      </c>
      <c r="G4375" t="s">
        <v>537</v>
      </c>
      <c r="H4375">
        <v>5</v>
      </c>
      <c r="I4375">
        <v>2026</v>
      </c>
      <c r="J4375">
        <v>5</v>
      </c>
      <c r="K4375" t="s">
        <v>87</v>
      </c>
      <c r="L4375" t="s">
        <v>51</v>
      </c>
      <c r="M4375" t="s">
        <v>63</v>
      </c>
      <c r="N4375" t="b">
        <v>0</v>
      </c>
      <c r="O4375">
        <v>0</v>
      </c>
      <c r="P4375">
        <v>0</v>
      </c>
      <c r="Q4375">
        <v>1</v>
      </c>
      <c r="R4375">
        <v>0</v>
      </c>
    </row>
    <row r="4376" spans="1:18" x14ac:dyDescent="0.25">
      <c r="A4376" t="s">
        <v>7</v>
      </c>
      <c r="B4376" t="s">
        <v>8</v>
      </c>
      <c r="C4376">
        <v>1</v>
      </c>
      <c r="D4376">
        <v>5</v>
      </c>
      <c r="E4376">
        <v>2</v>
      </c>
      <c r="F4376" s="15">
        <v>46160</v>
      </c>
      <c r="G4376" t="s">
        <v>538</v>
      </c>
      <c r="H4376">
        <v>3</v>
      </c>
      <c r="I4376">
        <v>2026</v>
      </c>
      <c r="J4376">
        <v>5</v>
      </c>
      <c r="K4376" t="s">
        <v>87</v>
      </c>
      <c r="L4376" t="s">
        <v>352</v>
      </c>
      <c r="M4376" t="s">
        <v>6</v>
      </c>
      <c r="N4376" t="b">
        <v>0</v>
      </c>
      <c r="O4376">
        <v>1</v>
      </c>
      <c r="P4376">
        <v>0</v>
      </c>
      <c r="Q4376">
        <v>0</v>
      </c>
      <c r="R4376">
        <v>0</v>
      </c>
    </row>
    <row r="4377" spans="1:18" x14ac:dyDescent="0.25">
      <c r="A4377" t="s">
        <v>7</v>
      </c>
      <c r="B4377" t="s">
        <v>8</v>
      </c>
      <c r="C4377">
        <v>1</v>
      </c>
      <c r="D4377">
        <v>5</v>
      </c>
      <c r="E4377">
        <v>2</v>
      </c>
      <c r="F4377" s="15">
        <v>46160</v>
      </c>
      <c r="G4377" t="s">
        <v>538</v>
      </c>
      <c r="H4377">
        <v>3</v>
      </c>
      <c r="I4377">
        <v>2026</v>
      </c>
      <c r="J4377">
        <v>5</v>
      </c>
      <c r="K4377" t="s">
        <v>87</v>
      </c>
      <c r="L4377" t="s">
        <v>41</v>
      </c>
      <c r="M4377" t="s">
        <v>6</v>
      </c>
      <c r="N4377" t="b">
        <v>0</v>
      </c>
      <c r="O4377">
        <v>1</v>
      </c>
      <c r="P4377">
        <v>0</v>
      </c>
      <c r="Q4377">
        <v>0</v>
      </c>
      <c r="R4377">
        <v>0</v>
      </c>
    </row>
    <row r="4378" spans="1:18" x14ac:dyDescent="0.25">
      <c r="A4378" t="s">
        <v>352</v>
      </c>
      <c r="B4378" t="s">
        <v>6</v>
      </c>
      <c r="C4378">
        <v>2</v>
      </c>
      <c r="D4378">
        <v>5</v>
      </c>
      <c r="E4378">
        <v>2</v>
      </c>
      <c r="F4378" s="15">
        <v>46160</v>
      </c>
      <c r="G4378" t="s">
        <v>538</v>
      </c>
      <c r="H4378">
        <v>3</v>
      </c>
      <c r="I4378">
        <v>2026</v>
      </c>
      <c r="J4378">
        <v>5</v>
      </c>
      <c r="K4378" t="s">
        <v>87</v>
      </c>
      <c r="L4378" t="s">
        <v>7</v>
      </c>
      <c r="M4378" t="s">
        <v>8</v>
      </c>
      <c r="N4378" t="b">
        <v>0</v>
      </c>
      <c r="O4378">
        <v>0</v>
      </c>
      <c r="P4378">
        <v>1</v>
      </c>
      <c r="Q4378">
        <v>0</v>
      </c>
      <c r="R4378">
        <v>1</v>
      </c>
    </row>
    <row r="4379" spans="1:18" x14ac:dyDescent="0.25">
      <c r="A4379" t="s">
        <v>352</v>
      </c>
      <c r="B4379" t="s">
        <v>6</v>
      </c>
      <c r="C4379">
        <v>2</v>
      </c>
      <c r="D4379">
        <v>5</v>
      </c>
      <c r="E4379">
        <v>2</v>
      </c>
      <c r="F4379" s="15">
        <v>46160</v>
      </c>
      <c r="G4379" t="s">
        <v>538</v>
      </c>
      <c r="H4379">
        <v>3</v>
      </c>
      <c r="I4379">
        <v>2026</v>
      </c>
      <c r="J4379">
        <v>5</v>
      </c>
      <c r="K4379" t="s">
        <v>87</v>
      </c>
      <c r="L4379" t="s">
        <v>41</v>
      </c>
      <c r="M4379" t="s">
        <v>6</v>
      </c>
      <c r="N4379" t="b">
        <v>0</v>
      </c>
      <c r="O4379">
        <v>0</v>
      </c>
      <c r="P4379">
        <v>1</v>
      </c>
      <c r="Q4379">
        <v>0</v>
      </c>
      <c r="R4379">
        <v>0</v>
      </c>
    </row>
    <row r="4380" spans="1:18" x14ac:dyDescent="0.25">
      <c r="A4380" t="s">
        <v>41</v>
      </c>
      <c r="B4380" t="s">
        <v>6</v>
      </c>
      <c r="C4380">
        <v>3</v>
      </c>
      <c r="D4380">
        <v>5</v>
      </c>
      <c r="E4380">
        <v>2</v>
      </c>
      <c r="F4380" s="15">
        <v>46160</v>
      </c>
      <c r="G4380" t="s">
        <v>538</v>
      </c>
      <c r="H4380">
        <v>3</v>
      </c>
      <c r="I4380">
        <v>2026</v>
      </c>
      <c r="J4380">
        <v>5</v>
      </c>
      <c r="K4380" t="s">
        <v>87</v>
      </c>
      <c r="L4380" t="s">
        <v>7</v>
      </c>
      <c r="M4380" t="s">
        <v>8</v>
      </c>
      <c r="N4380" t="b">
        <v>0</v>
      </c>
      <c r="O4380">
        <v>0</v>
      </c>
      <c r="P4380">
        <v>1</v>
      </c>
      <c r="Q4380">
        <v>0</v>
      </c>
      <c r="R4380">
        <v>1</v>
      </c>
    </row>
    <row r="4381" spans="1:18" x14ac:dyDescent="0.25">
      <c r="A4381" t="s">
        <v>41</v>
      </c>
      <c r="B4381" t="s">
        <v>6</v>
      </c>
      <c r="C4381">
        <v>3</v>
      </c>
      <c r="D4381">
        <v>5</v>
      </c>
      <c r="E4381">
        <v>2</v>
      </c>
      <c r="F4381" s="15">
        <v>46160</v>
      </c>
      <c r="G4381" t="s">
        <v>538</v>
      </c>
      <c r="H4381">
        <v>3</v>
      </c>
      <c r="I4381">
        <v>2026</v>
      </c>
      <c r="J4381">
        <v>5</v>
      </c>
      <c r="K4381" t="s">
        <v>87</v>
      </c>
      <c r="L4381" t="s">
        <v>352</v>
      </c>
      <c r="M4381" t="s">
        <v>6</v>
      </c>
      <c r="N4381" t="b">
        <v>0</v>
      </c>
      <c r="O4381">
        <v>0</v>
      </c>
      <c r="P4381">
        <v>1</v>
      </c>
      <c r="Q4381">
        <v>0</v>
      </c>
      <c r="R4381">
        <v>0</v>
      </c>
    </row>
    <row r="4382" spans="1:18" x14ac:dyDescent="0.25">
      <c r="A4382" t="s">
        <v>325</v>
      </c>
      <c r="B4382" t="s">
        <v>8</v>
      </c>
      <c r="C4382">
        <v>1</v>
      </c>
      <c r="D4382">
        <v>1</v>
      </c>
      <c r="E4382">
        <v>1</v>
      </c>
      <c r="F4382" s="15">
        <v>46167</v>
      </c>
      <c r="G4382" t="s">
        <v>544</v>
      </c>
      <c r="H4382">
        <v>4</v>
      </c>
      <c r="I4382">
        <v>2026</v>
      </c>
      <c r="J4382">
        <v>5</v>
      </c>
      <c r="K4382" t="s">
        <v>87</v>
      </c>
      <c r="L4382" t="s">
        <v>10</v>
      </c>
      <c r="M4382" t="s">
        <v>6</v>
      </c>
      <c r="N4382" t="b">
        <v>0</v>
      </c>
      <c r="O4382">
        <v>1</v>
      </c>
      <c r="P4382">
        <v>0</v>
      </c>
      <c r="Q4382">
        <v>0</v>
      </c>
      <c r="R4382">
        <v>0</v>
      </c>
    </row>
    <row r="4383" spans="1:18" x14ac:dyDescent="0.25">
      <c r="A4383" t="s">
        <v>325</v>
      </c>
      <c r="B4383" t="s">
        <v>8</v>
      </c>
      <c r="C4383">
        <v>1</v>
      </c>
      <c r="D4383">
        <v>1</v>
      </c>
      <c r="E4383">
        <v>1</v>
      </c>
      <c r="F4383" s="15">
        <v>46167</v>
      </c>
      <c r="G4383" t="s">
        <v>544</v>
      </c>
      <c r="H4383">
        <v>4</v>
      </c>
      <c r="I4383">
        <v>2026</v>
      </c>
      <c r="J4383">
        <v>5</v>
      </c>
      <c r="K4383" t="s">
        <v>87</v>
      </c>
      <c r="L4383" t="s">
        <v>41</v>
      </c>
      <c r="M4383" t="s">
        <v>6</v>
      </c>
      <c r="N4383" t="b">
        <v>0</v>
      </c>
      <c r="O4383">
        <v>1</v>
      </c>
      <c r="P4383">
        <v>0</v>
      </c>
      <c r="Q4383">
        <v>0</v>
      </c>
      <c r="R4383">
        <v>0</v>
      </c>
    </row>
    <row r="4384" spans="1:18" x14ac:dyDescent="0.25">
      <c r="A4384" t="s">
        <v>325</v>
      </c>
      <c r="B4384" t="s">
        <v>8</v>
      </c>
      <c r="C4384">
        <v>1</v>
      </c>
      <c r="D4384">
        <v>1</v>
      </c>
      <c r="E4384">
        <v>1</v>
      </c>
      <c r="F4384" s="15">
        <v>46167</v>
      </c>
      <c r="G4384" t="s">
        <v>544</v>
      </c>
      <c r="H4384">
        <v>4</v>
      </c>
      <c r="I4384">
        <v>2026</v>
      </c>
      <c r="J4384">
        <v>5</v>
      </c>
      <c r="K4384" t="s">
        <v>87</v>
      </c>
      <c r="L4384" t="s">
        <v>433</v>
      </c>
      <c r="M4384" t="s">
        <v>6</v>
      </c>
      <c r="N4384" t="b">
        <v>0</v>
      </c>
      <c r="O4384">
        <v>1</v>
      </c>
      <c r="P4384">
        <v>0</v>
      </c>
      <c r="Q4384">
        <v>0</v>
      </c>
      <c r="R4384">
        <v>0</v>
      </c>
    </row>
    <row r="4385" spans="1:18" x14ac:dyDescent="0.25">
      <c r="A4385" t="s">
        <v>10</v>
      </c>
      <c r="B4385" t="s">
        <v>6</v>
      </c>
      <c r="C4385">
        <v>2</v>
      </c>
      <c r="D4385">
        <v>1</v>
      </c>
      <c r="E4385">
        <v>1</v>
      </c>
      <c r="F4385" s="15">
        <v>46167</v>
      </c>
      <c r="G4385" t="s">
        <v>544</v>
      </c>
      <c r="H4385">
        <v>4</v>
      </c>
      <c r="I4385">
        <v>2026</v>
      </c>
      <c r="J4385">
        <v>5</v>
      </c>
      <c r="K4385" t="s">
        <v>87</v>
      </c>
      <c r="L4385" t="s">
        <v>325</v>
      </c>
      <c r="M4385" t="s">
        <v>8</v>
      </c>
      <c r="N4385" t="b">
        <v>0</v>
      </c>
      <c r="O4385">
        <v>0</v>
      </c>
      <c r="P4385">
        <v>1</v>
      </c>
      <c r="Q4385">
        <v>0</v>
      </c>
      <c r="R4385">
        <v>1</v>
      </c>
    </row>
    <row r="4386" spans="1:18" x14ac:dyDescent="0.25">
      <c r="A4386" t="s">
        <v>10</v>
      </c>
      <c r="B4386" t="s">
        <v>6</v>
      </c>
      <c r="C4386">
        <v>2</v>
      </c>
      <c r="D4386">
        <v>1</v>
      </c>
      <c r="E4386">
        <v>1</v>
      </c>
      <c r="F4386" s="15">
        <v>46167</v>
      </c>
      <c r="G4386" t="s">
        <v>544</v>
      </c>
      <c r="H4386">
        <v>4</v>
      </c>
      <c r="I4386">
        <v>2026</v>
      </c>
      <c r="J4386">
        <v>5</v>
      </c>
      <c r="K4386" t="s">
        <v>87</v>
      </c>
      <c r="L4386" t="s">
        <v>41</v>
      </c>
      <c r="M4386" t="s">
        <v>6</v>
      </c>
      <c r="N4386" t="b">
        <v>0</v>
      </c>
      <c r="O4386">
        <v>0</v>
      </c>
      <c r="P4386">
        <v>1</v>
      </c>
      <c r="Q4386">
        <v>0</v>
      </c>
      <c r="R4386">
        <v>0</v>
      </c>
    </row>
    <row r="4387" spans="1:18" x14ac:dyDescent="0.25">
      <c r="A4387" t="s">
        <v>10</v>
      </c>
      <c r="B4387" t="s">
        <v>6</v>
      </c>
      <c r="C4387">
        <v>2</v>
      </c>
      <c r="D4387">
        <v>1</v>
      </c>
      <c r="E4387">
        <v>1</v>
      </c>
      <c r="F4387" s="15">
        <v>46167</v>
      </c>
      <c r="G4387" t="s">
        <v>544</v>
      </c>
      <c r="H4387">
        <v>4</v>
      </c>
      <c r="I4387">
        <v>2026</v>
      </c>
      <c r="J4387">
        <v>5</v>
      </c>
      <c r="K4387" t="s">
        <v>87</v>
      </c>
      <c r="L4387" t="s">
        <v>433</v>
      </c>
      <c r="M4387" t="s">
        <v>6</v>
      </c>
      <c r="N4387" t="b">
        <v>0</v>
      </c>
      <c r="O4387">
        <v>0</v>
      </c>
      <c r="P4387">
        <v>1</v>
      </c>
      <c r="Q4387">
        <v>0</v>
      </c>
      <c r="R4387">
        <v>0</v>
      </c>
    </row>
    <row r="4388" spans="1:18" x14ac:dyDescent="0.25">
      <c r="A4388" t="s">
        <v>41</v>
      </c>
      <c r="B4388" t="s">
        <v>6</v>
      </c>
      <c r="C4388">
        <v>3</v>
      </c>
      <c r="D4388">
        <v>1</v>
      </c>
      <c r="E4388">
        <v>1</v>
      </c>
      <c r="F4388" s="15">
        <v>46167</v>
      </c>
      <c r="G4388" t="s">
        <v>544</v>
      </c>
      <c r="H4388">
        <v>4</v>
      </c>
      <c r="I4388">
        <v>2026</v>
      </c>
      <c r="J4388">
        <v>5</v>
      </c>
      <c r="K4388" t="s">
        <v>87</v>
      </c>
      <c r="L4388" t="s">
        <v>325</v>
      </c>
      <c r="M4388" t="s">
        <v>8</v>
      </c>
      <c r="N4388" t="b">
        <v>0</v>
      </c>
      <c r="O4388">
        <v>0</v>
      </c>
      <c r="P4388">
        <v>1</v>
      </c>
      <c r="Q4388">
        <v>0</v>
      </c>
      <c r="R4388">
        <v>1</v>
      </c>
    </row>
    <row r="4389" spans="1:18" x14ac:dyDescent="0.25">
      <c r="A4389" t="s">
        <v>41</v>
      </c>
      <c r="B4389" t="s">
        <v>6</v>
      </c>
      <c r="C4389">
        <v>3</v>
      </c>
      <c r="D4389">
        <v>1</v>
      </c>
      <c r="E4389">
        <v>1</v>
      </c>
      <c r="F4389" s="15">
        <v>46167</v>
      </c>
      <c r="G4389" t="s">
        <v>544</v>
      </c>
      <c r="H4389">
        <v>4</v>
      </c>
      <c r="I4389">
        <v>2026</v>
      </c>
      <c r="J4389">
        <v>5</v>
      </c>
      <c r="K4389" t="s">
        <v>87</v>
      </c>
      <c r="L4389" t="s">
        <v>10</v>
      </c>
      <c r="M4389" t="s">
        <v>6</v>
      </c>
      <c r="N4389" t="b">
        <v>0</v>
      </c>
      <c r="O4389">
        <v>0</v>
      </c>
      <c r="P4389">
        <v>1</v>
      </c>
      <c r="Q4389">
        <v>0</v>
      </c>
      <c r="R4389">
        <v>0</v>
      </c>
    </row>
    <row r="4390" spans="1:18" x14ac:dyDescent="0.25">
      <c r="A4390" t="s">
        <v>41</v>
      </c>
      <c r="B4390" t="s">
        <v>6</v>
      </c>
      <c r="C4390">
        <v>3</v>
      </c>
      <c r="D4390">
        <v>1</v>
      </c>
      <c r="E4390">
        <v>1</v>
      </c>
      <c r="F4390" s="15">
        <v>46167</v>
      </c>
      <c r="G4390" t="s">
        <v>544</v>
      </c>
      <c r="H4390">
        <v>4</v>
      </c>
      <c r="I4390">
        <v>2026</v>
      </c>
      <c r="J4390">
        <v>5</v>
      </c>
      <c r="K4390" t="s">
        <v>87</v>
      </c>
      <c r="L4390" t="s">
        <v>433</v>
      </c>
      <c r="M4390" t="s">
        <v>6</v>
      </c>
      <c r="N4390" t="b">
        <v>0</v>
      </c>
      <c r="O4390">
        <v>0</v>
      </c>
      <c r="P4390">
        <v>1</v>
      </c>
      <c r="Q4390">
        <v>0</v>
      </c>
      <c r="R4390">
        <v>0</v>
      </c>
    </row>
    <row r="4391" spans="1:18" x14ac:dyDescent="0.25">
      <c r="A4391" t="s">
        <v>433</v>
      </c>
      <c r="B4391" t="s">
        <v>6</v>
      </c>
      <c r="C4391">
        <v>4</v>
      </c>
      <c r="D4391">
        <v>1</v>
      </c>
      <c r="E4391">
        <v>1</v>
      </c>
      <c r="F4391" s="15">
        <v>46167</v>
      </c>
      <c r="G4391" t="s">
        <v>544</v>
      </c>
      <c r="H4391">
        <v>4</v>
      </c>
      <c r="I4391">
        <v>2026</v>
      </c>
      <c r="J4391">
        <v>5</v>
      </c>
      <c r="K4391" t="s">
        <v>87</v>
      </c>
      <c r="L4391" t="s">
        <v>325</v>
      </c>
      <c r="M4391" t="s">
        <v>8</v>
      </c>
      <c r="N4391" t="b">
        <v>0</v>
      </c>
      <c r="O4391">
        <v>0</v>
      </c>
      <c r="P4391">
        <v>1</v>
      </c>
      <c r="Q4391">
        <v>0</v>
      </c>
      <c r="R4391">
        <v>1</v>
      </c>
    </row>
    <row r="4392" spans="1:18" x14ac:dyDescent="0.25">
      <c r="A4392" t="s">
        <v>433</v>
      </c>
      <c r="B4392" t="s">
        <v>6</v>
      </c>
      <c r="C4392">
        <v>4</v>
      </c>
      <c r="D4392">
        <v>1</v>
      </c>
      <c r="E4392">
        <v>1</v>
      </c>
      <c r="F4392" s="15">
        <v>46167</v>
      </c>
      <c r="G4392" t="s">
        <v>544</v>
      </c>
      <c r="H4392">
        <v>4</v>
      </c>
      <c r="I4392">
        <v>2026</v>
      </c>
      <c r="J4392">
        <v>5</v>
      </c>
      <c r="K4392" t="s">
        <v>87</v>
      </c>
      <c r="L4392" t="s">
        <v>10</v>
      </c>
      <c r="M4392" t="s">
        <v>6</v>
      </c>
      <c r="N4392" t="b">
        <v>0</v>
      </c>
      <c r="O4392">
        <v>0</v>
      </c>
      <c r="P4392">
        <v>1</v>
      </c>
      <c r="Q4392">
        <v>0</v>
      </c>
      <c r="R4392">
        <v>0</v>
      </c>
    </row>
    <row r="4393" spans="1:18" x14ac:dyDescent="0.25">
      <c r="A4393" t="s">
        <v>433</v>
      </c>
      <c r="B4393" t="s">
        <v>6</v>
      </c>
      <c r="C4393">
        <v>4</v>
      </c>
      <c r="D4393">
        <v>1</v>
      </c>
      <c r="E4393">
        <v>1</v>
      </c>
      <c r="F4393" s="15">
        <v>46167</v>
      </c>
      <c r="G4393" t="s">
        <v>544</v>
      </c>
      <c r="H4393">
        <v>4</v>
      </c>
      <c r="I4393">
        <v>2026</v>
      </c>
      <c r="J4393">
        <v>5</v>
      </c>
      <c r="K4393" t="s">
        <v>87</v>
      </c>
      <c r="L4393" t="s">
        <v>41</v>
      </c>
      <c r="M4393" t="s">
        <v>6</v>
      </c>
      <c r="N4393" t="b">
        <v>0</v>
      </c>
      <c r="O4393">
        <v>0</v>
      </c>
      <c r="P4393">
        <v>1</v>
      </c>
      <c r="Q4393">
        <v>0</v>
      </c>
      <c r="R4393">
        <v>0</v>
      </c>
    </row>
    <row r="4394" spans="1:18" x14ac:dyDescent="0.25">
      <c r="A4394" t="s">
        <v>540</v>
      </c>
      <c r="B4394" t="s">
        <v>63</v>
      </c>
      <c r="C4394">
        <v>1</v>
      </c>
      <c r="D4394">
        <v>2</v>
      </c>
      <c r="E4394">
        <v>1</v>
      </c>
      <c r="F4394" s="15">
        <v>46167</v>
      </c>
      <c r="G4394" t="s">
        <v>545</v>
      </c>
      <c r="H4394">
        <v>4</v>
      </c>
      <c r="I4394">
        <v>2026</v>
      </c>
      <c r="J4394">
        <v>5</v>
      </c>
      <c r="K4394" t="s">
        <v>87</v>
      </c>
      <c r="L4394" t="s">
        <v>20</v>
      </c>
      <c r="M4394" t="s">
        <v>63</v>
      </c>
      <c r="N4394" t="b">
        <v>0</v>
      </c>
      <c r="O4394">
        <v>0</v>
      </c>
      <c r="P4394">
        <v>0</v>
      </c>
      <c r="Q4394">
        <v>1</v>
      </c>
      <c r="R4394">
        <v>0</v>
      </c>
    </row>
    <row r="4395" spans="1:18" x14ac:dyDescent="0.25">
      <c r="A4395" t="s">
        <v>540</v>
      </c>
      <c r="B4395" t="s">
        <v>63</v>
      </c>
      <c r="C4395">
        <v>1</v>
      </c>
      <c r="D4395">
        <v>2</v>
      </c>
      <c r="E4395">
        <v>1</v>
      </c>
      <c r="F4395" s="15">
        <v>46167</v>
      </c>
      <c r="G4395" t="s">
        <v>545</v>
      </c>
      <c r="H4395">
        <v>4</v>
      </c>
      <c r="I4395">
        <v>2026</v>
      </c>
      <c r="J4395">
        <v>5</v>
      </c>
      <c r="K4395" t="s">
        <v>87</v>
      </c>
      <c r="L4395" t="s">
        <v>17</v>
      </c>
      <c r="M4395" t="s">
        <v>63</v>
      </c>
      <c r="N4395" t="b">
        <v>0</v>
      </c>
      <c r="O4395">
        <v>0</v>
      </c>
      <c r="P4395">
        <v>0</v>
      </c>
      <c r="Q4395">
        <v>1</v>
      </c>
      <c r="R4395">
        <v>0</v>
      </c>
    </row>
    <row r="4396" spans="1:18" x14ac:dyDescent="0.25">
      <c r="A4396" t="s">
        <v>540</v>
      </c>
      <c r="B4396" t="s">
        <v>63</v>
      </c>
      <c r="C4396">
        <v>1</v>
      </c>
      <c r="D4396">
        <v>2</v>
      </c>
      <c r="E4396">
        <v>1</v>
      </c>
      <c r="F4396" s="15">
        <v>46167</v>
      </c>
      <c r="G4396" t="s">
        <v>545</v>
      </c>
      <c r="H4396">
        <v>4</v>
      </c>
      <c r="I4396">
        <v>2026</v>
      </c>
      <c r="J4396">
        <v>5</v>
      </c>
      <c r="K4396" t="s">
        <v>87</v>
      </c>
      <c r="L4396" t="s">
        <v>351</v>
      </c>
      <c r="M4396" t="s">
        <v>63</v>
      </c>
      <c r="N4396" t="b">
        <v>0</v>
      </c>
      <c r="O4396">
        <v>0</v>
      </c>
      <c r="P4396">
        <v>0</v>
      </c>
      <c r="Q4396">
        <v>1</v>
      </c>
      <c r="R4396">
        <v>0</v>
      </c>
    </row>
    <row r="4397" spans="1:18" x14ac:dyDescent="0.25">
      <c r="A4397" t="s">
        <v>20</v>
      </c>
      <c r="B4397" t="s">
        <v>63</v>
      </c>
      <c r="C4397">
        <v>2</v>
      </c>
      <c r="D4397">
        <v>2</v>
      </c>
      <c r="E4397">
        <v>1</v>
      </c>
      <c r="F4397" s="15">
        <v>46167</v>
      </c>
      <c r="G4397" t="s">
        <v>545</v>
      </c>
      <c r="H4397">
        <v>4</v>
      </c>
      <c r="I4397">
        <v>2026</v>
      </c>
      <c r="J4397">
        <v>5</v>
      </c>
      <c r="K4397" t="s">
        <v>87</v>
      </c>
      <c r="L4397" t="s">
        <v>540</v>
      </c>
      <c r="M4397" t="s">
        <v>63</v>
      </c>
      <c r="N4397" t="b">
        <v>0</v>
      </c>
      <c r="O4397">
        <v>0</v>
      </c>
      <c r="P4397">
        <v>0</v>
      </c>
      <c r="Q4397">
        <v>1</v>
      </c>
      <c r="R4397">
        <v>0</v>
      </c>
    </row>
    <row r="4398" spans="1:18" x14ac:dyDescent="0.25">
      <c r="A4398" t="s">
        <v>20</v>
      </c>
      <c r="B4398" t="s">
        <v>63</v>
      </c>
      <c r="C4398">
        <v>2</v>
      </c>
      <c r="D4398">
        <v>2</v>
      </c>
      <c r="E4398">
        <v>1</v>
      </c>
      <c r="F4398" s="15">
        <v>46167</v>
      </c>
      <c r="G4398" t="s">
        <v>545</v>
      </c>
      <c r="H4398">
        <v>4</v>
      </c>
      <c r="I4398">
        <v>2026</v>
      </c>
      <c r="J4398">
        <v>5</v>
      </c>
      <c r="K4398" t="s">
        <v>87</v>
      </c>
      <c r="L4398" t="s">
        <v>17</v>
      </c>
      <c r="M4398" t="s">
        <v>63</v>
      </c>
      <c r="N4398" t="b">
        <v>0</v>
      </c>
      <c r="O4398">
        <v>0</v>
      </c>
      <c r="P4398">
        <v>0</v>
      </c>
      <c r="Q4398">
        <v>1</v>
      </c>
      <c r="R4398">
        <v>0</v>
      </c>
    </row>
    <row r="4399" spans="1:18" x14ac:dyDescent="0.25">
      <c r="A4399" t="s">
        <v>20</v>
      </c>
      <c r="B4399" t="s">
        <v>63</v>
      </c>
      <c r="C4399">
        <v>2</v>
      </c>
      <c r="D4399">
        <v>2</v>
      </c>
      <c r="E4399">
        <v>1</v>
      </c>
      <c r="F4399" s="15">
        <v>46167</v>
      </c>
      <c r="G4399" t="s">
        <v>545</v>
      </c>
      <c r="H4399">
        <v>4</v>
      </c>
      <c r="I4399">
        <v>2026</v>
      </c>
      <c r="J4399">
        <v>5</v>
      </c>
      <c r="K4399" t="s">
        <v>87</v>
      </c>
      <c r="L4399" t="s">
        <v>351</v>
      </c>
      <c r="M4399" t="s">
        <v>63</v>
      </c>
      <c r="N4399" t="b">
        <v>0</v>
      </c>
      <c r="O4399">
        <v>0</v>
      </c>
      <c r="P4399">
        <v>0</v>
      </c>
      <c r="Q4399">
        <v>1</v>
      </c>
      <c r="R4399">
        <v>0</v>
      </c>
    </row>
    <row r="4400" spans="1:18" x14ac:dyDescent="0.25">
      <c r="A4400" t="s">
        <v>17</v>
      </c>
      <c r="B4400" t="s">
        <v>63</v>
      </c>
      <c r="C4400">
        <v>3</v>
      </c>
      <c r="D4400">
        <v>2</v>
      </c>
      <c r="E4400">
        <v>1</v>
      </c>
      <c r="F4400" s="15">
        <v>46167</v>
      </c>
      <c r="G4400" t="s">
        <v>545</v>
      </c>
      <c r="H4400">
        <v>4</v>
      </c>
      <c r="I4400">
        <v>2026</v>
      </c>
      <c r="J4400">
        <v>5</v>
      </c>
      <c r="K4400" t="s">
        <v>87</v>
      </c>
      <c r="L4400" t="s">
        <v>540</v>
      </c>
      <c r="M4400" t="s">
        <v>63</v>
      </c>
      <c r="N4400" t="b">
        <v>0</v>
      </c>
      <c r="O4400">
        <v>0</v>
      </c>
      <c r="P4400">
        <v>0</v>
      </c>
      <c r="Q4400">
        <v>1</v>
      </c>
      <c r="R4400">
        <v>0</v>
      </c>
    </row>
    <row r="4401" spans="1:18" x14ac:dyDescent="0.25">
      <c r="A4401" t="s">
        <v>17</v>
      </c>
      <c r="B4401" t="s">
        <v>63</v>
      </c>
      <c r="C4401">
        <v>3</v>
      </c>
      <c r="D4401">
        <v>2</v>
      </c>
      <c r="E4401">
        <v>1</v>
      </c>
      <c r="F4401" s="15">
        <v>46167</v>
      </c>
      <c r="G4401" t="s">
        <v>545</v>
      </c>
      <c r="H4401">
        <v>4</v>
      </c>
      <c r="I4401">
        <v>2026</v>
      </c>
      <c r="J4401">
        <v>5</v>
      </c>
      <c r="K4401" t="s">
        <v>87</v>
      </c>
      <c r="L4401" t="s">
        <v>20</v>
      </c>
      <c r="M4401" t="s">
        <v>63</v>
      </c>
      <c r="N4401" t="b">
        <v>0</v>
      </c>
      <c r="O4401">
        <v>0</v>
      </c>
      <c r="P4401">
        <v>0</v>
      </c>
      <c r="Q4401">
        <v>1</v>
      </c>
      <c r="R4401">
        <v>0</v>
      </c>
    </row>
    <row r="4402" spans="1:18" x14ac:dyDescent="0.25">
      <c r="A4402" t="s">
        <v>17</v>
      </c>
      <c r="B4402" t="s">
        <v>63</v>
      </c>
      <c r="C4402">
        <v>3</v>
      </c>
      <c r="D4402">
        <v>2</v>
      </c>
      <c r="E4402">
        <v>1</v>
      </c>
      <c r="F4402" s="15">
        <v>46167</v>
      </c>
      <c r="G4402" t="s">
        <v>545</v>
      </c>
      <c r="H4402">
        <v>4</v>
      </c>
      <c r="I4402">
        <v>2026</v>
      </c>
      <c r="J4402">
        <v>5</v>
      </c>
      <c r="K4402" t="s">
        <v>87</v>
      </c>
      <c r="L4402" t="s">
        <v>351</v>
      </c>
      <c r="M4402" t="s">
        <v>63</v>
      </c>
      <c r="N4402" t="b">
        <v>0</v>
      </c>
      <c r="O4402">
        <v>0</v>
      </c>
      <c r="P4402">
        <v>0</v>
      </c>
      <c r="Q4402">
        <v>1</v>
      </c>
      <c r="R4402">
        <v>0</v>
      </c>
    </row>
    <row r="4403" spans="1:18" x14ac:dyDescent="0.25">
      <c r="A4403" t="s">
        <v>351</v>
      </c>
      <c r="B4403" t="s">
        <v>63</v>
      </c>
      <c r="C4403">
        <v>4</v>
      </c>
      <c r="D4403">
        <v>2</v>
      </c>
      <c r="E4403">
        <v>1</v>
      </c>
      <c r="F4403" s="15">
        <v>46167</v>
      </c>
      <c r="G4403" t="s">
        <v>545</v>
      </c>
      <c r="H4403">
        <v>4</v>
      </c>
      <c r="I4403">
        <v>2026</v>
      </c>
      <c r="J4403">
        <v>5</v>
      </c>
      <c r="K4403" t="s">
        <v>87</v>
      </c>
      <c r="L4403" t="s">
        <v>540</v>
      </c>
      <c r="M4403" t="s">
        <v>63</v>
      </c>
      <c r="N4403" t="b">
        <v>0</v>
      </c>
      <c r="O4403">
        <v>0</v>
      </c>
      <c r="P4403">
        <v>0</v>
      </c>
      <c r="Q4403">
        <v>1</v>
      </c>
      <c r="R4403">
        <v>0</v>
      </c>
    </row>
    <row r="4404" spans="1:18" x14ac:dyDescent="0.25">
      <c r="A4404" t="s">
        <v>351</v>
      </c>
      <c r="B4404" t="s">
        <v>63</v>
      </c>
      <c r="C4404">
        <v>4</v>
      </c>
      <c r="D4404">
        <v>2</v>
      </c>
      <c r="E4404">
        <v>1</v>
      </c>
      <c r="F4404" s="15">
        <v>46167</v>
      </c>
      <c r="G4404" t="s">
        <v>545</v>
      </c>
      <c r="H4404">
        <v>4</v>
      </c>
      <c r="I4404">
        <v>2026</v>
      </c>
      <c r="J4404">
        <v>5</v>
      </c>
      <c r="K4404" t="s">
        <v>87</v>
      </c>
      <c r="L4404" t="s">
        <v>20</v>
      </c>
      <c r="M4404" t="s">
        <v>63</v>
      </c>
      <c r="N4404" t="b">
        <v>0</v>
      </c>
      <c r="O4404">
        <v>0</v>
      </c>
      <c r="P4404">
        <v>0</v>
      </c>
      <c r="Q4404">
        <v>1</v>
      </c>
      <c r="R4404">
        <v>0</v>
      </c>
    </row>
    <row r="4405" spans="1:18" x14ac:dyDescent="0.25">
      <c r="A4405" t="s">
        <v>351</v>
      </c>
      <c r="B4405" t="s">
        <v>63</v>
      </c>
      <c r="C4405">
        <v>4</v>
      </c>
      <c r="D4405">
        <v>2</v>
      </c>
      <c r="E4405">
        <v>1</v>
      </c>
      <c r="F4405" s="15">
        <v>46167</v>
      </c>
      <c r="G4405" t="s">
        <v>545</v>
      </c>
      <c r="H4405">
        <v>4</v>
      </c>
      <c r="I4405">
        <v>2026</v>
      </c>
      <c r="J4405">
        <v>5</v>
      </c>
      <c r="K4405" t="s">
        <v>87</v>
      </c>
      <c r="L4405" t="s">
        <v>17</v>
      </c>
      <c r="M4405" t="s">
        <v>63</v>
      </c>
      <c r="N4405" t="b">
        <v>0</v>
      </c>
      <c r="O4405">
        <v>0</v>
      </c>
      <c r="P4405">
        <v>0</v>
      </c>
      <c r="Q4405">
        <v>1</v>
      </c>
      <c r="R4405">
        <v>0</v>
      </c>
    </row>
    <row r="4406" spans="1:18" x14ac:dyDescent="0.25">
      <c r="A4406" t="s">
        <v>52</v>
      </c>
      <c r="B4406" t="s">
        <v>6</v>
      </c>
      <c r="C4406">
        <v>1</v>
      </c>
      <c r="D4406">
        <v>3</v>
      </c>
      <c r="E4406">
        <v>1</v>
      </c>
      <c r="F4406" s="15">
        <v>46167</v>
      </c>
      <c r="G4406" t="s">
        <v>546</v>
      </c>
      <c r="H4406">
        <v>4</v>
      </c>
      <c r="I4406">
        <v>2026</v>
      </c>
      <c r="J4406">
        <v>5</v>
      </c>
      <c r="K4406" t="s">
        <v>87</v>
      </c>
      <c r="L4406" t="s">
        <v>13</v>
      </c>
      <c r="M4406" t="s">
        <v>8</v>
      </c>
      <c r="N4406" t="b">
        <v>0</v>
      </c>
      <c r="O4406">
        <v>0</v>
      </c>
      <c r="P4406">
        <v>1</v>
      </c>
      <c r="Q4406">
        <v>0</v>
      </c>
      <c r="R4406">
        <v>1</v>
      </c>
    </row>
    <row r="4407" spans="1:18" x14ac:dyDescent="0.25">
      <c r="A4407" t="s">
        <v>52</v>
      </c>
      <c r="B4407" t="s">
        <v>6</v>
      </c>
      <c r="C4407">
        <v>1</v>
      </c>
      <c r="D4407">
        <v>3</v>
      </c>
      <c r="E4407">
        <v>1</v>
      </c>
      <c r="F4407" s="15">
        <v>46167</v>
      </c>
      <c r="G4407" t="s">
        <v>546</v>
      </c>
      <c r="H4407">
        <v>4</v>
      </c>
      <c r="I4407">
        <v>2026</v>
      </c>
      <c r="J4407">
        <v>5</v>
      </c>
      <c r="K4407" t="s">
        <v>87</v>
      </c>
      <c r="L4407" t="s">
        <v>14</v>
      </c>
      <c r="M4407" t="s">
        <v>6</v>
      </c>
      <c r="N4407" t="b">
        <v>0</v>
      </c>
      <c r="O4407">
        <v>0</v>
      </c>
      <c r="P4407">
        <v>1</v>
      </c>
      <c r="Q4407">
        <v>0</v>
      </c>
      <c r="R4407">
        <v>0</v>
      </c>
    </row>
    <row r="4408" spans="1:18" x14ac:dyDescent="0.25">
      <c r="A4408" t="s">
        <v>52</v>
      </c>
      <c r="B4408" t="s">
        <v>6</v>
      </c>
      <c r="C4408">
        <v>1</v>
      </c>
      <c r="D4408">
        <v>3</v>
      </c>
      <c r="E4408">
        <v>1</v>
      </c>
      <c r="F4408" s="15">
        <v>46167</v>
      </c>
      <c r="G4408" t="s">
        <v>546</v>
      </c>
      <c r="H4408">
        <v>4</v>
      </c>
      <c r="I4408">
        <v>2026</v>
      </c>
      <c r="J4408">
        <v>5</v>
      </c>
      <c r="K4408" t="s">
        <v>87</v>
      </c>
      <c r="L4408" t="s">
        <v>405</v>
      </c>
      <c r="M4408" t="s">
        <v>6</v>
      </c>
      <c r="N4408" t="b">
        <v>0</v>
      </c>
      <c r="O4408">
        <v>0</v>
      </c>
      <c r="P4408">
        <v>1</v>
      </c>
      <c r="Q4408">
        <v>0</v>
      </c>
      <c r="R4408">
        <v>0</v>
      </c>
    </row>
    <row r="4409" spans="1:18" x14ac:dyDescent="0.25">
      <c r="A4409" t="s">
        <v>13</v>
      </c>
      <c r="B4409" t="s">
        <v>8</v>
      </c>
      <c r="C4409">
        <v>2</v>
      </c>
      <c r="D4409">
        <v>3</v>
      </c>
      <c r="E4409">
        <v>1</v>
      </c>
      <c r="F4409" s="15">
        <v>46167</v>
      </c>
      <c r="G4409" t="s">
        <v>546</v>
      </c>
      <c r="H4409">
        <v>4</v>
      </c>
      <c r="I4409">
        <v>2026</v>
      </c>
      <c r="J4409">
        <v>5</v>
      </c>
      <c r="K4409" t="s">
        <v>87</v>
      </c>
      <c r="L4409" t="s">
        <v>52</v>
      </c>
      <c r="M4409" t="s">
        <v>6</v>
      </c>
      <c r="N4409" t="b">
        <v>0</v>
      </c>
      <c r="O4409">
        <v>1</v>
      </c>
      <c r="P4409">
        <v>0</v>
      </c>
      <c r="Q4409">
        <v>0</v>
      </c>
      <c r="R4409">
        <v>0</v>
      </c>
    </row>
    <row r="4410" spans="1:18" x14ac:dyDescent="0.25">
      <c r="A4410" t="s">
        <v>13</v>
      </c>
      <c r="B4410" t="s">
        <v>8</v>
      </c>
      <c r="C4410">
        <v>2</v>
      </c>
      <c r="D4410">
        <v>3</v>
      </c>
      <c r="E4410">
        <v>1</v>
      </c>
      <c r="F4410" s="15">
        <v>46167</v>
      </c>
      <c r="G4410" t="s">
        <v>546</v>
      </c>
      <c r="H4410">
        <v>4</v>
      </c>
      <c r="I4410">
        <v>2026</v>
      </c>
      <c r="J4410">
        <v>5</v>
      </c>
      <c r="K4410" t="s">
        <v>87</v>
      </c>
      <c r="L4410" t="s">
        <v>14</v>
      </c>
      <c r="M4410" t="s">
        <v>6</v>
      </c>
      <c r="N4410" t="b">
        <v>0</v>
      </c>
      <c r="O4410">
        <v>1</v>
      </c>
      <c r="P4410">
        <v>0</v>
      </c>
      <c r="Q4410">
        <v>0</v>
      </c>
      <c r="R4410">
        <v>0</v>
      </c>
    </row>
    <row r="4411" spans="1:18" x14ac:dyDescent="0.25">
      <c r="A4411" t="s">
        <v>13</v>
      </c>
      <c r="B4411" t="s">
        <v>8</v>
      </c>
      <c r="C4411">
        <v>2</v>
      </c>
      <c r="D4411">
        <v>3</v>
      </c>
      <c r="E4411">
        <v>1</v>
      </c>
      <c r="F4411" s="15">
        <v>46167</v>
      </c>
      <c r="G4411" t="s">
        <v>546</v>
      </c>
      <c r="H4411">
        <v>4</v>
      </c>
      <c r="I4411">
        <v>2026</v>
      </c>
      <c r="J4411">
        <v>5</v>
      </c>
      <c r="K4411" t="s">
        <v>87</v>
      </c>
      <c r="L4411" t="s">
        <v>405</v>
      </c>
      <c r="M4411" t="s">
        <v>6</v>
      </c>
      <c r="N4411" t="b">
        <v>0</v>
      </c>
      <c r="O4411">
        <v>1</v>
      </c>
      <c r="P4411">
        <v>0</v>
      </c>
      <c r="Q4411">
        <v>0</v>
      </c>
      <c r="R4411">
        <v>0</v>
      </c>
    </row>
    <row r="4412" spans="1:18" x14ac:dyDescent="0.25">
      <c r="A4412" t="s">
        <v>14</v>
      </c>
      <c r="B4412" t="s">
        <v>6</v>
      </c>
      <c r="C4412">
        <v>3</v>
      </c>
      <c r="D4412">
        <v>3</v>
      </c>
      <c r="E4412">
        <v>1</v>
      </c>
      <c r="F4412" s="15">
        <v>46167</v>
      </c>
      <c r="G4412" t="s">
        <v>546</v>
      </c>
      <c r="H4412">
        <v>4</v>
      </c>
      <c r="I4412">
        <v>2026</v>
      </c>
      <c r="J4412">
        <v>5</v>
      </c>
      <c r="K4412" t="s">
        <v>87</v>
      </c>
      <c r="L4412" t="s">
        <v>52</v>
      </c>
      <c r="M4412" t="s">
        <v>6</v>
      </c>
      <c r="N4412" t="b">
        <v>0</v>
      </c>
      <c r="O4412">
        <v>0</v>
      </c>
      <c r="P4412">
        <v>1</v>
      </c>
      <c r="Q4412">
        <v>0</v>
      </c>
      <c r="R4412">
        <v>0</v>
      </c>
    </row>
    <row r="4413" spans="1:18" x14ac:dyDescent="0.25">
      <c r="A4413" t="s">
        <v>14</v>
      </c>
      <c r="B4413" t="s">
        <v>6</v>
      </c>
      <c r="C4413">
        <v>3</v>
      </c>
      <c r="D4413">
        <v>3</v>
      </c>
      <c r="E4413">
        <v>1</v>
      </c>
      <c r="F4413" s="15">
        <v>46167</v>
      </c>
      <c r="G4413" t="s">
        <v>546</v>
      </c>
      <c r="H4413">
        <v>4</v>
      </c>
      <c r="I4413">
        <v>2026</v>
      </c>
      <c r="J4413">
        <v>5</v>
      </c>
      <c r="K4413" t="s">
        <v>87</v>
      </c>
      <c r="L4413" t="s">
        <v>13</v>
      </c>
      <c r="M4413" t="s">
        <v>8</v>
      </c>
      <c r="N4413" t="b">
        <v>0</v>
      </c>
      <c r="O4413">
        <v>0</v>
      </c>
      <c r="P4413">
        <v>1</v>
      </c>
      <c r="Q4413">
        <v>0</v>
      </c>
      <c r="R4413">
        <v>1</v>
      </c>
    </row>
    <row r="4414" spans="1:18" x14ac:dyDescent="0.25">
      <c r="A4414" t="s">
        <v>14</v>
      </c>
      <c r="B4414" t="s">
        <v>6</v>
      </c>
      <c r="C4414">
        <v>3</v>
      </c>
      <c r="D4414">
        <v>3</v>
      </c>
      <c r="E4414">
        <v>1</v>
      </c>
      <c r="F4414" s="15">
        <v>46167</v>
      </c>
      <c r="G4414" t="s">
        <v>546</v>
      </c>
      <c r="H4414">
        <v>4</v>
      </c>
      <c r="I4414">
        <v>2026</v>
      </c>
      <c r="J4414">
        <v>5</v>
      </c>
      <c r="K4414" t="s">
        <v>87</v>
      </c>
      <c r="L4414" t="s">
        <v>405</v>
      </c>
      <c r="M4414" t="s">
        <v>6</v>
      </c>
      <c r="N4414" t="b">
        <v>0</v>
      </c>
      <c r="O4414">
        <v>0</v>
      </c>
      <c r="P4414">
        <v>1</v>
      </c>
      <c r="Q4414">
        <v>0</v>
      </c>
      <c r="R4414">
        <v>0</v>
      </c>
    </row>
    <row r="4415" spans="1:18" x14ac:dyDescent="0.25">
      <c r="A4415" t="s">
        <v>405</v>
      </c>
      <c r="B4415" t="s">
        <v>6</v>
      </c>
      <c r="C4415">
        <v>4</v>
      </c>
      <c r="D4415">
        <v>3</v>
      </c>
      <c r="E4415">
        <v>1</v>
      </c>
      <c r="F4415" s="15">
        <v>46167</v>
      </c>
      <c r="G4415" t="s">
        <v>546</v>
      </c>
      <c r="H4415">
        <v>4</v>
      </c>
      <c r="I4415">
        <v>2026</v>
      </c>
      <c r="J4415">
        <v>5</v>
      </c>
      <c r="K4415" t="s">
        <v>87</v>
      </c>
      <c r="L4415" t="s">
        <v>52</v>
      </c>
      <c r="M4415" t="s">
        <v>6</v>
      </c>
      <c r="N4415" t="b">
        <v>0</v>
      </c>
      <c r="O4415">
        <v>0</v>
      </c>
      <c r="P4415">
        <v>1</v>
      </c>
      <c r="Q4415">
        <v>0</v>
      </c>
      <c r="R4415">
        <v>0</v>
      </c>
    </row>
    <row r="4416" spans="1:18" x14ac:dyDescent="0.25">
      <c r="A4416" t="s">
        <v>405</v>
      </c>
      <c r="B4416" t="s">
        <v>6</v>
      </c>
      <c r="C4416">
        <v>4</v>
      </c>
      <c r="D4416">
        <v>3</v>
      </c>
      <c r="E4416">
        <v>1</v>
      </c>
      <c r="F4416" s="15">
        <v>46167</v>
      </c>
      <c r="G4416" t="s">
        <v>546</v>
      </c>
      <c r="H4416">
        <v>4</v>
      </c>
      <c r="I4416">
        <v>2026</v>
      </c>
      <c r="J4416">
        <v>5</v>
      </c>
      <c r="K4416" t="s">
        <v>87</v>
      </c>
      <c r="L4416" t="s">
        <v>13</v>
      </c>
      <c r="M4416" t="s">
        <v>8</v>
      </c>
      <c r="N4416" t="b">
        <v>0</v>
      </c>
      <c r="O4416">
        <v>0</v>
      </c>
      <c r="P4416">
        <v>1</v>
      </c>
      <c r="Q4416">
        <v>0</v>
      </c>
      <c r="R4416">
        <v>1</v>
      </c>
    </row>
    <row r="4417" spans="1:18" x14ac:dyDescent="0.25">
      <c r="A4417" t="s">
        <v>405</v>
      </c>
      <c r="B4417" t="s">
        <v>6</v>
      </c>
      <c r="C4417">
        <v>4</v>
      </c>
      <c r="D4417">
        <v>3</v>
      </c>
      <c r="E4417">
        <v>1</v>
      </c>
      <c r="F4417" s="15">
        <v>46167</v>
      </c>
      <c r="G4417" t="s">
        <v>546</v>
      </c>
      <c r="H4417">
        <v>4</v>
      </c>
      <c r="I4417">
        <v>2026</v>
      </c>
      <c r="J4417">
        <v>5</v>
      </c>
      <c r="K4417" t="s">
        <v>87</v>
      </c>
      <c r="L4417" t="s">
        <v>14</v>
      </c>
      <c r="M4417" t="s">
        <v>6</v>
      </c>
      <c r="N4417" t="b">
        <v>0</v>
      </c>
      <c r="O4417">
        <v>0</v>
      </c>
      <c r="P4417">
        <v>1</v>
      </c>
      <c r="Q4417">
        <v>0</v>
      </c>
      <c r="R4417">
        <v>0</v>
      </c>
    </row>
    <row r="4418" spans="1:18" x14ac:dyDescent="0.25">
      <c r="A4418" t="s">
        <v>352</v>
      </c>
      <c r="B4418" t="s">
        <v>8</v>
      </c>
      <c r="C4418">
        <v>1</v>
      </c>
      <c r="D4418">
        <v>4</v>
      </c>
      <c r="E4418">
        <v>1</v>
      </c>
      <c r="F4418" s="15">
        <v>46167</v>
      </c>
      <c r="G4418" t="s">
        <v>547</v>
      </c>
      <c r="H4418">
        <v>3</v>
      </c>
      <c r="I4418">
        <v>2026</v>
      </c>
      <c r="J4418">
        <v>5</v>
      </c>
      <c r="K4418" t="s">
        <v>87</v>
      </c>
      <c r="L4418" t="s">
        <v>19</v>
      </c>
      <c r="M4418" t="s">
        <v>6</v>
      </c>
      <c r="N4418" t="b">
        <v>0</v>
      </c>
      <c r="O4418">
        <v>1</v>
      </c>
      <c r="P4418">
        <v>0</v>
      </c>
      <c r="Q4418">
        <v>0</v>
      </c>
      <c r="R4418">
        <v>0</v>
      </c>
    </row>
    <row r="4419" spans="1:18" x14ac:dyDescent="0.25">
      <c r="A4419" t="s">
        <v>352</v>
      </c>
      <c r="B4419" t="s">
        <v>8</v>
      </c>
      <c r="C4419">
        <v>1</v>
      </c>
      <c r="D4419">
        <v>4</v>
      </c>
      <c r="E4419">
        <v>1</v>
      </c>
      <c r="F4419" s="15">
        <v>46167</v>
      </c>
      <c r="G4419" t="s">
        <v>547</v>
      </c>
      <c r="H4419">
        <v>3</v>
      </c>
      <c r="I4419">
        <v>2026</v>
      </c>
      <c r="J4419">
        <v>5</v>
      </c>
      <c r="K4419" t="s">
        <v>87</v>
      </c>
      <c r="L4419" t="s">
        <v>7</v>
      </c>
      <c r="M4419" t="s">
        <v>6</v>
      </c>
      <c r="N4419" t="b">
        <v>0</v>
      </c>
      <c r="O4419">
        <v>1</v>
      </c>
      <c r="P4419">
        <v>0</v>
      </c>
      <c r="Q4419">
        <v>0</v>
      </c>
      <c r="R4419">
        <v>0</v>
      </c>
    </row>
    <row r="4420" spans="1:18" x14ac:dyDescent="0.25">
      <c r="A4420" t="s">
        <v>19</v>
      </c>
      <c r="B4420" t="s">
        <v>6</v>
      </c>
      <c r="C4420">
        <v>2</v>
      </c>
      <c r="D4420">
        <v>4</v>
      </c>
      <c r="E4420">
        <v>1</v>
      </c>
      <c r="F4420" s="15">
        <v>46167</v>
      </c>
      <c r="G4420" t="s">
        <v>547</v>
      </c>
      <c r="H4420">
        <v>3</v>
      </c>
      <c r="I4420">
        <v>2026</v>
      </c>
      <c r="J4420">
        <v>5</v>
      </c>
      <c r="K4420" t="s">
        <v>87</v>
      </c>
      <c r="L4420" t="s">
        <v>352</v>
      </c>
      <c r="M4420" t="s">
        <v>8</v>
      </c>
      <c r="N4420" t="b">
        <v>0</v>
      </c>
      <c r="O4420">
        <v>0</v>
      </c>
      <c r="P4420">
        <v>1</v>
      </c>
      <c r="Q4420">
        <v>0</v>
      </c>
      <c r="R4420">
        <v>1</v>
      </c>
    </row>
    <row r="4421" spans="1:18" x14ac:dyDescent="0.25">
      <c r="A4421" t="s">
        <v>19</v>
      </c>
      <c r="B4421" t="s">
        <v>6</v>
      </c>
      <c r="C4421">
        <v>2</v>
      </c>
      <c r="D4421">
        <v>4</v>
      </c>
      <c r="E4421">
        <v>1</v>
      </c>
      <c r="F4421" s="15">
        <v>46167</v>
      </c>
      <c r="G4421" t="s">
        <v>547</v>
      </c>
      <c r="H4421">
        <v>3</v>
      </c>
      <c r="I4421">
        <v>2026</v>
      </c>
      <c r="J4421">
        <v>5</v>
      </c>
      <c r="K4421" t="s">
        <v>87</v>
      </c>
      <c r="L4421" t="s">
        <v>7</v>
      </c>
      <c r="M4421" t="s">
        <v>6</v>
      </c>
      <c r="N4421" t="b">
        <v>0</v>
      </c>
      <c r="O4421">
        <v>0</v>
      </c>
      <c r="P4421">
        <v>1</v>
      </c>
      <c r="Q4421">
        <v>0</v>
      </c>
      <c r="R4421">
        <v>0</v>
      </c>
    </row>
    <row r="4422" spans="1:18" x14ac:dyDescent="0.25">
      <c r="A4422" t="s">
        <v>7</v>
      </c>
      <c r="B4422" t="s">
        <v>6</v>
      </c>
      <c r="C4422">
        <v>3</v>
      </c>
      <c r="D4422">
        <v>4</v>
      </c>
      <c r="E4422">
        <v>1</v>
      </c>
      <c r="F4422" s="15">
        <v>46167</v>
      </c>
      <c r="G4422" t="s">
        <v>547</v>
      </c>
      <c r="H4422">
        <v>3</v>
      </c>
      <c r="I4422">
        <v>2026</v>
      </c>
      <c r="J4422">
        <v>5</v>
      </c>
      <c r="K4422" t="s">
        <v>87</v>
      </c>
      <c r="L4422" t="s">
        <v>352</v>
      </c>
      <c r="M4422" t="s">
        <v>8</v>
      </c>
      <c r="N4422" t="b">
        <v>0</v>
      </c>
      <c r="O4422">
        <v>0</v>
      </c>
      <c r="P4422">
        <v>1</v>
      </c>
      <c r="Q4422">
        <v>0</v>
      </c>
      <c r="R4422">
        <v>1</v>
      </c>
    </row>
    <row r="4423" spans="1:18" x14ac:dyDescent="0.25">
      <c r="A4423" t="s">
        <v>7</v>
      </c>
      <c r="B4423" t="s">
        <v>6</v>
      </c>
      <c r="C4423">
        <v>3</v>
      </c>
      <c r="D4423">
        <v>4</v>
      </c>
      <c r="E4423">
        <v>1</v>
      </c>
      <c r="F4423" s="15">
        <v>46167</v>
      </c>
      <c r="G4423" t="s">
        <v>547</v>
      </c>
      <c r="H4423">
        <v>3</v>
      </c>
      <c r="I4423">
        <v>2026</v>
      </c>
      <c r="J4423">
        <v>5</v>
      </c>
      <c r="K4423" t="s">
        <v>87</v>
      </c>
      <c r="L4423" t="s">
        <v>19</v>
      </c>
      <c r="M4423" t="s">
        <v>6</v>
      </c>
      <c r="N4423" t="b">
        <v>0</v>
      </c>
      <c r="O4423">
        <v>0</v>
      </c>
      <c r="P4423">
        <v>1</v>
      </c>
      <c r="Q4423">
        <v>0</v>
      </c>
      <c r="R4423">
        <v>0</v>
      </c>
    </row>
    <row r="4424" spans="1:18" x14ac:dyDescent="0.25">
      <c r="A4424" t="s">
        <v>325</v>
      </c>
      <c r="B4424" t="s">
        <v>8</v>
      </c>
      <c r="C4424">
        <v>1</v>
      </c>
      <c r="D4424">
        <v>1</v>
      </c>
      <c r="E4424">
        <v>2</v>
      </c>
      <c r="F4424" s="15">
        <v>46167</v>
      </c>
      <c r="G4424" t="s">
        <v>548</v>
      </c>
      <c r="H4424">
        <v>4</v>
      </c>
      <c r="I4424">
        <v>2026</v>
      </c>
      <c r="J4424">
        <v>5</v>
      </c>
      <c r="K4424" t="s">
        <v>87</v>
      </c>
      <c r="L4424" t="s">
        <v>352</v>
      </c>
      <c r="M4424" t="s">
        <v>6</v>
      </c>
      <c r="N4424" t="b">
        <v>0</v>
      </c>
      <c r="O4424">
        <v>1</v>
      </c>
      <c r="P4424">
        <v>0</v>
      </c>
      <c r="Q4424">
        <v>0</v>
      </c>
      <c r="R4424">
        <v>0</v>
      </c>
    </row>
    <row r="4425" spans="1:18" x14ac:dyDescent="0.25">
      <c r="A4425" t="s">
        <v>325</v>
      </c>
      <c r="B4425" t="s">
        <v>8</v>
      </c>
      <c r="C4425">
        <v>1</v>
      </c>
      <c r="D4425">
        <v>1</v>
      </c>
      <c r="E4425">
        <v>2</v>
      </c>
      <c r="F4425" s="15">
        <v>46167</v>
      </c>
      <c r="G4425" t="s">
        <v>548</v>
      </c>
      <c r="H4425">
        <v>4</v>
      </c>
      <c r="I4425">
        <v>2026</v>
      </c>
      <c r="J4425">
        <v>5</v>
      </c>
      <c r="K4425" t="s">
        <v>87</v>
      </c>
      <c r="L4425" t="s">
        <v>13</v>
      </c>
      <c r="M4425" t="s">
        <v>6</v>
      </c>
      <c r="N4425" t="b">
        <v>0</v>
      </c>
      <c r="O4425">
        <v>1</v>
      </c>
      <c r="P4425">
        <v>0</v>
      </c>
      <c r="Q4425">
        <v>0</v>
      </c>
      <c r="R4425">
        <v>0</v>
      </c>
    </row>
    <row r="4426" spans="1:18" x14ac:dyDescent="0.25">
      <c r="A4426" t="s">
        <v>325</v>
      </c>
      <c r="B4426" t="s">
        <v>8</v>
      </c>
      <c r="C4426">
        <v>1</v>
      </c>
      <c r="D4426">
        <v>1</v>
      </c>
      <c r="E4426">
        <v>2</v>
      </c>
      <c r="F4426" s="15">
        <v>46167</v>
      </c>
      <c r="G4426" t="s">
        <v>548</v>
      </c>
      <c r="H4426">
        <v>4</v>
      </c>
      <c r="I4426">
        <v>2026</v>
      </c>
      <c r="J4426">
        <v>5</v>
      </c>
      <c r="K4426" t="s">
        <v>87</v>
      </c>
      <c r="L4426" t="s">
        <v>20</v>
      </c>
      <c r="M4426" t="s">
        <v>6</v>
      </c>
      <c r="N4426" t="b">
        <v>0</v>
      </c>
      <c r="O4426">
        <v>1</v>
      </c>
      <c r="P4426">
        <v>0</v>
      </c>
      <c r="Q4426">
        <v>0</v>
      </c>
      <c r="R4426">
        <v>0</v>
      </c>
    </row>
    <row r="4427" spans="1:18" x14ac:dyDescent="0.25">
      <c r="A4427" t="s">
        <v>352</v>
      </c>
      <c r="B4427" t="s">
        <v>6</v>
      </c>
      <c r="C4427">
        <v>2</v>
      </c>
      <c r="D4427">
        <v>1</v>
      </c>
      <c r="E4427">
        <v>2</v>
      </c>
      <c r="F4427" s="15">
        <v>46167</v>
      </c>
      <c r="G4427" t="s">
        <v>548</v>
      </c>
      <c r="H4427">
        <v>4</v>
      </c>
      <c r="I4427">
        <v>2026</v>
      </c>
      <c r="J4427">
        <v>5</v>
      </c>
      <c r="K4427" t="s">
        <v>87</v>
      </c>
      <c r="L4427" t="s">
        <v>325</v>
      </c>
      <c r="M4427" t="s">
        <v>8</v>
      </c>
      <c r="N4427" t="b">
        <v>0</v>
      </c>
      <c r="O4427">
        <v>0</v>
      </c>
      <c r="P4427">
        <v>1</v>
      </c>
      <c r="Q4427">
        <v>0</v>
      </c>
      <c r="R4427">
        <v>1</v>
      </c>
    </row>
    <row r="4428" spans="1:18" x14ac:dyDescent="0.25">
      <c r="A4428" t="s">
        <v>352</v>
      </c>
      <c r="B4428" t="s">
        <v>6</v>
      </c>
      <c r="C4428">
        <v>2</v>
      </c>
      <c r="D4428">
        <v>1</v>
      </c>
      <c r="E4428">
        <v>2</v>
      </c>
      <c r="F4428" s="15">
        <v>46167</v>
      </c>
      <c r="G4428" t="s">
        <v>548</v>
      </c>
      <c r="H4428">
        <v>4</v>
      </c>
      <c r="I4428">
        <v>2026</v>
      </c>
      <c r="J4428">
        <v>5</v>
      </c>
      <c r="K4428" t="s">
        <v>87</v>
      </c>
      <c r="L4428" t="s">
        <v>13</v>
      </c>
      <c r="M4428" t="s">
        <v>6</v>
      </c>
      <c r="N4428" t="b">
        <v>0</v>
      </c>
      <c r="O4428">
        <v>0</v>
      </c>
      <c r="P4428">
        <v>1</v>
      </c>
      <c r="Q4428">
        <v>0</v>
      </c>
      <c r="R4428">
        <v>0</v>
      </c>
    </row>
    <row r="4429" spans="1:18" x14ac:dyDescent="0.25">
      <c r="A4429" t="s">
        <v>352</v>
      </c>
      <c r="B4429" t="s">
        <v>6</v>
      </c>
      <c r="C4429">
        <v>2</v>
      </c>
      <c r="D4429">
        <v>1</v>
      </c>
      <c r="E4429">
        <v>2</v>
      </c>
      <c r="F4429" s="15">
        <v>46167</v>
      </c>
      <c r="G4429" t="s">
        <v>548</v>
      </c>
      <c r="H4429">
        <v>4</v>
      </c>
      <c r="I4429">
        <v>2026</v>
      </c>
      <c r="J4429">
        <v>5</v>
      </c>
      <c r="K4429" t="s">
        <v>87</v>
      </c>
      <c r="L4429" t="s">
        <v>20</v>
      </c>
      <c r="M4429" t="s">
        <v>6</v>
      </c>
      <c r="N4429" t="b">
        <v>0</v>
      </c>
      <c r="O4429">
        <v>0</v>
      </c>
      <c r="P4429">
        <v>1</v>
      </c>
      <c r="Q4429">
        <v>0</v>
      </c>
      <c r="R4429">
        <v>0</v>
      </c>
    </row>
    <row r="4430" spans="1:18" x14ac:dyDescent="0.25">
      <c r="A4430" t="s">
        <v>13</v>
      </c>
      <c r="B4430" t="s">
        <v>6</v>
      </c>
      <c r="C4430">
        <v>3</v>
      </c>
      <c r="D4430">
        <v>1</v>
      </c>
      <c r="E4430">
        <v>2</v>
      </c>
      <c r="F4430" s="15">
        <v>46167</v>
      </c>
      <c r="G4430" t="s">
        <v>548</v>
      </c>
      <c r="H4430">
        <v>4</v>
      </c>
      <c r="I4430">
        <v>2026</v>
      </c>
      <c r="J4430">
        <v>5</v>
      </c>
      <c r="K4430" t="s">
        <v>87</v>
      </c>
      <c r="L4430" t="s">
        <v>325</v>
      </c>
      <c r="M4430" t="s">
        <v>8</v>
      </c>
      <c r="N4430" t="b">
        <v>0</v>
      </c>
      <c r="O4430">
        <v>0</v>
      </c>
      <c r="P4430">
        <v>1</v>
      </c>
      <c r="Q4430">
        <v>0</v>
      </c>
      <c r="R4430">
        <v>1</v>
      </c>
    </row>
    <row r="4431" spans="1:18" x14ac:dyDescent="0.25">
      <c r="A4431" t="s">
        <v>13</v>
      </c>
      <c r="B4431" t="s">
        <v>6</v>
      </c>
      <c r="C4431">
        <v>3</v>
      </c>
      <c r="D4431">
        <v>1</v>
      </c>
      <c r="E4431">
        <v>2</v>
      </c>
      <c r="F4431" s="15">
        <v>46167</v>
      </c>
      <c r="G4431" t="s">
        <v>548</v>
      </c>
      <c r="H4431">
        <v>4</v>
      </c>
      <c r="I4431">
        <v>2026</v>
      </c>
      <c r="J4431">
        <v>5</v>
      </c>
      <c r="K4431" t="s">
        <v>87</v>
      </c>
      <c r="L4431" t="s">
        <v>352</v>
      </c>
      <c r="M4431" t="s">
        <v>6</v>
      </c>
      <c r="N4431" t="b">
        <v>0</v>
      </c>
      <c r="O4431">
        <v>0</v>
      </c>
      <c r="P4431">
        <v>1</v>
      </c>
      <c r="Q4431">
        <v>0</v>
      </c>
      <c r="R4431">
        <v>0</v>
      </c>
    </row>
    <row r="4432" spans="1:18" x14ac:dyDescent="0.25">
      <c r="A4432" t="s">
        <v>13</v>
      </c>
      <c r="B4432" t="s">
        <v>6</v>
      </c>
      <c r="C4432">
        <v>3</v>
      </c>
      <c r="D4432">
        <v>1</v>
      </c>
      <c r="E4432">
        <v>2</v>
      </c>
      <c r="F4432" s="15">
        <v>46167</v>
      </c>
      <c r="G4432" t="s">
        <v>548</v>
      </c>
      <c r="H4432">
        <v>4</v>
      </c>
      <c r="I4432">
        <v>2026</v>
      </c>
      <c r="J4432">
        <v>5</v>
      </c>
      <c r="K4432" t="s">
        <v>87</v>
      </c>
      <c r="L4432" t="s">
        <v>20</v>
      </c>
      <c r="M4432" t="s">
        <v>6</v>
      </c>
      <c r="N4432" t="b">
        <v>0</v>
      </c>
      <c r="O4432">
        <v>0</v>
      </c>
      <c r="P4432">
        <v>1</v>
      </c>
      <c r="Q4432">
        <v>0</v>
      </c>
      <c r="R4432">
        <v>0</v>
      </c>
    </row>
    <row r="4433" spans="1:18" x14ac:dyDescent="0.25">
      <c r="A4433" t="s">
        <v>20</v>
      </c>
      <c r="B4433" t="s">
        <v>6</v>
      </c>
      <c r="C4433">
        <v>4</v>
      </c>
      <c r="D4433">
        <v>1</v>
      </c>
      <c r="E4433">
        <v>2</v>
      </c>
      <c r="F4433" s="15">
        <v>46167</v>
      </c>
      <c r="G4433" t="s">
        <v>548</v>
      </c>
      <c r="H4433">
        <v>4</v>
      </c>
      <c r="I4433">
        <v>2026</v>
      </c>
      <c r="J4433">
        <v>5</v>
      </c>
      <c r="K4433" t="s">
        <v>87</v>
      </c>
      <c r="L4433" t="s">
        <v>325</v>
      </c>
      <c r="M4433" t="s">
        <v>8</v>
      </c>
      <c r="N4433" t="b">
        <v>0</v>
      </c>
      <c r="O4433">
        <v>0</v>
      </c>
      <c r="P4433">
        <v>1</v>
      </c>
      <c r="Q4433">
        <v>0</v>
      </c>
      <c r="R4433">
        <v>1</v>
      </c>
    </row>
    <row r="4434" spans="1:18" x14ac:dyDescent="0.25">
      <c r="A4434" t="s">
        <v>20</v>
      </c>
      <c r="B4434" t="s">
        <v>6</v>
      </c>
      <c r="C4434">
        <v>4</v>
      </c>
      <c r="D4434">
        <v>1</v>
      </c>
      <c r="E4434">
        <v>2</v>
      </c>
      <c r="F4434" s="15">
        <v>46167</v>
      </c>
      <c r="G4434" t="s">
        <v>548</v>
      </c>
      <c r="H4434">
        <v>4</v>
      </c>
      <c r="I4434">
        <v>2026</v>
      </c>
      <c r="J4434">
        <v>5</v>
      </c>
      <c r="K4434" t="s">
        <v>87</v>
      </c>
      <c r="L4434" t="s">
        <v>352</v>
      </c>
      <c r="M4434" t="s">
        <v>6</v>
      </c>
      <c r="N4434" t="b">
        <v>0</v>
      </c>
      <c r="O4434">
        <v>0</v>
      </c>
      <c r="P4434">
        <v>1</v>
      </c>
      <c r="Q4434">
        <v>0</v>
      </c>
      <c r="R4434">
        <v>0</v>
      </c>
    </row>
    <row r="4435" spans="1:18" x14ac:dyDescent="0.25">
      <c r="A4435" t="s">
        <v>20</v>
      </c>
      <c r="B4435" t="s">
        <v>6</v>
      </c>
      <c r="C4435">
        <v>4</v>
      </c>
      <c r="D4435">
        <v>1</v>
      </c>
      <c r="E4435">
        <v>2</v>
      </c>
      <c r="F4435" s="15">
        <v>46167</v>
      </c>
      <c r="G4435" t="s">
        <v>548</v>
      </c>
      <c r="H4435">
        <v>4</v>
      </c>
      <c r="I4435">
        <v>2026</v>
      </c>
      <c r="J4435">
        <v>5</v>
      </c>
      <c r="K4435" t="s">
        <v>87</v>
      </c>
      <c r="L4435" t="s">
        <v>13</v>
      </c>
      <c r="M4435" t="s">
        <v>6</v>
      </c>
      <c r="N4435" t="b">
        <v>0</v>
      </c>
      <c r="O4435">
        <v>0</v>
      </c>
      <c r="P4435">
        <v>1</v>
      </c>
      <c r="Q4435">
        <v>0</v>
      </c>
      <c r="R4435">
        <v>0</v>
      </c>
    </row>
    <row r="4436" spans="1:18" x14ac:dyDescent="0.25">
      <c r="A4436" t="s">
        <v>7</v>
      </c>
      <c r="B4436" t="s">
        <v>63</v>
      </c>
      <c r="C4436">
        <v>1</v>
      </c>
      <c r="D4436">
        <v>2</v>
      </c>
      <c r="E4436">
        <v>2</v>
      </c>
      <c r="F4436" s="15">
        <v>46167</v>
      </c>
      <c r="G4436" t="s">
        <v>549</v>
      </c>
      <c r="H4436">
        <v>4</v>
      </c>
      <c r="I4436">
        <v>2026</v>
      </c>
      <c r="J4436">
        <v>5</v>
      </c>
      <c r="K4436" t="s">
        <v>87</v>
      </c>
      <c r="L4436" t="s">
        <v>17</v>
      </c>
      <c r="M4436" t="s">
        <v>63</v>
      </c>
      <c r="N4436" t="b">
        <v>0</v>
      </c>
      <c r="O4436">
        <v>0</v>
      </c>
      <c r="P4436">
        <v>0</v>
      </c>
      <c r="Q4436">
        <v>1</v>
      </c>
      <c r="R4436">
        <v>0</v>
      </c>
    </row>
    <row r="4437" spans="1:18" x14ac:dyDescent="0.25">
      <c r="A4437" t="s">
        <v>7</v>
      </c>
      <c r="B4437" t="s">
        <v>63</v>
      </c>
      <c r="C4437">
        <v>1</v>
      </c>
      <c r="D4437">
        <v>2</v>
      </c>
      <c r="E4437">
        <v>2</v>
      </c>
      <c r="F4437" s="15">
        <v>46167</v>
      </c>
      <c r="G4437" t="s">
        <v>549</v>
      </c>
      <c r="H4437">
        <v>4</v>
      </c>
      <c r="I4437">
        <v>2026</v>
      </c>
      <c r="J4437">
        <v>5</v>
      </c>
      <c r="K4437" t="s">
        <v>87</v>
      </c>
      <c r="L4437" t="s">
        <v>41</v>
      </c>
      <c r="M4437" t="s">
        <v>63</v>
      </c>
      <c r="N4437" t="b">
        <v>0</v>
      </c>
      <c r="O4437">
        <v>0</v>
      </c>
      <c r="P4437">
        <v>0</v>
      </c>
      <c r="Q4437">
        <v>1</v>
      </c>
      <c r="R4437">
        <v>0</v>
      </c>
    </row>
    <row r="4438" spans="1:18" x14ac:dyDescent="0.25">
      <c r="A4438" t="s">
        <v>7</v>
      </c>
      <c r="B4438" t="s">
        <v>63</v>
      </c>
      <c r="C4438">
        <v>1</v>
      </c>
      <c r="D4438">
        <v>2</v>
      </c>
      <c r="E4438">
        <v>2</v>
      </c>
      <c r="F4438" s="15">
        <v>46167</v>
      </c>
      <c r="G4438" t="s">
        <v>549</v>
      </c>
      <c r="H4438">
        <v>4</v>
      </c>
      <c r="I4438">
        <v>2026</v>
      </c>
      <c r="J4438">
        <v>5</v>
      </c>
      <c r="K4438" t="s">
        <v>87</v>
      </c>
      <c r="L4438" t="s">
        <v>14</v>
      </c>
      <c r="M4438" t="s">
        <v>63</v>
      </c>
      <c r="N4438" t="b">
        <v>0</v>
      </c>
      <c r="O4438">
        <v>0</v>
      </c>
      <c r="P4438">
        <v>0</v>
      </c>
      <c r="Q4438">
        <v>1</v>
      </c>
      <c r="R4438">
        <v>0</v>
      </c>
    </row>
    <row r="4439" spans="1:18" x14ac:dyDescent="0.25">
      <c r="A4439" t="s">
        <v>17</v>
      </c>
      <c r="B4439" t="s">
        <v>63</v>
      </c>
      <c r="C4439">
        <v>2</v>
      </c>
      <c r="D4439">
        <v>2</v>
      </c>
      <c r="E4439">
        <v>2</v>
      </c>
      <c r="F4439" s="15">
        <v>46167</v>
      </c>
      <c r="G4439" t="s">
        <v>549</v>
      </c>
      <c r="H4439">
        <v>4</v>
      </c>
      <c r="I4439">
        <v>2026</v>
      </c>
      <c r="J4439">
        <v>5</v>
      </c>
      <c r="K4439" t="s">
        <v>87</v>
      </c>
      <c r="L4439" t="s">
        <v>7</v>
      </c>
      <c r="M4439" t="s">
        <v>63</v>
      </c>
      <c r="N4439" t="b">
        <v>0</v>
      </c>
      <c r="O4439">
        <v>0</v>
      </c>
      <c r="P4439">
        <v>0</v>
      </c>
      <c r="Q4439">
        <v>1</v>
      </c>
      <c r="R4439">
        <v>0</v>
      </c>
    </row>
    <row r="4440" spans="1:18" x14ac:dyDescent="0.25">
      <c r="A4440" t="s">
        <v>17</v>
      </c>
      <c r="B4440" t="s">
        <v>63</v>
      </c>
      <c r="C4440">
        <v>2</v>
      </c>
      <c r="D4440">
        <v>2</v>
      </c>
      <c r="E4440">
        <v>2</v>
      </c>
      <c r="F4440" s="15">
        <v>46167</v>
      </c>
      <c r="G4440" t="s">
        <v>549</v>
      </c>
      <c r="H4440">
        <v>4</v>
      </c>
      <c r="I4440">
        <v>2026</v>
      </c>
      <c r="J4440">
        <v>5</v>
      </c>
      <c r="K4440" t="s">
        <v>87</v>
      </c>
      <c r="L4440" t="s">
        <v>41</v>
      </c>
      <c r="M4440" t="s">
        <v>63</v>
      </c>
      <c r="N4440" t="b">
        <v>0</v>
      </c>
      <c r="O4440">
        <v>0</v>
      </c>
      <c r="P4440">
        <v>0</v>
      </c>
      <c r="Q4440">
        <v>1</v>
      </c>
      <c r="R4440">
        <v>0</v>
      </c>
    </row>
    <row r="4441" spans="1:18" x14ac:dyDescent="0.25">
      <c r="A4441" t="s">
        <v>17</v>
      </c>
      <c r="B4441" t="s">
        <v>63</v>
      </c>
      <c r="C4441">
        <v>2</v>
      </c>
      <c r="D4441">
        <v>2</v>
      </c>
      <c r="E4441">
        <v>2</v>
      </c>
      <c r="F4441" s="15">
        <v>46167</v>
      </c>
      <c r="G4441" t="s">
        <v>549</v>
      </c>
      <c r="H4441">
        <v>4</v>
      </c>
      <c r="I4441">
        <v>2026</v>
      </c>
      <c r="J4441">
        <v>5</v>
      </c>
      <c r="K4441" t="s">
        <v>87</v>
      </c>
      <c r="L4441" t="s">
        <v>14</v>
      </c>
      <c r="M4441" t="s">
        <v>63</v>
      </c>
      <c r="N4441" t="b">
        <v>0</v>
      </c>
      <c r="O4441">
        <v>0</v>
      </c>
      <c r="P4441">
        <v>0</v>
      </c>
      <c r="Q4441">
        <v>1</v>
      </c>
      <c r="R4441">
        <v>0</v>
      </c>
    </row>
    <row r="4442" spans="1:18" x14ac:dyDescent="0.25">
      <c r="A4442" t="s">
        <v>41</v>
      </c>
      <c r="B4442" t="s">
        <v>63</v>
      </c>
      <c r="C4442">
        <v>3</v>
      </c>
      <c r="D4442">
        <v>2</v>
      </c>
      <c r="E4442">
        <v>2</v>
      </c>
      <c r="F4442" s="15">
        <v>46167</v>
      </c>
      <c r="G4442" t="s">
        <v>549</v>
      </c>
      <c r="H4442">
        <v>4</v>
      </c>
      <c r="I4442">
        <v>2026</v>
      </c>
      <c r="J4442">
        <v>5</v>
      </c>
      <c r="K4442" t="s">
        <v>87</v>
      </c>
      <c r="L4442" t="s">
        <v>7</v>
      </c>
      <c r="M4442" t="s">
        <v>63</v>
      </c>
      <c r="N4442" t="b">
        <v>0</v>
      </c>
      <c r="O4442">
        <v>0</v>
      </c>
      <c r="P4442">
        <v>0</v>
      </c>
      <c r="Q4442">
        <v>1</v>
      </c>
      <c r="R4442">
        <v>0</v>
      </c>
    </row>
    <row r="4443" spans="1:18" x14ac:dyDescent="0.25">
      <c r="A4443" t="s">
        <v>41</v>
      </c>
      <c r="B4443" t="s">
        <v>63</v>
      </c>
      <c r="C4443">
        <v>3</v>
      </c>
      <c r="D4443">
        <v>2</v>
      </c>
      <c r="E4443">
        <v>2</v>
      </c>
      <c r="F4443" s="15">
        <v>46167</v>
      </c>
      <c r="G4443" t="s">
        <v>549</v>
      </c>
      <c r="H4443">
        <v>4</v>
      </c>
      <c r="I4443">
        <v>2026</v>
      </c>
      <c r="J4443">
        <v>5</v>
      </c>
      <c r="K4443" t="s">
        <v>87</v>
      </c>
      <c r="L4443" t="s">
        <v>17</v>
      </c>
      <c r="M4443" t="s">
        <v>63</v>
      </c>
      <c r="N4443" t="b">
        <v>0</v>
      </c>
      <c r="O4443">
        <v>0</v>
      </c>
      <c r="P4443">
        <v>0</v>
      </c>
      <c r="Q4443">
        <v>1</v>
      </c>
      <c r="R4443">
        <v>0</v>
      </c>
    </row>
    <row r="4444" spans="1:18" x14ac:dyDescent="0.25">
      <c r="A4444" t="s">
        <v>41</v>
      </c>
      <c r="B4444" t="s">
        <v>63</v>
      </c>
      <c r="C4444">
        <v>3</v>
      </c>
      <c r="D4444">
        <v>2</v>
      </c>
      <c r="E4444">
        <v>2</v>
      </c>
      <c r="F4444" s="15">
        <v>46167</v>
      </c>
      <c r="G4444" t="s">
        <v>549</v>
      </c>
      <c r="H4444">
        <v>4</v>
      </c>
      <c r="I4444">
        <v>2026</v>
      </c>
      <c r="J4444">
        <v>5</v>
      </c>
      <c r="K4444" t="s">
        <v>87</v>
      </c>
      <c r="L4444" t="s">
        <v>14</v>
      </c>
      <c r="M4444" t="s">
        <v>63</v>
      </c>
      <c r="N4444" t="b">
        <v>0</v>
      </c>
      <c r="O4444">
        <v>0</v>
      </c>
      <c r="P4444">
        <v>0</v>
      </c>
      <c r="Q4444">
        <v>1</v>
      </c>
      <c r="R4444">
        <v>0</v>
      </c>
    </row>
    <row r="4445" spans="1:18" x14ac:dyDescent="0.25">
      <c r="A4445" t="s">
        <v>14</v>
      </c>
      <c r="B4445" t="s">
        <v>63</v>
      </c>
      <c r="C4445">
        <v>4</v>
      </c>
      <c r="D4445">
        <v>2</v>
      </c>
      <c r="E4445">
        <v>2</v>
      </c>
      <c r="F4445" s="15">
        <v>46167</v>
      </c>
      <c r="G4445" t="s">
        <v>549</v>
      </c>
      <c r="H4445">
        <v>4</v>
      </c>
      <c r="I4445">
        <v>2026</v>
      </c>
      <c r="J4445">
        <v>5</v>
      </c>
      <c r="K4445" t="s">
        <v>87</v>
      </c>
      <c r="L4445" t="s">
        <v>7</v>
      </c>
      <c r="M4445" t="s">
        <v>63</v>
      </c>
      <c r="N4445" t="b">
        <v>0</v>
      </c>
      <c r="O4445">
        <v>0</v>
      </c>
      <c r="P4445">
        <v>0</v>
      </c>
      <c r="Q4445">
        <v>1</v>
      </c>
      <c r="R4445">
        <v>0</v>
      </c>
    </row>
    <row r="4446" spans="1:18" x14ac:dyDescent="0.25">
      <c r="A4446" t="s">
        <v>14</v>
      </c>
      <c r="B4446" t="s">
        <v>63</v>
      </c>
      <c r="C4446">
        <v>4</v>
      </c>
      <c r="D4446">
        <v>2</v>
      </c>
      <c r="E4446">
        <v>2</v>
      </c>
      <c r="F4446" s="15">
        <v>46167</v>
      </c>
      <c r="G4446" t="s">
        <v>549</v>
      </c>
      <c r="H4446">
        <v>4</v>
      </c>
      <c r="I4446">
        <v>2026</v>
      </c>
      <c r="J4446">
        <v>5</v>
      </c>
      <c r="K4446" t="s">
        <v>87</v>
      </c>
      <c r="L4446" t="s">
        <v>17</v>
      </c>
      <c r="M4446" t="s">
        <v>63</v>
      </c>
      <c r="N4446" t="b">
        <v>0</v>
      </c>
      <c r="O4446">
        <v>0</v>
      </c>
      <c r="P4446">
        <v>0</v>
      </c>
      <c r="Q4446">
        <v>1</v>
      </c>
      <c r="R4446">
        <v>0</v>
      </c>
    </row>
    <row r="4447" spans="1:18" x14ac:dyDescent="0.25">
      <c r="A4447" t="s">
        <v>14</v>
      </c>
      <c r="B4447" t="s">
        <v>63</v>
      </c>
      <c r="C4447">
        <v>4</v>
      </c>
      <c r="D4447">
        <v>2</v>
      </c>
      <c r="E4447">
        <v>2</v>
      </c>
      <c r="F4447" s="15">
        <v>46167</v>
      </c>
      <c r="G4447" t="s">
        <v>549</v>
      </c>
      <c r="H4447">
        <v>4</v>
      </c>
      <c r="I4447">
        <v>2026</v>
      </c>
      <c r="J4447">
        <v>5</v>
      </c>
      <c r="K4447" t="s">
        <v>87</v>
      </c>
      <c r="L4447" t="s">
        <v>41</v>
      </c>
      <c r="M4447" t="s">
        <v>63</v>
      </c>
      <c r="N4447" t="b">
        <v>0</v>
      </c>
      <c r="O4447">
        <v>0</v>
      </c>
      <c r="P4447">
        <v>0</v>
      </c>
      <c r="Q4447">
        <v>1</v>
      </c>
      <c r="R4447">
        <v>0</v>
      </c>
    </row>
    <row r="4448" spans="1:18" x14ac:dyDescent="0.25">
      <c r="A4448" t="s">
        <v>19</v>
      </c>
      <c r="B4448" t="s">
        <v>6</v>
      </c>
      <c r="C4448">
        <v>1</v>
      </c>
      <c r="D4448">
        <v>3</v>
      </c>
      <c r="E4448">
        <v>2</v>
      </c>
      <c r="F4448" s="15">
        <v>46167</v>
      </c>
      <c r="G4448" t="s">
        <v>550</v>
      </c>
      <c r="H4448">
        <v>4</v>
      </c>
      <c r="I4448">
        <v>2026</v>
      </c>
      <c r="J4448">
        <v>5</v>
      </c>
      <c r="K4448" t="s">
        <v>87</v>
      </c>
      <c r="L4448" t="s">
        <v>540</v>
      </c>
      <c r="M4448" t="s">
        <v>8</v>
      </c>
      <c r="N4448" t="b">
        <v>0</v>
      </c>
      <c r="O4448">
        <v>0</v>
      </c>
      <c r="P4448">
        <v>1</v>
      </c>
      <c r="Q4448">
        <v>0</v>
      </c>
      <c r="R4448">
        <v>1</v>
      </c>
    </row>
    <row r="4449" spans="1:18" x14ac:dyDescent="0.25">
      <c r="A4449" t="s">
        <v>19</v>
      </c>
      <c r="B4449" t="s">
        <v>6</v>
      </c>
      <c r="C4449">
        <v>1</v>
      </c>
      <c r="D4449">
        <v>3</v>
      </c>
      <c r="E4449">
        <v>2</v>
      </c>
      <c r="F4449" s="15">
        <v>46167</v>
      </c>
      <c r="G4449" t="s">
        <v>550</v>
      </c>
      <c r="H4449">
        <v>4</v>
      </c>
      <c r="I4449">
        <v>2026</v>
      </c>
      <c r="J4449">
        <v>5</v>
      </c>
      <c r="K4449" t="s">
        <v>87</v>
      </c>
      <c r="L4449" t="s">
        <v>405</v>
      </c>
      <c r="M4449" t="s">
        <v>6</v>
      </c>
      <c r="N4449" t="b">
        <v>0</v>
      </c>
      <c r="O4449">
        <v>0</v>
      </c>
      <c r="P4449">
        <v>1</v>
      </c>
      <c r="Q4449">
        <v>0</v>
      </c>
      <c r="R4449">
        <v>0</v>
      </c>
    </row>
    <row r="4450" spans="1:18" x14ac:dyDescent="0.25">
      <c r="A4450" t="s">
        <v>19</v>
      </c>
      <c r="B4450" t="s">
        <v>6</v>
      </c>
      <c r="C4450">
        <v>1</v>
      </c>
      <c r="D4450">
        <v>3</v>
      </c>
      <c r="E4450">
        <v>2</v>
      </c>
      <c r="F4450" s="15">
        <v>46167</v>
      </c>
      <c r="G4450" t="s">
        <v>550</v>
      </c>
      <c r="H4450">
        <v>4</v>
      </c>
      <c r="I4450">
        <v>2026</v>
      </c>
      <c r="J4450">
        <v>5</v>
      </c>
      <c r="K4450" t="s">
        <v>87</v>
      </c>
      <c r="L4450" t="s">
        <v>433</v>
      </c>
      <c r="M4450" t="s">
        <v>6</v>
      </c>
      <c r="N4450" t="b">
        <v>0</v>
      </c>
      <c r="O4450">
        <v>0</v>
      </c>
      <c r="P4450">
        <v>1</v>
      </c>
      <c r="Q4450">
        <v>0</v>
      </c>
      <c r="R4450">
        <v>0</v>
      </c>
    </row>
    <row r="4451" spans="1:18" x14ac:dyDescent="0.25">
      <c r="A4451" t="s">
        <v>540</v>
      </c>
      <c r="B4451" t="s">
        <v>8</v>
      </c>
      <c r="C4451">
        <v>2</v>
      </c>
      <c r="D4451">
        <v>3</v>
      </c>
      <c r="E4451">
        <v>2</v>
      </c>
      <c r="F4451" s="15">
        <v>46167</v>
      </c>
      <c r="G4451" t="s">
        <v>550</v>
      </c>
      <c r="H4451">
        <v>4</v>
      </c>
      <c r="I4451">
        <v>2026</v>
      </c>
      <c r="J4451">
        <v>5</v>
      </c>
      <c r="K4451" t="s">
        <v>87</v>
      </c>
      <c r="L4451" t="s">
        <v>19</v>
      </c>
      <c r="M4451" t="s">
        <v>6</v>
      </c>
      <c r="N4451" t="b">
        <v>0</v>
      </c>
      <c r="O4451">
        <v>1</v>
      </c>
      <c r="P4451">
        <v>0</v>
      </c>
      <c r="Q4451">
        <v>0</v>
      </c>
      <c r="R4451">
        <v>0</v>
      </c>
    </row>
    <row r="4452" spans="1:18" x14ac:dyDescent="0.25">
      <c r="A4452" t="s">
        <v>540</v>
      </c>
      <c r="B4452" t="s">
        <v>8</v>
      </c>
      <c r="C4452">
        <v>2</v>
      </c>
      <c r="D4452">
        <v>3</v>
      </c>
      <c r="E4452">
        <v>2</v>
      </c>
      <c r="F4452" s="15">
        <v>46167</v>
      </c>
      <c r="G4452" t="s">
        <v>550</v>
      </c>
      <c r="H4452">
        <v>4</v>
      </c>
      <c r="I4452">
        <v>2026</v>
      </c>
      <c r="J4452">
        <v>5</v>
      </c>
      <c r="K4452" t="s">
        <v>87</v>
      </c>
      <c r="L4452" t="s">
        <v>405</v>
      </c>
      <c r="M4452" t="s">
        <v>6</v>
      </c>
      <c r="N4452" t="b">
        <v>0</v>
      </c>
      <c r="O4452">
        <v>1</v>
      </c>
      <c r="P4452">
        <v>0</v>
      </c>
      <c r="Q4452">
        <v>0</v>
      </c>
      <c r="R4452">
        <v>0</v>
      </c>
    </row>
    <row r="4453" spans="1:18" x14ac:dyDescent="0.25">
      <c r="A4453" t="s">
        <v>540</v>
      </c>
      <c r="B4453" t="s">
        <v>8</v>
      </c>
      <c r="C4453">
        <v>2</v>
      </c>
      <c r="D4453">
        <v>3</v>
      </c>
      <c r="E4453">
        <v>2</v>
      </c>
      <c r="F4453" s="15">
        <v>46167</v>
      </c>
      <c r="G4453" t="s">
        <v>550</v>
      </c>
      <c r="H4453">
        <v>4</v>
      </c>
      <c r="I4453">
        <v>2026</v>
      </c>
      <c r="J4453">
        <v>5</v>
      </c>
      <c r="K4453" t="s">
        <v>87</v>
      </c>
      <c r="L4453" t="s">
        <v>433</v>
      </c>
      <c r="M4453" t="s">
        <v>6</v>
      </c>
      <c r="N4453" t="b">
        <v>0</v>
      </c>
      <c r="O4453">
        <v>1</v>
      </c>
      <c r="P4453">
        <v>0</v>
      </c>
      <c r="Q4453">
        <v>0</v>
      </c>
      <c r="R4453">
        <v>0</v>
      </c>
    </row>
    <row r="4454" spans="1:18" x14ac:dyDescent="0.25">
      <c r="A4454" t="s">
        <v>405</v>
      </c>
      <c r="B4454" t="s">
        <v>6</v>
      </c>
      <c r="C4454">
        <v>3</v>
      </c>
      <c r="D4454">
        <v>3</v>
      </c>
      <c r="E4454">
        <v>2</v>
      </c>
      <c r="F4454" s="15">
        <v>46167</v>
      </c>
      <c r="G4454" t="s">
        <v>550</v>
      </c>
      <c r="H4454">
        <v>4</v>
      </c>
      <c r="I4454">
        <v>2026</v>
      </c>
      <c r="J4454">
        <v>5</v>
      </c>
      <c r="K4454" t="s">
        <v>87</v>
      </c>
      <c r="L4454" t="s">
        <v>19</v>
      </c>
      <c r="M4454" t="s">
        <v>6</v>
      </c>
      <c r="N4454" t="b">
        <v>0</v>
      </c>
      <c r="O4454">
        <v>0</v>
      </c>
      <c r="P4454">
        <v>1</v>
      </c>
      <c r="Q4454">
        <v>0</v>
      </c>
      <c r="R4454">
        <v>0</v>
      </c>
    </row>
    <row r="4455" spans="1:18" x14ac:dyDescent="0.25">
      <c r="A4455" t="s">
        <v>405</v>
      </c>
      <c r="B4455" t="s">
        <v>6</v>
      </c>
      <c r="C4455">
        <v>3</v>
      </c>
      <c r="D4455">
        <v>3</v>
      </c>
      <c r="E4455">
        <v>2</v>
      </c>
      <c r="F4455" s="15">
        <v>46167</v>
      </c>
      <c r="G4455" t="s">
        <v>550</v>
      </c>
      <c r="H4455">
        <v>4</v>
      </c>
      <c r="I4455">
        <v>2026</v>
      </c>
      <c r="J4455">
        <v>5</v>
      </c>
      <c r="K4455" t="s">
        <v>87</v>
      </c>
      <c r="L4455" t="s">
        <v>540</v>
      </c>
      <c r="M4455" t="s">
        <v>8</v>
      </c>
      <c r="N4455" t="b">
        <v>0</v>
      </c>
      <c r="O4455">
        <v>0</v>
      </c>
      <c r="P4455">
        <v>1</v>
      </c>
      <c r="Q4455">
        <v>0</v>
      </c>
      <c r="R4455">
        <v>1</v>
      </c>
    </row>
    <row r="4456" spans="1:18" x14ac:dyDescent="0.25">
      <c r="A4456" t="s">
        <v>405</v>
      </c>
      <c r="B4456" t="s">
        <v>6</v>
      </c>
      <c r="C4456">
        <v>3</v>
      </c>
      <c r="D4456">
        <v>3</v>
      </c>
      <c r="E4456">
        <v>2</v>
      </c>
      <c r="F4456" s="15">
        <v>46167</v>
      </c>
      <c r="G4456" t="s">
        <v>550</v>
      </c>
      <c r="H4456">
        <v>4</v>
      </c>
      <c r="I4456">
        <v>2026</v>
      </c>
      <c r="J4456">
        <v>5</v>
      </c>
      <c r="K4456" t="s">
        <v>87</v>
      </c>
      <c r="L4456" t="s">
        <v>433</v>
      </c>
      <c r="M4456" t="s">
        <v>6</v>
      </c>
      <c r="N4456" t="b">
        <v>0</v>
      </c>
      <c r="O4456">
        <v>0</v>
      </c>
      <c r="P4456">
        <v>1</v>
      </c>
      <c r="Q4456">
        <v>0</v>
      </c>
      <c r="R4456">
        <v>0</v>
      </c>
    </row>
    <row r="4457" spans="1:18" x14ac:dyDescent="0.25">
      <c r="A4457" t="s">
        <v>433</v>
      </c>
      <c r="B4457" t="s">
        <v>6</v>
      </c>
      <c r="C4457">
        <v>4</v>
      </c>
      <c r="D4457">
        <v>3</v>
      </c>
      <c r="E4457">
        <v>2</v>
      </c>
      <c r="F4457" s="15">
        <v>46167</v>
      </c>
      <c r="G4457" t="s">
        <v>550</v>
      </c>
      <c r="H4457">
        <v>4</v>
      </c>
      <c r="I4457">
        <v>2026</v>
      </c>
      <c r="J4457">
        <v>5</v>
      </c>
      <c r="K4457" t="s">
        <v>87</v>
      </c>
      <c r="L4457" t="s">
        <v>19</v>
      </c>
      <c r="M4457" t="s">
        <v>6</v>
      </c>
      <c r="N4457" t="b">
        <v>0</v>
      </c>
      <c r="O4457">
        <v>0</v>
      </c>
      <c r="P4457">
        <v>1</v>
      </c>
      <c r="Q4457">
        <v>0</v>
      </c>
      <c r="R4457">
        <v>0</v>
      </c>
    </row>
    <row r="4458" spans="1:18" x14ac:dyDescent="0.25">
      <c r="A4458" t="s">
        <v>433</v>
      </c>
      <c r="B4458" t="s">
        <v>6</v>
      </c>
      <c r="C4458">
        <v>4</v>
      </c>
      <c r="D4458">
        <v>3</v>
      </c>
      <c r="E4458">
        <v>2</v>
      </c>
      <c r="F4458" s="15">
        <v>46167</v>
      </c>
      <c r="G4458" t="s">
        <v>550</v>
      </c>
      <c r="H4458">
        <v>4</v>
      </c>
      <c r="I4458">
        <v>2026</v>
      </c>
      <c r="J4458">
        <v>5</v>
      </c>
      <c r="K4458" t="s">
        <v>87</v>
      </c>
      <c r="L4458" t="s">
        <v>540</v>
      </c>
      <c r="M4458" t="s">
        <v>8</v>
      </c>
      <c r="N4458" t="b">
        <v>0</v>
      </c>
      <c r="O4458">
        <v>0</v>
      </c>
      <c r="P4458">
        <v>1</v>
      </c>
      <c r="Q4458">
        <v>0</v>
      </c>
      <c r="R4458">
        <v>1</v>
      </c>
    </row>
    <row r="4459" spans="1:18" x14ac:dyDescent="0.25">
      <c r="A4459" t="s">
        <v>433</v>
      </c>
      <c r="B4459" t="s">
        <v>6</v>
      </c>
      <c r="C4459">
        <v>4</v>
      </c>
      <c r="D4459">
        <v>3</v>
      </c>
      <c r="E4459">
        <v>2</v>
      </c>
      <c r="F4459" s="15">
        <v>46167</v>
      </c>
      <c r="G4459" t="s">
        <v>550</v>
      </c>
      <c r="H4459">
        <v>4</v>
      </c>
      <c r="I4459">
        <v>2026</v>
      </c>
      <c r="J4459">
        <v>5</v>
      </c>
      <c r="K4459" t="s">
        <v>87</v>
      </c>
      <c r="L4459" t="s">
        <v>405</v>
      </c>
      <c r="M4459" t="s">
        <v>6</v>
      </c>
      <c r="N4459" t="b">
        <v>0</v>
      </c>
      <c r="O4459">
        <v>0</v>
      </c>
      <c r="P4459">
        <v>1</v>
      </c>
      <c r="Q4459">
        <v>0</v>
      </c>
      <c r="R4459">
        <v>0</v>
      </c>
    </row>
    <row r="4460" spans="1:18" x14ac:dyDescent="0.25">
      <c r="A4460" t="s">
        <v>52</v>
      </c>
      <c r="B4460" t="s">
        <v>6</v>
      </c>
      <c r="C4460">
        <v>1</v>
      </c>
      <c r="D4460">
        <v>4</v>
      </c>
      <c r="E4460">
        <v>2</v>
      </c>
      <c r="F4460" s="15">
        <v>46167</v>
      </c>
      <c r="G4460" t="s">
        <v>551</v>
      </c>
      <c r="H4460">
        <v>3</v>
      </c>
      <c r="I4460">
        <v>2026</v>
      </c>
      <c r="J4460">
        <v>5</v>
      </c>
      <c r="K4460" t="s">
        <v>87</v>
      </c>
      <c r="L4460" t="s">
        <v>351</v>
      </c>
      <c r="M4460" t="s">
        <v>8</v>
      </c>
      <c r="N4460" t="b">
        <v>0</v>
      </c>
      <c r="O4460">
        <v>0</v>
      </c>
      <c r="P4460">
        <v>1</v>
      </c>
      <c r="Q4460">
        <v>0</v>
      </c>
      <c r="R4460">
        <v>1</v>
      </c>
    </row>
    <row r="4461" spans="1:18" x14ac:dyDescent="0.25">
      <c r="A4461" t="s">
        <v>52</v>
      </c>
      <c r="B4461" t="s">
        <v>6</v>
      </c>
      <c r="C4461">
        <v>1</v>
      </c>
      <c r="D4461">
        <v>4</v>
      </c>
      <c r="E4461">
        <v>2</v>
      </c>
      <c r="F4461" s="15">
        <v>46167</v>
      </c>
      <c r="G4461" t="s">
        <v>551</v>
      </c>
      <c r="H4461">
        <v>3</v>
      </c>
      <c r="I4461">
        <v>2026</v>
      </c>
      <c r="J4461">
        <v>5</v>
      </c>
      <c r="K4461" t="s">
        <v>87</v>
      </c>
      <c r="L4461" t="s">
        <v>10</v>
      </c>
      <c r="M4461" t="s">
        <v>6</v>
      </c>
      <c r="N4461" t="b">
        <v>0</v>
      </c>
      <c r="O4461">
        <v>0</v>
      </c>
      <c r="P4461">
        <v>1</v>
      </c>
      <c r="Q4461">
        <v>0</v>
      </c>
      <c r="R4461">
        <v>0</v>
      </c>
    </row>
    <row r="4462" spans="1:18" x14ac:dyDescent="0.25">
      <c r="A4462" t="s">
        <v>351</v>
      </c>
      <c r="B4462" t="s">
        <v>8</v>
      </c>
      <c r="C4462">
        <v>2</v>
      </c>
      <c r="D4462">
        <v>4</v>
      </c>
      <c r="E4462">
        <v>2</v>
      </c>
      <c r="F4462" s="15">
        <v>46167</v>
      </c>
      <c r="G4462" t="s">
        <v>551</v>
      </c>
      <c r="H4462">
        <v>3</v>
      </c>
      <c r="I4462">
        <v>2026</v>
      </c>
      <c r="J4462">
        <v>5</v>
      </c>
      <c r="K4462" t="s">
        <v>87</v>
      </c>
      <c r="L4462" t="s">
        <v>52</v>
      </c>
      <c r="M4462" t="s">
        <v>6</v>
      </c>
      <c r="N4462" t="b">
        <v>0</v>
      </c>
      <c r="O4462">
        <v>1</v>
      </c>
      <c r="P4462">
        <v>0</v>
      </c>
      <c r="Q4462">
        <v>0</v>
      </c>
      <c r="R4462">
        <v>0</v>
      </c>
    </row>
    <row r="4463" spans="1:18" x14ac:dyDescent="0.25">
      <c r="A4463" t="s">
        <v>351</v>
      </c>
      <c r="B4463" t="s">
        <v>8</v>
      </c>
      <c r="C4463">
        <v>2</v>
      </c>
      <c r="D4463">
        <v>4</v>
      </c>
      <c r="E4463">
        <v>2</v>
      </c>
      <c r="F4463" s="15">
        <v>46167</v>
      </c>
      <c r="G4463" t="s">
        <v>551</v>
      </c>
      <c r="H4463">
        <v>3</v>
      </c>
      <c r="I4463">
        <v>2026</v>
      </c>
      <c r="J4463">
        <v>5</v>
      </c>
      <c r="K4463" t="s">
        <v>87</v>
      </c>
      <c r="L4463" t="s">
        <v>10</v>
      </c>
      <c r="M4463" t="s">
        <v>6</v>
      </c>
      <c r="N4463" t="b">
        <v>0</v>
      </c>
      <c r="O4463">
        <v>1</v>
      </c>
      <c r="P4463">
        <v>0</v>
      </c>
      <c r="Q4463">
        <v>0</v>
      </c>
      <c r="R4463">
        <v>0</v>
      </c>
    </row>
    <row r="4464" spans="1:18" x14ac:dyDescent="0.25">
      <c r="A4464" t="s">
        <v>10</v>
      </c>
      <c r="B4464" t="s">
        <v>6</v>
      </c>
      <c r="C4464">
        <v>3</v>
      </c>
      <c r="D4464">
        <v>4</v>
      </c>
      <c r="E4464">
        <v>2</v>
      </c>
      <c r="F4464" s="15">
        <v>46167</v>
      </c>
      <c r="G4464" t="s">
        <v>551</v>
      </c>
      <c r="H4464">
        <v>3</v>
      </c>
      <c r="I4464">
        <v>2026</v>
      </c>
      <c r="J4464">
        <v>5</v>
      </c>
      <c r="K4464" t="s">
        <v>87</v>
      </c>
      <c r="L4464" t="s">
        <v>52</v>
      </c>
      <c r="M4464" t="s">
        <v>6</v>
      </c>
      <c r="N4464" t="b">
        <v>0</v>
      </c>
      <c r="O4464">
        <v>0</v>
      </c>
      <c r="P4464">
        <v>1</v>
      </c>
      <c r="Q4464">
        <v>0</v>
      </c>
      <c r="R4464">
        <v>0</v>
      </c>
    </row>
    <row r="4465" spans="1:18" x14ac:dyDescent="0.25">
      <c r="A4465" t="s">
        <v>10</v>
      </c>
      <c r="B4465" t="s">
        <v>6</v>
      </c>
      <c r="C4465">
        <v>3</v>
      </c>
      <c r="D4465">
        <v>4</v>
      </c>
      <c r="E4465">
        <v>2</v>
      </c>
      <c r="F4465" s="15">
        <v>46167</v>
      </c>
      <c r="G4465" t="s">
        <v>551</v>
      </c>
      <c r="H4465">
        <v>3</v>
      </c>
      <c r="I4465">
        <v>2026</v>
      </c>
      <c r="J4465">
        <v>5</v>
      </c>
      <c r="K4465" t="s">
        <v>87</v>
      </c>
      <c r="L4465" t="s">
        <v>351</v>
      </c>
      <c r="M4465" t="s">
        <v>8</v>
      </c>
      <c r="N4465" t="b">
        <v>0</v>
      </c>
      <c r="O4465">
        <v>0</v>
      </c>
      <c r="P4465">
        <v>1</v>
      </c>
      <c r="Q4465">
        <v>0</v>
      </c>
      <c r="R4465">
        <v>1</v>
      </c>
    </row>
    <row r="4466" spans="1:18" x14ac:dyDescent="0.25">
      <c r="A4466" t="s">
        <v>9</v>
      </c>
      <c r="B4466" t="s">
        <v>6</v>
      </c>
      <c r="C4466">
        <v>1</v>
      </c>
      <c r="D4466">
        <v>1</v>
      </c>
      <c r="E4466">
        <v>1</v>
      </c>
      <c r="F4466" s="15">
        <v>46174</v>
      </c>
      <c r="G4466" t="s">
        <v>556</v>
      </c>
      <c r="H4466">
        <v>4</v>
      </c>
      <c r="I4466">
        <v>2026</v>
      </c>
      <c r="J4466">
        <v>6</v>
      </c>
      <c r="K4466" t="s">
        <v>87</v>
      </c>
      <c r="L4466" t="s">
        <v>51</v>
      </c>
      <c r="M4466" t="s">
        <v>6</v>
      </c>
      <c r="N4466" t="b">
        <v>0</v>
      </c>
      <c r="O4466">
        <v>0</v>
      </c>
      <c r="P4466">
        <v>1</v>
      </c>
      <c r="Q4466">
        <v>0</v>
      </c>
      <c r="R4466">
        <v>0</v>
      </c>
    </row>
    <row r="4467" spans="1:18" x14ac:dyDescent="0.25">
      <c r="A4467" t="s">
        <v>9</v>
      </c>
      <c r="B4467" t="s">
        <v>6</v>
      </c>
      <c r="C4467">
        <v>1</v>
      </c>
      <c r="D4467">
        <v>1</v>
      </c>
      <c r="E4467">
        <v>1</v>
      </c>
      <c r="F4467" s="15">
        <v>46174</v>
      </c>
      <c r="G4467" t="s">
        <v>556</v>
      </c>
      <c r="H4467">
        <v>4</v>
      </c>
      <c r="I4467">
        <v>2026</v>
      </c>
      <c r="J4467">
        <v>6</v>
      </c>
      <c r="K4467" t="s">
        <v>87</v>
      </c>
      <c r="L4467" t="s">
        <v>7</v>
      </c>
      <c r="M4467" t="s">
        <v>8</v>
      </c>
      <c r="N4467" t="b">
        <v>0</v>
      </c>
      <c r="O4467">
        <v>0</v>
      </c>
      <c r="P4467">
        <v>1</v>
      </c>
      <c r="Q4467">
        <v>0</v>
      </c>
      <c r="R4467">
        <v>1</v>
      </c>
    </row>
    <row r="4468" spans="1:18" x14ac:dyDescent="0.25">
      <c r="A4468" t="s">
        <v>9</v>
      </c>
      <c r="B4468" t="s">
        <v>6</v>
      </c>
      <c r="C4468">
        <v>1</v>
      </c>
      <c r="D4468">
        <v>1</v>
      </c>
      <c r="E4468">
        <v>1</v>
      </c>
      <c r="F4468" s="15">
        <v>46174</v>
      </c>
      <c r="G4468" t="s">
        <v>556</v>
      </c>
      <c r="H4468">
        <v>4</v>
      </c>
      <c r="I4468">
        <v>2026</v>
      </c>
      <c r="J4468">
        <v>6</v>
      </c>
      <c r="K4468" t="s">
        <v>87</v>
      </c>
      <c r="L4468" t="s">
        <v>519</v>
      </c>
      <c r="M4468" t="s">
        <v>6</v>
      </c>
      <c r="N4468" t="b">
        <v>0</v>
      </c>
      <c r="O4468">
        <v>0</v>
      </c>
      <c r="P4468">
        <v>1</v>
      </c>
      <c r="Q4468">
        <v>0</v>
      </c>
      <c r="R4468">
        <v>0</v>
      </c>
    </row>
    <row r="4469" spans="1:18" x14ac:dyDescent="0.25">
      <c r="A4469" t="s">
        <v>51</v>
      </c>
      <c r="B4469" t="s">
        <v>6</v>
      </c>
      <c r="C4469">
        <v>2</v>
      </c>
      <c r="D4469">
        <v>1</v>
      </c>
      <c r="E4469">
        <v>1</v>
      </c>
      <c r="F4469" s="15">
        <v>46174</v>
      </c>
      <c r="G4469" t="s">
        <v>556</v>
      </c>
      <c r="H4469">
        <v>4</v>
      </c>
      <c r="I4469">
        <v>2026</v>
      </c>
      <c r="J4469">
        <v>6</v>
      </c>
      <c r="K4469" t="s">
        <v>87</v>
      </c>
      <c r="L4469" t="s">
        <v>9</v>
      </c>
      <c r="M4469" t="s">
        <v>6</v>
      </c>
      <c r="N4469" t="b">
        <v>0</v>
      </c>
      <c r="O4469">
        <v>0</v>
      </c>
      <c r="P4469">
        <v>1</v>
      </c>
      <c r="Q4469">
        <v>0</v>
      </c>
      <c r="R4469">
        <v>0</v>
      </c>
    </row>
    <row r="4470" spans="1:18" x14ac:dyDescent="0.25">
      <c r="A4470" t="s">
        <v>51</v>
      </c>
      <c r="B4470" t="s">
        <v>6</v>
      </c>
      <c r="C4470">
        <v>2</v>
      </c>
      <c r="D4470">
        <v>1</v>
      </c>
      <c r="E4470">
        <v>1</v>
      </c>
      <c r="F4470" s="15">
        <v>46174</v>
      </c>
      <c r="G4470" t="s">
        <v>556</v>
      </c>
      <c r="H4470">
        <v>4</v>
      </c>
      <c r="I4470">
        <v>2026</v>
      </c>
      <c r="J4470">
        <v>6</v>
      </c>
      <c r="K4470" t="s">
        <v>87</v>
      </c>
      <c r="L4470" t="s">
        <v>7</v>
      </c>
      <c r="M4470" t="s">
        <v>8</v>
      </c>
      <c r="N4470" t="b">
        <v>0</v>
      </c>
      <c r="O4470">
        <v>0</v>
      </c>
      <c r="P4470">
        <v>1</v>
      </c>
      <c r="Q4470">
        <v>0</v>
      </c>
      <c r="R4470">
        <v>1</v>
      </c>
    </row>
    <row r="4471" spans="1:18" x14ac:dyDescent="0.25">
      <c r="A4471" t="s">
        <v>51</v>
      </c>
      <c r="B4471" t="s">
        <v>6</v>
      </c>
      <c r="C4471">
        <v>2</v>
      </c>
      <c r="D4471">
        <v>1</v>
      </c>
      <c r="E4471">
        <v>1</v>
      </c>
      <c r="F4471" s="15">
        <v>46174</v>
      </c>
      <c r="G4471" t="s">
        <v>556</v>
      </c>
      <c r="H4471">
        <v>4</v>
      </c>
      <c r="I4471">
        <v>2026</v>
      </c>
      <c r="J4471">
        <v>6</v>
      </c>
      <c r="K4471" t="s">
        <v>87</v>
      </c>
      <c r="L4471" t="s">
        <v>519</v>
      </c>
      <c r="M4471" t="s">
        <v>6</v>
      </c>
      <c r="N4471" t="b">
        <v>0</v>
      </c>
      <c r="O4471">
        <v>0</v>
      </c>
      <c r="P4471">
        <v>1</v>
      </c>
      <c r="Q4471">
        <v>0</v>
      </c>
      <c r="R4471">
        <v>0</v>
      </c>
    </row>
    <row r="4472" spans="1:18" x14ac:dyDescent="0.25">
      <c r="A4472" t="s">
        <v>7</v>
      </c>
      <c r="B4472" t="s">
        <v>8</v>
      </c>
      <c r="C4472">
        <v>3</v>
      </c>
      <c r="D4472">
        <v>1</v>
      </c>
      <c r="E4472">
        <v>1</v>
      </c>
      <c r="F4472" s="15">
        <v>46174</v>
      </c>
      <c r="G4472" t="s">
        <v>556</v>
      </c>
      <c r="H4472">
        <v>4</v>
      </c>
      <c r="I4472">
        <v>2026</v>
      </c>
      <c r="J4472">
        <v>6</v>
      </c>
      <c r="K4472" t="s">
        <v>87</v>
      </c>
      <c r="L4472" t="s">
        <v>9</v>
      </c>
      <c r="M4472" t="s">
        <v>6</v>
      </c>
      <c r="N4472" t="b">
        <v>0</v>
      </c>
      <c r="O4472">
        <v>1</v>
      </c>
      <c r="P4472">
        <v>0</v>
      </c>
      <c r="Q4472">
        <v>0</v>
      </c>
      <c r="R4472">
        <v>0</v>
      </c>
    </row>
    <row r="4473" spans="1:18" x14ac:dyDescent="0.25">
      <c r="A4473" t="s">
        <v>7</v>
      </c>
      <c r="B4473" t="s">
        <v>8</v>
      </c>
      <c r="C4473">
        <v>3</v>
      </c>
      <c r="D4473">
        <v>1</v>
      </c>
      <c r="E4473">
        <v>1</v>
      </c>
      <c r="F4473" s="15">
        <v>46174</v>
      </c>
      <c r="G4473" t="s">
        <v>556</v>
      </c>
      <c r="H4473">
        <v>4</v>
      </c>
      <c r="I4473">
        <v>2026</v>
      </c>
      <c r="J4473">
        <v>6</v>
      </c>
      <c r="K4473" t="s">
        <v>87</v>
      </c>
      <c r="L4473" t="s">
        <v>51</v>
      </c>
      <c r="M4473" t="s">
        <v>6</v>
      </c>
      <c r="N4473" t="b">
        <v>0</v>
      </c>
      <c r="O4473">
        <v>1</v>
      </c>
      <c r="P4473">
        <v>0</v>
      </c>
      <c r="Q4473">
        <v>0</v>
      </c>
      <c r="R4473">
        <v>0</v>
      </c>
    </row>
    <row r="4474" spans="1:18" x14ac:dyDescent="0.25">
      <c r="A4474" t="s">
        <v>7</v>
      </c>
      <c r="B4474" t="s">
        <v>8</v>
      </c>
      <c r="C4474">
        <v>3</v>
      </c>
      <c r="D4474">
        <v>1</v>
      </c>
      <c r="E4474">
        <v>1</v>
      </c>
      <c r="F4474" s="15">
        <v>46174</v>
      </c>
      <c r="G4474" t="s">
        <v>556</v>
      </c>
      <c r="H4474">
        <v>4</v>
      </c>
      <c r="I4474">
        <v>2026</v>
      </c>
      <c r="J4474">
        <v>6</v>
      </c>
      <c r="K4474" t="s">
        <v>87</v>
      </c>
      <c r="L4474" t="s">
        <v>519</v>
      </c>
      <c r="M4474" t="s">
        <v>6</v>
      </c>
      <c r="N4474" t="b">
        <v>0</v>
      </c>
      <c r="O4474">
        <v>1</v>
      </c>
      <c r="P4474">
        <v>0</v>
      </c>
      <c r="Q4474">
        <v>0</v>
      </c>
      <c r="R4474">
        <v>0</v>
      </c>
    </row>
    <row r="4475" spans="1:18" x14ac:dyDescent="0.25">
      <c r="A4475" t="s">
        <v>519</v>
      </c>
      <c r="B4475" t="s">
        <v>6</v>
      </c>
      <c r="C4475">
        <v>4</v>
      </c>
      <c r="D4475">
        <v>1</v>
      </c>
      <c r="E4475">
        <v>1</v>
      </c>
      <c r="F4475" s="15">
        <v>46174</v>
      </c>
      <c r="G4475" t="s">
        <v>556</v>
      </c>
      <c r="H4475">
        <v>4</v>
      </c>
      <c r="I4475">
        <v>2026</v>
      </c>
      <c r="J4475">
        <v>6</v>
      </c>
      <c r="K4475" t="s">
        <v>87</v>
      </c>
      <c r="L4475" t="s">
        <v>9</v>
      </c>
      <c r="M4475" t="s">
        <v>6</v>
      </c>
      <c r="N4475" t="b">
        <v>0</v>
      </c>
      <c r="O4475">
        <v>0</v>
      </c>
      <c r="P4475">
        <v>1</v>
      </c>
      <c r="Q4475">
        <v>0</v>
      </c>
      <c r="R4475">
        <v>0</v>
      </c>
    </row>
    <row r="4476" spans="1:18" x14ac:dyDescent="0.25">
      <c r="A4476" t="s">
        <v>519</v>
      </c>
      <c r="B4476" t="s">
        <v>6</v>
      </c>
      <c r="C4476">
        <v>4</v>
      </c>
      <c r="D4476">
        <v>1</v>
      </c>
      <c r="E4476">
        <v>1</v>
      </c>
      <c r="F4476" s="15">
        <v>46174</v>
      </c>
      <c r="G4476" t="s">
        <v>556</v>
      </c>
      <c r="H4476">
        <v>4</v>
      </c>
      <c r="I4476">
        <v>2026</v>
      </c>
      <c r="J4476">
        <v>6</v>
      </c>
      <c r="K4476" t="s">
        <v>87</v>
      </c>
      <c r="L4476" t="s">
        <v>51</v>
      </c>
      <c r="M4476" t="s">
        <v>6</v>
      </c>
      <c r="N4476" t="b">
        <v>0</v>
      </c>
      <c r="O4476">
        <v>0</v>
      </c>
      <c r="P4476">
        <v>1</v>
      </c>
      <c r="Q4476">
        <v>0</v>
      </c>
      <c r="R4476">
        <v>0</v>
      </c>
    </row>
    <row r="4477" spans="1:18" x14ac:dyDescent="0.25">
      <c r="A4477" t="s">
        <v>519</v>
      </c>
      <c r="B4477" t="s">
        <v>6</v>
      </c>
      <c r="C4477">
        <v>4</v>
      </c>
      <c r="D4477">
        <v>1</v>
      </c>
      <c r="E4477">
        <v>1</v>
      </c>
      <c r="F4477" s="15">
        <v>46174</v>
      </c>
      <c r="G4477" t="s">
        <v>556</v>
      </c>
      <c r="H4477">
        <v>4</v>
      </c>
      <c r="I4477">
        <v>2026</v>
      </c>
      <c r="J4477">
        <v>6</v>
      </c>
      <c r="K4477" t="s">
        <v>87</v>
      </c>
      <c r="L4477" t="s">
        <v>7</v>
      </c>
      <c r="M4477" t="s">
        <v>8</v>
      </c>
      <c r="N4477" t="b">
        <v>0</v>
      </c>
      <c r="O4477">
        <v>0</v>
      </c>
      <c r="P4477">
        <v>1</v>
      </c>
      <c r="Q4477">
        <v>0</v>
      </c>
      <c r="R4477">
        <v>1</v>
      </c>
    </row>
    <row r="4478" spans="1:18" x14ac:dyDescent="0.25">
      <c r="A4478" t="s">
        <v>14</v>
      </c>
      <c r="B4478" t="s">
        <v>63</v>
      </c>
      <c r="C4478">
        <v>1</v>
      </c>
      <c r="D4478">
        <v>2</v>
      </c>
      <c r="E4478">
        <v>1</v>
      </c>
      <c r="F4478" s="15">
        <v>46174</v>
      </c>
      <c r="G4478" t="s">
        <v>557</v>
      </c>
      <c r="H4478">
        <v>4</v>
      </c>
      <c r="I4478">
        <v>2026</v>
      </c>
      <c r="J4478">
        <v>6</v>
      </c>
      <c r="K4478" t="s">
        <v>87</v>
      </c>
      <c r="L4478" t="s">
        <v>325</v>
      </c>
      <c r="M4478" t="s">
        <v>63</v>
      </c>
      <c r="N4478" t="b">
        <v>0</v>
      </c>
      <c r="O4478">
        <v>0</v>
      </c>
      <c r="P4478">
        <v>0</v>
      </c>
      <c r="Q4478">
        <v>1</v>
      </c>
      <c r="R4478">
        <v>0</v>
      </c>
    </row>
    <row r="4479" spans="1:18" x14ac:dyDescent="0.25">
      <c r="A4479" t="s">
        <v>14</v>
      </c>
      <c r="B4479" t="s">
        <v>63</v>
      </c>
      <c r="C4479">
        <v>1</v>
      </c>
      <c r="D4479">
        <v>2</v>
      </c>
      <c r="E4479">
        <v>1</v>
      </c>
      <c r="F4479" s="15">
        <v>46174</v>
      </c>
      <c r="G4479" t="s">
        <v>557</v>
      </c>
      <c r="H4479">
        <v>4</v>
      </c>
      <c r="I4479">
        <v>2026</v>
      </c>
      <c r="J4479">
        <v>6</v>
      </c>
      <c r="K4479" t="s">
        <v>87</v>
      </c>
      <c r="L4479" t="s">
        <v>352</v>
      </c>
      <c r="M4479" t="s">
        <v>63</v>
      </c>
      <c r="N4479" t="b">
        <v>0</v>
      </c>
      <c r="O4479">
        <v>0</v>
      </c>
      <c r="P4479">
        <v>0</v>
      </c>
      <c r="Q4479">
        <v>1</v>
      </c>
      <c r="R4479">
        <v>0</v>
      </c>
    </row>
    <row r="4480" spans="1:18" x14ac:dyDescent="0.25">
      <c r="A4480" t="s">
        <v>14</v>
      </c>
      <c r="B4480" t="s">
        <v>63</v>
      </c>
      <c r="C4480">
        <v>1</v>
      </c>
      <c r="D4480">
        <v>2</v>
      </c>
      <c r="E4480">
        <v>1</v>
      </c>
      <c r="F4480" s="15">
        <v>46174</v>
      </c>
      <c r="G4480" t="s">
        <v>557</v>
      </c>
      <c r="H4480">
        <v>4</v>
      </c>
      <c r="I4480">
        <v>2026</v>
      </c>
      <c r="J4480">
        <v>6</v>
      </c>
      <c r="K4480" t="s">
        <v>87</v>
      </c>
      <c r="L4480" t="s">
        <v>28</v>
      </c>
      <c r="M4480" t="s">
        <v>63</v>
      </c>
      <c r="N4480" t="b">
        <v>0</v>
      </c>
      <c r="O4480">
        <v>0</v>
      </c>
      <c r="P4480">
        <v>0</v>
      </c>
      <c r="Q4480">
        <v>1</v>
      </c>
      <c r="R4480">
        <v>0</v>
      </c>
    </row>
    <row r="4481" spans="1:18" x14ac:dyDescent="0.25">
      <c r="A4481" t="s">
        <v>325</v>
      </c>
      <c r="B4481" t="s">
        <v>63</v>
      </c>
      <c r="C4481">
        <v>2</v>
      </c>
      <c r="D4481">
        <v>2</v>
      </c>
      <c r="E4481">
        <v>1</v>
      </c>
      <c r="F4481" s="15">
        <v>46174</v>
      </c>
      <c r="G4481" t="s">
        <v>557</v>
      </c>
      <c r="H4481">
        <v>4</v>
      </c>
      <c r="I4481">
        <v>2026</v>
      </c>
      <c r="J4481">
        <v>6</v>
      </c>
      <c r="K4481" t="s">
        <v>87</v>
      </c>
      <c r="L4481" t="s">
        <v>14</v>
      </c>
      <c r="M4481" t="s">
        <v>63</v>
      </c>
      <c r="N4481" t="b">
        <v>0</v>
      </c>
      <c r="O4481">
        <v>0</v>
      </c>
      <c r="P4481">
        <v>0</v>
      </c>
      <c r="Q4481">
        <v>1</v>
      </c>
      <c r="R4481">
        <v>0</v>
      </c>
    </row>
    <row r="4482" spans="1:18" x14ac:dyDescent="0.25">
      <c r="A4482" t="s">
        <v>325</v>
      </c>
      <c r="B4482" t="s">
        <v>63</v>
      </c>
      <c r="C4482">
        <v>2</v>
      </c>
      <c r="D4482">
        <v>2</v>
      </c>
      <c r="E4482">
        <v>1</v>
      </c>
      <c r="F4482" s="15">
        <v>46174</v>
      </c>
      <c r="G4482" t="s">
        <v>557</v>
      </c>
      <c r="H4482">
        <v>4</v>
      </c>
      <c r="I4482">
        <v>2026</v>
      </c>
      <c r="J4482">
        <v>6</v>
      </c>
      <c r="K4482" t="s">
        <v>87</v>
      </c>
      <c r="L4482" t="s">
        <v>352</v>
      </c>
      <c r="M4482" t="s">
        <v>63</v>
      </c>
      <c r="N4482" t="b">
        <v>0</v>
      </c>
      <c r="O4482">
        <v>0</v>
      </c>
      <c r="P4482">
        <v>0</v>
      </c>
      <c r="Q4482">
        <v>1</v>
      </c>
      <c r="R4482">
        <v>0</v>
      </c>
    </row>
    <row r="4483" spans="1:18" x14ac:dyDescent="0.25">
      <c r="A4483" t="s">
        <v>325</v>
      </c>
      <c r="B4483" t="s">
        <v>63</v>
      </c>
      <c r="C4483">
        <v>2</v>
      </c>
      <c r="D4483">
        <v>2</v>
      </c>
      <c r="E4483">
        <v>1</v>
      </c>
      <c r="F4483" s="15">
        <v>46174</v>
      </c>
      <c r="G4483" t="s">
        <v>557</v>
      </c>
      <c r="H4483">
        <v>4</v>
      </c>
      <c r="I4483">
        <v>2026</v>
      </c>
      <c r="J4483">
        <v>6</v>
      </c>
      <c r="K4483" t="s">
        <v>87</v>
      </c>
      <c r="L4483" t="s">
        <v>28</v>
      </c>
      <c r="M4483" t="s">
        <v>63</v>
      </c>
      <c r="N4483" t="b">
        <v>0</v>
      </c>
      <c r="O4483">
        <v>0</v>
      </c>
      <c r="P4483">
        <v>0</v>
      </c>
      <c r="Q4483">
        <v>1</v>
      </c>
      <c r="R4483">
        <v>0</v>
      </c>
    </row>
    <row r="4484" spans="1:18" x14ac:dyDescent="0.25">
      <c r="A4484" t="s">
        <v>352</v>
      </c>
      <c r="B4484" t="s">
        <v>63</v>
      </c>
      <c r="C4484">
        <v>3</v>
      </c>
      <c r="D4484">
        <v>2</v>
      </c>
      <c r="E4484">
        <v>1</v>
      </c>
      <c r="F4484" s="15">
        <v>46174</v>
      </c>
      <c r="G4484" t="s">
        <v>557</v>
      </c>
      <c r="H4484">
        <v>4</v>
      </c>
      <c r="I4484">
        <v>2026</v>
      </c>
      <c r="J4484">
        <v>6</v>
      </c>
      <c r="K4484" t="s">
        <v>87</v>
      </c>
      <c r="L4484" t="s">
        <v>14</v>
      </c>
      <c r="M4484" t="s">
        <v>63</v>
      </c>
      <c r="N4484" t="b">
        <v>0</v>
      </c>
      <c r="O4484">
        <v>0</v>
      </c>
      <c r="P4484">
        <v>0</v>
      </c>
      <c r="Q4484">
        <v>1</v>
      </c>
      <c r="R4484">
        <v>0</v>
      </c>
    </row>
    <row r="4485" spans="1:18" x14ac:dyDescent="0.25">
      <c r="A4485" t="s">
        <v>352</v>
      </c>
      <c r="B4485" t="s">
        <v>63</v>
      </c>
      <c r="C4485">
        <v>3</v>
      </c>
      <c r="D4485">
        <v>2</v>
      </c>
      <c r="E4485">
        <v>1</v>
      </c>
      <c r="F4485" s="15">
        <v>46174</v>
      </c>
      <c r="G4485" t="s">
        <v>557</v>
      </c>
      <c r="H4485">
        <v>4</v>
      </c>
      <c r="I4485">
        <v>2026</v>
      </c>
      <c r="J4485">
        <v>6</v>
      </c>
      <c r="K4485" t="s">
        <v>87</v>
      </c>
      <c r="L4485" t="s">
        <v>325</v>
      </c>
      <c r="M4485" t="s">
        <v>63</v>
      </c>
      <c r="N4485" t="b">
        <v>0</v>
      </c>
      <c r="O4485">
        <v>0</v>
      </c>
      <c r="P4485">
        <v>0</v>
      </c>
      <c r="Q4485">
        <v>1</v>
      </c>
      <c r="R4485">
        <v>0</v>
      </c>
    </row>
    <row r="4486" spans="1:18" x14ac:dyDescent="0.25">
      <c r="A4486" t="s">
        <v>352</v>
      </c>
      <c r="B4486" t="s">
        <v>63</v>
      </c>
      <c r="C4486">
        <v>3</v>
      </c>
      <c r="D4486">
        <v>2</v>
      </c>
      <c r="E4486">
        <v>1</v>
      </c>
      <c r="F4486" s="15">
        <v>46174</v>
      </c>
      <c r="G4486" t="s">
        <v>557</v>
      </c>
      <c r="H4486">
        <v>4</v>
      </c>
      <c r="I4486">
        <v>2026</v>
      </c>
      <c r="J4486">
        <v>6</v>
      </c>
      <c r="K4486" t="s">
        <v>87</v>
      </c>
      <c r="L4486" t="s">
        <v>28</v>
      </c>
      <c r="M4486" t="s">
        <v>63</v>
      </c>
      <c r="N4486" t="b">
        <v>0</v>
      </c>
      <c r="O4486">
        <v>0</v>
      </c>
      <c r="P4486">
        <v>0</v>
      </c>
      <c r="Q4486">
        <v>1</v>
      </c>
      <c r="R4486">
        <v>0</v>
      </c>
    </row>
    <row r="4487" spans="1:18" x14ac:dyDescent="0.25">
      <c r="A4487" t="s">
        <v>28</v>
      </c>
      <c r="B4487" t="s">
        <v>63</v>
      </c>
      <c r="C4487">
        <v>4</v>
      </c>
      <c r="D4487">
        <v>2</v>
      </c>
      <c r="E4487">
        <v>1</v>
      </c>
      <c r="F4487" s="15">
        <v>46174</v>
      </c>
      <c r="G4487" t="s">
        <v>557</v>
      </c>
      <c r="H4487">
        <v>4</v>
      </c>
      <c r="I4487">
        <v>2026</v>
      </c>
      <c r="J4487">
        <v>6</v>
      </c>
      <c r="K4487" t="s">
        <v>87</v>
      </c>
      <c r="L4487" t="s">
        <v>14</v>
      </c>
      <c r="M4487" t="s">
        <v>63</v>
      </c>
      <c r="N4487" t="b">
        <v>0</v>
      </c>
      <c r="O4487">
        <v>0</v>
      </c>
      <c r="P4487">
        <v>0</v>
      </c>
      <c r="Q4487">
        <v>1</v>
      </c>
      <c r="R4487">
        <v>0</v>
      </c>
    </row>
    <row r="4488" spans="1:18" x14ac:dyDescent="0.25">
      <c r="A4488" t="s">
        <v>28</v>
      </c>
      <c r="B4488" t="s">
        <v>63</v>
      </c>
      <c r="C4488">
        <v>4</v>
      </c>
      <c r="D4488">
        <v>2</v>
      </c>
      <c r="E4488">
        <v>1</v>
      </c>
      <c r="F4488" s="15">
        <v>46174</v>
      </c>
      <c r="G4488" t="s">
        <v>557</v>
      </c>
      <c r="H4488">
        <v>4</v>
      </c>
      <c r="I4488">
        <v>2026</v>
      </c>
      <c r="J4488">
        <v>6</v>
      </c>
      <c r="K4488" t="s">
        <v>87</v>
      </c>
      <c r="L4488" t="s">
        <v>325</v>
      </c>
      <c r="M4488" t="s">
        <v>63</v>
      </c>
      <c r="N4488" t="b">
        <v>0</v>
      </c>
      <c r="O4488">
        <v>0</v>
      </c>
      <c r="P4488">
        <v>0</v>
      </c>
      <c r="Q4488">
        <v>1</v>
      </c>
      <c r="R4488">
        <v>0</v>
      </c>
    </row>
    <row r="4489" spans="1:18" x14ac:dyDescent="0.25">
      <c r="A4489" t="s">
        <v>28</v>
      </c>
      <c r="B4489" t="s">
        <v>63</v>
      </c>
      <c r="C4489">
        <v>4</v>
      </c>
      <c r="D4489">
        <v>2</v>
      </c>
      <c r="E4489">
        <v>1</v>
      </c>
      <c r="F4489" s="15">
        <v>46174</v>
      </c>
      <c r="G4489" t="s">
        <v>557</v>
      </c>
      <c r="H4489">
        <v>4</v>
      </c>
      <c r="I4489">
        <v>2026</v>
      </c>
      <c r="J4489">
        <v>6</v>
      </c>
      <c r="K4489" t="s">
        <v>87</v>
      </c>
      <c r="L4489" t="s">
        <v>352</v>
      </c>
      <c r="M4489" t="s">
        <v>63</v>
      </c>
      <c r="N4489" t="b">
        <v>0</v>
      </c>
      <c r="O4489">
        <v>0</v>
      </c>
      <c r="P4489">
        <v>0</v>
      </c>
      <c r="Q4489">
        <v>1</v>
      </c>
      <c r="R4489">
        <v>0</v>
      </c>
    </row>
    <row r="4490" spans="1:18" x14ac:dyDescent="0.25">
      <c r="A4490" t="s">
        <v>20</v>
      </c>
      <c r="B4490" t="s">
        <v>8</v>
      </c>
      <c r="C4490">
        <v>1</v>
      </c>
      <c r="D4490">
        <v>3</v>
      </c>
      <c r="E4490">
        <v>1</v>
      </c>
      <c r="F4490" s="15">
        <v>46174</v>
      </c>
      <c r="G4490" t="s">
        <v>558</v>
      </c>
      <c r="H4490">
        <v>4</v>
      </c>
      <c r="I4490">
        <v>2026</v>
      </c>
      <c r="J4490">
        <v>6</v>
      </c>
      <c r="K4490" t="s">
        <v>87</v>
      </c>
      <c r="L4490" t="s">
        <v>351</v>
      </c>
      <c r="M4490" t="s">
        <v>6</v>
      </c>
      <c r="N4490" t="b">
        <v>0</v>
      </c>
      <c r="O4490">
        <v>1</v>
      </c>
      <c r="P4490">
        <v>0</v>
      </c>
      <c r="Q4490">
        <v>0</v>
      </c>
      <c r="R4490">
        <v>0</v>
      </c>
    </row>
    <row r="4491" spans="1:18" x14ac:dyDescent="0.25">
      <c r="A4491" t="s">
        <v>20</v>
      </c>
      <c r="B4491" t="s">
        <v>8</v>
      </c>
      <c r="C4491">
        <v>1</v>
      </c>
      <c r="D4491">
        <v>3</v>
      </c>
      <c r="E4491">
        <v>1</v>
      </c>
      <c r="F4491" s="15">
        <v>46174</v>
      </c>
      <c r="G4491" t="s">
        <v>558</v>
      </c>
      <c r="H4491">
        <v>4</v>
      </c>
      <c r="I4491">
        <v>2026</v>
      </c>
      <c r="J4491">
        <v>6</v>
      </c>
      <c r="K4491" t="s">
        <v>87</v>
      </c>
      <c r="L4491" t="s">
        <v>17</v>
      </c>
      <c r="M4491" t="s">
        <v>6</v>
      </c>
      <c r="N4491" t="b">
        <v>0</v>
      </c>
      <c r="O4491">
        <v>1</v>
      </c>
      <c r="P4491">
        <v>0</v>
      </c>
      <c r="Q4491">
        <v>0</v>
      </c>
      <c r="R4491">
        <v>0</v>
      </c>
    </row>
    <row r="4492" spans="1:18" x14ac:dyDescent="0.25">
      <c r="A4492" t="s">
        <v>20</v>
      </c>
      <c r="B4492" t="s">
        <v>8</v>
      </c>
      <c r="C4492">
        <v>1</v>
      </c>
      <c r="D4492">
        <v>3</v>
      </c>
      <c r="E4492">
        <v>1</v>
      </c>
      <c r="F4492" s="15">
        <v>46174</v>
      </c>
      <c r="G4492" t="s">
        <v>558</v>
      </c>
      <c r="H4492">
        <v>4</v>
      </c>
      <c r="I4492">
        <v>2026</v>
      </c>
      <c r="J4492">
        <v>6</v>
      </c>
      <c r="K4492" t="s">
        <v>87</v>
      </c>
      <c r="L4492" t="s">
        <v>465</v>
      </c>
      <c r="M4492" t="s">
        <v>6</v>
      </c>
      <c r="N4492" t="b">
        <v>0</v>
      </c>
      <c r="O4492">
        <v>1</v>
      </c>
      <c r="P4492">
        <v>0</v>
      </c>
      <c r="Q4492">
        <v>0</v>
      </c>
      <c r="R4492">
        <v>0</v>
      </c>
    </row>
    <row r="4493" spans="1:18" x14ac:dyDescent="0.25">
      <c r="A4493" t="s">
        <v>351</v>
      </c>
      <c r="B4493" t="s">
        <v>6</v>
      </c>
      <c r="C4493">
        <v>2</v>
      </c>
      <c r="D4493">
        <v>3</v>
      </c>
      <c r="E4493">
        <v>1</v>
      </c>
      <c r="F4493" s="15">
        <v>46174</v>
      </c>
      <c r="G4493" t="s">
        <v>558</v>
      </c>
      <c r="H4493">
        <v>4</v>
      </c>
      <c r="I4493">
        <v>2026</v>
      </c>
      <c r="J4493">
        <v>6</v>
      </c>
      <c r="K4493" t="s">
        <v>87</v>
      </c>
      <c r="L4493" t="s">
        <v>20</v>
      </c>
      <c r="M4493" t="s">
        <v>8</v>
      </c>
      <c r="N4493" t="b">
        <v>0</v>
      </c>
      <c r="O4493">
        <v>0</v>
      </c>
      <c r="P4493">
        <v>1</v>
      </c>
      <c r="Q4493">
        <v>0</v>
      </c>
      <c r="R4493">
        <v>1</v>
      </c>
    </row>
    <row r="4494" spans="1:18" x14ac:dyDescent="0.25">
      <c r="A4494" t="s">
        <v>351</v>
      </c>
      <c r="B4494" t="s">
        <v>6</v>
      </c>
      <c r="C4494">
        <v>2</v>
      </c>
      <c r="D4494">
        <v>3</v>
      </c>
      <c r="E4494">
        <v>1</v>
      </c>
      <c r="F4494" s="15">
        <v>46174</v>
      </c>
      <c r="G4494" t="s">
        <v>558</v>
      </c>
      <c r="H4494">
        <v>4</v>
      </c>
      <c r="I4494">
        <v>2026</v>
      </c>
      <c r="J4494">
        <v>6</v>
      </c>
      <c r="K4494" t="s">
        <v>87</v>
      </c>
      <c r="L4494" t="s">
        <v>17</v>
      </c>
      <c r="M4494" t="s">
        <v>6</v>
      </c>
      <c r="N4494" t="b">
        <v>0</v>
      </c>
      <c r="O4494">
        <v>0</v>
      </c>
      <c r="P4494">
        <v>1</v>
      </c>
      <c r="Q4494">
        <v>0</v>
      </c>
      <c r="R4494">
        <v>0</v>
      </c>
    </row>
    <row r="4495" spans="1:18" x14ac:dyDescent="0.25">
      <c r="A4495" t="s">
        <v>351</v>
      </c>
      <c r="B4495" t="s">
        <v>6</v>
      </c>
      <c r="C4495">
        <v>2</v>
      </c>
      <c r="D4495">
        <v>3</v>
      </c>
      <c r="E4495">
        <v>1</v>
      </c>
      <c r="F4495" s="15">
        <v>46174</v>
      </c>
      <c r="G4495" t="s">
        <v>558</v>
      </c>
      <c r="H4495">
        <v>4</v>
      </c>
      <c r="I4495">
        <v>2026</v>
      </c>
      <c r="J4495">
        <v>6</v>
      </c>
      <c r="K4495" t="s">
        <v>87</v>
      </c>
      <c r="L4495" t="s">
        <v>465</v>
      </c>
      <c r="M4495" t="s">
        <v>6</v>
      </c>
      <c r="N4495" t="b">
        <v>0</v>
      </c>
      <c r="O4495">
        <v>0</v>
      </c>
      <c r="P4495">
        <v>1</v>
      </c>
      <c r="Q4495">
        <v>0</v>
      </c>
      <c r="R4495">
        <v>0</v>
      </c>
    </row>
    <row r="4496" spans="1:18" x14ac:dyDescent="0.25">
      <c r="A4496" t="s">
        <v>17</v>
      </c>
      <c r="B4496" t="s">
        <v>6</v>
      </c>
      <c r="C4496">
        <v>3</v>
      </c>
      <c r="D4496">
        <v>3</v>
      </c>
      <c r="E4496">
        <v>1</v>
      </c>
      <c r="F4496" s="15">
        <v>46174</v>
      </c>
      <c r="G4496" t="s">
        <v>558</v>
      </c>
      <c r="H4496">
        <v>4</v>
      </c>
      <c r="I4496">
        <v>2026</v>
      </c>
      <c r="J4496">
        <v>6</v>
      </c>
      <c r="K4496" t="s">
        <v>87</v>
      </c>
      <c r="L4496" t="s">
        <v>20</v>
      </c>
      <c r="M4496" t="s">
        <v>8</v>
      </c>
      <c r="N4496" t="b">
        <v>0</v>
      </c>
      <c r="O4496">
        <v>0</v>
      </c>
      <c r="P4496">
        <v>1</v>
      </c>
      <c r="Q4496">
        <v>0</v>
      </c>
      <c r="R4496">
        <v>1</v>
      </c>
    </row>
    <row r="4497" spans="1:18" x14ac:dyDescent="0.25">
      <c r="A4497" t="s">
        <v>17</v>
      </c>
      <c r="B4497" t="s">
        <v>6</v>
      </c>
      <c r="C4497">
        <v>3</v>
      </c>
      <c r="D4497">
        <v>3</v>
      </c>
      <c r="E4497">
        <v>1</v>
      </c>
      <c r="F4497" s="15">
        <v>46174</v>
      </c>
      <c r="G4497" t="s">
        <v>558</v>
      </c>
      <c r="H4497">
        <v>4</v>
      </c>
      <c r="I4497">
        <v>2026</v>
      </c>
      <c r="J4497">
        <v>6</v>
      </c>
      <c r="K4497" t="s">
        <v>87</v>
      </c>
      <c r="L4497" t="s">
        <v>351</v>
      </c>
      <c r="M4497" t="s">
        <v>6</v>
      </c>
      <c r="N4497" t="b">
        <v>0</v>
      </c>
      <c r="O4497">
        <v>0</v>
      </c>
      <c r="P4497">
        <v>1</v>
      </c>
      <c r="Q4497">
        <v>0</v>
      </c>
      <c r="R4497">
        <v>0</v>
      </c>
    </row>
    <row r="4498" spans="1:18" x14ac:dyDescent="0.25">
      <c r="A4498" t="s">
        <v>17</v>
      </c>
      <c r="B4498" t="s">
        <v>6</v>
      </c>
      <c r="C4498">
        <v>3</v>
      </c>
      <c r="D4498">
        <v>3</v>
      </c>
      <c r="E4498">
        <v>1</v>
      </c>
      <c r="F4498" s="15">
        <v>46174</v>
      </c>
      <c r="G4498" t="s">
        <v>558</v>
      </c>
      <c r="H4498">
        <v>4</v>
      </c>
      <c r="I4498">
        <v>2026</v>
      </c>
      <c r="J4498">
        <v>6</v>
      </c>
      <c r="K4498" t="s">
        <v>87</v>
      </c>
      <c r="L4498" t="s">
        <v>465</v>
      </c>
      <c r="M4498" t="s">
        <v>6</v>
      </c>
      <c r="N4498" t="b">
        <v>0</v>
      </c>
      <c r="O4498">
        <v>0</v>
      </c>
      <c r="P4498">
        <v>1</v>
      </c>
      <c r="Q4498">
        <v>0</v>
      </c>
      <c r="R4498">
        <v>0</v>
      </c>
    </row>
    <row r="4499" spans="1:18" x14ac:dyDescent="0.25">
      <c r="A4499" t="s">
        <v>465</v>
      </c>
      <c r="B4499" t="s">
        <v>6</v>
      </c>
      <c r="C4499">
        <v>4</v>
      </c>
      <c r="D4499">
        <v>3</v>
      </c>
      <c r="E4499">
        <v>1</v>
      </c>
      <c r="F4499" s="15">
        <v>46174</v>
      </c>
      <c r="G4499" t="s">
        <v>558</v>
      </c>
      <c r="H4499">
        <v>4</v>
      </c>
      <c r="I4499">
        <v>2026</v>
      </c>
      <c r="J4499">
        <v>6</v>
      </c>
      <c r="K4499" t="s">
        <v>87</v>
      </c>
      <c r="L4499" t="s">
        <v>20</v>
      </c>
      <c r="M4499" t="s">
        <v>8</v>
      </c>
      <c r="N4499" t="b">
        <v>0</v>
      </c>
      <c r="O4499">
        <v>0</v>
      </c>
      <c r="P4499">
        <v>1</v>
      </c>
      <c r="Q4499">
        <v>0</v>
      </c>
      <c r="R4499">
        <v>1</v>
      </c>
    </row>
    <row r="4500" spans="1:18" x14ac:dyDescent="0.25">
      <c r="A4500" t="s">
        <v>465</v>
      </c>
      <c r="B4500" t="s">
        <v>6</v>
      </c>
      <c r="C4500">
        <v>4</v>
      </c>
      <c r="D4500">
        <v>3</v>
      </c>
      <c r="E4500">
        <v>1</v>
      </c>
      <c r="F4500" s="15">
        <v>46174</v>
      </c>
      <c r="G4500" t="s">
        <v>558</v>
      </c>
      <c r="H4500">
        <v>4</v>
      </c>
      <c r="I4500">
        <v>2026</v>
      </c>
      <c r="J4500">
        <v>6</v>
      </c>
      <c r="K4500" t="s">
        <v>87</v>
      </c>
      <c r="L4500" t="s">
        <v>351</v>
      </c>
      <c r="M4500" t="s">
        <v>6</v>
      </c>
      <c r="N4500" t="b">
        <v>0</v>
      </c>
      <c r="O4500">
        <v>0</v>
      </c>
      <c r="P4500">
        <v>1</v>
      </c>
      <c r="Q4500">
        <v>0</v>
      </c>
      <c r="R4500">
        <v>0</v>
      </c>
    </row>
    <row r="4501" spans="1:18" x14ac:dyDescent="0.25">
      <c r="A4501" t="s">
        <v>465</v>
      </c>
      <c r="B4501" t="s">
        <v>6</v>
      </c>
      <c r="C4501">
        <v>4</v>
      </c>
      <c r="D4501">
        <v>3</v>
      </c>
      <c r="E4501">
        <v>1</v>
      </c>
      <c r="F4501" s="15">
        <v>46174</v>
      </c>
      <c r="G4501" t="s">
        <v>558</v>
      </c>
      <c r="H4501">
        <v>4</v>
      </c>
      <c r="I4501">
        <v>2026</v>
      </c>
      <c r="J4501">
        <v>6</v>
      </c>
      <c r="K4501" t="s">
        <v>87</v>
      </c>
      <c r="L4501" t="s">
        <v>17</v>
      </c>
      <c r="M4501" t="s">
        <v>6</v>
      </c>
      <c r="N4501" t="b">
        <v>0</v>
      </c>
      <c r="O4501">
        <v>0</v>
      </c>
      <c r="P4501">
        <v>1</v>
      </c>
      <c r="Q4501">
        <v>0</v>
      </c>
      <c r="R4501">
        <v>0</v>
      </c>
    </row>
    <row r="4502" spans="1:18" x14ac:dyDescent="0.25">
      <c r="A4502" t="s">
        <v>19</v>
      </c>
      <c r="B4502" t="s">
        <v>6</v>
      </c>
      <c r="C4502">
        <v>1</v>
      </c>
      <c r="D4502">
        <v>4</v>
      </c>
      <c r="E4502">
        <v>1</v>
      </c>
      <c r="F4502" s="15">
        <v>46174</v>
      </c>
      <c r="G4502" t="s">
        <v>559</v>
      </c>
      <c r="H4502">
        <v>3</v>
      </c>
      <c r="I4502">
        <v>2026</v>
      </c>
      <c r="J4502">
        <v>6</v>
      </c>
      <c r="K4502" t="s">
        <v>87</v>
      </c>
      <c r="L4502" t="s">
        <v>553</v>
      </c>
      <c r="M4502" t="s">
        <v>6</v>
      </c>
      <c r="N4502" t="b">
        <v>0</v>
      </c>
      <c r="O4502">
        <v>0</v>
      </c>
      <c r="P4502">
        <v>1</v>
      </c>
      <c r="Q4502">
        <v>0</v>
      </c>
      <c r="R4502">
        <v>0</v>
      </c>
    </row>
    <row r="4503" spans="1:18" x14ac:dyDescent="0.25">
      <c r="A4503" t="s">
        <v>19</v>
      </c>
      <c r="B4503" t="s">
        <v>6</v>
      </c>
      <c r="C4503">
        <v>1</v>
      </c>
      <c r="D4503">
        <v>4</v>
      </c>
      <c r="E4503">
        <v>1</v>
      </c>
      <c r="F4503" s="15">
        <v>46174</v>
      </c>
      <c r="G4503" t="s">
        <v>559</v>
      </c>
      <c r="H4503">
        <v>3</v>
      </c>
      <c r="I4503">
        <v>2026</v>
      </c>
      <c r="J4503">
        <v>6</v>
      </c>
      <c r="K4503" t="s">
        <v>87</v>
      </c>
      <c r="L4503" t="s">
        <v>326</v>
      </c>
      <c r="M4503" t="s">
        <v>8</v>
      </c>
      <c r="N4503" t="b">
        <v>0</v>
      </c>
      <c r="O4503">
        <v>0</v>
      </c>
      <c r="P4503">
        <v>1</v>
      </c>
      <c r="Q4503">
        <v>0</v>
      </c>
      <c r="R4503">
        <v>1</v>
      </c>
    </row>
    <row r="4504" spans="1:18" x14ac:dyDescent="0.25">
      <c r="A4504" t="s">
        <v>553</v>
      </c>
      <c r="B4504" t="s">
        <v>6</v>
      </c>
      <c r="C4504">
        <v>2</v>
      </c>
      <c r="D4504">
        <v>4</v>
      </c>
      <c r="E4504">
        <v>1</v>
      </c>
      <c r="F4504" s="15">
        <v>46174</v>
      </c>
      <c r="G4504" t="s">
        <v>559</v>
      </c>
      <c r="H4504">
        <v>3</v>
      </c>
      <c r="I4504">
        <v>2026</v>
      </c>
      <c r="J4504">
        <v>6</v>
      </c>
      <c r="K4504" t="s">
        <v>87</v>
      </c>
      <c r="L4504" t="s">
        <v>19</v>
      </c>
      <c r="M4504" t="s">
        <v>6</v>
      </c>
      <c r="N4504" t="b">
        <v>0</v>
      </c>
      <c r="O4504">
        <v>0</v>
      </c>
      <c r="P4504">
        <v>1</v>
      </c>
      <c r="Q4504">
        <v>0</v>
      </c>
      <c r="R4504">
        <v>0</v>
      </c>
    </row>
    <row r="4505" spans="1:18" x14ac:dyDescent="0.25">
      <c r="A4505" t="s">
        <v>553</v>
      </c>
      <c r="B4505" t="s">
        <v>6</v>
      </c>
      <c r="C4505">
        <v>2</v>
      </c>
      <c r="D4505">
        <v>4</v>
      </c>
      <c r="E4505">
        <v>1</v>
      </c>
      <c r="F4505" s="15">
        <v>46174</v>
      </c>
      <c r="G4505" t="s">
        <v>559</v>
      </c>
      <c r="H4505">
        <v>3</v>
      </c>
      <c r="I4505">
        <v>2026</v>
      </c>
      <c r="J4505">
        <v>6</v>
      </c>
      <c r="K4505" t="s">
        <v>87</v>
      </c>
      <c r="L4505" t="s">
        <v>326</v>
      </c>
      <c r="M4505" t="s">
        <v>8</v>
      </c>
      <c r="N4505" t="b">
        <v>0</v>
      </c>
      <c r="O4505">
        <v>0</v>
      </c>
      <c r="P4505">
        <v>1</v>
      </c>
      <c r="Q4505">
        <v>0</v>
      </c>
      <c r="R4505">
        <v>1</v>
      </c>
    </row>
    <row r="4506" spans="1:18" x14ac:dyDescent="0.25">
      <c r="A4506" t="s">
        <v>326</v>
      </c>
      <c r="B4506" t="s">
        <v>8</v>
      </c>
      <c r="C4506">
        <v>3</v>
      </c>
      <c r="D4506">
        <v>4</v>
      </c>
      <c r="E4506">
        <v>1</v>
      </c>
      <c r="F4506" s="15">
        <v>46174</v>
      </c>
      <c r="G4506" t="s">
        <v>559</v>
      </c>
      <c r="H4506">
        <v>3</v>
      </c>
      <c r="I4506">
        <v>2026</v>
      </c>
      <c r="J4506">
        <v>6</v>
      </c>
      <c r="K4506" t="s">
        <v>87</v>
      </c>
      <c r="L4506" t="s">
        <v>19</v>
      </c>
      <c r="M4506" t="s">
        <v>6</v>
      </c>
      <c r="N4506" t="b">
        <v>0</v>
      </c>
      <c r="O4506">
        <v>1</v>
      </c>
      <c r="P4506">
        <v>0</v>
      </c>
      <c r="Q4506">
        <v>0</v>
      </c>
      <c r="R4506">
        <v>0</v>
      </c>
    </row>
    <row r="4507" spans="1:18" x14ac:dyDescent="0.25">
      <c r="A4507" t="s">
        <v>326</v>
      </c>
      <c r="B4507" t="s">
        <v>8</v>
      </c>
      <c r="C4507">
        <v>3</v>
      </c>
      <c r="D4507">
        <v>4</v>
      </c>
      <c r="E4507">
        <v>1</v>
      </c>
      <c r="F4507" s="15">
        <v>46174</v>
      </c>
      <c r="G4507" t="s">
        <v>559</v>
      </c>
      <c r="H4507">
        <v>3</v>
      </c>
      <c r="I4507">
        <v>2026</v>
      </c>
      <c r="J4507">
        <v>6</v>
      </c>
      <c r="K4507" t="s">
        <v>87</v>
      </c>
      <c r="L4507" t="s">
        <v>553</v>
      </c>
      <c r="M4507" t="s">
        <v>6</v>
      </c>
      <c r="N4507" t="b">
        <v>0</v>
      </c>
      <c r="O4507">
        <v>1</v>
      </c>
      <c r="P4507">
        <v>0</v>
      </c>
      <c r="Q4507">
        <v>0</v>
      </c>
      <c r="R4507">
        <v>0</v>
      </c>
    </row>
    <row r="4508" spans="1:18" x14ac:dyDescent="0.25">
      <c r="A4508" t="s">
        <v>554</v>
      </c>
      <c r="B4508" t="s">
        <v>6</v>
      </c>
      <c r="C4508">
        <v>1</v>
      </c>
      <c r="D4508">
        <v>5</v>
      </c>
      <c r="E4508">
        <v>1</v>
      </c>
      <c r="F4508" s="15">
        <v>46174</v>
      </c>
      <c r="G4508" t="s">
        <v>560</v>
      </c>
      <c r="H4508">
        <v>3</v>
      </c>
      <c r="I4508">
        <v>2026</v>
      </c>
      <c r="J4508">
        <v>6</v>
      </c>
      <c r="K4508" t="s">
        <v>87</v>
      </c>
      <c r="L4508" t="s">
        <v>405</v>
      </c>
      <c r="M4508" t="s">
        <v>8</v>
      </c>
      <c r="N4508" t="b">
        <v>0</v>
      </c>
      <c r="O4508">
        <v>0</v>
      </c>
      <c r="P4508">
        <v>1</v>
      </c>
      <c r="Q4508">
        <v>0</v>
      </c>
      <c r="R4508">
        <v>1</v>
      </c>
    </row>
    <row r="4509" spans="1:18" x14ac:dyDescent="0.25">
      <c r="A4509" t="s">
        <v>554</v>
      </c>
      <c r="B4509" t="s">
        <v>6</v>
      </c>
      <c r="C4509">
        <v>1</v>
      </c>
      <c r="D4509">
        <v>5</v>
      </c>
      <c r="E4509">
        <v>1</v>
      </c>
      <c r="F4509" s="15">
        <v>46174</v>
      </c>
      <c r="G4509" t="s">
        <v>560</v>
      </c>
      <c r="H4509">
        <v>3</v>
      </c>
      <c r="I4509">
        <v>2026</v>
      </c>
      <c r="J4509">
        <v>6</v>
      </c>
      <c r="K4509" t="s">
        <v>87</v>
      </c>
      <c r="L4509" t="s">
        <v>13</v>
      </c>
      <c r="M4509" t="s">
        <v>6</v>
      </c>
      <c r="N4509" t="b">
        <v>0</v>
      </c>
      <c r="O4509">
        <v>0</v>
      </c>
      <c r="P4509">
        <v>1</v>
      </c>
      <c r="Q4509">
        <v>0</v>
      </c>
      <c r="R4509">
        <v>0</v>
      </c>
    </row>
    <row r="4510" spans="1:18" x14ac:dyDescent="0.25">
      <c r="A4510" t="s">
        <v>405</v>
      </c>
      <c r="B4510" t="s">
        <v>8</v>
      </c>
      <c r="C4510">
        <v>2</v>
      </c>
      <c r="D4510">
        <v>5</v>
      </c>
      <c r="E4510">
        <v>1</v>
      </c>
      <c r="F4510" s="15">
        <v>46174</v>
      </c>
      <c r="G4510" t="s">
        <v>560</v>
      </c>
      <c r="H4510">
        <v>3</v>
      </c>
      <c r="I4510">
        <v>2026</v>
      </c>
      <c r="J4510">
        <v>6</v>
      </c>
      <c r="K4510" t="s">
        <v>87</v>
      </c>
      <c r="L4510" t="s">
        <v>554</v>
      </c>
      <c r="M4510" t="s">
        <v>6</v>
      </c>
      <c r="N4510" t="b">
        <v>0</v>
      </c>
      <c r="O4510">
        <v>1</v>
      </c>
      <c r="P4510">
        <v>0</v>
      </c>
      <c r="Q4510">
        <v>0</v>
      </c>
      <c r="R4510">
        <v>0</v>
      </c>
    </row>
    <row r="4511" spans="1:18" x14ac:dyDescent="0.25">
      <c r="A4511" t="s">
        <v>405</v>
      </c>
      <c r="B4511" t="s">
        <v>8</v>
      </c>
      <c r="C4511">
        <v>2</v>
      </c>
      <c r="D4511">
        <v>5</v>
      </c>
      <c r="E4511">
        <v>1</v>
      </c>
      <c r="F4511" s="15">
        <v>46174</v>
      </c>
      <c r="G4511" t="s">
        <v>560</v>
      </c>
      <c r="H4511">
        <v>3</v>
      </c>
      <c r="I4511">
        <v>2026</v>
      </c>
      <c r="J4511">
        <v>6</v>
      </c>
      <c r="K4511" t="s">
        <v>87</v>
      </c>
      <c r="L4511" t="s">
        <v>13</v>
      </c>
      <c r="M4511" t="s">
        <v>6</v>
      </c>
      <c r="N4511" t="b">
        <v>0</v>
      </c>
      <c r="O4511">
        <v>1</v>
      </c>
      <c r="P4511">
        <v>0</v>
      </c>
      <c r="Q4511">
        <v>0</v>
      </c>
      <c r="R4511">
        <v>0</v>
      </c>
    </row>
    <row r="4512" spans="1:18" x14ac:dyDescent="0.25">
      <c r="A4512" t="s">
        <v>13</v>
      </c>
      <c r="B4512" t="s">
        <v>6</v>
      </c>
      <c r="C4512">
        <v>3</v>
      </c>
      <c r="D4512">
        <v>5</v>
      </c>
      <c r="E4512">
        <v>1</v>
      </c>
      <c r="F4512" s="15">
        <v>46174</v>
      </c>
      <c r="G4512" t="s">
        <v>560</v>
      </c>
      <c r="H4512">
        <v>3</v>
      </c>
      <c r="I4512">
        <v>2026</v>
      </c>
      <c r="J4512">
        <v>6</v>
      </c>
      <c r="K4512" t="s">
        <v>87</v>
      </c>
      <c r="L4512" t="s">
        <v>554</v>
      </c>
      <c r="M4512" t="s">
        <v>6</v>
      </c>
      <c r="N4512" t="b">
        <v>0</v>
      </c>
      <c r="O4512">
        <v>0</v>
      </c>
      <c r="P4512">
        <v>1</v>
      </c>
      <c r="Q4512">
        <v>0</v>
      </c>
      <c r="R4512">
        <v>0</v>
      </c>
    </row>
    <row r="4513" spans="1:18" x14ac:dyDescent="0.25">
      <c r="A4513" t="s">
        <v>13</v>
      </c>
      <c r="B4513" t="s">
        <v>6</v>
      </c>
      <c r="C4513">
        <v>3</v>
      </c>
      <c r="D4513">
        <v>5</v>
      </c>
      <c r="E4513">
        <v>1</v>
      </c>
      <c r="F4513" s="15">
        <v>46174</v>
      </c>
      <c r="G4513" t="s">
        <v>560</v>
      </c>
      <c r="H4513">
        <v>3</v>
      </c>
      <c r="I4513">
        <v>2026</v>
      </c>
      <c r="J4513">
        <v>6</v>
      </c>
      <c r="K4513" t="s">
        <v>87</v>
      </c>
      <c r="L4513" t="s">
        <v>405</v>
      </c>
      <c r="M4513" t="s">
        <v>8</v>
      </c>
      <c r="N4513" t="b">
        <v>0</v>
      </c>
      <c r="O4513">
        <v>0</v>
      </c>
      <c r="P4513">
        <v>1</v>
      </c>
      <c r="Q4513">
        <v>0</v>
      </c>
      <c r="R4513">
        <v>1</v>
      </c>
    </row>
    <row r="4514" spans="1:18" x14ac:dyDescent="0.25">
      <c r="A4514" t="s">
        <v>555</v>
      </c>
      <c r="B4514" t="s">
        <v>8</v>
      </c>
      <c r="C4514">
        <v>1</v>
      </c>
      <c r="D4514">
        <v>6</v>
      </c>
      <c r="E4514">
        <v>1</v>
      </c>
      <c r="F4514" s="15">
        <v>46174</v>
      </c>
      <c r="G4514" t="s">
        <v>561</v>
      </c>
      <c r="H4514">
        <v>3</v>
      </c>
      <c r="I4514">
        <v>2026</v>
      </c>
      <c r="J4514">
        <v>6</v>
      </c>
      <c r="K4514" t="s">
        <v>87</v>
      </c>
      <c r="L4514" t="s">
        <v>52</v>
      </c>
      <c r="M4514" t="s">
        <v>6</v>
      </c>
      <c r="N4514" t="b">
        <v>0</v>
      </c>
      <c r="O4514">
        <v>1</v>
      </c>
      <c r="P4514">
        <v>0</v>
      </c>
      <c r="Q4514">
        <v>0</v>
      </c>
      <c r="R4514">
        <v>0</v>
      </c>
    </row>
    <row r="4515" spans="1:18" x14ac:dyDescent="0.25">
      <c r="A4515" t="s">
        <v>555</v>
      </c>
      <c r="B4515" t="s">
        <v>8</v>
      </c>
      <c r="C4515">
        <v>1</v>
      </c>
      <c r="D4515">
        <v>6</v>
      </c>
      <c r="E4515">
        <v>1</v>
      </c>
      <c r="F4515" s="15">
        <v>46174</v>
      </c>
      <c r="G4515" t="s">
        <v>561</v>
      </c>
      <c r="H4515">
        <v>3</v>
      </c>
      <c r="I4515">
        <v>2026</v>
      </c>
      <c r="J4515">
        <v>6</v>
      </c>
      <c r="K4515" t="s">
        <v>87</v>
      </c>
      <c r="L4515" t="s">
        <v>363</v>
      </c>
      <c r="M4515" t="s">
        <v>6</v>
      </c>
      <c r="N4515" t="b">
        <v>0</v>
      </c>
      <c r="O4515">
        <v>1</v>
      </c>
      <c r="P4515">
        <v>0</v>
      </c>
      <c r="Q4515">
        <v>0</v>
      </c>
      <c r="R4515">
        <v>0</v>
      </c>
    </row>
    <row r="4516" spans="1:18" x14ac:dyDescent="0.25">
      <c r="A4516" t="s">
        <v>52</v>
      </c>
      <c r="B4516" t="s">
        <v>6</v>
      </c>
      <c r="C4516">
        <v>2</v>
      </c>
      <c r="D4516">
        <v>6</v>
      </c>
      <c r="E4516">
        <v>1</v>
      </c>
      <c r="F4516" s="15">
        <v>46174</v>
      </c>
      <c r="G4516" t="s">
        <v>561</v>
      </c>
      <c r="H4516">
        <v>3</v>
      </c>
      <c r="I4516">
        <v>2026</v>
      </c>
      <c r="J4516">
        <v>6</v>
      </c>
      <c r="K4516" t="s">
        <v>87</v>
      </c>
      <c r="L4516" t="s">
        <v>555</v>
      </c>
      <c r="M4516" t="s">
        <v>8</v>
      </c>
      <c r="N4516" t="b">
        <v>0</v>
      </c>
      <c r="O4516">
        <v>0</v>
      </c>
      <c r="P4516">
        <v>1</v>
      </c>
      <c r="Q4516">
        <v>0</v>
      </c>
      <c r="R4516">
        <v>1</v>
      </c>
    </row>
    <row r="4517" spans="1:18" x14ac:dyDescent="0.25">
      <c r="A4517" t="s">
        <v>52</v>
      </c>
      <c r="B4517" t="s">
        <v>6</v>
      </c>
      <c r="C4517">
        <v>2</v>
      </c>
      <c r="D4517">
        <v>6</v>
      </c>
      <c r="E4517">
        <v>1</v>
      </c>
      <c r="F4517" s="15">
        <v>46174</v>
      </c>
      <c r="G4517" t="s">
        <v>561</v>
      </c>
      <c r="H4517">
        <v>3</v>
      </c>
      <c r="I4517">
        <v>2026</v>
      </c>
      <c r="J4517">
        <v>6</v>
      </c>
      <c r="K4517" t="s">
        <v>87</v>
      </c>
      <c r="L4517" t="s">
        <v>363</v>
      </c>
      <c r="M4517" t="s">
        <v>6</v>
      </c>
      <c r="N4517" t="b">
        <v>0</v>
      </c>
      <c r="O4517">
        <v>0</v>
      </c>
      <c r="P4517">
        <v>1</v>
      </c>
      <c r="Q4517">
        <v>0</v>
      </c>
      <c r="R4517">
        <v>0</v>
      </c>
    </row>
    <row r="4518" spans="1:18" x14ac:dyDescent="0.25">
      <c r="A4518" t="s">
        <v>363</v>
      </c>
      <c r="B4518" t="s">
        <v>6</v>
      </c>
      <c r="C4518">
        <v>3</v>
      </c>
      <c r="D4518">
        <v>6</v>
      </c>
      <c r="E4518">
        <v>1</v>
      </c>
      <c r="F4518" s="15">
        <v>46174</v>
      </c>
      <c r="G4518" t="s">
        <v>561</v>
      </c>
      <c r="H4518">
        <v>3</v>
      </c>
      <c r="I4518">
        <v>2026</v>
      </c>
      <c r="J4518">
        <v>6</v>
      </c>
      <c r="K4518" t="s">
        <v>87</v>
      </c>
      <c r="L4518" t="s">
        <v>555</v>
      </c>
      <c r="M4518" t="s">
        <v>8</v>
      </c>
      <c r="N4518" t="b">
        <v>0</v>
      </c>
      <c r="O4518">
        <v>0</v>
      </c>
      <c r="P4518">
        <v>1</v>
      </c>
      <c r="Q4518">
        <v>0</v>
      </c>
      <c r="R4518">
        <v>1</v>
      </c>
    </row>
    <row r="4519" spans="1:18" x14ac:dyDescent="0.25">
      <c r="A4519" t="s">
        <v>363</v>
      </c>
      <c r="B4519" t="s">
        <v>6</v>
      </c>
      <c r="C4519">
        <v>3</v>
      </c>
      <c r="D4519">
        <v>6</v>
      </c>
      <c r="E4519">
        <v>1</v>
      </c>
      <c r="F4519" s="15">
        <v>46174</v>
      </c>
      <c r="G4519" t="s">
        <v>561</v>
      </c>
      <c r="H4519">
        <v>3</v>
      </c>
      <c r="I4519">
        <v>2026</v>
      </c>
      <c r="J4519">
        <v>6</v>
      </c>
      <c r="K4519" t="s">
        <v>87</v>
      </c>
      <c r="L4519" t="s">
        <v>52</v>
      </c>
      <c r="M4519" t="s">
        <v>6</v>
      </c>
      <c r="N4519" t="b">
        <v>0</v>
      </c>
      <c r="O4519">
        <v>0</v>
      </c>
      <c r="P4519">
        <v>1</v>
      </c>
      <c r="Q4519">
        <v>0</v>
      </c>
      <c r="R4519">
        <v>0</v>
      </c>
    </row>
    <row r="4520" spans="1:18" x14ac:dyDescent="0.25">
      <c r="A4520" t="s">
        <v>519</v>
      </c>
      <c r="B4520" t="s">
        <v>8</v>
      </c>
      <c r="C4520">
        <v>1</v>
      </c>
      <c r="D4520">
        <v>1</v>
      </c>
      <c r="E4520">
        <v>2</v>
      </c>
      <c r="F4520" s="15">
        <v>46174</v>
      </c>
      <c r="G4520" t="s">
        <v>562</v>
      </c>
      <c r="H4520">
        <v>3</v>
      </c>
      <c r="I4520">
        <v>2026</v>
      </c>
      <c r="J4520">
        <v>6</v>
      </c>
      <c r="K4520" t="s">
        <v>87</v>
      </c>
      <c r="L4520" t="s">
        <v>20</v>
      </c>
      <c r="M4520" t="s">
        <v>6</v>
      </c>
      <c r="N4520" t="b">
        <v>0</v>
      </c>
      <c r="O4520">
        <v>1</v>
      </c>
      <c r="P4520">
        <v>0</v>
      </c>
      <c r="Q4520">
        <v>0</v>
      </c>
      <c r="R4520">
        <v>0</v>
      </c>
    </row>
    <row r="4521" spans="1:18" x14ac:dyDescent="0.25">
      <c r="A4521" t="s">
        <v>519</v>
      </c>
      <c r="B4521" t="s">
        <v>8</v>
      </c>
      <c r="C4521">
        <v>1</v>
      </c>
      <c r="D4521">
        <v>1</v>
      </c>
      <c r="E4521">
        <v>2</v>
      </c>
      <c r="F4521" s="15">
        <v>46174</v>
      </c>
      <c r="G4521" t="s">
        <v>562</v>
      </c>
      <c r="H4521">
        <v>3</v>
      </c>
      <c r="I4521">
        <v>2026</v>
      </c>
      <c r="J4521">
        <v>6</v>
      </c>
      <c r="K4521" t="s">
        <v>87</v>
      </c>
      <c r="L4521" t="s">
        <v>9</v>
      </c>
      <c r="M4521" t="s">
        <v>6</v>
      </c>
      <c r="N4521" t="b">
        <v>0</v>
      </c>
      <c r="O4521">
        <v>1</v>
      </c>
      <c r="P4521">
        <v>0</v>
      </c>
      <c r="Q4521">
        <v>0</v>
      </c>
      <c r="R4521">
        <v>0</v>
      </c>
    </row>
    <row r="4522" spans="1:18" x14ac:dyDescent="0.25">
      <c r="A4522" t="s">
        <v>20</v>
      </c>
      <c r="B4522" t="s">
        <v>6</v>
      </c>
      <c r="C4522">
        <v>2</v>
      </c>
      <c r="D4522">
        <v>1</v>
      </c>
      <c r="E4522">
        <v>2</v>
      </c>
      <c r="F4522" s="15">
        <v>46174</v>
      </c>
      <c r="G4522" t="s">
        <v>562</v>
      </c>
      <c r="H4522">
        <v>3</v>
      </c>
      <c r="I4522">
        <v>2026</v>
      </c>
      <c r="J4522">
        <v>6</v>
      </c>
      <c r="K4522" t="s">
        <v>87</v>
      </c>
      <c r="L4522" t="s">
        <v>519</v>
      </c>
      <c r="M4522" t="s">
        <v>8</v>
      </c>
      <c r="N4522" t="b">
        <v>0</v>
      </c>
      <c r="O4522">
        <v>0</v>
      </c>
      <c r="P4522">
        <v>1</v>
      </c>
      <c r="Q4522">
        <v>0</v>
      </c>
      <c r="R4522">
        <v>1</v>
      </c>
    </row>
    <row r="4523" spans="1:18" x14ac:dyDescent="0.25">
      <c r="A4523" t="s">
        <v>20</v>
      </c>
      <c r="B4523" t="s">
        <v>6</v>
      </c>
      <c r="C4523">
        <v>2</v>
      </c>
      <c r="D4523">
        <v>1</v>
      </c>
      <c r="E4523">
        <v>2</v>
      </c>
      <c r="F4523" s="15">
        <v>46174</v>
      </c>
      <c r="G4523" t="s">
        <v>562</v>
      </c>
      <c r="H4523">
        <v>3</v>
      </c>
      <c r="I4523">
        <v>2026</v>
      </c>
      <c r="J4523">
        <v>6</v>
      </c>
      <c r="K4523" t="s">
        <v>87</v>
      </c>
      <c r="L4523" t="s">
        <v>9</v>
      </c>
      <c r="M4523" t="s">
        <v>6</v>
      </c>
      <c r="N4523" t="b">
        <v>0</v>
      </c>
      <c r="O4523">
        <v>0</v>
      </c>
      <c r="P4523">
        <v>1</v>
      </c>
      <c r="Q4523">
        <v>0</v>
      </c>
      <c r="R4523">
        <v>0</v>
      </c>
    </row>
    <row r="4524" spans="1:18" x14ac:dyDescent="0.25">
      <c r="A4524" t="s">
        <v>9</v>
      </c>
      <c r="B4524" t="s">
        <v>6</v>
      </c>
      <c r="C4524">
        <v>3</v>
      </c>
      <c r="D4524">
        <v>1</v>
      </c>
      <c r="E4524">
        <v>2</v>
      </c>
      <c r="F4524" s="15">
        <v>46174</v>
      </c>
      <c r="G4524" t="s">
        <v>562</v>
      </c>
      <c r="H4524">
        <v>3</v>
      </c>
      <c r="I4524">
        <v>2026</v>
      </c>
      <c r="J4524">
        <v>6</v>
      </c>
      <c r="K4524" t="s">
        <v>87</v>
      </c>
      <c r="L4524" t="s">
        <v>519</v>
      </c>
      <c r="M4524" t="s">
        <v>8</v>
      </c>
      <c r="N4524" t="b">
        <v>0</v>
      </c>
      <c r="O4524">
        <v>0</v>
      </c>
      <c r="P4524">
        <v>1</v>
      </c>
      <c r="Q4524">
        <v>0</v>
      </c>
      <c r="R4524">
        <v>1</v>
      </c>
    </row>
    <row r="4525" spans="1:18" x14ac:dyDescent="0.25">
      <c r="A4525" t="s">
        <v>9</v>
      </c>
      <c r="B4525" t="s">
        <v>6</v>
      </c>
      <c r="C4525">
        <v>3</v>
      </c>
      <c r="D4525">
        <v>1</v>
      </c>
      <c r="E4525">
        <v>2</v>
      </c>
      <c r="F4525" s="15">
        <v>46174</v>
      </c>
      <c r="G4525" t="s">
        <v>562</v>
      </c>
      <c r="H4525">
        <v>3</v>
      </c>
      <c r="I4525">
        <v>2026</v>
      </c>
      <c r="J4525">
        <v>6</v>
      </c>
      <c r="K4525" t="s">
        <v>87</v>
      </c>
      <c r="L4525" t="s">
        <v>20</v>
      </c>
      <c r="M4525" t="s">
        <v>6</v>
      </c>
      <c r="N4525" t="b">
        <v>0</v>
      </c>
      <c r="O4525">
        <v>0</v>
      </c>
      <c r="P4525">
        <v>1</v>
      </c>
      <c r="Q4525">
        <v>0</v>
      </c>
      <c r="R4525">
        <v>0</v>
      </c>
    </row>
    <row r="4526" spans="1:18" x14ac:dyDescent="0.25">
      <c r="A4526" t="s">
        <v>465</v>
      </c>
      <c r="B4526" t="s">
        <v>63</v>
      </c>
      <c r="C4526">
        <v>1</v>
      </c>
      <c r="D4526">
        <v>2</v>
      </c>
      <c r="E4526">
        <v>2</v>
      </c>
      <c r="F4526" s="15">
        <v>46174</v>
      </c>
      <c r="G4526" t="s">
        <v>563</v>
      </c>
      <c r="H4526">
        <v>3</v>
      </c>
      <c r="I4526">
        <v>2026</v>
      </c>
      <c r="J4526">
        <v>6</v>
      </c>
      <c r="K4526" t="s">
        <v>87</v>
      </c>
      <c r="L4526" t="s">
        <v>17</v>
      </c>
      <c r="M4526" t="s">
        <v>63</v>
      </c>
      <c r="N4526" t="b">
        <v>0</v>
      </c>
      <c r="O4526">
        <v>0</v>
      </c>
      <c r="P4526">
        <v>0</v>
      </c>
      <c r="Q4526">
        <v>1</v>
      </c>
      <c r="R4526">
        <v>0</v>
      </c>
    </row>
    <row r="4527" spans="1:18" x14ac:dyDescent="0.25">
      <c r="A4527" t="s">
        <v>465</v>
      </c>
      <c r="B4527" t="s">
        <v>63</v>
      </c>
      <c r="C4527">
        <v>1</v>
      </c>
      <c r="D4527">
        <v>2</v>
      </c>
      <c r="E4527">
        <v>2</v>
      </c>
      <c r="F4527" s="15">
        <v>46174</v>
      </c>
      <c r="G4527" t="s">
        <v>563</v>
      </c>
      <c r="H4527">
        <v>3</v>
      </c>
      <c r="I4527">
        <v>2026</v>
      </c>
      <c r="J4527">
        <v>6</v>
      </c>
      <c r="K4527" t="s">
        <v>87</v>
      </c>
      <c r="L4527" t="s">
        <v>51</v>
      </c>
      <c r="M4527" t="s">
        <v>63</v>
      </c>
      <c r="N4527" t="b">
        <v>0</v>
      </c>
      <c r="O4527">
        <v>0</v>
      </c>
      <c r="P4527">
        <v>0</v>
      </c>
      <c r="Q4527">
        <v>1</v>
      </c>
      <c r="R4527">
        <v>0</v>
      </c>
    </row>
    <row r="4528" spans="1:18" x14ac:dyDescent="0.25">
      <c r="A4528" t="s">
        <v>17</v>
      </c>
      <c r="B4528" t="s">
        <v>63</v>
      </c>
      <c r="C4528">
        <v>2</v>
      </c>
      <c r="D4528">
        <v>2</v>
      </c>
      <c r="E4528">
        <v>2</v>
      </c>
      <c r="F4528" s="15">
        <v>46174</v>
      </c>
      <c r="G4528" t="s">
        <v>563</v>
      </c>
      <c r="H4528">
        <v>3</v>
      </c>
      <c r="I4528">
        <v>2026</v>
      </c>
      <c r="J4528">
        <v>6</v>
      </c>
      <c r="K4528" t="s">
        <v>87</v>
      </c>
      <c r="L4528" t="s">
        <v>465</v>
      </c>
      <c r="M4528" t="s">
        <v>63</v>
      </c>
      <c r="N4528" t="b">
        <v>0</v>
      </c>
      <c r="O4528">
        <v>0</v>
      </c>
      <c r="P4528">
        <v>0</v>
      </c>
      <c r="Q4528">
        <v>1</v>
      </c>
      <c r="R4528">
        <v>0</v>
      </c>
    </row>
    <row r="4529" spans="1:18" x14ac:dyDescent="0.25">
      <c r="A4529" t="s">
        <v>17</v>
      </c>
      <c r="B4529" t="s">
        <v>63</v>
      </c>
      <c r="C4529">
        <v>2</v>
      </c>
      <c r="D4529">
        <v>2</v>
      </c>
      <c r="E4529">
        <v>2</v>
      </c>
      <c r="F4529" s="15">
        <v>46174</v>
      </c>
      <c r="G4529" t="s">
        <v>563</v>
      </c>
      <c r="H4529">
        <v>3</v>
      </c>
      <c r="I4529">
        <v>2026</v>
      </c>
      <c r="J4529">
        <v>6</v>
      </c>
      <c r="K4529" t="s">
        <v>87</v>
      </c>
      <c r="L4529" t="s">
        <v>51</v>
      </c>
      <c r="M4529" t="s">
        <v>63</v>
      </c>
      <c r="N4529" t="b">
        <v>0</v>
      </c>
      <c r="O4529">
        <v>0</v>
      </c>
      <c r="P4529">
        <v>0</v>
      </c>
      <c r="Q4529">
        <v>1</v>
      </c>
      <c r="R4529">
        <v>0</v>
      </c>
    </row>
    <row r="4530" spans="1:18" x14ac:dyDescent="0.25">
      <c r="A4530" t="s">
        <v>51</v>
      </c>
      <c r="B4530" t="s">
        <v>63</v>
      </c>
      <c r="C4530">
        <v>3</v>
      </c>
      <c r="D4530">
        <v>2</v>
      </c>
      <c r="E4530">
        <v>2</v>
      </c>
      <c r="F4530" s="15">
        <v>46174</v>
      </c>
      <c r="G4530" t="s">
        <v>563</v>
      </c>
      <c r="H4530">
        <v>3</v>
      </c>
      <c r="I4530">
        <v>2026</v>
      </c>
      <c r="J4530">
        <v>6</v>
      </c>
      <c r="K4530" t="s">
        <v>87</v>
      </c>
      <c r="L4530" t="s">
        <v>465</v>
      </c>
      <c r="M4530" t="s">
        <v>63</v>
      </c>
      <c r="N4530" t="b">
        <v>0</v>
      </c>
      <c r="O4530">
        <v>0</v>
      </c>
      <c r="P4530">
        <v>0</v>
      </c>
      <c r="Q4530">
        <v>1</v>
      </c>
      <c r="R4530">
        <v>0</v>
      </c>
    </row>
    <row r="4531" spans="1:18" x14ac:dyDescent="0.25">
      <c r="A4531" t="s">
        <v>51</v>
      </c>
      <c r="B4531" t="s">
        <v>63</v>
      </c>
      <c r="C4531">
        <v>3</v>
      </c>
      <c r="D4531">
        <v>2</v>
      </c>
      <c r="E4531">
        <v>2</v>
      </c>
      <c r="F4531" s="15">
        <v>46174</v>
      </c>
      <c r="G4531" t="s">
        <v>563</v>
      </c>
      <c r="H4531">
        <v>3</v>
      </c>
      <c r="I4531">
        <v>2026</v>
      </c>
      <c r="J4531">
        <v>6</v>
      </c>
      <c r="K4531" t="s">
        <v>87</v>
      </c>
      <c r="L4531" t="s">
        <v>17</v>
      </c>
      <c r="M4531" t="s">
        <v>63</v>
      </c>
      <c r="N4531" t="b">
        <v>0</v>
      </c>
      <c r="O4531">
        <v>0</v>
      </c>
      <c r="P4531">
        <v>0</v>
      </c>
      <c r="Q4531">
        <v>1</v>
      </c>
      <c r="R4531">
        <v>0</v>
      </c>
    </row>
    <row r="4532" spans="1:18" x14ac:dyDescent="0.25">
      <c r="A4532" t="s">
        <v>7</v>
      </c>
      <c r="B4532" t="s">
        <v>6</v>
      </c>
      <c r="C4532">
        <v>1</v>
      </c>
      <c r="D4532">
        <v>3</v>
      </c>
      <c r="E4532">
        <v>2</v>
      </c>
      <c r="F4532" s="15">
        <v>46174</v>
      </c>
      <c r="G4532" t="s">
        <v>564</v>
      </c>
      <c r="H4532">
        <v>3</v>
      </c>
      <c r="I4532">
        <v>2026</v>
      </c>
      <c r="J4532">
        <v>6</v>
      </c>
      <c r="K4532" t="s">
        <v>87</v>
      </c>
      <c r="L4532" t="s">
        <v>352</v>
      </c>
      <c r="M4532" t="s">
        <v>8</v>
      </c>
      <c r="N4532" t="b">
        <v>0</v>
      </c>
      <c r="O4532">
        <v>0</v>
      </c>
      <c r="P4532">
        <v>1</v>
      </c>
      <c r="Q4532">
        <v>0</v>
      </c>
      <c r="R4532">
        <v>1</v>
      </c>
    </row>
    <row r="4533" spans="1:18" x14ac:dyDescent="0.25">
      <c r="A4533" t="s">
        <v>7</v>
      </c>
      <c r="B4533" t="s">
        <v>6</v>
      </c>
      <c r="C4533">
        <v>1</v>
      </c>
      <c r="D4533">
        <v>3</v>
      </c>
      <c r="E4533">
        <v>2</v>
      </c>
      <c r="F4533" s="15">
        <v>46174</v>
      </c>
      <c r="G4533" t="s">
        <v>564</v>
      </c>
      <c r="H4533">
        <v>3</v>
      </c>
      <c r="I4533">
        <v>2026</v>
      </c>
      <c r="J4533">
        <v>6</v>
      </c>
      <c r="K4533" t="s">
        <v>87</v>
      </c>
      <c r="L4533" t="s">
        <v>351</v>
      </c>
      <c r="M4533" t="s">
        <v>6</v>
      </c>
      <c r="N4533" t="b">
        <v>0</v>
      </c>
      <c r="O4533">
        <v>0</v>
      </c>
      <c r="P4533">
        <v>1</v>
      </c>
      <c r="Q4533">
        <v>0</v>
      </c>
      <c r="R4533">
        <v>0</v>
      </c>
    </row>
    <row r="4534" spans="1:18" x14ac:dyDescent="0.25">
      <c r="A4534" t="s">
        <v>352</v>
      </c>
      <c r="B4534" t="s">
        <v>8</v>
      </c>
      <c r="C4534">
        <v>2</v>
      </c>
      <c r="D4534">
        <v>3</v>
      </c>
      <c r="E4534">
        <v>2</v>
      </c>
      <c r="F4534" s="15">
        <v>46174</v>
      </c>
      <c r="G4534" t="s">
        <v>564</v>
      </c>
      <c r="H4534">
        <v>3</v>
      </c>
      <c r="I4534">
        <v>2026</v>
      </c>
      <c r="J4534">
        <v>6</v>
      </c>
      <c r="K4534" t="s">
        <v>87</v>
      </c>
      <c r="L4534" t="s">
        <v>7</v>
      </c>
      <c r="M4534" t="s">
        <v>6</v>
      </c>
      <c r="N4534" t="b">
        <v>0</v>
      </c>
      <c r="O4534">
        <v>1</v>
      </c>
      <c r="P4534">
        <v>0</v>
      </c>
      <c r="Q4534">
        <v>0</v>
      </c>
      <c r="R4534">
        <v>0</v>
      </c>
    </row>
    <row r="4535" spans="1:18" x14ac:dyDescent="0.25">
      <c r="A4535" t="s">
        <v>352</v>
      </c>
      <c r="B4535" t="s">
        <v>8</v>
      </c>
      <c r="C4535">
        <v>2</v>
      </c>
      <c r="D4535">
        <v>3</v>
      </c>
      <c r="E4535">
        <v>2</v>
      </c>
      <c r="F4535" s="15">
        <v>46174</v>
      </c>
      <c r="G4535" t="s">
        <v>564</v>
      </c>
      <c r="H4535">
        <v>3</v>
      </c>
      <c r="I4535">
        <v>2026</v>
      </c>
      <c r="J4535">
        <v>6</v>
      </c>
      <c r="K4535" t="s">
        <v>87</v>
      </c>
      <c r="L4535" t="s">
        <v>351</v>
      </c>
      <c r="M4535" t="s">
        <v>6</v>
      </c>
      <c r="N4535" t="b">
        <v>0</v>
      </c>
      <c r="O4535">
        <v>1</v>
      </c>
      <c r="P4535">
        <v>0</v>
      </c>
      <c r="Q4535">
        <v>0</v>
      </c>
      <c r="R4535">
        <v>0</v>
      </c>
    </row>
    <row r="4536" spans="1:18" x14ac:dyDescent="0.25">
      <c r="A4536" t="s">
        <v>351</v>
      </c>
      <c r="B4536" t="s">
        <v>6</v>
      </c>
      <c r="C4536">
        <v>3</v>
      </c>
      <c r="D4536">
        <v>3</v>
      </c>
      <c r="E4536">
        <v>2</v>
      </c>
      <c r="F4536" s="15">
        <v>46174</v>
      </c>
      <c r="G4536" t="s">
        <v>564</v>
      </c>
      <c r="H4536">
        <v>3</v>
      </c>
      <c r="I4536">
        <v>2026</v>
      </c>
      <c r="J4536">
        <v>6</v>
      </c>
      <c r="K4536" t="s">
        <v>87</v>
      </c>
      <c r="L4536" t="s">
        <v>7</v>
      </c>
      <c r="M4536" t="s">
        <v>6</v>
      </c>
      <c r="N4536" t="b">
        <v>0</v>
      </c>
      <c r="O4536">
        <v>0</v>
      </c>
      <c r="P4536">
        <v>1</v>
      </c>
      <c r="Q4536">
        <v>0</v>
      </c>
      <c r="R4536">
        <v>0</v>
      </c>
    </row>
    <row r="4537" spans="1:18" x14ac:dyDescent="0.25">
      <c r="A4537" t="s">
        <v>351</v>
      </c>
      <c r="B4537" t="s">
        <v>6</v>
      </c>
      <c r="C4537">
        <v>3</v>
      </c>
      <c r="D4537">
        <v>3</v>
      </c>
      <c r="E4537">
        <v>2</v>
      </c>
      <c r="F4537" s="15">
        <v>46174</v>
      </c>
      <c r="G4537" t="s">
        <v>564</v>
      </c>
      <c r="H4537">
        <v>3</v>
      </c>
      <c r="I4537">
        <v>2026</v>
      </c>
      <c r="J4537">
        <v>6</v>
      </c>
      <c r="K4537" t="s">
        <v>87</v>
      </c>
      <c r="L4537" t="s">
        <v>352</v>
      </c>
      <c r="M4537" t="s">
        <v>8</v>
      </c>
      <c r="N4537" t="b">
        <v>0</v>
      </c>
      <c r="O4537">
        <v>0</v>
      </c>
      <c r="P4537">
        <v>1</v>
      </c>
      <c r="Q4537">
        <v>0</v>
      </c>
      <c r="R4537">
        <v>1</v>
      </c>
    </row>
    <row r="4538" spans="1:18" x14ac:dyDescent="0.25">
      <c r="A4538" t="s">
        <v>405</v>
      </c>
      <c r="B4538" t="s">
        <v>8</v>
      </c>
      <c r="C4538">
        <v>1</v>
      </c>
      <c r="D4538">
        <v>4</v>
      </c>
      <c r="E4538">
        <v>2</v>
      </c>
      <c r="F4538" s="15">
        <v>46174</v>
      </c>
      <c r="G4538" t="s">
        <v>565</v>
      </c>
      <c r="H4538">
        <v>4</v>
      </c>
      <c r="I4538">
        <v>2026</v>
      </c>
      <c r="J4538">
        <v>6</v>
      </c>
      <c r="K4538" t="s">
        <v>87</v>
      </c>
      <c r="L4538" t="s">
        <v>52</v>
      </c>
      <c r="M4538" t="s">
        <v>6</v>
      </c>
      <c r="N4538" t="b">
        <v>0</v>
      </c>
      <c r="O4538">
        <v>1</v>
      </c>
      <c r="P4538">
        <v>0</v>
      </c>
      <c r="Q4538">
        <v>0</v>
      </c>
      <c r="R4538">
        <v>0</v>
      </c>
    </row>
    <row r="4539" spans="1:18" x14ac:dyDescent="0.25">
      <c r="A4539" t="s">
        <v>405</v>
      </c>
      <c r="B4539" t="s">
        <v>8</v>
      </c>
      <c r="C4539">
        <v>1</v>
      </c>
      <c r="D4539">
        <v>4</v>
      </c>
      <c r="E4539">
        <v>2</v>
      </c>
      <c r="F4539" s="15">
        <v>46174</v>
      </c>
      <c r="G4539" t="s">
        <v>565</v>
      </c>
      <c r="H4539">
        <v>4</v>
      </c>
      <c r="I4539">
        <v>2026</v>
      </c>
      <c r="J4539">
        <v>6</v>
      </c>
      <c r="K4539" t="s">
        <v>87</v>
      </c>
      <c r="L4539" t="s">
        <v>325</v>
      </c>
      <c r="M4539" t="s">
        <v>6</v>
      </c>
      <c r="N4539" t="b">
        <v>0</v>
      </c>
      <c r="O4539">
        <v>1</v>
      </c>
      <c r="P4539">
        <v>0</v>
      </c>
      <c r="Q4539">
        <v>0</v>
      </c>
      <c r="R4539">
        <v>0</v>
      </c>
    </row>
    <row r="4540" spans="1:18" x14ac:dyDescent="0.25">
      <c r="A4540" t="s">
        <v>405</v>
      </c>
      <c r="B4540" t="s">
        <v>8</v>
      </c>
      <c r="C4540">
        <v>1</v>
      </c>
      <c r="D4540">
        <v>4</v>
      </c>
      <c r="E4540">
        <v>2</v>
      </c>
      <c r="F4540" s="15">
        <v>46174</v>
      </c>
      <c r="G4540" t="s">
        <v>565</v>
      </c>
      <c r="H4540">
        <v>4</v>
      </c>
      <c r="I4540">
        <v>2026</v>
      </c>
      <c r="J4540">
        <v>6</v>
      </c>
      <c r="K4540" t="s">
        <v>87</v>
      </c>
      <c r="L4540" t="s">
        <v>553</v>
      </c>
      <c r="M4540" t="s">
        <v>6</v>
      </c>
      <c r="N4540" t="b">
        <v>0</v>
      </c>
      <c r="O4540">
        <v>1</v>
      </c>
      <c r="P4540">
        <v>0</v>
      </c>
      <c r="Q4540">
        <v>0</v>
      </c>
      <c r="R4540">
        <v>0</v>
      </c>
    </row>
    <row r="4541" spans="1:18" x14ac:dyDescent="0.25">
      <c r="A4541" t="s">
        <v>52</v>
      </c>
      <c r="B4541" t="s">
        <v>6</v>
      </c>
      <c r="C4541">
        <v>2</v>
      </c>
      <c r="D4541">
        <v>4</v>
      </c>
      <c r="E4541">
        <v>2</v>
      </c>
      <c r="F4541" s="15">
        <v>46174</v>
      </c>
      <c r="G4541" t="s">
        <v>565</v>
      </c>
      <c r="H4541">
        <v>4</v>
      </c>
      <c r="I4541">
        <v>2026</v>
      </c>
      <c r="J4541">
        <v>6</v>
      </c>
      <c r="K4541" t="s">
        <v>87</v>
      </c>
      <c r="L4541" t="s">
        <v>405</v>
      </c>
      <c r="M4541" t="s">
        <v>8</v>
      </c>
      <c r="N4541" t="b">
        <v>0</v>
      </c>
      <c r="O4541">
        <v>0</v>
      </c>
      <c r="P4541">
        <v>1</v>
      </c>
      <c r="Q4541">
        <v>0</v>
      </c>
      <c r="R4541">
        <v>1</v>
      </c>
    </row>
    <row r="4542" spans="1:18" x14ac:dyDescent="0.25">
      <c r="A4542" t="s">
        <v>52</v>
      </c>
      <c r="B4542" t="s">
        <v>6</v>
      </c>
      <c r="C4542">
        <v>2</v>
      </c>
      <c r="D4542">
        <v>4</v>
      </c>
      <c r="E4542">
        <v>2</v>
      </c>
      <c r="F4542" s="15">
        <v>46174</v>
      </c>
      <c r="G4542" t="s">
        <v>565</v>
      </c>
      <c r="H4542">
        <v>4</v>
      </c>
      <c r="I4542">
        <v>2026</v>
      </c>
      <c r="J4542">
        <v>6</v>
      </c>
      <c r="K4542" t="s">
        <v>87</v>
      </c>
      <c r="L4542" t="s">
        <v>325</v>
      </c>
      <c r="M4542" t="s">
        <v>6</v>
      </c>
      <c r="N4542" t="b">
        <v>0</v>
      </c>
      <c r="O4542">
        <v>0</v>
      </c>
      <c r="P4542">
        <v>1</v>
      </c>
      <c r="Q4542">
        <v>0</v>
      </c>
      <c r="R4542">
        <v>0</v>
      </c>
    </row>
    <row r="4543" spans="1:18" x14ac:dyDescent="0.25">
      <c r="A4543" t="s">
        <v>52</v>
      </c>
      <c r="B4543" t="s">
        <v>6</v>
      </c>
      <c r="C4543">
        <v>2</v>
      </c>
      <c r="D4543">
        <v>4</v>
      </c>
      <c r="E4543">
        <v>2</v>
      </c>
      <c r="F4543" s="15">
        <v>46174</v>
      </c>
      <c r="G4543" t="s">
        <v>565</v>
      </c>
      <c r="H4543">
        <v>4</v>
      </c>
      <c r="I4543">
        <v>2026</v>
      </c>
      <c r="J4543">
        <v>6</v>
      </c>
      <c r="K4543" t="s">
        <v>87</v>
      </c>
      <c r="L4543" t="s">
        <v>553</v>
      </c>
      <c r="M4543" t="s">
        <v>6</v>
      </c>
      <c r="N4543" t="b">
        <v>0</v>
      </c>
      <c r="O4543">
        <v>0</v>
      </c>
      <c r="P4543">
        <v>1</v>
      </c>
      <c r="Q4543">
        <v>0</v>
      </c>
      <c r="R4543">
        <v>0</v>
      </c>
    </row>
    <row r="4544" spans="1:18" x14ac:dyDescent="0.25">
      <c r="A4544" t="s">
        <v>325</v>
      </c>
      <c r="B4544" t="s">
        <v>6</v>
      </c>
      <c r="C4544">
        <v>3</v>
      </c>
      <c r="D4544">
        <v>4</v>
      </c>
      <c r="E4544">
        <v>2</v>
      </c>
      <c r="F4544" s="15">
        <v>46174</v>
      </c>
      <c r="G4544" t="s">
        <v>565</v>
      </c>
      <c r="H4544">
        <v>4</v>
      </c>
      <c r="I4544">
        <v>2026</v>
      </c>
      <c r="J4544">
        <v>6</v>
      </c>
      <c r="K4544" t="s">
        <v>87</v>
      </c>
      <c r="L4544" t="s">
        <v>405</v>
      </c>
      <c r="M4544" t="s">
        <v>8</v>
      </c>
      <c r="N4544" t="b">
        <v>0</v>
      </c>
      <c r="O4544">
        <v>0</v>
      </c>
      <c r="P4544">
        <v>1</v>
      </c>
      <c r="Q4544">
        <v>0</v>
      </c>
      <c r="R4544">
        <v>1</v>
      </c>
    </row>
    <row r="4545" spans="1:18" x14ac:dyDescent="0.25">
      <c r="A4545" t="s">
        <v>325</v>
      </c>
      <c r="B4545" t="s">
        <v>6</v>
      </c>
      <c r="C4545">
        <v>3</v>
      </c>
      <c r="D4545">
        <v>4</v>
      </c>
      <c r="E4545">
        <v>2</v>
      </c>
      <c r="F4545" s="15">
        <v>46174</v>
      </c>
      <c r="G4545" t="s">
        <v>565</v>
      </c>
      <c r="H4545">
        <v>4</v>
      </c>
      <c r="I4545">
        <v>2026</v>
      </c>
      <c r="J4545">
        <v>6</v>
      </c>
      <c r="K4545" t="s">
        <v>87</v>
      </c>
      <c r="L4545" t="s">
        <v>52</v>
      </c>
      <c r="M4545" t="s">
        <v>6</v>
      </c>
      <c r="N4545" t="b">
        <v>0</v>
      </c>
      <c r="O4545">
        <v>0</v>
      </c>
      <c r="P4545">
        <v>1</v>
      </c>
      <c r="Q4545">
        <v>0</v>
      </c>
      <c r="R4545">
        <v>0</v>
      </c>
    </row>
    <row r="4546" spans="1:18" x14ac:dyDescent="0.25">
      <c r="A4546" t="s">
        <v>325</v>
      </c>
      <c r="B4546" t="s">
        <v>6</v>
      </c>
      <c r="C4546">
        <v>3</v>
      </c>
      <c r="D4546">
        <v>4</v>
      </c>
      <c r="E4546">
        <v>2</v>
      </c>
      <c r="F4546" s="15">
        <v>46174</v>
      </c>
      <c r="G4546" t="s">
        <v>565</v>
      </c>
      <c r="H4546">
        <v>4</v>
      </c>
      <c r="I4546">
        <v>2026</v>
      </c>
      <c r="J4546">
        <v>6</v>
      </c>
      <c r="K4546" t="s">
        <v>87</v>
      </c>
      <c r="L4546" t="s">
        <v>553</v>
      </c>
      <c r="M4546" t="s">
        <v>6</v>
      </c>
      <c r="N4546" t="b">
        <v>0</v>
      </c>
      <c r="O4546">
        <v>0</v>
      </c>
      <c r="P4546">
        <v>1</v>
      </c>
      <c r="Q4546">
        <v>0</v>
      </c>
      <c r="R4546">
        <v>0</v>
      </c>
    </row>
    <row r="4547" spans="1:18" x14ac:dyDescent="0.25">
      <c r="A4547" t="s">
        <v>553</v>
      </c>
      <c r="B4547" t="s">
        <v>6</v>
      </c>
      <c r="C4547">
        <v>4</v>
      </c>
      <c r="D4547">
        <v>4</v>
      </c>
      <c r="E4547">
        <v>2</v>
      </c>
      <c r="F4547" s="15">
        <v>46174</v>
      </c>
      <c r="G4547" t="s">
        <v>565</v>
      </c>
      <c r="H4547">
        <v>4</v>
      </c>
      <c r="I4547">
        <v>2026</v>
      </c>
      <c r="J4547">
        <v>6</v>
      </c>
      <c r="K4547" t="s">
        <v>87</v>
      </c>
      <c r="L4547" t="s">
        <v>405</v>
      </c>
      <c r="M4547" t="s">
        <v>8</v>
      </c>
      <c r="N4547" t="b">
        <v>0</v>
      </c>
      <c r="O4547">
        <v>0</v>
      </c>
      <c r="P4547">
        <v>1</v>
      </c>
      <c r="Q4547">
        <v>0</v>
      </c>
      <c r="R4547">
        <v>1</v>
      </c>
    </row>
    <row r="4548" spans="1:18" x14ac:dyDescent="0.25">
      <c r="A4548" t="s">
        <v>553</v>
      </c>
      <c r="B4548" t="s">
        <v>6</v>
      </c>
      <c r="C4548">
        <v>4</v>
      </c>
      <c r="D4548">
        <v>4</v>
      </c>
      <c r="E4548">
        <v>2</v>
      </c>
      <c r="F4548" s="15">
        <v>46174</v>
      </c>
      <c r="G4548" t="s">
        <v>565</v>
      </c>
      <c r="H4548">
        <v>4</v>
      </c>
      <c r="I4548">
        <v>2026</v>
      </c>
      <c r="J4548">
        <v>6</v>
      </c>
      <c r="K4548" t="s">
        <v>87</v>
      </c>
      <c r="L4548" t="s">
        <v>52</v>
      </c>
      <c r="M4548" t="s">
        <v>6</v>
      </c>
      <c r="N4548" t="b">
        <v>0</v>
      </c>
      <c r="O4548">
        <v>0</v>
      </c>
      <c r="P4548">
        <v>1</v>
      </c>
      <c r="Q4548">
        <v>0</v>
      </c>
      <c r="R4548">
        <v>0</v>
      </c>
    </row>
    <row r="4549" spans="1:18" x14ac:dyDescent="0.25">
      <c r="A4549" t="s">
        <v>553</v>
      </c>
      <c r="B4549" t="s">
        <v>6</v>
      </c>
      <c r="C4549">
        <v>4</v>
      </c>
      <c r="D4549">
        <v>4</v>
      </c>
      <c r="E4549">
        <v>2</v>
      </c>
      <c r="F4549" s="15">
        <v>46174</v>
      </c>
      <c r="G4549" t="s">
        <v>565</v>
      </c>
      <c r="H4549">
        <v>4</v>
      </c>
      <c r="I4549">
        <v>2026</v>
      </c>
      <c r="J4549">
        <v>6</v>
      </c>
      <c r="K4549" t="s">
        <v>87</v>
      </c>
      <c r="L4549" t="s">
        <v>325</v>
      </c>
      <c r="M4549" t="s">
        <v>6</v>
      </c>
      <c r="N4549" t="b">
        <v>0</v>
      </c>
      <c r="O4549">
        <v>0</v>
      </c>
      <c r="P4549">
        <v>1</v>
      </c>
      <c r="Q4549">
        <v>0</v>
      </c>
      <c r="R4549">
        <v>0</v>
      </c>
    </row>
    <row r="4550" spans="1:18" x14ac:dyDescent="0.25">
      <c r="A4550" t="s">
        <v>28</v>
      </c>
      <c r="B4550" t="s">
        <v>6</v>
      </c>
      <c r="C4550">
        <v>1</v>
      </c>
      <c r="D4550">
        <v>5</v>
      </c>
      <c r="E4550">
        <v>2</v>
      </c>
      <c r="F4550" s="15">
        <v>46174</v>
      </c>
      <c r="G4550" t="s">
        <v>566</v>
      </c>
      <c r="H4550">
        <v>4</v>
      </c>
      <c r="I4550">
        <v>2026</v>
      </c>
      <c r="J4550">
        <v>6</v>
      </c>
      <c r="K4550" t="s">
        <v>87</v>
      </c>
      <c r="L4550" t="s">
        <v>554</v>
      </c>
      <c r="M4550" t="s">
        <v>6</v>
      </c>
      <c r="N4550" t="b">
        <v>0</v>
      </c>
      <c r="O4550">
        <v>0</v>
      </c>
      <c r="P4550">
        <v>1</v>
      </c>
      <c r="Q4550">
        <v>0</v>
      </c>
      <c r="R4550">
        <v>0</v>
      </c>
    </row>
    <row r="4551" spans="1:18" x14ac:dyDescent="0.25">
      <c r="A4551" t="s">
        <v>28</v>
      </c>
      <c r="B4551" t="s">
        <v>6</v>
      </c>
      <c r="C4551">
        <v>1</v>
      </c>
      <c r="D4551">
        <v>5</v>
      </c>
      <c r="E4551">
        <v>2</v>
      </c>
      <c r="F4551" s="15">
        <v>46174</v>
      </c>
      <c r="G4551" t="s">
        <v>566</v>
      </c>
      <c r="H4551">
        <v>4</v>
      </c>
      <c r="I4551">
        <v>2026</v>
      </c>
      <c r="J4551">
        <v>6</v>
      </c>
      <c r="K4551" t="s">
        <v>87</v>
      </c>
      <c r="L4551" t="s">
        <v>555</v>
      </c>
      <c r="M4551" t="s">
        <v>6</v>
      </c>
      <c r="N4551" t="b">
        <v>0</v>
      </c>
      <c r="O4551">
        <v>0</v>
      </c>
      <c r="P4551">
        <v>1</v>
      </c>
      <c r="Q4551">
        <v>0</v>
      </c>
      <c r="R4551">
        <v>0</v>
      </c>
    </row>
    <row r="4552" spans="1:18" x14ac:dyDescent="0.25">
      <c r="A4552" t="s">
        <v>28</v>
      </c>
      <c r="B4552" t="s">
        <v>6</v>
      </c>
      <c r="C4552">
        <v>1</v>
      </c>
      <c r="D4552">
        <v>5</v>
      </c>
      <c r="E4552">
        <v>2</v>
      </c>
      <c r="F4552" s="15">
        <v>46174</v>
      </c>
      <c r="G4552" t="s">
        <v>566</v>
      </c>
      <c r="H4552">
        <v>4</v>
      </c>
      <c r="I4552">
        <v>2026</v>
      </c>
      <c r="J4552">
        <v>6</v>
      </c>
      <c r="K4552" t="s">
        <v>87</v>
      </c>
      <c r="L4552" t="s">
        <v>19</v>
      </c>
      <c r="M4552" t="s">
        <v>8</v>
      </c>
      <c r="N4552" t="b">
        <v>0</v>
      </c>
      <c r="O4552">
        <v>0</v>
      </c>
      <c r="P4552">
        <v>1</v>
      </c>
      <c r="Q4552">
        <v>0</v>
      </c>
      <c r="R4552">
        <v>1</v>
      </c>
    </row>
    <row r="4553" spans="1:18" x14ac:dyDescent="0.25">
      <c r="A4553" t="s">
        <v>554</v>
      </c>
      <c r="B4553" t="s">
        <v>6</v>
      </c>
      <c r="C4553">
        <v>2</v>
      </c>
      <c r="D4553">
        <v>5</v>
      </c>
      <c r="E4553">
        <v>2</v>
      </c>
      <c r="F4553" s="15">
        <v>46174</v>
      </c>
      <c r="G4553" t="s">
        <v>566</v>
      </c>
      <c r="H4553">
        <v>4</v>
      </c>
      <c r="I4553">
        <v>2026</v>
      </c>
      <c r="J4553">
        <v>6</v>
      </c>
      <c r="K4553" t="s">
        <v>87</v>
      </c>
      <c r="L4553" t="s">
        <v>28</v>
      </c>
      <c r="M4553" t="s">
        <v>6</v>
      </c>
      <c r="N4553" t="b">
        <v>0</v>
      </c>
      <c r="O4553">
        <v>0</v>
      </c>
      <c r="P4553">
        <v>1</v>
      </c>
      <c r="Q4553">
        <v>0</v>
      </c>
      <c r="R4553">
        <v>0</v>
      </c>
    </row>
    <row r="4554" spans="1:18" x14ac:dyDescent="0.25">
      <c r="A4554" t="s">
        <v>554</v>
      </c>
      <c r="B4554" t="s">
        <v>6</v>
      </c>
      <c r="C4554">
        <v>2</v>
      </c>
      <c r="D4554">
        <v>5</v>
      </c>
      <c r="E4554">
        <v>2</v>
      </c>
      <c r="F4554" s="15">
        <v>46174</v>
      </c>
      <c r="G4554" t="s">
        <v>566</v>
      </c>
      <c r="H4554">
        <v>4</v>
      </c>
      <c r="I4554">
        <v>2026</v>
      </c>
      <c r="J4554">
        <v>6</v>
      </c>
      <c r="K4554" t="s">
        <v>87</v>
      </c>
      <c r="L4554" t="s">
        <v>555</v>
      </c>
      <c r="M4554" t="s">
        <v>6</v>
      </c>
      <c r="N4554" t="b">
        <v>0</v>
      </c>
      <c r="O4554">
        <v>0</v>
      </c>
      <c r="P4554">
        <v>1</v>
      </c>
      <c r="Q4554">
        <v>0</v>
      </c>
      <c r="R4554">
        <v>0</v>
      </c>
    </row>
    <row r="4555" spans="1:18" x14ac:dyDescent="0.25">
      <c r="A4555" t="s">
        <v>554</v>
      </c>
      <c r="B4555" t="s">
        <v>6</v>
      </c>
      <c r="C4555">
        <v>2</v>
      </c>
      <c r="D4555">
        <v>5</v>
      </c>
      <c r="E4555">
        <v>2</v>
      </c>
      <c r="F4555" s="15">
        <v>46174</v>
      </c>
      <c r="G4555" t="s">
        <v>566</v>
      </c>
      <c r="H4555">
        <v>4</v>
      </c>
      <c r="I4555">
        <v>2026</v>
      </c>
      <c r="J4555">
        <v>6</v>
      </c>
      <c r="K4555" t="s">
        <v>87</v>
      </c>
      <c r="L4555" t="s">
        <v>19</v>
      </c>
      <c r="M4555" t="s">
        <v>8</v>
      </c>
      <c r="N4555" t="b">
        <v>0</v>
      </c>
      <c r="O4555">
        <v>0</v>
      </c>
      <c r="P4555">
        <v>1</v>
      </c>
      <c r="Q4555">
        <v>0</v>
      </c>
      <c r="R4555">
        <v>1</v>
      </c>
    </row>
    <row r="4556" spans="1:18" x14ac:dyDescent="0.25">
      <c r="A4556" t="s">
        <v>555</v>
      </c>
      <c r="B4556" t="s">
        <v>6</v>
      </c>
      <c r="C4556">
        <v>3</v>
      </c>
      <c r="D4556">
        <v>5</v>
      </c>
      <c r="E4556">
        <v>2</v>
      </c>
      <c r="F4556" s="15">
        <v>46174</v>
      </c>
      <c r="G4556" t="s">
        <v>566</v>
      </c>
      <c r="H4556">
        <v>4</v>
      </c>
      <c r="I4556">
        <v>2026</v>
      </c>
      <c r="J4556">
        <v>6</v>
      </c>
      <c r="K4556" t="s">
        <v>87</v>
      </c>
      <c r="L4556" t="s">
        <v>28</v>
      </c>
      <c r="M4556" t="s">
        <v>6</v>
      </c>
      <c r="N4556" t="b">
        <v>0</v>
      </c>
      <c r="O4556">
        <v>0</v>
      </c>
      <c r="P4556">
        <v>1</v>
      </c>
      <c r="Q4556">
        <v>0</v>
      </c>
      <c r="R4556">
        <v>0</v>
      </c>
    </row>
    <row r="4557" spans="1:18" x14ac:dyDescent="0.25">
      <c r="A4557" t="s">
        <v>555</v>
      </c>
      <c r="B4557" t="s">
        <v>6</v>
      </c>
      <c r="C4557">
        <v>3</v>
      </c>
      <c r="D4557">
        <v>5</v>
      </c>
      <c r="E4557">
        <v>2</v>
      </c>
      <c r="F4557" s="15">
        <v>46174</v>
      </c>
      <c r="G4557" t="s">
        <v>566</v>
      </c>
      <c r="H4557">
        <v>4</v>
      </c>
      <c r="I4557">
        <v>2026</v>
      </c>
      <c r="J4557">
        <v>6</v>
      </c>
      <c r="K4557" t="s">
        <v>87</v>
      </c>
      <c r="L4557" t="s">
        <v>554</v>
      </c>
      <c r="M4557" t="s">
        <v>6</v>
      </c>
      <c r="N4557" t="b">
        <v>0</v>
      </c>
      <c r="O4557">
        <v>0</v>
      </c>
      <c r="P4557">
        <v>1</v>
      </c>
      <c r="Q4557">
        <v>0</v>
      </c>
      <c r="R4557">
        <v>0</v>
      </c>
    </row>
    <row r="4558" spans="1:18" x14ac:dyDescent="0.25">
      <c r="A4558" t="s">
        <v>555</v>
      </c>
      <c r="B4558" t="s">
        <v>6</v>
      </c>
      <c r="C4558">
        <v>3</v>
      </c>
      <c r="D4558">
        <v>5</v>
      </c>
      <c r="E4558">
        <v>2</v>
      </c>
      <c r="F4558" s="15">
        <v>46174</v>
      </c>
      <c r="G4558" t="s">
        <v>566</v>
      </c>
      <c r="H4558">
        <v>4</v>
      </c>
      <c r="I4558">
        <v>2026</v>
      </c>
      <c r="J4558">
        <v>6</v>
      </c>
      <c r="K4558" t="s">
        <v>87</v>
      </c>
      <c r="L4558" t="s">
        <v>19</v>
      </c>
      <c r="M4558" t="s">
        <v>8</v>
      </c>
      <c r="N4558" t="b">
        <v>0</v>
      </c>
      <c r="O4558">
        <v>0</v>
      </c>
      <c r="P4558">
        <v>1</v>
      </c>
      <c r="Q4558">
        <v>0</v>
      </c>
      <c r="R4558">
        <v>1</v>
      </c>
    </row>
    <row r="4559" spans="1:18" x14ac:dyDescent="0.25">
      <c r="A4559" t="s">
        <v>19</v>
      </c>
      <c r="B4559" t="s">
        <v>8</v>
      </c>
      <c r="C4559">
        <v>4</v>
      </c>
      <c r="D4559">
        <v>5</v>
      </c>
      <c r="E4559">
        <v>2</v>
      </c>
      <c r="F4559" s="15">
        <v>46174</v>
      </c>
      <c r="G4559" t="s">
        <v>566</v>
      </c>
      <c r="H4559">
        <v>4</v>
      </c>
      <c r="I4559">
        <v>2026</v>
      </c>
      <c r="J4559">
        <v>6</v>
      </c>
      <c r="K4559" t="s">
        <v>87</v>
      </c>
      <c r="L4559" t="s">
        <v>28</v>
      </c>
      <c r="M4559" t="s">
        <v>6</v>
      </c>
      <c r="N4559" t="b">
        <v>0</v>
      </c>
      <c r="O4559">
        <v>1</v>
      </c>
      <c r="P4559">
        <v>0</v>
      </c>
      <c r="Q4559">
        <v>0</v>
      </c>
      <c r="R4559">
        <v>0</v>
      </c>
    </row>
    <row r="4560" spans="1:18" x14ac:dyDescent="0.25">
      <c r="A4560" t="s">
        <v>19</v>
      </c>
      <c r="B4560" t="s">
        <v>8</v>
      </c>
      <c r="C4560">
        <v>4</v>
      </c>
      <c r="D4560">
        <v>5</v>
      </c>
      <c r="E4560">
        <v>2</v>
      </c>
      <c r="F4560" s="15">
        <v>46174</v>
      </c>
      <c r="G4560" t="s">
        <v>566</v>
      </c>
      <c r="H4560">
        <v>4</v>
      </c>
      <c r="I4560">
        <v>2026</v>
      </c>
      <c r="J4560">
        <v>6</v>
      </c>
      <c r="K4560" t="s">
        <v>87</v>
      </c>
      <c r="L4560" t="s">
        <v>554</v>
      </c>
      <c r="M4560" t="s">
        <v>6</v>
      </c>
      <c r="N4560" t="b">
        <v>0</v>
      </c>
      <c r="O4560">
        <v>1</v>
      </c>
      <c r="P4560">
        <v>0</v>
      </c>
      <c r="Q4560">
        <v>0</v>
      </c>
      <c r="R4560">
        <v>0</v>
      </c>
    </row>
    <row r="4561" spans="1:18" x14ac:dyDescent="0.25">
      <c r="A4561" t="s">
        <v>19</v>
      </c>
      <c r="B4561" t="s">
        <v>8</v>
      </c>
      <c r="C4561">
        <v>4</v>
      </c>
      <c r="D4561">
        <v>5</v>
      </c>
      <c r="E4561">
        <v>2</v>
      </c>
      <c r="F4561" s="15">
        <v>46174</v>
      </c>
      <c r="G4561" t="s">
        <v>566</v>
      </c>
      <c r="H4561">
        <v>4</v>
      </c>
      <c r="I4561">
        <v>2026</v>
      </c>
      <c r="J4561">
        <v>6</v>
      </c>
      <c r="K4561" t="s">
        <v>87</v>
      </c>
      <c r="L4561" t="s">
        <v>555</v>
      </c>
      <c r="M4561" t="s">
        <v>6</v>
      </c>
      <c r="N4561" t="b">
        <v>0</v>
      </c>
      <c r="O4561">
        <v>1</v>
      </c>
      <c r="P4561">
        <v>0</v>
      </c>
      <c r="Q4561">
        <v>0</v>
      </c>
      <c r="R4561">
        <v>0</v>
      </c>
    </row>
    <row r="4562" spans="1:18" x14ac:dyDescent="0.25">
      <c r="A4562" t="s">
        <v>13</v>
      </c>
      <c r="B4562" t="s">
        <v>63</v>
      </c>
      <c r="C4562">
        <v>1</v>
      </c>
      <c r="D4562">
        <v>6</v>
      </c>
      <c r="E4562">
        <v>2</v>
      </c>
      <c r="F4562" s="15">
        <v>46174</v>
      </c>
      <c r="G4562" t="s">
        <v>567</v>
      </c>
      <c r="H4562">
        <v>4</v>
      </c>
      <c r="I4562">
        <v>2026</v>
      </c>
      <c r="J4562">
        <v>6</v>
      </c>
      <c r="K4562" t="s">
        <v>87</v>
      </c>
      <c r="L4562" t="s">
        <v>326</v>
      </c>
      <c r="M4562" t="s">
        <v>63</v>
      </c>
      <c r="N4562" t="b">
        <v>0</v>
      </c>
      <c r="O4562">
        <v>0</v>
      </c>
      <c r="P4562">
        <v>0</v>
      </c>
      <c r="Q4562">
        <v>1</v>
      </c>
      <c r="R4562">
        <v>0</v>
      </c>
    </row>
    <row r="4563" spans="1:18" x14ac:dyDescent="0.25">
      <c r="A4563" t="s">
        <v>13</v>
      </c>
      <c r="B4563" t="s">
        <v>63</v>
      </c>
      <c r="C4563">
        <v>1</v>
      </c>
      <c r="D4563">
        <v>6</v>
      </c>
      <c r="E4563">
        <v>2</v>
      </c>
      <c r="F4563" s="15">
        <v>46174</v>
      </c>
      <c r="G4563" t="s">
        <v>567</v>
      </c>
      <c r="H4563">
        <v>4</v>
      </c>
      <c r="I4563">
        <v>2026</v>
      </c>
      <c r="J4563">
        <v>6</v>
      </c>
      <c r="K4563" t="s">
        <v>87</v>
      </c>
      <c r="L4563" t="s">
        <v>363</v>
      </c>
      <c r="M4563" t="s">
        <v>63</v>
      </c>
      <c r="N4563" t="b">
        <v>0</v>
      </c>
      <c r="O4563">
        <v>0</v>
      </c>
      <c r="P4563">
        <v>0</v>
      </c>
      <c r="Q4563">
        <v>1</v>
      </c>
      <c r="R4563">
        <v>0</v>
      </c>
    </row>
    <row r="4564" spans="1:18" x14ac:dyDescent="0.25">
      <c r="A4564" t="s">
        <v>13</v>
      </c>
      <c r="B4564" t="s">
        <v>63</v>
      </c>
      <c r="C4564">
        <v>1</v>
      </c>
      <c r="D4564">
        <v>6</v>
      </c>
      <c r="E4564">
        <v>2</v>
      </c>
      <c r="F4564" s="15">
        <v>46174</v>
      </c>
      <c r="G4564" t="s">
        <v>567</v>
      </c>
      <c r="H4564">
        <v>4</v>
      </c>
      <c r="I4564">
        <v>2026</v>
      </c>
      <c r="J4564">
        <v>6</v>
      </c>
      <c r="K4564" t="s">
        <v>87</v>
      </c>
      <c r="L4564" t="s">
        <v>14</v>
      </c>
      <c r="M4564" t="s">
        <v>63</v>
      </c>
      <c r="N4564" t="b">
        <v>0</v>
      </c>
      <c r="O4564">
        <v>0</v>
      </c>
      <c r="P4564">
        <v>0</v>
      </c>
      <c r="Q4564">
        <v>1</v>
      </c>
      <c r="R4564">
        <v>0</v>
      </c>
    </row>
    <row r="4565" spans="1:18" x14ac:dyDescent="0.25">
      <c r="A4565" t="s">
        <v>326</v>
      </c>
      <c r="B4565" t="s">
        <v>63</v>
      </c>
      <c r="C4565">
        <v>2</v>
      </c>
      <c r="D4565">
        <v>6</v>
      </c>
      <c r="E4565">
        <v>2</v>
      </c>
      <c r="F4565" s="15">
        <v>46174</v>
      </c>
      <c r="G4565" t="s">
        <v>567</v>
      </c>
      <c r="H4565">
        <v>4</v>
      </c>
      <c r="I4565">
        <v>2026</v>
      </c>
      <c r="J4565">
        <v>6</v>
      </c>
      <c r="K4565" t="s">
        <v>87</v>
      </c>
      <c r="L4565" t="s">
        <v>13</v>
      </c>
      <c r="M4565" t="s">
        <v>63</v>
      </c>
      <c r="N4565" t="b">
        <v>0</v>
      </c>
      <c r="O4565">
        <v>0</v>
      </c>
      <c r="P4565">
        <v>0</v>
      </c>
      <c r="Q4565">
        <v>1</v>
      </c>
      <c r="R4565">
        <v>0</v>
      </c>
    </row>
    <row r="4566" spans="1:18" x14ac:dyDescent="0.25">
      <c r="A4566" t="s">
        <v>326</v>
      </c>
      <c r="B4566" t="s">
        <v>63</v>
      </c>
      <c r="C4566">
        <v>2</v>
      </c>
      <c r="D4566">
        <v>6</v>
      </c>
      <c r="E4566">
        <v>2</v>
      </c>
      <c r="F4566" s="15">
        <v>46174</v>
      </c>
      <c r="G4566" t="s">
        <v>567</v>
      </c>
      <c r="H4566">
        <v>4</v>
      </c>
      <c r="I4566">
        <v>2026</v>
      </c>
      <c r="J4566">
        <v>6</v>
      </c>
      <c r="K4566" t="s">
        <v>87</v>
      </c>
      <c r="L4566" t="s">
        <v>363</v>
      </c>
      <c r="M4566" t="s">
        <v>63</v>
      </c>
      <c r="N4566" t="b">
        <v>0</v>
      </c>
      <c r="O4566">
        <v>0</v>
      </c>
      <c r="P4566">
        <v>0</v>
      </c>
      <c r="Q4566">
        <v>1</v>
      </c>
      <c r="R4566">
        <v>0</v>
      </c>
    </row>
    <row r="4567" spans="1:18" x14ac:dyDescent="0.25">
      <c r="A4567" t="s">
        <v>326</v>
      </c>
      <c r="B4567" t="s">
        <v>63</v>
      </c>
      <c r="C4567">
        <v>2</v>
      </c>
      <c r="D4567">
        <v>6</v>
      </c>
      <c r="E4567">
        <v>2</v>
      </c>
      <c r="F4567" s="15">
        <v>46174</v>
      </c>
      <c r="G4567" t="s">
        <v>567</v>
      </c>
      <c r="H4567">
        <v>4</v>
      </c>
      <c r="I4567">
        <v>2026</v>
      </c>
      <c r="J4567">
        <v>6</v>
      </c>
      <c r="K4567" t="s">
        <v>87</v>
      </c>
      <c r="L4567" t="s">
        <v>14</v>
      </c>
      <c r="M4567" t="s">
        <v>63</v>
      </c>
      <c r="N4567" t="b">
        <v>0</v>
      </c>
      <c r="O4567">
        <v>0</v>
      </c>
      <c r="P4567">
        <v>0</v>
      </c>
      <c r="Q4567">
        <v>1</v>
      </c>
      <c r="R4567">
        <v>0</v>
      </c>
    </row>
    <row r="4568" spans="1:18" x14ac:dyDescent="0.25">
      <c r="A4568" t="s">
        <v>363</v>
      </c>
      <c r="B4568" t="s">
        <v>63</v>
      </c>
      <c r="C4568">
        <v>3</v>
      </c>
      <c r="D4568">
        <v>6</v>
      </c>
      <c r="E4568">
        <v>2</v>
      </c>
      <c r="F4568" s="15">
        <v>46174</v>
      </c>
      <c r="G4568" t="s">
        <v>567</v>
      </c>
      <c r="H4568">
        <v>4</v>
      </c>
      <c r="I4568">
        <v>2026</v>
      </c>
      <c r="J4568">
        <v>6</v>
      </c>
      <c r="K4568" t="s">
        <v>87</v>
      </c>
      <c r="L4568" t="s">
        <v>13</v>
      </c>
      <c r="M4568" t="s">
        <v>63</v>
      </c>
      <c r="N4568" t="b">
        <v>0</v>
      </c>
      <c r="O4568">
        <v>0</v>
      </c>
      <c r="P4568">
        <v>0</v>
      </c>
      <c r="Q4568">
        <v>1</v>
      </c>
      <c r="R4568">
        <v>0</v>
      </c>
    </row>
    <row r="4569" spans="1:18" x14ac:dyDescent="0.25">
      <c r="A4569" t="s">
        <v>363</v>
      </c>
      <c r="B4569" t="s">
        <v>63</v>
      </c>
      <c r="C4569">
        <v>3</v>
      </c>
      <c r="D4569">
        <v>6</v>
      </c>
      <c r="E4569">
        <v>2</v>
      </c>
      <c r="F4569" s="15">
        <v>46174</v>
      </c>
      <c r="G4569" t="s">
        <v>567</v>
      </c>
      <c r="H4569">
        <v>4</v>
      </c>
      <c r="I4569">
        <v>2026</v>
      </c>
      <c r="J4569">
        <v>6</v>
      </c>
      <c r="K4569" t="s">
        <v>87</v>
      </c>
      <c r="L4569" t="s">
        <v>326</v>
      </c>
      <c r="M4569" t="s">
        <v>63</v>
      </c>
      <c r="N4569" t="b">
        <v>0</v>
      </c>
      <c r="O4569">
        <v>0</v>
      </c>
      <c r="P4569">
        <v>0</v>
      </c>
      <c r="Q4569">
        <v>1</v>
      </c>
      <c r="R4569">
        <v>0</v>
      </c>
    </row>
    <row r="4570" spans="1:18" x14ac:dyDescent="0.25">
      <c r="A4570" t="s">
        <v>363</v>
      </c>
      <c r="B4570" t="s">
        <v>63</v>
      </c>
      <c r="C4570">
        <v>3</v>
      </c>
      <c r="D4570">
        <v>6</v>
      </c>
      <c r="E4570">
        <v>2</v>
      </c>
      <c r="F4570" s="15">
        <v>46174</v>
      </c>
      <c r="G4570" t="s">
        <v>567</v>
      </c>
      <c r="H4570">
        <v>4</v>
      </c>
      <c r="I4570">
        <v>2026</v>
      </c>
      <c r="J4570">
        <v>6</v>
      </c>
      <c r="K4570" t="s">
        <v>87</v>
      </c>
      <c r="L4570" t="s">
        <v>14</v>
      </c>
      <c r="M4570" t="s">
        <v>63</v>
      </c>
      <c r="N4570" t="b">
        <v>0</v>
      </c>
      <c r="O4570">
        <v>0</v>
      </c>
      <c r="P4570">
        <v>0</v>
      </c>
      <c r="Q4570">
        <v>1</v>
      </c>
      <c r="R4570">
        <v>0</v>
      </c>
    </row>
    <row r="4571" spans="1:18" x14ac:dyDescent="0.25">
      <c r="A4571" t="s">
        <v>14</v>
      </c>
      <c r="B4571" t="s">
        <v>63</v>
      </c>
      <c r="C4571">
        <v>4</v>
      </c>
      <c r="D4571">
        <v>6</v>
      </c>
      <c r="E4571">
        <v>2</v>
      </c>
      <c r="F4571" s="15">
        <v>46174</v>
      </c>
      <c r="G4571" t="s">
        <v>567</v>
      </c>
      <c r="H4571">
        <v>4</v>
      </c>
      <c r="I4571">
        <v>2026</v>
      </c>
      <c r="J4571">
        <v>6</v>
      </c>
      <c r="K4571" t="s">
        <v>87</v>
      </c>
      <c r="L4571" t="s">
        <v>13</v>
      </c>
      <c r="M4571" t="s">
        <v>63</v>
      </c>
      <c r="N4571" t="b">
        <v>0</v>
      </c>
      <c r="O4571">
        <v>0</v>
      </c>
      <c r="P4571">
        <v>0</v>
      </c>
      <c r="Q4571">
        <v>1</v>
      </c>
      <c r="R4571">
        <v>0</v>
      </c>
    </row>
    <row r="4572" spans="1:18" x14ac:dyDescent="0.25">
      <c r="A4572" t="s">
        <v>14</v>
      </c>
      <c r="B4572" t="s">
        <v>63</v>
      </c>
      <c r="C4572">
        <v>4</v>
      </c>
      <c r="D4572">
        <v>6</v>
      </c>
      <c r="E4572">
        <v>2</v>
      </c>
      <c r="F4572" s="15">
        <v>46174</v>
      </c>
      <c r="G4572" t="s">
        <v>567</v>
      </c>
      <c r="H4572">
        <v>4</v>
      </c>
      <c r="I4572">
        <v>2026</v>
      </c>
      <c r="J4572">
        <v>6</v>
      </c>
      <c r="K4572" t="s">
        <v>87</v>
      </c>
      <c r="L4572" t="s">
        <v>326</v>
      </c>
      <c r="M4572" t="s">
        <v>63</v>
      </c>
      <c r="N4572" t="b">
        <v>0</v>
      </c>
      <c r="O4572">
        <v>0</v>
      </c>
      <c r="P4572">
        <v>0</v>
      </c>
      <c r="Q4572">
        <v>1</v>
      </c>
      <c r="R4572">
        <v>0</v>
      </c>
    </row>
    <row r="4573" spans="1:18" x14ac:dyDescent="0.25">
      <c r="A4573" t="s">
        <v>14</v>
      </c>
      <c r="B4573" t="s">
        <v>63</v>
      </c>
      <c r="C4573">
        <v>4</v>
      </c>
      <c r="D4573">
        <v>6</v>
      </c>
      <c r="E4573">
        <v>2</v>
      </c>
      <c r="F4573" s="15">
        <v>46174</v>
      </c>
      <c r="G4573" t="s">
        <v>567</v>
      </c>
      <c r="H4573">
        <v>4</v>
      </c>
      <c r="I4573">
        <v>2026</v>
      </c>
      <c r="J4573">
        <v>6</v>
      </c>
      <c r="K4573" t="s">
        <v>87</v>
      </c>
      <c r="L4573" t="s">
        <v>363</v>
      </c>
      <c r="M4573" t="s">
        <v>63</v>
      </c>
      <c r="N4573" t="b">
        <v>0</v>
      </c>
      <c r="O4573">
        <v>0</v>
      </c>
      <c r="P4573">
        <v>0</v>
      </c>
      <c r="Q4573">
        <v>1</v>
      </c>
      <c r="R4573">
        <v>0</v>
      </c>
    </row>
    <row r="4574" spans="1:18" x14ac:dyDescent="0.25">
      <c r="A4574" t="s">
        <v>13</v>
      </c>
      <c r="B4574" t="s">
        <v>8</v>
      </c>
      <c r="C4574">
        <v>1</v>
      </c>
      <c r="D4574">
        <v>1</v>
      </c>
      <c r="E4574">
        <v>1</v>
      </c>
      <c r="F4574" s="15">
        <v>46182</v>
      </c>
      <c r="G4574" t="s">
        <v>569</v>
      </c>
      <c r="H4574">
        <v>4</v>
      </c>
      <c r="I4574">
        <v>2026</v>
      </c>
      <c r="J4574">
        <v>6</v>
      </c>
      <c r="K4574" t="s">
        <v>87</v>
      </c>
      <c r="L4574" t="s">
        <v>433</v>
      </c>
      <c r="M4574" t="s">
        <v>6</v>
      </c>
      <c r="N4574" t="b">
        <v>0</v>
      </c>
      <c r="O4574">
        <v>1</v>
      </c>
      <c r="P4574">
        <v>0</v>
      </c>
      <c r="Q4574">
        <v>0</v>
      </c>
      <c r="R4574">
        <v>0</v>
      </c>
    </row>
    <row r="4575" spans="1:18" x14ac:dyDescent="0.25">
      <c r="A4575" t="s">
        <v>13</v>
      </c>
      <c r="B4575" t="s">
        <v>8</v>
      </c>
      <c r="C4575">
        <v>1</v>
      </c>
      <c r="D4575">
        <v>1</v>
      </c>
      <c r="E4575">
        <v>1</v>
      </c>
      <c r="F4575" s="15">
        <v>46182</v>
      </c>
      <c r="G4575" t="s">
        <v>569</v>
      </c>
      <c r="H4575">
        <v>4</v>
      </c>
      <c r="I4575">
        <v>2026</v>
      </c>
      <c r="J4575">
        <v>6</v>
      </c>
      <c r="K4575" t="s">
        <v>87</v>
      </c>
      <c r="L4575" t="s">
        <v>352</v>
      </c>
      <c r="M4575" t="s">
        <v>6</v>
      </c>
      <c r="N4575" t="b">
        <v>0</v>
      </c>
      <c r="O4575">
        <v>1</v>
      </c>
      <c r="P4575">
        <v>0</v>
      </c>
      <c r="Q4575">
        <v>0</v>
      </c>
      <c r="R4575">
        <v>0</v>
      </c>
    </row>
    <row r="4576" spans="1:18" x14ac:dyDescent="0.25">
      <c r="A4576" t="s">
        <v>13</v>
      </c>
      <c r="B4576" t="s">
        <v>8</v>
      </c>
      <c r="C4576">
        <v>1</v>
      </c>
      <c r="D4576">
        <v>1</v>
      </c>
      <c r="E4576">
        <v>1</v>
      </c>
      <c r="F4576" s="15">
        <v>46182</v>
      </c>
      <c r="G4576" t="s">
        <v>569</v>
      </c>
      <c r="H4576">
        <v>4</v>
      </c>
      <c r="I4576">
        <v>2026</v>
      </c>
      <c r="J4576">
        <v>6</v>
      </c>
      <c r="K4576" t="s">
        <v>87</v>
      </c>
      <c r="L4576" t="s">
        <v>363</v>
      </c>
      <c r="M4576" t="s">
        <v>6</v>
      </c>
      <c r="N4576" t="b">
        <v>0</v>
      </c>
      <c r="O4576">
        <v>1</v>
      </c>
      <c r="P4576">
        <v>0</v>
      </c>
      <c r="Q4576">
        <v>0</v>
      </c>
      <c r="R4576">
        <v>0</v>
      </c>
    </row>
    <row r="4577" spans="1:18" x14ac:dyDescent="0.25">
      <c r="A4577" t="s">
        <v>433</v>
      </c>
      <c r="B4577" t="s">
        <v>6</v>
      </c>
      <c r="C4577">
        <v>2</v>
      </c>
      <c r="D4577">
        <v>1</v>
      </c>
      <c r="E4577">
        <v>1</v>
      </c>
      <c r="F4577" s="15">
        <v>46182</v>
      </c>
      <c r="G4577" t="s">
        <v>569</v>
      </c>
      <c r="H4577">
        <v>4</v>
      </c>
      <c r="I4577">
        <v>2026</v>
      </c>
      <c r="J4577">
        <v>6</v>
      </c>
      <c r="K4577" t="s">
        <v>87</v>
      </c>
      <c r="L4577" t="s">
        <v>13</v>
      </c>
      <c r="M4577" t="s">
        <v>8</v>
      </c>
      <c r="N4577" t="b">
        <v>0</v>
      </c>
      <c r="O4577">
        <v>0</v>
      </c>
      <c r="P4577">
        <v>1</v>
      </c>
      <c r="Q4577">
        <v>0</v>
      </c>
      <c r="R4577">
        <v>1</v>
      </c>
    </row>
    <row r="4578" spans="1:18" x14ac:dyDescent="0.25">
      <c r="A4578" t="s">
        <v>433</v>
      </c>
      <c r="B4578" t="s">
        <v>6</v>
      </c>
      <c r="C4578">
        <v>2</v>
      </c>
      <c r="D4578">
        <v>1</v>
      </c>
      <c r="E4578">
        <v>1</v>
      </c>
      <c r="F4578" s="15">
        <v>46182</v>
      </c>
      <c r="G4578" t="s">
        <v>569</v>
      </c>
      <c r="H4578">
        <v>4</v>
      </c>
      <c r="I4578">
        <v>2026</v>
      </c>
      <c r="J4578">
        <v>6</v>
      </c>
      <c r="K4578" t="s">
        <v>87</v>
      </c>
      <c r="L4578" t="s">
        <v>352</v>
      </c>
      <c r="M4578" t="s">
        <v>6</v>
      </c>
      <c r="N4578" t="b">
        <v>0</v>
      </c>
      <c r="O4578">
        <v>0</v>
      </c>
      <c r="P4578">
        <v>1</v>
      </c>
      <c r="Q4578">
        <v>0</v>
      </c>
      <c r="R4578">
        <v>0</v>
      </c>
    </row>
    <row r="4579" spans="1:18" x14ac:dyDescent="0.25">
      <c r="A4579" t="s">
        <v>433</v>
      </c>
      <c r="B4579" t="s">
        <v>6</v>
      </c>
      <c r="C4579">
        <v>2</v>
      </c>
      <c r="D4579">
        <v>1</v>
      </c>
      <c r="E4579">
        <v>1</v>
      </c>
      <c r="F4579" s="15">
        <v>46182</v>
      </c>
      <c r="G4579" t="s">
        <v>569</v>
      </c>
      <c r="H4579">
        <v>4</v>
      </c>
      <c r="I4579">
        <v>2026</v>
      </c>
      <c r="J4579">
        <v>6</v>
      </c>
      <c r="K4579" t="s">
        <v>87</v>
      </c>
      <c r="L4579" t="s">
        <v>363</v>
      </c>
      <c r="M4579" t="s">
        <v>6</v>
      </c>
      <c r="N4579" t="b">
        <v>0</v>
      </c>
      <c r="O4579">
        <v>0</v>
      </c>
      <c r="P4579">
        <v>1</v>
      </c>
      <c r="Q4579">
        <v>0</v>
      </c>
      <c r="R4579">
        <v>0</v>
      </c>
    </row>
    <row r="4580" spans="1:18" x14ac:dyDescent="0.25">
      <c r="A4580" t="s">
        <v>352</v>
      </c>
      <c r="B4580" t="s">
        <v>6</v>
      </c>
      <c r="C4580">
        <v>3</v>
      </c>
      <c r="D4580">
        <v>1</v>
      </c>
      <c r="E4580">
        <v>1</v>
      </c>
      <c r="F4580" s="15">
        <v>46182</v>
      </c>
      <c r="G4580" t="s">
        <v>569</v>
      </c>
      <c r="H4580">
        <v>4</v>
      </c>
      <c r="I4580">
        <v>2026</v>
      </c>
      <c r="J4580">
        <v>6</v>
      </c>
      <c r="K4580" t="s">
        <v>87</v>
      </c>
      <c r="L4580" t="s">
        <v>13</v>
      </c>
      <c r="M4580" t="s">
        <v>8</v>
      </c>
      <c r="N4580" t="b">
        <v>0</v>
      </c>
      <c r="O4580">
        <v>0</v>
      </c>
      <c r="P4580">
        <v>1</v>
      </c>
      <c r="Q4580">
        <v>0</v>
      </c>
      <c r="R4580">
        <v>1</v>
      </c>
    </row>
    <row r="4581" spans="1:18" x14ac:dyDescent="0.25">
      <c r="A4581" t="s">
        <v>352</v>
      </c>
      <c r="B4581" t="s">
        <v>6</v>
      </c>
      <c r="C4581">
        <v>3</v>
      </c>
      <c r="D4581">
        <v>1</v>
      </c>
      <c r="E4581">
        <v>1</v>
      </c>
      <c r="F4581" s="15">
        <v>46182</v>
      </c>
      <c r="G4581" t="s">
        <v>569</v>
      </c>
      <c r="H4581">
        <v>4</v>
      </c>
      <c r="I4581">
        <v>2026</v>
      </c>
      <c r="J4581">
        <v>6</v>
      </c>
      <c r="K4581" t="s">
        <v>87</v>
      </c>
      <c r="L4581" t="s">
        <v>433</v>
      </c>
      <c r="M4581" t="s">
        <v>6</v>
      </c>
      <c r="N4581" t="b">
        <v>0</v>
      </c>
      <c r="O4581">
        <v>0</v>
      </c>
      <c r="P4581">
        <v>1</v>
      </c>
      <c r="Q4581">
        <v>0</v>
      </c>
      <c r="R4581">
        <v>0</v>
      </c>
    </row>
    <row r="4582" spans="1:18" x14ac:dyDescent="0.25">
      <c r="A4582" t="s">
        <v>352</v>
      </c>
      <c r="B4582" t="s">
        <v>6</v>
      </c>
      <c r="C4582">
        <v>3</v>
      </c>
      <c r="D4582">
        <v>1</v>
      </c>
      <c r="E4582">
        <v>1</v>
      </c>
      <c r="F4582" s="15">
        <v>46182</v>
      </c>
      <c r="G4582" t="s">
        <v>569</v>
      </c>
      <c r="H4582">
        <v>4</v>
      </c>
      <c r="I4582">
        <v>2026</v>
      </c>
      <c r="J4582">
        <v>6</v>
      </c>
      <c r="K4582" t="s">
        <v>87</v>
      </c>
      <c r="L4582" t="s">
        <v>363</v>
      </c>
      <c r="M4582" t="s">
        <v>6</v>
      </c>
      <c r="N4582" t="b">
        <v>0</v>
      </c>
      <c r="O4582">
        <v>0</v>
      </c>
      <c r="P4582">
        <v>1</v>
      </c>
      <c r="Q4582">
        <v>0</v>
      </c>
      <c r="R4582">
        <v>0</v>
      </c>
    </row>
    <row r="4583" spans="1:18" x14ac:dyDescent="0.25">
      <c r="A4583" t="s">
        <v>363</v>
      </c>
      <c r="B4583" t="s">
        <v>6</v>
      </c>
      <c r="C4583">
        <v>4</v>
      </c>
      <c r="D4583">
        <v>1</v>
      </c>
      <c r="E4583">
        <v>1</v>
      </c>
      <c r="F4583" s="15">
        <v>46182</v>
      </c>
      <c r="G4583" t="s">
        <v>569</v>
      </c>
      <c r="H4583">
        <v>4</v>
      </c>
      <c r="I4583">
        <v>2026</v>
      </c>
      <c r="J4583">
        <v>6</v>
      </c>
      <c r="K4583" t="s">
        <v>87</v>
      </c>
      <c r="L4583" t="s">
        <v>13</v>
      </c>
      <c r="M4583" t="s">
        <v>8</v>
      </c>
      <c r="N4583" t="b">
        <v>0</v>
      </c>
      <c r="O4583">
        <v>0</v>
      </c>
      <c r="P4583">
        <v>1</v>
      </c>
      <c r="Q4583">
        <v>0</v>
      </c>
      <c r="R4583">
        <v>1</v>
      </c>
    </row>
    <row r="4584" spans="1:18" x14ac:dyDescent="0.25">
      <c r="A4584" t="s">
        <v>363</v>
      </c>
      <c r="B4584" t="s">
        <v>6</v>
      </c>
      <c r="C4584">
        <v>4</v>
      </c>
      <c r="D4584">
        <v>1</v>
      </c>
      <c r="E4584">
        <v>1</v>
      </c>
      <c r="F4584" s="15">
        <v>46182</v>
      </c>
      <c r="G4584" t="s">
        <v>569</v>
      </c>
      <c r="H4584">
        <v>4</v>
      </c>
      <c r="I4584">
        <v>2026</v>
      </c>
      <c r="J4584">
        <v>6</v>
      </c>
      <c r="K4584" t="s">
        <v>87</v>
      </c>
      <c r="L4584" t="s">
        <v>433</v>
      </c>
      <c r="M4584" t="s">
        <v>6</v>
      </c>
      <c r="N4584" t="b">
        <v>0</v>
      </c>
      <c r="O4584">
        <v>0</v>
      </c>
      <c r="P4584">
        <v>1</v>
      </c>
      <c r="Q4584">
        <v>0</v>
      </c>
      <c r="R4584">
        <v>0</v>
      </c>
    </row>
    <row r="4585" spans="1:18" x14ac:dyDescent="0.25">
      <c r="A4585" t="s">
        <v>363</v>
      </c>
      <c r="B4585" t="s">
        <v>6</v>
      </c>
      <c r="C4585">
        <v>4</v>
      </c>
      <c r="D4585">
        <v>1</v>
      </c>
      <c r="E4585">
        <v>1</v>
      </c>
      <c r="F4585" s="15">
        <v>46182</v>
      </c>
      <c r="G4585" t="s">
        <v>569</v>
      </c>
      <c r="H4585">
        <v>4</v>
      </c>
      <c r="I4585">
        <v>2026</v>
      </c>
      <c r="J4585">
        <v>6</v>
      </c>
      <c r="K4585" t="s">
        <v>87</v>
      </c>
      <c r="L4585" t="s">
        <v>352</v>
      </c>
      <c r="M4585" t="s">
        <v>6</v>
      </c>
      <c r="N4585" t="b">
        <v>0</v>
      </c>
      <c r="O4585">
        <v>0</v>
      </c>
      <c r="P4585">
        <v>1</v>
      </c>
      <c r="Q4585">
        <v>0</v>
      </c>
      <c r="R4585">
        <v>0</v>
      </c>
    </row>
    <row r="4586" spans="1:18" x14ac:dyDescent="0.25">
      <c r="A4586" t="s">
        <v>9</v>
      </c>
      <c r="B4586" t="s">
        <v>6</v>
      </c>
      <c r="C4586">
        <v>1</v>
      </c>
      <c r="D4586">
        <v>2</v>
      </c>
      <c r="E4586">
        <v>1</v>
      </c>
      <c r="F4586" s="15">
        <v>46182</v>
      </c>
      <c r="G4586" t="s">
        <v>570</v>
      </c>
      <c r="H4586">
        <v>4</v>
      </c>
      <c r="I4586">
        <v>2026</v>
      </c>
      <c r="J4586">
        <v>6</v>
      </c>
      <c r="K4586" t="s">
        <v>87</v>
      </c>
      <c r="L4586" t="s">
        <v>14</v>
      </c>
      <c r="M4586" t="s">
        <v>8</v>
      </c>
      <c r="N4586" t="b">
        <v>0</v>
      </c>
      <c r="O4586">
        <v>0</v>
      </c>
      <c r="P4586">
        <v>1</v>
      </c>
      <c r="Q4586">
        <v>0</v>
      </c>
      <c r="R4586">
        <v>1</v>
      </c>
    </row>
    <row r="4587" spans="1:18" x14ac:dyDescent="0.25">
      <c r="A4587" t="s">
        <v>9</v>
      </c>
      <c r="B4587" t="s">
        <v>6</v>
      </c>
      <c r="C4587">
        <v>1</v>
      </c>
      <c r="D4587">
        <v>2</v>
      </c>
      <c r="E4587">
        <v>1</v>
      </c>
      <c r="F4587" s="15">
        <v>46182</v>
      </c>
      <c r="G4587" t="s">
        <v>570</v>
      </c>
      <c r="H4587">
        <v>4</v>
      </c>
      <c r="I4587">
        <v>2026</v>
      </c>
      <c r="J4587">
        <v>6</v>
      </c>
      <c r="K4587" t="s">
        <v>87</v>
      </c>
      <c r="L4587" t="s">
        <v>7</v>
      </c>
      <c r="M4587" t="s">
        <v>6</v>
      </c>
      <c r="N4587" t="b">
        <v>0</v>
      </c>
      <c r="O4587">
        <v>0</v>
      </c>
      <c r="P4587">
        <v>1</v>
      </c>
      <c r="Q4587">
        <v>0</v>
      </c>
      <c r="R4587">
        <v>0</v>
      </c>
    </row>
    <row r="4588" spans="1:18" x14ac:dyDescent="0.25">
      <c r="A4588" t="s">
        <v>9</v>
      </c>
      <c r="B4588" t="s">
        <v>6</v>
      </c>
      <c r="C4588">
        <v>1</v>
      </c>
      <c r="D4588">
        <v>2</v>
      </c>
      <c r="E4588">
        <v>1</v>
      </c>
      <c r="F4588" s="15">
        <v>46182</v>
      </c>
      <c r="G4588" t="s">
        <v>570</v>
      </c>
      <c r="H4588">
        <v>4</v>
      </c>
      <c r="I4588">
        <v>2026</v>
      </c>
      <c r="J4588">
        <v>6</v>
      </c>
      <c r="K4588" t="s">
        <v>87</v>
      </c>
      <c r="L4588" t="s">
        <v>540</v>
      </c>
      <c r="M4588" t="s">
        <v>6</v>
      </c>
      <c r="N4588" t="b">
        <v>0</v>
      </c>
      <c r="O4588">
        <v>0</v>
      </c>
      <c r="P4588">
        <v>1</v>
      </c>
      <c r="Q4588">
        <v>0</v>
      </c>
      <c r="R4588">
        <v>0</v>
      </c>
    </row>
    <row r="4589" spans="1:18" x14ac:dyDescent="0.25">
      <c r="A4589" t="s">
        <v>14</v>
      </c>
      <c r="B4589" t="s">
        <v>8</v>
      </c>
      <c r="C4589">
        <v>2</v>
      </c>
      <c r="D4589">
        <v>2</v>
      </c>
      <c r="E4589">
        <v>1</v>
      </c>
      <c r="F4589" s="15">
        <v>46182</v>
      </c>
      <c r="G4589" t="s">
        <v>570</v>
      </c>
      <c r="H4589">
        <v>4</v>
      </c>
      <c r="I4589">
        <v>2026</v>
      </c>
      <c r="J4589">
        <v>6</v>
      </c>
      <c r="K4589" t="s">
        <v>87</v>
      </c>
      <c r="L4589" t="s">
        <v>9</v>
      </c>
      <c r="M4589" t="s">
        <v>6</v>
      </c>
      <c r="N4589" t="b">
        <v>0</v>
      </c>
      <c r="O4589">
        <v>1</v>
      </c>
      <c r="P4589">
        <v>0</v>
      </c>
      <c r="Q4589">
        <v>0</v>
      </c>
      <c r="R4589">
        <v>0</v>
      </c>
    </row>
    <row r="4590" spans="1:18" x14ac:dyDescent="0.25">
      <c r="A4590" t="s">
        <v>14</v>
      </c>
      <c r="B4590" t="s">
        <v>8</v>
      </c>
      <c r="C4590">
        <v>2</v>
      </c>
      <c r="D4590">
        <v>2</v>
      </c>
      <c r="E4590">
        <v>1</v>
      </c>
      <c r="F4590" s="15">
        <v>46182</v>
      </c>
      <c r="G4590" t="s">
        <v>570</v>
      </c>
      <c r="H4590">
        <v>4</v>
      </c>
      <c r="I4590">
        <v>2026</v>
      </c>
      <c r="J4590">
        <v>6</v>
      </c>
      <c r="K4590" t="s">
        <v>87</v>
      </c>
      <c r="L4590" t="s">
        <v>7</v>
      </c>
      <c r="M4590" t="s">
        <v>6</v>
      </c>
      <c r="N4590" t="b">
        <v>0</v>
      </c>
      <c r="O4590">
        <v>1</v>
      </c>
      <c r="P4590">
        <v>0</v>
      </c>
      <c r="Q4590">
        <v>0</v>
      </c>
      <c r="R4590">
        <v>0</v>
      </c>
    </row>
    <row r="4591" spans="1:18" x14ac:dyDescent="0.25">
      <c r="A4591" t="s">
        <v>14</v>
      </c>
      <c r="B4591" t="s">
        <v>8</v>
      </c>
      <c r="C4591">
        <v>2</v>
      </c>
      <c r="D4591">
        <v>2</v>
      </c>
      <c r="E4591">
        <v>1</v>
      </c>
      <c r="F4591" s="15">
        <v>46182</v>
      </c>
      <c r="G4591" t="s">
        <v>570</v>
      </c>
      <c r="H4591">
        <v>4</v>
      </c>
      <c r="I4591">
        <v>2026</v>
      </c>
      <c r="J4591">
        <v>6</v>
      </c>
      <c r="K4591" t="s">
        <v>87</v>
      </c>
      <c r="L4591" t="s">
        <v>540</v>
      </c>
      <c r="M4591" t="s">
        <v>6</v>
      </c>
      <c r="N4591" t="b">
        <v>0</v>
      </c>
      <c r="O4591">
        <v>1</v>
      </c>
      <c r="P4591">
        <v>0</v>
      </c>
      <c r="Q4591">
        <v>0</v>
      </c>
      <c r="R4591">
        <v>0</v>
      </c>
    </row>
    <row r="4592" spans="1:18" x14ac:dyDescent="0.25">
      <c r="A4592" t="s">
        <v>7</v>
      </c>
      <c r="B4592" t="s">
        <v>6</v>
      </c>
      <c r="C4592">
        <v>3</v>
      </c>
      <c r="D4592">
        <v>2</v>
      </c>
      <c r="E4592">
        <v>1</v>
      </c>
      <c r="F4592" s="15">
        <v>46182</v>
      </c>
      <c r="G4592" t="s">
        <v>570</v>
      </c>
      <c r="H4592">
        <v>4</v>
      </c>
      <c r="I4592">
        <v>2026</v>
      </c>
      <c r="J4592">
        <v>6</v>
      </c>
      <c r="K4592" t="s">
        <v>87</v>
      </c>
      <c r="L4592" t="s">
        <v>9</v>
      </c>
      <c r="M4592" t="s">
        <v>6</v>
      </c>
      <c r="N4592" t="b">
        <v>0</v>
      </c>
      <c r="O4592">
        <v>0</v>
      </c>
      <c r="P4592">
        <v>1</v>
      </c>
      <c r="Q4592">
        <v>0</v>
      </c>
      <c r="R4592">
        <v>0</v>
      </c>
    </row>
    <row r="4593" spans="1:18" x14ac:dyDescent="0.25">
      <c r="A4593" t="s">
        <v>7</v>
      </c>
      <c r="B4593" t="s">
        <v>6</v>
      </c>
      <c r="C4593">
        <v>3</v>
      </c>
      <c r="D4593">
        <v>2</v>
      </c>
      <c r="E4593">
        <v>1</v>
      </c>
      <c r="F4593" s="15">
        <v>46182</v>
      </c>
      <c r="G4593" t="s">
        <v>570</v>
      </c>
      <c r="H4593">
        <v>4</v>
      </c>
      <c r="I4593">
        <v>2026</v>
      </c>
      <c r="J4593">
        <v>6</v>
      </c>
      <c r="K4593" t="s">
        <v>87</v>
      </c>
      <c r="L4593" t="s">
        <v>14</v>
      </c>
      <c r="M4593" t="s">
        <v>8</v>
      </c>
      <c r="N4593" t="b">
        <v>0</v>
      </c>
      <c r="O4593">
        <v>0</v>
      </c>
      <c r="P4593">
        <v>1</v>
      </c>
      <c r="Q4593">
        <v>0</v>
      </c>
      <c r="R4593">
        <v>1</v>
      </c>
    </row>
    <row r="4594" spans="1:18" x14ac:dyDescent="0.25">
      <c r="A4594" t="s">
        <v>7</v>
      </c>
      <c r="B4594" t="s">
        <v>6</v>
      </c>
      <c r="C4594">
        <v>3</v>
      </c>
      <c r="D4594">
        <v>2</v>
      </c>
      <c r="E4594">
        <v>1</v>
      </c>
      <c r="F4594" s="15">
        <v>46182</v>
      </c>
      <c r="G4594" t="s">
        <v>570</v>
      </c>
      <c r="H4594">
        <v>4</v>
      </c>
      <c r="I4594">
        <v>2026</v>
      </c>
      <c r="J4594">
        <v>6</v>
      </c>
      <c r="K4594" t="s">
        <v>87</v>
      </c>
      <c r="L4594" t="s">
        <v>540</v>
      </c>
      <c r="M4594" t="s">
        <v>6</v>
      </c>
      <c r="N4594" t="b">
        <v>0</v>
      </c>
      <c r="O4594">
        <v>0</v>
      </c>
      <c r="P4594">
        <v>1</v>
      </c>
      <c r="Q4594">
        <v>0</v>
      </c>
      <c r="R4594">
        <v>0</v>
      </c>
    </row>
    <row r="4595" spans="1:18" x14ac:dyDescent="0.25">
      <c r="A4595" t="s">
        <v>540</v>
      </c>
      <c r="B4595" t="s">
        <v>6</v>
      </c>
      <c r="C4595">
        <v>4</v>
      </c>
      <c r="D4595">
        <v>2</v>
      </c>
      <c r="E4595">
        <v>1</v>
      </c>
      <c r="F4595" s="15">
        <v>46182</v>
      </c>
      <c r="G4595" t="s">
        <v>570</v>
      </c>
      <c r="H4595">
        <v>4</v>
      </c>
      <c r="I4595">
        <v>2026</v>
      </c>
      <c r="J4595">
        <v>6</v>
      </c>
      <c r="K4595" t="s">
        <v>87</v>
      </c>
      <c r="L4595" t="s">
        <v>9</v>
      </c>
      <c r="M4595" t="s">
        <v>6</v>
      </c>
      <c r="N4595" t="b">
        <v>0</v>
      </c>
      <c r="O4595">
        <v>0</v>
      </c>
      <c r="P4595">
        <v>1</v>
      </c>
      <c r="Q4595">
        <v>0</v>
      </c>
      <c r="R4595">
        <v>0</v>
      </c>
    </row>
    <row r="4596" spans="1:18" x14ac:dyDescent="0.25">
      <c r="A4596" t="s">
        <v>540</v>
      </c>
      <c r="B4596" t="s">
        <v>6</v>
      </c>
      <c r="C4596">
        <v>4</v>
      </c>
      <c r="D4596">
        <v>2</v>
      </c>
      <c r="E4596">
        <v>1</v>
      </c>
      <c r="F4596" s="15">
        <v>46182</v>
      </c>
      <c r="G4596" t="s">
        <v>570</v>
      </c>
      <c r="H4596">
        <v>4</v>
      </c>
      <c r="I4596">
        <v>2026</v>
      </c>
      <c r="J4596">
        <v>6</v>
      </c>
      <c r="K4596" t="s">
        <v>87</v>
      </c>
      <c r="L4596" t="s">
        <v>14</v>
      </c>
      <c r="M4596" t="s">
        <v>8</v>
      </c>
      <c r="N4596" t="b">
        <v>0</v>
      </c>
      <c r="O4596">
        <v>0</v>
      </c>
      <c r="P4596">
        <v>1</v>
      </c>
      <c r="Q4596">
        <v>0</v>
      </c>
      <c r="R4596">
        <v>1</v>
      </c>
    </row>
    <row r="4597" spans="1:18" x14ac:dyDescent="0.25">
      <c r="A4597" t="s">
        <v>540</v>
      </c>
      <c r="B4597" t="s">
        <v>6</v>
      </c>
      <c r="C4597">
        <v>4</v>
      </c>
      <c r="D4597">
        <v>2</v>
      </c>
      <c r="E4597">
        <v>1</v>
      </c>
      <c r="F4597" s="15">
        <v>46182</v>
      </c>
      <c r="G4597" t="s">
        <v>570</v>
      </c>
      <c r="H4597">
        <v>4</v>
      </c>
      <c r="I4597">
        <v>2026</v>
      </c>
      <c r="J4597">
        <v>6</v>
      </c>
      <c r="K4597" t="s">
        <v>87</v>
      </c>
      <c r="L4597" t="s">
        <v>7</v>
      </c>
      <c r="M4597" t="s">
        <v>6</v>
      </c>
      <c r="N4597" t="b">
        <v>0</v>
      </c>
      <c r="O4597">
        <v>0</v>
      </c>
      <c r="P4597">
        <v>1</v>
      </c>
      <c r="Q4597">
        <v>0</v>
      </c>
      <c r="R4597">
        <v>0</v>
      </c>
    </row>
    <row r="4598" spans="1:18" x14ac:dyDescent="0.25">
      <c r="A4598" t="s">
        <v>19</v>
      </c>
      <c r="B4598" t="s">
        <v>63</v>
      </c>
      <c r="C4598">
        <v>1</v>
      </c>
      <c r="D4598">
        <v>3</v>
      </c>
      <c r="E4598">
        <v>1</v>
      </c>
      <c r="F4598" s="15">
        <v>46182</v>
      </c>
      <c r="G4598" t="s">
        <v>571</v>
      </c>
      <c r="H4598">
        <v>4</v>
      </c>
      <c r="I4598">
        <v>2026</v>
      </c>
      <c r="J4598">
        <v>6</v>
      </c>
      <c r="K4598" t="s">
        <v>87</v>
      </c>
      <c r="L4598" t="s">
        <v>519</v>
      </c>
      <c r="M4598" t="s">
        <v>63</v>
      </c>
      <c r="N4598" t="b">
        <v>0</v>
      </c>
      <c r="O4598">
        <v>0</v>
      </c>
      <c r="P4598">
        <v>0</v>
      </c>
      <c r="Q4598">
        <v>1</v>
      </c>
      <c r="R4598">
        <v>0</v>
      </c>
    </row>
    <row r="4599" spans="1:18" x14ac:dyDescent="0.25">
      <c r="A4599" t="s">
        <v>19</v>
      </c>
      <c r="B4599" t="s">
        <v>63</v>
      </c>
      <c r="C4599">
        <v>1</v>
      </c>
      <c r="D4599">
        <v>3</v>
      </c>
      <c r="E4599">
        <v>1</v>
      </c>
      <c r="F4599" s="15">
        <v>46182</v>
      </c>
      <c r="G4599" t="s">
        <v>571</v>
      </c>
      <c r="H4599">
        <v>4</v>
      </c>
      <c r="I4599">
        <v>2026</v>
      </c>
      <c r="J4599">
        <v>6</v>
      </c>
      <c r="K4599" t="s">
        <v>87</v>
      </c>
      <c r="L4599" t="s">
        <v>10</v>
      </c>
      <c r="M4599" t="s">
        <v>63</v>
      </c>
      <c r="N4599" t="b">
        <v>0</v>
      </c>
      <c r="O4599">
        <v>0</v>
      </c>
      <c r="P4599">
        <v>0</v>
      </c>
      <c r="Q4599">
        <v>1</v>
      </c>
      <c r="R4599">
        <v>0</v>
      </c>
    </row>
    <row r="4600" spans="1:18" x14ac:dyDescent="0.25">
      <c r="A4600" t="s">
        <v>19</v>
      </c>
      <c r="B4600" t="s">
        <v>63</v>
      </c>
      <c r="C4600">
        <v>1</v>
      </c>
      <c r="D4600">
        <v>3</v>
      </c>
      <c r="E4600">
        <v>1</v>
      </c>
      <c r="F4600" s="15">
        <v>46182</v>
      </c>
      <c r="G4600" t="s">
        <v>571</v>
      </c>
      <c r="H4600">
        <v>4</v>
      </c>
      <c r="I4600">
        <v>2026</v>
      </c>
      <c r="J4600">
        <v>6</v>
      </c>
      <c r="K4600" t="s">
        <v>87</v>
      </c>
      <c r="L4600" t="s">
        <v>17</v>
      </c>
      <c r="M4600" t="s">
        <v>63</v>
      </c>
      <c r="N4600" t="b">
        <v>0</v>
      </c>
      <c r="O4600">
        <v>0</v>
      </c>
      <c r="P4600">
        <v>0</v>
      </c>
      <c r="Q4600">
        <v>1</v>
      </c>
      <c r="R4600">
        <v>0</v>
      </c>
    </row>
    <row r="4601" spans="1:18" x14ac:dyDescent="0.25">
      <c r="A4601" t="s">
        <v>519</v>
      </c>
      <c r="B4601" t="s">
        <v>63</v>
      </c>
      <c r="C4601">
        <v>2</v>
      </c>
      <c r="D4601">
        <v>3</v>
      </c>
      <c r="E4601">
        <v>1</v>
      </c>
      <c r="F4601" s="15">
        <v>46182</v>
      </c>
      <c r="G4601" t="s">
        <v>571</v>
      </c>
      <c r="H4601">
        <v>4</v>
      </c>
      <c r="I4601">
        <v>2026</v>
      </c>
      <c r="J4601">
        <v>6</v>
      </c>
      <c r="K4601" t="s">
        <v>87</v>
      </c>
      <c r="L4601" t="s">
        <v>19</v>
      </c>
      <c r="M4601" t="s">
        <v>63</v>
      </c>
      <c r="N4601" t="b">
        <v>0</v>
      </c>
      <c r="O4601">
        <v>0</v>
      </c>
      <c r="P4601">
        <v>0</v>
      </c>
      <c r="Q4601">
        <v>1</v>
      </c>
      <c r="R4601">
        <v>0</v>
      </c>
    </row>
    <row r="4602" spans="1:18" x14ac:dyDescent="0.25">
      <c r="A4602" t="s">
        <v>519</v>
      </c>
      <c r="B4602" t="s">
        <v>63</v>
      </c>
      <c r="C4602">
        <v>2</v>
      </c>
      <c r="D4602">
        <v>3</v>
      </c>
      <c r="E4602">
        <v>1</v>
      </c>
      <c r="F4602" s="15">
        <v>46182</v>
      </c>
      <c r="G4602" t="s">
        <v>571</v>
      </c>
      <c r="H4602">
        <v>4</v>
      </c>
      <c r="I4602">
        <v>2026</v>
      </c>
      <c r="J4602">
        <v>6</v>
      </c>
      <c r="K4602" t="s">
        <v>87</v>
      </c>
      <c r="L4602" t="s">
        <v>10</v>
      </c>
      <c r="M4602" t="s">
        <v>63</v>
      </c>
      <c r="N4602" t="b">
        <v>0</v>
      </c>
      <c r="O4602">
        <v>0</v>
      </c>
      <c r="P4602">
        <v>0</v>
      </c>
      <c r="Q4602">
        <v>1</v>
      </c>
      <c r="R4602">
        <v>0</v>
      </c>
    </row>
    <row r="4603" spans="1:18" x14ac:dyDescent="0.25">
      <c r="A4603" t="s">
        <v>519</v>
      </c>
      <c r="B4603" t="s">
        <v>63</v>
      </c>
      <c r="C4603">
        <v>2</v>
      </c>
      <c r="D4603">
        <v>3</v>
      </c>
      <c r="E4603">
        <v>1</v>
      </c>
      <c r="F4603" s="15">
        <v>46182</v>
      </c>
      <c r="G4603" t="s">
        <v>571</v>
      </c>
      <c r="H4603">
        <v>4</v>
      </c>
      <c r="I4603">
        <v>2026</v>
      </c>
      <c r="J4603">
        <v>6</v>
      </c>
      <c r="K4603" t="s">
        <v>87</v>
      </c>
      <c r="L4603" t="s">
        <v>17</v>
      </c>
      <c r="M4603" t="s">
        <v>63</v>
      </c>
      <c r="N4603" t="b">
        <v>0</v>
      </c>
      <c r="O4603">
        <v>0</v>
      </c>
      <c r="P4603">
        <v>0</v>
      </c>
      <c r="Q4603">
        <v>1</v>
      </c>
      <c r="R4603">
        <v>0</v>
      </c>
    </row>
    <row r="4604" spans="1:18" x14ac:dyDescent="0.25">
      <c r="A4604" t="s">
        <v>10</v>
      </c>
      <c r="B4604" t="s">
        <v>63</v>
      </c>
      <c r="C4604">
        <v>3</v>
      </c>
      <c r="D4604">
        <v>3</v>
      </c>
      <c r="E4604">
        <v>1</v>
      </c>
      <c r="F4604" s="15">
        <v>46182</v>
      </c>
      <c r="G4604" t="s">
        <v>571</v>
      </c>
      <c r="H4604">
        <v>4</v>
      </c>
      <c r="I4604">
        <v>2026</v>
      </c>
      <c r="J4604">
        <v>6</v>
      </c>
      <c r="K4604" t="s">
        <v>87</v>
      </c>
      <c r="L4604" t="s">
        <v>19</v>
      </c>
      <c r="M4604" t="s">
        <v>63</v>
      </c>
      <c r="N4604" t="b">
        <v>0</v>
      </c>
      <c r="O4604">
        <v>0</v>
      </c>
      <c r="P4604">
        <v>0</v>
      </c>
      <c r="Q4604">
        <v>1</v>
      </c>
      <c r="R4604">
        <v>0</v>
      </c>
    </row>
    <row r="4605" spans="1:18" x14ac:dyDescent="0.25">
      <c r="A4605" t="s">
        <v>10</v>
      </c>
      <c r="B4605" t="s">
        <v>63</v>
      </c>
      <c r="C4605">
        <v>3</v>
      </c>
      <c r="D4605">
        <v>3</v>
      </c>
      <c r="E4605">
        <v>1</v>
      </c>
      <c r="F4605" s="15">
        <v>46182</v>
      </c>
      <c r="G4605" t="s">
        <v>571</v>
      </c>
      <c r="H4605">
        <v>4</v>
      </c>
      <c r="I4605">
        <v>2026</v>
      </c>
      <c r="J4605">
        <v>6</v>
      </c>
      <c r="K4605" t="s">
        <v>87</v>
      </c>
      <c r="L4605" t="s">
        <v>519</v>
      </c>
      <c r="M4605" t="s">
        <v>63</v>
      </c>
      <c r="N4605" t="b">
        <v>0</v>
      </c>
      <c r="O4605">
        <v>0</v>
      </c>
      <c r="P4605">
        <v>0</v>
      </c>
      <c r="Q4605">
        <v>1</v>
      </c>
      <c r="R4605">
        <v>0</v>
      </c>
    </row>
    <row r="4606" spans="1:18" x14ac:dyDescent="0.25">
      <c r="A4606" t="s">
        <v>10</v>
      </c>
      <c r="B4606" t="s">
        <v>63</v>
      </c>
      <c r="C4606">
        <v>3</v>
      </c>
      <c r="D4606">
        <v>3</v>
      </c>
      <c r="E4606">
        <v>1</v>
      </c>
      <c r="F4606" s="15">
        <v>46182</v>
      </c>
      <c r="G4606" t="s">
        <v>571</v>
      </c>
      <c r="H4606">
        <v>4</v>
      </c>
      <c r="I4606">
        <v>2026</v>
      </c>
      <c r="J4606">
        <v>6</v>
      </c>
      <c r="K4606" t="s">
        <v>87</v>
      </c>
      <c r="L4606" t="s">
        <v>17</v>
      </c>
      <c r="M4606" t="s">
        <v>63</v>
      </c>
      <c r="N4606" t="b">
        <v>0</v>
      </c>
      <c r="O4606">
        <v>0</v>
      </c>
      <c r="P4606">
        <v>0</v>
      </c>
      <c r="Q4606">
        <v>1</v>
      </c>
      <c r="R4606">
        <v>0</v>
      </c>
    </row>
    <row r="4607" spans="1:18" x14ac:dyDescent="0.25">
      <c r="A4607" t="s">
        <v>17</v>
      </c>
      <c r="B4607" t="s">
        <v>63</v>
      </c>
      <c r="C4607">
        <v>4</v>
      </c>
      <c r="D4607">
        <v>3</v>
      </c>
      <c r="E4607">
        <v>1</v>
      </c>
      <c r="F4607" s="15">
        <v>46182</v>
      </c>
      <c r="G4607" t="s">
        <v>571</v>
      </c>
      <c r="H4607">
        <v>4</v>
      </c>
      <c r="I4607">
        <v>2026</v>
      </c>
      <c r="J4607">
        <v>6</v>
      </c>
      <c r="K4607" t="s">
        <v>87</v>
      </c>
      <c r="L4607" t="s">
        <v>19</v>
      </c>
      <c r="M4607" t="s">
        <v>63</v>
      </c>
      <c r="N4607" t="b">
        <v>0</v>
      </c>
      <c r="O4607">
        <v>0</v>
      </c>
      <c r="P4607">
        <v>0</v>
      </c>
      <c r="Q4607">
        <v>1</v>
      </c>
      <c r="R4607">
        <v>0</v>
      </c>
    </row>
    <row r="4608" spans="1:18" x14ac:dyDescent="0.25">
      <c r="A4608" t="s">
        <v>17</v>
      </c>
      <c r="B4608" t="s">
        <v>63</v>
      </c>
      <c r="C4608">
        <v>4</v>
      </c>
      <c r="D4608">
        <v>3</v>
      </c>
      <c r="E4608">
        <v>1</v>
      </c>
      <c r="F4608" s="15">
        <v>46182</v>
      </c>
      <c r="G4608" t="s">
        <v>571</v>
      </c>
      <c r="H4608">
        <v>4</v>
      </c>
      <c r="I4608">
        <v>2026</v>
      </c>
      <c r="J4608">
        <v>6</v>
      </c>
      <c r="K4608" t="s">
        <v>87</v>
      </c>
      <c r="L4608" t="s">
        <v>519</v>
      </c>
      <c r="M4608" t="s">
        <v>63</v>
      </c>
      <c r="N4608" t="b">
        <v>0</v>
      </c>
      <c r="O4608">
        <v>0</v>
      </c>
      <c r="P4608">
        <v>0</v>
      </c>
      <c r="Q4608">
        <v>1</v>
      </c>
      <c r="R4608">
        <v>0</v>
      </c>
    </row>
    <row r="4609" spans="1:18" x14ac:dyDescent="0.25">
      <c r="A4609" t="s">
        <v>17</v>
      </c>
      <c r="B4609" t="s">
        <v>63</v>
      </c>
      <c r="C4609">
        <v>4</v>
      </c>
      <c r="D4609">
        <v>3</v>
      </c>
      <c r="E4609">
        <v>1</v>
      </c>
      <c r="F4609" s="15">
        <v>46182</v>
      </c>
      <c r="G4609" t="s">
        <v>571</v>
      </c>
      <c r="H4609">
        <v>4</v>
      </c>
      <c r="I4609">
        <v>2026</v>
      </c>
      <c r="J4609">
        <v>6</v>
      </c>
      <c r="K4609" t="s">
        <v>87</v>
      </c>
      <c r="L4609" t="s">
        <v>10</v>
      </c>
      <c r="M4609" t="s">
        <v>63</v>
      </c>
      <c r="N4609" t="b">
        <v>0</v>
      </c>
      <c r="O4609">
        <v>0</v>
      </c>
      <c r="P4609">
        <v>0</v>
      </c>
      <c r="Q4609">
        <v>1</v>
      </c>
      <c r="R4609">
        <v>0</v>
      </c>
    </row>
    <row r="4610" spans="1:18" x14ac:dyDescent="0.25">
      <c r="A4610" t="s">
        <v>28</v>
      </c>
      <c r="B4610" t="s">
        <v>63</v>
      </c>
      <c r="C4610">
        <v>1</v>
      </c>
      <c r="D4610">
        <v>4</v>
      </c>
      <c r="E4610">
        <v>1</v>
      </c>
      <c r="F4610" s="15">
        <v>46182</v>
      </c>
      <c r="G4610" t="s">
        <v>572</v>
      </c>
      <c r="H4610">
        <v>4</v>
      </c>
      <c r="I4610">
        <v>2026</v>
      </c>
      <c r="J4610">
        <v>6</v>
      </c>
      <c r="K4610" t="s">
        <v>87</v>
      </c>
      <c r="L4610" t="s">
        <v>20</v>
      </c>
      <c r="M4610" t="s">
        <v>63</v>
      </c>
      <c r="N4610" t="b">
        <v>0</v>
      </c>
      <c r="O4610">
        <v>0</v>
      </c>
      <c r="P4610">
        <v>0</v>
      </c>
      <c r="Q4610">
        <v>1</v>
      </c>
      <c r="R4610">
        <v>0</v>
      </c>
    </row>
    <row r="4611" spans="1:18" x14ac:dyDescent="0.25">
      <c r="A4611" t="s">
        <v>28</v>
      </c>
      <c r="B4611" t="s">
        <v>63</v>
      </c>
      <c r="C4611">
        <v>1</v>
      </c>
      <c r="D4611">
        <v>4</v>
      </c>
      <c r="E4611">
        <v>1</v>
      </c>
      <c r="F4611" s="15">
        <v>46182</v>
      </c>
      <c r="G4611" t="s">
        <v>572</v>
      </c>
      <c r="H4611">
        <v>4</v>
      </c>
      <c r="I4611">
        <v>2026</v>
      </c>
      <c r="J4611">
        <v>6</v>
      </c>
      <c r="K4611" t="s">
        <v>87</v>
      </c>
      <c r="L4611" t="s">
        <v>435</v>
      </c>
      <c r="M4611" t="s">
        <v>63</v>
      </c>
      <c r="N4611" t="b">
        <v>0</v>
      </c>
      <c r="O4611">
        <v>0</v>
      </c>
      <c r="P4611">
        <v>0</v>
      </c>
      <c r="Q4611">
        <v>1</v>
      </c>
      <c r="R4611">
        <v>0</v>
      </c>
    </row>
    <row r="4612" spans="1:18" x14ac:dyDescent="0.25">
      <c r="A4612" t="s">
        <v>28</v>
      </c>
      <c r="B4612" t="s">
        <v>63</v>
      </c>
      <c r="C4612">
        <v>1</v>
      </c>
      <c r="D4612">
        <v>4</v>
      </c>
      <c r="E4612">
        <v>1</v>
      </c>
      <c r="F4612" s="15">
        <v>46182</v>
      </c>
      <c r="G4612" t="s">
        <v>572</v>
      </c>
      <c r="H4612">
        <v>4</v>
      </c>
      <c r="I4612">
        <v>2026</v>
      </c>
      <c r="J4612">
        <v>6</v>
      </c>
      <c r="K4612" t="s">
        <v>87</v>
      </c>
      <c r="L4612" t="s">
        <v>351</v>
      </c>
      <c r="M4612" t="s">
        <v>63</v>
      </c>
      <c r="N4612" t="b">
        <v>0</v>
      </c>
      <c r="O4612">
        <v>0</v>
      </c>
      <c r="P4612">
        <v>0</v>
      </c>
      <c r="Q4612">
        <v>1</v>
      </c>
      <c r="R4612">
        <v>0</v>
      </c>
    </row>
    <row r="4613" spans="1:18" x14ac:dyDescent="0.25">
      <c r="A4613" t="s">
        <v>20</v>
      </c>
      <c r="B4613" t="s">
        <v>63</v>
      </c>
      <c r="C4613">
        <v>2</v>
      </c>
      <c r="D4613">
        <v>4</v>
      </c>
      <c r="E4613">
        <v>1</v>
      </c>
      <c r="F4613" s="15">
        <v>46182</v>
      </c>
      <c r="G4613" t="s">
        <v>572</v>
      </c>
      <c r="H4613">
        <v>4</v>
      </c>
      <c r="I4613">
        <v>2026</v>
      </c>
      <c r="J4613">
        <v>6</v>
      </c>
      <c r="K4613" t="s">
        <v>87</v>
      </c>
      <c r="L4613" t="s">
        <v>28</v>
      </c>
      <c r="M4613" t="s">
        <v>63</v>
      </c>
      <c r="N4613" t="b">
        <v>0</v>
      </c>
      <c r="O4613">
        <v>0</v>
      </c>
      <c r="P4613">
        <v>0</v>
      </c>
      <c r="Q4613">
        <v>1</v>
      </c>
      <c r="R4613">
        <v>0</v>
      </c>
    </row>
    <row r="4614" spans="1:18" x14ac:dyDescent="0.25">
      <c r="A4614" t="s">
        <v>20</v>
      </c>
      <c r="B4614" t="s">
        <v>63</v>
      </c>
      <c r="C4614">
        <v>2</v>
      </c>
      <c r="D4614">
        <v>4</v>
      </c>
      <c r="E4614">
        <v>1</v>
      </c>
      <c r="F4614" s="15">
        <v>46182</v>
      </c>
      <c r="G4614" t="s">
        <v>572</v>
      </c>
      <c r="H4614">
        <v>4</v>
      </c>
      <c r="I4614">
        <v>2026</v>
      </c>
      <c r="J4614">
        <v>6</v>
      </c>
      <c r="K4614" t="s">
        <v>87</v>
      </c>
      <c r="L4614" t="s">
        <v>435</v>
      </c>
      <c r="M4614" t="s">
        <v>63</v>
      </c>
      <c r="N4614" t="b">
        <v>0</v>
      </c>
      <c r="O4614">
        <v>0</v>
      </c>
      <c r="P4614">
        <v>0</v>
      </c>
      <c r="Q4614">
        <v>1</v>
      </c>
      <c r="R4614">
        <v>0</v>
      </c>
    </row>
    <row r="4615" spans="1:18" x14ac:dyDescent="0.25">
      <c r="A4615" t="s">
        <v>20</v>
      </c>
      <c r="B4615" t="s">
        <v>63</v>
      </c>
      <c r="C4615">
        <v>2</v>
      </c>
      <c r="D4615">
        <v>4</v>
      </c>
      <c r="E4615">
        <v>1</v>
      </c>
      <c r="F4615" s="15">
        <v>46182</v>
      </c>
      <c r="G4615" t="s">
        <v>572</v>
      </c>
      <c r="H4615">
        <v>4</v>
      </c>
      <c r="I4615">
        <v>2026</v>
      </c>
      <c r="J4615">
        <v>6</v>
      </c>
      <c r="K4615" t="s">
        <v>87</v>
      </c>
      <c r="L4615" t="s">
        <v>351</v>
      </c>
      <c r="M4615" t="s">
        <v>63</v>
      </c>
      <c r="N4615" t="b">
        <v>0</v>
      </c>
      <c r="O4615">
        <v>0</v>
      </c>
      <c r="P4615">
        <v>0</v>
      </c>
      <c r="Q4615">
        <v>1</v>
      </c>
      <c r="R4615">
        <v>0</v>
      </c>
    </row>
    <row r="4616" spans="1:18" x14ac:dyDescent="0.25">
      <c r="A4616" t="s">
        <v>435</v>
      </c>
      <c r="B4616" t="s">
        <v>63</v>
      </c>
      <c r="C4616">
        <v>3</v>
      </c>
      <c r="D4616">
        <v>4</v>
      </c>
      <c r="E4616">
        <v>1</v>
      </c>
      <c r="F4616" s="15">
        <v>46182</v>
      </c>
      <c r="G4616" t="s">
        <v>572</v>
      </c>
      <c r="H4616">
        <v>4</v>
      </c>
      <c r="I4616">
        <v>2026</v>
      </c>
      <c r="J4616">
        <v>6</v>
      </c>
      <c r="K4616" t="s">
        <v>87</v>
      </c>
      <c r="L4616" t="s">
        <v>28</v>
      </c>
      <c r="M4616" t="s">
        <v>63</v>
      </c>
      <c r="N4616" t="b">
        <v>0</v>
      </c>
      <c r="O4616">
        <v>0</v>
      </c>
      <c r="P4616">
        <v>0</v>
      </c>
      <c r="Q4616">
        <v>1</v>
      </c>
      <c r="R4616">
        <v>0</v>
      </c>
    </row>
    <row r="4617" spans="1:18" x14ac:dyDescent="0.25">
      <c r="A4617" t="s">
        <v>435</v>
      </c>
      <c r="B4617" t="s">
        <v>63</v>
      </c>
      <c r="C4617">
        <v>3</v>
      </c>
      <c r="D4617">
        <v>4</v>
      </c>
      <c r="E4617">
        <v>1</v>
      </c>
      <c r="F4617" s="15">
        <v>46182</v>
      </c>
      <c r="G4617" t="s">
        <v>572</v>
      </c>
      <c r="H4617">
        <v>4</v>
      </c>
      <c r="I4617">
        <v>2026</v>
      </c>
      <c r="J4617">
        <v>6</v>
      </c>
      <c r="K4617" t="s">
        <v>87</v>
      </c>
      <c r="L4617" t="s">
        <v>20</v>
      </c>
      <c r="M4617" t="s">
        <v>63</v>
      </c>
      <c r="N4617" t="b">
        <v>0</v>
      </c>
      <c r="O4617">
        <v>0</v>
      </c>
      <c r="P4617">
        <v>0</v>
      </c>
      <c r="Q4617">
        <v>1</v>
      </c>
      <c r="R4617">
        <v>0</v>
      </c>
    </row>
    <row r="4618" spans="1:18" x14ac:dyDescent="0.25">
      <c r="A4618" t="s">
        <v>435</v>
      </c>
      <c r="B4618" t="s">
        <v>63</v>
      </c>
      <c r="C4618">
        <v>3</v>
      </c>
      <c r="D4618">
        <v>4</v>
      </c>
      <c r="E4618">
        <v>1</v>
      </c>
      <c r="F4618" s="15">
        <v>46182</v>
      </c>
      <c r="G4618" t="s">
        <v>572</v>
      </c>
      <c r="H4618">
        <v>4</v>
      </c>
      <c r="I4618">
        <v>2026</v>
      </c>
      <c r="J4618">
        <v>6</v>
      </c>
      <c r="K4618" t="s">
        <v>87</v>
      </c>
      <c r="L4618" t="s">
        <v>351</v>
      </c>
      <c r="M4618" t="s">
        <v>63</v>
      </c>
      <c r="N4618" t="b">
        <v>0</v>
      </c>
      <c r="O4618">
        <v>0</v>
      </c>
      <c r="P4618">
        <v>0</v>
      </c>
      <c r="Q4618">
        <v>1</v>
      </c>
      <c r="R4618">
        <v>0</v>
      </c>
    </row>
    <row r="4619" spans="1:18" x14ac:dyDescent="0.25">
      <c r="A4619" t="s">
        <v>351</v>
      </c>
      <c r="B4619" t="s">
        <v>63</v>
      </c>
      <c r="C4619">
        <v>4</v>
      </c>
      <c r="D4619">
        <v>4</v>
      </c>
      <c r="E4619">
        <v>1</v>
      </c>
      <c r="F4619" s="15">
        <v>46182</v>
      </c>
      <c r="G4619" t="s">
        <v>572</v>
      </c>
      <c r="H4619">
        <v>4</v>
      </c>
      <c r="I4619">
        <v>2026</v>
      </c>
      <c r="J4619">
        <v>6</v>
      </c>
      <c r="K4619" t="s">
        <v>87</v>
      </c>
      <c r="L4619" t="s">
        <v>28</v>
      </c>
      <c r="M4619" t="s">
        <v>63</v>
      </c>
      <c r="N4619" t="b">
        <v>0</v>
      </c>
      <c r="O4619">
        <v>0</v>
      </c>
      <c r="P4619">
        <v>0</v>
      </c>
      <c r="Q4619">
        <v>1</v>
      </c>
      <c r="R4619">
        <v>0</v>
      </c>
    </row>
    <row r="4620" spans="1:18" x14ac:dyDescent="0.25">
      <c r="A4620" t="s">
        <v>351</v>
      </c>
      <c r="B4620" t="s">
        <v>63</v>
      </c>
      <c r="C4620">
        <v>4</v>
      </c>
      <c r="D4620">
        <v>4</v>
      </c>
      <c r="E4620">
        <v>1</v>
      </c>
      <c r="F4620" s="15">
        <v>46182</v>
      </c>
      <c r="G4620" t="s">
        <v>572</v>
      </c>
      <c r="H4620">
        <v>4</v>
      </c>
      <c r="I4620">
        <v>2026</v>
      </c>
      <c r="J4620">
        <v>6</v>
      </c>
      <c r="K4620" t="s">
        <v>87</v>
      </c>
      <c r="L4620" t="s">
        <v>20</v>
      </c>
      <c r="M4620" t="s">
        <v>63</v>
      </c>
      <c r="N4620" t="b">
        <v>0</v>
      </c>
      <c r="O4620">
        <v>0</v>
      </c>
      <c r="P4620">
        <v>0</v>
      </c>
      <c r="Q4620">
        <v>1</v>
      </c>
      <c r="R4620">
        <v>0</v>
      </c>
    </row>
    <row r="4621" spans="1:18" x14ac:dyDescent="0.25">
      <c r="A4621" t="s">
        <v>351</v>
      </c>
      <c r="B4621" t="s">
        <v>63</v>
      </c>
      <c r="C4621">
        <v>4</v>
      </c>
      <c r="D4621">
        <v>4</v>
      </c>
      <c r="E4621">
        <v>1</v>
      </c>
      <c r="F4621" s="15">
        <v>46182</v>
      </c>
      <c r="G4621" t="s">
        <v>572</v>
      </c>
      <c r="H4621">
        <v>4</v>
      </c>
      <c r="I4621">
        <v>2026</v>
      </c>
      <c r="J4621">
        <v>6</v>
      </c>
      <c r="K4621" t="s">
        <v>87</v>
      </c>
      <c r="L4621" t="s">
        <v>435</v>
      </c>
      <c r="M4621" t="s">
        <v>63</v>
      </c>
      <c r="N4621" t="b">
        <v>0</v>
      </c>
      <c r="O4621">
        <v>0</v>
      </c>
      <c r="P4621">
        <v>0</v>
      </c>
      <c r="Q4621">
        <v>1</v>
      </c>
      <c r="R4621">
        <v>0</v>
      </c>
    </row>
    <row r="4622" spans="1:18" x14ac:dyDescent="0.25">
      <c r="A4622" t="s">
        <v>11</v>
      </c>
      <c r="B4622" t="s">
        <v>8</v>
      </c>
      <c r="C4622">
        <v>1</v>
      </c>
      <c r="D4622">
        <v>5</v>
      </c>
      <c r="E4622">
        <v>1</v>
      </c>
      <c r="F4622" s="15">
        <v>46182</v>
      </c>
      <c r="G4622" t="s">
        <v>573</v>
      </c>
      <c r="H4622">
        <v>4</v>
      </c>
      <c r="I4622">
        <v>2026</v>
      </c>
      <c r="J4622">
        <v>6</v>
      </c>
      <c r="K4622" t="s">
        <v>87</v>
      </c>
      <c r="L4622" t="s">
        <v>405</v>
      </c>
      <c r="M4622" t="s">
        <v>6</v>
      </c>
      <c r="N4622" t="b">
        <v>0</v>
      </c>
      <c r="O4622">
        <v>1</v>
      </c>
      <c r="P4622">
        <v>0</v>
      </c>
      <c r="Q4622">
        <v>0</v>
      </c>
      <c r="R4622">
        <v>0</v>
      </c>
    </row>
    <row r="4623" spans="1:18" x14ac:dyDescent="0.25">
      <c r="A4623" t="s">
        <v>11</v>
      </c>
      <c r="B4623" t="s">
        <v>8</v>
      </c>
      <c r="C4623">
        <v>1</v>
      </c>
      <c r="D4623">
        <v>5</v>
      </c>
      <c r="E4623">
        <v>1</v>
      </c>
      <c r="F4623" s="15">
        <v>46182</v>
      </c>
      <c r="G4623" t="s">
        <v>573</v>
      </c>
      <c r="H4623">
        <v>4</v>
      </c>
      <c r="I4623">
        <v>2026</v>
      </c>
      <c r="J4623">
        <v>6</v>
      </c>
      <c r="K4623" t="s">
        <v>87</v>
      </c>
      <c r="L4623" t="s">
        <v>568</v>
      </c>
      <c r="M4623" t="s">
        <v>6</v>
      </c>
      <c r="N4623" t="b">
        <v>0</v>
      </c>
      <c r="O4623">
        <v>1</v>
      </c>
      <c r="P4623">
        <v>0</v>
      </c>
      <c r="Q4623">
        <v>0</v>
      </c>
      <c r="R4623">
        <v>0</v>
      </c>
    </row>
    <row r="4624" spans="1:18" x14ac:dyDescent="0.25">
      <c r="A4624" t="s">
        <v>11</v>
      </c>
      <c r="B4624" t="s">
        <v>8</v>
      </c>
      <c r="C4624">
        <v>1</v>
      </c>
      <c r="D4624">
        <v>5</v>
      </c>
      <c r="E4624">
        <v>1</v>
      </c>
      <c r="F4624" s="15">
        <v>46182</v>
      </c>
      <c r="G4624" t="s">
        <v>573</v>
      </c>
      <c r="H4624">
        <v>4</v>
      </c>
      <c r="I4624">
        <v>2026</v>
      </c>
      <c r="J4624">
        <v>6</v>
      </c>
      <c r="K4624" t="s">
        <v>87</v>
      </c>
      <c r="L4624" t="s">
        <v>41</v>
      </c>
      <c r="M4624" t="s">
        <v>6</v>
      </c>
      <c r="N4624" t="b">
        <v>0</v>
      </c>
      <c r="O4624">
        <v>1</v>
      </c>
      <c r="P4624">
        <v>0</v>
      </c>
      <c r="Q4624">
        <v>0</v>
      </c>
      <c r="R4624">
        <v>0</v>
      </c>
    </row>
    <row r="4625" spans="1:18" x14ac:dyDescent="0.25">
      <c r="A4625" t="s">
        <v>405</v>
      </c>
      <c r="B4625" t="s">
        <v>6</v>
      </c>
      <c r="C4625">
        <v>2</v>
      </c>
      <c r="D4625">
        <v>5</v>
      </c>
      <c r="E4625">
        <v>1</v>
      </c>
      <c r="F4625" s="15">
        <v>46182</v>
      </c>
      <c r="G4625" t="s">
        <v>573</v>
      </c>
      <c r="H4625">
        <v>4</v>
      </c>
      <c r="I4625">
        <v>2026</v>
      </c>
      <c r="J4625">
        <v>6</v>
      </c>
      <c r="K4625" t="s">
        <v>87</v>
      </c>
      <c r="L4625" t="s">
        <v>11</v>
      </c>
      <c r="M4625" t="s">
        <v>8</v>
      </c>
      <c r="N4625" t="b">
        <v>0</v>
      </c>
      <c r="O4625">
        <v>0</v>
      </c>
      <c r="P4625">
        <v>1</v>
      </c>
      <c r="Q4625">
        <v>0</v>
      </c>
      <c r="R4625">
        <v>1</v>
      </c>
    </row>
    <row r="4626" spans="1:18" x14ac:dyDescent="0.25">
      <c r="A4626" t="s">
        <v>405</v>
      </c>
      <c r="B4626" t="s">
        <v>6</v>
      </c>
      <c r="C4626">
        <v>2</v>
      </c>
      <c r="D4626">
        <v>5</v>
      </c>
      <c r="E4626">
        <v>1</v>
      </c>
      <c r="F4626" s="15">
        <v>46182</v>
      </c>
      <c r="G4626" t="s">
        <v>573</v>
      </c>
      <c r="H4626">
        <v>4</v>
      </c>
      <c r="I4626">
        <v>2026</v>
      </c>
      <c r="J4626">
        <v>6</v>
      </c>
      <c r="K4626" t="s">
        <v>87</v>
      </c>
      <c r="L4626" t="s">
        <v>568</v>
      </c>
      <c r="M4626" t="s">
        <v>6</v>
      </c>
      <c r="N4626" t="b">
        <v>0</v>
      </c>
      <c r="O4626">
        <v>0</v>
      </c>
      <c r="P4626">
        <v>1</v>
      </c>
      <c r="Q4626">
        <v>0</v>
      </c>
      <c r="R4626">
        <v>0</v>
      </c>
    </row>
    <row r="4627" spans="1:18" x14ac:dyDescent="0.25">
      <c r="A4627" t="s">
        <v>405</v>
      </c>
      <c r="B4627" t="s">
        <v>6</v>
      </c>
      <c r="C4627">
        <v>2</v>
      </c>
      <c r="D4627">
        <v>5</v>
      </c>
      <c r="E4627">
        <v>1</v>
      </c>
      <c r="F4627" s="15">
        <v>46182</v>
      </c>
      <c r="G4627" t="s">
        <v>573</v>
      </c>
      <c r="H4627">
        <v>4</v>
      </c>
      <c r="I4627">
        <v>2026</v>
      </c>
      <c r="J4627">
        <v>6</v>
      </c>
      <c r="K4627" t="s">
        <v>87</v>
      </c>
      <c r="L4627" t="s">
        <v>41</v>
      </c>
      <c r="M4627" t="s">
        <v>6</v>
      </c>
      <c r="N4627" t="b">
        <v>0</v>
      </c>
      <c r="O4627">
        <v>0</v>
      </c>
      <c r="P4627">
        <v>1</v>
      </c>
      <c r="Q4627">
        <v>0</v>
      </c>
      <c r="R4627">
        <v>0</v>
      </c>
    </row>
    <row r="4628" spans="1:18" x14ac:dyDescent="0.25">
      <c r="A4628" t="s">
        <v>568</v>
      </c>
      <c r="B4628" t="s">
        <v>6</v>
      </c>
      <c r="C4628">
        <v>3</v>
      </c>
      <c r="D4628">
        <v>5</v>
      </c>
      <c r="E4628">
        <v>1</v>
      </c>
      <c r="F4628" s="15">
        <v>46182</v>
      </c>
      <c r="G4628" t="s">
        <v>573</v>
      </c>
      <c r="H4628">
        <v>4</v>
      </c>
      <c r="I4628">
        <v>2026</v>
      </c>
      <c r="J4628">
        <v>6</v>
      </c>
      <c r="K4628" t="s">
        <v>87</v>
      </c>
      <c r="L4628" t="s">
        <v>11</v>
      </c>
      <c r="M4628" t="s">
        <v>8</v>
      </c>
      <c r="N4628" t="b">
        <v>0</v>
      </c>
      <c r="O4628">
        <v>0</v>
      </c>
      <c r="P4628">
        <v>1</v>
      </c>
      <c r="Q4628">
        <v>0</v>
      </c>
      <c r="R4628">
        <v>1</v>
      </c>
    </row>
    <row r="4629" spans="1:18" x14ac:dyDescent="0.25">
      <c r="A4629" t="s">
        <v>568</v>
      </c>
      <c r="B4629" t="s">
        <v>6</v>
      </c>
      <c r="C4629">
        <v>3</v>
      </c>
      <c r="D4629">
        <v>5</v>
      </c>
      <c r="E4629">
        <v>1</v>
      </c>
      <c r="F4629" s="15">
        <v>46182</v>
      </c>
      <c r="G4629" t="s">
        <v>573</v>
      </c>
      <c r="H4629">
        <v>4</v>
      </c>
      <c r="I4629">
        <v>2026</v>
      </c>
      <c r="J4629">
        <v>6</v>
      </c>
      <c r="K4629" t="s">
        <v>87</v>
      </c>
      <c r="L4629" t="s">
        <v>405</v>
      </c>
      <c r="M4629" t="s">
        <v>6</v>
      </c>
      <c r="N4629" t="b">
        <v>0</v>
      </c>
      <c r="O4629">
        <v>0</v>
      </c>
      <c r="P4629">
        <v>1</v>
      </c>
      <c r="Q4629">
        <v>0</v>
      </c>
      <c r="R4629">
        <v>0</v>
      </c>
    </row>
    <row r="4630" spans="1:18" x14ac:dyDescent="0.25">
      <c r="A4630" t="s">
        <v>568</v>
      </c>
      <c r="B4630" t="s">
        <v>6</v>
      </c>
      <c r="C4630">
        <v>3</v>
      </c>
      <c r="D4630">
        <v>5</v>
      </c>
      <c r="E4630">
        <v>1</v>
      </c>
      <c r="F4630" s="15">
        <v>46182</v>
      </c>
      <c r="G4630" t="s">
        <v>573</v>
      </c>
      <c r="H4630">
        <v>4</v>
      </c>
      <c r="I4630">
        <v>2026</v>
      </c>
      <c r="J4630">
        <v>6</v>
      </c>
      <c r="K4630" t="s">
        <v>87</v>
      </c>
      <c r="L4630" t="s">
        <v>41</v>
      </c>
      <c r="M4630" t="s">
        <v>6</v>
      </c>
      <c r="N4630" t="b">
        <v>0</v>
      </c>
      <c r="O4630">
        <v>0</v>
      </c>
      <c r="P4630">
        <v>1</v>
      </c>
      <c r="Q4630">
        <v>0</v>
      </c>
      <c r="R4630">
        <v>0</v>
      </c>
    </row>
    <row r="4631" spans="1:18" x14ac:dyDescent="0.25">
      <c r="A4631" t="s">
        <v>41</v>
      </c>
      <c r="B4631" t="s">
        <v>6</v>
      </c>
      <c r="C4631">
        <v>4</v>
      </c>
      <c r="D4631">
        <v>5</v>
      </c>
      <c r="E4631">
        <v>1</v>
      </c>
      <c r="F4631" s="15">
        <v>46182</v>
      </c>
      <c r="G4631" t="s">
        <v>573</v>
      </c>
      <c r="H4631">
        <v>4</v>
      </c>
      <c r="I4631">
        <v>2026</v>
      </c>
      <c r="J4631">
        <v>6</v>
      </c>
      <c r="K4631" t="s">
        <v>87</v>
      </c>
      <c r="L4631" t="s">
        <v>11</v>
      </c>
      <c r="M4631" t="s">
        <v>8</v>
      </c>
      <c r="N4631" t="b">
        <v>0</v>
      </c>
      <c r="O4631">
        <v>0</v>
      </c>
      <c r="P4631">
        <v>1</v>
      </c>
      <c r="Q4631">
        <v>0</v>
      </c>
      <c r="R4631">
        <v>1</v>
      </c>
    </row>
    <row r="4632" spans="1:18" x14ac:dyDescent="0.25">
      <c r="A4632" t="s">
        <v>41</v>
      </c>
      <c r="B4632" t="s">
        <v>6</v>
      </c>
      <c r="C4632">
        <v>4</v>
      </c>
      <c r="D4632">
        <v>5</v>
      </c>
      <c r="E4632">
        <v>1</v>
      </c>
      <c r="F4632" s="15">
        <v>46182</v>
      </c>
      <c r="G4632" t="s">
        <v>573</v>
      </c>
      <c r="H4632">
        <v>4</v>
      </c>
      <c r="I4632">
        <v>2026</v>
      </c>
      <c r="J4632">
        <v>6</v>
      </c>
      <c r="K4632" t="s">
        <v>87</v>
      </c>
      <c r="L4632" t="s">
        <v>405</v>
      </c>
      <c r="M4632" t="s">
        <v>6</v>
      </c>
      <c r="N4632" t="b">
        <v>0</v>
      </c>
      <c r="O4632">
        <v>0</v>
      </c>
      <c r="P4632">
        <v>1</v>
      </c>
      <c r="Q4632">
        <v>0</v>
      </c>
      <c r="R4632">
        <v>0</v>
      </c>
    </row>
    <row r="4633" spans="1:18" x14ac:dyDescent="0.25">
      <c r="A4633" t="s">
        <v>41</v>
      </c>
      <c r="B4633" t="s">
        <v>6</v>
      </c>
      <c r="C4633">
        <v>4</v>
      </c>
      <c r="D4633">
        <v>5</v>
      </c>
      <c r="E4633">
        <v>1</v>
      </c>
      <c r="F4633" s="15">
        <v>46182</v>
      </c>
      <c r="G4633" t="s">
        <v>573</v>
      </c>
      <c r="H4633">
        <v>4</v>
      </c>
      <c r="I4633">
        <v>2026</v>
      </c>
      <c r="J4633">
        <v>6</v>
      </c>
      <c r="K4633" t="s">
        <v>87</v>
      </c>
      <c r="L4633" t="s">
        <v>568</v>
      </c>
      <c r="M4633" t="s">
        <v>6</v>
      </c>
      <c r="N4633" t="b">
        <v>0</v>
      </c>
      <c r="O4633">
        <v>0</v>
      </c>
      <c r="P4633">
        <v>1</v>
      </c>
      <c r="Q4633">
        <v>0</v>
      </c>
      <c r="R4633">
        <v>0</v>
      </c>
    </row>
    <row r="4634" spans="1:18" x14ac:dyDescent="0.25">
      <c r="A4634" t="s">
        <v>11</v>
      </c>
      <c r="B4634" t="s">
        <v>6</v>
      </c>
      <c r="C4634">
        <v>1</v>
      </c>
      <c r="D4634">
        <v>1</v>
      </c>
      <c r="E4634">
        <v>2</v>
      </c>
      <c r="F4634" s="15">
        <v>46182</v>
      </c>
      <c r="G4634" t="s">
        <v>574</v>
      </c>
      <c r="H4634">
        <v>4</v>
      </c>
      <c r="I4634">
        <v>2026</v>
      </c>
      <c r="J4634">
        <v>6</v>
      </c>
      <c r="K4634" t="s">
        <v>87</v>
      </c>
      <c r="L4634" t="s">
        <v>13</v>
      </c>
      <c r="M4634" t="s">
        <v>8</v>
      </c>
      <c r="N4634" t="b">
        <v>0</v>
      </c>
      <c r="O4634">
        <v>0</v>
      </c>
      <c r="P4634">
        <v>1</v>
      </c>
      <c r="Q4634">
        <v>0</v>
      </c>
      <c r="R4634">
        <v>1</v>
      </c>
    </row>
    <row r="4635" spans="1:18" x14ac:dyDescent="0.25">
      <c r="A4635" t="s">
        <v>11</v>
      </c>
      <c r="B4635" t="s">
        <v>6</v>
      </c>
      <c r="C4635">
        <v>1</v>
      </c>
      <c r="D4635">
        <v>1</v>
      </c>
      <c r="E4635">
        <v>2</v>
      </c>
      <c r="F4635" s="15">
        <v>46182</v>
      </c>
      <c r="G4635" t="s">
        <v>574</v>
      </c>
      <c r="H4635">
        <v>4</v>
      </c>
      <c r="I4635">
        <v>2026</v>
      </c>
      <c r="J4635">
        <v>6</v>
      </c>
      <c r="K4635" t="s">
        <v>87</v>
      </c>
      <c r="L4635" t="s">
        <v>14</v>
      </c>
      <c r="M4635" t="s">
        <v>6</v>
      </c>
      <c r="N4635" t="b">
        <v>0</v>
      </c>
      <c r="O4635">
        <v>0</v>
      </c>
      <c r="P4635">
        <v>1</v>
      </c>
      <c r="Q4635">
        <v>0</v>
      </c>
      <c r="R4635">
        <v>0</v>
      </c>
    </row>
    <row r="4636" spans="1:18" x14ac:dyDescent="0.25">
      <c r="A4636" t="s">
        <v>11</v>
      </c>
      <c r="B4636" t="s">
        <v>6</v>
      </c>
      <c r="C4636">
        <v>1</v>
      </c>
      <c r="D4636">
        <v>1</v>
      </c>
      <c r="E4636">
        <v>2</v>
      </c>
      <c r="F4636" s="15">
        <v>46182</v>
      </c>
      <c r="G4636" t="s">
        <v>574</v>
      </c>
      <c r="H4636">
        <v>4</v>
      </c>
      <c r="I4636">
        <v>2026</v>
      </c>
      <c r="J4636">
        <v>6</v>
      </c>
      <c r="K4636" t="s">
        <v>87</v>
      </c>
      <c r="L4636" t="s">
        <v>20</v>
      </c>
      <c r="M4636" t="s">
        <v>6</v>
      </c>
      <c r="N4636" t="b">
        <v>0</v>
      </c>
      <c r="O4636">
        <v>0</v>
      </c>
      <c r="P4636">
        <v>1</v>
      </c>
      <c r="Q4636">
        <v>0</v>
      </c>
      <c r="R4636">
        <v>0</v>
      </c>
    </row>
    <row r="4637" spans="1:18" x14ac:dyDescent="0.25">
      <c r="A4637" t="s">
        <v>13</v>
      </c>
      <c r="B4637" t="s">
        <v>8</v>
      </c>
      <c r="C4637">
        <v>2</v>
      </c>
      <c r="D4637">
        <v>1</v>
      </c>
      <c r="E4637">
        <v>2</v>
      </c>
      <c r="F4637" s="15">
        <v>46182</v>
      </c>
      <c r="G4637" t="s">
        <v>574</v>
      </c>
      <c r="H4637">
        <v>4</v>
      </c>
      <c r="I4637">
        <v>2026</v>
      </c>
      <c r="J4637">
        <v>6</v>
      </c>
      <c r="K4637" t="s">
        <v>87</v>
      </c>
      <c r="L4637" t="s">
        <v>11</v>
      </c>
      <c r="M4637" t="s">
        <v>6</v>
      </c>
      <c r="N4637" t="b">
        <v>0</v>
      </c>
      <c r="O4637">
        <v>1</v>
      </c>
      <c r="P4637">
        <v>0</v>
      </c>
      <c r="Q4637">
        <v>0</v>
      </c>
      <c r="R4637">
        <v>0</v>
      </c>
    </row>
    <row r="4638" spans="1:18" x14ac:dyDescent="0.25">
      <c r="A4638" t="s">
        <v>13</v>
      </c>
      <c r="B4638" t="s">
        <v>8</v>
      </c>
      <c r="C4638">
        <v>2</v>
      </c>
      <c r="D4638">
        <v>1</v>
      </c>
      <c r="E4638">
        <v>2</v>
      </c>
      <c r="F4638" s="15">
        <v>46182</v>
      </c>
      <c r="G4638" t="s">
        <v>574</v>
      </c>
      <c r="H4638">
        <v>4</v>
      </c>
      <c r="I4638">
        <v>2026</v>
      </c>
      <c r="J4638">
        <v>6</v>
      </c>
      <c r="K4638" t="s">
        <v>87</v>
      </c>
      <c r="L4638" t="s">
        <v>14</v>
      </c>
      <c r="M4638" t="s">
        <v>6</v>
      </c>
      <c r="N4638" t="b">
        <v>0</v>
      </c>
      <c r="O4638">
        <v>1</v>
      </c>
      <c r="P4638">
        <v>0</v>
      </c>
      <c r="Q4638">
        <v>0</v>
      </c>
      <c r="R4638">
        <v>0</v>
      </c>
    </row>
    <row r="4639" spans="1:18" x14ac:dyDescent="0.25">
      <c r="A4639" t="s">
        <v>13</v>
      </c>
      <c r="B4639" t="s">
        <v>8</v>
      </c>
      <c r="C4639">
        <v>2</v>
      </c>
      <c r="D4639">
        <v>1</v>
      </c>
      <c r="E4639">
        <v>2</v>
      </c>
      <c r="F4639" s="15">
        <v>46182</v>
      </c>
      <c r="G4639" t="s">
        <v>574</v>
      </c>
      <c r="H4639">
        <v>4</v>
      </c>
      <c r="I4639">
        <v>2026</v>
      </c>
      <c r="J4639">
        <v>6</v>
      </c>
      <c r="K4639" t="s">
        <v>87</v>
      </c>
      <c r="L4639" t="s">
        <v>20</v>
      </c>
      <c r="M4639" t="s">
        <v>6</v>
      </c>
      <c r="N4639" t="b">
        <v>0</v>
      </c>
      <c r="O4639">
        <v>1</v>
      </c>
      <c r="P4639">
        <v>0</v>
      </c>
      <c r="Q4639">
        <v>0</v>
      </c>
      <c r="R4639">
        <v>0</v>
      </c>
    </row>
    <row r="4640" spans="1:18" x14ac:dyDescent="0.25">
      <c r="A4640" t="s">
        <v>14</v>
      </c>
      <c r="B4640" t="s">
        <v>6</v>
      </c>
      <c r="C4640">
        <v>3</v>
      </c>
      <c r="D4640">
        <v>1</v>
      </c>
      <c r="E4640">
        <v>2</v>
      </c>
      <c r="F4640" s="15">
        <v>46182</v>
      </c>
      <c r="G4640" t="s">
        <v>574</v>
      </c>
      <c r="H4640">
        <v>4</v>
      </c>
      <c r="I4640">
        <v>2026</v>
      </c>
      <c r="J4640">
        <v>6</v>
      </c>
      <c r="K4640" t="s">
        <v>87</v>
      </c>
      <c r="L4640" t="s">
        <v>11</v>
      </c>
      <c r="M4640" t="s">
        <v>6</v>
      </c>
      <c r="N4640" t="b">
        <v>0</v>
      </c>
      <c r="O4640">
        <v>0</v>
      </c>
      <c r="P4640">
        <v>1</v>
      </c>
      <c r="Q4640">
        <v>0</v>
      </c>
      <c r="R4640">
        <v>0</v>
      </c>
    </row>
    <row r="4641" spans="1:18" x14ac:dyDescent="0.25">
      <c r="A4641" t="s">
        <v>14</v>
      </c>
      <c r="B4641" t="s">
        <v>6</v>
      </c>
      <c r="C4641">
        <v>3</v>
      </c>
      <c r="D4641">
        <v>1</v>
      </c>
      <c r="E4641">
        <v>2</v>
      </c>
      <c r="F4641" s="15">
        <v>46182</v>
      </c>
      <c r="G4641" t="s">
        <v>574</v>
      </c>
      <c r="H4641">
        <v>4</v>
      </c>
      <c r="I4641">
        <v>2026</v>
      </c>
      <c r="J4641">
        <v>6</v>
      </c>
      <c r="K4641" t="s">
        <v>87</v>
      </c>
      <c r="L4641" t="s">
        <v>13</v>
      </c>
      <c r="M4641" t="s">
        <v>8</v>
      </c>
      <c r="N4641" t="b">
        <v>0</v>
      </c>
      <c r="O4641">
        <v>0</v>
      </c>
      <c r="P4641">
        <v>1</v>
      </c>
      <c r="Q4641">
        <v>0</v>
      </c>
      <c r="R4641">
        <v>1</v>
      </c>
    </row>
    <row r="4642" spans="1:18" x14ac:dyDescent="0.25">
      <c r="A4642" t="s">
        <v>14</v>
      </c>
      <c r="B4642" t="s">
        <v>6</v>
      </c>
      <c r="C4642">
        <v>3</v>
      </c>
      <c r="D4642">
        <v>1</v>
      </c>
      <c r="E4642">
        <v>2</v>
      </c>
      <c r="F4642" s="15">
        <v>46182</v>
      </c>
      <c r="G4642" t="s">
        <v>574</v>
      </c>
      <c r="H4642">
        <v>4</v>
      </c>
      <c r="I4642">
        <v>2026</v>
      </c>
      <c r="J4642">
        <v>6</v>
      </c>
      <c r="K4642" t="s">
        <v>87</v>
      </c>
      <c r="L4642" t="s">
        <v>20</v>
      </c>
      <c r="M4642" t="s">
        <v>6</v>
      </c>
      <c r="N4642" t="b">
        <v>0</v>
      </c>
      <c r="O4642">
        <v>0</v>
      </c>
      <c r="P4642">
        <v>1</v>
      </c>
      <c r="Q4642">
        <v>0</v>
      </c>
      <c r="R4642">
        <v>0</v>
      </c>
    </row>
    <row r="4643" spans="1:18" x14ac:dyDescent="0.25">
      <c r="A4643" t="s">
        <v>20</v>
      </c>
      <c r="B4643" t="s">
        <v>6</v>
      </c>
      <c r="C4643">
        <v>4</v>
      </c>
      <c r="D4643">
        <v>1</v>
      </c>
      <c r="E4643">
        <v>2</v>
      </c>
      <c r="F4643" s="15">
        <v>46182</v>
      </c>
      <c r="G4643" t="s">
        <v>574</v>
      </c>
      <c r="H4643">
        <v>4</v>
      </c>
      <c r="I4643">
        <v>2026</v>
      </c>
      <c r="J4643">
        <v>6</v>
      </c>
      <c r="K4643" t="s">
        <v>87</v>
      </c>
      <c r="L4643" t="s">
        <v>11</v>
      </c>
      <c r="M4643" t="s">
        <v>6</v>
      </c>
      <c r="N4643" t="b">
        <v>0</v>
      </c>
      <c r="O4643">
        <v>0</v>
      </c>
      <c r="P4643">
        <v>1</v>
      </c>
      <c r="Q4643">
        <v>0</v>
      </c>
      <c r="R4643">
        <v>0</v>
      </c>
    </row>
    <row r="4644" spans="1:18" x14ac:dyDescent="0.25">
      <c r="A4644" t="s">
        <v>20</v>
      </c>
      <c r="B4644" t="s">
        <v>6</v>
      </c>
      <c r="C4644">
        <v>4</v>
      </c>
      <c r="D4644">
        <v>1</v>
      </c>
      <c r="E4644">
        <v>2</v>
      </c>
      <c r="F4644" s="15">
        <v>46182</v>
      </c>
      <c r="G4644" t="s">
        <v>574</v>
      </c>
      <c r="H4644">
        <v>4</v>
      </c>
      <c r="I4644">
        <v>2026</v>
      </c>
      <c r="J4644">
        <v>6</v>
      </c>
      <c r="K4644" t="s">
        <v>87</v>
      </c>
      <c r="L4644" t="s">
        <v>13</v>
      </c>
      <c r="M4644" t="s">
        <v>8</v>
      </c>
      <c r="N4644" t="b">
        <v>0</v>
      </c>
      <c r="O4644">
        <v>0</v>
      </c>
      <c r="P4644">
        <v>1</v>
      </c>
      <c r="Q4644">
        <v>0</v>
      </c>
      <c r="R4644">
        <v>1</v>
      </c>
    </row>
    <row r="4645" spans="1:18" x14ac:dyDescent="0.25">
      <c r="A4645" t="s">
        <v>20</v>
      </c>
      <c r="B4645" t="s">
        <v>6</v>
      </c>
      <c r="C4645">
        <v>4</v>
      </c>
      <c r="D4645">
        <v>1</v>
      </c>
      <c r="E4645">
        <v>2</v>
      </c>
      <c r="F4645" s="15">
        <v>46182</v>
      </c>
      <c r="G4645" t="s">
        <v>574</v>
      </c>
      <c r="H4645">
        <v>4</v>
      </c>
      <c r="I4645">
        <v>2026</v>
      </c>
      <c r="J4645">
        <v>6</v>
      </c>
      <c r="K4645" t="s">
        <v>87</v>
      </c>
      <c r="L4645" t="s">
        <v>14</v>
      </c>
      <c r="M4645" t="s">
        <v>6</v>
      </c>
      <c r="N4645" t="b">
        <v>0</v>
      </c>
      <c r="O4645">
        <v>0</v>
      </c>
      <c r="P4645">
        <v>1</v>
      </c>
      <c r="Q4645">
        <v>0</v>
      </c>
      <c r="R4645">
        <v>0</v>
      </c>
    </row>
    <row r="4646" spans="1:18" x14ac:dyDescent="0.25">
      <c r="A4646" t="s">
        <v>41</v>
      </c>
      <c r="B4646" t="s">
        <v>8</v>
      </c>
      <c r="C4646">
        <v>1</v>
      </c>
      <c r="D4646">
        <v>2</v>
      </c>
      <c r="E4646">
        <v>2</v>
      </c>
      <c r="F4646" s="15">
        <v>46182</v>
      </c>
      <c r="G4646" t="s">
        <v>575</v>
      </c>
      <c r="H4646">
        <v>4</v>
      </c>
      <c r="I4646">
        <v>2026</v>
      </c>
      <c r="J4646">
        <v>6</v>
      </c>
      <c r="K4646" t="s">
        <v>87</v>
      </c>
      <c r="L4646" t="s">
        <v>17</v>
      </c>
      <c r="M4646" t="s">
        <v>6</v>
      </c>
      <c r="N4646" t="b">
        <v>0</v>
      </c>
      <c r="O4646">
        <v>1</v>
      </c>
      <c r="P4646">
        <v>0</v>
      </c>
      <c r="Q4646">
        <v>0</v>
      </c>
      <c r="R4646">
        <v>0</v>
      </c>
    </row>
    <row r="4647" spans="1:18" x14ac:dyDescent="0.25">
      <c r="A4647" t="s">
        <v>41</v>
      </c>
      <c r="B4647" t="s">
        <v>8</v>
      </c>
      <c r="C4647">
        <v>1</v>
      </c>
      <c r="D4647">
        <v>2</v>
      </c>
      <c r="E4647">
        <v>2</v>
      </c>
      <c r="F4647" s="15">
        <v>46182</v>
      </c>
      <c r="G4647" t="s">
        <v>575</v>
      </c>
      <c r="H4647">
        <v>4</v>
      </c>
      <c r="I4647">
        <v>2026</v>
      </c>
      <c r="J4647">
        <v>6</v>
      </c>
      <c r="K4647" t="s">
        <v>87</v>
      </c>
      <c r="L4647" t="s">
        <v>352</v>
      </c>
      <c r="M4647" t="s">
        <v>6</v>
      </c>
      <c r="N4647" t="b">
        <v>0</v>
      </c>
      <c r="O4647">
        <v>1</v>
      </c>
      <c r="P4647">
        <v>0</v>
      </c>
      <c r="Q4647">
        <v>0</v>
      </c>
      <c r="R4647">
        <v>0</v>
      </c>
    </row>
    <row r="4648" spans="1:18" x14ac:dyDescent="0.25">
      <c r="A4648" t="s">
        <v>41</v>
      </c>
      <c r="B4648" t="s">
        <v>8</v>
      </c>
      <c r="C4648">
        <v>1</v>
      </c>
      <c r="D4648">
        <v>2</v>
      </c>
      <c r="E4648">
        <v>2</v>
      </c>
      <c r="F4648" s="15">
        <v>46182</v>
      </c>
      <c r="G4648" t="s">
        <v>575</v>
      </c>
      <c r="H4648">
        <v>4</v>
      </c>
      <c r="I4648">
        <v>2026</v>
      </c>
      <c r="J4648">
        <v>6</v>
      </c>
      <c r="K4648" t="s">
        <v>87</v>
      </c>
      <c r="L4648" t="s">
        <v>435</v>
      </c>
      <c r="M4648" t="s">
        <v>6</v>
      </c>
      <c r="N4648" t="b">
        <v>0</v>
      </c>
      <c r="O4648">
        <v>1</v>
      </c>
      <c r="P4648">
        <v>0</v>
      </c>
      <c r="Q4648">
        <v>0</v>
      </c>
      <c r="R4648">
        <v>0</v>
      </c>
    </row>
    <row r="4649" spans="1:18" x14ac:dyDescent="0.25">
      <c r="A4649" t="s">
        <v>17</v>
      </c>
      <c r="B4649" t="s">
        <v>6</v>
      </c>
      <c r="C4649">
        <v>2</v>
      </c>
      <c r="D4649">
        <v>2</v>
      </c>
      <c r="E4649">
        <v>2</v>
      </c>
      <c r="F4649" s="15">
        <v>46182</v>
      </c>
      <c r="G4649" t="s">
        <v>575</v>
      </c>
      <c r="H4649">
        <v>4</v>
      </c>
      <c r="I4649">
        <v>2026</v>
      </c>
      <c r="J4649">
        <v>6</v>
      </c>
      <c r="K4649" t="s">
        <v>87</v>
      </c>
      <c r="L4649" t="s">
        <v>41</v>
      </c>
      <c r="M4649" t="s">
        <v>8</v>
      </c>
      <c r="N4649" t="b">
        <v>0</v>
      </c>
      <c r="O4649">
        <v>0</v>
      </c>
      <c r="P4649">
        <v>1</v>
      </c>
      <c r="Q4649">
        <v>0</v>
      </c>
      <c r="R4649">
        <v>1</v>
      </c>
    </row>
    <row r="4650" spans="1:18" x14ac:dyDescent="0.25">
      <c r="A4650" t="s">
        <v>17</v>
      </c>
      <c r="B4650" t="s">
        <v>6</v>
      </c>
      <c r="C4650">
        <v>2</v>
      </c>
      <c r="D4650">
        <v>2</v>
      </c>
      <c r="E4650">
        <v>2</v>
      </c>
      <c r="F4650" s="15">
        <v>46182</v>
      </c>
      <c r="G4650" t="s">
        <v>575</v>
      </c>
      <c r="H4650">
        <v>4</v>
      </c>
      <c r="I4650">
        <v>2026</v>
      </c>
      <c r="J4650">
        <v>6</v>
      </c>
      <c r="K4650" t="s">
        <v>87</v>
      </c>
      <c r="L4650" t="s">
        <v>352</v>
      </c>
      <c r="M4650" t="s">
        <v>6</v>
      </c>
      <c r="N4650" t="b">
        <v>0</v>
      </c>
      <c r="O4650">
        <v>0</v>
      </c>
      <c r="P4650">
        <v>1</v>
      </c>
      <c r="Q4650">
        <v>0</v>
      </c>
      <c r="R4650">
        <v>0</v>
      </c>
    </row>
    <row r="4651" spans="1:18" x14ac:dyDescent="0.25">
      <c r="A4651" t="s">
        <v>17</v>
      </c>
      <c r="B4651" t="s">
        <v>6</v>
      </c>
      <c r="C4651">
        <v>2</v>
      </c>
      <c r="D4651">
        <v>2</v>
      </c>
      <c r="E4651">
        <v>2</v>
      </c>
      <c r="F4651" s="15">
        <v>46182</v>
      </c>
      <c r="G4651" t="s">
        <v>575</v>
      </c>
      <c r="H4651">
        <v>4</v>
      </c>
      <c r="I4651">
        <v>2026</v>
      </c>
      <c r="J4651">
        <v>6</v>
      </c>
      <c r="K4651" t="s">
        <v>87</v>
      </c>
      <c r="L4651" t="s">
        <v>435</v>
      </c>
      <c r="M4651" t="s">
        <v>6</v>
      </c>
      <c r="N4651" t="b">
        <v>0</v>
      </c>
      <c r="O4651">
        <v>0</v>
      </c>
      <c r="P4651">
        <v>1</v>
      </c>
      <c r="Q4651">
        <v>0</v>
      </c>
      <c r="R4651">
        <v>0</v>
      </c>
    </row>
    <row r="4652" spans="1:18" x14ac:dyDescent="0.25">
      <c r="A4652" t="s">
        <v>352</v>
      </c>
      <c r="B4652" t="s">
        <v>6</v>
      </c>
      <c r="C4652">
        <v>3</v>
      </c>
      <c r="D4652">
        <v>2</v>
      </c>
      <c r="E4652">
        <v>2</v>
      </c>
      <c r="F4652" s="15">
        <v>46182</v>
      </c>
      <c r="G4652" t="s">
        <v>575</v>
      </c>
      <c r="H4652">
        <v>4</v>
      </c>
      <c r="I4652">
        <v>2026</v>
      </c>
      <c r="J4652">
        <v>6</v>
      </c>
      <c r="K4652" t="s">
        <v>87</v>
      </c>
      <c r="L4652" t="s">
        <v>41</v>
      </c>
      <c r="M4652" t="s">
        <v>8</v>
      </c>
      <c r="N4652" t="b">
        <v>0</v>
      </c>
      <c r="O4652">
        <v>0</v>
      </c>
      <c r="P4652">
        <v>1</v>
      </c>
      <c r="Q4652">
        <v>0</v>
      </c>
      <c r="R4652">
        <v>1</v>
      </c>
    </row>
    <row r="4653" spans="1:18" x14ac:dyDescent="0.25">
      <c r="A4653" t="s">
        <v>352</v>
      </c>
      <c r="B4653" t="s">
        <v>6</v>
      </c>
      <c r="C4653">
        <v>3</v>
      </c>
      <c r="D4653">
        <v>2</v>
      </c>
      <c r="E4653">
        <v>2</v>
      </c>
      <c r="F4653" s="15">
        <v>46182</v>
      </c>
      <c r="G4653" t="s">
        <v>575</v>
      </c>
      <c r="H4653">
        <v>4</v>
      </c>
      <c r="I4653">
        <v>2026</v>
      </c>
      <c r="J4653">
        <v>6</v>
      </c>
      <c r="K4653" t="s">
        <v>87</v>
      </c>
      <c r="L4653" t="s">
        <v>17</v>
      </c>
      <c r="M4653" t="s">
        <v>6</v>
      </c>
      <c r="N4653" t="b">
        <v>0</v>
      </c>
      <c r="O4653">
        <v>0</v>
      </c>
      <c r="P4653">
        <v>1</v>
      </c>
      <c r="Q4653">
        <v>0</v>
      </c>
      <c r="R4653">
        <v>0</v>
      </c>
    </row>
    <row r="4654" spans="1:18" x14ac:dyDescent="0.25">
      <c r="A4654" t="s">
        <v>352</v>
      </c>
      <c r="B4654" t="s">
        <v>6</v>
      </c>
      <c r="C4654">
        <v>3</v>
      </c>
      <c r="D4654">
        <v>2</v>
      </c>
      <c r="E4654">
        <v>2</v>
      </c>
      <c r="F4654" s="15">
        <v>46182</v>
      </c>
      <c r="G4654" t="s">
        <v>575</v>
      </c>
      <c r="H4654">
        <v>4</v>
      </c>
      <c r="I4654">
        <v>2026</v>
      </c>
      <c r="J4654">
        <v>6</v>
      </c>
      <c r="K4654" t="s">
        <v>87</v>
      </c>
      <c r="L4654" t="s">
        <v>435</v>
      </c>
      <c r="M4654" t="s">
        <v>6</v>
      </c>
      <c r="N4654" t="b">
        <v>0</v>
      </c>
      <c r="O4654">
        <v>0</v>
      </c>
      <c r="P4654">
        <v>1</v>
      </c>
      <c r="Q4654">
        <v>0</v>
      </c>
      <c r="R4654">
        <v>0</v>
      </c>
    </row>
    <row r="4655" spans="1:18" x14ac:dyDescent="0.25">
      <c r="A4655" t="s">
        <v>435</v>
      </c>
      <c r="B4655" t="s">
        <v>6</v>
      </c>
      <c r="C4655">
        <v>4</v>
      </c>
      <c r="D4655">
        <v>2</v>
      </c>
      <c r="E4655">
        <v>2</v>
      </c>
      <c r="F4655" s="15">
        <v>46182</v>
      </c>
      <c r="G4655" t="s">
        <v>575</v>
      </c>
      <c r="H4655">
        <v>4</v>
      </c>
      <c r="I4655">
        <v>2026</v>
      </c>
      <c r="J4655">
        <v>6</v>
      </c>
      <c r="K4655" t="s">
        <v>87</v>
      </c>
      <c r="L4655" t="s">
        <v>41</v>
      </c>
      <c r="M4655" t="s">
        <v>8</v>
      </c>
      <c r="N4655" t="b">
        <v>0</v>
      </c>
      <c r="O4655">
        <v>0</v>
      </c>
      <c r="P4655">
        <v>1</v>
      </c>
      <c r="Q4655">
        <v>0</v>
      </c>
      <c r="R4655">
        <v>1</v>
      </c>
    </row>
    <row r="4656" spans="1:18" x14ac:dyDescent="0.25">
      <c r="A4656" t="s">
        <v>435</v>
      </c>
      <c r="B4656" t="s">
        <v>6</v>
      </c>
      <c r="C4656">
        <v>4</v>
      </c>
      <c r="D4656">
        <v>2</v>
      </c>
      <c r="E4656">
        <v>2</v>
      </c>
      <c r="F4656" s="15">
        <v>46182</v>
      </c>
      <c r="G4656" t="s">
        <v>575</v>
      </c>
      <c r="H4656">
        <v>4</v>
      </c>
      <c r="I4656">
        <v>2026</v>
      </c>
      <c r="J4656">
        <v>6</v>
      </c>
      <c r="K4656" t="s">
        <v>87</v>
      </c>
      <c r="L4656" t="s">
        <v>17</v>
      </c>
      <c r="M4656" t="s">
        <v>6</v>
      </c>
      <c r="N4656" t="b">
        <v>0</v>
      </c>
      <c r="O4656">
        <v>0</v>
      </c>
      <c r="P4656">
        <v>1</v>
      </c>
      <c r="Q4656">
        <v>0</v>
      </c>
      <c r="R4656">
        <v>0</v>
      </c>
    </row>
    <row r="4657" spans="1:18" x14ac:dyDescent="0.25">
      <c r="A4657" t="s">
        <v>435</v>
      </c>
      <c r="B4657" t="s">
        <v>6</v>
      </c>
      <c r="C4657">
        <v>4</v>
      </c>
      <c r="D4657">
        <v>2</v>
      </c>
      <c r="E4657">
        <v>2</v>
      </c>
      <c r="F4657" s="15">
        <v>46182</v>
      </c>
      <c r="G4657" t="s">
        <v>575</v>
      </c>
      <c r="H4657">
        <v>4</v>
      </c>
      <c r="I4657">
        <v>2026</v>
      </c>
      <c r="J4657">
        <v>6</v>
      </c>
      <c r="K4657" t="s">
        <v>87</v>
      </c>
      <c r="L4657" t="s">
        <v>352</v>
      </c>
      <c r="M4657" t="s">
        <v>6</v>
      </c>
      <c r="N4657" t="b">
        <v>0</v>
      </c>
      <c r="O4657">
        <v>0</v>
      </c>
      <c r="P4657">
        <v>1</v>
      </c>
      <c r="Q4657">
        <v>0</v>
      </c>
      <c r="R4657">
        <v>0</v>
      </c>
    </row>
    <row r="4658" spans="1:18" x14ac:dyDescent="0.25">
      <c r="A4658" t="s">
        <v>351</v>
      </c>
      <c r="B4658" t="s">
        <v>63</v>
      </c>
      <c r="C4658">
        <v>1</v>
      </c>
      <c r="D4658">
        <v>3</v>
      </c>
      <c r="E4658">
        <v>2</v>
      </c>
      <c r="F4658" s="15">
        <v>46182</v>
      </c>
      <c r="G4658" t="s">
        <v>576</v>
      </c>
      <c r="H4658">
        <v>4</v>
      </c>
      <c r="I4658">
        <v>2026</v>
      </c>
      <c r="J4658">
        <v>6</v>
      </c>
      <c r="K4658" t="s">
        <v>87</v>
      </c>
      <c r="L4658" t="s">
        <v>363</v>
      </c>
      <c r="M4658" t="s">
        <v>63</v>
      </c>
      <c r="N4658" t="b">
        <v>0</v>
      </c>
      <c r="O4658">
        <v>0</v>
      </c>
      <c r="P4658">
        <v>0</v>
      </c>
      <c r="Q4658">
        <v>1</v>
      </c>
      <c r="R4658">
        <v>0</v>
      </c>
    </row>
    <row r="4659" spans="1:18" x14ac:dyDescent="0.25">
      <c r="A4659" t="s">
        <v>351</v>
      </c>
      <c r="B4659" t="s">
        <v>63</v>
      </c>
      <c r="C4659">
        <v>1</v>
      </c>
      <c r="D4659">
        <v>3</v>
      </c>
      <c r="E4659">
        <v>2</v>
      </c>
      <c r="F4659" s="15">
        <v>46182</v>
      </c>
      <c r="G4659" t="s">
        <v>576</v>
      </c>
      <c r="H4659">
        <v>4</v>
      </c>
      <c r="I4659">
        <v>2026</v>
      </c>
      <c r="J4659">
        <v>6</v>
      </c>
      <c r="K4659" t="s">
        <v>87</v>
      </c>
      <c r="L4659" t="s">
        <v>10</v>
      </c>
      <c r="M4659" t="s">
        <v>63</v>
      </c>
      <c r="N4659" t="b">
        <v>0</v>
      </c>
      <c r="O4659">
        <v>0</v>
      </c>
      <c r="P4659">
        <v>0</v>
      </c>
      <c r="Q4659">
        <v>1</v>
      </c>
      <c r="R4659">
        <v>0</v>
      </c>
    </row>
    <row r="4660" spans="1:18" x14ac:dyDescent="0.25">
      <c r="A4660" t="s">
        <v>351</v>
      </c>
      <c r="B4660" t="s">
        <v>63</v>
      </c>
      <c r="C4660">
        <v>1</v>
      </c>
      <c r="D4660">
        <v>3</v>
      </c>
      <c r="E4660">
        <v>2</v>
      </c>
      <c r="F4660" s="15">
        <v>46182</v>
      </c>
      <c r="G4660" t="s">
        <v>576</v>
      </c>
      <c r="H4660">
        <v>4</v>
      </c>
      <c r="I4660">
        <v>2026</v>
      </c>
      <c r="J4660">
        <v>6</v>
      </c>
      <c r="K4660" t="s">
        <v>87</v>
      </c>
      <c r="L4660" t="s">
        <v>9</v>
      </c>
      <c r="M4660" t="s">
        <v>63</v>
      </c>
      <c r="N4660" t="b">
        <v>0</v>
      </c>
      <c r="O4660">
        <v>0</v>
      </c>
      <c r="P4660">
        <v>0</v>
      </c>
      <c r="Q4660">
        <v>1</v>
      </c>
      <c r="R4660">
        <v>0</v>
      </c>
    </row>
    <row r="4661" spans="1:18" x14ac:dyDescent="0.25">
      <c r="A4661" t="s">
        <v>363</v>
      </c>
      <c r="B4661" t="s">
        <v>63</v>
      </c>
      <c r="C4661">
        <v>2</v>
      </c>
      <c r="D4661">
        <v>3</v>
      </c>
      <c r="E4661">
        <v>2</v>
      </c>
      <c r="F4661" s="15">
        <v>46182</v>
      </c>
      <c r="G4661" t="s">
        <v>576</v>
      </c>
      <c r="H4661">
        <v>4</v>
      </c>
      <c r="I4661">
        <v>2026</v>
      </c>
      <c r="J4661">
        <v>6</v>
      </c>
      <c r="K4661" t="s">
        <v>87</v>
      </c>
      <c r="L4661" t="s">
        <v>351</v>
      </c>
      <c r="M4661" t="s">
        <v>63</v>
      </c>
      <c r="N4661" t="b">
        <v>0</v>
      </c>
      <c r="O4661">
        <v>0</v>
      </c>
      <c r="P4661">
        <v>0</v>
      </c>
      <c r="Q4661">
        <v>1</v>
      </c>
      <c r="R4661">
        <v>0</v>
      </c>
    </row>
    <row r="4662" spans="1:18" x14ac:dyDescent="0.25">
      <c r="A4662" t="s">
        <v>363</v>
      </c>
      <c r="B4662" t="s">
        <v>63</v>
      </c>
      <c r="C4662">
        <v>2</v>
      </c>
      <c r="D4662">
        <v>3</v>
      </c>
      <c r="E4662">
        <v>2</v>
      </c>
      <c r="F4662" s="15">
        <v>46182</v>
      </c>
      <c r="G4662" t="s">
        <v>576</v>
      </c>
      <c r="H4662">
        <v>4</v>
      </c>
      <c r="I4662">
        <v>2026</v>
      </c>
      <c r="J4662">
        <v>6</v>
      </c>
      <c r="K4662" t="s">
        <v>87</v>
      </c>
      <c r="L4662" t="s">
        <v>10</v>
      </c>
      <c r="M4662" t="s">
        <v>63</v>
      </c>
      <c r="N4662" t="b">
        <v>0</v>
      </c>
      <c r="O4662">
        <v>0</v>
      </c>
      <c r="P4662">
        <v>0</v>
      </c>
      <c r="Q4662">
        <v>1</v>
      </c>
      <c r="R4662">
        <v>0</v>
      </c>
    </row>
    <row r="4663" spans="1:18" x14ac:dyDescent="0.25">
      <c r="A4663" t="s">
        <v>363</v>
      </c>
      <c r="B4663" t="s">
        <v>63</v>
      </c>
      <c r="C4663">
        <v>2</v>
      </c>
      <c r="D4663">
        <v>3</v>
      </c>
      <c r="E4663">
        <v>2</v>
      </c>
      <c r="F4663" s="15">
        <v>46182</v>
      </c>
      <c r="G4663" t="s">
        <v>576</v>
      </c>
      <c r="H4663">
        <v>4</v>
      </c>
      <c r="I4663">
        <v>2026</v>
      </c>
      <c r="J4663">
        <v>6</v>
      </c>
      <c r="K4663" t="s">
        <v>87</v>
      </c>
      <c r="L4663" t="s">
        <v>9</v>
      </c>
      <c r="M4663" t="s">
        <v>63</v>
      </c>
      <c r="N4663" t="b">
        <v>0</v>
      </c>
      <c r="O4663">
        <v>0</v>
      </c>
      <c r="P4663">
        <v>0</v>
      </c>
      <c r="Q4663">
        <v>1</v>
      </c>
      <c r="R4663">
        <v>0</v>
      </c>
    </row>
    <row r="4664" spans="1:18" x14ac:dyDescent="0.25">
      <c r="A4664" t="s">
        <v>10</v>
      </c>
      <c r="B4664" t="s">
        <v>63</v>
      </c>
      <c r="C4664">
        <v>3</v>
      </c>
      <c r="D4664">
        <v>3</v>
      </c>
      <c r="E4664">
        <v>2</v>
      </c>
      <c r="F4664" s="15">
        <v>46182</v>
      </c>
      <c r="G4664" t="s">
        <v>576</v>
      </c>
      <c r="H4664">
        <v>4</v>
      </c>
      <c r="I4664">
        <v>2026</v>
      </c>
      <c r="J4664">
        <v>6</v>
      </c>
      <c r="K4664" t="s">
        <v>87</v>
      </c>
      <c r="L4664" t="s">
        <v>351</v>
      </c>
      <c r="M4664" t="s">
        <v>63</v>
      </c>
      <c r="N4664" t="b">
        <v>0</v>
      </c>
      <c r="O4664">
        <v>0</v>
      </c>
      <c r="P4664">
        <v>0</v>
      </c>
      <c r="Q4664">
        <v>1</v>
      </c>
      <c r="R4664">
        <v>0</v>
      </c>
    </row>
    <row r="4665" spans="1:18" x14ac:dyDescent="0.25">
      <c r="A4665" t="s">
        <v>10</v>
      </c>
      <c r="B4665" t="s">
        <v>63</v>
      </c>
      <c r="C4665">
        <v>3</v>
      </c>
      <c r="D4665">
        <v>3</v>
      </c>
      <c r="E4665">
        <v>2</v>
      </c>
      <c r="F4665" s="15">
        <v>46182</v>
      </c>
      <c r="G4665" t="s">
        <v>576</v>
      </c>
      <c r="H4665">
        <v>4</v>
      </c>
      <c r="I4665">
        <v>2026</v>
      </c>
      <c r="J4665">
        <v>6</v>
      </c>
      <c r="K4665" t="s">
        <v>87</v>
      </c>
      <c r="L4665" t="s">
        <v>363</v>
      </c>
      <c r="M4665" t="s">
        <v>63</v>
      </c>
      <c r="N4665" t="b">
        <v>0</v>
      </c>
      <c r="O4665">
        <v>0</v>
      </c>
      <c r="P4665">
        <v>0</v>
      </c>
      <c r="Q4665">
        <v>1</v>
      </c>
      <c r="R4665">
        <v>0</v>
      </c>
    </row>
    <row r="4666" spans="1:18" x14ac:dyDescent="0.25">
      <c r="A4666" t="s">
        <v>10</v>
      </c>
      <c r="B4666" t="s">
        <v>63</v>
      </c>
      <c r="C4666">
        <v>3</v>
      </c>
      <c r="D4666">
        <v>3</v>
      </c>
      <c r="E4666">
        <v>2</v>
      </c>
      <c r="F4666" s="15">
        <v>46182</v>
      </c>
      <c r="G4666" t="s">
        <v>576</v>
      </c>
      <c r="H4666">
        <v>4</v>
      </c>
      <c r="I4666">
        <v>2026</v>
      </c>
      <c r="J4666">
        <v>6</v>
      </c>
      <c r="K4666" t="s">
        <v>87</v>
      </c>
      <c r="L4666" t="s">
        <v>9</v>
      </c>
      <c r="M4666" t="s">
        <v>63</v>
      </c>
      <c r="N4666" t="b">
        <v>0</v>
      </c>
      <c r="O4666">
        <v>0</v>
      </c>
      <c r="P4666">
        <v>0</v>
      </c>
      <c r="Q4666">
        <v>1</v>
      </c>
      <c r="R4666">
        <v>0</v>
      </c>
    </row>
    <row r="4667" spans="1:18" x14ac:dyDescent="0.25">
      <c r="A4667" t="s">
        <v>9</v>
      </c>
      <c r="B4667" t="s">
        <v>63</v>
      </c>
      <c r="C4667">
        <v>4</v>
      </c>
      <c r="D4667">
        <v>3</v>
      </c>
      <c r="E4667">
        <v>2</v>
      </c>
      <c r="F4667" s="15">
        <v>46182</v>
      </c>
      <c r="G4667" t="s">
        <v>576</v>
      </c>
      <c r="H4667">
        <v>4</v>
      </c>
      <c r="I4667">
        <v>2026</v>
      </c>
      <c r="J4667">
        <v>6</v>
      </c>
      <c r="K4667" t="s">
        <v>87</v>
      </c>
      <c r="L4667" t="s">
        <v>351</v>
      </c>
      <c r="M4667" t="s">
        <v>63</v>
      </c>
      <c r="N4667" t="b">
        <v>0</v>
      </c>
      <c r="O4667">
        <v>0</v>
      </c>
      <c r="P4667">
        <v>0</v>
      </c>
      <c r="Q4667">
        <v>1</v>
      </c>
      <c r="R4667">
        <v>0</v>
      </c>
    </row>
    <row r="4668" spans="1:18" x14ac:dyDescent="0.25">
      <c r="A4668" t="s">
        <v>9</v>
      </c>
      <c r="B4668" t="s">
        <v>63</v>
      </c>
      <c r="C4668">
        <v>4</v>
      </c>
      <c r="D4668">
        <v>3</v>
      </c>
      <c r="E4668">
        <v>2</v>
      </c>
      <c r="F4668" s="15">
        <v>46182</v>
      </c>
      <c r="G4668" t="s">
        <v>576</v>
      </c>
      <c r="H4668">
        <v>4</v>
      </c>
      <c r="I4668">
        <v>2026</v>
      </c>
      <c r="J4668">
        <v>6</v>
      </c>
      <c r="K4668" t="s">
        <v>87</v>
      </c>
      <c r="L4668" t="s">
        <v>363</v>
      </c>
      <c r="M4668" t="s">
        <v>63</v>
      </c>
      <c r="N4668" t="b">
        <v>0</v>
      </c>
      <c r="O4668">
        <v>0</v>
      </c>
      <c r="P4668">
        <v>0</v>
      </c>
      <c r="Q4668">
        <v>1</v>
      </c>
      <c r="R4668">
        <v>0</v>
      </c>
    </row>
    <row r="4669" spans="1:18" x14ac:dyDescent="0.25">
      <c r="A4669" t="s">
        <v>9</v>
      </c>
      <c r="B4669" t="s">
        <v>63</v>
      </c>
      <c r="C4669">
        <v>4</v>
      </c>
      <c r="D4669">
        <v>3</v>
      </c>
      <c r="E4669">
        <v>2</v>
      </c>
      <c r="F4669" s="15">
        <v>46182</v>
      </c>
      <c r="G4669" t="s">
        <v>576</v>
      </c>
      <c r="H4669">
        <v>4</v>
      </c>
      <c r="I4669">
        <v>2026</v>
      </c>
      <c r="J4669">
        <v>6</v>
      </c>
      <c r="K4669" t="s">
        <v>87</v>
      </c>
      <c r="L4669" t="s">
        <v>10</v>
      </c>
      <c r="M4669" t="s">
        <v>63</v>
      </c>
      <c r="N4669" t="b">
        <v>0</v>
      </c>
      <c r="O4669">
        <v>0</v>
      </c>
      <c r="P4669">
        <v>0</v>
      </c>
      <c r="Q4669">
        <v>1</v>
      </c>
      <c r="R4669">
        <v>0</v>
      </c>
    </row>
    <row r="4670" spans="1:18" x14ac:dyDescent="0.25">
      <c r="A4670" t="s">
        <v>540</v>
      </c>
      <c r="B4670" t="s">
        <v>6</v>
      </c>
      <c r="C4670">
        <v>1</v>
      </c>
      <c r="D4670">
        <v>4</v>
      </c>
      <c r="E4670">
        <v>2</v>
      </c>
      <c r="F4670" s="15">
        <v>46182</v>
      </c>
      <c r="G4670" t="s">
        <v>577</v>
      </c>
      <c r="H4670">
        <v>4</v>
      </c>
      <c r="I4670">
        <v>2026</v>
      </c>
      <c r="J4670">
        <v>6</v>
      </c>
      <c r="K4670" t="s">
        <v>87</v>
      </c>
      <c r="L4670" t="s">
        <v>405</v>
      </c>
      <c r="M4670" t="s">
        <v>8</v>
      </c>
      <c r="N4670" t="b">
        <v>0</v>
      </c>
      <c r="O4670">
        <v>0</v>
      </c>
      <c r="P4670">
        <v>1</v>
      </c>
      <c r="Q4670">
        <v>0</v>
      </c>
      <c r="R4670">
        <v>1</v>
      </c>
    </row>
    <row r="4671" spans="1:18" x14ac:dyDescent="0.25">
      <c r="A4671" t="s">
        <v>540</v>
      </c>
      <c r="B4671" t="s">
        <v>6</v>
      </c>
      <c r="C4671">
        <v>1</v>
      </c>
      <c r="D4671">
        <v>4</v>
      </c>
      <c r="E4671">
        <v>2</v>
      </c>
      <c r="F4671" s="15">
        <v>46182</v>
      </c>
      <c r="G4671" t="s">
        <v>577</v>
      </c>
      <c r="H4671">
        <v>4</v>
      </c>
      <c r="I4671">
        <v>2026</v>
      </c>
      <c r="J4671">
        <v>6</v>
      </c>
      <c r="K4671" t="s">
        <v>87</v>
      </c>
      <c r="L4671" t="s">
        <v>28</v>
      </c>
      <c r="M4671" t="s">
        <v>6</v>
      </c>
      <c r="N4671" t="b">
        <v>0</v>
      </c>
      <c r="O4671">
        <v>0</v>
      </c>
      <c r="P4671">
        <v>1</v>
      </c>
      <c r="Q4671">
        <v>0</v>
      </c>
      <c r="R4671">
        <v>0</v>
      </c>
    </row>
    <row r="4672" spans="1:18" x14ac:dyDescent="0.25">
      <c r="A4672" t="s">
        <v>540</v>
      </c>
      <c r="B4672" t="s">
        <v>6</v>
      </c>
      <c r="C4672">
        <v>1</v>
      </c>
      <c r="D4672">
        <v>4</v>
      </c>
      <c r="E4672">
        <v>2</v>
      </c>
      <c r="F4672" s="15">
        <v>46182</v>
      </c>
      <c r="G4672" t="s">
        <v>577</v>
      </c>
      <c r="H4672">
        <v>4</v>
      </c>
      <c r="I4672">
        <v>2026</v>
      </c>
      <c r="J4672">
        <v>6</v>
      </c>
      <c r="K4672" t="s">
        <v>87</v>
      </c>
      <c r="L4672" t="s">
        <v>19</v>
      </c>
      <c r="M4672" t="s">
        <v>6</v>
      </c>
      <c r="N4672" t="b">
        <v>0</v>
      </c>
      <c r="O4672">
        <v>0</v>
      </c>
      <c r="P4672">
        <v>1</v>
      </c>
      <c r="Q4672">
        <v>0</v>
      </c>
      <c r="R4672">
        <v>0</v>
      </c>
    </row>
    <row r="4673" spans="1:18" x14ac:dyDescent="0.25">
      <c r="A4673" t="s">
        <v>405</v>
      </c>
      <c r="B4673" t="s">
        <v>8</v>
      </c>
      <c r="C4673">
        <v>2</v>
      </c>
      <c r="D4673">
        <v>4</v>
      </c>
      <c r="E4673">
        <v>2</v>
      </c>
      <c r="F4673" s="15">
        <v>46182</v>
      </c>
      <c r="G4673" t="s">
        <v>577</v>
      </c>
      <c r="H4673">
        <v>4</v>
      </c>
      <c r="I4673">
        <v>2026</v>
      </c>
      <c r="J4673">
        <v>6</v>
      </c>
      <c r="K4673" t="s">
        <v>87</v>
      </c>
      <c r="L4673" t="s">
        <v>540</v>
      </c>
      <c r="M4673" t="s">
        <v>6</v>
      </c>
      <c r="N4673" t="b">
        <v>0</v>
      </c>
      <c r="O4673">
        <v>1</v>
      </c>
      <c r="P4673">
        <v>0</v>
      </c>
      <c r="Q4673">
        <v>0</v>
      </c>
      <c r="R4673">
        <v>0</v>
      </c>
    </row>
    <row r="4674" spans="1:18" x14ac:dyDescent="0.25">
      <c r="A4674" t="s">
        <v>405</v>
      </c>
      <c r="B4674" t="s">
        <v>8</v>
      </c>
      <c r="C4674">
        <v>2</v>
      </c>
      <c r="D4674">
        <v>4</v>
      </c>
      <c r="E4674">
        <v>2</v>
      </c>
      <c r="F4674" s="15">
        <v>46182</v>
      </c>
      <c r="G4674" t="s">
        <v>577</v>
      </c>
      <c r="H4674">
        <v>4</v>
      </c>
      <c r="I4674">
        <v>2026</v>
      </c>
      <c r="J4674">
        <v>6</v>
      </c>
      <c r="K4674" t="s">
        <v>87</v>
      </c>
      <c r="L4674" t="s">
        <v>28</v>
      </c>
      <c r="M4674" t="s">
        <v>6</v>
      </c>
      <c r="N4674" t="b">
        <v>0</v>
      </c>
      <c r="O4674">
        <v>1</v>
      </c>
      <c r="P4674">
        <v>0</v>
      </c>
      <c r="Q4674">
        <v>0</v>
      </c>
      <c r="R4674">
        <v>0</v>
      </c>
    </row>
    <row r="4675" spans="1:18" x14ac:dyDescent="0.25">
      <c r="A4675" t="s">
        <v>405</v>
      </c>
      <c r="B4675" t="s">
        <v>8</v>
      </c>
      <c r="C4675">
        <v>2</v>
      </c>
      <c r="D4675">
        <v>4</v>
      </c>
      <c r="E4675">
        <v>2</v>
      </c>
      <c r="F4675" s="15">
        <v>46182</v>
      </c>
      <c r="G4675" t="s">
        <v>577</v>
      </c>
      <c r="H4675">
        <v>4</v>
      </c>
      <c r="I4675">
        <v>2026</v>
      </c>
      <c r="J4675">
        <v>6</v>
      </c>
      <c r="K4675" t="s">
        <v>87</v>
      </c>
      <c r="L4675" t="s">
        <v>19</v>
      </c>
      <c r="M4675" t="s">
        <v>6</v>
      </c>
      <c r="N4675" t="b">
        <v>0</v>
      </c>
      <c r="O4675">
        <v>1</v>
      </c>
      <c r="P4675">
        <v>0</v>
      </c>
      <c r="Q4675">
        <v>0</v>
      </c>
      <c r="R4675">
        <v>0</v>
      </c>
    </row>
    <row r="4676" spans="1:18" x14ac:dyDescent="0.25">
      <c r="A4676" t="s">
        <v>28</v>
      </c>
      <c r="B4676" t="s">
        <v>6</v>
      </c>
      <c r="C4676">
        <v>3</v>
      </c>
      <c r="D4676">
        <v>4</v>
      </c>
      <c r="E4676">
        <v>2</v>
      </c>
      <c r="F4676" s="15">
        <v>46182</v>
      </c>
      <c r="G4676" t="s">
        <v>577</v>
      </c>
      <c r="H4676">
        <v>4</v>
      </c>
      <c r="I4676">
        <v>2026</v>
      </c>
      <c r="J4676">
        <v>6</v>
      </c>
      <c r="K4676" t="s">
        <v>87</v>
      </c>
      <c r="L4676" t="s">
        <v>540</v>
      </c>
      <c r="M4676" t="s">
        <v>6</v>
      </c>
      <c r="N4676" t="b">
        <v>0</v>
      </c>
      <c r="O4676">
        <v>0</v>
      </c>
      <c r="P4676">
        <v>1</v>
      </c>
      <c r="Q4676">
        <v>0</v>
      </c>
      <c r="R4676">
        <v>0</v>
      </c>
    </row>
    <row r="4677" spans="1:18" x14ac:dyDescent="0.25">
      <c r="A4677" t="s">
        <v>28</v>
      </c>
      <c r="B4677" t="s">
        <v>6</v>
      </c>
      <c r="C4677">
        <v>3</v>
      </c>
      <c r="D4677">
        <v>4</v>
      </c>
      <c r="E4677">
        <v>2</v>
      </c>
      <c r="F4677" s="15">
        <v>46182</v>
      </c>
      <c r="G4677" t="s">
        <v>577</v>
      </c>
      <c r="H4677">
        <v>4</v>
      </c>
      <c r="I4677">
        <v>2026</v>
      </c>
      <c r="J4677">
        <v>6</v>
      </c>
      <c r="K4677" t="s">
        <v>87</v>
      </c>
      <c r="L4677" t="s">
        <v>405</v>
      </c>
      <c r="M4677" t="s">
        <v>8</v>
      </c>
      <c r="N4677" t="b">
        <v>0</v>
      </c>
      <c r="O4677">
        <v>0</v>
      </c>
      <c r="P4677">
        <v>1</v>
      </c>
      <c r="Q4677">
        <v>0</v>
      </c>
      <c r="R4677">
        <v>1</v>
      </c>
    </row>
    <row r="4678" spans="1:18" x14ac:dyDescent="0.25">
      <c r="A4678" t="s">
        <v>28</v>
      </c>
      <c r="B4678" t="s">
        <v>6</v>
      </c>
      <c r="C4678">
        <v>3</v>
      </c>
      <c r="D4678">
        <v>4</v>
      </c>
      <c r="E4678">
        <v>2</v>
      </c>
      <c r="F4678" s="15">
        <v>46182</v>
      </c>
      <c r="G4678" t="s">
        <v>577</v>
      </c>
      <c r="H4678">
        <v>4</v>
      </c>
      <c r="I4678">
        <v>2026</v>
      </c>
      <c r="J4678">
        <v>6</v>
      </c>
      <c r="K4678" t="s">
        <v>87</v>
      </c>
      <c r="L4678" t="s">
        <v>19</v>
      </c>
      <c r="M4678" t="s">
        <v>6</v>
      </c>
      <c r="N4678" t="b">
        <v>0</v>
      </c>
      <c r="O4678">
        <v>0</v>
      </c>
      <c r="P4678">
        <v>1</v>
      </c>
      <c r="Q4678">
        <v>0</v>
      </c>
      <c r="R4678">
        <v>0</v>
      </c>
    </row>
    <row r="4679" spans="1:18" x14ac:dyDescent="0.25">
      <c r="A4679" t="s">
        <v>19</v>
      </c>
      <c r="B4679" t="s">
        <v>6</v>
      </c>
      <c r="C4679">
        <v>4</v>
      </c>
      <c r="D4679">
        <v>4</v>
      </c>
      <c r="E4679">
        <v>2</v>
      </c>
      <c r="F4679" s="15">
        <v>46182</v>
      </c>
      <c r="G4679" t="s">
        <v>577</v>
      </c>
      <c r="H4679">
        <v>4</v>
      </c>
      <c r="I4679">
        <v>2026</v>
      </c>
      <c r="J4679">
        <v>6</v>
      </c>
      <c r="K4679" t="s">
        <v>87</v>
      </c>
      <c r="L4679" t="s">
        <v>540</v>
      </c>
      <c r="M4679" t="s">
        <v>6</v>
      </c>
      <c r="N4679" t="b">
        <v>0</v>
      </c>
      <c r="O4679">
        <v>0</v>
      </c>
      <c r="P4679">
        <v>1</v>
      </c>
      <c r="Q4679">
        <v>0</v>
      </c>
      <c r="R4679">
        <v>0</v>
      </c>
    </row>
    <row r="4680" spans="1:18" x14ac:dyDescent="0.25">
      <c r="A4680" t="s">
        <v>19</v>
      </c>
      <c r="B4680" t="s">
        <v>6</v>
      </c>
      <c r="C4680">
        <v>4</v>
      </c>
      <c r="D4680">
        <v>4</v>
      </c>
      <c r="E4680">
        <v>2</v>
      </c>
      <c r="F4680" s="15">
        <v>46182</v>
      </c>
      <c r="G4680" t="s">
        <v>577</v>
      </c>
      <c r="H4680">
        <v>4</v>
      </c>
      <c r="I4680">
        <v>2026</v>
      </c>
      <c r="J4680">
        <v>6</v>
      </c>
      <c r="K4680" t="s">
        <v>87</v>
      </c>
      <c r="L4680" t="s">
        <v>405</v>
      </c>
      <c r="M4680" t="s">
        <v>8</v>
      </c>
      <c r="N4680" t="b">
        <v>0</v>
      </c>
      <c r="O4680">
        <v>0</v>
      </c>
      <c r="P4680">
        <v>1</v>
      </c>
      <c r="Q4680">
        <v>0</v>
      </c>
      <c r="R4680">
        <v>1</v>
      </c>
    </row>
    <row r="4681" spans="1:18" x14ac:dyDescent="0.25">
      <c r="A4681" t="s">
        <v>19</v>
      </c>
      <c r="B4681" t="s">
        <v>6</v>
      </c>
      <c r="C4681">
        <v>4</v>
      </c>
      <c r="D4681">
        <v>4</v>
      </c>
      <c r="E4681">
        <v>2</v>
      </c>
      <c r="F4681" s="15">
        <v>46182</v>
      </c>
      <c r="G4681" t="s">
        <v>577</v>
      </c>
      <c r="H4681">
        <v>4</v>
      </c>
      <c r="I4681">
        <v>2026</v>
      </c>
      <c r="J4681">
        <v>6</v>
      </c>
      <c r="K4681" t="s">
        <v>87</v>
      </c>
      <c r="L4681" t="s">
        <v>28</v>
      </c>
      <c r="M4681" t="s">
        <v>6</v>
      </c>
      <c r="N4681" t="b">
        <v>0</v>
      </c>
      <c r="O4681">
        <v>0</v>
      </c>
      <c r="P4681">
        <v>1</v>
      </c>
      <c r="Q4681">
        <v>0</v>
      </c>
      <c r="R4681">
        <v>0</v>
      </c>
    </row>
    <row r="4682" spans="1:18" x14ac:dyDescent="0.25">
      <c r="A4682" t="s">
        <v>433</v>
      </c>
      <c r="B4682" t="s">
        <v>6</v>
      </c>
      <c r="C4682">
        <v>1</v>
      </c>
      <c r="D4682">
        <v>5</v>
      </c>
      <c r="E4682">
        <v>2</v>
      </c>
      <c r="F4682" s="15">
        <v>46182</v>
      </c>
      <c r="G4682" t="s">
        <v>578</v>
      </c>
      <c r="H4682">
        <v>4</v>
      </c>
      <c r="I4682">
        <v>2026</v>
      </c>
      <c r="J4682">
        <v>6</v>
      </c>
      <c r="K4682" t="s">
        <v>87</v>
      </c>
      <c r="L4682" t="s">
        <v>7</v>
      </c>
      <c r="M4682" t="s">
        <v>8</v>
      </c>
      <c r="N4682" t="b">
        <v>0</v>
      </c>
      <c r="O4682">
        <v>0</v>
      </c>
      <c r="P4682">
        <v>1</v>
      </c>
      <c r="Q4682">
        <v>0</v>
      </c>
      <c r="R4682">
        <v>1</v>
      </c>
    </row>
    <row r="4683" spans="1:18" x14ac:dyDescent="0.25">
      <c r="A4683" t="s">
        <v>433</v>
      </c>
      <c r="B4683" t="s">
        <v>6</v>
      </c>
      <c r="C4683">
        <v>1</v>
      </c>
      <c r="D4683">
        <v>5</v>
      </c>
      <c r="E4683">
        <v>2</v>
      </c>
      <c r="F4683" s="15">
        <v>46182</v>
      </c>
      <c r="G4683" t="s">
        <v>578</v>
      </c>
      <c r="H4683">
        <v>4</v>
      </c>
      <c r="I4683">
        <v>2026</v>
      </c>
      <c r="J4683">
        <v>6</v>
      </c>
      <c r="K4683" t="s">
        <v>87</v>
      </c>
      <c r="L4683" t="s">
        <v>519</v>
      </c>
      <c r="M4683" t="s">
        <v>6</v>
      </c>
      <c r="N4683" t="b">
        <v>0</v>
      </c>
      <c r="O4683">
        <v>0</v>
      </c>
      <c r="P4683">
        <v>1</v>
      </c>
      <c r="Q4683">
        <v>0</v>
      </c>
      <c r="R4683">
        <v>0</v>
      </c>
    </row>
    <row r="4684" spans="1:18" x14ac:dyDescent="0.25">
      <c r="A4684" t="s">
        <v>433</v>
      </c>
      <c r="B4684" t="s">
        <v>6</v>
      </c>
      <c r="C4684">
        <v>1</v>
      </c>
      <c r="D4684">
        <v>5</v>
      </c>
      <c r="E4684">
        <v>2</v>
      </c>
      <c r="F4684" s="15">
        <v>46182</v>
      </c>
      <c r="G4684" t="s">
        <v>578</v>
      </c>
      <c r="H4684">
        <v>4</v>
      </c>
      <c r="I4684">
        <v>2026</v>
      </c>
      <c r="J4684">
        <v>6</v>
      </c>
      <c r="K4684" t="s">
        <v>87</v>
      </c>
      <c r="L4684" t="s">
        <v>568</v>
      </c>
      <c r="M4684" t="s">
        <v>6</v>
      </c>
      <c r="N4684" t="b">
        <v>0</v>
      </c>
      <c r="O4684">
        <v>0</v>
      </c>
      <c r="P4684">
        <v>1</v>
      </c>
      <c r="Q4684">
        <v>0</v>
      </c>
      <c r="R4684">
        <v>0</v>
      </c>
    </row>
    <row r="4685" spans="1:18" x14ac:dyDescent="0.25">
      <c r="A4685" t="s">
        <v>7</v>
      </c>
      <c r="B4685" t="s">
        <v>8</v>
      </c>
      <c r="C4685">
        <v>2</v>
      </c>
      <c r="D4685">
        <v>5</v>
      </c>
      <c r="E4685">
        <v>2</v>
      </c>
      <c r="F4685" s="15">
        <v>46182</v>
      </c>
      <c r="G4685" t="s">
        <v>578</v>
      </c>
      <c r="H4685">
        <v>4</v>
      </c>
      <c r="I4685">
        <v>2026</v>
      </c>
      <c r="J4685">
        <v>6</v>
      </c>
      <c r="K4685" t="s">
        <v>87</v>
      </c>
      <c r="L4685" t="s">
        <v>433</v>
      </c>
      <c r="M4685" t="s">
        <v>6</v>
      </c>
      <c r="N4685" t="b">
        <v>0</v>
      </c>
      <c r="O4685">
        <v>1</v>
      </c>
      <c r="P4685">
        <v>0</v>
      </c>
      <c r="Q4685">
        <v>0</v>
      </c>
      <c r="R4685">
        <v>0</v>
      </c>
    </row>
    <row r="4686" spans="1:18" x14ac:dyDescent="0.25">
      <c r="A4686" t="s">
        <v>7</v>
      </c>
      <c r="B4686" t="s">
        <v>8</v>
      </c>
      <c r="C4686">
        <v>2</v>
      </c>
      <c r="D4686">
        <v>5</v>
      </c>
      <c r="E4686">
        <v>2</v>
      </c>
      <c r="F4686" s="15">
        <v>46182</v>
      </c>
      <c r="G4686" t="s">
        <v>578</v>
      </c>
      <c r="H4686">
        <v>4</v>
      </c>
      <c r="I4686">
        <v>2026</v>
      </c>
      <c r="J4686">
        <v>6</v>
      </c>
      <c r="K4686" t="s">
        <v>87</v>
      </c>
      <c r="L4686" t="s">
        <v>519</v>
      </c>
      <c r="M4686" t="s">
        <v>6</v>
      </c>
      <c r="N4686" t="b">
        <v>0</v>
      </c>
      <c r="O4686">
        <v>1</v>
      </c>
      <c r="P4686">
        <v>0</v>
      </c>
      <c r="Q4686">
        <v>0</v>
      </c>
      <c r="R4686">
        <v>0</v>
      </c>
    </row>
    <row r="4687" spans="1:18" x14ac:dyDescent="0.25">
      <c r="A4687" t="s">
        <v>7</v>
      </c>
      <c r="B4687" t="s">
        <v>8</v>
      </c>
      <c r="C4687">
        <v>2</v>
      </c>
      <c r="D4687">
        <v>5</v>
      </c>
      <c r="E4687">
        <v>2</v>
      </c>
      <c r="F4687" s="15">
        <v>46182</v>
      </c>
      <c r="G4687" t="s">
        <v>578</v>
      </c>
      <c r="H4687">
        <v>4</v>
      </c>
      <c r="I4687">
        <v>2026</v>
      </c>
      <c r="J4687">
        <v>6</v>
      </c>
      <c r="K4687" t="s">
        <v>87</v>
      </c>
      <c r="L4687" t="s">
        <v>568</v>
      </c>
      <c r="M4687" t="s">
        <v>6</v>
      </c>
      <c r="N4687" t="b">
        <v>0</v>
      </c>
      <c r="O4687">
        <v>1</v>
      </c>
      <c r="P4687">
        <v>0</v>
      </c>
      <c r="Q4687">
        <v>0</v>
      </c>
      <c r="R4687">
        <v>0</v>
      </c>
    </row>
    <row r="4688" spans="1:18" x14ac:dyDescent="0.25">
      <c r="A4688" t="s">
        <v>519</v>
      </c>
      <c r="B4688" t="s">
        <v>6</v>
      </c>
      <c r="C4688">
        <v>3</v>
      </c>
      <c r="D4688">
        <v>5</v>
      </c>
      <c r="E4688">
        <v>2</v>
      </c>
      <c r="F4688" s="15">
        <v>46182</v>
      </c>
      <c r="G4688" t="s">
        <v>578</v>
      </c>
      <c r="H4688">
        <v>4</v>
      </c>
      <c r="I4688">
        <v>2026</v>
      </c>
      <c r="J4688">
        <v>6</v>
      </c>
      <c r="K4688" t="s">
        <v>87</v>
      </c>
      <c r="L4688" t="s">
        <v>433</v>
      </c>
      <c r="M4688" t="s">
        <v>6</v>
      </c>
      <c r="N4688" t="b">
        <v>0</v>
      </c>
      <c r="O4688">
        <v>0</v>
      </c>
      <c r="P4688">
        <v>1</v>
      </c>
      <c r="Q4688">
        <v>0</v>
      </c>
      <c r="R4688">
        <v>0</v>
      </c>
    </row>
    <row r="4689" spans="1:18" x14ac:dyDescent="0.25">
      <c r="A4689" t="s">
        <v>519</v>
      </c>
      <c r="B4689" t="s">
        <v>6</v>
      </c>
      <c r="C4689">
        <v>3</v>
      </c>
      <c r="D4689">
        <v>5</v>
      </c>
      <c r="E4689">
        <v>2</v>
      </c>
      <c r="F4689" s="15">
        <v>46182</v>
      </c>
      <c r="G4689" t="s">
        <v>578</v>
      </c>
      <c r="H4689">
        <v>4</v>
      </c>
      <c r="I4689">
        <v>2026</v>
      </c>
      <c r="J4689">
        <v>6</v>
      </c>
      <c r="K4689" t="s">
        <v>87</v>
      </c>
      <c r="L4689" t="s">
        <v>7</v>
      </c>
      <c r="M4689" t="s">
        <v>8</v>
      </c>
      <c r="N4689" t="b">
        <v>0</v>
      </c>
      <c r="O4689">
        <v>0</v>
      </c>
      <c r="P4689">
        <v>1</v>
      </c>
      <c r="Q4689">
        <v>0</v>
      </c>
      <c r="R4689">
        <v>1</v>
      </c>
    </row>
    <row r="4690" spans="1:18" x14ac:dyDescent="0.25">
      <c r="A4690" t="s">
        <v>519</v>
      </c>
      <c r="B4690" t="s">
        <v>6</v>
      </c>
      <c r="C4690">
        <v>3</v>
      </c>
      <c r="D4690">
        <v>5</v>
      </c>
      <c r="E4690">
        <v>2</v>
      </c>
      <c r="F4690" s="15">
        <v>46182</v>
      </c>
      <c r="G4690" t="s">
        <v>578</v>
      </c>
      <c r="H4690">
        <v>4</v>
      </c>
      <c r="I4690">
        <v>2026</v>
      </c>
      <c r="J4690">
        <v>6</v>
      </c>
      <c r="K4690" t="s">
        <v>87</v>
      </c>
      <c r="L4690" t="s">
        <v>568</v>
      </c>
      <c r="M4690" t="s">
        <v>6</v>
      </c>
      <c r="N4690" t="b">
        <v>0</v>
      </c>
      <c r="O4690">
        <v>0</v>
      </c>
      <c r="P4690">
        <v>1</v>
      </c>
      <c r="Q4690">
        <v>0</v>
      </c>
      <c r="R4690">
        <v>0</v>
      </c>
    </row>
    <row r="4691" spans="1:18" x14ac:dyDescent="0.25">
      <c r="A4691" t="s">
        <v>568</v>
      </c>
      <c r="B4691" t="s">
        <v>6</v>
      </c>
      <c r="C4691">
        <v>4</v>
      </c>
      <c r="D4691">
        <v>5</v>
      </c>
      <c r="E4691">
        <v>2</v>
      </c>
      <c r="F4691" s="15">
        <v>46182</v>
      </c>
      <c r="G4691" t="s">
        <v>578</v>
      </c>
      <c r="H4691">
        <v>4</v>
      </c>
      <c r="I4691">
        <v>2026</v>
      </c>
      <c r="J4691">
        <v>6</v>
      </c>
      <c r="K4691" t="s">
        <v>87</v>
      </c>
      <c r="L4691" t="s">
        <v>433</v>
      </c>
      <c r="M4691" t="s">
        <v>6</v>
      </c>
      <c r="N4691" t="b">
        <v>0</v>
      </c>
      <c r="O4691">
        <v>0</v>
      </c>
      <c r="P4691">
        <v>1</v>
      </c>
      <c r="Q4691">
        <v>0</v>
      </c>
      <c r="R4691">
        <v>0</v>
      </c>
    </row>
    <row r="4692" spans="1:18" x14ac:dyDescent="0.25">
      <c r="A4692" t="s">
        <v>568</v>
      </c>
      <c r="B4692" t="s">
        <v>6</v>
      </c>
      <c r="C4692">
        <v>4</v>
      </c>
      <c r="D4692">
        <v>5</v>
      </c>
      <c r="E4692">
        <v>2</v>
      </c>
      <c r="F4692" s="15">
        <v>46182</v>
      </c>
      <c r="G4692" t="s">
        <v>578</v>
      </c>
      <c r="H4692">
        <v>4</v>
      </c>
      <c r="I4692">
        <v>2026</v>
      </c>
      <c r="J4692">
        <v>6</v>
      </c>
      <c r="K4692" t="s">
        <v>87</v>
      </c>
      <c r="L4692" t="s">
        <v>7</v>
      </c>
      <c r="M4692" t="s">
        <v>8</v>
      </c>
      <c r="N4692" t="b">
        <v>0</v>
      </c>
      <c r="O4692">
        <v>0</v>
      </c>
      <c r="P4692">
        <v>1</v>
      </c>
      <c r="Q4692">
        <v>0</v>
      </c>
      <c r="R4692">
        <v>1</v>
      </c>
    </row>
    <row r="4693" spans="1:18" x14ac:dyDescent="0.25">
      <c r="A4693" t="s">
        <v>568</v>
      </c>
      <c r="B4693" t="s">
        <v>6</v>
      </c>
      <c r="C4693">
        <v>4</v>
      </c>
      <c r="D4693">
        <v>5</v>
      </c>
      <c r="E4693">
        <v>2</v>
      </c>
      <c r="F4693" s="15">
        <v>46182</v>
      </c>
      <c r="G4693" t="s">
        <v>578</v>
      </c>
      <c r="H4693">
        <v>4</v>
      </c>
      <c r="I4693">
        <v>2026</v>
      </c>
      <c r="J4693">
        <v>6</v>
      </c>
      <c r="K4693" t="s">
        <v>87</v>
      </c>
      <c r="L4693" t="s">
        <v>519</v>
      </c>
      <c r="M4693" t="s">
        <v>6</v>
      </c>
      <c r="N4693" t="b">
        <v>0</v>
      </c>
      <c r="O4693">
        <v>0</v>
      </c>
      <c r="P4693">
        <v>1</v>
      </c>
      <c r="Q4693">
        <v>0</v>
      </c>
      <c r="R4693">
        <v>0</v>
      </c>
    </row>
    <row r="4694" spans="1:18" x14ac:dyDescent="0.25">
      <c r="A4694" t="s">
        <v>11</v>
      </c>
      <c r="B4694" t="s">
        <v>6</v>
      </c>
      <c r="C4694">
        <v>1</v>
      </c>
      <c r="D4694">
        <v>1</v>
      </c>
      <c r="E4694">
        <v>1</v>
      </c>
      <c r="F4694" s="15">
        <v>46188</v>
      </c>
      <c r="G4694" t="s">
        <v>581</v>
      </c>
      <c r="H4694">
        <v>4</v>
      </c>
      <c r="I4694">
        <v>2026</v>
      </c>
      <c r="J4694">
        <v>6</v>
      </c>
      <c r="K4694" t="s">
        <v>87</v>
      </c>
      <c r="L4694" t="s">
        <v>325</v>
      </c>
      <c r="M4694" t="s">
        <v>6</v>
      </c>
      <c r="N4694" t="b">
        <v>0</v>
      </c>
      <c r="O4694">
        <v>0</v>
      </c>
      <c r="P4694">
        <v>1</v>
      </c>
      <c r="Q4694">
        <v>0</v>
      </c>
      <c r="R4694">
        <v>0</v>
      </c>
    </row>
    <row r="4695" spans="1:18" x14ac:dyDescent="0.25">
      <c r="A4695" t="s">
        <v>11</v>
      </c>
      <c r="B4695" t="s">
        <v>6</v>
      </c>
      <c r="C4695">
        <v>1</v>
      </c>
      <c r="D4695">
        <v>1</v>
      </c>
      <c r="E4695">
        <v>1</v>
      </c>
      <c r="F4695" s="15">
        <v>46188</v>
      </c>
      <c r="G4695" t="s">
        <v>581</v>
      </c>
      <c r="H4695">
        <v>4</v>
      </c>
      <c r="I4695">
        <v>2026</v>
      </c>
      <c r="J4695">
        <v>6</v>
      </c>
      <c r="K4695" t="s">
        <v>87</v>
      </c>
      <c r="L4695" t="s">
        <v>28</v>
      </c>
      <c r="M4695" t="s">
        <v>8</v>
      </c>
      <c r="N4695" t="b">
        <v>0</v>
      </c>
      <c r="O4695">
        <v>0</v>
      </c>
      <c r="P4695">
        <v>1</v>
      </c>
      <c r="Q4695">
        <v>0</v>
      </c>
      <c r="R4695">
        <v>1</v>
      </c>
    </row>
    <row r="4696" spans="1:18" x14ac:dyDescent="0.25">
      <c r="A4696" t="s">
        <v>11</v>
      </c>
      <c r="B4696" t="s">
        <v>6</v>
      </c>
      <c r="C4696">
        <v>1</v>
      </c>
      <c r="D4696">
        <v>1</v>
      </c>
      <c r="E4696">
        <v>1</v>
      </c>
      <c r="F4696" s="15">
        <v>46188</v>
      </c>
      <c r="G4696" t="s">
        <v>581</v>
      </c>
      <c r="H4696">
        <v>4</v>
      </c>
      <c r="I4696">
        <v>2026</v>
      </c>
      <c r="J4696">
        <v>6</v>
      </c>
      <c r="K4696" t="s">
        <v>87</v>
      </c>
      <c r="L4696" t="s">
        <v>579</v>
      </c>
      <c r="M4696" t="s">
        <v>6</v>
      </c>
      <c r="N4696" t="b">
        <v>0</v>
      </c>
      <c r="O4696">
        <v>0</v>
      </c>
      <c r="P4696">
        <v>1</v>
      </c>
      <c r="Q4696">
        <v>0</v>
      </c>
      <c r="R4696">
        <v>0</v>
      </c>
    </row>
    <row r="4697" spans="1:18" x14ac:dyDescent="0.25">
      <c r="A4697" t="s">
        <v>325</v>
      </c>
      <c r="B4697" t="s">
        <v>6</v>
      </c>
      <c r="C4697">
        <v>2</v>
      </c>
      <c r="D4697">
        <v>1</v>
      </c>
      <c r="E4697">
        <v>1</v>
      </c>
      <c r="F4697" s="15">
        <v>46188</v>
      </c>
      <c r="G4697" t="s">
        <v>581</v>
      </c>
      <c r="H4697">
        <v>4</v>
      </c>
      <c r="I4697">
        <v>2026</v>
      </c>
      <c r="J4697">
        <v>6</v>
      </c>
      <c r="K4697" t="s">
        <v>87</v>
      </c>
      <c r="L4697" t="s">
        <v>11</v>
      </c>
      <c r="M4697" t="s">
        <v>6</v>
      </c>
      <c r="N4697" t="b">
        <v>0</v>
      </c>
      <c r="O4697">
        <v>0</v>
      </c>
      <c r="P4697">
        <v>1</v>
      </c>
      <c r="Q4697">
        <v>0</v>
      </c>
      <c r="R4697">
        <v>0</v>
      </c>
    </row>
    <row r="4698" spans="1:18" x14ac:dyDescent="0.25">
      <c r="A4698" t="s">
        <v>325</v>
      </c>
      <c r="B4698" t="s">
        <v>6</v>
      </c>
      <c r="C4698">
        <v>2</v>
      </c>
      <c r="D4698">
        <v>1</v>
      </c>
      <c r="E4698">
        <v>1</v>
      </c>
      <c r="F4698" s="15">
        <v>46188</v>
      </c>
      <c r="G4698" t="s">
        <v>581</v>
      </c>
      <c r="H4698">
        <v>4</v>
      </c>
      <c r="I4698">
        <v>2026</v>
      </c>
      <c r="J4698">
        <v>6</v>
      </c>
      <c r="K4698" t="s">
        <v>87</v>
      </c>
      <c r="L4698" t="s">
        <v>28</v>
      </c>
      <c r="M4698" t="s">
        <v>8</v>
      </c>
      <c r="N4698" t="b">
        <v>0</v>
      </c>
      <c r="O4698">
        <v>0</v>
      </c>
      <c r="P4698">
        <v>1</v>
      </c>
      <c r="Q4698">
        <v>0</v>
      </c>
      <c r="R4698">
        <v>1</v>
      </c>
    </row>
    <row r="4699" spans="1:18" x14ac:dyDescent="0.25">
      <c r="A4699" t="s">
        <v>325</v>
      </c>
      <c r="B4699" t="s">
        <v>6</v>
      </c>
      <c r="C4699">
        <v>2</v>
      </c>
      <c r="D4699">
        <v>1</v>
      </c>
      <c r="E4699">
        <v>1</v>
      </c>
      <c r="F4699" s="15">
        <v>46188</v>
      </c>
      <c r="G4699" t="s">
        <v>581</v>
      </c>
      <c r="H4699">
        <v>4</v>
      </c>
      <c r="I4699">
        <v>2026</v>
      </c>
      <c r="J4699">
        <v>6</v>
      </c>
      <c r="K4699" t="s">
        <v>87</v>
      </c>
      <c r="L4699" t="s">
        <v>579</v>
      </c>
      <c r="M4699" t="s">
        <v>6</v>
      </c>
      <c r="N4699" t="b">
        <v>0</v>
      </c>
      <c r="O4699">
        <v>0</v>
      </c>
      <c r="P4699">
        <v>1</v>
      </c>
      <c r="Q4699">
        <v>0</v>
      </c>
      <c r="R4699">
        <v>0</v>
      </c>
    </row>
    <row r="4700" spans="1:18" x14ac:dyDescent="0.25">
      <c r="A4700" t="s">
        <v>28</v>
      </c>
      <c r="B4700" t="s">
        <v>8</v>
      </c>
      <c r="C4700">
        <v>3</v>
      </c>
      <c r="D4700">
        <v>1</v>
      </c>
      <c r="E4700">
        <v>1</v>
      </c>
      <c r="F4700" s="15">
        <v>46188</v>
      </c>
      <c r="G4700" t="s">
        <v>581</v>
      </c>
      <c r="H4700">
        <v>4</v>
      </c>
      <c r="I4700">
        <v>2026</v>
      </c>
      <c r="J4700">
        <v>6</v>
      </c>
      <c r="K4700" t="s">
        <v>87</v>
      </c>
      <c r="L4700" t="s">
        <v>11</v>
      </c>
      <c r="M4700" t="s">
        <v>6</v>
      </c>
      <c r="N4700" t="b">
        <v>0</v>
      </c>
      <c r="O4700">
        <v>1</v>
      </c>
      <c r="P4700">
        <v>0</v>
      </c>
      <c r="Q4700">
        <v>0</v>
      </c>
      <c r="R4700">
        <v>0</v>
      </c>
    </row>
    <row r="4701" spans="1:18" x14ac:dyDescent="0.25">
      <c r="A4701" t="s">
        <v>28</v>
      </c>
      <c r="B4701" t="s">
        <v>8</v>
      </c>
      <c r="C4701">
        <v>3</v>
      </c>
      <c r="D4701">
        <v>1</v>
      </c>
      <c r="E4701">
        <v>1</v>
      </c>
      <c r="F4701" s="15">
        <v>46188</v>
      </c>
      <c r="G4701" t="s">
        <v>581</v>
      </c>
      <c r="H4701">
        <v>4</v>
      </c>
      <c r="I4701">
        <v>2026</v>
      </c>
      <c r="J4701">
        <v>6</v>
      </c>
      <c r="K4701" t="s">
        <v>87</v>
      </c>
      <c r="L4701" t="s">
        <v>325</v>
      </c>
      <c r="M4701" t="s">
        <v>6</v>
      </c>
      <c r="N4701" t="b">
        <v>0</v>
      </c>
      <c r="O4701">
        <v>1</v>
      </c>
      <c r="P4701">
        <v>0</v>
      </c>
      <c r="Q4701">
        <v>0</v>
      </c>
      <c r="R4701">
        <v>0</v>
      </c>
    </row>
    <row r="4702" spans="1:18" x14ac:dyDescent="0.25">
      <c r="A4702" t="s">
        <v>28</v>
      </c>
      <c r="B4702" t="s">
        <v>8</v>
      </c>
      <c r="C4702">
        <v>3</v>
      </c>
      <c r="D4702">
        <v>1</v>
      </c>
      <c r="E4702">
        <v>1</v>
      </c>
      <c r="F4702" s="15">
        <v>46188</v>
      </c>
      <c r="G4702" t="s">
        <v>581</v>
      </c>
      <c r="H4702">
        <v>4</v>
      </c>
      <c r="I4702">
        <v>2026</v>
      </c>
      <c r="J4702">
        <v>6</v>
      </c>
      <c r="K4702" t="s">
        <v>87</v>
      </c>
      <c r="L4702" t="s">
        <v>579</v>
      </c>
      <c r="M4702" t="s">
        <v>6</v>
      </c>
      <c r="N4702" t="b">
        <v>0</v>
      </c>
      <c r="O4702">
        <v>1</v>
      </c>
      <c r="P4702">
        <v>0</v>
      </c>
      <c r="Q4702">
        <v>0</v>
      </c>
      <c r="R4702">
        <v>0</v>
      </c>
    </row>
    <row r="4703" spans="1:18" x14ac:dyDescent="0.25">
      <c r="A4703" t="s">
        <v>579</v>
      </c>
      <c r="B4703" t="s">
        <v>6</v>
      </c>
      <c r="C4703">
        <v>4</v>
      </c>
      <c r="D4703">
        <v>1</v>
      </c>
      <c r="E4703">
        <v>1</v>
      </c>
      <c r="F4703" s="15">
        <v>46188</v>
      </c>
      <c r="G4703" t="s">
        <v>581</v>
      </c>
      <c r="H4703">
        <v>4</v>
      </c>
      <c r="I4703">
        <v>2026</v>
      </c>
      <c r="J4703">
        <v>6</v>
      </c>
      <c r="K4703" t="s">
        <v>87</v>
      </c>
      <c r="L4703" t="s">
        <v>11</v>
      </c>
      <c r="M4703" t="s">
        <v>6</v>
      </c>
      <c r="N4703" t="b">
        <v>0</v>
      </c>
      <c r="O4703">
        <v>0</v>
      </c>
      <c r="P4703">
        <v>1</v>
      </c>
      <c r="Q4703">
        <v>0</v>
      </c>
      <c r="R4703">
        <v>0</v>
      </c>
    </row>
    <row r="4704" spans="1:18" x14ac:dyDescent="0.25">
      <c r="A4704" t="s">
        <v>579</v>
      </c>
      <c r="B4704" t="s">
        <v>6</v>
      </c>
      <c r="C4704">
        <v>4</v>
      </c>
      <c r="D4704">
        <v>1</v>
      </c>
      <c r="E4704">
        <v>1</v>
      </c>
      <c r="F4704" s="15">
        <v>46188</v>
      </c>
      <c r="G4704" t="s">
        <v>581</v>
      </c>
      <c r="H4704">
        <v>4</v>
      </c>
      <c r="I4704">
        <v>2026</v>
      </c>
      <c r="J4704">
        <v>6</v>
      </c>
      <c r="K4704" t="s">
        <v>87</v>
      </c>
      <c r="L4704" t="s">
        <v>325</v>
      </c>
      <c r="M4704" t="s">
        <v>6</v>
      </c>
      <c r="N4704" t="b">
        <v>0</v>
      </c>
      <c r="O4704">
        <v>0</v>
      </c>
      <c r="P4704">
        <v>1</v>
      </c>
      <c r="Q4704">
        <v>0</v>
      </c>
      <c r="R4704">
        <v>0</v>
      </c>
    </row>
    <row r="4705" spans="1:18" x14ac:dyDescent="0.25">
      <c r="A4705" t="s">
        <v>579</v>
      </c>
      <c r="B4705" t="s">
        <v>6</v>
      </c>
      <c r="C4705">
        <v>4</v>
      </c>
      <c r="D4705">
        <v>1</v>
      </c>
      <c r="E4705">
        <v>1</v>
      </c>
      <c r="F4705" s="15">
        <v>46188</v>
      </c>
      <c r="G4705" t="s">
        <v>581</v>
      </c>
      <c r="H4705">
        <v>4</v>
      </c>
      <c r="I4705">
        <v>2026</v>
      </c>
      <c r="J4705">
        <v>6</v>
      </c>
      <c r="K4705" t="s">
        <v>87</v>
      </c>
      <c r="L4705" t="s">
        <v>28</v>
      </c>
      <c r="M4705" t="s">
        <v>8</v>
      </c>
      <c r="N4705" t="b">
        <v>0</v>
      </c>
      <c r="O4705">
        <v>0</v>
      </c>
      <c r="P4705">
        <v>1</v>
      </c>
      <c r="Q4705">
        <v>0</v>
      </c>
      <c r="R4705">
        <v>1</v>
      </c>
    </row>
    <row r="4706" spans="1:18" x14ac:dyDescent="0.25">
      <c r="A4706" t="s">
        <v>363</v>
      </c>
      <c r="B4706" t="s">
        <v>63</v>
      </c>
      <c r="C4706">
        <v>1</v>
      </c>
      <c r="D4706">
        <v>2</v>
      </c>
      <c r="E4706">
        <v>1</v>
      </c>
      <c r="F4706" s="15">
        <v>46188</v>
      </c>
      <c r="G4706" t="s">
        <v>582</v>
      </c>
      <c r="H4706">
        <v>4</v>
      </c>
      <c r="I4706">
        <v>2026</v>
      </c>
      <c r="J4706">
        <v>6</v>
      </c>
      <c r="K4706" t="s">
        <v>87</v>
      </c>
      <c r="L4706" t="s">
        <v>15</v>
      </c>
      <c r="M4706" t="s">
        <v>63</v>
      </c>
      <c r="N4706" t="b">
        <v>0</v>
      </c>
      <c r="O4706">
        <v>0</v>
      </c>
      <c r="P4706">
        <v>0</v>
      </c>
      <c r="Q4706">
        <v>1</v>
      </c>
      <c r="R4706">
        <v>0</v>
      </c>
    </row>
    <row r="4707" spans="1:18" x14ac:dyDescent="0.25">
      <c r="A4707" t="s">
        <v>363</v>
      </c>
      <c r="B4707" t="s">
        <v>63</v>
      </c>
      <c r="C4707">
        <v>1</v>
      </c>
      <c r="D4707">
        <v>2</v>
      </c>
      <c r="E4707">
        <v>1</v>
      </c>
      <c r="F4707" s="15">
        <v>46188</v>
      </c>
      <c r="G4707" t="s">
        <v>582</v>
      </c>
      <c r="H4707">
        <v>4</v>
      </c>
      <c r="I4707">
        <v>2026</v>
      </c>
      <c r="J4707">
        <v>6</v>
      </c>
      <c r="K4707" t="s">
        <v>87</v>
      </c>
      <c r="L4707" t="s">
        <v>7</v>
      </c>
      <c r="M4707" t="s">
        <v>63</v>
      </c>
      <c r="N4707" t="b">
        <v>0</v>
      </c>
      <c r="O4707">
        <v>0</v>
      </c>
      <c r="P4707">
        <v>0</v>
      </c>
      <c r="Q4707">
        <v>1</v>
      </c>
      <c r="R4707">
        <v>0</v>
      </c>
    </row>
    <row r="4708" spans="1:18" x14ac:dyDescent="0.25">
      <c r="A4708" t="s">
        <v>363</v>
      </c>
      <c r="B4708" t="s">
        <v>63</v>
      </c>
      <c r="C4708">
        <v>1</v>
      </c>
      <c r="D4708">
        <v>2</v>
      </c>
      <c r="E4708">
        <v>1</v>
      </c>
      <c r="F4708" s="15">
        <v>46188</v>
      </c>
      <c r="G4708" t="s">
        <v>582</v>
      </c>
      <c r="H4708">
        <v>4</v>
      </c>
      <c r="I4708">
        <v>2026</v>
      </c>
      <c r="J4708">
        <v>6</v>
      </c>
      <c r="K4708" t="s">
        <v>87</v>
      </c>
      <c r="L4708" t="s">
        <v>10</v>
      </c>
      <c r="M4708" t="s">
        <v>63</v>
      </c>
      <c r="N4708" t="b">
        <v>0</v>
      </c>
      <c r="O4708">
        <v>0</v>
      </c>
      <c r="P4708">
        <v>0</v>
      </c>
      <c r="Q4708">
        <v>1</v>
      </c>
      <c r="R4708">
        <v>0</v>
      </c>
    </row>
    <row r="4709" spans="1:18" x14ac:dyDescent="0.25">
      <c r="A4709" t="s">
        <v>15</v>
      </c>
      <c r="B4709" t="s">
        <v>63</v>
      </c>
      <c r="C4709">
        <v>2</v>
      </c>
      <c r="D4709">
        <v>2</v>
      </c>
      <c r="E4709">
        <v>1</v>
      </c>
      <c r="F4709" s="15">
        <v>46188</v>
      </c>
      <c r="G4709" t="s">
        <v>582</v>
      </c>
      <c r="H4709">
        <v>4</v>
      </c>
      <c r="I4709">
        <v>2026</v>
      </c>
      <c r="J4709">
        <v>6</v>
      </c>
      <c r="K4709" t="s">
        <v>87</v>
      </c>
      <c r="L4709" t="s">
        <v>363</v>
      </c>
      <c r="M4709" t="s">
        <v>63</v>
      </c>
      <c r="N4709" t="b">
        <v>0</v>
      </c>
      <c r="O4709">
        <v>0</v>
      </c>
      <c r="P4709">
        <v>0</v>
      </c>
      <c r="Q4709">
        <v>1</v>
      </c>
      <c r="R4709">
        <v>0</v>
      </c>
    </row>
    <row r="4710" spans="1:18" x14ac:dyDescent="0.25">
      <c r="A4710" t="s">
        <v>15</v>
      </c>
      <c r="B4710" t="s">
        <v>63</v>
      </c>
      <c r="C4710">
        <v>2</v>
      </c>
      <c r="D4710">
        <v>2</v>
      </c>
      <c r="E4710">
        <v>1</v>
      </c>
      <c r="F4710" s="15">
        <v>46188</v>
      </c>
      <c r="G4710" t="s">
        <v>582</v>
      </c>
      <c r="H4710">
        <v>4</v>
      </c>
      <c r="I4710">
        <v>2026</v>
      </c>
      <c r="J4710">
        <v>6</v>
      </c>
      <c r="K4710" t="s">
        <v>87</v>
      </c>
      <c r="L4710" t="s">
        <v>7</v>
      </c>
      <c r="M4710" t="s">
        <v>63</v>
      </c>
      <c r="N4710" t="b">
        <v>0</v>
      </c>
      <c r="O4710">
        <v>0</v>
      </c>
      <c r="P4710">
        <v>0</v>
      </c>
      <c r="Q4710">
        <v>1</v>
      </c>
      <c r="R4710">
        <v>0</v>
      </c>
    </row>
    <row r="4711" spans="1:18" x14ac:dyDescent="0.25">
      <c r="A4711" t="s">
        <v>15</v>
      </c>
      <c r="B4711" t="s">
        <v>63</v>
      </c>
      <c r="C4711">
        <v>2</v>
      </c>
      <c r="D4711">
        <v>2</v>
      </c>
      <c r="E4711">
        <v>1</v>
      </c>
      <c r="F4711" s="15">
        <v>46188</v>
      </c>
      <c r="G4711" t="s">
        <v>582</v>
      </c>
      <c r="H4711">
        <v>4</v>
      </c>
      <c r="I4711">
        <v>2026</v>
      </c>
      <c r="J4711">
        <v>6</v>
      </c>
      <c r="K4711" t="s">
        <v>87</v>
      </c>
      <c r="L4711" t="s">
        <v>10</v>
      </c>
      <c r="M4711" t="s">
        <v>63</v>
      </c>
      <c r="N4711" t="b">
        <v>0</v>
      </c>
      <c r="O4711">
        <v>0</v>
      </c>
      <c r="P4711">
        <v>0</v>
      </c>
      <c r="Q4711">
        <v>1</v>
      </c>
      <c r="R4711">
        <v>0</v>
      </c>
    </row>
    <row r="4712" spans="1:18" x14ac:dyDescent="0.25">
      <c r="A4712" t="s">
        <v>7</v>
      </c>
      <c r="B4712" t="s">
        <v>63</v>
      </c>
      <c r="C4712">
        <v>3</v>
      </c>
      <c r="D4712">
        <v>2</v>
      </c>
      <c r="E4712">
        <v>1</v>
      </c>
      <c r="F4712" s="15">
        <v>46188</v>
      </c>
      <c r="G4712" t="s">
        <v>582</v>
      </c>
      <c r="H4712">
        <v>4</v>
      </c>
      <c r="I4712">
        <v>2026</v>
      </c>
      <c r="J4712">
        <v>6</v>
      </c>
      <c r="K4712" t="s">
        <v>87</v>
      </c>
      <c r="L4712" t="s">
        <v>363</v>
      </c>
      <c r="M4712" t="s">
        <v>63</v>
      </c>
      <c r="N4712" t="b">
        <v>0</v>
      </c>
      <c r="O4712">
        <v>0</v>
      </c>
      <c r="P4712">
        <v>0</v>
      </c>
      <c r="Q4712">
        <v>1</v>
      </c>
      <c r="R4712">
        <v>0</v>
      </c>
    </row>
    <row r="4713" spans="1:18" x14ac:dyDescent="0.25">
      <c r="A4713" t="s">
        <v>7</v>
      </c>
      <c r="B4713" t="s">
        <v>63</v>
      </c>
      <c r="C4713">
        <v>3</v>
      </c>
      <c r="D4713">
        <v>2</v>
      </c>
      <c r="E4713">
        <v>1</v>
      </c>
      <c r="F4713" s="15">
        <v>46188</v>
      </c>
      <c r="G4713" t="s">
        <v>582</v>
      </c>
      <c r="H4713">
        <v>4</v>
      </c>
      <c r="I4713">
        <v>2026</v>
      </c>
      <c r="J4713">
        <v>6</v>
      </c>
      <c r="K4713" t="s">
        <v>87</v>
      </c>
      <c r="L4713" t="s">
        <v>15</v>
      </c>
      <c r="M4713" t="s">
        <v>63</v>
      </c>
      <c r="N4713" t="b">
        <v>0</v>
      </c>
      <c r="O4713">
        <v>0</v>
      </c>
      <c r="P4713">
        <v>0</v>
      </c>
      <c r="Q4713">
        <v>1</v>
      </c>
      <c r="R4713">
        <v>0</v>
      </c>
    </row>
    <row r="4714" spans="1:18" x14ac:dyDescent="0.25">
      <c r="A4714" t="s">
        <v>7</v>
      </c>
      <c r="B4714" t="s">
        <v>63</v>
      </c>
      <c r="C4714">
        <v>3</v>
      </c>
      <c r="D4714">
        <v>2</v>
      </c>
      <c r="E4714">
        <v>1</v>
      </c>
      <c r="F4714" s="15">
        <v>46188</v>
      </c>
      <c r="G4714" t="s">
        <v>582</v>
      </c>
      <c r="H4714">
        <v>4</v>
      </c>
      <c r="I4714">
        <v>2026</v>
      </c>
      <c r="J4714">
        <v>6</v>
      </c>
      <c r="K4714" t="s">
        <v>87</v>
      </c>
      <c r="L4714" t="s">
        <v>10</v>
      </c>
      <c r="M4714" t="s">
        <v>63</v>
      </c>
      <c r="N4714" t="b">
        <v>0</v>
      </c>
      <c r="O4714">
        <v>0</v>
      </c>
      <c r="P4714">
        <v>0</v>
      </c>
      <c r="Q4714">
        <v>1</v>
      </c>
      <c r="R4714">
        <v>0</v>
      </c>
    </row>
    <row r="4715" spans="1:18" x14ac:dyDescent="0.25">
      <c r="A4715" t="s">
        <v>10</v>
      </c>
      <c r="B4715" t="s">
        <v>63</v>
      </c>
      <c r="C4715">
        <v>4</v>
      </c>
      <c r="D4715">
        <v>2</v>
      </c>
      <c r="E4715">
        <v>1</v>
      </c>
      <c r="F4715" s="15">
        <v>46188</v>
      </c>
      <c r="G4715" t="s">
        <v>582</v>
      </c>
      <c r="H4715">
        <v>4</v>
      </c>
      <c r="I4715">
        <v>2026</v>
      </c>
      <c r="J4715">
        <v>6</v>
      </c>
      <c r="K4715" t="s">
        <v>87</v>
      </c>
      <c r="L4715" t="s">
        <v>363</v>
      </c>
      <c r="M4715" t="s">
        <v>63</v>
      </c>
      <c r="N4715" t="b">
        <v>0</v>
      </c>
      <c r="O4715">
        <v>0</v>
      </c>
      <c r="P4715">
        <v>0</v>
      </c>
      <c r="Q4715">
        <v>1</v>
      </c>
      <c r="R4715">
        <v>0</v>
      </c>
    </row>
    <row r="4716" spans="1:18" x14ac:dyDescent="0.25">
      <c r="A4716" t="s">
        <v>10</v>
      </c>
      <c r="B4716" t="s">
        <v>63</v>
      </c>
      <c r="C4716">
        <v>4</v>
      </c>
      <c r="D4716">
        <v>2</v>
      </c>
      <c r="E4716">
        <v>1</v>
      </c>
      <c r="F4716" s="15">
        <v>46188</v>
      </c>
      <c r="G4716" t="s">
        <v>582</v>
      </c>
      <c r="H4716">
        <v>4</v>
      </c>
      <c r="I4716">
        <v>2026</v>
      </c>
      <c r="J4716">
        <v>6</v>
      </c>
      <c r="K4716" t="s">
        <v>87</v>
      </c>
      <c r="L4716" t="s">
        <v>15</v>
      </c>
      <c r="M4716" t="s">
        <v>63</v>
      </c>
      <c r="N4716" t="b">
        <v>0</v>
      </c>
      <c r="O4716">
        <v>0</v>
      </c>
      <c r="P4716">
        <v>0</v>
      </c>
      <c r="Q4716">
        <v>1</v>
      </c>
      <c r="R4716">
        <v>0</v>
      </c>
    </row>
    <row r="4717" spans="1:18" x14ac:dyDescent="0.25">
      <c r="A4717" t="s">
        <v>10</v>
      </c>
      <c r="B4717" t="s">
        <v>63</v>
      </c>
      <c r="C4717">
        <v>4</v>
      </c>
      <c r="D4717">
        <v>2</v>
      </c>
      <c r="E4717">
        <v>1</v>
      </c>
      <c r="F4717" s="15">
        <v>46188</v>
      </c>
      <c r="G4717" t="s">
        <v>582</v>
      </c>
      <c r="H4717">
        <v>4</v>
      </c>
      <c r="I4717">
        <v>2026</v>
      </c>
      <c r="J4717">
        <v>6</v>
      </c>
      <c r="K4717" t="s">
        <v>87</v>
      </c>
      <c r="L4717" t="s">
        <v>7</v>
      </c>
      <c r="M4717" t="s">
        <v>63</v>
      </c>
      <c r="N4717" t="b">
        <v>0</v>
      </c>
      <c r="O4717">
        <v>0</v>
      </c>
      <c r="P4717">
        <v>0</v>
      </c>
      <c r="Q4717">
        <v>1</v>
      </c>
      <c r="R4717">
        <v>0</v>
      </c>
    </row>
    <row r="4718" spans="1:18" x14ac:dyDescent="0.25">
      <c r="A4718" t="s">
        <v>51</v>
      </c>
      <c r="B4718" t="s">
        <v>6</v>
      </c>
      <c r="C4718">
        <v>1</v>
      </c>
      <c r="D4718">
        <v>3</v>
      </c>
      <c r="E4718">
        <v>1</v>
      </c>
      <c r="F4718" s="15">
        <v>46188</v>
      </c>
      <c r="G4718" t="s">
        <v>583</v>
      </c>
      <c r="H4718">
        <v>4</v>
      </c>
      <c r="I4718">
        <v>2026</v>
      </c>
      <c r="J4718">
        <v>6</v>
      </c>
      <c r="K4718" t="s">
        <v>87</v>
      </c>
      <c r="L4718" t="s">
        <v>19</v>
      </c>
      <c r="M4718" t="s">
        <v>6</v>
      </c>
      <c r="N4718" t="b">
        <v>0</v>
      </c>
      <c r="O4718">
        <v>0</v>
      </c>
      <c r="P4718">
        <v>1</v>
      </c>
      <c r="Q4718">
        <v>0</v>
      </c>
      <c r="R4718">
        <v>0</v>
      </c>
    </row>
    <row r="4719" spans="1:18" x14ac:dyDescent="0.25">
      <c r="A4719" t="s">
        <v>51</v>
      </c>
      <c r="B4719" t="s">
        <v>6</v>
      </c>
      <c r="C4719">
        <v>1</v>
      </c>
      <c r="D4719">
        <v>3</v>
      </c>
      <c r="E4719">
        <v>1</v>
      </c>
      <c r="F4719" s="15">
        <v>46188</v>
      </c>
      <c r="G4719" t="s">
        <v>583</v>
      </c>
      <c r="H4719">
        <v>4</v>
      </c>
      <c r="I4719">
        <v>2026</v>
      </c>
      <c r="J4719">
        <v>6</v>
      </c>
      <c r="K4719" t="s">
        <v>87</v>
      </c>
      <c r="L4719" t="s">
        <v>580</v>
      </c>
      <c r="M4719" t="s">
        <v>6</v>
      </c>
      <c r="N4719" t="b">
        <v>0</v>
      </c>
      <c r="O4719">
        <v>0</v>
      </c>
      <c r="P4719">
        <v>1</v>
      </c>
      <c r="Q4719">
        <v>0</v>
      </c>
      <c r="R4719">
        <v>0</v>
      </c>
    </row>
    <row r="4720" spans="1:18" x14ac:dyDescent="0.25">
      <c r="A4720" t="s">
        <v>51</v>
      </c>
      <c r="B4720" t="s">
        <v>6</v>
      </c>
      <c r="C4720">
        <v>1</v>
      </c>
      <c r="D4720">
        <v>3</v>
      </c>
      <c r="E4720">
        <v>1</v>
      </c>
      <c r="F4720" s="15">
        <v>46188</v>
      </c>
      <c r="G4720" t="s">
        <v>583</v>
      </c>
      <c r="H4720">
        <v>4</v>
      </c>
      <c r="I4720">
        <v>2026</v>
      </c>
      <c r="J4720">
        <v>6</v>
      </c>
      <c r="K4720" t="s">
        <v>87</v>
      </c>
      <c r="L4720" t="s">
        <v>14</v>
      </c>
      <c r="M4720" t="s">
        <v>8</v>
      </c>
      <c r="N4720" t="b">
        <v>0</v>
      </c>
      <c r="O4720">
        <v>0</v>
      </c>
      <c r="P4720">
        <v>1</v>
      </c>
      <c r="Q4720">
        <v>0</v>
      </c>
      <c r="R4720">
        <v>1</v>
      </c>
    </row>
    <row r="4721" spans="1:18" x14ac:dyDescent="0.25">
      <c r="A4721" t="s">
        <v>19</v>
      </c>
      <c r="B4721" t="s">
        <v>6</v>
      </c>
      <c r="C4721">
        <v>2</v>
      </c>
      <c r="D4721">
        <v>3</v>
      </c>
      <c r="E4721">
        <v>1</v>
      </c>
      <c r="F4721" s="15">
        <v>46188</v>
      </c>
      <c r="G4721" t="s">
        <v>583</v>
      </c>
      <c r="H4721">
        <v>4</v>
      </c>
      <c r="I4721">
        <v>2026</v>
      </c>
      <c r="J4721">
        <v>6</v>
      </c>
      <c r="K4721" t="s">
        <v>87</v>
      </c>
      <c r="L4721" t="s">
        <v>51</v>
      </c>
      <c r="M4721" t="s">
        <v>6</v>
      </c>
      <c r="N4721" t="b">
        <v>0</v>
      </c>
      <c r="O4721">
        <v>0</v>
      </c>
      <c r="P4721">
        <v>1</v>
      </c>
      <c r="Q4721">
        <v>0</v>
      </c>
      <c r="R4721">
        <v>0</v>
      </c>
    </row>
    <row r="4722" spans="1:18" x14ac:dyDescent="0.25">
      <c r="A4722" t="s">
        <v>19</v>
      </c>
      <c r="B4722" t="s">
        <v>6</v>
      </c>
      <c r="C4722">
        <v>2</v>
      </c>
      <c r="D4722">
        <v>3</v>
      </c>
      <c r="E4722">
        <v>1</v>
      </c>
      <c r="F4722" s="15">
        <v>46188</v>
      </c>
      <c r="G4722" t="s">
        <v>583</v>
      </c>
      <c r="H4722">
        <v>4</v>
      </c>
      <c r="I4722">
        <v>2026</v>
      </c>
      <c r="J4722">
        <v>6</v>
      </c>
      <c r="K4722" t="s">
        <v>87</v>
      </c>
      <c r="L4722" t="s">
        <v>580</v>
      </c>
      <c r="M4722" t="s">
        <v>6</v>
      </c>
      <c r="N4722" t="b">
        <v>0</v>
      </c>
      <c r="O4722">
        <v>0</v>
      </c>
      <c r="P4722">
        <v>1</v>
      </c>
      <c r="Q4722">
        <v>0</v>
      </c>
      <c r="R4722">
        <v>0</v>
      </c>
    </row>
    <row r="4723" spans="1:18" x14ac:dyDescent="0.25">
      <c r="A4723" t="s">
        <v>19</v>
      </c>
      <c r="B4723" t="s">
        <v>6</v>
      </c>
      <c r="C4723">
        <v>2</v>
      </c>
      <c r="D4723">
        <v>3</v>
      </c>
      <c r="E4723">
        <v>1</v>
      </c>
      <c r="F4723" s="15">
        <v>46188</v>
      </c>
      <c r="G4723" t="s">
        <v>583</v>
      </c>
      <c r="H4723">
        <v>4</v>
      </c>
      <c r="I4723">
        <v>2026</v>
      </c>
      <c r="J4723">
        <v>6</v>
      </c>
      <c r="K4723" t="s">
        <v>87</v>
      </c>
      <c r="L4723" t="s">
        <v>14</v>
      </c>
      <c r="M4723" t="s">
        <v>8</v>
      </c>
      <c r="N4723" t="b">
        <v>0</v>
      </c>
      <c r="O4723">
        <v>0</v>
      </c>
      <c r="P4723">
        <v>1</v>
      </c>
      <c r="Q4723">
        <v>0</v>
      </c>
      <c r="R4723">
        <v>1</v>
      </c>
    </row>
    <row r="4724" spans="1:18" x14ac:dyDescent="0.25">
      <c r="A4724" t="s">
        <v>580</v>
      </c>
      <c r="B4724" t="s">
        <v>6</v>
      </c>
      <c r="C4724">
        <v>3</v>
      </c>
      <c r="D4724">
        <v>3</v>
      </c>
      <c r="E4724">
        <v>1</v>
      </c>
      <c r="F4724" s="15">
        <v>46188</v>
      </c>
      <c r="G4724" t="s">
        <v>583</v>
      </c>
      <c r="H4724">
        <v>4</v>
      </c>
      <c r="I4724">
        <v>2026</v>
      </c>
      <c r="J4724">
        <v>6</v>
      </c>
      <c r="K4724" t="s">
        <v>87</v>
      </c>
      <c r="L4724" t="s">
        <v>51</v>
      </c>
      <c r="M4724" t="s">
        <v>6</v>
      </c>
      <c r="N4724" t="b">
        <v>0</v>
      </c>
      <c r="O4724">
        <v>0</v>
      </c>
      <c r="P4724">
        <v>1</v>
      </c>
      <c r="Q4724">
        <v>0</v>
      </c>
      <c r="R4724">
        <v>0</v>
      </c>
    </row>
    <row r="4725" spans="1:18" x14ac:dyDescent="0.25">
      <c r="A4725" t="s">
        <v>580</v>
      </c>
      <c r="B4725" t="s">
        <v>6</v>
      </c>
      <c r="C4725">
        <v>3</v>
      </c>
      <c r="D4725">
        <v>3</v>
      </c>
      <c r="E4725">
        <v>1</v>
      </c>
      <c r="F4725" s="15">
        <v>46188</v>
      </c>
      <c r="G4725" t="s">
        <v>583</v>
      </c>
      <c r="H4725">
        <v>4</v>
      </c>
      <c r="I4725">
        <v>2026</v>
      </c>
      <c r="J4725">
        <v>6</v>
      </c>
      <c r="K4725" t="s">
        <v>87</v>
      </c>
      <c r="L4725" t="s">
        <v>19</v>
      </c>
      <c r="M4725" t="s">
        <v>6</v>
      </c>
      <c r="N4725" t="b">
        <v>0</v>
      </c>
      <c r="O4725">
        <v>0</v>
      </c>
      <c r="P4725">
        <v>1</v>
      </c>
      <c r="Q4725">
        <v>0</v>
      </c>
      <c r="R4725">
        <v>0</v>
      </c>
    </row>
    <row r="4726" spans="1:18" x14ac:dyDescent="0.25">
      <c r="A4726" t="s">
        <v>580</v>
      </c>
      <c r="B4726" t="s">
        <v>6</v>
      </c>
      <c r="C4726">
        <v>3</v>
      </c>
      <c r="D4726">
        <v>3</v>
      </c>
      <c r="E4726">
        <v>1</v>
      </c>
      <c r="F4726" s="15">
        <v>46188</v>
      </c>
      <c r="G4726" t="s">
        <v>583</v>
      </c>
      <c r="H4726">
        <v>4</v>
      </c>
      <c r="I4726">
        <v>2026</v>
      </c>
      <c r="J4726">
        <v>6</v>
      </c>
      <c r="K4726" t="s">
        <v>87</v>
      </c>
      <c r="L4726" t="s">
        <v>14</v>
      </c>
      <c r="M4726" t="s">
        <v>8</v>
      </c>
      <c r="N4726" t="b">
        <v>0</v>
      </c>
      <c r="O4726">
        <v>0</v>
      </c>
      <c r="P4726">
        <v>1</v>
      </c>
      <c r="Q4726">
        <v>0</v>
      </c>
      <c r="R4726">
        <v>1</v>
      </c>
    </row>
    <row r="4727" spans="1:18" x14ac:dyDescent="0.25">
      <c r="A4727" t="s">
        <v>14</v>
      </c>
      <c r="B4727" t="s">
        <v>8</v>
      </c>
      <c r="C4727">
        <v>4</v>
      </c>
      <c r="D4727">
        <v>3</v>
      </c>
      <c r="E4727">
        <v>1</v>
      </c>
      <c r="F4727" s="15">
        <v>46188</v>
      </c>
      <c r="G4727" t="s">
        <v>583</v>
      </c>
      <c r="H4727">
        <v>4</v>
      </c>
      <c r="I4727">
        <v>2026</v>
      </c>
      <c r="J4727">
        <v>6</v>
      </c>
      <c r="K4727" t="s">
        <v>87</v>
      </c>
      <c r="L4727" t="s">
        <v>51</v>
      </c>
      <c r="M4727" t="s">
        <v>6</v>
      </c>
      <c r="N4727" t="b">
        <v>0</v>
      </c>
      <c r="O4727">
        <v>1</v>
      </c>
      <c r="P4727">
        <v>0</v>
      </c>
      <c r="Q4727">
        <v>0</v>
      </c>
      <c r="R4727">
        <v>0</v>
      </c>
    </row>
    <row r="4728" spans="1:18" x14ac:dyDescent="0.25">
      <c r="A4728" t="s">
        <v>14</v>
      </c>
      <c r="B4728" t="s">
        <v>8</v>
      </c>
      <c r="C4728">
        <v>4</v>
      </c>
      <c r="D4728">
        <v>3</v>
      </c>
      <c r="E4728">
        <v>1</v>
      </c>
      <c r="F4728" s="15">
        <v>46188</v>
      </c>
      <c r="G4728" t="s">
        <v>583</v>
      </c>
      <c r="H4728">
        <v>4</v>
      </c>
      <c r="I4728">
        <v>2026</v>
      </c>
      <c r="J4728">
        <v>6</v>
      </c>
      <c r="K4728" t="s">
        <v>87</v>
      </c>
      <c r="L4728" t="s">
        <v>19</v>
      </c>
      <c r="M4728" t="s">
        <v>6</v>
      </c>
      <c r="N4728" t="b">
        <v>0</v>
      </c>
      <c r="O4728">
        <v>1</v>
      </c>
      <c r="P4728">
        <v>0</v>
      </c>
      <c r="Q4728">
        <v>0</v>
      </c>
      <c r="R4728">
        <v>0</v>
      </c>
    </row>
    <row r="4729" spans="1:18" x14ac:dyDescent="0.25">
      <c r="A4729" t="s">
        <v>14</v>
      </c>
      <c r="B4729" t="s">
        <v>8</v>
      </c>
      <c r="C4729">
        <v>4</v>
      </c>
      <c r="D4729">
        <v>3</v>
      </c>
      <c r="E4729">
        <v>1</v>
      </c>
      <c r="F4729" s="15">
        <v>46188</v>
      </c>
      <c r="G4729" t="s">
        <v>583</v>
      </c>
      <c r="H4729">
        <v>4</v>
      </c>
      <c r="I4729">
        <v>2026</v>
      </c>
      <c r="J4729">
        <v>6</v>
      </c>
      <c r="K4729" t="s">
        <v>87</v>
      </c>
      <c r="L4729" t="s">
        <v>580</v>
      </c>
      <c r="M4729" t="s">
        <v>6</v>
      </c>
      <c r="N4729" t="b">
        <v>0</v>
      </c>
      <c r="O4729">
        <v>1</v>
      </c>
      <c r="P4729">
        <v>0</v>
      </c>
      <c r="Q4729">
        <v>0</v>
      </c>
      <c r="R4729">
        <v>0</v>
      </c>
    </row>
    <row r="4730" spans="1:18" x14ac:dyDescent="0.25">
      <c r="A4730" t="s">
        <v>352</v>
      </c>
      <c r="B4730" t="s">
        <v>6</v>
      </c>
      <c r="C4730">
        <v>1</v>
      </c>
      <c r="D4730">
        <v>4</v>
      </c>
      <c r="E4730">
        <v>1</v>
      </c>
      <c r="F4730" s="15">
        <v>46188</v>
      </c>
      <c r="G4730" t="s">
        <v>584</v>
      </c>
      <c r="H4730">
        <v>4</v>
      </c>
      <c r="I4730">
        <v>2026</v>
      </c>
      <c r="J4730">
        <v>6</v>
      </c>
      <c r="K4730" t="s">
        <v>87</v>
      </c>
      <c r="L4730" t="s">
        <v>9</v>
      </c>
      <c r="M4730" t="s">
        <v>8</v>
      </c>
      <c r="N4730" t="b">
        <v>0</v>
      </c>
      <c r="O4730">
        <v>0</v>
      </c>
      <c r="P4730">
        <v>1</v>
      </c>
      <c r="Q4730">
        <v>0</v>
      </c>
      <c r="R4730">
        <v>1</v>
      </c>
    </row>
    <row r="4731" spans="1:18" x14ac:dyDescent="0.25">
      <c r="A4731" t="s">
        <v>352</v>
      </c>
      <c r="B4731" t="s">
        <v>6</v>
      </c>
      <c r="C4731">
        <v>1</v>
      </c>
      <c r="D4731">
        <v>4</v>
      </c>
      <c r="E4731">
        <v>1</v>
      </c>
      <c r="F4731" s="15">
        <v>46188</v>
      </c>
      <c r="G4731" t="s">
        <v>584</v>
      </c>
      <c r="H4731">
        <v>4</v>
      </c>
      <c r="I4731">
        <v>2026</v>
      </c>
      <c r="J4731">
        <v>6</v>
      </c>
      <c r="K4731" t="s">
        <v>87</v>
      </c>
      <c r="L4731" t="s">
        <v>402</v>
      </c>
      <c r="M4731" t="s">
        <v>6</v>
      </c>
      <c r="N4731" t="b">
        <v>0</v>
      </c>
      <c r="O4731">
        <v>0</v>
      </c>
      <c r="P4731">
        <v>1</v>
      </c>
      <c r="Q4731">
        <v>0</v>
      </c>
      <c r="R4731">
        <v>0</v>
      </c>
    </row>
    <row r="4732" spans="1:18" x14ac:dyDescent="0.25">
      <c r="A4732" t="s">
        <v>352</v>
      </c>
      <c r="B4732" t="s">
        <v>6</v>
      </c>
      <c r="C4732">
        <v>1</v>
      </c>
      <c r="D4732">
        <v>4</v>
      </c>
      <c r="E4732">
        <v>1</v>
      </c>
      <c r="F4732" s="15">
        <v>46188</v>
      </c>
      <c r="G4732" t="s">
        <v>584</v>
      </c>
      <c r="H4732">
        <v>4</v>
      </c>
      <c r="I4732">
        <v>2026</v>
      </c>
      <c r="J4732">
        <v>6</v>
      </c>
      <c r="K4732" t="s">
        <v>87</v>
      </c>
      <c r="L4732" t="s">
        <v>405</v>
      </c>
      <c r="M4732" t="s">
        <v>6</v>
      </c>
      <c r="N4732" t="b">
        <v>0</v>
      </c>
      <c r="O4732">
        <v>0</v>
      </c>
      <c r="P4732">
        <v>1</v>
      </c>
      <c r="Q4732">
        <v>0</v>
      </c>
      <c r="R4732">
        <v>0</v>
      </c>
    </row>
    <row r="4733" spans="1:18" x14ac:dyDescent="0.25">
      <c r="A4733" t="s">
        <v>9</v>
      </c>
      <c r="B4733" t="s">
        <v>8</v>
      </c>
      <c r="C4733">
        <v>2</v>
      </c>
      <c r="D4733">
        <v>4</v>
      </c>
      <c r="E4733">
        <v>1</v>
      </c>
      <c r="F4733" s="15">
        <v>46188</v>
      </c>
      <c r="G4733" t="s">
        <v>584</v>
      </c>
      <c r="H4733">
        <v>4</v>
      </c>
      <c r="I4733">
        <v>2026</v>
      </c>
      <c r="J4733">
        <v>6</v>
      </c>
      <c r="K4733" t="s">
        <v>87</v>
      </c>
      <c r="L4733" t="s">
        <v>352</v>
      </c>
      <c r="M4733" t="s">
        <v>6</v>
      </c>
      <c r="N4733" t="b">
        <v>0</v>
      </c>
      <c r="O4733">
        <v>1</v>
      </c>
      <c r="P4733">
        <v>0</v>
      </c>
      <c r="Q4733">
        <v>0</v>
      </c>
      <c r="R4733">
        <v>0</v>
      </c>
    </row>
    <row r="4734" spans="1:18" x14ac:dyDescent="0.25">
      <c r="A4734" t="s">
        <v>9</v>
      </c>
      <c r="B4734" t="s">
        <v>8</v>
      </c>
      <c r="C4734">
        <v>2</v>
      </c>
      <c r="D4734">
        <v>4</v>
      </c>
      <c r="E4734">
        <v>1</v>
      </c>
      <c r="F4734" s="15">
        <v>46188</v>
      </c>
      <c r="G4734" t="s">
        <v>584</v>
      </c>
      <c r="H4734">
        <v>4</v>
      </c>
      <c r="I4734">
        <v>2026</v>
      </c>
      <c r="J4734">
        <v>6</v>
      </c>
      <c r="K4734" t="s">
        <v>87</v>
      </c>
      <c r="L4734" t="s">
        <v>402</v>
      </c>
      <c r="M4734" t="s">
        <v>6</v>
      </c>
      <c r="N4734" t="b">
        <v>0</v>
      </c>
      <c r="O4734">
        <v>1</v>
      </c>
      <c r="P4734">
        <v>0</v>
      </c>
      <c r="Q4734">
        <v>0</v>
      </c>
      <c r="R4734">
        <v>0</v>
      </c>
    </row>
    <row r="4735" spans="1:18" x14ac:dyDescent="0.25">
      <c r="A4735" t="s">
        <v>9</v>
      </c>
      <c r="B4735" t="s">
        <v>8</v>
      </c>
      <c r="C4735">
        <v>2</v>
      </c>
      <c r="D4735">
        <v>4</v>
      </c>
      <c r="E4735">
        <v>1</v>
      </c>
      <c r="F4735" s="15">
        <v>46188</v>
      </c>
      <c r="G4735" t="s">
        <v>584</v>
      </c>
      <c r="H4735">
        <v>4</v>
      </c>
      <c r="I4735">
        <v>2026</v>
      </c>
      <c r="J4735">
        <v>6</v>
      </c>
      <c r="K4735" t="s">
        <v>87</v>
      </c>
      <c r="L4735" t="s">
        <v>405</v>
      </c>
      <c r="M4735" t="s">
        <v>6</v>
      </c>
      <c r="N4735" t="b">
        <v>0</v>
      </c>
      <c r="O4735">
        <v>1</v>
      </c>
      <c r="P4735">
        <v>0</v>
      </c>
      <c r="Q4735">
        <v>0</v>
      </c>
      <c r="R4735">
        <v>0</v>
      </c>
    </row>
    <row r="4736" spans="1:18" x14ac:dyDescent="0.25">
      <c r="A4736" t="s">
        <v>402</v>
      </c>
      <c r="B4736" t="s">
        <v>6</v>
      </c>
      <c r="C4736">
        <v>3</v>
      </c>
      <c r="D4736">
        <v>4</v>
      </c>
      <c r="E4736">
        <v>1</v>
      </c>
      <c r="F4736" s="15">
        <v>46188</v>
      </c>
      <c r="G4736" t="s">
        <v>584</v>
      </c>
      <c r="H4736">
        <v>4</v>
      </c>
      <c r="I4736">
        <v>2026</v>
      </c>
      <c r="J4736">
        <v>6</v>
      </c>
      <c r="K4736" t="s">
        <v>87</v>
      </c>
      <c r="L4736" t="s">
        <v>352</v>
      </c>
      <c r="M4736" t="s">
        <v>6</v>
      </c>
      <c r="N4736" t="b">
        <v>0</v>
      </c>
      <c r="O4736">
        <v>0</v>
      </c>
      <c r="P4736">
        <v>1</v>
      </c>
      <c r="Q4736">
        <v>0</v>
      </c>
      <c r="R4736">
        <v>0</v>
      </c>
    </row>
    <row r="4737" spans="1:18" x14ac:dyDescent="0.25">
      <c r="A4737" t="s">
        <v>402</v>
      </c>
      <c r="B4737" t="s">
        <v>6</v>
      </c>
      <c r="C4737">
        <v>3</v>
      </c>
      <c r="D4737">
        <v>4</v>
      </c>
      <c r="E4737">
        <v>1</v>
      </c>
      <c r="F4737" s="15">
        <v>46188</v>
      </c>
      <c r="G4737" t="s">
        <v>584</v>
      </c>
      <c r="H4737">
        <v>4</v>
      </c>
      <c r="I4737">
        <v>2026</v>
      </c>
      <c r="J4737">
        <v>6</v>
      </c>
      <c r="K4737" t="s">
        <v>87</v>
      </c>
      <c r="L4737" t="s">
        <v>9</v>
      </c>
      <c r="M4737" t="s">
        <v>8</v>
      </c>
      <c r="N4737" t="b">
        <v>0</v>
      </c>
      <c r="O4737">
        <v>0</v>
      </c>
      <c r="P4737">
        <v>1</v>
      </c>
      <c r="Q4737">
        <v>0</v>
      </c>
      <c r="R4737">
        <v>1</v>
      </c>
    </row>
    <row r="4738" spans="1:18" x14ac:dyDescent="0.25">
      <c r="A4738" t="s">
        <v>402</v>
      </c>
      <c r="B4738" t="s">
        <v>6</v>
      </c>
      <c r="C4738">
        <v>3</v>
      </c>
      <c r="D4738">
        <v>4</v>
      </c>
      <c r="E4738">
        <v>1</v>
      </c>
      <c r="F4738" s="15">
        <v>46188</v>
      </c>
      <c r="G4738" t="s">
        <v>584</v>
      </c>
      <c r="H4738">
        <v>4</v>
      </c>
      <c r="I4738">
        <v>2026</v>
      </c>
      <c r="J4738">
        <v>6</v>
      </c>
      <c r="K4738" t="s">
        <v>87</v>
      </c>
      <c r="L4738" t="s">
        <v>405</v>
      </c>
      <c r="M4738" t="s">
        <v>6</v>
      </c>
      <c r="N4738" t="b">
        <v>0</v>
      </c>
      <c r="O4738">
        <v>0</v>
      </c>
      <c r="P4738">
        <v>1</v>
      </c>
      <c r="Q4738">
        <v>0</v>
      </c>
      <c r="R4738">
        <v>0</v>
      </c>
    </row>
    <row r="4739" spans="1:18" x14ac:dyDescent="0.25">
      <c r="A4739" t="s">
        <v>405</v>
      </c>
      <c r="B4739" t="s">
        <v>6</v>
      </c>
      <c r="C4739">
        <v>4</v>
      </c>
      <c r="D4739">
        <v>4</v>
      </c>
      <c r="E4739">
        <v>1</v>
      </c>
      <c r="F4739" s="15">
        <v>46188</v>
      </c>
      <c r="G4739" t="s">
        <v>584</v>
      </c>
      <c r="H4739">
        <v>4</v>
      </c>
      <c r="I4739">
        <v>2026</v>
      </c>
      <c r="J4739">
        <v>6</v>
      </c>
      <c r="K4739" t="s">
        <v>87</v>
      </c>
      <c r="L4739" t="s">
        <v>352</v>
      </c>
      <c r="M4739" t="s">
        <v>6</v>
      </c>
      <c r="N4739" t="b">
        <v>0</v>
      </c>
      <c r="O4739">
        <v>0</v>
      </c>
      <c r="P4739">
        <v>1</v>
      </c>
      <c r="Q4739">
        <v>0</v>
      </c>
      <c r="R4739">
        <v>0</v>
      </c>
    </row>
    <row r="4740" spans="1:18" x14ac:dyDescent="0.25">
      <c r="A4740" t="s">
        <v>405</v>
      </c>
      <c r="B4740" t="s">
        <v>6</v>
      </c>
      <c r="C4740">
        <v>4</v>
      </c>
      <c r="D4740">
        <v>4</v>
      </c>
      <c r="E4740">
        <v>1</v>
      </c>
      <c r="F4740" s="15">
        <v>46188</v>
      </c>
      <c r="G4740" t="s">
        <v>584</v>
      </c>
      <c r="H4740">
        <v>4</v>
      </c>
      <c r="I4740">
        <v>2026</v>
      </c>
      <c r="J4740">
        <v>6</v>
      </c>
      <c r="K4740" t="s">
        <v>87</v>
      </c>
      <c r="L4740" t="s">
        <v>9</v>
      </c>
      <c r="M4740" t="s">
        <v>8</v>
      </c>
      <c r="N4740" t="b">
        <v>0</v>
      </c>
      <c r="O4740">
        <v>0</v>
      </c>
      <c r="P4740">
        <v>1</v>
      </c>
      <c r="Q4740">
        <v>0</v>
      </c>
      <c r="R4740">
        <v>1</v>
      </c>
    </row>
    <row r="4741" spans="1:18" x14ac:dyDescent="0.25">
      <c r="A4741" t="s">
        <v>405</v>
      </c>
      <c r="B4741" t="s">
        <v>6</v>
      </c>
      <c r="C4741">
        <v>4</v>
      </c>
      <c r="D4741">
        <v>4</v>
      </c>
      <c r="E4741">
        <v>1</v>
      </c>
      <c r="F4741" s="15">
        <v>46188</v>
      </c>
      <c r="G4741" t="s">
        <v>584</v>
      </c>
      <c r="H4741">
        <v>4</v>
      </c>
      <c r="I4741">
        <v>2026</v>
      </c>
      <c r="J4741">
        <v>6</v>
      </c>
      <c r="K4741" t="s">
        <v>87</v>
      </c>
      <c r="L4741" t="s">
        <v>402</v>
      </c>
      <c r="M4741" t="s">
        <v>6</v>
      </c>
      <c r="N4741" t="b">
        <v>0</v>
      </c>
      <c r="O4741">
        <v>0</v>
      </c>
      <c r="P4741">
        <v>1</v>
      </c>
      <c r="Q4741">
        <v>0</v>
      </c>
      <c r="R4741">
        <v>0</v>
      </c>
    </row>
    <row r="4742" spans="1:18" x14ac:dyDescent="0.25">
      <c r="A4742" t="s">
        <v>519</v>
      </c>
      <c r="B4742" t="s">
        <v>8</v>
      </c>
      <c r="C4742">
        <v>1</v>
      </c>
      <c r="D4742">
        <v>5</v>
      </c>
      <c r="E4742">
        <v>1</v>
      </c>
      <c r="F4742" s="15">
        <v>46188</v>
      </c>
      <c r="G4742" t="s">
        <v>585</v>
      </c>
      <c r="H4742">
        <v>3</v>
      </c>
      <c r="I4742">
        <v>2026</v>
      </c>
      <c r="J4742">
        <v>6</v>
      </c>
      <c r="K4742" t="s">
        <v>87</v>
      </c>
      <c r="L4742" t="s">
        <v>433</v>
      </c>
      <c r="M4742" t="s">
        <v>6</v>
      </c>
      <c r="N4742" t="b">
        <v>0</v>
      </c>
      <c r="O4742">
        <v>1</v>
      </c>
      <c r="P4742">
        <v>0</v>
      </c>
      <c r="Q4742">
        <v>0</v>
      </c>
      <c r="R4742">
        <v>0</v>
      </c>
    </row>
    <row r="4743" spans="1:18" x14ac:dyDescent="0.25">
      <c r="A4743" t="s">
        <v>519</v>
      </c>
      <c r="B4743" t="s">
        <v>8</v>
      </c>
      <c r="C4743">
        <v>1</v>
      </c>
      <c r="D4743">
        <v>5</v>
      </c>
      <c r="E4743">
        <v>1</v>
      </c>
      <c r="F4743" s="15">
        <v>46188</v>
      </c>
      <c r="G4743" t="s">
        <v>585</v>
      </c>
      <c r="H4743">
        <v>3</v>
      </c>
      <c r="I4743">
        <v>2026</v>
      </c>
      <c r="J4743">
        <v>6</v>
      </c>
      <c r="K4743" t="s">
        <v>87</v>
      </c>
      <c r="L4743" t="s">
        <v>435</v>
      </c>
      <c r="M4743" t="s">
        <v>6</v>
      </c>
      <c r="N4743" t="b">
        <v>0</v>
      </c>
      <c r="O4743">
        <v>1</v>
      </c>
      <c r="P4743">
        <v>0</v>
      </c>
      <c r="Q4743">
        <v>0</v>
      </c>
      <c r="R4743">
        <v>0</v>
      </c>
    </row>
    <row r="4744" spans="1:18" x14ac:dyDescent="0.25">
      <c r="A4744" t="s">
        <v>433</v>
      </c>
      <c r="B4744" t="s">
        <v>6</v>
      </c>
      <c r="C4744">
        <v>2</v>
      </c>
      <c r="D4744">
        <v>5</v>
      </c>
      <c r="E4744">
        <v>1</v>
      </c>
      <c r="F4744" s="15">
        <v>46188</v>
      </c>
      <c r="G4744" t="s">
        <v>585</v>
      </c>
      <c r="H4744">
        <v>3</v>
      </c>
      <c r="I4744">
        <v>2026</v>
      </c>
      <c r="J4744">
        <v>6</v>
      </c>
      <c r="K4744" t="s">
        <v>87</v>
      </c>
      <c r="L4744" t="s">
        <v>519</v>
      </c>
      <c r="M4744" t="s">
        <v>8</v>
      </c>
      <c r="N4744" t="b">
        <v>0</v>
      </c>
      <c r="O4744">
        <v>0</v>
      </c>
      <c r="P4744">
        <v>1</v>
      </c>
      <c r="Q4744">
        <v>0</v>
      </c>
      <c r="R4744">
        <v>1</v>
      </c>
    </row>
    <row r="4745" spans="1:18" x14ac:dyDescent="0.25">
      <c r="A4745" t="s">
        <v>433</v>
      </c>
      <c r="B4745" t="s">
        <v>6</v>
      </c>
      <c r="C4745">
        <v>2</v>
      </c>
      <c r="D4745">
        <v>5</v>
      </c>
      <c r="E4745">
        <v>1</v>
      </c>
      <c r="F4745" s="15">
        <v>46188</v>
      </c>
      <c r="G4745" t="s">
        <v>585</v>
      </c>
      <c r="H4745">
        <v>3</v>
      </c>
      <c r="I4745">
        <v>2026</v>
      </c>
      <c r="J4745">
        <v>6</v>
      </c>
      <c r="K4745" t="s">
        <v>87</v>
      </c>
      <c r="L4745" t="s">
        <v>435</v>
      </c>
      <c r="M4745" t="s">
        <v>6</v>
      </c>
      <c r="N4745" t="b">
        <v>0</v>
      </c>
      <c r="O4745">
        <v>0</v>
      </c>
      <c r="P4745">
        <v>1</v>
      </c>
      <c r="Q4745">
        <v>0</v>
      </c>
      <c r="R4745">
        <v>0</v>
      </c>
    </row>
    <row r="4746" spans="1:18" x14ac:dyDescent="0.25">
      <c r="A4746" t="s">
        <v>435</v>
      </c>
      <c r="B4746" t="s">
        <v>6</v>
      </c>
      <c r="C4746">
        <v>3</v>
      </c>
      <c r="D4746">
        <v>5</v>
      </c>
      <c r="E4746">
        <v>1</v>
      </c>
      <c r="F4746" s="15">
        <v>46188</v>
      </c>
      <c r="G4746" t="s">
        <v>585</v>
      </c>
      <c r="H4746">
        <v>3</v>
      </c>
      <c r="I4746">
        <v>2026</v>
      </c>
      <c r="J4746">
        <v>6</v>
      </c>
      <c r="K4746" t="s">
        <v>87</v>
      </c>
      <c r="L4746" t="s">
        <v>519</v>
      </c>
      <c r="M4746" t="s">
        <v>8</v>
      </c>
      <c r="N4746" t="b">
        <v>0</v>
      </c>
      <c r="O4746">
        <v>0</v>
      </c>
      <c r="P4746">
        <v>1</v>
      </c>
      <c r="Q4746">
        <v>0</v>
      </c>
      <c r="R4746">
        <v>1</v>
      </c>
    </row>
    <row r="4747" spans="1:18" x14ac:dyDescent="0.25">
      <c r="A4747" t="s">
        <v>435</v>
      </c>
      <c r="B4747" t="s">
        <v>6</v>
      </c>
      <c r="C4747">
        <v>3</v>
      </c>
      <c r="D4747">
        <v>5</v>
      </c>
      <c r="E4747">
        <v>1</v>
      </c>
      <c r="F4747" s="15">
        <v>46188</v>
      </c>
      <c r="G4747" t="s">
        <v>585</v>
      </c>
      <c r="H4747">
        <v>3</v>
      </c>
      <c r="I4747">
        <v>2026</v>
      </c>
      <c r="J4747">
        <v>6</v>
      </c>
      <c r="K4747" t="s">
        <v>87</v>
      </c>
      <c r="L4747" t="s">
        <v>433</v>
      </c>
      <c r="M4747" t="s">
        <v>6</v>
      </c>
      <c r="N4747" t="b">
        <v>0</v>
      </c>
      <c r="O4747">
        <v>0</v>
      </c>
      <c r="P4747">
        <v>1</v>
      </c>
      <c r="Q4747">
        <v>0</v>
      </c>
      <c r="R4747">
        <v>0</v>
      </c>
    </row>
    <row r="4748" spans="1:18" x14ac:dyDescent="0.25">
      <c r="A4748" t="s">
        <v>14</v>
      </c>
      <c r="B4748" t="s">
        <v>8</v>
      </c>
      <c r="C4748">
        <v>1</v>
      </c>
      <c r="D4748">
        <v>1</v>
      </c>
      <c r="E4748">
        <v>2</v>
      </c>
      <c r="F4748" s="15">
        <v>46188</v>
      </c>
      <c r="G4748" t="s">
        <v>586</v>
      </c>
      <c r="H4748">
        <v>4</v>
      </c>
      <c r="I4748">
        <v>2026</v>
      </c>
      <c r="J4748">
        <v>6</v>
      </c>
      <c r="K4748" t="s">
        <v>87</v>
      </c>
      <c r="L4748" t="s">
        <v>9</v>
      </c>
      <c r="M4748" t="s">
        <v>6</v>
      </c>
      <c r="N4748" t="b">
        <v>0</v>
      </c>
      <c r="O4748">
        <v>1</v>
      </c>
      <c r="P4748">
        <v>0</v>
      </c>
      <c r="Q4748">
        <v>0</v>
      </c>
      <c r="R4748">
        <v>0</v>
      </c>
    </row>
    <row r="4749" spans="1:18" x14ac:dyDescent="0.25">
      <c r="A4749" t="s">
        <v>14</v>
      </c>
      <c r="B4749" t="s">
        <v>8</v>
      </c>
      <c r="C4749">
        <v>1</v>
      </c>
      <c r="D4749">
        <v>1</v>
      </c>
      <c r="E4749">
        <v>2</v>
      </c>
      <c r="F4749" s="15">
        <v>46188</v>
      </c>
      <c r="G4749" t="s">
        <v>586</v>
      </c>
      <c r="H4749">
        <v>4</v>
      </c>
      <c r="I4749">
        <v>2026</v>
      </c>
      <c r="J4749">
        <v>6</v>
      </c>
      <c r="K4749" t="s">
        <v>87</v>
      </c>
      <c r="L4749" t="s">
        <v>28</v>
      </c>
      <c r="M4749" t="s">
        <v>6</v>
      </c>
      <c r="N4749" t="b">
        <v>0</v>
      </c>
      <c r="O4749">
        <v>1</v>
      </c>
      <c r="P4749">
        <v>0</v>
      </c>
      <c r="Q4749">
        <v>0</v>
      </c>
      <c r="R4749">
        <v>0</v>
      </c>
    </row>
    <row r="4750" spans="1:18" x14ac:dyDescent="0.25">
      <c r="A4750" t="s">
        <v>14</v>
      </c>
      <c r="B4750" t="s">
        <v>8</v>
      </c>
      <c r="C4750">
        <v>1</v>
      </c>
      <c r="D4750">
        <v>1</v>
      </c>
      <c r="E4750">
        <v>2</v>
      </c>
      <c r="F4750" s="15">
        <v>46188</v>
      </c>
      <c r="G4750" t="s">
        <v>586</v>
      </c>
      <c r="H4750">
        <v>4</v>
      </c>
      <c r="I4750">
        <v>2026</v>
      </c>
      <c r="J4750">
        <v>6</v>
      </c>
      <c r="K4750" t="s">
        <v>87</v>
      </c>
      <c r="L4750" t="s">
        <v>519</v>
      </c>
      <c r="M4750" t="s">
        <v>6</v>
      </c>
      <c r="N4750" t="b">
        <v>0</v>
      </c>
      <c r="O4750">
        <v>1</v>
      </c>
      <c r="P4750">
        <v>0</v>
      </c>
      <c r="Q4750">
        <v>0</v>
      </c>
      <c r="R4750">
        <v>0</v>
      </c>
    </row>
    <row r="4751" spans="1:18" x14ac:dyDescent="0.25">
      <c r="A4751" t="s">
        <v>9</v>
      </c>
      <c r="B4751" t="s">
        <v>6</v>
      </c>
      <c r="C4751">
        <v>2</v>
      </c>
      <c r="D4751">
        <v>1</v>
      </c>
      <c r="E4751">
        <v>2</v>
      </c>
      <c r="F4751" s="15">
        <v>46188</v>
      </c>
      <c r="G4751" t="s">
        <v>586</v>
      </c>
      <c r="H4751">
        <v>4</v>
      </c>
      <c r="I4751">
        <v>2026</v>
      </c>
      <c r="J4751">
        <v>6</v>
      </c>
      <c r="K4751" t="s">
        <v>87</v>
      </c>
      <c r="L4751" t="s">
        <v>14</v>
      </c>
      <c r="M4751" t="s">
        <v>8</v>
      </c>
      <c r="N4751" t="b">
        <v>0</v>
      </c>
      <c r="O4751">
        <v>0</v>
      </c>
      <c r="P4751">
        <v>1</v>
      </c>
      <c r="Q4751">
        <v>0</v>
      </c>
      <c r="R4751">
        <v>1</v>
      </c>
    </row>
    <row r="4752" spans="1:18" x14ac:dyDescent="0.25">
      <c r="A4752" t="s">
        <v>9</v>
      </c>
      <c r="B4752" t="s">
        <v>6</v>
      </c>
      <c r="C4752">
        <v>2</v>
      </c>
      <c r="D4752">
        <v>1</v>
      </c>
      <c r="E4752">
        <v>2</v>
      </c>
      <c r="F4752" s="15">
        <v>46188</v>
      </c>
      <c r="G4752" t="s">
        <v>586</v>
      </c>
      <c r="H4752">
        <v>4</v>
      </c>
      <c r="I4752">
        <v>2026</v>
      </c>
      <c r="J4752">
        <v>6</v>
      </c>
      <c r="K4752" t="s">
        <v>87</v>
      </c>
      <c r="L4752" t="s">
        <v>28</v>
      </c>
      <c r="M4752" t="s">
        <v>6</v>
      </c>
      <c r="N4752" t="b">
        <v>0</v>
      </c>
      <c r="O4752">
        <v>0</v>
      </c>
      <c r="P4752">
        <v>1</v>
      </c>
      <c r="Q4752">
        <v>0</v>
      </c>
      <c r="R4752">
        <v>0</v>
      </c>
    </row>
    <row r="4753" spans="1:18" x14ac:dyDescent="0.25">
      <c r="A4753" t="s">
        <v>9</v>
      </c>
      <c r="B4753" t="s">
        <v>6</v>
      </c>
      <c r="C4753">
        <v>2</v>
      </c>
      <c r="D4753">
        <v>1</v>
      </c>
      <c r="E4753">
        <v>2</v>
      </c>
      <c r="F4753" s="15">
        <v>46188</v>
      </c>
      <c r="G4753" t="s">
        <v>586</v>
      </c>
      <c r="H4753">
        <v>4</v>
      </c>
      <c r="I4753">
        <v>2026</v>
      </c>
      <c r="J4753">
        <v>6</v>
      </c>
      <c r="K4753" t="s">
        <v>87</v>
      </c>
      <c r="L4753" t="s">
        <v>519</v>
      </c>
      <c r="M4753" t="s">
        <v>6</v>
      </c>
      <c r="N4753" t="b">
        <v>0</v>
      </c>
      <c r="O4753">
        <v>0</v>
      </c>
      <c r="P4753">
        <v>1</v>
      </c>
      <c r="Q4753">
        <v>0</v>
      </c>
      <c r="R4753">
        <v>0</v>
      </c>
    </row>
    <row r="4754" spans="1:18" x14ac:dyDescent="0.25">
      <c r="A4754" t="s">
        <v>28</v>
      </c>
      <c r="B4754" t="s">
        <v>6</v>
      </c>
      <c r="C4754">
        <v>3</v>
      </c>
      <c r="D4754">
        <v>1</v>
      </c>
      <c r="E4754">
        <v>2</v>
      </c>
      <c r="F4754" s="15">
        <v>46188</v>
      </c>
      <c r="G4754" t="s">
        <v>586</v>
      </c>
      <c r="H4754">
        <v>4</v>
      </c>
      <c r="I4754">
        <v>2026</v>
      </c>
      <c r="J4754">
        <v>6</v>
      </c>
      <c r="K4754" t="s">
        <v>87</v>
      </c>
      <c r="L4754" t="s">
        <v>14</v>
      </c>
      <c r="M4754" t="s">
        <v>8</v>
      </c>
      <c r="N4754" t="b">
        <v>0</v>
      </c>
      <c r="O4754">
        <v>0</v>
      </c>
      <c r="P4754">
        <v>1</v>
      </c>
      <c r="Q4754">
        <v>0</v>
      </c>
      <c r="R4754">
        <v>1</v>
      </c>
    </row>
    <row r="4755" spans="1:18" x14ac:dyDescent="0.25">
      <c r="A4755" t="s">
        <v>28</v>
      </c>
      <c r="B4755" t="s">
        <v>6</v>
      </c>
      <c r="C4755">
        <v>3</v>
      </c>
      <c r="D4755">
        <v>1</v>
      </c>
      <c r="E4755">
        <v>2</v>
      </c>
      <c r="F4755" s="15">
        <v>46188</v>
      </c>
      <c r="G4755" t="s">
        <v>586</v>
      </c>
      <c r="H4755">
        <v>4</v>
      </c>
      <c r="I4755">
        <v>2026</v>
      </c>
      <c r="J4755">
        <v>6</v>
      </c>
      <c r="K4755" t="s">
        <v>87</v>
      </c>
      <c r="L4755" t="s">
        <v>9</v>
      </c>
      <c r="M4755" t="s">
        <v>6</v>
      </c>
      <c r="N4755" t="b">
        <v>0</v>
      </c>
      <c r="O4755">
        <v>0</v>
      </c>
      <c r="P4755">
        <v>1</v>
      </c>
      <c r="Q4755">
        <v>0</v>
      </c>
      <c r="R4755">
        <v>0</v>
      </c>
    </row>
    <row r="4756" spans="1:18" x14ac:dyDescent="0.25">
      <c r="A4756" t="s">
        <v>28</v>
      </c>
      <c r="B4756" t="s">
        <v>6</v>
      </c>
      <c r="C4756">
        <v>3</v>
      </c>
      <c r="D4756">
        <v>1</v>
      </c>
      <c r="E4756">
        <v>2</v>
      </c>
      <c r="F4756" s="15">
        <v>46188</v>
      </c>
      <c r="G4756" t="s">
        <v>586</v>
      </c>
      <c r="H4756">
        <v>4</v>
      </c>
      <c r="I4756">
        <v>2026</v>
      </c>
      <c r="J4756">
        <v>6</v>
      </c>
      <c r="K4756" t="s">
        <v>87</v>
      </c>
      <c r="L4756" t="s">
        <v>519</v>
      </c>
      <c r="M4756" t="s">
        <v>6</v>
      </c>
      <c r="N4756" t="b">
        <v>0</v>
      </c>
      <c r="O4756">
        <v>0</v>
      </c>
      <c r="P4756">
        <v>1</v>
      </c>
      <c r="Q4756">
        <v>0</v>
      </c>
      <c r="R4756">
        <v>0</v>
      </c>
    </row>
    <row r="4757" spans="1:18" x14ac:dyDescent="0.25">
      <c r="A4757" t="s">
        <v>519</v>
      </c>
      <c r="B4757" t="s">
        <v>6</v>
      </c>
      <c r="C4757">
        <v>4</v>
      </c>
      <c r="D4757">
        <v>1</v>
      </c>
      <c r="E4757">
        <v>2</v>
      </c>
      <c r="F4757" s="15">
        <v>46188</v>
      </c>
      <c r="G4757" t="s">
        <v>586</v>
      </c>
      <c r="H4757">
        <v>4</v>
      </c>
      <c r="I4757">
        <v>2026</v>
      </c>
      <c r="J4757">
        <v>6</v>
      </c>
      <c r="K4757" t="s">
        <v>87</v>
      </c>
      <c r="L4757" t="s">
        <v>14</v>
      </c>
      <c r="M4757" t="s">
        <v>8</v>
      </c>
      <c r="N4757" t="b">
        <v>0</v>
      </c>
      <c r="O4757">
        <v>0</v>
      </c>
      <c r="P4757">
        <v>1</v>
      </c>
      <c r="Q4757">
        <v>0</v>
      </c>
      <c r="R4757">
        <v>1</v>
      </c>
    </row>
    <row r="4758" spans="1:18" x14ac:dyDescent="0.25">
      <c r="A4758" t="s">
        <v>519</v>
      </c>
      <c r="B4758" t="s">
        <v>6</v>
      </c>
      <c r="C4758">
        <v>4</v>
      </c>
      <c r="D4758">
        <v>1</v>
      </c>
      <c r="E4758">
        <v>2</v>
      </c>
      <c r="F4758" s="15">
        <v>46188</v>
      </c>
      <c r="G4758" t="s">
        <v>586</v>
      </c>
      <c r="H4758">
        <v>4</v>
      </c>
      <c r="I4758">
        <v>2026</v>
      </c>
      <c r="J4758">
        <v>6</v>
      </c>
      <c r="K4758" t="s">
        <v>87</v>
      </c>
      <c r="L4758" t="s">
        <v>9</v>
      </c>
      <c r="M4758" t="s">
        <v>6</v>
      </c>
      <c r="N4758" t="b">
        <v>0</v>
      </c>
      <c r="O4758">
        <v>0</v>
      </c>
      <c r="P4758">
        <v>1</v>
      </c>
      <c r="Q4758">
        <v>0</v>
      </c>
      <c r="R4758">
        <v>0</v>
      </c>
    </row>
    <row r="4759" spans="1:18" x14ac:dyDescent="0.25">
      <c r="A4759" t="s">
        <v>519</v>
      </c>
      <c r="B4759" t="s">
        <v>6</v>
      </c>
      <c r="C4759">
        <v>4</v>
      </c>
      <c r="D4759">
        <v>1</v>
      </c>
      <c r="E4759">
        <v>2</v>
      </c>
      <c r="F4759" s="15">
        <v>46188</v>
      </c>
      <c r="G4759" t="s">
        <v>586</v>
      </c>
      <c r="H4759">
        <v>4</v>
      </c>
      <c r="I4759">
        <v>2026</v>
      </c>
      <c r="J4759">
        <v>6</v>
      </c>
      <c r="K4759" t="s">
        <v>87</v>
      </c>
      <c r="L4759" t="s">
        <v>28</v>
      </c>
      <c r="M4759" t="s">
        <v>6</v>
      </c>
      <c r="N4759" t="b">
        <v>0</v>
      </c>
      <c r="O4759">
        <v>0</v>
      </c>
      <c r="P4759">
        <v>1</v>
      </c>
      <c r="Q4759">
        <v>0</v>
      </c>
      <c r="R4759">
        <v>0</v>
      </c>
    </row>
    <row r="4760" spans="1:18" x14ac:dyDescent="0.25">
      <c r="A4760" t="s">
        <v>433</v>
      </c>
      <c r="B4760" t="s">
        <v>6</v>
      </c>
      <c r="C4760">
        <v>1</v>
      </c>
      <c r="D4760">
        <v>2</v>
      </c>
      <c r="E4760">
        <v>2</v>
      </c>
      <c r="F4760" s="15">
        <v>46188</v>
      </c>
      <c r="G4760" t="s">
        <v>587</v>
      </c>
      <c r="H4760">
        <v>4</v>
      </c>
      <c r="I4760">
        <v>2026</v>
      </c>
      <c r="J4760">
        <v>6</v>
      </c>
      <c r="K4760" t="s">
        <v>87</v>
      </c>
      <c r="L4760" t="s">
        <v>15</v>
      </c>
      <c r="M4760" t="s">
        <v>6</v>
      </c>
      <c r="N4760" t="b">
        <v>0</v>
      </c>
      <c r="O4760">
        <v>0</v>
      </c>
      <c r="P4760">
        <v>1</v>
      </c>
      <c r="Q4760">
        <v>0</v>
      </c>
      <c r="R4760">
        <v>0</v>
      </c>
    </row>
    <row r="4761" spans="1:18" x14ac:dyDescent="0.25">
      <c r="A4761" t="s">
        <v>433</v>
      </c>
      <c r="B4761" t="s">
        <v>6</v>
      </c>
      <c r="C4761">
        <v>1</v>
      </c>
      <c r="D4761">
        <v>2</v>
      </c>
      <c r="E4761">
        <v>2</v>
      </c>
      <c r="F4761" s="15">
        <v>46188</v>
      </c>
      <c r="G4761" t="s">
        <v>587</v>
      </c>
      <c r="H4761">
        <v>4</v>
      </c>
      <c r="I4761">
        <v>2026</v>
      </c>
      <c r="J4761">
        <v>6</v>
      </c>
      <c r="K4761" t="s">
        <v>87</v>
      </c>
      <c r="L4761" t="s">
        <v>11</v>
      </c>
      <c r="M4761" t="s">
        <v>8</v>
      </c>
      <c r="N4761" t="b">
        <v>0</v>
      </c>
      <c r="O4761">
        <v>0</v>
      </c>
      <c r="P4761">
        <v>1</v>
      </c>
      <c r="Q4761">
        <v>0</v>
      </c>
      <c r="R4761">
        <v>1</v>
      </c>
    </row>
    <row r="4762" spans="1:18" x14ac:dyDescent="0.25">
      <c r="A4762" t="s">
        <v>433</v>
      </c>
      <c r="B4762" t="s">
        <v>6</v>
      </c>
      <c r="C4762">
        <v>1</v>
      </c>
      <c r="D4762">
        <v>2</v>
      </c>
      <c r="E4762">
        <v>2</v>
      </c>
      <c r="F4762" s="15">
        <v>46188</v>
      </c>
      <c r="G4762" t="s">
        <v>587</v>
      </c>
      <c r="H4762">
        <v>4</v>
      </c>
      <c r="I4762">
        <v>2026</v>
      </c>
      <c r="J4762">
        <v>6</v>
      </c>
      <c r="K4762" t="s">
        <v>87</v>
      </c>
      <c r="L4762" t="s">
        <v>51</v>
      </c>
      <c r="M4762" t="s">
        <v>6</v>
      </c>
      <c r="N4762" t="b">
        <v>0</v>
      </c>
      <c r="O4762">
        <v>0</v>
      </c>
      <c r="P4762">
        <v>1</v>
      </c>
      <c r="Q4762">
        <v>0</v>
      </c>
      <c r="R4762">
        <v>0</v>
      </c>
    </row>
    <row r="4763" spans="1:18" x14ac:dyDescent="0.25">
      <c r="A4763" t="s">
        <v>15</v>
      </c>
      <c r="B4763" t="s">
        <v>6</v>
      </c>
      <c r="C4763">
        <v>2</v>
      </c>
      <c r="D4763">
        <v>2</v>
      </c>
      <c r="E4763">
        <v>2</v>
      </c>
      <c r="F4763" s="15">
        <v>46188</v>
      </c>
      <c r="G4763" t="s">
        <v>587</v>
      </c>
      <c r="H4763">
        <v>4</v>
      </c>
      <c r="I4763">
        <v>2026</v>
      </c>
      <c r="J4763">
        <v>6</v>
      </c>
      <c r="K4763" t="s">
        <v>87</v>
      </c>
      <c r="L4763" t="s">
        <v>433</v>
      </c>
      <c r="M4763" t="s">
        <v>6</v>
      </c>
      <c r="N4763" t="b">
        <v>0</v>
      </c>
      <c r="O4763">
        <v>0</v>
      </c>
      <c r="P4763">
        <v>1</v>
      </c>
      <c r="Q4763">
        <v>0</v>
      </c>
      <c r="R4763">
        <v>0</v>
      </c>
    </row>
    <row r="4764" spans="1:18" x14ac:dyDescent="0.25">
      <c r="A4764" t="s">
        <v>15</v>
      </c>
      <c r="B4764" t="s">
        <v>6</v>
      </c>
      <c r="C4764">
        <v>2</v>
      </c>
      <c r="D4764">
        <v>2</v>
      </c>
      <c r="E4764">
        <v>2</v>
      </c>
      <c r="F4764" s="15">
        <v>46188</v>
      </c>
      <c r="G4764" t="s">
        <v>587</v>
      </c>
      <c r="H4764">
        <v>4</v>
      </c>
      <c r="I4764">
        <v>2026</v>
      </c>
      <c r="J4764">
        <v>6</v>
      </c>
      <c r="K4764" t="s">
        <v>87</v>
      </c>
      <c r="L4764" t="s">
        <v>11</v>
      </c>
      <c r="M4764" t="s">
        <v>8</v>
      </c>
      <c r="N4764" t="b">
        <v>0</v>
      </c>
      <c r="O4764">
        <v>0</v>
      </c>
      <c r="P4764">
        <v>1</v>
      </c>
      <c r="Q4764">
        <v>0</v>
      </c>
      <c r="R4764">
        <v>1</v>
      </c>
    </row>
    <row r="4765" spans="1:18" x14ac:dyDescent="0.25">
      <c r="A4765" t="s">
        <v>15</v>
      </c>
      <c r="B4765" t="s">
        <v>6</v>
      </c>
      <c r="C4765">
        <v>2</v>
      </c>
      <c r="D4765">
        <v>2</v>
      </c>
      <c r="E4765">
        <v>2</v>
      </c>
      <c r="F4765" s="15">
        <v>46188</v>
      </c>
      <c r="G4765" t="s">
        <v>587</v>
      </c>
      <c r="H4765">
        <v>4</v>
      </c>
      <c r="I4765">
        <v>2026</v>
      </c>
      <c r="J4765">
        <v>6</v>
      </c>
      <c r="K4765" t="s">
        <v>87</v>
      </c>
      <c r="L4765" t="s">
        <v>51</v>
      </c>
      <c r="M4765" t="s">
        <v>6</v>
      </c>
      <c r="N4765" t="b">
        <v>0</v>
      </c>
      <c r="O4765">
        <v>0</v>
      </c>
      <c r="P4765">
        <v>1</v>
      </c>
      <c r="Q4765">
        <v>0</v>
      </c>
      <c r="R4765">
        <v>0</v>
      </c>
    </row>
    <row r="4766" spans="1:18" x14ac:dyDescent="0.25">
      <c r="A4766" t="s">
        <v>11</v>
      </c>
      <c r="B4766" t="s">
        <v>8</v>
      </c>
      <c r="C4766">
        <v>3</v>
      </c>
      <c r="D4766">
        <v>2</v>
      </c>
      <c r="E4766">
        <v>2</v>
      </c>
      <c r="F4766" s="15">
        <v>46188</v>
      </c>
      <c r="G4766" t="s">
        <v>587</v>
      </c>
      <c r="H4766">
        <v>4</v>
      </c>
      <c r="I4766">
        <v>2026</v>
      </c>
      <c r="J4766">
        <v>6</v>
      </c>
      <c r="K4766" t="s">
        <v>87</v>
      </c>
      <c r="L4766" t="s">
        <v>433</v>
      </c>
      <c r="M4766" t="s">
        <v>6</v>
      </c>
      <c r="N4766" t="b">
        <v>0</v>
      </c>
      <c r="O4766">
        <v>1</v>
      </c>
      <c r="P4766">
        <v>0</v>
      </c>
      <c r="Q4766">
        <v>0</v>
      </c>
      <c r="R4766">
        <v>0</v>
      </c>
    </row>
    <row r="4767" spans="1:18" x14ac:dyDescent="0.25">
      <c r="A4767" t="s">
        <v>11</v>
      </c>
      <c r="B4767" t="s">
        <v>8</v>
      </c>
      <c r="C4767">
        <v>3</v>
      </c>
      <c r="D4767">
        <v>2</v>
      </c>
      <c r="E4767">
        <v>2</v>
      </c>
      <c r="F4767" s="15">
        <v>46188</v>
      </c>
      <c r="G4767" t="s">
        <v>587</v>
      </c>
      <c r="H4767">
        <v>4</v>
      </c>
      <c r="I4767">
        <v>2026</v>
      </c>
      <c r="J4767">
        <v>6</v>
      </c>
      <c r="K4767" t="s">
        <v>87</v>
      </c>
      <c r="L4767" t="s">
        <v>15</v>
      </c>
      <c r="M4767" t="s">
        <v>6</v>
      </c>
      <c r="N4767" t="b">
        <v>0</v>
      </c>
      <c r="O4767">
        <v>1</v>
      </c>
      <c r="P4767">
        <v>0</v>
      </c>
      <c r="Q4767">
        <v>0</v>
      </c>
      <c r="R4767">
        <v>0</v>
      </c>
    </row>
    <row r="4768" spans="1:18" x14ac:dyDescent="0.25">
      <c r="A4768" t="s">
        <v>11</v>
      </c>
      <c r="B4768" t="s">
        <v>8</v>
      </c>
      <c r="C4768">
        <v>3</v>
      </c>
      <c r="D4768">
        <v>2</v>
      </c>
      <c r="E4768">
        <v>2</v>
      </c>
      <c r="F4768" s="15">
        <v>46188</v>
      </c>
      <c r="G4768" t="s">
        <v>587</v>
      </c>
      <c r="H4768">
        <v>4</v>
      </c>
      <c r="I4768">
        <v>2026</v>
      </c>
      <c r="J4768">
        <v>6</v>
      </c>
      <c r="K4768" t="s">
        <v>87</v>
      </c>
      <c r="L4768" t="s">
        <v>51</v>
      </c>
      <c r="M4768" t="s">
        <v>6</v>
      </c>
      <c r="N4768" t="b">
        <v>0</v>
      </c>
      <c r="O4768">
        <v>1</v>
      </c>
      <c r="P4768">
        <v>0</v>
      </c>
      <c r="Q4768">
        <v>0</v>
      </c>
      <c r="R4768">
        <v>0</v>
      </c>
    </row>
    <row r="4769" spans="1:18" x14ac:dyDescent="0.25">
      <c r="A4769" t="s">
        <v>51</v>
      </c>
      <c r="B4769" t="s">
        <v>6</v>
      </c>
      <c r="C4769">
        <v>4</v>
      </c>
      <c r="D4769">
        <v>2</v>
      </c>
      <c r="E4769">
        <v>2</v>
      </c>
      <c r="F4769" s="15">
        <v>46188</v>
      </c>
      <c r="G4769" t="s">
        <v>587</v>
      </c>
      <c r="H4769">
        <v>4</v>
      </c>
      <c r="I4769">
        <v>2026</v>
      </c>
      <c r="J4769">
        <v>6</v>
      </c>
      <c r="K4769" t="s">
        <v>87</v>
      </c>
      <c r="L4769" t="s">
        <v>433</v>
      </c>
      <c r="M4769" t="s">
        <v>6</v>
      </c>
      <c r="N4769" t="b">
        <v>0</v>
      </c>
      <c r="O4769">
        <v>0</v>
      </c>
      <c r="P4769">
        <v>1</v>
      </c>
      <c r="Q4769">
        <v>0</v>
      </c>
      <c r="R4769">
        <v>0</v>
      </c>
    </row>
    <row r="4770" spans="1:18" x14ac:dyDescent="0.25">
      <c r="A4770" t="s">
        <v>51</v>
      </c>
      <c r="B4770" t="s">
        <v>6</v>
      </c>
      <c r="C4770">
        <v>4</v>
      </c>
      <c r="D4770">
        <v>2</v>
      </c>
      <c r="E4770">
        <v>2</v>
      </c>
      <c r="F4770" s="15">
        <v>46188</v>
      </c>
      <c r="G4770" t="s">
        <v>587</v>
      </c>
      <c r="H4770">
        <v>4</v>
      </c>
      <c r="I4770">
        <v>2026</v>
      </c>
      <c r="J4770">
        <v>6</v>
      </c>
      <c r="K4770" t="s">
        <v>87</v>
      </c>
      <c r="L4770" t="s">
        <v>15</v>
      </c>
      <c r="M4770" t="s">
        <v>6</v>
      </c>
      <c r="N4770" t="b">
        <v>0</v>
      </c>
      <c r="O4770">
        <v>0</v>
      </c>
      <c r="P4770">
        <v>1</v>
      </c>
      <c r="Q4770">
        <v>0</v>
      </c>
      <c r="R4770">
        <v>0</v>
      </c>
    </row>
    <row r="4771" spans="1:18" x14ac:dyDescent="0.25">
      <c r="A4771" t="s">
        <v>51</v>
      </c>
      <c r="B4771" t="s">
        <v>6</v>
      </c>
      <c r="C4771">
        <v>4</v>
      </c>
      <c r="D4771">
        <v>2</v>
      </c>
      <c r="E4771">
        <v>2</v>
      </c>
      <c r="F4771" s="15">
        <v>46188</v>
      </c>
      <c r="G4771" t="s">
        <v>587</v>
      </c>
      <c r="H4771">
        <v>4</v>
      </c>
      <c r="I4771">
        <v>2026</v>
      </c>
      <c r="J4771">
        <v>6</v>
      </c>
      <c r="K4771" t="s">
        <v>87</v>
      </c>
      <c r="L4771" t="s">
        <v>11</v>
      </c>
      <c r="M4771" t="s">
        <v>8</v>
      </c>
      <c r="N4771" t="b">
        <v>0</v>
      </c>
      <c r="O4771">
        <v>0</v>
      </c>
      <c r="P4771">
        <v>1</v>
      </c>
      <c r="Q4771">
        <v>0</v>
      </c>
      <c r="R4771">
        <v>1</v>
      </c>
    </row>
    <row r="4772" spans="1:18" x14ac:dyDescent="0.25">
      <c r="A4772" t="s">
        <v>405</v>
      </c>
      <c r="B4772" t="s">
        <v>6</v>
      </c>
      <c r="C4772">
        <v>1</v>
      </c>
      <c r="D4772">
        <v>3</v>
      </c>
      <c r="E4772">
        <v>2</v>
      </c>
      <c r="F4772" s="15">
        <v>46188</v>
      </c>
      <c r="G4772" t="s">
        <v>588</v>
      </c>
      <c r="H4772">
        <v>4</v>
      </c>
      <c r="I4772">
        <v>2026</v>
      </c>
      <c r="J4772">
        <v>6</v>
      </c>
      <c r="K4772" t="s">
        <v>87</v>
      </c>
      <c r="L4772" t="s">
        <v>580</v>
      </c>
      <c r="M4772" t="s">
        <v>6</v>
      </c>
      <c r="N4772" t="b">
        <v>0</v>
      </c>
      <c r="O4772">
        <v>0</v>
      </c>
      <c r="P4772">
        <v>1</v>
      </c>
      <c r="Q4772">
        <v>0</v>
      </c>
      <c r="R4772">
        <v>0</v>
      </c>
    </row>
    <row r="4773" spans="1:18" x14ac:dyDescent="0.25">
      <c r="A4773" t="s">
        <v>405</v>
      </c>
      <c r="B4773" t="s">
        <v>6</v>
      </c>
      <c r="C4773">
        <v>1</v>
      </c>
      <c r="D4773">
        <v>3</v>
      </c>
      <c r="E4773">
        <v>2</v>
      </c>
      <c r="F4773" s="15">
        <v>46188</v>
      </c>
      <c r="G4773" t="s">
        <v>588</v>
      </c>
      <c r="H4773">
        <v>4</v>
      </c>
      <c r="I4773">
        <v>2026</v>
      </c>
      <c r="J4773">
        <v>6</v>
      </c>
      <c r="K4773" t="s">
        <v>87</v>
      </c>
      <c r="L4773" t="s">
        <v>7</v>
      </c>
      <c r="M4773" t="s">
        <v>6</v>
      </c>
      <c r="N4773" t="b">
        <v>0</v>
      </c>
      <c r="O4773">
        <v>0</v>
      </c>
      <c r="P4773">
        <v>1</v>
      </c>
      <c r="Q4773">
        <v>0</v>
      </c>
      <c r="R4773">
        <v>0</v>
      </c>
    </row>
    <row r="4774" spans="1:18" x14ac:dyDescent="0.25">
      <c r="A4774" t="s">
        <v>405</v>
      </c>
      <c r="B4774" t="s">
        <v>6</v>
      </c>
      <c r="C4774">
        <v>1</v>
      </c>
      <c r="D4774">
        <v>3</v>
      </c>
      <c r="E4774">
        <v>2</v>
      </c>
      <c r="F4774" s="15">
        <v>46188</v>
      </c>
      <c r="G4774" t="s">
        <v>588</v>
      </c>
      <c r="H4774">
        <v>4</v>
      </c>
      <c r="I4774">
        <v>2026</v>
      </c>
      <c r="J4774">
        <v>6</v>
      </c>
      <c r="K4774" t="s">
        <v>87</v>
      </c>
      <c r="L4774" t="s">
        <v>325</v>
      </c>
      <c r="M4774" t="s">
        <v>8</v>
      </c>
      <c r="N4774" t="b">
        <v>0</v>
      </c>
      <c r="O4774">
        <v>0</v>
      </c>
      <c r="P4774">
        <v>1</v>
      </c>
      <c r="Q4774">
        <v>0</v>
      </c>
      <c r="R4774">
        <v>1</v>
      </c>
    </row>
    <row r="4775" spans="1:18" x14ac:dyDescent="0.25">
      <c r="A4775" t="s">
        <v>580</v>
      </c>
      <c r="B4775" t="s">
        <v>6</v>
      </c>
      <c r="C4775">
        <v>2</v>
      </c>
      <c r="D4775">
        <v>3</v>
      </c>
      <c r="E4775">
        <v>2</v>
      </c>
      <c r="F4775" s="15">
        <v>46188</v>
      </c>
      <c r="G4775" t="s">
        <v>588</v>
      </c>
      <c r="H4775">
        <v>4</v>
      </c>
      <c r="I4775">
        <v>2026</v>
      </c>
      <c r="J4775">
        <v>6</v>
      </c>
      <c r="K4775" t="s">
        <v>87</v>
      </c>
      <c r="L4775" t="s">
        <v>405</v>
      </c>
      <c r="M4775" t="s">
        <v>6</v>
      </c>
      <c r="N4775" t="b">
        <v>0</v>
      </c>
      <c r="O4775">
        <v>0</v>
      </c>
      <c r="P4775">
        <v>1</v>
      </c>
      <c r="Q4775">
        <v>0</v>
      </c>
      <c r="R4775">
        <v>0</v>
      </c>
    </row>
    <row r="4776" spans="1:18" x14ac:dyDescent="0.25">
      <c r="A4776" t="s">
        <v>580</v>
      </c>
      <c r="B4776" t="s">
        <v>6</v>
      </c>
      <c r="C4776">
        <v>2</v>
      </c>
      <c r="D4776">
        <v>3</v>
      </c>
      <c r="E4776">
        <v>2</v>
      </c>
      <c r="F4776" s="15">
        <v>46188</v>
      </c>
      <c r="G4776" t="s">
        <v>588</v>
      </c>
      <c r="H4776">
        <v>4</v>
      </c>
      <c r="I4776">
        <v>2026</v>
      </c>
      <c r="J4776">
        <v>6</v>
      </c>
      <c r="K4776" t="s">
        <v>87</v>
      </c>
      <c r="L4776" t="s">
        <v>7</v>
      </c>
      <c r="M4776" t="s">
        <v>6</v>
      </c>
      <c r="N4776" t="b">
        <v>0</v>
      </c>
      <c r="O4776">
        <v>0</v>
      </c>
      <c r="P4776">
        <v>1</v>
      </c>
      <c r="Q4776">
        <v>0</v>
      </c>
      <c r="R4776">
        <v>0</v>
      </c>
    </row>
    <row r="4777" spans="1:18" x14ac:dyDescent="0.25">
      <c r="A4777" t="s">
        <v>580</v>
      </c>
      <c r="B4777" t="s">
        <v>6</v>
      </c>
      <c r="C4777">
        <v>2</v>
      </c>
      <c r="D4777">
        <v>3</v>
      </c>
      <c r="E4777">
        <v>2</v>
      </c>
      <c r="F4777" s="15">
        <v>46188</v>
      </c>
      <c r="G4777" t="s">
        <v>588</v>
      </c>
      <c r="H4777">
        <v>4</v>
      </c>
      <c r="I4777">
        <v>2026</v>
      </c>
      <c r="J4777">
        <v>6</v>
      </c>
      <c r="K4777" t="s">
        <v>87</v>
      </c>
      <c r="L4777" t="s">
        <v>325</v>
      </c>
      <c r="M4777" t="s">
        <v>8</v>
      </c>
      <c r="N4777" t="b">
        <v>0</v>
      </c>
      <c r="O4777">
        <v>0</v>
      </c>
      <c r="P4777">
        <v>1</v>
      </c>
      <c r="Q4777">
        <v>0</v>
      </c>
      <c r="R4777">
        <v>1</v>
      </c>
    </row>
    <row r="4778" spans="1:18" x14ac:dyDescent="0.25">
      <c r="A4778" t="s">
        <v>7</v>
      </c>
      <c r="B4778" t="s">
        <v>6</v>
      </c>
      <c r="C4778">
        <v>3</v>
      </c>
      <c r="D4778">
        <v>3</v>
      </c>
      <c r="E4778">
        <v>2</v>
      </c>
      <c r="F4778" s="15">
        <v>46188</v>
      </c>
      <c r="G4778" t="s">
        <v>588</v>
      </c>
      <c r="H4778">
        <v>4</v>
      </c>
      <c r="I4778">
        <v>2026</v>
      </c>
      <c r="J4778">
        <v>6</v>
      </c>
      <c r="K4778" t="s">
        <v>87</v>
      </c>
      <c r="L4778" t="s">
        <v>405</v>
      </c>
      <c r="M4778" t="s">
        <v>6</v>
      </c>
      <c r="N4778" t="b">
        <v>0</v>
      </c>
      <c r="O4778">
        <v>0</v>
      </c>
      <c r="P4778">
        <v>1</v>
      </c>
      <c r="Q4778">
        <v>0</v>
      </c>
      <c r="R4778">
        <v>0</v>
      </c>
    </row>
    <row r="4779" spans="1:18" x14ac:dyDescent="0.25">
      <c r="A4779" t="s">
        <v>7</v>
      </c>
      <c r="B4779" t="s">
        <v>6</v>
      </c>
      <c r="C4779">
        <v>3</v>
      </c>
      <c r="D4779">
        <v>3</v>
      </c>
      <c r="E4779">
        <v>2</v>
      </c>
      <c r="F4779" s="15">
        <v>46188</v>
      </c>
      <c r="G4779" t="s">
        <v>588</v>
      </c>
      <c r="H4779">
        <v>4</v>
      </c>
      <c r="I4779">
        <v>2026</v>
      </c>
      <c r="J4779">
        <v>6</v>
      </c>
      <c r="K4779" t="s">
        <v>87</v>
      </c>
      <c r="L4779" t="s">
        <v>580</v>
      </c>
      <c r="M4779" t="s">
        <v>6</v>
      </c>
      <c r="N4779" t="b">
        <v>0</v>
      </c>
      <c r="O4779">
        <v>0</v>
      </c>
      <c r="P4779">
        <v>1</v>
      </c>
      <c r="Q4779">
        <v>0</v>
      </c>
      <c r="R4779">
        <v>0</v>
      </c>
    </row>
    <row r="4780" spans="1:18" x14ac:dyDescent="0.25">
      <c r="A4780" t="s">
        <v>7</v>
      </c>
      <c r="B4780" t="s">
        <v>6</v>
      </c>
      <c r="C4780">
        <v>3</v>
      </c>
      <c r="D4780">
        <v>3</v>
      </c>
      <c r="E4780">
        <v>2</v>
      </c>
      <c r="F4780" s="15">
        <v>46188</v>
      </c>
      <c r="G4780" t="s">
        <v>588</v>
      </c>
      <c r="H4780">
        <v>4</v>
      </c>
      <c r="I4780">
        <v>2026</v>
      </c>
      <c r="J4780">
        <v>6</v>
      </c>
      <c r="K4780" t="s">
        <v>87</v>
      </c>
      <c r="L4780" t="s">
        <v>325</v>
      </c>
      <c r="M4780" t="s">
        <v>8</v>
      </c>
      <c r="N4780" t="b">
        <v>0</v>
      </c>
      <c r="O4780">
        <v>0</v>
      </c>
      <c r="P4780">
        <v>1</v>
      </c>
      <c r="Q4780">
        <v>0</v>
      </c>
      <c r="R4780">
        <v>1</v>
      </c>
    </row>
    <row r="4781" spans="1:18" x14ac:dyDescent="0.25">
      <c r="A4781" t="s">
        <v>325</v>
      </c>
      <c r="B4781" t="s">
        <v>8</v>
      </c>
      <c r="C4781">
        <v>4</v>
      </c>
      <c r="D4781">
        <v>3</v>
      </c>
      <c r="E4781">
        <v>2</v>
      </c>
      <c r="F4781" s="15">
        <v>46188</v>
      </c>
      <c r="G4781" t="s">
        <v>588</v>
      </c>
      <c r="H4781">
        <v>4</v>
      </c>
      <c r="I4781">
        <v>2026</v>
      </c>
      <c r="J4781">
        <v>6</v>
      </c>
      <c r="K4781" t="s">
        <v>87</v>
      </c>
      <c r="L4781" t="s">
        <v>405</v>
      </c>
      <c r="M4781" t="s">
        <v>6</v>
      </c>
      <c r="N4781" t="b">
        <v>0</v>
      </c>
      <c r="O4781">
        <v>1</v>
      </c>
      <c r="P4781">
        <v>0</v>
      </c>
      <c r="Q4781">
        <v>0</v>
      </c>
      <c r="R4781">
        <v>0</v>
      </c>
    </row>
    <row r="4782" spans="1:18" x14ac:dyDescent="0.25">
      <c r="A4782" t="s">
        <v>325</v>
      </c>
      <c r="B4782" t="s">
        <v>8</v>
      </c>
      <c r="C4782">
        <v>4</v>
      </c>
      <c r="D4782">
        <v>3</v>
      </c>
      <c r="E4782">
        <v>2</v>
      </c>
      <c r="F4782" s="15">
        <v>46188</v>
      </c>
      <c r="G4782" t="s">
        <v>588</v>
      </c>
      <c r="H4782">
        <v>4</v>
      </c>
      <c r="I4782">
        <v>2026</v>
      </c>
      <c r="J4782">
        <v>6</v>
      </c>
      <c r="K4782" t="s">
        <v>87</v>
      </c>
      <c r="L4782" t="s">
        <v>580</v>
      </c>
      <c r="M4782" t="s">
        <v>6</v>
      </c>
      <c r="N4782" t="b">
        <v>0</v>
      </c>
      <c r="O4782">
        <v>1</v>
      </c>
      <c r="P4782">
        <v>0</v>
      </c>
      <c r="Q4782">
        <v>0</v>
      </c>
      <c r="R4782">
        <v>0</v>
      </c>
    </row>
    <row r="4783" spans="1:18" x14ac:dyDescent="0.25">
      <c r="A4783" t="s">
        <v>325</v>
      </c>
      <c r="B4783" t="s">
        <v>8</v>
      </c>
      <c r="C4783">
        <v>4</v>
      </c>
      <c r="D4783">
        <v>3</v>
      </c>
      <c r="E4783">
        <v>2</v>
      </c>
      <c r="F4783" s="15">
        <v>46188</v>
      </c>
      <c r="G4783" t="s">
        <v>588</v>
      </c>
      <c r="H4783">
        <v>4</v>
      </c>
      <c r="I4783">
        <v>2026</v>
      </c>
      <c r="J4783">
        <v>6</v>
      </c>
      <c r="K4783" t="s">
        <v>87</v>
      </c>
      <c r="L4783" t="s">
        <v>7</v>
      </c>
      <c r="M4783" t="s">
        <v>6</v>
      </c>
      <c r="N4783" t="b">
        <v>0</v>
      </c>
      <c r="O4783">
        <v>1</v>
      </c>
      <c r="P4783">
        <v>0</v>
      </c>
      <c r="Q4783">
        <v>0</v>
      </c>
      <c r="R4783">
        <v>0</v>
      </c>
    </row>
    <row r="4784" spans="1:18" x14ac:dyDescent="0.25">
      <c r="A4784" t="s">
        <v>10</v>
      </c>
      <c r="B4784" t="s">
        <v>6</v>
      </c>
      <c r="C4784">
        <v>1</v>
      </c>
      <c r="D4784">
        <v>4</v>
      </c>
      <c r="E4784">
        <v>2</v>
      </c>
      <c r="F4784" s="15">
        <v>46188</v>
      </c>
      <c r="G4784" t="s">
        <v>589</v>
      </c>
      <c r="H4784">
        <v>4</v>
      </c>
      <c r="I4784">
        <v>2026</v>
      </c>
      <c r="J4784">
        <v>6</v>
      </c>
      <c r="K4784" t="s">
        <v>87</v>
      </c>
      <c r="L4784" t="s">
        <v>435</v>
      </c>
      <c r="M4784" t="s">
        <v>6</v>
      </c>
      <c r="N4784" t="b">
        <v>0</v>
      </c>
      <c r="O4784">
        <v>0</v>
      </c>
      <c r="P4784">
        <v>1</v>
      </c>
      <c r="Q4784">
        <v>0</v>
      </c>
      <c r="R4784">
        <v>0</v>
      </c>
    </row>
    <row r="4785" spans="1:18" x14ac:dyDescent="0.25">
      <c r="A4785" t="s">
        <v>10</v>
      </c>
      <c r="B4785" t="s">
        <v>6</v>
      </c>
      <c r="C4785">
        <v>1</v>
      </c>
      <c r="D4785">
        <v>4</v>
      </c>
      <c r="E4785">
        <v>2</v>
      </c>
      <c r="F4785" s="15">
        <v>46188</v>
      </c>
      <c r="G4785" t="s">
        <v>589</v>
      </c>
      <c r="H4785">
        <v>4</v>
      </c>
      <c r="I4785">
        <v>2026</v>
      </c>
      <c r="J4785">
        <v>6</v>
      </c>
      <c r="K4785" t="s">
        <v>87</v>
      </c>
      <c r="L4785" t="s">
        <v>579</v>
      </c>
      <c r="M4785" t="s">
        <v>6</v>
      </c>
      <c r="N4785" t="b">
        <v>0</v>
      </c>
      <c r="O4785">
        <v>0</v>
      </c>
      <c r="P4785">
        <v>1</v>
      </c>
      <c r="Q4785">
        <v>0</v>
      </c>
      <c r="R4785">
        <v>0</v>
      </c>
    </row>
    <row r="4786" spans="1:18" x14ac:dyDescent="0.25">
      <c r="A4786" t="s">
        <v>10</v>
      </c>
      <c r="B4786" t="s">
        <v>6</v>
      </c>
      <c r="C4786">
        <v>1</v>
      </c>
      <c r="D4786">
        <v>4</v>
      </c>
      <c r="E4786">
        <v>2</v>
      </c>
      <c r="F4786" s="15">
        <v>46188</v>
      </c>
      <c r="G4786" t="s">
        <v>589</v>
      </c>
      <c r="H4786">
        <v>4</v>
      </c>
      <c r="I4786">
        <v>2026</v>
      </c>
      <c r="J4786">
        <v>6</v>
      </c>
      <c r="K4786" t="s">
        <v>87</v>
      </c>
      <c r="L4786" t="s">
        <v>352</v>
      </c>
      <c r="M4786" t="s">
        <v>8</v>
      </c>
      <c r="N4786" t="b">
        <v>0</v>
      </c>
      <c r="O4786">
        <v>0</v>
      </c>
      <c r="P4786">
        <v>1</v>
      </c>
      <c r="Q4786">
        <v>0</v>
      </c>
      <c r="R4786">
        <v>1</v>
      </c>
    </row>
    <row r="4787" spans="1:18" x14ac:dyDescent="0.25">
      <c r="A4787" t="s">
        <v>435</v>
      </c>
      <c r="B4787" t="s">
        <v>6</v>
      </c>
      <c r="C4787">
        <v>2</v>
      </c>
      <c r="D4787">
        <v>4</v>
      </c>
      <c r="E4787">
        <v>2</v>
      </c>
      <c r="F4787" s="15">
        <v>46188</v>
      </c>
      <c r="G4787" t="s">
        <v>589</v>
      </c>
      <c r="H4787">
        <v>4</v>
      </c>
      <c r="I4787">
        <v>2026</v>
      </c>
      <c r="J4787">
        <v>6</v>
      </c>
      <c r="K4787" t="s">
        <v>87</v>
      </c>
      <c r="L4787" t="s">
        <v>10</v>
      </c>
      <c r="M4787" t="s">
        <v>6</v>
      </c>
      <c r="N4787" t="b">
        <v>0</v>
      </c>
      <c r="O4787">
        <v>0</v>
      </c>
      <c r="P4787">
        <v>1</v>
      </c>
      <c r="Q4787">
        <v>0</v>
      </c>
      <c r="R4787">
        <v>0</v>
      </c>
    </row>
    <row r="4788" spans="1:18" x14ac:dyDescent="0.25">
      <c r="A4788" t="s">
        <v>435</v>
      </c>
      <c r="B4788" t="s">
        <v>6</v>
      </c>
      <c r="C4788">
        <v>2</v>
      </c>
      <c r="D4788">
        <v>4</v>
      </c>
      <c r="E4788">
        <v>2</v>
      </c>
      <c r="F4788" s="15">
        <v>46188</v>
      </c>
      <c r="G4788" t="s">
        <v>589</v>
      </c>
      <c r="H4788">
        <v>4</v>
      </c>
      <c r="I4788">
        <v>2026</v>
      </c>
      <c r="J4788">
        <v>6</v>
      </c>
      <c r="K4788" t="s">
        <v>87</v>
      </c>
      <c r="L4788" t="s">
        <v>579</v>
      </c>
      <c r="M4788" t="s">
        <v>6</v>
      </c>
      <c r="N4788" t="b">
        <v>0</v>
      </c>
      <c r="O4788">
        <v>0</v>
      </c>
      <c r="P4788">
        <v>1</v>
      </c>
      <c r="Q4788">
        <v>0</v>
      </c>
      <c r="R4788">
        <v>0</v>
      </c>
    </row>
    <row r="4789" spans="1:18" x14ac:dyDescent="0.25">
      <c r="A4789" t="s">
        <v>435</v>
      </c>
      <c r="B4789" t="s">
        <v>6</v>
      </c>
      <c r="C4789">
        <v>2</v>
      </c>
      <c r="D4789">
        <v>4</v>
      </c>
      <c r="E4789">
        <v>2</v>
      </c>
      <c r="F4789" s="15">
        <v>46188</v>
      </c>
      <c r="G4789" t="s">
        <v>589</v>
      </c>
      <c r="H4789">
        <v>4</v>
      </c>
      <c r="I4789">
        <v>2026</v>
      </c>
      <c r="J4789">
        <v>6</v>
      </c>
      <c r="K4789" t="s">
        <v>87</v>
      </c>
      <c r="L4789" t="s">
        <v>352</v>
      </c>
      <c r="M4789" t="s">
        <v>8</v>
      </c>
      <c r="N4789" t="b">
        <v>0</v>
      </c>
      <c r="O4789">
        <v>0</v>
      </c>
      <c r="P4789">
        <v>1</v>
      </c>
      <c r="Q4789">
        <v>0</v>
      </c>
      <c r="R4789">
        <v>1</v>
      </c>
    </row>
    <row r="4790" spans="1:18" x14ac:dyDescent="0.25">
      <c r="A4790" t="s">
        <v>579</v>
      </c>
      <c r="B4790" t="s">
        <v>6</v>
      </c>
      <c r="C4790">
        <v>3</v>
      </c>
      <c r="D4790">
        <v>4</v>
      </c>
      <c r="E4790">
        <v>2</v>
      </c>
      <c r="F4790" s="15">
        <v>46188</v>
      </c>
      <c r="G4790" t="s">
        <v>589</v>
      </c>
      <c r="H4790">
        <v>4</v>
      </c>
      <c r="I4790">
        <v>2026</v>
      </c>
      <c r="J4790">
        <v>6</v>
      </c>
      <c r="K4790" t="s">
        <v>87</v>
      </c>
      <c r="L4790" t="s">
        <v>10</v>
      </c>
      <c r="M4790" t="s">
        <v>6</v>
      </c>
      <c r="N4790" t="b">
        <v>0</v>
      </c>
      <c r="O4790">
        <v>0</v>
      </c>
      <c r="P4790">
        <v>1</v>
      </c>
      <c r="Q4790">
        <v>0</v>
      </c>
      <c r="R4790">
        <v>0</v>
      </c>
    </row>
    <row r="4791" spans="1:18" x14ac:dyDescent="0.25">
      <c r="A4791" t="s">
        <v>579</v>
      </c>
      <c r="B4791" t="s">
        <v>6</v>
      </c>
      <c r="C4791">
        <v>3</v>
      </c>
      <c r="D4791">
        <v>4</v>
      </c>
      <c r="E4791">
        <v>2</v>
      </c>
      <c r="F4791" s="15">
        <v>46188</v>
      </c>
      <c r="G4791" t="s">
        <v>589</v>
      </c>
      <c r="H4791">
        <v>4</v>
      </c>
      <c r="I4791">
        <v>2026</v>
      </c>
      <c r="J4791">
        <v>6</v>
      </c>
      <c r="K4791" t="s">
        <v>87</v>
      </c>
      <c r="L4791" t="s">
        <v>435</v>
      </c>
      <c r="M4791" t="s">
        <v>6</v>
      </c>
      <c r="N4791" t="b">
        <v>0</v>
      </c>
      <c r="O4791">
        <v>0</v>
      </c>
      <c r="P4791">
        <v>1</v>
      </c>
      <c r="Q4791">
        <v>0</v>
      </c>
      <c r="R4791">
        <v>0</v>
      </c>
    </row>
    <row r="4792" spans="1:18" x14ac:dyDescent="0.25">
      <c r="A4792" t="s">
        <v>579</v>
      </c>
      <c r="B4792" t="s">
        <v>6</v>
      </c>
      <c r="C4792">
        <v>3</v>
      </c>
      <c r="D4792">
        <v>4</v>
      </c>
      <c r="E4792">
        <v>2</v>
      </c>
      <c r="F4792" s="15">
        <v>46188</v>
      </c>
      <c r="G4792" t="s">
        <v>589</v>
      </c>
      <c r="H4792">
        <v>4</v>
      </c>
      <c r="I4792">
        <v>2026</v>
      </c>
      <c r="J4792">
        <v>6</v>
      </c>
      <c r="K4792" t="s">
        <v>87</v>
      </c>
      <c r="L4792" t="s">
        <v>352</v>
      </c>
      <c r="M4792" t="s">
        <v>8</v>
      </c>
      <c r="N4792" t="b">
        <v>0</v>
      </c>
      <c r="O4792">
        <v>0</v>
      </c>
      <c r="P4792">
        <v>1</v>
      </c>
      <c r="Q4792">
        <v>0</v>
      </c>
      <c r="R4792">
        <v>1</v>
      </c>
    </row>
    <row r="4793" spans="1:18" x14ac:dyDescent="0.25">
      <c r="A4793" t="s">
        <v>352</v>
      </c>
      <c r="B4793" t="s">
        <v>8</v>
      </c>
      <c r="C4793">
        <v>4</v>
      </c>
      <c r="D4793">
        <v>4</v>
      </c>
      <c r="E4793">
        <v>2</v>
      </c>
      <c r="F4793" s="15">
        <v>46188</v>
      </c>
      <c r="G4793" t="s">
        <v>589</v>
      </c>
      <c r="H4793">
        <v>4</v>
      </c>
      <c r="I4793">
        <v>2026</v>
      </c>
      <c r="J4793">
        <v>6</v>
      </c>
      <c r="K4793" t="s">
        <v>87</v>
      </c>
      <c r="L4793" t="s">
        <v>10</v>
      </c>
      <c r="M4793" t="s">
        <v>6</v>
      </c>
      <c r="N4793" t="b">
        <v>0</v>
      </c>
      <c r="O4793">
        <v>1</v>
      </c>
      <c r="P4793">
        <v>0</v>
      </c>
      <c r="Q4793">
        <v>0</v>
      </c>
      <c r="R4793">
        <v>0</v>
      </c>
    </row>
    <row r="4794" spans="1:18" x14ac:dyDescent="0.25">
      <c r="A4794" t="s">
        <v>352</v>
      </c>
      <c r="B4794" t="s">
        <v>8</v>
      </c>
      <c r="C4794">
        <v>4</v>
      </c>
      <c r="D4794">
        <v>4</v>
      </c>
      <c r="E4794">
        <v>2</v>
      </c>
      <c r="F4794" s="15">
        <v>46188</v>
      </c>
      <c r="G4794" t="s">
        <v>589</v>
      </c>
      <c r="H4794">
        <v>4</v>
      </c>
      <c r="I4794">
        <v>2026</v>
      </c>
      <c r="J4794">
        <v>6</v>
      </c>
      <c r="K4794" t="s">
        <v>87</v>
      </c>
      <c r="L4794" t="s">
        <v>435</v>
      </c>
      <c r="M4794" t="s">
        <v>6</v>
      </c>
      <c r="N4794" t="b">
        <v>0</v>
      </c>
      <c r="O4794">
        <v>1</v>
      </c>
      <c r="P4794">
        <v>0</v>
      </c>
      <c r="Q4794">
        <v>0</v>
      </c>
      <c r="R4794">
        <v>0</v>
      </c>
    </row>
    <row r="4795" spans="1:18" x14ac:dyDescent="0.25">
      <c r="A4795" t="s">
        <v>352</v>
      </c>
      <c r="B4795" t="s">
        <v>8</v>
      </c>
      <c r="C4795">
        <v>4</v>
      </c>
      <c r="D4795">
        <v>4</v>
      </c>
      <c r="E4795">
        <v>2</v>
      </c>
      <c r="F4795" s="15">
        <v>46188</v>
      </c>
      <c r="G4795" t="s">
        <v>589</v>
      </c>
      <c r="H4795">
        <v>4</v>
      </c>
      <c r="I4795">
        <v>2026</v>
      </c>
      <c r="J4795">
        <v>6</v>
      </c>
      <c r="K4795" t="s">
        <v>87</v>
      </c>
      <c r="L4795" t="s">
        <v>579</v>
      </c>
      <c r="M4795" t="s">
        <v>6</v>
      </c>
      <c r="N4795" t="b">
        <v>0</v>
      </c>
      <c r="O4795">
        <v>1</v>
      </c>
      <c r="P4795">
        <v>0</v>
      </c>
      <c r="Q4795">
        <v>0</v>
      </c>
      <c r="R4795">
        <v>0</v>
      </c>
    </row>
    <row r="4796" spans="1:18" x14ac:dyDescent="0.25">
      <c r="A4796" t="s">
        <v>402</v>
      </c>
      <c r="B4796" t="s">
        <v>63</v>
      </c>
      <c r="C4796">
        <v>1</v>
      </c>
      <c r="D4796">
        <v>5</v>
      </c>
      <c r="E4796">
        <v>2</v>
      </c>
      <c r="F4796" s="15">
        <v>46188</v>
      </c>
      <c r="G4796" t="s">
        <v>590</v>
      </c>
      <c r="H4796">
        <v>3</v>
      </c>
      <c r="I4796">
        <v>2026</v>
      </c>
      <c r="J4796">
        <v>6</v>
      </c>
      <c r="K4796" t="s">
        <v>87</v>
      </c>
      <c r="L4796" t="s">
        <v>19</v>
      </c>
      <c r="M4796" t="s">
        <v>63</v>
      </c>
      <c r="N4796" t="b">
        <v>0</v>
      </c>
      <c r="O4796">
        <v>0</v>
      </c>
      <c r="P4796">
        <v>0</v>
      </c>
      <c r="Q4796">
        <v>1</v>
      </c>
      <c r="R4796">
        <v>0</v>
      </c>
    </row>
    <row r="4797" spans="1:18" x14ac:dyDescent="0.25">
      <c r="A4797" t="s">
        <v>402</v>
      </c>
      <c r="B4797" t="s">
        <v>63</v>
      </c>
      <c r="C4797">
        <v>1</v>
      </c>
      <c r="D4797">
        <v>5</v>
      </c>
      <c r="E4797">
        <v>2</v>
      </c>
      <c r="F4797" s="15">
        <v>46188</v>
      </c>
      <c r="G4797" t="s">
        <v>590</v>
      </c>
      <c r="H4797">
        <v>3</v>
      </c>
      <c r="I4797">
        <v>2026</v>
      </c>
      <c r="J4797">
        <v>6</v>
      </c>
      <c r="K4797" t="s">
        <v>87</v>
      </c>
      <c r="L4797" t="s">
        <v>363</v>
      </c>
      <c r="M4797" t="s">
        <v>63</v>
      </c>
      <c r="N4797" t="b">
        <v>0</v>
      </c>
      <c r="O4797">
        <v>0</v>
      </c>
      <c r="P4797">
        <v>0</v>
      </c>
      <c r="Q4797">
        <v>1</v>
      </c>
      <c r="R4797">
        <v>0</v>
      </c>
    </row>
    <row r="4798" spans="1:18" x14ac:dyDescent="0.25">
      <c r="A4798" t="s">
        <v>19</v>
      </c>
      <c r="B4798" t="s">
        <v>63</v>
      </c>
      <c r="C4798">
        <v>2</v>
      </c>
      <c r="D4798">
        <v>5</v>
      </c>
      <c r="E4798">
        <v>2</v>
      </c>
      <c r="F4798" s="15">
        <v>46188</v>
      </c>
      <c r="G4798" t="s">
        <v>590</v>
      </c>
      <c r="H4798">
        <v>3</v>
      </c>
      <c r="I4798">
        <v>2026</v>
      </c>
      <c r="J4798">
        <v>6</v>
      </c>
      <c r="K4798" t="s">
        <v>87</v>
      </c>
      <c r="L4798" t="s">
        <v>402</v>
      </c>
      <c r="M4798" t="s">
        <v>63</v>
      </c>
      <c r="N4798" t="b">
        <v>0</v>
      </c>
      <c r="O4798">
        <v>0</v>
      </c>
      <c r="P4798">
        <v>0</v>
      </c>
      <c r="Q4798">
        <v>1</v>
      </c>
      <c r="R4798">
        <v>0</v>
      </c>
    </row>
    <row r="4799" spans="1:18" x14ac:dyDescent="0.25">
      <c r="A4799" t="s">
        <v>19</v>
      </c>
      <c r="B4799" t="s">
        <v>63</v>
      </c>
      <c r="C4799">
        <v>2</v>
      </c>
      <c r="D4799">
        <v>5</v>
      </c>
      <c r="E4799">
        <v>2</v>
      </c>
      <c r="F4799" s="15">
        <v>46188</v>
      </c>
      <c r="G4799" t="s">
        <v>590</v>
      </c>
      <c r="H4799">
        <v>3</v>
      </c>
      <c r="I4799">
        <v>2026</v>
      </c>
      <c r="J4799">
        <v>6</v>
      </c>
      <c r="K4799" t="s">
        <v>87</v>
      </c>
      <c r="L4799" t="s">
        <v>363</v>
      </c>
      <c r="M4799" t="s">
        <v>63</v>
      </c>
      <c r="N4799" t="b">
        <v>0</v>
      </c>
      <c r="O4799">
        <v>0</v>
      </c>
      <c r="P4799">
        <v>0</v>
      </c>
      <c r="Q4799">
        <v>1</v>
      </c>
      <c r="R4799">
        <v>0</v>
      </c>
    </row>
    <row r="4800" spans="1:18" x14ac:dyDescent="0.25">
      <c r="A4800" t="s">
        <v>363</v>
      </c>
      <c r="B4800" t="s">
        <v>63</v>
      </c>
      <c r="C4800">
        <v>3</v>
      </c>
      <c r="D4800">
        <v>5</v>
      </c>
      <c r="E4800">
        <v>2</v>
      </c>
      <c r="F4800" s="15">
        <v>46188</v>
      </c>
      <c r="G4800" t="s">
        <v>590</v>
      </c>
      <c r="H4800">
        <v>3</v>
      </c>
      <c r="I4800">
        <v>2026</v>
      </c>
      <c r="J4800">
        <v>6</v>
      </c>
      <c r="K4800" t="s">
        <v>87</v>
      </c>
      <c r="L4800" t="s">
        <v>402</v>
      </c>
      <c r="M4800" t="s">
        <v>63</v>
      </c>
      <c r="N4800" t="b">
        <v>0</v>
      </c>
      <c r="O4800">
        <v>0</v>
      </c>
      <c r="P4800">
        <v>0</v>
      </c>
      <c r="Q4800">
        <v>1</v>
      </c>
      <c r="R4800">
        <v>0</v>
      </c>
    </row>
    <row r="4801" spans="1:18" x14ac:dyDescent="0.25">
      <c r="A4801" t="s">
        <v>363</v>
      </c>
      <c r="B4801" t="s">
        <v>63</v>
      </c>
      <c r="C4801">
        <v>3</v>
      </c>
      <c r="D4801">
        <v>5</v>
      </c>
      <c r="E4801">
        <v>2</v>
      </c>
      <c r="F4801" s="15">
        <v>46188</v>
      </c>
      <c r="G4801" t="s">
        <v>590</v>
      </c>
      <c r="H4801">
        <v>3</v>
      </c>
      <c r="I4801">
        <v>2026</v>
      </c>
      <c r="J4801">
        <v>6</v>
      </c>
      <c r="K4801" t="s">
        <v>87</v>
      </c>
      <c r="L4801" t="s">
        <v>19</v>
      </c>
      <c r="M4801" t="s">
        <v>63</v>
      </c>
      <c r="N4801" t="b">
        <v>0</v>
      </c>
      <c r="O4801">
        <v>0</v>
      </c>
      <c r="P4801">
        <v>0</v>
      </c>
      <c r="Q4801">
        <v>1</v>
      </c>
      <c r="R4801">
        <v>0</v>
      </c>
    </row>
    <row r="4802" spans="1:18" x14ac:dyDescent="0.25">
      <c r="A4802" t="s">
        <v>579</v>
      </c>
      <c r="B4802" t="s">
        <v>6</v>
      </c>
      <c r="C4802">
        <v>1</v>
      </c>
      <c r="D4802">
        <v>1</v>
      </c>
      <c r="E4802">
        <v>1</v>
      </c>
      <c r="F4802" s="15">
        <v>46195</v>
      </c>
      <c r="G4802" t="s">
        <v>594</v>
      </c>
      <c r="H4802">
        <v>4</v>
      </c>
      <c r="I4802">
        <v>2026</v>
      </c>
      <c r="J4802">
        <v>6</v>
      </c>
      <c r="K4802" t="s">
        <v>282</v>
      </c>
      <c r="L4802" t="s">
        <v>9</v>
      </c>
      <c r="M4802" t="s">
        <v>6</v>
      </c>
      <c r="N4802" t="b">
        <v>0</v>
      </c>
      <c r="O4802">
        <v>0</v>
      </c>
      <c r="P4802">
        <v>1</v>
      </c>
      <c r="Q4802">
        <v>0</v>
      </c>
      <c r="R4802">
        <v>0</v>
      </c>
    </row>
    <row r="4803" spans="1:18" x14ac:dyDescent="0.25">
      <c r="A4803" t="s">
        <v>579</v>
      </c>
      <c r="B4803" t="s">
        <v>6</v>
      </c>
      <c r="C4803">
        <v>1</v>
      </c>
      <c r="D4803">
        <v>1</v>
      </c>
      <c r="E4803">
        <v>1</v>
      </c>
      <c r="F4803" s="15">
        <v>46195</v>
      </c>
      <c r="G4803" t="s">
        <v>594</v>
      </c>
      <c r="H4803">
        <v>4</v>
      </c>
      <c r="I4803">
        <v>2026</v>
      </c>
      <c r="J4803">
        <v>6</v>
      </c>
      <c r="K4803" t="s">
        <v>282</v>
      </c>
      <c r="L4803" t="s">
        <v>14</v>
      </c>
      <c r="M4803" t="s">
        <v>8</v>
      </c>
      <c r="N4803" t="b">
        <v>0</v>
      </c>
      <c r="O4803">
        <v>0</v>
      </c>
      <c r="P4803">
        <v>1</v>
      </c>
      <c r="Q4803">
        <v>0</v>
      </c>
      <c r="R4803">
        <v>1</v>
      </c>
    </row>
    <row r="4804" spans="1:18" x14ac:dyDescent="0.25">
      <c r="A4804" t="s">
        <v>579</v>
      </c>
      <c r="B4804" t="s">
        <v>6</v>
      </c>
      <c r="C4804">
        <v>1</v>
      </c>
      <c r="D4804">
        <v>1</v>
      </c>
      <c r="E4804">
        <v>1</v>
      </c>
      <c r="F4804" s="15">
        <v>46195</v>
      </c>
      <c r="G4804" t="s">
        <v>594</v>
      </c>
      <c r="H4804">
        <v>4</v>
      </c>
      <c r="I4804">
        <v>2026</v>
      </c>
      <c r="J4804">
        <v>6</v>
      </c>
      <c r="K4804" t="s">
        <v>282</v>
      </c>
      <c r="L4804" t="s">
        <v>28</v>
      </c>
      <c r="M4804" t="s">
        <v>6</v>
      </c>
      <c r="N4804" t="b">
        <v>0</v>
      </c>
      <c r="O4804">
        <v>0</v>
      </c>
      <c r="P4804">
        <v>1</v>
      </c>
      <c r="Q4804">
        <v>0</v>
      </c>
      <c r="R4804">
        <v>0</v>
      </c>
    </row>
    <row r="4805" spans="1:18" x14ac:dyDescent="0.25">
      <c r="A4805" t="s">
        <v>9</v>
      </c>
      <c r="B4805" t="s">
        <v>6</v>
      </c>
      <c r="C4805">
        <v>2</v>
      </c>
      <c r="D4805">
        <v>1</v>
      </c>
      <c r="E4805">
        <v>1</v>
      </c>
      <c r="F4805" s="15">
        <v>46195</v>
      </c>
      <c r="G4805" t="s">
        <v>594</v>
      </c>
      <c r="H4805">
        <v>4</v>
      </c>
      <c r="I4805">
        <v>2026</v>
      </c>
      <c r="J4805">
        <v>6</v>
      </c>
      <c r="K4805" t="s">
        <v>282</v>
      </c>
      <c r="L4805" t="s">
        <v>579</v>
      </c>
      <c r="M4805" t="s">
        <v>6</v>
      </c>
      <c r="N4805" t="b">
        <v>0</v>
      </c>
      <c r="O4805">
        <v>0</v>
      </c>
      <c r="P4805">
        <v>1</v>
      </c>
      <c r="Q4805">
        <v>0</v>
      </c>
      <c r="R4805">
        <v>0</v>
      </c>
    </row>
    <row r="4806" spans="1:18" x14ac:dyDescent="0.25">
      <c r="A4806" t="s">
        <v>9</v>
      </c>
      <c r="B4806" t="s">
        <v>6</v>
      </c>
      <c r="C4806">
        <v>2</v>
      </c>
      <c r="D4806">
        <v>1</v>
      </c>
      <c r="E4806">
        <v>1</v>
      </c>
      <c r="F4806" s="15">
        <v>46195</v>
      </c>
      <c r="G4806" t="s">
        <v>594</v>
      </c>
      <c r="H4806">
        <v>4</v>
      </c>
      <c r="I4806">
        <v>2026</v>
      </c>
      <c r="J4806">
        <v>6</v>
      </c>
      <c r="K4806" t="s">
        <v>282</v>
      </c>
      <c r="L4806" t="s">
        <v>14</v>
      </c>
      <c r="M4806" t="s">
        <v>8</v>
      </c>
      <c r="N4806" t="b">
        <v>0</v>
      </c>
      <c r="O4806">
        <v>0</v>
      </c>
      <c r="P4806">
        <v>1</v>
      </c>
      <c r="Q4806">
        <v>0</v>
      </c>
      <c r="R4806">
        <v>1</v>
      </c>
    </row>
    <row r="4807" spans="1:18" x14ac:dyDescent="0.25">
      <c r="A4807" t="s">
        <v>9</v>
      </c>
      <c r="B4807" t="s">
        <v>6</v>
      </c>
      <c r="C4807">
        <v>2</v>
      </c>
      <c r="D4807">
        <v>1</v>
      </c>
      <c r="E4807">
        <v>1</v>
      </c>
      <c r="F4807" s="15">
        <v>46195</v>
      </c>
      <c r="G4807" t="s">
        <v>594</v>
      </c>
      <c r="H4807">
        <v>4</v>
      </c>
      <c r="I4807">
        <v>2026</v>
      </c>
      <c r="J4807">
        <v>6</v>
      </c>
      <c r="K4807" t="s">
        <v>282</v>
      </c>
      <c r="L4807" t="s">
        <v>28</v>
      </c>
      <c r="M4807" t="s">
        <v>6</v>
      </c>
      <c r="N4807" t="b">
        <v>0</v>
      </c>
      <c r="O4807">
        <v>0</v>
      </c>
      <c r="P4807">
        <v>1</v>
      </c>
      <c r="Q4807">
        <v>0</v>
      </c>
      <c r="R4807">
        <v>0</v>
      </c>
    </row>
    <row r="4808" spans="1:18" x14ac:dyDescent="0.25">
      <c r="A4808" t="s">
        <v>14</v>
      </c>
      <c r="B4808" t="s">
        <v>8</v>
      </c>
      <c r="C4808">
        <v>3</v>
      </c>
      <c r="D4808">
        <v>1</v>
      </c>
      <c r="E4808">
        <v>1</v>
      </c>
      <c r="F4808" s="15">
        <v>46195</v>
      </c>
      <c r="G4808" t="s">
        <v>594</v>
      </c>
      <c r="H4808">
        <v>4</v>
      </c>
      <c r="I4808">
        <v>2026</v>
      </c>
      <c r="J4808">
        <v>6</v>
      </c>
      <c r="K4808" t="s">
        <v>282</v>
      </c>
      <c r="L4808" t="s">
        <v>579</v>
      </c>
      <c r="M4808" t="s">
        <v>6</v>
      </c>
      <c r="N4808" t="b">
        <v>0</v>
      </c>
      <c r="O4808">
        <v>1</v>
      </c>
      <c r="P4808">
        <v>0</v>
      </c>
      <c r="Q4808">
        <v>0</v>
      </c>
      <c r="R4808">
        <v>0</v>
      </c>
    </row>
    <row r="4809" spans="1:18" x14ac:dyDescent="0.25">
      <c r="A4809" t="s">
        <v>14</v>
      </c>
      <c r="B4809" t="s">
        <v>8</v>
      </c>
      <c r="C4809">
        <v>3</v>
      </c>
      <c r="D4809">
        <v>1</v>
      </c>
      <c r="E4809">
        <v>1</v>
      </c>
      <c r="F4809" s="15">
        <v>46195</v>
      </c>
      <c r="G4809" t="s">
        <v>594</v>
      </c>
      <c r="H4809">
        <v>4</v>
      </c>
      <c r="I4809">
        <v>2026</v>
      </c>
      <c r="J4809">
        <v>6</v>
      </c>
      <c r="K4809" t="s">
        <v>282</v>
      </c>
      <c r="L4809" t="s">
        <v>9</v>
      </c>
      <c r="M4809" t="s">
        <v>6</v>
      </c>
      <c r="N4809" t="b">
        <v>0</v>
      </c>
      <c r="O4809">
        <v>1</v>
      </c>
      <c r="P4809">
        <v>0</v>
      </c>
      <c r="Q4809">
        <v>0</v>
      </c>
      <c r="R4809">
        <v>0</v>
      </c>
    </row>
    <row r="4810" spans="1:18" x14ac:dyDescent="0.25">
      <c r="A4810" t="s">
        <v>14</v>
      </c>
      <c r="B4810" t="s">
        <v>8</v>
      </c>
      <c r="C4810">
        <v>3</v>
      </c>
      <c r="D4810">
        <v>1</v>
      </c>
      <c r="E4810">
        <v>1</v>
      </c>
      <c r="F4810" s="15">
        <v>46195</v>
      </c>
      <c r="G4810" t="s">
        <v>594</v>
      </c>
      <c r="H4810">
        <v>4</v>
      </c>
      <c r="I4810">
        <v>2026</v>
      </c>
      <c r="J4810">
        <v>6</v>
      </c>
      <c r="K4810" t="s">
        <v>282</v>
      </c>
      <c r="L4810" t="s">
        <v>28</v>
      </c>
      <c r="M4810" t="s">
        <v>6</v>
      </c>
      <c r="N4810" t="b">
        <v>0</v>
      </c>
      <c r="O4810">
        <v>1</v>
      </c>
      <c r="P4810">
        <v>0</v>
      </c>
      <c r="Q4810">
        <v>0</v>
      </c>
      <c r="R4810">
        <v>0</v>
      </c>
    </row>
    <row r="4811" spans="1:18" x14ac:dyDescent="0.25">
      <c r="A4811" t="s">
        <v>28</v>
      </c>
      <c r="B4811" t="s">
        <v>6</v>
      </c>
      <c r="C4811">
        <v>4</v>
      </c>
      <c r="D4811">
        <v>1</v>
      </c>
      <c r="E4811">
        <v>1</v>
      </c>
      <c r="F4811" s="15">
        <v>46195</v>
      </c>
      <c r="G4811" t="s">
        <v>594</v>
      </c>
      <c r="H4811">
        <v>4</v>
      </c>
      <c r="I4811">
        <v>2026</v>
      </c>
      <c r="J4811">
        <v>6</v>
      </c>
      <c r="K4811" t="s">
        <v>282</v>
      </c>
      <c r="L4811" t="s">
        <v>579</v>
      </c>
      <c r="M4811" t="s">
        <v>6</v>
      </c>
      <c r="N4811" t="b">
        <v>0</v>
      </c>
      <c r="O4811">
        <v>0</v>
      </c>
      <c r="P4811">
        <v>1</v>
      </c>
      <c r="Q4811">
        <v>0</v>
      </c>
      <c r="R4811">
        <v>0</v>
      </c>
    </row>
    <row r="4812" spans="1:18" x14ac:dyDescent="0.25">
      <c r="A4812" t="s">
        <v>28</v>
      </c>
      <c r="B4812" t="s">
        <v>6</v>
      </c>
      <c r="C4812">
        <v>4</v>
      </c>
      <c r="D4812">
        <v>1</v>
      </c>
      <c r="E4812">
        <v>1</v>
      </c>
      <c r="F4812" s="15">
        <v>46195</v>
      </c>
      <c r="G4812" t="s">
        <v>594</v>
      </c>
      <c r="H4812">
        <v>4</v>
      </c>
      <c r="I4812">
        <v>2026</v>
      </c>
      <c r="J4812">
        <v>6</v>
      </c>
      <c r="K4812" t="s">
        <v>282</v>
      </c>
      <c r="L4812" t="s">
        <v>9</v>
      </c>
      <c r="M4812" t="s">
        <v>6</v>
      </c>
      <c r="N4812" t="b">
        <v>0</v>
      </c>
      <c r="O4812">
        <v>0</v>
      </c>
      <c r="P4812">
        <v>1</v>
      </c>
      <c r="Q4812">
        <v>0</v>
      </c>
      <c r="R4812">
        <v>0</v>
      </c>
    </row>
    <row r="4813" spans="1:18" x14ac:dyDescent="0.25">
      <c r="A4813" t="s">
        <v>28</v>
      </c>
      <c r="B4813" t="s">
        <v>6</v>
      </c>
      <c r="C4813">
        <v>4</v>
      </c>
      <c r="D4813">
        <v>1</v>
      </c>
      <c r="E4813">
        <v>1</v>
      </c>
      <c r="F4813" s="15">
        <v>46195</v>
      </c>
      <c r="G4813" t="s">
        <v>594</v>
      </c>
      <c r="H4813">
        <v>4</v>
      </c>
      <c r="I4813">
        <v>2026</v>
      </c>
      <c r="J4813">
        <v>6</v>
      </c>
      <c r="K4813" t="s">
        <v>282</v>
      </c>
      <c r="L4813" t="s">
        <v>14</v>
      </c>
      <c r="M4813" t="s">
        <v>8</v>
      </c>
      <c r="N4813" t="b">
        <v>0</v>
      </c>
      <c r="O4813">
        <v>0</v>
      </c>
      <c r="P4813">
        <v>1</v>
      </c>
      <c r="Q4813">
        <v>0</v>
      </c>
      <c r="R4813">
        <v>1</v>
      </c>
    </row>
    <row r="4814" spans="1:18" x14ac:dyDescent="0.25">
      <c r="A4814" t="s">
        <v>10</v>
      </c>
      <c r="B4814" t="s">
        <v>63</v>
      </c>
      <c r="C4814">
        <v>1</v>
      </c>
      <c r="D4814">
        <v>2</v>
      </c>
      <c r="E4814">
        <v>1</v>
      </c>
      <c r="F4814" s="15">
        <v>46195</v>
      </c>
      <c r="G4814" t="s">
        <v>595</v>
      </c>
      <c r="H4814">
        <v>4</v>
      </c>
      <c r="I4814">
        <v>2026</v>
      </c>
      <c r="J4814">
        <v>6</v>
      </c>
      <c r="K4814" t="s">
        <v>282</v>
      </c>
      <c r="L4814" t="s">
        <v>405</v>
      </c>
      <c r="M4814" t="s">
        <v>63</v>
      </c>
      <c r="N4814" t="b">
        <v>0</v>
      </c>
      <c r="O4814">
        <v>0</v>
      </c>
      <c r="P4814">
        <v>0</v>
      </c>
      <c r="Q4814">
        <v>1</v>
      </c>
      <c r="R4814">
        <v>0</v>
      </c>
    </row>
    <row r="4815" spans="1:18" x14ac:dyDescent="0.25">
      <c r="A4815" t="s">
        <v>10</v>
      </c>
      <c r="B4815" t="s">
        <v>63</v>
      </c>
      <c r="C4815">
        <v>1</v>
      </c>
      <c r="D4815">
        <v>2</v>
      </c>
      <c r="E4815">
        <v>1</v>
      </c>
      <c r="F4815" s="15">
        <v>46195</v>
      </c>
      <c r="G4815" t="s">
        <v>595</v>
      </c>
      <c r="H4815">
        <v>4</v>
      </c>
      <c r="I4815">
        <v>2026</v>
      </c>
      <c r="J4815">
        <v>6</v>
      </c>
      <c r="K4815" t="s">
        <v>282</v>
      </c>
      <c r="L4815" t="s">
        <v>352</v>
      </c>
      <c r="M4815" t="s">
        <v>63</v>
      </c>
      <c r="N4815" t="b">
        <v>0</v>
      </c>
      <c r="O4815">
        <v>0</v>
      </c>
      <c r="P4815">
        <v>0</v>
      </c>
      <c r="Q4815">
        <v>1</v>
      </c>
      <c r="R4815">
        <v>0</v>
      </c>
    </row>
    <row r="4816" spans="1:18" x14ac:dyDescent="0.25">
      <c r="A4816" t="s">
        <v>10</v>
      </c>
      <c r="B4816" t="s">
        <v>63</v>
      </c>
      <c r="C4816">
        <v>1</v>
      </c>
      <c r="D4816">
        <v>2</v>
      </c>
      <c r="E4816">
        <v>1</v>
      </c>
      <c r="F4816" s="15">
        <v>46195</v>
      </c>
      <c r="G4816" t="s">
        <v>595</v>
      </c>
      <c r="H4816">
        <v>4</v>
      </c>
      <c r="I4816">
        <v>2026</v>
      </c>
      <c r="J4816">
        <v>6</v>
      </c>
      <c r="K4816" t="s">
        <v>282</v>
      </c>
      <c r="L4816" t="s">
        <v>351</v>
      </c>
      <c r="M4816" t="s">
        <v>63</v>
      </c>
      <c r="N4816" t="b">
        <v>0</v>
      </c>
      <c r="O4816">
        <v>0</v>
      </c>
      <c r="P4816">
        <v>0</v>
      </c>
      <c r="Q4816">
        <v>1</v>
      </c>
      <c r="R4816">
        <v>0</v>
      </c>
    </row>
    <row r="4817" spans="1:18" x14ac:dyDescent="0.25">
      <c r="A4817" t="s">
        <v>405</v>
      </c>
      <c r="B4817" t="s">
        <v>63</v>
      </c>
      <c r="C4817">
        <v>2</v>
      </c>
      <c r="D4817">
        <v>2</v>
      </c>
      <c r="E4817">
        <v>1</v>
      </c>
      <c r="F4817" s="15">
        <v>46195</v>
      </c>
      <c r="G4817" t="s">
        <v>595</v>
      </c>
      <c r="H4817">
        <v>4</v>
      </c>
      <c r="I4817">
        <v>2026</v>
      </c>
      <c r="J4817">
        <v>6</v>
      </c>
      <c r="K4817" t="s">
        <v>282</v>
      </c>
      <c r="L4817" t="s">
        <v>10</v>
      </c>
      <c r="M4817" t="s">
        <v>63</v>
      </c>
      <c r="N4817" t="b">
        <v>0</v>
      </c>
      <c r="O4817">
        <v>0</v>
      </c>
      <c r="P4817">
        <v>0</v>
      </c>
      <c r="Q4817">
        <v>1</v>
      </c>
      <c r="R4817">
        <v>0</v>
      </c>
    </row>
    <row r="4818" spans="1:18" x14ac:dyDescent="0.25">
      <c r="A4818" t="s">
        <v>405</v>
      </c>
      <c r="B4818" t="s">
        <v>63</v>
      </c>
      <c r="C4818">
        <v>2</v>
      </c>
      <c r="D4818">
        <v>2</v>
      </c>
      <c r="E4818">
        <v>1</v>
      </c>
      <c r="F4818" s="15">
        <v>46195</v>
      </c>
      <c r="G4818" t="s">
        <v>595</v>
      </c>
      <c r="H4818">
        <v>4</v>
      </c>
      <c r="I4818">
        <v>2026</v>
      </c>
      <c r="J4818">
        <v>6</v>
      </c>
      <c r="K4818" t="s">
        <v>282</v>
      </c>
      <c r="L4818" t="s">
        <v>352</v>
      </c>
      <c r="M4818" t="s">
        <v>63</v>
      </c>
      <c r="N4818" t="b">
        <v>0</v>
      </c>
      <c r="O4818">
        <v>0</v>
      </c>
      <c r="P4818">
        <v>0</v>
      </c>
      <c r="Q4818">
        <v>1</v>
      </c>
      <c r="R4818">
        <v>0</v>
      </c>
    </row>
    <row r="4819" spans="1:18" x14ac:dyDescent="0.25">
      <c r="A4819" t="s">
        <v>405</v>
      </c>
      <c r="B4819" t="s">
        <v>63</v>
      </c>
      <c r="C4819">
        <v>2</v>
      </c>
      <c r="D4819">
        <v>2</v>
      </c>
      <c r="E4819">
        <v>1</v>
      </c>
      <c r="F4819" s="15">
        <v>46195</v>
      </c>
      <c r="G4819" t="s">
        <v>595</v>
      </c>
      <c r="H4819">
        <v>4</v>
      </c>
      <c r="I4819">
        <v>2026</v>
      </c>
      <c r="J4819">
        <v>6</v>
      </c>
      <c r="K4819" t="s">
        <v>282</v>
      </c>
      <c r="L4819" t="s">
        <v>351</v>
      </c>
      <c r="M4819" t="s">
        <v>63</v>
      </c>
      <c r="N4819" t="b">
        <v>0</v>
      </c>
      <c r="O4819">
        <v>0</v>
      </c>
      <c r="P4819">
        <v>0</v>
      </c>
      <c r="Q4819">
        <v>1</v>
      </c>
      <c r="R4819">
        <v>0</v>
      </c>
    </row>
    <row r="4820" spans="1:18" x14ac:dyDescent="0.25">
      <c r="A4820" t="s">
        <v>352</v>
      </c>
      <c r="B4820" t="s">
        <v>63</v>
      </c>
      <c r="C4820">
        <v>3</v>
      </c>
      <c r="D4820">
        <v>2</v>
      </c>
      <c r="E4820">
        <v>1</v>
      </c>
      <c r="F4820" s="15">
        <v>46195</v>
      </c>
      <c r="G4820" t="s">
        <v>595</v>
      </c>
      <c r="H4820">
        <v>4</v>
      </c>
      <c r="I4820">
        <v>2026</v>
      </c>
      <c r="J4820">
        <v>6</v>
      </c>
      <c r="K4820" t="s">
        <v>282</v>
      </c>
      <c r="L4820" t="s">
        <v>10</v>
      </c>
      <c r="M4820" t="s">
        <v>63</v>
      </c>
      <c r="N4820" t="b">
        <v>0</v>
      </c>
      <c r="O4820">
        <v>0</v>
      </c>
      <c r="P4820">
        <v>0</v>
      </c>
      <c r="Q4820">
        <v>1</v>
      </c>
      <c r="R4820">
        <v>0</v>
      </c>
    </row>
    <row r="4821" spans="1:18" x14ac:dyDescent="0.25">
      <c r="A4821" t="s">
        <v>352</v>
      </c>
      <c r="B4821" t="s">
        <v>63</v>
      </c>
      <c r="C4821">
        <v>3</v>
      </c>
      <c r="D4821">
        <v>2</v>
      </c>
      <c r="E4821">
        <v>1</v>
      </c>
      <c r="F4821" s="15">
        <v>46195</v>
      </c>
      <c r="G4821" t="s">
        <v>595</v>
      </c>
      <c r="H4821">
        <v>4</v>
      </c>
      <c r="I4821">
        <v>2026</v>
      </c>
      <c r="J4821">
        <v>6</v>
      </c>
      <c r="K4821" t="s">
        <v>282</v>
      </c>
      <c r="L4821" t="s">
        <v>405</v>
      </c>
      <c r="M4821" t="s">
        <v>63</v>
      </c>
      <c r="N4821" t="b">
        <v>0</v>
      </c>
      <c r="O4821">
        <v>0</v>
      </c>
      <c r="P4821">
        <v>0</v>
      </c>
      <c r="Q4821">
        <v>1</v>
      </c>
      <c r="R4821">
        <v>0</v>
      </c>
    </row>
    <row r="4822" spans="1:18" x14ac:dyDescent="0.25">
      <c r="A4822" t="s">
        <v>352</v>
      </c>
      <c r="B4822" t="s">
        <v>63</v>
      </c>
      <c r="C4822">
        <v>3</v>
      </c>
      <c r="D4822">
        <v>2</v>
      </c>
      <c r="E4822">
        <v>1</v>
      </c>
      <c r="F4822" s="15">
        <v>46195</v>
      </c>
      <c r="G4822" t="s">
        <v>595</v>
      </c>
      <c r="H4822">
        <v>4</v>
      </c>
      <c r="I4822">
        <v>2026</v>
      </c>
      <c r="J4822">
        <v>6</v>
      </c>
      <c r="K4822" t="s">
        <v>282</v>
      </c>
      <c r="L4822" t="s">
        <v>351</v>
      </c>
      <c r="M4822" t="s">
        <v>63</v>
      </c>
      <c r="N4822" t="b">
        <v>0</v>
      </c>
      <c r="O4822">
        <v>0</v>
      </c>
      <c r="P4822">
        <v>0</v>
      </c>
      <c r="Q4822">
        <v>1</v>
      </c>
      <c r="R4822">
        <v>0</v>
      </c>
    </row>
    <row r="4823" spans="1:18" x14ac:dyDescent="0.25">
      <c r="A4823" t="s">
        <v>351</v>
      </c>
      <c r="B4823" t="s">
        <v>63</v>
      </c>
      <c r="C4823">
        <v>4</v>
      </c>
      <c r="D4823">
        <v>2</v>
      </c>
      <c r="E4823">
        <v>1</v>
      </c>
      <c r="F4823" s="15">
        <v>46195</v>
      </c>
      <c r="G4823" t="s">
        <v>595</v>
      </c>
      <c r="H4823">
        <v>4</v>
      </c>
      <c r="I4823">
        <v>2026</v>
      </c>
      <c r="J4823">
        <v>6</v>
      </c>
      <c r="K4823" t="s">
        <v>282</v>
      </c>
      <c r="L4823" t="s">
        <v>10</v>
      </c>
      <c r="M4823" t="s">
        <v>63</v>
      </c>
      <c r="N4823" t="b">
        <v>0</v>
      </c>
      <c r="O4823">
        <v>0</v>
      </c>
      <c r="P4823">
        <v>0</v>
      </c>
      <c r="Q4823">
        <v>1</v>
      </c>
      <c r="R4823">
        <v>0</v>
      </c>
    </row>
    <row r="4824" spans="1:18" x14ac:dyDescent="0.25">
      <c r="A4824" t="s">
        <v>351</v>
      </c>
      <c r="B4824" t="s">
        <v>63</v>
      </c>
      <c r="C4824">
        <v>4</v>
      </c>
      <c r="D4824">
        <v>2</v>
      </c>
      <c r="E4824">
        <v>1</v>
      </c>
      <c r="F4824" s="15">
        <v>46195</v>
      </c>
      <c r="G4824" t="s">
        <v>595</v>
      </c>
      <c r="H4824">
        <v>4</v>
      </c>
      <c r="I4824">
        <v>2026</v>
      </c>
      <c r="J4824">
        <v>6</v>
      </c>
      <c r="K4824" t="s">
        <v>282</v>
      </c>
      <c r="L4824" t="s">
        <v>405</v>
      </c>
      <c r="M4824" t="s">
        <v>63</v>
      </c>
      <c r="N4824" t="b">
        <v>0</v>
      </c>
      <c r="O4824">
        <v>0</v>
      </c>
      <c r="P4824">
        <v>0</v>
      </c>
      <c r="Q4824">
        <v>1</v>
      </c>
      <c r="R4824">
        <v>0</v>
      </c>
    </row>
    <row r="4825" spans="1:18" x14ac:dyDescent="0.25">
      <c r="A4825" t="s">
        <v>351</v>
      </c>
      <c r="B4825" t="s">
        <v>63</v>
      </c>
      <c r="C4825">
        <v>4</v>
      </c>
      <c r="D4825">
        <v>2</v>
      </c>
      <c r="E4825">
        <v>1</v>
      </c>
      <c r="F4825" s="15">
        <v>46195</v>
      </c>
      <c r="G4825" t="s">
        <v>595</v>
      </c>
      <c r="H4825">
        <v>4</v>
      </c>
      <c r="I4825">
        <v>2026</v>
      </c>
      <c r="J4825">
        <v>6</v>
      </c>
      <c r="K4825" t="s">
        <v>282</v>
      </c>
      <c r="L4825" t="s">
        <v>352</v>
      </c>
      <c r="M4825" t="s">
        <v>63</v>
      </c>
      <c r="N4825" t="b">
        <v>0</v>
      </c>
      <c r="O4825">
        <v>0</v>
      </c>
      <c r="P4825">
        <v>0</v>
      </c>
      <c r="Q4825">
        <v>1</v>
      </c>
      <c r="R4825">
        <v>0</v>
      </c>
    </row>
    <row r="4826" spans="1:18" x14ac:dyDescent="0.25">
      <c r="A4826" t="s">
        <v>7</v>
      </c>
      <c r="B4826" t="s">
        <v>6</v>
      </c>
      <c r="C4826">
        <v>1</v>
      </c>
      <c r="D4826">
        <v>3</v>
      </c>
      <c r="E4826">
        <v>1</v>
      </c>
      <c r="F4826" s="15">
        <v>46195</v>
      </c>
      <c r="G4826" t="s">
        <v>596</v>
      </c>
      <c r="H4826">
        <v>4</v>
      </c>
      <c r="I4826">
        <v>2026</v>
      </c>
      <c r="J4826">
        <v>6</v>
      </c>
      <c r="K4826" t="s">
        <v>282</v>
      </c>
      <c r="L4826" t="s">
        <v>15</v>
      </c>
      <c r="M4826" t="s">
        <v>6</v>
      </c>
      <c r="N4826" t="b">
        <v>0</v>
      </c>
      <c r="O4826">
        <v>0</v>
      </c>
      <c r="P4826">
        <v>1</v>
      </c>
      <c r="Q4826">
        <v>0</v>
      </c>
      <c r="R4826">
        <v>0</v>
      </c>
    </row>
    <row r="4827" spans="1:18" x14ac:dyDescent="0.25">
      <c r="A4827" t="s">
        <v>7</v>
      </c>
      <c r="B4827" t="s">
        <v>6</v>
      </c>
      <c r="C4827">
        <v>1</v>
      </c>
      <c r="D4827">
        <v>3</v>
      </c>
      <c r="E4827">
        <v>1</v>
      </c>
      <c r="F4827" s="15">
        <v>46195</v>
      </c>
      <c r="G4827" t="s">
        <v>596</v>
      </c>
      <c r="H4827">
        <v>4</v>
      </c>
      <c r="I4827">
        <v>2026</v>
      </c>
      <c r="J4827">
        <v>6</v>
      </c>
      <c r="K4827" t="s">
        <v>282</v>
      </c>
      <c r="L4827" t="s">
        <v>568</v>
      </c>
      <c r="M4827" t="s">
        <v>8</v>
      </c>
      <c r="N4827" t="b">
        <v>0</v>
      </c>
      <c r="O4827">
        <v>0</v>
      </c>
      <c r="P4827">
        <v>1</v>
      </c>
      <c r="Q4827">
        <v>0</v>
      </c>
      <c r="R4827">
        <v>1</v>
      </c>
    </row>
    <row r="4828" spans="1:18" x14ac:dyDescent="0.25">
      <c r="A4828" t="s">
        <v>7</v>
      </c>
      <c r="B4828" t="s">
        <v>6</v>
      </c>
      <c r="C4828">
        <v>1</v>
      </c>
      <c r="D4828">
        <v>3</v>
      </c>
      <c r="E4828">
        <v>1</v>
      </c>
      <c r="F4828" s="15">
        <v>46195</v>
      </c>
      <c r="G4828" t="s">
        <v>596</v>
      </c>
      <c r="H4828">
        <v>4</v>
      </c>
      <c r="I4828">
        <v>2026</v>
      </c>
      <c r="J4828">
        <v>6</v>
      </c>
      <c r="K4828" t="s">
        <v>282</v>
      </c>
      <c r="L4828" t="s">
        <v>591</v>
      </c>
      <c r="M4828" t="s">
        <v>6</v>
      </c>
      <c r="N4828" t="b">
        <v>0</v>
      </c>
      <c r="O4828">
        <v>0</v>
      </c>
      <c r="P4828">
        <v>1</v>
      </c>
      <c r="Q4828">
        <v>0</v>
      </c>
      <c r="R4828">
        <v>0</v>
      </c>
    </row>
    <row r="4829" spans="1:18" x14ac:dyDescent="0.25">
      <c r="A4829" t="s">
        <v>15</v>
      </c>
      <c r="B4829" t="s">
        <v>6</v>
      </c>
      <c r="C4829">
        <v>2</v>
      </c>
      <c r="D4829">
        <v>3</v>
      </c>
      <c r="E4829">
        <v>1</v>
      </c>
      <c r="F4829" s="15">
        <v>46195</v>
      </c>
      <c r="G4829" t="s">
        <v>596</v>
      </c>
      <c r="H4829">
        <v>4</v>
      </c>
      <c r="I4829">
        <v>2026</v>
      </c>
      <c r="J4829">
        <v>6</v>
      </c>
      <c r="K4829" t="s">
        <v>282</v>
      </c>
      <c r="L4829" t="s">
        <v>7</v>
      </c>
      <c r="M4829" t="s">
        <v>6</v>
      </c>
      <c r="N4829" t="b">
        <v>0</v>
      </c>
      <c r="O4829">
        <v>0</v>
      </c>
      <c r="P4829">
        <v>1</v>
      </c>
      <c r="Q4829">
        <v>0</v>
      </c>
      <c r="R4829">
        <v>0</v>
      </c>
    </row>
    <row r="4830" spans="1:18" x14ac:dyDescent="0.25">
      <c r="A4830" t="s">
        <v>15</v>
      </c>
      <c r="B4830" t="s">
        <v>6</v>
      </c>
      <c r="C4830">
        <v>2</v>
      </c>
      <c r="D4830">
        <v>3</v>
      </c>
      <c r="E4830">
        <v>1</v>
      </c>
      <c r="F4830" s="15">
        <v>46195</v>
      </c>
      <c r="G4830" t="s">
        <v>596</v>
      </c>
      <c r="H4830">
        <v>4</v>
      </c>
      <c r="I4830">
        <v>2026</v>
      </c>
      <c r="J4830">
        <v>6</v>
      </c>
      <c r="K4830" t="s">
        <v>282</v>
      </c>
      <c r="L4830" t="s">
        <v>568</v>
      </c>
      <c r="M4830" t="s">
        <v>8</v>
      </c>
      <c r="N4830" t="b">
        <v>0</v>
      </c>
      <c r="O4830">
        <v>0</v>
      </c>
      <c r="P4830">
        <v>1</v>
      </c>
      <c r="Q4830">
        <v>0</v>
      </c>
      <c r="R4830">
        <v>1</v>
      </c>
    </row>
    <row r="4831" spans="1:18" x14ac:dyDescent="0.25">
      <c r="A4831" t="s">
        <v>15</v>
      </c>
      <c r="B4831" t="s">
        <v>6</v>
      </c>
      <c r="C4831">
        <v>2</v>
      </c>
      <c r="D4831">
        <v>3</v>
      </c>
      <c r="E4831">
        <v>1</v>
      </c>
      <c r="F4831" s="15">
        <v>46195</v>
      </c>
      <c r="G4831" t="s">
        <v>596</v>
      </c>
      <c r="H4831">
        <v>4</v>
      </c>
      <c r="I4831">
        <v>2026</v>
      </c>
      <c r="J4831">
        <v>6</v>
      </c>
      <c r="K4831" t="s">
        <v>282</v>
      </c>
      <c r="L4831" t="s">
        <v>591</v>
      </c>
      <c r="M4831" t="s">
        <v>6</v>
      </c>
      <c r="N4831" t="b">
        <v>0</v>
      </c>
      <c r="O4831">
        <v>0</v>
      </c>
      <c r="P4831">
        <v>1</v>
      </c>
      <c r="Q4831">
        <v>0</v>
      </c>
      <c r="R4831">
        <v>0</v>
      </c>
    </row>
    <row r="4832" spans="1:18" x14ac:dyDescent="0.25">
      <c r="A4832" t="s">
        <v>568</v>
      </c>
      <c r="B4832" t="s">
        <v>8</v>
      </c>
      <c r="C4832">
        <v>3</v>
      </c>
      <c r="D4832">
        <v>3</v>
      </c>
      <c r="E4832">
        <v>1</v>
      </c>
      <c r="F4832" s="15">
        <v>46195</v>
      </c>
      <c r="G4832" t="s">
        <v>596</v>
      </c>
      <c r="H4832">
        <v>4</v>
      </c>
      <c r="I4832">
        <v>2026</v>
      </c>
      <c r="J4832">
        <v>6</v>
      </c>
      <c r="K4832" t="s">
        <v>282</v>
      </c>
      <c r="L4832" t="s">
        <v>7</v>
      </c>
      <c r="M4832" t="s">
        <v>6</v>
      </c>
      <c r="N4832" t="b">
        <v>0</v>
      </c>
      <c r="O4832">
        <v>1</v>
      </c>
      <c r="P4832">
        <v>0</v>
      </c>
      <c r="Q4832">
        <v>0</v>
      </c>
      <c r="R4832">
        <v>0</v>
      </c>
    </row>
    <row r="4833" spans="1:18" x14ac:dyDescent="0.25">
      <c r="A4833" t="s">
        <v>568</v>
      </c>
      <c r="B4833" t="s">
        <v>8</v>
      </c>
      <c r="C4833">
        <v>3</v>
      </c>
      <c r="D4833">
        <v>3</v>
      </c>
      <c r="E4833">
        <v>1</v>
      </c>
      <c r="F4833" s="15">
        <v>46195</v>
      </c>
      <c r="G4833" t="s">
        <v>596</v>
      </c>
      <c r="H4833">
        <v>4</v>
      </c>
      <c r="I4833">
        <v>2026</v>
      </c>
      <c r="J4833">
        <v>6</v>
      </c>
      <c r="K4833" t="s">
        <v>282</v>
      </c>
      <c r="L4833" t="s">
        <v>15</v>
      </c>
      <c r="M4833" t="s">
        <v>6</v>
      </c>
      <c r="N4833" t="b">
        <v>0</v>
      </c>
      <c r="O4833">
        <v>1</v>
      </c>
      <c r="P4833">
        <v>0</v>
      </c>
      <c r="Q4833">
        <v>0</v>
      </c>
      <c r="R4833">
        <v>0</v>
      </c>
    </row>
    <row r="4834" spans="1:18" x14ac:dyDescent="0.25">
      <c r="A4834" t="s">
        <v>568</v>
      </c>
      <c r="B4834" t="s">
        <v>8</v>
      </c>
      <c r="C4834">
        <v>3</v>
      </c>
      <c r="D4834">
        <v>3</v>
      </c>
      <c r="E4834">
        <v>1</v>
      </c>
      <c r="F4834" s="15">
        <v>46195</v>
      </c>
      <c r="G4834" t="s">
        <v>596</v>
      </c>
      <c r="H4834">
        <v>4</v>
      </c>
      <c r="I4834">
        <v>2026</v>
      </c>
      <c r="J4834">
        <v>6</v>
      </c>
      <c r="K4834" t="s">
        <v>282</v>
      </c>
      <c r="L4834" t="s">
        <v>591</v>
      </c>
      <c r="M4834" t="s">
        <v>6</v>
      </c>
      <c r="N4834" t="b">
        <v>0</v>
      </c>
      <c r="O4834">
        <v>1</v>
      </c>
      <c r="P4834">
        <v>0</v>
      </c>
      <c r="Q4834">
        <v>0</v>
      </c>
      <c r="R4834">
        <v>0</v>
      </c>
    </row>
    <row r="4835" spans="1:18" x14ac:dyDescent="0.25">
      <c r="A4835" t="s">
        <v>591</v>
      </c>
      <c r="B4835" t="s">
        <v>6</v>
      </c>
      <c r="C4835">
        <v>4</v>
      </c>
      <c r="D4835">
        <v>3</v>
      </c>
      <c r="E4835">
        <v>1</v>
      </c>
      <c r="F4835" s="15">
        <v>46195</v>
      </c>
      <c r="G4835" t="s">
        <v>596</v>
      </c>
      <c r="H4835">
        <v>4</v>
      </c>
      <c r="I4835">
        <v>2026</v>
      </c>
      <c r="J4835">
        <v>6</v>
      </c>
      <c r="K4835" t="s">
        <v>282</v>
      </c>
      <c r="L4835" t="s">
        <v>7</v>
      </c>
      <c r="M4835" t="s">
        <v>6</v>
      </c>
      <c r="N4835" t="b">
        <v>0</v>
      </c>
      <c r="O4835">
        <v>0</v>
      </c>
      <c r="P4835">
        <v>1</v>
      </c>
      <c r="Q4835">
        <v>0</v>
      </c>
      <c r="R4835">
        <v>0</v>
      </c>
    </row>
    <row r="4836" spans="1:18" x14ac:dyDescent="0.25">
      <c r="A4836" t="s">
        <v>591</v>
      </c>
      <c r="B4836" t="s">
        <v>6</v>
      </c>
      <c r="C4836">
        <v>4</v>
      </c>
      <c r="D4836">
        <v>3</v>
      </c>
      <c r="E4836">
        <v>1</v>
      </c>
      <c r="F4836" s="15">
        <v>46195</v>
      </c>
      <c r="G4836" t="s">
        <v>596</v>
      </c>
      <c r="H4836">
        <v>4</v>
      </c>
      <c r="I4836">
        <v>2026</v>
      </c>
      <c r="J4836">
        <v>6</v>
      </c>
      <c r="K4836" t="s">
        <v>282</v>
      </c>
      <c r="L4836" t="s">
        <v>15</v>
      </c>
      <c r="M4836" t="s">
        <v>6</v>
      </c>
      <c r="N4836" t="b">
        <v>0</v>
      </c>
      <c r="O4836">
        <v>0</v>
      </c>
      <c r="P4836">
        <v>1</v>
      </c>
      <c r="Q4836">
        <v>0</v>
      </c>
      <c r="R4836">
        <v>0</v>
      </c>
    </row>
    <row r="4837" spans="1:18" x14ac:dyDescent="0.25">
      <c r="A4837" t="s">
        <v>591</v>
      </c>
      <c r="B4837" t="s">
        <v>6</v>
      </c>
      <c r="C4837">
        <v>4</v>
      </c>
      <c r="D4837">
        <v>3</v>
      </c>
      <c r="E4837">
        <v>1</v>
      </c>
      <c r="F4837" s="15">
        <v>46195</v>
      </c>
      <c r="G4837" t="s">
        <v>596</v>
      </c>
      <c r="H4837">
        <v>4</v>
      </c>
      <c r="I4837">
        <v>2026</v>
      </c>
      <c r="J4837">
        <v>6</v>
      </c>
      <c r="K4837" t="s">
        <v>282</v>
      </c>
      <c r="L4837" t="s">
        <v>568</v>
      </c>
      <c r="M4837" t="s">
        <v>8</v>
      </c>
      <c r="N4837" t="b">
        <v>0</v>
      </c>
      <c r="O4837">
        <v>0</v>
      </c>
      <c r="P4837">
        <v>1</v>
      </c>
      <c r="Q4837">
        <v>0</v>
      </c>
      <c r="R4837">
        <v>1</v>
      </c>
    </row>
    <row r="4838" spans="1:18" x14ac:dyDescent="0.25">
      <c r="A4838" t="s">
        <v>540</v>
      </c>
      <c r="B4838" t="s">
        <v>63</v>
      </c>
      <c r="C4838">
        <v>1</v>
      </c>
      <c r="D4838">
        <v>4</v>
      </c>
      <c r="E4838">
        <v>1</v>
      </c>
      <c r="F4838" s="15">
        <v>46195</v>
      </c>
      <c r="G4838" t="s">
        <v>597</v>
      </c>
      <c r="H4838">
        <v>4</v>
      </c>
      <c r="I4838">
        <v>2026</v>
      </c>
      <c r="J4838">
        <v>6</v>
      </c>
      <c r="K4838" t="s">
        <v>282</v>
      </c>
      <c r="L4838" t="s">
        <v>326</v>
      </c>
      <c r="M4838" t="s">
        <v>63</v>
      </c>
      <c r="N4838" t="b">
        <v>0</v>
      </c>
      <c r="O4838">
        <v>0</v>
      </c>
      <c r="P4838">
        <v>0</v>
      </c>
      <c r="Q4838">
        <v>1</v>
      </c>
      <c r="R4838">
        <v>0</v>
      </c>
    </row>
    <row r="4839" spans="1:18" x14ac:dyDescent="0.25">
      <c r="A4839" t="s">
        <v>540</v>
      </c>
      <c r="B4839" t="s">
        <v>63</v>
      </c>
      <c r="C4839">
        <v>1</v>
      </c>
      <c r="D4839">
        <v>4</v>
      </c>
      <c r="E4839">
        <v>1</v>
      </c>
      <c r="F4839" s="15">
        <v>46195</v>
      </c>
      <c r="G4839" t="s">
        <v>597</v>
      </c>
      <c r="H4839">
        <v>4</v>
      </c>
      <c r="I4839">
        <v>2026</v>
      </c>
      <c r="J4839">
        <v>6</v>
      </c>
      <c r="K4839" t="s">
        <v>282</v>
      </c>
      <c r="L4839" t="s">
        <v>592</v>
      </c>
      <c r="M4839" t="s">
        <v>63</v>
      </c>
      <c r="N4839" t="b">
        <v>0</v>
      </c>
      <c r="O4839">
        <v>0</v>
      </c>
      <c r="P4839">
        <v>0</v>
      </c>
      <c r="Q4839">
        <v>1</v>
      </c>
      <c r="R4839">
        <v>0</v>
      </c>
    </row>
    <row r="4840" spans="1:18" x14ac:dyDescent="0.25">
      <c r="A4840" t="s">
        <v>540</v>
      </c>
      <c r="B4840" t="s">
        <v>63</v>
      </c>
      <c r="C4840">
        <v>1</v>
      </c>
      <c r="D4840">
        <v>4</v>
      </c>
      <c r="E4840">
        <v>1</v>
      </c>
      <c r="F4840" s="15">
        <v>46195</v>
      </c>
      <c r="G4840" t="s">
        <v>597</v>
      </c>
      <c r="H4840">
        <v>4</v>
      </c>
      <c r="I4840">
        <v>2026</v>
      </c>
      <c r="J4840">
        <v>6</v>
      </c>
      <c r="K4840" t="s">
        <v>282</v>
      </c>
      <c r="L4840" t="s">
        <v>363</v>
      </c>
      <c r="M4840" t="s">
        <v>63</v>
      </c>
      <c r="N4840" t="b">
        <v>0</v>
      </c>
      <c r="O4840">
        <v>0</v>
      </c>
      <c r="P4840">
        <v>0</v>
      </c>
      <c r="Q4840">
        <v>1</v>
      </c>
      <c r="R4840">
        <v>0</v>
      </c>
    </row>
    <row r="4841" spans="1:18" x14ac:dyDescent="0.25">
      <c r="A4841" t="s">
        <v>326</v>
      </c>
      <c r="B4841" t="s">
        <v>63</v>
      </c>
      <c r="C4841">
        <v>2</v>
      </c>
      <c r="D4841">
        <v>4</v>
      </c>
      <c r="E4841">
        <v>1</v>
      </c>
      <c r="F4841" s="15">
        <v>46195</v>
      </c>
      <c r="G4841" t="s">
        <v>597</v>
      </c>
      <c r="H4841">
        <v>4</v>
      </c>
      <c r="I4841">
        <v>2026</v>
      </c>
      <c r="J4841">
        <v>6</v>
      </c>
      <c r="K4841" t="s">
        <v>282</v>
      </c>
      <c r="L4841" t="s">
        <v>540</v>
      </c>
      <c r="M4841" t="s">
        <v>63</v>
      </c>
      <c r="N4841" t="b">
        <v>0</v>
      </c>
      <c r="O4841">
        <v>0</v>
      </c>
      <c r="P4841">
        <v>0</v>
      </c>
      <c r="Q4841">
        <v>1</v>
      </c>
      <c r="R4841">
        <v>0</v>
      </c>
    </row>
    <row r="4842" spans="1:18" x14ac:dyDescent="0.25">
      <c r="A4842" t="s">
        <v>326</v>
      </c>
      <c r="B4842" t="s">
        <v>63</v>
      </c>
      <c r="C4842">
        <v>2</v>
      </c>
      <c r="D4842">
        <v>4</v>
      </c>
      <c r="E4842">
        <v>1</v>
      </c>
      <c r="F4842" s="15">
        <v>46195</v>
      </c>
      <c r="G4842" t="s">
        <v>597</v>
      </c>
      <c r="H4842">
        <v>4</v>
      </c>
      <c r="I4842">
        <v>2026</v>
      </c>
      <c r="J4842">
        <v>6</v>
      </c>
      <c r="K4842" t="s">
        <v>282</v>
      </c>
      <c r="L4842" t="s">
        <v>592</v>
      </c>
      <c r="M4842" t="s">
        <v>63</v>
      </c>
      <c r="N4842" t="b">
        <v>0</v>
      </c>
      <c r="O4842">
        <v>0</v>
      </c>
      <c r="P4842">
        <v>0</v>
      </c>
      <c r="Q4842">
        <v>1</v>
      </c>
      <c r="R4842">
        <v>0</v>
      </c>
    </row>
    <row r="4843" spans="1:18" x14ac:dyDescent="0.25">
      <c r="A4843" t="s">
        <v>326</v>
      </c>
      <c r="B4843" t="s">
        <v>63</v>
      </c>
      <c r="C4843">
        <v>2</v>
      </c>
      <c r="D4843">
        <v>4</v>
      </c>
      <c r="E4843">
        <v>1</v>
      </c>
      <c r="F4843" s="15">
        <v>46195</v>
      </c>
      <c r="G4843" t="s">
        <v>597</v>
      </c>
      <c r="H4843">
        <v>4</v>
      </c>
      <c r="I4843">
        <v>2026</v>
      </c>
      <c r="J4843">
        <v>6</v>
      </c>
      <c r="K4843" t="s">
        <v>282</v>
      </c>
      <c r="L4843" t="s">
        <v>363</v>
      </c>
      <c r="M4843" t="s">
        <v>63</v>
      </c>
      <c r="N4843" t="b">
        <v>0</v>
      </c>
      <c r="O4843">
        <v>0</v>
      </c>
      <c r="P4843">
        <v>0</v>
      </c>
      <c r="Q4843">
        <v>1</v>
      </c>
      <c r="R4843">
        <v>0</v>
      </c>
    </row>
    <row r="4844" spans="1:18" x14ac:dyDescent="0.25">
      <c r="A4844" t="s">
        <v>592</v>
      </c>
      <c r="B4844" t="s">
        <v>63</v>
      </c>
      <c r="C4844">
        <v>3</v>
      </c>
      <c r="D4844">
        <v>4</v>
      </c>
      <c r="E4844">
        <v>1</v>
      </c>
      <c r="F4844" s="15">
        <v>46195</v>
      </c>
      <c r="G4844" t="s">
        <v>597</v>
      </c>
      <c r="H4844">
        <v>4</v>
      </c>
      <c r="I4844">
        <v>2026</v>
      </c>
      <c r="J4844">
        <v>6</v>
      </c>
      <c r="K4844" t="s">
        <v>282</v>
      </c>
      <c r="L4844" t="s">
        <v>540</v>
      </c>
      <c r="M4844" t="s">
        <v>63</v>
      </c>
      <c r="N4844" t="b">
        <v>0</v>
      </c>
      <c r="O4844">
        <v>0</v>
      </c>
      <c r="P4844">
        <v>0</v>
      </c>
      <c r="Q4844">
        <v>1</v>
      </c>
      <c r="R4844">
        <v>0</v>
      </c>
    </row>
    <row r="4845" spans="1:18" x14ac:dyDescent="0.25">
      <c r="A4845" t="s">
        <v>592</v>
      </c>
      <c r="B4845" t="s">
        <v>63</v>
      </c>
      <c r="C4845">
        <v>3</v>
      </c>
      <c r="D4845">
        <v>4</v>
      </c>
      <c r="E4845">
        <v>1</v>
      </c>
      <c r="F4845" s="15">
        <v>46195</v>
      </c>
      <c r="G4845" t="s">
        <v>597</v>
      </c>
      <c r="H4845">
        <v>4</v>
      </c>
      <c r="I4845">
        <v>2026</v>
      </c>
      <c r="J4845">
        <v>6</v>
      </c>
      <c r="K4845" t="s">
        <v>282</v>
      </c>
      <c r="L4845" t="s">
        <v>326</v>
      </c>
      <c r="M4845" t="s">
        <v>63</v>
      </c>
      <c r="N4845" t="b">
        <v>0</v>
      </c>
      <c r="O4845">
        <v>0</v>
      </c>
      <c r="P4845">
        <v>0</v>
      </c>
      <c r="Q4845">
        <v>1</v>
      </c>
      <c r="R4845">
        <v>0</v>
      </c>
    </row>
    <row r="4846" spans="1:18" x14ac:dyDescent="0.25">
      <c r="A4846" t="s">
        <v>592</v>
      </c>
      <c r="B4846" t="s">
        <v>63</v>
      </c>
      <c r="C4846">
        <v>3</v>
      </c>
      <c r="D4846">
        <v>4</v>
      </c>
      <c r="E4846">
        <v>1</v>
      </c>
      <c r="F4846" s="15">
        <v>46195</v>
      </c>
      <c r="G4846" t="s">
        <v>597</v>
      </c>
      <c r="H4846">
        <v>4</v>
      </c>
      <c r="I4846">
        <v>2026</v>
      </c>
      <c r="J4846">
        <v>6</v>
      </c>
      <c r="K4846" t="s">
        <v>282</v>
      </c>
      <c r="L4846" t="s">
        <v>363</v>
      </c>
      <c r="M4846" t="s">
        <v>63</v>
      </c>
      <c r="N4846" t="b">
        <v>0</v>
      </c>
      <c r="O4846">
        <v>0</v>
      </c>
      <c r="P4846">
        <v>0</v>
      </c>
      <c r="Q4846">
        <v>1</v>
      </c>
      <c r="R4846">
        <v>0</v>
      </c>
    </row>
    <row r="4847" spans="1:18" x14ac:dyDescent="0.25">
      <c r="A4847" t="s">
        <v>363</v>
      </c>
      <c r="B4847" t="s">
        <v>63</v>
      </c>
      <c r="C4847">
        <v>4</v>
      </c>
      <c r="D4847">
        <v>4</v>
      </c>
      <c r="E4847">
        <v>1</v>
      </c>
      <c r="F4847" s="15">
        <v>46195</v>
      </c>
      <c r="G4847" t="s">
        <v>597</v>
      </c>
      <c r="H4847">
        <v>4</v>
      </c>
      <c r="I4847">
        <v>2026</v>
      </c>
      <c r="J4847">
        <v>6</v>
      </c>
      <c r="K4847" t="s">
        <v>282</v>
      </c>
      <c r="L4847" t="s">
        <v>540</v>
      </c>
      <c r="M4847" t="s">
        <v>63</v>
      </c>
      <c r="N4847" t="b">
        <v>0</v>
      </c>
      <c r="O4847">
        <v>0</v>
      </c>
      <c r="P4847">
        <v>0</v>
      </c>
      <c r="Q4847">
        <v>1</v>
      </c>
      <c r="R4847">
        <v>0</v>
      </c>
    </row>
    <row r="4848" spans="1:18" x14ac:dyDescent="0.25">
      <c r="A4848" t="s">
        <v>363</v>
      </c>
      <c r="B4848" t="s">
        <v>63</v>
      </c>
      <c r="C4848">
        <v>4</v>
      </c>
      <c r="D4848">
        <v>4</v>
      </c>
      <c r="E4848">
        <v>1</v>
      </c>
      <c r="F4848" s="15">
        <v>46195</v>
      </c>
      <c r="G4848" t="s">
        <v>597</v>
      </c>
      <c r="H4848">
        <v>4</v>
      </c>
      <c r="I4848">
        <v>2026</v>
      </c>
      <c r="J4848">
        <v>6</v>
      </c>
      <c r="K4848" t="s">
        <v>282</v>
      </c>
      <c r="L4848" t="s">
        <v>326</v>
      </c>
      <c r="M4848" t="s">
        <v>63</v>
      </c>
      <c r="N4848" t="b">
        <v>0</v>
      </c>
      <c r="O4848">
        <v>0</v>
      </c>
      <c r="P4848">
        <v>0</v>
      </c>
      <c r="Q4848">
        <v>1</v>
      </c>
      <c r="R4848">
        <v>0</v>
      </c>
    </row>
    <row r="4849" spans="1:18" x14ac:dyDescent="0.25">
      <c r="A4849" t="s">
        <v>363</v>
      </c>
      <c r="B4849" t="s">
        <v>63</v>
      </c>
      <c r="C4849">
        <v>4</v>
      </c>
      <c r="D4849">
        <v>4</v>
      </c>
      <c r="E4849">
        <v>1</v>
      </c>
      <c r="F4849" s="15">
        <v>46195</v>
      </c>
      <c r="G4849" t="s">
        <v>597</v>
      </c>
      <c r="H4849">
        <v>4</v>
      </c>
      <c r="I4849">
        <v>2026</v>
      </c>
      <c r="J4849">
        <v>6</v>
      </c>
      <c r="K4849" t="s">
        <v>282</v>
      </c>
      <c r="L4849" t="s">
        <v>592</v>
      </c>
      <c r="M4849" t="s">
        <v>63</v>
      </c>
      <c r="N4849" t="b">
        <v>0</v>
      </c>
      <c r="O4849">
        <v>0</v>
      </c>
      <c r="P4849">
        <v>0</v>
      </c>
      <c r="Q4849">
        <v>1</v>
      </c>
      <c r="R4849">
        <v>0</v>
      </c>
    </row>
    <row r="4850" spans="1:18" x14ac:dyDescent="0.25">
      <c r="A4850" t="s">
        <v>17</v>
      </c>
      <c r="B4850" t="s">
        <v>63</v>
      </c>
      <c r="C4850">
        <v>1</v>
      </c>
      <c r="D4850">
        <v>5</v>
      </c>
      <c r="E4850">
        <v>1</v>
      </c>
      <c r="F4850" s="15">
        <v>46195</v>
      </c>
      <c r="G4850" t="s">
        <v>598</v>
      </c>
      <c r="H4850">
        <v>4</v>
      </c>
      <c r="I4850">
        <v>2026</v>
      </c>
      <c r="J4850">
        <v>6</v>
      </c>
      <c r="K4850" t="s">
        <v>282</v>
      </c>
      <c r="L4850" t="s">
        <v>41</v>
      </c>
      <c r="M4850" t="s">
        <v>63</v>
      </c>
      <c r="N4850" t="b">
        <v>0</v>
      </c>
      <c r="O4850">
        <v>0</v>
      </c>
      <c r="P4850">
        <v>0</v>
      </c>
      <c r="Q4850">
        <v>1</v>
      </c>
      <c r="R4850">
        <v>0</v>
      </c>
    </row>
    <row r="4851" spans="1:18" x14ac:dyDescent="0.25">
      <c r="A4851" t="s">
        <v>17</v>
      </c>
      <c r="B4851" t="s">
        <v>63</v>
      </c>
      <c r="C4851">
        <v>1</v>
      </c>
      <c r="D4851">
        <v>5</v>
      </c>
      <c r="E4851">
        <v>1</v>
      </c>
      <c r="F4851" s="15">
        <v>46195</v>
      </c>
      <c r="G4851" t="s">
        <v>598</v>
      </c>
      <c r="H4851">
        <v>4</v>
      </c>
      <c r="I4851">
        <v>2026</v>
      </c>
      <c r="J4851">
        <v>6</v>
      </c>
      <c r="K4851" t="s">
        <v>282</v>
      </c>
      <c r="L4851" t="s">
        <v>593</v>
      </c>
      <c r="M4851" t="s">
        <v>63</v>
      </c>
      <c r="N4851" t="b">
        <v>0</v>
      </c>
      <c r="O4851">
        <v>0</v>
      </c>
      <c r="P4851">
        <v>0</v>
      </c>
      <c r="Q4851">
        <v>1</v>
      </c>
      <c r="R4851">
        <v>0</v>
      </c>
    </row>
    <row r="4852" spans="1:18" x14ac:dyDescent="0.25">
      <c r="A4852" t="s">
        <v>17</v>
      </c>
      <c r="B4852" t="s">
        <v>63</v>
      </c>
      <c r="C4852">
        <v>1</v>
      </c>
      <c r="D4852">
        <v>5</v>
      </c>
      <c r="E4852">
        <v>1</v>
      </c>
      <c r="F4852" s="15">
        <v>46195</v>
      </c>
      <c r="G4852" t="s">
        <v>598</v>
      </c>
      <c r="H4852">
        <v>4</v>
      </c>
      <c r="I4852">
        <v>2026</v>
      </c>
      <c r="J4852">
        <v>6</v>
      </c>
      <c r="K4852" t="s">
        <v>282</v>
      </c>
      <c r="L4852" t="s">
        <v>433</v>
      </c>
      <c r="M4852" t="s">
        <v>63</v>
      </c>
      <c r="N4852" t="b">
        <v>0</v>
      </c>
      <c r="O4852">
        <v>0</v>
      </c>
      <c r="P4852">
        <v>0</v>
      </c>
      <c r="Q4852">
        <v>1</v>
      </c>
      <c r="R4852">
        <v>0</v>
      </c>
    </row>
    <row r="4853" spans="1:18" x14ac:dyDescent="0.25">
      <c r="A4853" t="s">
        <v>41</v>
      </c>
      <c r="B4853" t="s">
        <v>63</v>
      </c>
      <c r="C4853">
        <v>2</v>
      </c>
      <c r="D4853">
        <v>5</v>
      </c>
      <c r="E4853">
        <v>1</v>
      </c>
      <c r="F4853" s="15">
        <v>46195</v>
      </c>
      <c r="G4853" t="s">
        <v>598</v>
      </c>
      <c r="H4853">
        <v>4</v>
      </c>
      <c r="I4853">
        <v>2026</v>
      </c>
      <c r="J4853">
        <v>6</v>
      </c>
      <c r="K4853" t="s">
        <v>282</v>
      </c>
      <c r="L4853" t="s">
        <v>17</v>
      </c>
      <c r="M4853" t="s">
        <v>63</v>
      </c>
      <c r="N4853" t="b">
        <v>0</v>
      </c>
      <c r="O4853">
        <v>0</v>
      </c>
      <c r="P4853">
        <v>0</v>
      </c>
      <c r="Q4853">
        <v>1</v>
      </c>
      <c r="R4853">
        <v>0</v>
      </c>
    </row>
    <row r="4854" spans="1:18" x14ac:dyDescent="0.25">
      <c r="A4854" t="s">
        <v>41</v>
      </c>
      <c r="B4854" t="s">
        <v>63</v>
      </c>
      <c r="C4854">
        <v>2</v>
      </c>
      <c r="D4854">
        <v>5</v>
      </c>
      <c r="E4854">
        <v>1</v>
      </c>
      <c r="F4854" s="15">
        <v>46195</v>
      </c>
      <c r="G4854" t="s">
        <v>598</v>
      </c>
      <c r="H4854">
        <v>4</v>
      </c>
      <c r="I4854">
        <v>2026</v>
      </c>
      <c r="J4854">
        <v>6</v>
      </c>
      <c r="K4854" t="s">
        <v>282</v>
      </c>
      <c r="L4854" t="s">
        <v>593</v>
      </c>
      <c r="M4854" t="s">
        <v>63</v>
      </c>
      <c r="N4854" t="b">
        <v>0</v>
      </c>
      <c r="O4854">
        <v>0</v>
      </c>
      <c r="P4854">
        <v>0</v>
      </c>
      <c r="Q4854">
        <v>1</v>
      </c>
      <c r="R4854">
        <v>0</v>
      </c>
    </row>
    <row r="4855" spans="1:18" x14ac:dyDescent="0.25">
      <c r="A4855" t="s">
        <v>41</v>
      </c>
      <c r="B4855" t="s">
        <v>63</v>
      </c>
      <c r="C4855">
        <v>2</v>
      </c>
      <c r="D4855">
        <v>5</v>
      </c>
      <c r="E4855">
        <v>1</v>
      </c>
      <c r="F4855" s="15">
        <v>46195</v>
      </c>
      <c r="G4855" t="s">
        <v>598</v>
      </c>
      <c r="H4855">
        <v>4</v>
      </c>
      <c r="I4855">
        <v>2026</v>
      </c>
      <c r="J4855">
        <v>6</v>
      </c>
      <c r="K4855" t="s">
        <v>282</v>
      </c>
      <c r="L4855" t="s">
        <v>433</v>
      </c>
      <c r="M4855" t="s">
        <v>63</v>
      </c>
      <c r="N4855" t="b">
        <v>0</v>
      </c>
      <c r="O4855">
        <v>0</v>
      </c>
      <c r="P4855">
        <v>0</v>
      </c>
      <c r="Q4855">
        <v>1</v>
      </c>
      <c r="R4855">
        <v>0</v>
      </c>
    </row>
    <row r="4856" spans="1:18" x14ac:dyDescent="0.25">
      <c r="A4856" t="s">
        <v>593</v>
      </c>
      <c r="B4856" t="s">
        <v>63</v>
      </c>
      <c r="C4856">
        <v>3</v>
      </c>
      <c r="D4856">
        <v>5</v>
      </c>
      <c r="E4856">
        <v>1</v>
      </c>
      <c r="F4856" s="15">
        <v>46195</v>
      </c>
      <c r="G4856" t="s">
        <v>598</v>
      </c>
      <c r="H4856">
        <v>4</v>
      </c>
      <c r="I4856">
        <v>2026</v>
      </c>
      <c r="J4856">
        <v>6</v>
      </c>
      <c r="K4856" t="s">
        <v>282</v>
      </c>
      <c r="L4856" t="s">
        <v>17</v>
      </c>
      <c r="M4856" t="s">
        <v>63</v>
      </c>
      <c r="N4856" t="b">
        <v>0</v>
      </c>
      <c r="O4856">
        <v>0</v>
      </c>
      <c r="P4856">
        <v>0</v>
      </c>
      <c r="Q4856">
        <v>1</v>
      </c>
      <c r="R4856">
        <v>0</v>
      </c>
    </row>
    <row r="4857" spans="1:18" x14ac:dyDescent="0.25">
      <c r="A4857" t="s">
        <v>593</v>
      </c>
      <c r="B4857" t="s">
        <v>63</v>
      </c>
      <c r="C4857">
        <v>3</v>
      </c>
      <c r="D4857">
        <v>5</v>
      </c>
      <c r="E4857">
        <v>1</v>
      </c>
      <c r="F4857" s="15">
        <v>46195</v>
      </c>
      <c r="G4857" t="s">
        <v>598</v>
      </c>
      <c r="H4857">
        <v>4</v>
      </c>
      <c r="I4857">
        <v>2026</v>
      </c>
      <c r="J4857">
        <v>6</v>
      </c>
      <c r="K4857" t="s">
        <v>282</v>
      </c>
      <c r="L4857" t="s">
        <v>41</v>
      </c>
      <c r="M4857" t="s">
        <v>63</v>
      </c>
      <c r="N4857" t="b">
        <v>0</v>
      </c>
      <c r="O4857">
        <v>0</v>
      </c>
      <c r="P4857">
        <v>0</v>
      </c>
      <c r="Q4857">
        <v>1</v>
      </c>
      <c r="R4857">
        <v>0</v>
      </c>
    </row>
    <row r="4858" spans="1:18" x14ac:dyDescent="0.25">
      <c r="A4858" t="s">
        <v>593</v>
      </c>
      <c r="B4858" t="s">
        <v>63</v>
      </c>
      <c r="C4858">
        <v>3</v>
      </c>
      <c r="D4858">
        <v>5</v>
      </c>
      <c r="E4858">
        <v>1</v>
      </c>
      <c r="F4858" s="15">
        <v>46195</v>
      </c>
      <c r="G4858" t="s">
        <v>598</v>
      </c>
      <c r="H4858">
        <v>4</v>
      </c>
      <c r="I4858">
        <v>2026</v>
      </c>
      <c r="J4858">
        <v>6</v>
      </c>
      <c r="K4858" t="s">
        <v>282</v>
      </c>
      <c r="L4858" t="s">
        <v>433</v>
      </c>
      <c r="M4858" t="s">
        <v>63</v>
      </c>
      <c r="N4858" t="b">
        <v>0</v>
      </c>
      <c r="O4858">
        <v>0</v>
      </c>
      <c r="P4858">
        <v>0</v>
      </c>
      <c r="Q4858">
        <v>1</v>
      </c>
      <c r="R4858">
        <v>0</v>
      </c>
    </row>
    <row r="4859" spans="1:18" x14ac:dyDescent="0.25">
      <c r="A4859" t="s">
        <v>433</v>
      </c>
      <c r="B4859" t="s">
        <v>63</v>
      </c>
      <c r="C4859">
        <v>4</v>
      </c>
      <c r="D4859">
        <v>5</v>
      </c>
      <c r="E4859">
        <v>1</v>
      </c>
      <c r="F4859" s="15">
        <v>46195</v>
      </c>
      <c r="G4859" t="s">
        <v>598</v>
      </c>
      <c r="H4859">
        <v>4</v>
      </c>
      <c r="I4859">
        <v>2026</v>
      </c>
      <c r="J4859">
        <v>6</v>
      </c>
      <c r="K4859" t="s">
        <v>282</v>
      </c>
      <c r="L4859" t="s">
        <v>17</v>
      </c>
      <c r="M4859" t="s">
        <v>63</v>
      </c>
      <c r="N4859" t="b">
        <v>0</v>
      </c>
      <c r="O4859">
        <v>0</v>
      </c>
      <c r="P4859">
        <v>0</v>
      </c>
      <c r="Q4859">
        <v>1</v>
      </c>
      <c r="R4859">
        <v>0</v>
      </c>
    </row>
    <row r="4860" spans="1:18" x14ac:dyDescent="0.25">
      <c r="A4860" t="s">
        <v>433</v>
      </c>
      <c r="B4860" t="s">
        <v>63</v>
      </c>
      <c r="C4860">
        <v>4</v>
      </c>
      <c r="D4860">
        <v>5</v>
      </c>
      <c r="E4860">
        <v>1</v>
      </c>
      <c r="F4860" s="15">
        <v>46195</v>
      </c>
      <c r="G4860" t="s">
        <v>598</v>
      </c>
      <c r="H4860">
        <v>4</v>
      </c>
      <c r="I4860">
        <v>2026</v>
      </c>
      <c r="J4860">
        <v>6</v>
      </c>
      <c r="K4860" t="s">
        <v>282</v>
      </c>
      <c r="L4860" t="s">
        <v>41</v>
      </c>
      <c r="M4860" t="s">
        <v>63</v>
      </c>
      <c r="N4860" t="b">
        <v>0</v>
      </c>
      <c r="O4860">
        <v>0</v>
      </c>
      <c r="P4860">
        <v>0</v>
      </c>
      <c r="Q4860">
        <v>1</v>
      </c>
      <c r="R4860">
        <v>0</v>
      </c>
    </row>
    <row r="4861" spans="1:18" x14ac:dyDescent="0.25">
      <c r="A4861" t="s">
        <v>433</v>
      </c>
      <c r="B4861" t="s">
        <v>63</v>
      </c>
      <c r="C4861">
        <v>4</v>
      </c>
      <c r="D4861">
        <v>5</v>
      </c>
      <c r="E4861">
        <v>1</v>
      </c>
      <c r="F4861" s="15">
        <v>46195</v>
      </c>
      <c r="G4861" t="s">
        <v>598</v>
      </c>
      <c r="H4861">
        <v>4</v>
      </c>
      <c r="I4861">
        <v>2026</v>
      </c>
      <c r="J4861">
        <v>6</v>
      </c>
      <c r="K4861" t="s">
        <v>282</v>
      </c>
      <c r="L4861" t="s">
        <v>593</v>
      </c>
      <c r="M4861" t="s">
        <v>63</v>
      </c>
      <c r="N4861" t="b">
        <v>0</v>
      </c>
      <c r="O4861">
        <v>0</v>
      </c>
      <c r="P4861">
        <v>0</v>
      </c>
      <c r="Q4861">
        <v>1</v>
      </c>
      <c r="R4861">
        <v>0</v>
      </c>
    </row>
    <row r="4862" spans="1:18" x14ac:dyDescent="0.25">
      <c r="A4862" t="s">
        <v>19</v>
      </c>
      <c r="B4862" t="s">
        <v>8</v>
      </c>
      <c r="C4862">
        <v>1</v>
      </c>
      <c r="D4862">
        <v>6</v>
      </c>
      <c r="E4862">
        <v>1</v>
      </c>
      <c r="F4862" s="15">
        <v>46195</v>
      </c>
      <c r="G4862" t="s">
        <v>599</v>
      </c>
      <c r="H4862">
        <v>3</v>
      </c>
      <c r="I4862">
        <v>2026</v>
      </c>
      <c r="J4862">
        <v>6</v>
      </c>
      <c r="K4862" t="s">
        <v>282</v>
      </c>
      <c r="L4862" t="s">
        <v>519</v>
      </c>
      <c r="M4862" t="s">
        <v>6</v>
      </c>
      <c r="N4862" t="b">
        <v>0</v>
      </c>
      <c r="O4862">
        <v>1</v>
      </c>
      <c r="P4862">
        <v>0</v>
      </c>
      <c r="Q4862">
        <v>0</v>
      </c>
      <c r="R4862">
        <v>0</v>
      </c>
    </row>
    <row r="4863" spans="1:18" x14ac:dyDescent="0.25">
      <c r="A4863" t="s">
        <v>19</v>
      </c>
      <c r="B4863" t="s">
        <v>8</v>
      </c>
      <c r="C4863">
        <v>1</v>
      </c>
      <c r="D4863">
        <v>6</v>
      </c>
      <c r="E4863">
        <v>1</v>
      </c>
      <c r="F4863" s="15">
        <v>46195</v>
      </c>
      <c r="G4863" t="s">
        <v>599</v>
      </c>
      <c r="H4863">
        <v>3</v>
      </c>
      <c r="I4863">
        <v>2026</v>
      </c>
      <c r="J4863">
        <v>6</v>
      </c>
      <c r="K4863" t="s">
        <v>282</v>
      </c>
      <c r="L4863" t="s">
        <v>20</v>
      </c>
      <c r="M4863" t="s">
        <v>6</v>
      </c>
      <c r="N4863" t="b">
        <v>0</v>
      </c>
      <c r="O4863">
        <v>1</v>
      </c>
      <c r="P4863">
        <v>0</v>
      </c>
      <c r="Q4863">
        <v>0</v>
      </c>
      <c r="R4863">
        <v>0</v>
      </c>
    </row>
    <row r="4864" spans="1:18" x14ac:dyDescent="0.25">
      <c r="A4864" t="s">
        <v>519</v>
      </c>
      <c r="B4864" t="s">
        <v>6</v>
      </c>
      <c r="C4864">
        <v>2</v>
      </c>
      <c r="D4864">
        <v>6</v>
      </c>
      <c r="E4864">
        <v>1</v>
      </c>
      <c r="F4864" s="15">
        <v>46195</v>
      </c>
      <c r="G4864" t="s">
        <v>599</v>
      </c>
      <c r="H4864">
        <v>3</v>
      </c>
      <c r="I4864">
        <v>2026</v>
      </c>
      <c r="J4864">
        <v>6</v>
      </c>
      <c r="K4864" t="s">
        <v>282</v>
      </c>
      <c r="L4864" t="s">
        <v>19</v>
      </c>
      <c r="M4864" t="s">
        <v>8</v>
      </c>
      <c r="N4864" t="b">
        <v>0</v>
      </c>
      <c r="O4864">
        <v>0</v>
      </c>
      <c r="P4864">
        <v>1</v>
      </c>
      <c r="Q4864">
        <v>0</v>
      </c>
      <c r="R4864">
        <v>1</v>
      </c>
    </row>
    <row r="4865" spans="1:18" x14ac:dyDescent="0.25">
      <c r="A4865" t="s">
        <v>519</v>
      </c>
      <c r="B4865" t="s">
        <v>6</v>
      </c>
      <c r="C4865">
        <v>2</v>
      </c>
      <c r="D4865">
        <v>6</v>
      </c>
      <c r="E4865">
        <v>1</v>
      </c>
      <c r="F4865" s="15">
        <v>46195</v>
      </c>
      <c r="G4865" t="s">
        <v>599</v>
      </c>
      <c r="H4865">
        <v>3</v>
      </c>
      <c r="I4865">
        <v>2026</v>
      </c>
      <c r="J4865">
        <v>6</v>
      </c>
      <c r="K4865" t="s">
        <v>282</v>
      </c>
      <c r="L4865" t="s">
        <v>20</v>
      </c>
      <c r="M4865" t="s">
        <v>6</v>
      </c>
      <c r="N4865" t="b">
        <v>0</v>
      </c>
      <c r="O4865">
        <v>0</v>
      </c>
      <c r="P4865">
        <v>1</v>
      </c>
      <c r="Q4865">
        <v>0</v>
      </c>
      <c r="R4865">
        <v>0</v>
      </c>
    </row>
    <row r="4866" spans="1:18" x14ac:dyDescent="0.25">
      <c r="A4866" t="s">
        <v>20</v>
      </c>
      <c r="B4866" t="s">
        <v>6</v>
      </c>
      <c r="C4866">
        <v>3</v>
      </c>
      <c r="D4866">
        <v>6</v>
      </c>
      <c r="E4866">
        <v>1</v>
      </c>
      <c r="F4866" s="15">
        <v>46195</v>
      </c>
      <c r="G4866" t="s">
        <v>599</v>
      </c>
      <c r="H4866">
        <v>3</v>
      </c>
      <c r="I4866">
        <v>2026</v>
      </c>
      <c r="J4866">
        <v>6</v>
      </c>
      <c r="K4866" t="s">
        <v>282</v>
      </c>
      <c r="L4866" t="s">
        <v>19</v>
      </c>
      <c r="M4866" t="s">
        <v>8</v>
      </c>
      <c r="N4866" t="b">
        <v>0</v>
      </c>
      <c r="O4866">
        <v>0</v>
      </c>
      <c r="P4866">
        <v>1</v>
      </c>
      <c r="Q4866">
        <v>0</v>
      </c>
      <c r="R4866">
        <v>1</v>
      </c>
    </row>
    <row r="4867" spans="1:18" x14ac:dyDescent="0.25">
      <c r="A4867" t="s">
        <v>20</v>
      </c>
      <c r="B4867" t="s">
        <v>6</v>
      </c>
      <c r="C4867">
        <v>3</v>
      </c>
      <c r="D4867">
        <v>6</v>
      </c>
      <c r="E4867">
        <v>1</v>
      </c>
      <c r="F4867" s="15">
        <v>46195</v>
      </c>
      <c r="G4867" t="s">
        <v>599</v>
      </c>
      <c r="H4867">
        <v>3</v>
      </c>
      <c r="I4867">
        <v>2026</v>
      </c>
      <c r="J4867">
        <v>6</v>
      </c>
      <c r="K4867" t="s">
        <v>282</v>
      </c>
      <c r="L4867" t="s">
        <v>519</v>
      </c>
      <c r="M4867" t="s">
        <v>6</v>
      </c>
      <c r="N4867" t="b">
        <v>0</v>
      </c>
      <c r="O4867">
        <v>0</v>
      </c>
      <c r="P4867">
        <v>1</v>
      </c>
      <c r="Q4867">
        <v>0</v>
      </c>
      <c r="R4867">
        <v>0</v>
      </c>
    </row>
    <row r="4868" spans="1:18" x14ac:dyDescent="0.25">
      <c r="A4868" t="s">
        <v>433</v>
      </c>
      <c r="B4868" t="s">
        <v>6</v>
      </c>
      <c r="C4868">
        <v>1</v>
      </c>
      <c r="D4868">
        <v>1</v>
      </c>
      <c r="E4868">
        <v>2</v>
      </c>
      <c r="F4868" s="15">
        <v>46195</v>
      </c>
      <c r="G4868" t="s">
        <v>600</v>
      </c>
      <c r="H4868">
        <v>4</v>
      </c>
      <c r="I4868">
        <v>2026</v>
      </c>
      <c r="J4868">
        <v>6</v>
      </c>
      <c r="K4868" t="s">
        <v>282</v>
      </c>
      <c r="L4868" t="s">
        <v>540</v>
      </c>
      <c r="M4868" t="s">
        <v>6</v>
      </c>
      <c r="N4868" t="b">
        <v>0</v>
      </c>
      <c r="O4868">
        <v>0</v>
      </c>
      <c r="P4868">
        <v>1</v>
      </c>
      <c r="Q4868">
        <v>0</v>
      </c>
      <c r="R4868">
        <v>0</v>
      </c>
    </row>
    <row r="4869" spans="1:18" x14ac:dyDescent="0.25">
      <c r="A4869" t="s">
        <v>433</v>
      </c>
      <c r="B4869" t="s">
        <v>6</v>
      </c>
      <c r="C4869">
        <v>1</v>
      </c>
      <c r="D4869">
        <v>1</v>
      </c>
      <c r="E4869">
        <v>2</v>
      </c>
      <c r="F4869" s="15">
        <v>46195</v>
      </c>
      <c r="G4869" t="s">
        <v>600</v>
      </c>
      <c r="H4869">
        <v>4</v>
      </c>
      <c r="I4869">
        <v>2026</v>
      </c>
      <c r="J4869">
        <v>6</v>
      </c>
      <c r="K4869" t="s">
        <v>282</v>
      </c>
      <c r="L4869" t="s">
        <v>13</v>
      </c>
      <c r="M4869" t="s">
        <v>8</v>
      </c>
      <c r="N4869" t="b">
        <v>0</v>
      </c>
      <c r="O4869">
        <v>0</v>
      </c>
      <c r="P4869">
        <v>1</v>
      </c>
      <c r="Q4869">
        <v>0</v>
      </c>
      <c r="R4869">
        <v>1</v>
      </c>
    </row>
    <row r="4870" spans="1:18" x14ac:dyDescent="0.25">
      <c r="A4870" t="s">
        <v>433</v>
      </c>
      <c r="B4870" t="s">
        <v>6</v>
      </c>
      <c r="C4870">
        <v>1</v>
      </c>
      <c r="D4870">
        <v>1</v>
      </c>
      <c r="E4870">
        <v>2</v>
      </c>
      <c r="F4870" s="15">
        <v>46195</v>
      </c>
      <c r="G4870" t="s">
        <v>600</v>
      </c>
      <c r="H4870">
        <v>4</v>
      </c>
      <c r="I4870">
        <v>2026</v>
      </c>
      <c r="J4870">
        <v>6</v>
      </c>
      <c r="K4870" t="s">
        <v>282</v>
      </c>
      <c r="L4870" t="s">
        <v>405</v>
      </c>
      <c r="M4870" t="s">
        <v>6</v>
      </c>
      <c r="N4870" t="b">
        <v>0</v>
      </c>
      <c r="O4870">
        <v>0</v>
      </c>
      <c r="P4870">
        <v>1</v>
      </c>
      <c r="Q4870">
        <v>0</v>
      </c>
      <c r="R4870">
        <v>0</v>
      </c>
    </row>
    <row r="4871" spans="1:18" x14ac:dyDescent="0.25">
      <c r="A4871" t="s">
        <v>540</v>
      </c>
      <c r="B4871" t="s">
        <v>6</v>
      </c>
      <c r="C4871">
        <v>2</v>
      </c>
      <c r="D4871">
        <v>1</v>
      </c>
      <c r="E4871">
        <v>2</v>
      </c>
      <c r="F4871" s="15">
        <v>46195</v>
      </c>
      <c r="G4871" t="s">
        <v>600</v>
      </c>
      <c r="H4871">
        <v>4</v>
      </c>
      <c r="I4871">
        <v>2026</v>
      </c>
      <c r="J4871">
        <v>6</v>
      </c>
      <c r="K4871" t="s">
        <v>282</v>
      </c>
      <c r="L4871" t="s">
        <v>433</v>
      </c>
      <c r="M4871" t="s">
        <v>6</v>
      </c>
      <c r="N4871" t="b">
        <v>0</v>
      </c>
      <c r="O4871">
        <v>0</v>
      </c>
      <c r="P4871">
        <v>1</v>
      </c>
      <c r="Q4871">
        <v>0</v>
      </c>
      <c r="R4871">
        <v>0</v>
      </c>
    </row>
    <row r="4872" spans="1:18" x14ac:dyDescent="0.25">
      <c r="A4872" t="s">
        <v>540</v>
      </c>
      <c r="B4872" t="s">
        <v>6</v>
      </c>
      <c r="C4872">
        <v>2</v>
      </c>
      <c r="D4872">
        <v>1</v>
      </c>
      <c r="E4872">
        <v>2</v>
      </c>
      <c r="F4872" s="15">
        <v>46195</v>
      </c>
      <c r="G4872" t="s">
        <v>600</v>
      </c>
      <c r="H4872">
        <v>4</v>
      </c>
      <c r="I4872">
        <v>2026</v>
      </c>
      <c r="J4872">
        <v>6</v>
      </c>
      <c r="K4872" t="s">
        <v>282</v>
      </c>
      <c r="L4872" t="s">
        <v>13</v>
      </c>
      <c r="M4872" t="s">
        <v>8</v>
      </c>
      <c r="N4872" t="b">
        <v>0</v>
      </c>
      <c r="O4872">
        <v>0</v>
      </c>
      <c r="P4872">
        <v>1</v>
      </c>
      <c r="Q4872">
        <v>0</v>
      </c>
      <c r="R4872">
        <v>1</v>
      </c>
    </row>
    <row r="4873" spans="1:18" x14ac:dyDescent="0.25">
      <c r="A4873" t="s">
        <v>540</v>
      </c>
      <c r="B4873" t="s">
        <v>6</v>
      </c>
      <c r="C4873">
        <v>2</v>
      </c>
      <c r="D4873">
        <v>1</v>
      </c>
      <c r="E4873">
        <v>2</v>
      </c>
      <c r="F4873" s="15">
        <v>46195</v>
      </c>
      <c r="G4873" t="s">
        <v>600</v>
      </c>
      <c r="H4873">
        <v>4</v>
      </c>
      <c r="I4873">
        <v>2026</v>
      </c>
      <c r="J4873">
        <v>6</v>
      </c>
      <c r="K4873" t="s">
        <v>282</v>
      </c>
      <c r="L4873" t="s">
        <v>405</v>
      </c>
      <c r="M4873" t="s">
        <v>6</v>
      </c>
      <c r="N4873" t="b">
        <v>0</v>
      </c>
      <c r="O4873">
        <v>0</v>
      </c>
      <c r="P4873">
        <v>1</v>
      </c>
      <c r="Q4873">
        <v>0</v>
      </c>
      <c r="R4873">
        <v>0</v>
      </c>
    </row>
    <row r="4874" spans="1:18" x14ac:dyDescent="0.25">
      <c r="A4874" t="s">
        <v>13</v>
      </c>
      <c r="B4874" t="s">
        <v>8</v>
      </c>
      <c r="C4874">
        <v>3</v>
      </c>
      <c r="D4874">
        <v>1</v>
      </c>
      <c r="E4874">
        <v>2</v>
      </c>
      <c r="F4874" s="15">
        <v>46195</v>
      </c>
      <c r="G4874" t="s">
        <v>600</v>
      </c>
      <c r="H4874">
        <v>4</v>
      </c>
      <c r="I4874">
        <v>2026</v>
      </c>
      <c r="J4874">
        <v>6</v>
      </c>
      <c r="K4874" t="s">
        <v>282</v>
      </c>
      <c r="L4874" t="s">
        <v>433</v>
      </c>
      <c r="M4874" t="s">
        <v>6</v>
      </c>
      <c r="N4874" t="b">
        <v>0</v>
      </c>
      <c r="O4874">
        <v>1</v>
      </c>
      <c r="P4874">
        <v>0</v>
      </c>
      <c r="Q4874">
        <v>0</v>
      </c>
      <c r="R4874">
        <v>0</v>
      </c>
    </row>
    <row r="4875" spans="1:18" x14ac:dyDescent="0.25">
      <c r="A4875" t="s">
        <v>13</v>
      </c>
      <c r="B4875" t="s">
        <v>8</v>
      </c>
      <c r="C4875">
        <v>3</v>
      </c>
      <c r="D4875">
        <v>1</v>
      </c>
      <c r="E4875">
        <v>2</v>
      </c>
      <c r="F4875" s="15">
        <v>46195</v>
      </c>
      <c r="G4875" t="s">
        <v>600</v>
      </c>
      <c r="H4875">
        <v>4</v>
      </c>
      <c r="I4875">
        <v>2026</v>
      </c>
      <c r="J4875">
        <v>6</v>
      </c>
      <c r="K4875" t="s">
        <v>282</v>
      </c>
      <c r="L4875" t="s">
        <v>540</v>
      </c>
      <c r="M4875" t="s">
        <v>6</v>
      </c>
      <c r="N4875" t="b">
        <v>0</v>
      </c>
      <c r="O4875">
        <v>1</v>
      </c>
      <c r="P4875">
        <v>0</v>
      </c>
      <c r="Q4875">
        <v>0</v>
      </c>
      <c r="R4875">
        <v>0</v>
      </c>
    </row>
    <row r="4876" spans="1:18" x14ac:dyDescent="0.25">
      <c r="A4876" t="s">
        <v>13</v>
      </c>
      <c r="B4876" t="s">
        <v>8</v>
      </c>
      <c r="C4876">
        <v>3</v>
      </c>
      <c r="D4876">
        <v>1</v>
      </c>
      <c r="E4876">
        <v>2</v>
      </c>
      <c r="F4876" s="15">
        <v>46195</v>
      </c>
      <c r="G4876" t="s">
        <v>600</v>
      </c>
      <c r="H4876">
        <v>4</v>
      </c>
      <c r="I4876">
        <v>2026</v>
      </c>
      <c r="J4876">
        <v>6</v>
      </c>
      <c r="K4876" t="s">
        <v>282</v>
      </c>
      <c r="L4876" t="s">
        <v>405</v>
      </c>
      <c r="M4876" t="s">
        <v>6</v>
      </c>
      <c r="N4876" t="b">
        <v>0</v>
      </c>
      <c r="O4876">
        <v>1</v>
      </c>
      <c r="P4876">
        <v>0</v>
      </c>
      <c r="Q4876">
        <v>0</v>
      </c>
      <c r="R4876">
        <v>0</v>
      </c>
    </row>
    <row r="4877" spans="1:18" x14ac:dyDescent="0.25">
      <c r="A4877" t="s">
        <v>405</v>
      </c>
      <c r="B4877" t="s">
        <v>6</v>
      </c>
      <c r="C4877">
        <v>4</v>
      </c>
      <c r="D4877">
        <v>1</v>
      </c>
      <c r="E4877">
        <v>2</v>
      </c>
      <c r="F4877" s="15">
        <v>46195</v>
      </c>
      <c r="G4877" t="s">
        <v>600</v>
      </c>
      <c r="H4877">
        <v>4</v>
      </c>
      <c r="I4877">
        <v>2026</v>
      </c>
      <c r="J4877">
        <v>6</v>
      </c>
      <c r="K4877" t="s">
        <v>282</v>
      </c>
      <c r="L4877" t="s">
        <v>433</v>
      </c>
      <c r="M4877" t="s">
        <v>6</v>
      </c>
      <c r="N4877" t="b">
        <v>0</v>
      </c>
      <c r="O4877">
        <v>0</v>
      </c>
      <c r="P4877">
        <v>1</v>
      </c>
      <c r="Q4877">
        <v>0</v>
      </c>
      <c r="R4877">
        <v>0</v>
      </c>
    </row>
    <row r="4878" spans="1:18" x14ac:dyDescent="0.25">
      <c r="A4878" t="s">
        <v>405</v>
      </c>
      <c r="B4878" t="s">
        <v>6</v>
      </c>
      <c r="C4878">
        <v>4</v>
      </c>
      <c r="D4878">
        <v>1</v>
      </c>
      <c r="E4878">
        <v>2</v>
      </c>
      <c r="F4878" s="15">
        <v>46195</v>
      </c>
      <c r="G4878" t="s">
        <v>600</v>
      </c>
      <c r="H4878">
        <v>4</v>
      </c>
      <c r="I4878">
        <v>2026</v>
      </c>
      <c r="J4878">
        <v>6</v>
      </c>
      <c r="K4878" t="s">
        <v>282</v>
      </c>
      <c r="L4878" t="s">
        <v>540</v>
      </c>
      <c r="M4878" t="s">
        <v>6</v>
      </c>
      <c r="N4878" t="b">
        <v>0</v>
      </c>
      <c r="O4878">
        <v>0</v>
      </c>
      <c r="P4878">
        <v>1</v>
      </c>
      <c r="Q4878">
        <v>0</v>
      </c>
      <c r="R4878">
        <v>0</v>
      </c>
    </row>
    <row r="4879" spans="1:18" x14ac:dyDescent="0.25">
      <c r="A4879" t="s">
        <v>405</v>
      </c>
      <c r="B4879" t="s">
        <v>6</v>
      </c>
      <c r="C4879">
        <v>4</v>
      </c>
      <c r="D4879">
        <v>1</v>
      </c>
      <c r="E4879">
        <v>2</v>
      </c>
      <c r="F4879" s="15">
        <v>46195</v>
      </c>
      <c r="G4879" t="s">
        <v>600</v>
      </c>
      <c r="H4879">
        <v>4</v>
      </c>
      <c r="I4879">
        <v>2026</v>
      </c>
      <c r="J4879">
        <v>6</v>
      </c>
      <c r="K4879" t="s">
        <v>282</v>
      </c>
      <c r="L4879" t="s">
        <v>13</v>
      </c>
      <c r="M4879" t="s">
        <v>8</v>
      </c>
      <c r="N4879" t="b">
        <v>0</v>
      </c>
      <c r="O4879">
        <v>0</v>
      </c>
      <c r="P4879">
        <v>1</v>
      </c>
      <c r="Q4879">
        <v>0</v>
      </c>
      <c r="R4879">
        <v>1</v>
      </c>
    </row>
    <row r="4880" spans="1:18" x14ac:dyDescent="0.25">
      <c r="A4880" t="s">
        <v>351</v>
      </c>
      <c r="B4880" t="s">
        <v>8</v>
      </c>
      <c r="C4880">
        <v>1</v>
      </c>
      <c r="D4880">
        <v>2</v>
      </c>
      <c r="E4880">
        <v>2</v>
      </c>
      <c r="F4880" s="15">
        <v>46195</v>
      </c>
      <c r="G4880" t="s">
        <v>601</v>
      </c>
      <c r="H4880">
        <v>4</v>
      </c>
      <c r="I4880">
        <v>2026</v>
      </c>
      <c r="J4880">
        <v>6</v>
      </c>
      <c r="K4880" t="s">
        <v>282</v>
      </c>
      <c r="L4880" t="s">
        <v>9</v>
      </c>
      <c r="M4880" t="s">
        <v>6</v>
      </c>
      <c r="N4880" t="b">
        <v>0</v>
      </c>
      <c r="O4880">
        <v>1</v>
      </c>
      <c r="P4880">
        <v>0</v>
      </c>
      <c r="Q4880">
        <v>0</v>
      </c>
      <c r="R4880">
        <v>0</v>
      </c>
    </row>
    <row r="4881" spans="1:18" x14ac:dyDescent="0.25">
      <c r="A4881" t="s">
        <v>351</v>
      </c>
      <c r="B4881" t="s">
        <v>8</v>
      </c>
      <c r="C4881">
        <v>1</v>
      </c>
      <c r="D4881">
        <v>2</v>
      </c>
      <c r="E4881">
        <v>2</v>
      </c>
      <c r="F4881" s="15">
        <v>46195</v>
      </c>
      <c r="G4881" t="s">
        <v>601</v>
      </c>
      <c r="H4881">
        <v>4</v>
      </c>
      <c r="I4881">
        <v>2026</v>
      </c>
      <c r="J4881">
        <v>6</v>
      </c>
      <c r="K4881" t="s">
        <v>282</v>
      </c>
      <c r="L4881" t="s">
        <v>19</v>
      </c>
      <c r="M4881" t="s">
        <v>6</v>
      </c>
      <c r="N4881" t="b">
        <v>0</v>
      </c>
      <c r="O4881">
        <v>1</v>
      </c>
      <c r="P4881">
        <v>0</v>
      </c>
      <c r="Q4881">
        <v>0</v>
      </c>
      <c r="R4881">
        <v>0</v>
      </c>
    </row>
    <row r="4882" spans="1:18" x14ac:dyDescent="0.25">
      <c r="A4882" t="s">
        <v>351</v>
      </c>
      <c r="B4882" t="s">
        <v>8</v>
      </c>
      <c r="C4882">
        <v>1</v>
      </c>
      <c r="D4882">
        <v>2</v>
      </c>
      <c r="E4882">
        <v>2</v>
      </c>
      <c r="F4882" s="15">
        <v>46195</v>
      </c>
      <c r="G4882" t="s">
        <v>601</v>
      </c>
      <c r="H4882">
        <v>4</v>
      </c>
      <c r="I4882">
        <v>2026</v>
      </c>
      <c r="J4882">
        <v>6</v>
      </c>
      <c r="K4882" t="s">
        <v>282</v>
      </c>
      <c r="L4882" t="s">
        <v>592</v>
      </c>
      <c r="M4882" t="s">
        <v>6</v>
      </c>
      <c r="N4882" t="b">
        <v>0</v>
      </c>
      <c r="O4882">
        <v>1</v>
      </c>
      <c r="P4882">
        <v>0</v>
      </c>
      <c r="Q4882">
        <v>0</v>
      </c>
      <c r="R4882">
        <v>0</v>
      </c>
    </row>
    <row r="4883" spans="1:18" x14ac:dyDescent="0.25">
      <c r="A4883" t="s">
        <v>9</v>
      </c>
      <c r="B4883" t="s">
        <v>6</v>
      </c>
      <c r="C4883">
        <v>2</v>
      </c>
      <c r="D4883">
        <v>2</v>
      </c>
      <c r="E4883">
        <v>2</v>
      </c>
      <c r="F4883" s="15">
        <v>46195</v>
      </c>
      <c r="G4883" t="s">
        <v>601</v>
      </c>
      <c r="H4883">
        <v>4</v>
      </c>
      <c r="I4883">
        <v>2026</v>
      </c>
      <c r="J4883">
        <v>6</v>
      </c>
      <c r="K4883" t="s">
        <v>282</v>
      </c>
      <c r="L4883" t="s">
        <v>351</v>
      </c>
      <c r="M4883" t="s">
        <v>8</v>
      </c>
      <c r="N4883" t="b">
        <v>0</v>
      </c>
      <c r="O4883">
        <v>0</v>
      </c>
      <c r="P4883">
        <v>1</v>
      </c>
      <c r="Q4883">
        <v>0</v>
      </c>
      <c r="R4883">
        <v>1</v>
      </c>
    </row>
    <row r="4884" spans="1:18" x14ac:dyDescent="0.25">
      <c r="A4884" t="s">
        <v>9</v>
      </c>
      <c r="B4884" t="s">
        <v>6</v>
      </c>
      <c r="C4884">
        <v>2</v>
      </c>
      <c r="D4884">
        <v>2</v>
      </c>
      <c r="E4884">
        <v>2</v>
      </c>
      <c r="F4884" s="15">
        <v>46195</v>
      </c>
      <c r="G4884" t="s">
        <v>601</v>
      </c>
      <c r="H4884">
        <v>4</v>
      </c>
      <c r="I4884">
        <v>2026</v>
      </c>
      <c r="J4884">
        <v>6</v>
      </c>
      <c r="K4884" t="s">
        <v>282</v>
      </c>
      <c r="L4884" t="s">
        <v>19</v>
      </c>
      <c r="M4884" t="s">
        <v>6</v>
      </c>
      <c r="N4884" t="b">
        <v>0</v>
      </c>
      <c r="O4884">
        <v>0</v>
      </c>
      <c r="P4884">
        <v>1</v>
      </c>
      <c r="Q4884">
        <v>0</v>
      </c>
      <c r="R4884">
        <v>0</v>
      </c>
    </row>
    <row r="4885" spans="1:18" x14ac:dyDescent="0.25">
      <c r="A4885" t="s">
        <v>9</v>
      </c>
      <c r="B4885" t="s">
        <v>6</v>
      </c>
      <c r="C4885">
        <v>2</v>
      </c>
      <c r="D4885">
        <v>2</v>
      </c>
      <c r="E4885">
        <v>2</v>
      </c>
      <c r="F4885" s="15">
        <v>46195</v>
      </c>
      <c r="G4885" t="s">
        <v>601</v>
      </c>
      <c r="H4885">
        <v>4</v>
      </c>
      <c r="I4885">
        <v>2026</v>
      </c>
      <c r="J4885">
        <v>6</v>
      </c>
      <c r="K4885" t="s">
        <v>282</v>
      </c>
      <c r="L4885" t="s">
        <v>592</v>
      </c>
      <c r="M4885" t="s">
        <v>6</v>
      </c>
      <c r="N4885" t="b">
        <v>0</v>
      </c>
      <c r="O4885">
        <v>0</v>
      </c>
      <c r="P4885">
        <v>1</v>
      </c>
      <c r="Q4885">
        <v>0</v>
      </c>
      <c r="R4885">
        <v>0</v>
      </c>
    </row>
    <row r="4886" spans="1:18" x14ac:dyDescent="0.25">
      <c r="A4886" t="s">
        <v>19</v>
      </c>
      <c r="B4886" t="s">
        <v>6</v>
      </c>
      <c r="C4886">
        <v>3</v>
      </c>
      <c r="D4886">
        <v>2</v>
      </c>
      <c r="E4886">
        <v>2</v>
      </c>
      <c r="F4886" s="15">
        <v>46195</v>
      </c>
      <c r="G4886" t="s">
        <v>601</v>
      </c>
      <c r="H4886">
        <v>4</v>
      </c>
      <c r="I4886">
        <v>2026</v>
      </c>
      <c r="J4886">
        <v>6</v>
      </c>
      <c r="K4886" t="s">
        <v>282</v>
      </c>
      <c r="L4886" t="s">
        <v>351</v>
      </c>
      <c r="M4886" t="s">
        <v>8</v>
      </c>
      <c r="N4886" t="b">
        <v>0</v>
      </c>
      <c r="O4886">
        <v>0</v>
      </c>
      <c r="P4886">
        <v>1</v>
      </c>
      <c r="Q4886">
        <v>0</v>
      </c>
      <c r="R4886">
        <v>1</v>
      </c>
    </row>
    <row r="4887" spans="1:18" x14ac:dyDescent="0.25">
      <c r="A4887" t="s">
        <v>19</v>
      </c>
      <c r="B4887" t="s">
        <v>6</v>
      </c>
      <c r="C4887">
        <v>3</v>
      </c>
      <c r="D4887">
        <v>2</v>
      </c>
      <c r="E4887">
        <v>2</v>
      </c>
      <c r="F4887" s="15">
        <v>46195</v>
      </c>
      <c r="G4887" t="s">
        <v>601</v>
      </c>
      <c r="H4887">
        <v>4</v>
      </c>
      <c r="I4887">
        <v>2026</v>
      </c>
      <c r="J4887">
        <v>6</v>
      </c>
      <c r="K4887" t="s">
        <v>282</v>
      </c>
      <c r="L4887" t="s">
        <v>9</v>
      </c>
      <c r="M4887" t="s">
        <v>6</v>
      </c>
      <c r="N4887" t="b">
        <v>0</v>
      </c>
      <c r="O4887">
        <v>0</v>
      </c>
      <c r="P4887">
        <v>1</v>
      </c>
      <c r="Q4887">
        <v>0</v>
      </c>
      <c r="R4887">
        <v>0</v>
      </c>
    </row>
    <row r="4888" spans="1:18" x14ac:dyDescent="0.25">
      <c r="A4888" t="s">
        <v>19</v>
      </c>
      <c r="B4888" t="s">
        <v>6</v>
      </c>
      <c r="C4888">
        <v>3</v>
      </c>
      <c r="D4888">
        <v>2</v>
      </c>
      <c r="E4888">
        <v>2</v>
      </c>
      <c r="F4888" s="15">
        <v>46195</v>
      </c>
      <c r="G4888" t="s">
        <v>601</v>
      </c>
      <c r="H4888">
        <v>4</v>
      </c>
      <c r="I4888">
        <v>2026</v>
      </c>
      <c r="J4888">
        <v>6</v>
      </c>
      <c r="K4888" t="s">
        <v>282</v>
      </c>
      <c r="L4888" t="s">
        <v>592</v>
      </c>
      <c r="M4888" t="s">
        <v>6</v>
      </c>
      <c r="N4888" t="b">
        <v>0</v>
      </c>
      <c r="O4888">
        <v>0</v>
      </c>
      <c r="P4888">
        <v>1</v>
      </c>
      <c r="Q4888">
        <v>0</v>
      </c>
      <c r="R4888">
        <v>0</v>
      </c>
    </row>
    <row r="4889" spans="1:18" x14ac:dyDescent="0.25">
      <c r="A4889" t="s">
        <v>592</v>
      </c>
      <c r="B4889" t="s">
        <v>6</v>
      </c>
      <c r="C4889">
        <v>4</v>
      </c>
      <c r="D4889">
        <v>2</v>
      </c>
      <c r="E4889">
        <v>2</v>
      </c>
      <c r="F4889" s="15">
        <v>46195</v>
      </c>
      <c r="G4889" t="s">
        <v>601</v>
      </c>
      <c r="H4889">
        <v>4</v>
      </c>
      <c r="I4889">
        <v>2026</v>
      </c>
      <c r="J4889">
        <v>6</v>
      </c>
      <c r="K4889" t="s">
        <v>282</v>
      </c>
      <c r="L4889" t="s">
        <v>351</v>
      </c>
      <c r="M4889" t="s">
        <v>8</v>
      </c>
      <c r="N4889" t="b">
        <v>0</v>
      </c>
      <c r="O4889">
        <v>0</v>
      </c>
      <c r="P4889">
        <v>1</v>
      </c>
      <c r="Q4889">
        <v>0</v>
      </c>
      <c r="R4889">
        <v>1</v>
      </c>
    </row>
    <row r="4890" spans="1:18" x14ac:dyDescent="0.25">
      <c r="A4890" t="s">
        <v>592</v>
      </c>
      <c r="B4890" t="s">
        <v>6</v>
      </c>
      <c r="C4890">
        <v>4</v>
      </c>
      <c r="D4890">
        <v>2</v>
      </c>
      <c r="E4890">
        <v>2</v>
      </c>
      <c r="F4890" s="15">
        <v>46195</v>
      </c>
      <c r="G4890" t="s">
        <v>601</v>
      </c>
      <c r="H4890">
        <v>4</v>
      </c>
      <c r="I4890">
        <v>2026</v>
      </c>
      <c r="J4890">
        <v>6</v>
      </c>
      <c r="K4890" t="s">
        <v>282</v>
      </c>
      <c r="L4890" t="s">
        <v>9</v>
      </c>
      <c r="M4890" t="s">
        <v>6</v>
      </c>
      <c r="N4890" t="b">
        <v>0</v>
      </c>
      <c r="O4890">
        <v>0</v>
      </c>
      <c r="P4890">
        <v>1</v>
      </c>
      <c r="Q4890">
        <v>0</v>
      </c>
      <c r="R4890">
        <v>0</v>
      </c>
    </row>
    <row r="4891" spans="1:18" x14ac:dyDescent="0.25">
      <c r="A4891" t="s">
        <v>592</v>
      </c>
      <c r="B4891" t="s">
        <v>6</v>
      </c>
      <c r="C4891">
        <v>4</v>
      </c>
      <c r="D4891">
        <v>2</v>
      </c>
      <c r="E4891">
        <v>2</v>
      </c>
      <c r="F4891" s="15">
        <v>46195</v>
      </c>
      <c r="G4891" t="s">
        <v>601</v>
      </c>
      <c r="H4891">
        <v>4</v>
      </c>
      <c r="I4891">
        <v>2026</v>
      </c>
      <c r="J4891">
        <v>6</v>
      </c>
      <c r="K4891" t="s">
        <v>282</v>
      </c>
      <c r="L4891" t="s">
        <v>19</v>
      </c>
      <c r="M4891" t="s">
        <v>6</v>
      </c>
      <c r="N4891" t="b">
        <v>0</v>
      </c>
      <c r="O4891">
        <v>0</v>
      </c>
      <c r="P4891">
        <v>1</v>
      </c>
      <c r="Q4891">
        <v>0</v>
      </c>
      <c r="R4891">
        <v>0</v>
      </c>
    </row>
    <row r="4892" spans="1:18" x14ac:dyDescent="0.25">
      <c r="A4892" t="s">
        <v>593</v>
      </c>
      <c r="B4892" t="s">
        <v>6</v>
      </c>
      <c r="C4892">
        <v>1</v>
      </c>
      <c r="D4892">
        <v>3</v>
      </c>
      <c r="E4892">
        <v>2</v>
      </c>
      <c r="F4892" s="15">
        <v>46195</v>
      </c>
      <c r="G4892" t="s">
        <v>602</v>
      </c>
      <c r="H4892">
        <v>4</v>
      </c>
      <c r="I4892">
        <v>2026</v>
      </c>
      <c r="J4892">
        <v>6</v>
      </c>
      <c r="K4892" t="s">
        <v>282</v>
      </c>
      <c r="L4892" t="s">
        <v>363</v>
      </c>
      <c r="M4892" t="s">
        <v>8</v>
      </c>
      <c r="N4892" t="b">
        <v>0</v>
      </c>
      <c r="O4892">
        <v>0</v>
      </c>
      <c r="P4892">
        <v>1</v>
      </c>
      <c r="Q4892">
        <v>0</v>
      </c>
      <c r="R4892">
        <v>1</v>
      </c>
    </row>
    <row r="4893" spans="1:18" x14ac:dyDescent="0.25">
      <c r="A4893" t="s">
        <v>593</v>
      </c>
      <c r="B4893" t="s">
        <v>6</v>
      </c>
      <c r="C4893">
        <v>1</v>
      </c>
      <c r="D4893">
        <v>3</v>
      </c>
      <c r="E4893">
        <v>2</v>
      </c>
      <c r="F4893" s="15">
        <v>46195</v>
      </c>
      <c r="G4893" t="s">
        <v>602</v>
      </c>
      <c r="H4893">
        <v>4</v>
      </c>
      <c r="I4893">
        <v>2026</v>
      </c>
      <c r="J4893">
        <v>6</v>
      </c>
      <c r="K4893" t="s">
        <v>282</v>
      </c>
      <c r="L4893" t="s">
        <v>591</v>
      </c>
      <c r="M4893" t="s">
        <v>6</v>
      </c>
      <c r="N4893" t="b">
        <v>0</v>
      </c>
      <c r="O4893">
        <v>0</v>
      </c>
      <c r="P4893">
        <v>1</v>
      </c>
      <c r="Q4893">
        <v>0</v>
      </c>
      <c r="R4893">
        <v>0</v>
      </c>
    </row>
    <row r="4894" spans="1:18" x14ac:dyDescent="0.25">
      <c r="A4894" t="s">
        <v>593</v>
      </c>
      <c r="B4894" t="s">
        <v>6</v>
      </c>
      <c r="C4894">
        <v>1</v>
      </c>
      <c r="D4894">
        <v>3</v>
      </c>
      <c r="E4894">
        <v>2</v>
      </c>
      <c r="F4894" s="15">
        <v>46195</v>
      </c>
      <c r="G4894" t="s">
        <v>602</v>
      </c>
      <c r="H4894">
        <v>4</v>
      </c>
      <c r="I4894">
        <v>2026</v>
      </c>
      <c r="J4894">
        <v>6</v>
      </c>
      <c r="K4894" t="s">
        <v>282</v>
      </c>
      <c r="L4894" t="s">
        <v>568</v>
      </c>
      <c r="M4894" t="s">
        <v>6</v>
      </c>
      <c r="N4894" t="b">
        <v>0</v>
      </c>
      <c r="O4894">
        <v>0</v>
      </c>
      <c r="P4894">
        <v>1</v>
      </c>
      <c r="Q4894">
        <v>0</v>
      </c>
      <c r="R4894">
        <v>0</v>
      </c>
    </row>
    <row r="4895" spans="1:18" x14ac:dyDescent="0.25">
      <c r="A4895" t="s">
        <v>363</v>
      </c>
      <c r="B4895" t="s">
        <v>8</v>
      </c>
      <c r="C4895">
        <v>2</v>
      </c>
      <c r="D4895">
        <v>3</v>
      </c>
      <c r="E4895">
        <v>2</v>
      </c>
      <c r="F4895" s="15">
        <v>46195</v>
      </c>
      <c r="G4895" t="s">
        <v>602</v>
      </c>
      <c r="H4895">
        <v>4</v>
      </c>
      <c r="I4895">
        <v>2026</v>
      </c>
      <c r="J4895">
        <v>6</v>
      </c>
      <c r="K4895" t="s">
        <v>282</v>
      </c>
      <c r="L4895" t="s">
        <v>593</v>
      </c>
      <c r="M4895" t="s">
        <v>6</v>
      </c>
      <c r="N4895" t="b">
        <v>0</v>
      </c>
      <c r="O4895">
        <v>1</v>
      </c>
      <c r="P4895">
        <v>0</v>
      </c>
      <c r="Q4895">
        <v>0</v>
      </c>
      <c r="R4895">
        <v>0</v>
      </c>
    </row>
    <row r="4896" spans="1:18" x14ac:dyDescent="0.25">
      <c r="A4896" t="s">
        <v>363</v>
      </c>
      <c r="B4896" t="s">
        <v>8</v>
      </c>
      <c r="C4896">
        <v>2</v>
      </c>
      <c r="D4896">
        <v>3</v>
      </c>
      <c r="E4896">
        <v>2</v>
      </c>
      <c r="F4896" s="15">
        <v>46195</v>
      </c>
      <c r="G4896" t="s">
        <v>602</v>
      </c>
      <c r="H4896">
        <v>4</v>
      </c>
      <c r="I4896">
        <v>2026</v>
      </c>
      <c r="J4896">
        <v>6</v>
      </c>
      <c r="K4896" t="s">
        <v>282</v>
      </c>
      <c r="L4896" t="s">
        <v>591</v>
      </c>
      <c r="M4896" t="s">
        <v>6</v>
      </c>
      <c r="N4896" t="b">
        <v>0</v>
      </c>
      <c r="O4896">
        <v>1</v>
      </c>
      <c r="P4896">
        <v>0</v>
      </c>
      <c r="Q4896">
        <v>0</v>
      </c>
      <c r="R4896">
        <v>0</v>
      </c>
    </row>
    <row r="4897" spans="1:18" x14ac:dyDescent="0.25">
      <c r="A4897" t="s">
        <v>363</v>
      </c>
      <c r="B4897" t="s">
        <v>8</v>
      </c>
      <c r="C4897">
        <v>2</v>
      </c>
      <c r="D4897">
        <v>3</v>
      </c>
      <c r="E4897">
        <v>2</v>
      </c>
      <c r="F4897" s="15">
        <v>46195</v>
      </c>
      <c r="G4897" t="s">
        <v>602</v>
      </c>
      <c r="H4897">
        <v>4</v>
      </c>
      <c r="I4897">
        <v>2026</v>
      </c>
      <c r="J4897">
        <v>6</v>
      </c>
      <c r="K4897" t="s">
        <v>282</v>
      </c>
      <c r="L4897" t="s">
        <v>568</v>
      </c>
      <c r="M4897" t="s">
        <v>6</v>
      </c>
      <c r="N4897" t="b">
        <v>0</v>
      </c>
      <c r="O4897">
        <v>1</v>
      </c>
      <c r="P4897">
        <v>0</v>
      </c>
      <c r="Q4897">
        <v>0</v>
      </c>
      <c r="R4897">
        <v>0</v>
      </c>
    </row>
    <row r="4898" spans="1:18" x14ac:dyDescent="0.25">
      <c r="A4898" t="s">
        <v>591</v>
      </c>
      <c r="B4898" t="s">
        <v>6</v>
      </c>
      <c r="C4898">
        <v>3</v>
      </c>
      <c r="D4898">
        <v>3</v>
      </c>
      <c r="E4898">
        <v>2</v>
      </c>
      <c r="F4898" s="15">
        <v>46195</v>
      </c>
      <c r="G4898" t="s">
        <v>602</v>
      </c>
      <c r="H4898">
        <v>4</v>
      </c>
      <c r="I4898">
        <v>2026</v>
      </c>
      <c r="J4898">
        <v>6</v>
      </c>
      <c r="K4898" t="s">
        <v>282</v>
      </c>
      <c r="L4898" t="s">
        <v>593</v>
      </c>
      <c r="M4898" t="s">
        <v>6</v>
      </c>
      <c r="N4898" t="b">
        <v>0</v>
      </c>
      <c r="O4898">
        <v>0</v>
      </c>
      <c r="P4898">
        <v>1</v>
      </c>
      <c r="Q4898">
        <v>0</v>
      </c>
      <c r="R4898">
        <v>0</v>
      </c>
    </row>
    <row r="4899" spans="1:18" x14ac:dyDescent="0.25">
      <c r="A4899" t="s">
        <v>591</v>
      </c>
      <c r="B4899" t="s">
        <v>6</v>
      </c>
      <c r="C4899">
        <v>3</v>
      </c>
      <c r="D4899">
        <v>3</v>
      </c>
      <c r="E4899">
        <v>2</v>
      </c>
      <c r="F4899" s="15">
        <v>46195</v>
      </c>
      <c r="G4899" t="s">
        <v>602</v>
      </c>
      <c r="H4899">
        <v>4</v>
      </c>
      <c r="I4899">
        <v>2026</v>
      </c>
      <c r="J4899">
        <v>6</v>
      </c>
      <c r="K4899" t="s">
        <v>282</v>
      </c>
      <c r="L4899" t="s">
        <v>363</v>
      </c>
      <c r="M4899" t="s">
        <v>8</v>
      </c>
      <c r="N4899" t="b">
        <v>0</v>
      </c>
      <c r="O4899">
        <v>0</v>
      </c>
      <c r="P4899">
        <v>1</v>
      </c>
      <c r="Q4899">
        <v>0</v>
      </c>
      <c r="R4899">
        <v>1</v>
      </c>
    </row>
    <row r="4900" spans="1:18" x14ac:dyDescent="0.25">
      <c r="A4900" t="s">
        <v>591</v>
      </c>
      <c r="B4900" t="s">
        <v>6</v>
      </c>
      <c r="C4900">
        <v>3</v>
      </c>
      <c r="D4900">
        <v>3</v>
      </c>
      <c r="E4900">
        <v>2</v>
      </c>
      <c r="F4900" s="15">
        <v>46195</v>
      </c>
      <c r="G4900" t="s">
        <v>602</v>
      </c>
      <c r="H4900">
        <v>4</v>
      </c>
      <c r="I4900">
        <v>2026</v>
      </c>
      <c r="J4900">
        <v>6</v>
      </c>
      <c r="K4900" t="s">
        <v>282</v>
      </c>
      <c r="L4900" t="s">
        <v>568</v>
      </c>
      <c r="M4900" t="s">
        <v>6</v>
      </c>
      <c r="N4900" t="b">
        <v>0</v>
      </c>
      <c r="O4900">
        <v>0</v>
      </c>
      <c r="P4900">
        <v>1</v>
      </c>
      <c r="Q4900">
        <v>0</v>
      </c>
      <c r="R4900">
        <v>0</v>
      </c>
    </row>
    <row r="4901" spans="1:18" x14ac:dyDescent="0.25">
      <c r="A4901" t="s">
        <v>568</v>
      </c>
      <c r="B4901" t="s">
        <v>6</v>
      </c>
      <c r="C4901">
        <v>4</v>
      </c>
      <c r="D4901">
        <v>3</v>
      </c>
      <c r="E4901">
        <v>2</v>
      </c>
      <c r="F4901" s="15">
        <v>46195</v>
      </c>
      <c r="G4901" t="s">
        <v>602</v>
      </c>
      <c r="H4901">
        <v>4</v>
      </c>
      <c r="I4901">
        <v>2026</v>
      </c>
      <c r="J4901">
        <v>6</v>
      </c>
      <c r="K4901" t="s">
        <v>282</v>
      </c>
      <c r="L4901" t="s">
        <v>593</v>
      </c>
      <c r="M4901" t="s">
        <v>6</v>
      </c>
      <c r="N4901" t="b">
        <v>0</v>
      </c>
      <c r="O4901">
        <v>0</v>
      </c>
      <c r="P4901">
        <v>1</v>
      </c>
      <c r="Q4901">
        <v>0</v>
      </c>
      <c r="R4901">
        <v>0</v>
      </c>
    </row>
    <row r="4902" spans="1:18" x14ac:dyDescent="0.25">
      <c r="A4902" t="s">
        <v>568</v>
      </c>
      <c r="B4902" t="s">
        <v>6</v>
      </c>
      <c r="C4902">
        <v>4</v>
      </c>
      <c r="D4902">
        <v>3</v>
      </c>
      <c r="E4902">
        <v>2</v>
      </c>
      <c r="F4902" s="15">
        <v>46195</v>
      </c>
      <c r="G4902" t="s">
        <v>602</v>
      </c>
      <c r="H4902">
        <v>4</v>
      </c>
      <c r="I4902">
        <v>2026</v>
      </c>
      <c r="J4902">
        <v>6</v>
      </c>
      <c r="K4902" t="s">
        <v>282</v>
      </c>
      <c r="L4902" t="s">
        <v>363</v>
      </c>
      <c r="M4902" t="s">
        <v>8</v>
      </c>
      <c r="N4902" t="b">
        <v>0</v>
      </c>
      <c r="O4902">
        <v>0</v>
      </c>
      <c r="P4902">
        <v>1</v>
      </c>
      <c r="Q4902">
        <v>0</v>
      </c>
      <c r="R4902">
        <v>1</v>
      </c>
    </row>
    <row r="4903" spans="1:18" x14ac:dyDescent="0.25">
      <c r="A4903" t="s">
        <v>568</v>
      </c>
      <c r="B4903" t="s">
        <v>6</v>
      </c>
      <c r="C4903">
        <v>4</v>
      </c>
      <c r="D4903">
        <v>3</v>
      </c>
      <c r="E4903">
        <v>2</v>
      </c>
      <c r="F4903" s="15">
        <v>46195</v>
      </c>
      <c r="G4903" t="s">
        <v>602</v>
      </c>
      <c r="H4903">
        <v>4</v>
      </c>
      <c r="I4903">
        <v>2026</v>
      </c>
      <c r="J4903">
        <v>6</v>
      </c>
      <c r="K4903" t="s">
        <v>282</v>
      </c>
      <c r="L4903" t="s">
        <v>591</v>
      </c>
      <c r="M4903" t="s">
        <v>6</v>
      </c>
      <c r="N4903" t="b">
        <v>0</v>
      </c>
      <c r="O4903">
        <v>0</v>
      </c>
      <c r="P4903">
        <v>1</v>
      </c>
      <c r="Q4903">
        <v>0</v>
      </c>
      <c r="R4903">
        <v>0</v>
      </c>
    </row>
    <row r="4904" spans="1:18" x14ac:dyDescent="0.25">
      <c r="A4904" t="s">
        <v>352</v>
      </c>
      <c r="B4904" t="s">
        <v>8</v>
      </c>
      <c r="C4904">
        <v>1</v>
      </c>
      <c r="D4904">
        <v>4</v>
      </c>
      <c r="E4904">
        <v>2</v>
      </c>
      <c r="F4904" s="15">
        <v>46195</v>
      </c>
      <c r="G4904" t="s">
        <v>603</v>
      </c>
      <c r="H4904">
        <v>4</v>
      </c>
      <c r="I4904">
        <v>2026</v>
      </c>
      <c r="J4904">
        <v>6</v>
      </c>
      <c r="K4904" t="s">
        <v>282</v>
      </c>
      <c r="L4904" t="s">
        <v>14</v>
      </c>
      <c r="M4904" t="s">
        <v>6</v>
      </c>
      <c r="N4904" t="b">
        <v>0</v>
      </c>
      <c r="O4904">
        <v>1</v>
      </c>
      <c r="P4904">
        <v>0</v>
      </c>
      <c r="Q4904">
        <v>0</v>
      </c>
      <c r="R4904">
        <v>0</v>
      </c>
    </row>
    <row r="4905" spans="1:18" x14ac:dyDescent="0.25">
      <c r="A4905" t="s">
        <v>352</v>
      </c>
      <c r="B4905" t="s">
        <v>8</v>
      </c>
      <c r="C4905">
        <v>1</v>
      </c>
      <c r="D4905">
        <v>4</v>
      </c>
      <c r="E4905">
        <v>2</v>
      </c>
      <c r="F4905" s="15">
        <v>46195</v>
      </c>
      <c r="G4905" t="s">
        <v>603</v>
      </c>
      <c r="H4905">
        <v>4</v>
      </c>
      <c r="I4905">
        <v>2026</v>
      </c>
      <c r="J4905">
        <v>6</v>
      </c>
      <c r="K4905" t="s">
        <v>282</v>
      </c>
      <c r="L4905" t="s">
        <v>41</v>
      </c>
      <c r="M4905" t="s">
        <v>6</v>
      </c>
      <c r="N4905" t="b">
        <v>0</v>
      </c>
      <c r="O4905">
        <v>1</v>
      </c>
      <c r="P4905">
        <v>0</v>
      </c>
      <c r="Q4905">
        <v>0</v>
      </c>
      <c r="R4905">
        <v>0</v>
      </c>
    </row>
    <row r="4906" spans="1:18" x14ac:dyDescent="0.25">
      <c r="A4906" t="s">
        <v>352</v>
      </c>
      <c r="B4906" t="s">
        <v>8</v>
      </c>
      <c r="C4906">
        <v>1</v>
      </c>
      <c r="D4906">
        <v>4</v>
      </c>
      <c r="E4906">
        <v>2</v>
      </c>
      <c r="F4906" s="15">
        <v>46195</v>
      </c>
      <c r="G4906" t="s">
        <v>603</v>
      </c>
      <c r="H4906">
        <v>4</v>
      </c>
      <c r="I4906">
        <v>2026</v>
      </c>
      <c r="J4906">
        <v>6</v>
      </c>
      <c r="K4906" t="s">
        <v>282</v>
      </c>
      <c r="L4906" t="s">
        <v>326</v>
      </c>
      <c r="M4906" t="s">
        <v>6</v>
      </c>
      <c r="N4906" t="b">
        <v>0</v>
      </c>
      <c r="O4906">
        <v>1</v>
      </c>
      <c r="P4906">
        <v>0</v>
      </c>
      <c r="Q4906">
        <v>0</v>
      </c>
      <c r="R4906">
        <v>0</v>
      </c>
    </row>
    <row r="4907" spans="1:18" x14ac:dyDescent="0.25">
      <c r="A4907" t="s">
        <v>14</v>
      </c>
      <c r="B4907" t="s">
        <v>6</v>
      </c>
      <c r="C4907">
        <v>2</v>
      </c>
      <c r="D4907">
        <v>4</v>
      </c>
      <c r="E4907">
        <v>2</v>
      </c>
      <c r="F4907" s="15">
        <v>46195</v>
      </c>
      <c r="G4907" t="s">
        <v>603</v>
      </c>
      <c r="H4907">
        <v>4</v>
      </c>
      <c r="I4907">
        <v>2026</v>
      </c>
      <c r="J4907">
        <v>6</v>
      </c>
      <c r="K4907" t="s">
        <v>282</v>
      </c>
      <c r="L4907" t="s">
        <v>352</v>
      </c>
      <c r="M4907" t="s">
        <v>8</v>
      </c>
      <c r="N4907" t="b">
        <v>0</v>
      </c>
      <c r="O4907">
        <v>0</v>
      </c>
      <c r="P4907">
        <v>1</v>
      </c>
      <c r="Q4907">
        <v>0</v>
      </c>
      <c r="R4907">
        <v>1</v>
      </c>
    </row>
    <row r="4908" spans="1:18" x14ac:dyDescent="0.25">
      <c r="A4908" t="s">
        <v>14</v>
      </c>
      <c r="B4908" t="s">
        <v>6</v>
      </c>
      <c r="C4908">
        <v>2</v>
      </c>
      <c r="D4908">
        <v>4</v>
      </c>
      <c r="E4908">
        <v>2</v>
      </c>
      <c r="F4908" s="15">
        <v>46195</v>
      </c>
      <c r="G4908" t="s">
        <v>603</v>
      </c>
      <c r="H4908">
        <v>4</v>
      </c>
      <c r="I4908">
        <v>2026</v>
      </c>
      <c r="J4908">
        <v>6</v>
      </c>
      <c r="K4908" t="s">
        <v>282</v>
      </c>
      <c r="L4908" t="s">
        <v>41</v>
      </c>
      <c r="M4908" t="s">
        <v>6</v>
      </c>
      <c r="N4908" t="b">
        <v>0</v>
      </c>
      <c r="O4908">
        <v>0</v>
      </c>
      <c r="P4908">
        <v>1</v>
      </c>
      <c r="Q4908">
        <v>0</v>
      </c>
      <c r="R4908">
        <v>0</v>
      </c>
    </row>
    <row r="4909" spans="1:18" x14ac:dyDescent="0.25">
      <c r="A4909" t="s">
        <v>14</v>
      </c>
      <c r="B4909" t="s">
        <v>6</v>
      </c>
      <c r="C4909">
        <v>2</v>
      </c>
      <c r="D4909">
        <v>4</v>
      </c>
      <c r="E4909">
        <v>2</v>
      </c>
      <c r="F4909" s="15">
        <v>46195</v>
      </c>
      <c r="G4909" t="s">
        <v>603</v>
      </c>
      <c r="H4909">
        <v>4</v>
      </c>
      <c r="I4909">
        <v>2026</v>
      </c>
      <c r="J4909">
        <v>6</v>
      </c>
      <c r="K4909" t="s">
        <v>282</v>
      </c>
      <c r="L4909" t="s">
        <v>326</v>
      </c>
      <c r="M4909" t="s">
        <v>6</v>
      </c>
      <c r="N4909" t="b">
        <v>0</v>
      </c>
      <c r="O4909">
        <v>0</v>
      </c>
      <c r="P4909">
        <v>1</v>
      </c>
      <c r="Q4909">
        <v>0</v>
      </c>
      <c r="R4909">
        <v>0</v>
      </c>
    </row>
    <row r="4910" spans="1:18" x14ac:dyDescent="0.25">
      <c r="A4910" t="s">
        <v>41</v>
      </c>
      <c r="B4910" t="s">
        <v>6</v>
      </c>
      <c r="C4910">
        <v>3</v>
      </c>
      <c r="D4910">
        <v>4</v>
      </c>
      <c r="E4910">
        <v>2</v>
      </c>
      <c r="F4910" s="15">
        <v>46195</v>
      </c>
      <c r="G4910" t="s">
        <v>603</v>
      </c>
      <c r="H4910">
        <v>4</v>
      </c>
      <c r="I4910">
        <v>2026</v>
      </c>
      <c r="J4910">
        <v>6</v>
      </c>
      <c r="K4910" t="s">
        <v>282</v>
      </c>
      <c r="L4910" t="s">
        <v>352</v>
      </c>
      <c r="M4910" t="s">
        <v>8</v>
      </c>
      <c r="N4910" t="b">
        <v>0</v>
      </c>
      <c r="O4910">
        <v>0</v>
      </c>
      <c r="P4910">
        <v>1</v>
      </c>
      <c r="Q4910">
        <v>0</v>
      </c>
      <c r="R4910">
        <v>1</v>
      </c>
    </row>
    <row r="4911" spans="1:18" x14ac:dyDescent="0.25">
      <c r="A4911" t="s">
        <v>41</v>
      </c>
      <c r="B4911" t="s">
        <v>6</v>
      </c>
      <c r="C4911">
        <v>3</v>
      </c>
      <c r="D4911">
        <v>4</v>
      </c>
      <c r="E4911">
        <v>2</v>
      </c>
      <c r="F4911" s="15">
        <v>46195</v>
      </c>
      <c r="G4911" t="s">
        <v>603</v>
      </c>
      <c r="H4911">
        <v>4</v>
      </c>
      <c r="I4911">
        <v>2026</v>
      </c>
      <c r="J4911">
        <v>6</v>
      </c>
      <c r="K4911" t="s">
        <v>282</v>
      </c>
      <c r="L4911" t="s">
        <v>14</v>
      </c>
      <c r="M4911" t="s">
        <v>6</v>
      </c>
      <c r="N4911" t="b">
        <v>0</v>
      </c>
      <c r="O4911">
        <v>0</v>
      </c>
      <c r="P4911">
        <v>1</v>
      </c>
      <c r="Q4911">
        <v>0</v>
      </c>
      <c r="R4911">
        <v>0</v>
      </c>
    </row>
    <row r="4912" spans="1:18" x14ac:dyDescent="0.25">
      <c r="A4912" t="s">
        <v>41</v>
      </c>
      <c r="B4912" t="s">
        <v>6</v>
      </c>
      <c r="C4912">
        <v>3</v>
      </c>
      <c r="D4912">
        <v>4</v>
      </c>
      <c r="E4912">
        <v>2</v>
      </c>
      <c r="F4912" s="15">
        <v>46195</v>
      </c>
      <c r="G4912" t="s">
        <v>603</v>
      </c>
      <c r="H4912">
        <v>4</v>
      </c>
      <c r="I4912">
        <v>2026</v>
      </c>
      <c r="J4912">
        <v>6</v>
      </c>
      <c r="K4912" t="s">
        <v>282</v>
      </c>
      <c r="L4912" t="s">
        <v>326</v>
      </c>
      <c r="M4912" t="s">
        <v>6</v>
      </c>
      <c r="N4912" t="b">
        <v>0</v>
      </c>
      <c r="O4912">
        <v>0</v>
      </c>
      <c r="P4912">
        <v>1</v>
      </c>
      <c r="Q4912">
        <v>0</v>
      </c>
      <c r="R4912">
        <v>0</v>
      </c>
    </row>
    <row r="4913" spans="1:18" x14ac:dyDescent="0.25">
      <c r="A4913" t="s">
        <v>326</v>
      </c>
      <c r="B4913" t="s">
        <v>6</v>
      </c>
      <c r="C4913">
        <v>4</v>
      </c>
      <c r="D4913">
        <v>4</v>
      </c>
      <c r="E4913">
        <v>2</v>
      </c>
      <c r="F4913" s="15">
        <v>46195</v>
      </c>
      <c r="G4913" t="s">
        <v>603</v>
      </c>
      <c r="H4913">
        <v>4</v>
      </c>
      <c r="I4913">
        <v>2026</v>
      </c>
      <c r="J4913">
        <v>6</v>
      </c>
      <c r="K4913" t="s">
        <v>282</v>
      </c>
      <c r="L4913" t="s">
        <v>352</v>
      </c>
      <c r="M4913" t="s">
        <v>8</v>
      </c>
      <c r="N4913" t="b">
        <v>0</v>
      </c>
      <c r="O4913">
        <v>0</v>
      </c>
      <c r="P4913">
        <v>1</v>
      </c>
      <c r="Q4913">
        <v>0</v>
      </c>
      <c r="R4913">
        <v>1</v>
      </c>
    </row>
    <row r="4914" spans="1:18" x14ac:dyDescent="0.25">
      <c r="A4914" t="s">
        <v>326</v>
      </c>
      <c r="B4914" t="s">
        <v>6</v>
      </c>
      <c r="C4914">
        <v>4</v>
      </c>
      <c r="D4914">
        <v>4</v>
      </c>
      <c r="E4914">
        <v>2</v>
      </c>
      <c r="F4914" s="15">
        <v>46195</v>
      </c>
      <c r="G4914" t="s">
        <v>603</v>
      </c>
      <c r="H4914">
        <v>4</v>
      </c>
      <c r="I4914">
        <v>2026</v>
      </c>
      <c r="J4914">
        <v>6</v>
      </c>
      <c r="K4914" t="s">
        <v>282</v>
      </c>
      <c r="L4914" t="s">
        <v>14</v>
      </c>
      <c r="M4914" t="s">
        <v>6</v>
      </c>
      <c r="N4914" t="b">
        <v>0</v>
      </c>
      <c r="O4914">
        <v>0</v>
      </c>
      <c r="P4914">
        <v>1</v>
      </c>
      <c r="Q4914">
        <v>0</v>
      </c>
      <c r="R4914">
        <v>0</v>
      </c>
    </row>
    <row r="4915" spans="1:18" x14ac:dyDescent="0.25">
      <c r="A4915" t="s">
        <v>326</v>
      </c>
      <c r="B4915" t="s">
        <v>6</v>
      </c>
      <c r="C4915">
        <v>4</v>
      </c>
      <c r="D4915">
        <v>4</v>
      </c>
      <c r="E4915">
        <v>2</v>
      </c>
      <c r="F4915" s="15">
        <v>46195</v>
      </c>
      <c r="G4915" t="s">
        <v>603</v>
      </c>
      <c r="H4915">
        <v>4</v>
      </c>
      <c r="I4915">
        <v>2026</v>
      </c>
      <c r="J4915">
        <v>6</v>
      </c>
      <c r="K4915" t="s">
        <v>282</v>
      </c>
      <c r="L4915" t="s">
        <v>41</v>
      </c>
      <c r="M4915" t="s">
        <v>6</v>
      </c>
      <c r="N4915" t="b">
        <v>0</v>
      </c>
      <c r="O4915">
        <v>0</v>
      </c>
      <c r="P4915">
        <v>1</v>
      </c>
      <c r="Q4915">
        <v>0</v>
      </c>
      <c r="R4915">
        <v>0</v>
      </c>
    </row>
    <row r="4916" spans="1:18" x14ac:dyDescent="0.25">
      <c r="A4916" t="s">
        <v>519</v>
      </c>
      <c r="B4916" t="s">
        <v>6</v>
      </c>
      <c r="C4916">
        <v>1</v>
      </c>
      <c r="D4916">
        <v>5</v>
      </c>
      <c r="E4916">
        <v>2</v>
      </c>
      <c r="F4916" s="15">
        <v>46195</v>
      </c>
      <c r="G4916" t="s">
        <v>604</v>
      </c>
      <c r="H4916">
        <v>4</v>
      </c>
      <c r="I4916">
        <v>2026</v>
      </c>
      <c r="J4916">
        <v>6</v>
      </c>
      <c r="K4916" t="s">
        <v>282</v>
      </c>
      <c r="L4916" t="s">
        <v>10</v>
      </c>
      <c r="M4916" t="s">
        <v>6</v>
      </c>
      <c r="N4916" t="b">
        <v>0</v>
      </c>
      <c r="O4916">
        <v>0</v>
      </c>
      <c r="P4916">
        <v>1</v>
      </c>
      <c r="Q4916">
        <v>0</v>
      </c>
      <c r="R4916">
        <v>0</v>
      </c>
    </row>
    <row r="4917" spans="1:18" x14ac:dyDescent="0.25">
      <c r="A4917" t="s">
        <v>519</v>
      </c>
      <c r="B4917" t="s">
        <v>6</v>
      </c>
      <c r="C4917">
        <v>1</v>
      </c>
      <c r="D4917">
        <v>5</v>
      </c>
      <c r="E4917">
        <v>2</v>
      </c>
      <c r="F4917" s="15">
        <v>46195</v>
      </c>
      <c r="G4917" t="s">
        <v>604</v>
      </c>
      <c r="H4917">
        <v>4</v>
      </c>
      <c r="I4917">
        <v>2026</v>
      </c>
      <c r="J4917">
        <v>6</v>
      </c>
      <c r="K4917" t="s">
        <v>282</v>
      </c>
      <c r="L4917" t="s">
        <v>579</v>
      </c>
      <c r="M4917" t="s">
        <v>8</v>
      </c>
      <c r="N4917" t="b">
        <v>0</v>
      </c>
      <c r="O4917">
        <v>0</v>
      </c>
      <c r="P4917">
        <v>1</v>
      </c>
      <c r="Q4917">
        <v>0</v>
      </c>
      <c r="R4917">
        <v>1</v>
      </c>
    </row>
    <row r="4918" spans="1:18" x14ac:dyDescent="0.25">
      <c r="A4918" t="s">
        <v>519</v>
      </c>
      <c r="B4918" t="s">
        <v>6</v>
      </c>
      <c r="C4918">
        <v>1</v>
      </c>
      <c r="D4918">
        <v>5</v>
      </c>
      <c r="E4918">
        <v>2</v>
      </c>
      <c r="F4918" s="15">
        <v>46195</v>
      </c>
      <c r="G4918" t="s">
        <v>604</v>
      </c>
      <c r="H4918">
        <v>4</v>
      </c>
      <c r="I4918">
        <v>2026</v>
      </c>
      <c r="J4918">
        <v>6</v>
      </c>
      <c r="K4918" t="s">
        <v>282</v>
      </c>
      <c r="L4918" t="s">
        <v>7</v>
      </c>
      <c r="M4918" t="s">
        <v>6</v>
      </c>
      <c r="N4918" t="b">
        <v>0</v>
      </c>
      <c r="O4918">
        <v>0</v>
      </c>
      <c r="P4918">
        <v>1</v>
      </c>
      <c r="Q4918">
        <v>0</v>
      </c>
      <c r="R4918">
        <v>0</v>
      </c>
    </row>
    <row r="4919" spans="1:18" x14ac:dyDescent="0.25">
      <c r="A4919" t="s">
        <v>10</v>
      </c>
      <c r="B4919" t="s">
        <v>6</v>
      </c>
      <c r="C4919">
        <v>2</v>
      </c>
      <c r="D4919">
        <v>5</v>
      </c>
      <c r="E4919">
        <v>2</v>
      </c>
      <c r="F4919" s="15">
        <v>46195</v>
      </c>
      <c r="G4919" t="s">
        <v>604</v>
      </c>
      <c r="H4919">
        <v>4</v>
      </c>
      <c r="I4919">
        <v>2026</v>
      </c>
      <c r="J4919">
        <v>6</v>
      </c>
      <c r="K4919" t="s">
        <v>282</v>
      </c>
      <c r="L4919" t="s">
        <v>519</v>
      </c>
      <c r="M4919" t="s">
        <v>6</v>
      </c>
      <c r="N4919" t="b">
        <v>0</v>
      </c>
      <c r="O4919">
        <v>0</v>
      </c>
      <c r="P4919">
        <v>1</v>
      </c>
      <c r="Q4919">
        <v>0</v>
      </c>
      <c r="R4919">
        <v>0</v>
      </c>
    </row>
    <row r="4920" spans="1:18" x14ac:dyDescent="0.25">
      <c r="A4920" t="s">
        <v>10</v>
      </c>
      <c r="B4920" t="s">
        <v>6</v>
      </c>
      <c r="C4920">
        <v>2</v>
      </c>
      <c r="D4920">
        <v>5</v>
      </c>
      <c r="E4920">
        <v>2</v>
      </c>
      <c r="F4920" s="15">
        <v>46195</v>
      </c>
      <c r="G4920" t="s">
        <v>604</v>
      </c>
      <c r="H4920">
        <v>4</v>
      </c>
      <c r="I4920">
        <v>2026</v>
      </c>
      <c r="J4920">
        <v>6</v>
      </c>
      <c r="K4920" t="s">
        <v>282</v>
      </c>
      <c r="L4920" t="s">
        <v>579</v>
      </c>
      <c r="M4920" t="s">
        <v>8</v>
      </c>
      <c r="N4920" t="b">
        <v>0</v>
      </c>
      <c r="O4920">
        <v>0</v>
      </c>
      <c r="P4920">
        <v>1</v>
      </c>
      <c r="Q4920">
        <v>0</v>
      </c>
      <c r="R4920">
        <v>1</v>
      </c>
    </row>
    <row r="4921" spans="1:18" x14ac:dyDescent="0.25">
      <c r="A4921" t="s">
        <v>10</v>
      </c>
      <c r="B4921" t="s">
        <v>6</v>
      </c>
      <c r="C4921">
        <v>2</v>
      </c>
      <c r="D4921">
        <v>5</v>
      </c>
      <c r="E4921">
        <v>2</v>
      </c>
      <c r="F4921" s="15">
        <v>46195</v>
      </c>
      <c r="G4921" t="s">
        <v>604</v>
      </c>
      <c r="H4921">
        <v>4</v>
      </c>
      <c r="I4921">
        <v>2026</v>
      </c>
      <c r="J4921">
        <v>6</v>
      </c>
      <c r="K4921" t="s">
        <v>282</v>
      </c>
      <c r="L4921" t="s">
        <v>7</v>
      </c>
      <c r="M4921" t="s">
        <v>6</v>
      </c>
      <c r="N4921" t="b">
        <v>0</v>
      </c>
      <c r="O4921">
        <v>0</v>
      </c>
      <c r="P4921">
        <v>1</v>
      </c>
      <c r="Q4921">
        <v>0</v>
      </c>
      <c r="R4921">
        <v>0</v>
      </c>
    </row>
    <row r="4922" spans="1:18" x14ac:dyDescent="0.25">
      <c r="A4922" t="s">
        <v>579</v>
      </c>
      <c r="B4922" t="s">
        <v>8</v>
      </c>
      <c r="C4922">
        <v>3</v>
      </c>
      <c r="D4922">
        <v>5</v>
      </c>
      <c r="E4922">
        <v>2</v>
      </c>
      <c r="F4922" s="15">
        <v>46195</v>
      </c>
      <c r="G4922" t="s">
        <v>604</v>
      </c>
      <c r="H4922">
        <v>4</v>
      </c>
      <c r="I4922">
        <v>2026</v>
      </c>
      <c r="J4922">
        <v>6</v>
      </c>
      <c r="K4922" t="s">
        <v>282</v>
      </c>
      <c r="L4922" t="s">
        <v>519</v>
      </c>
      <c r="M4922" t="s">
        <v>6</v>
      </c>
      <c r="N4922" t="b">
        <v>0</v>
      </c>
      <c r="O4922">
        <v>1</v>
      </c>
      <c r="P4922">
        <v>0</v>
      </c>
      <c r="Q4922">
        <v>0</v>
      </c>
      <c r="R4922">
        <v>0</v>
      </c>
    </row>
    <row r="4923" spans="1:18" x14ac:dyDescent="0.25">
      <c r="A4923" t="s">
        <v>579</v>
      </c>
      <c r="B4923" t="s">
        <v>8</v>
      </c>
      <c r="C4923">
        <v>3</v>
      </c>
      <c r="D4923">
        <v>5</v>
      </c>
      <c r="E4923">
        <v>2</v>
      </c>
      <c r="F4923" s="15">
        <v>46195</v>
      </c>
      <c r="G4923" t="s">
        <v>604</v>
      </c>
      <c r="H4923">
        <v>4</v>
      </c>
      <c r="I4923">
        <v>2026</v>
      </c>
      <c r="J4923">
        <v>6</v>
      </c>
      <c r="K4923" t="s">
        <v>282</v>
      </c>
      <c r="L4923" t="s">
        <v>10</v>
      </c>
      <c r="M4923" t="s">
        <v>6</v>
      </c>
      <c r="N4923" t="b">
        <v>0</v>
      </c>
      <c r="O4923">
        <v>1</v>
      </c>
      <c r="P4923">
        <v>0</v>
      </c>
      <c r="Q4923">
        <v>0</v>
      </c>
      <c r="R4923">
        <v>0</v>
      </c>
    </row>
    <row r="4924" spans="1:18" x14ac:dyDescent="0.25">
      <c r="A4924" t="s">
        <v>579</v>
      </c>
      <c r="B4924" t="s">
        <v>8</v>
      </c>
      <c r="C4924">
        <v>3</v>
      </c>
      <c r="D4924">
        <v>5</v>
      </c>
      <c r="E4924">
        <v>2</v>
      </c>
      <c r="F4924" s="15">
        <v>46195</v>
      </c>
      <c r="G4924" t="s">
        <v>604</v>
      </c>
      <c r="H4924">
        <v>4</v>
      </c>
      <c r="I4924">
        <v>2026</v>
      </c>
      <c r="J4924">
        <v>6</v>
      </c>
      <c r="K4924" t="s">
        <v>282</v>
      </c>
      <c r="L4924" t="s">
        <v>7</v>
      </c>
      <c r="M4924" t="s">
        <v>6</v>
      </c>
      <c r="N4924" t="b">
        <v>0</v>
      </c>
      <c r="O4924">
        <v>1</v>
      </c>
      <c r="P4924">
        <v>0</v>
      </c>
      <c r="Q4924">
        <v>0</v>
      </c>
      <c r="R4924">
        <v>0</v>
      </c>
    </row>
    <row r="4925" spans="1:18" x14ac:dyDescent="0.25">
      <c r="A4925" t="s">
        <v>7</v>
      </c>
      <c r="B4925" t="s">
        <v>6</v>
      </c>
      <c r="C4925">
        <v>4</v>
      </c>
      <c r="D4925">
        <v>5</v>
      </c>
      <c r="E4925">
        <v>2</v>
      </c>
      <c r="F4925" s="15">
        <v>46195</v>
      </c>
      <c r="G4925" t="s">
        <v>604</v>
      </c>
      <c r="H4925">
        <v>4</v>
      </c>
      <c r="I4925">
        <v>2026</v>
      </c>
      <c r="J4925">
        <v>6</v>
      </c>
      <c r="K4925" t="s">
        <v>282</v>
      </c>
      <c r="L4925" t="s">
        <v>519</v>
      </c>
      <c r="M4925" t="s">
        <v>6</v>
      </c>
      <c r="N4925" t="b">
        <v>0</v>
      </c>
      <c r="O4925">
        <v>0</v>
      </c>
      <c r="P4925">
        <v>1</v>
      </c>
      <c r="Q4925">
        <v>0</v>
      </c>
      <c r="R4925">
        <v>0</v>
      </c>
    </row>
    <row r="4926" spans="1:18" x14ac:dyDescent="0.25">
      <c r="A4926" t="s">
        <v>7</v>
      </c>
      <c r="B4926" t="s">
        <v>6</v>
      </c>
      <c r="C4926">
        <v>4</v>
      </c>
      <c r="D4926">
        <v>5</v>
      </c>
      <c r="E4926">
        <v>2</v>
      </c>
      <c r="F4926" s="15">
        <v>46195</v>
      </c>
      <c r="G4926" t="s">
        <v>604</v>
      </c>
      <c r="H4926">
        <v>4</v>
      </c>
      <c r="I4926">
        <v>2026</v>
      </c>
      <c r="J4926">
        <v>6</v>
      </c>
      <c r="K4926" t="s">
        <v>282</v>
      </c>
      <c r="L4926" t="s">
        <v>10</v>
      </c>
      <c r="M4926" t="s">
        <v>6</v>
      </c>
      <c r="N4926" t="b">
        <v>0</v>
      </c>
      <c r="O4926">
        <v>0</v>
      </c>
      <c r="P4926">
        <v>1</v>
      </c>
      <c r="Q4926">
        <v>0</v>
      </c>
      <c r="R4926">
        <v>0</v>
      </c>
    </row>
    <row r="4927" spans="1:18" x14ac:dyDescent="0.25">
      <c r="A4927" t="s">
        <v>7</v>
      </c>
      <c r="B4927" t="s">
        <v>6</v>
      </c>
      <c r="C4927">
        <v>4</v>
      </c>
      <c r="D4927">
        <v>5</v>
      </c>
      <c r="E4927">
        <v>2</v>
      </c>
      <c r="F4927" s="15">
        <v>46195</v>
      </c>
      <c r="G4927" t="s">
        <v>604</v>
      </c>
      <c r="H4927">
        <v>4</v>
      </c>
      <c r="I4927">
        <v>2026</v>
      </c>
      <c r="J4927">
        <v>6</v>
      </c>
      <c r="K4927" t="s">
        <v>282</v>
      </c>
      <c r="L4927" t="s">
        <v>579</v>
      </c>
      <c r="M4927" t="s">
        <v>8</v>
      </c>
      <c r="N4927" t="b">
        <v>0</v>
      </c>
      <c r="O4927">
        <v>0</v>
      </c>
      <c r="P4927">
        <v>1</v>
      </c>
      <c r="Q4927">
        <v>0</v>
      </c>
      <c r="R4927">
        <v>1</v>
      </c>
    </row>
    <row r="4928" spans="1:18" x14ac:dyDescent="0.25">
      <c r="A4928" t="s">
        <v>28</v>
      </c>
      <c r="B4928" t="s">
        <v>6</v>
      </c>
      <c r="C4928">
        <v>1</v>
      </c>
      <c r="D4928">
        <v>6</v>
      </c>
      <c r="E4928">
        <v>2</v>
      </c>
      <c r="F4928" s="15">
        <v>46195</v>
      </c>
      <c r="G4928" t="s">
        <v>605</v>
      </c>
      <c r="H4928">
        <v>4</v>
      </c>
      <c r="I4928">
        <v>2026</v>
      </c>
      <c r="J4928">
        <v>6</v>
      </c>
      <c r="K4928" t="s">
        <v>282</v>
      </c>
      <c r="L4928" t="s">
        <v>17</v>
      </c>
      <c r="M4928" t="s">
        <v>6</v>
      </c>
      <c r="N4928" t="b">
        <v>0</v>
      </c>
      <c r="O4928">
        <v>0</v>
      </c>
      <c r="P4928">
        <v>1</v>
      </c>
      <c r="Q4928">
        <v>0</v>
      </c>
      <c r="R4928">
        <v>0</v>
      </c>
    </row>
    <row r="4929" spans="1:18" x14ac:dyDescent="0.25">
      <c r="A4929" t="s">
        <v>28</v>
      </c>
      <c r="B4929" t="s">
        <v>6</v>
      </c>
      <c r="C4929">
        <v>1</v>
      </c>
      <c r="D4929">
        <v>6</v>
      </c>
      <c r="E4929">
        <v>2</v>
      </c>
      <c r="F4929" s="15">
        <v>46195</v>
      </c>
      <c r="G4929" t="s">
        <v>605</v>
      </c>
      <c r="H4929">
        <v>4</v>
      </c>
      <c r="I4929">
        <v>2026</v>
      </c>
      <c r="J4929">
        <v>6</v>
      </c>
      <c r="K4929" t="s">
        <v>282</v>
      </c>
      <c r="L4929" t="s">
        <v>15</v>
      </c>
      <c r="M4929" t="s">
        <v>8</v>
      </c>
      <c r="N4929" t="b">
        <v>0</v>
      </c>
      <c r="O4929">
        <v>0</v>
      </c>
      <c r="P4929">
        <v>1</v>
      </c>
      <c r="Q4929">
        <v>0</v>
      </c>
      <c r="R4929">
        <v>1</v>
      </c>
    </row>
    <row r="4930" spans="1:18" x14ac:dyDescent="0.25">
      <c r="A4930" t="s">
        <v>28</v>
      </c>
      <c r="B4930" t="s">
        <v>6</v>
      </c>
      <c r="C4930">
        <v>1</v>
      </c>
      <c r="D4930">
        <v>6</v>
      </c>
      <c r="E4930">
        <v>2</v>
      </c>
      <c r="F4930" s="15">
        <v>46195</v>
      </c>
      <c r="G4930" t="s">
        <v>605</v>
      </c>
      <c r="H4930">
        <v>4</v>
      </c>
      <c r="I4930">
        <v>2026</v>
      </c>
      <c r="J4930">
        <v>6</v>
      </c>
      <c r="K4930" t="s">
        <v>282</v>
      </c>
      <c r="L4930" t="s">
        <v>20</v>
      </c>
      <c r="M4930" t="s">
        <v>6</v>
      </c>
      <c r="N4930" t="b">
        <v>0</v>
      </c>
      <c r="O4930">
        <v>0</v>
      </c>
      <c r="P4930">
        <v>1</v>
      </c>
      <c r="Q4930">
        <v>0</v>
      </c>
      <c r="R4930">
        <v>0</v>
      </c>
    </row>
    <row r="4931" spans="1:18" x14ac:dyDescent="0.25">
      <c r="A4931" t="s">
        <v>17</v>
      </c>
      <c r="B4931" t="s">
        <v>6</v>
      </c>
      <c r="C4931">
        <v>2</v>
      </c>
      <c r="D4931">
        <v>6</v>
      </c>
      <c r="E4931">
        <v>2</v>
      </c>
      <c r="F4931" s="15">
        <v>46195</v>
      </c>
      <c r="G4931" t="s">
        <v>605</v>
      </c>
      <c r="H4931">
        <v>4</v>
      </c>
      <c r="I4931">
        <v>2026</v>
      </c>
      <c r="J4931">
        <v>6</v>
      </c>
      <c r="K4931" t="s">
        <v>282</v>
      </c>
      <c r="L4931" t="s">
        <v>28</v>
      </c>
      <c r="M4931" t="s">
        <v>6</v>
      </c>
      <c r="N4931" t="b">
        <v>0</v>
      </c>
      <c r="O4931">
        <v>0</v>
      </c>
      <c r="P4931">
        <v>1</v>
      </c>
      <c r="Q4931">
        <v>0</v>
      </c>
      <c r="R4931">
        <v>0</v>
      </c>
    </row>
    <row r="4932" spans="1:18" x14ac:dyDescent="0.25">
      <c r="A4932" t="s">
        <v>17</v>
      </c>
      <c r="B4932" t="s">
        <v>6</v>
      </c>
      <c r="C4932">
        <v>2</v>
      </c>
      <c r="D4932">
        <v>6</v>
      </c>
      <c r="E4932">
        <v>2</v>
      </c>
      <c r="F4932" s="15">
        <v>46195</v>
      </c>
      <c r="G4932" t="s">
        <v>605</v>
      </c>
      <c r="H4932">
        <v>4</v>
      </c>
      <c r="I4932">
        <v>2026</v>
      </c>
      <c r="J4932">
        <v>6</v>
      </c>
      <c r="K4932" t="s">
        <v>282</v>
      </c>
      <c r="L4932" t="s">
        <v>15</v>
      </c>
      <c r="M4932" t="s">
        <v>8</v>
      </c>
      <c r="N4932" t="b">
        <v>0</v>
      </c>
      <c r="O4932">
        <v>0</v>
      </c>
      <c r="P4932">
        <v>1</v>
      </c>
      <c r="Q4932">
        <v>0</v>
      </c>
      <c r="R4932">
        <v>1</v>
      </c>
    </row>
    <row r="4933" spans="1:18" x14ac:dyDescent="0.25">
      <c r="A4933" t="s">
        <v>17</v>
      </c>
      <c r="B4933" t="s">
        <v>6</v>
      </c>
      <c r="C4933">
        <v>2</v>
      </c>
      <c r="D4933">
        <v>6</v>
      </c>
      <c r="E4933">
        <v>2</v>
      </c>
      <c r="F4933" s="15">
        <v>46195</v>
      </c>
      <c r="G4933" t="s">
        <v>605</v>
      </c>
      <c r="H4933">
        <v>4</v>
      </c>
      <c r="I4933">
        <v>2026</v>
      </c>
      <c r="J4933">
        <v>6</v>
      </c>
      <c r="K4933" t="s">
        <v>282</v>
      </c>
      <c r="L4933" t="s">
        <v>20</v>
      </c>
      <c r="M4933" t="s">
        <v>6</v>
      </c>
      <c r="N4933" t="b">
        <v>0</v>
      </c>
      <c r="O4933">
        <v>0</v>
      </c>
      <c r="P4933">
        <v>1</v>
      </c>
      <c r="Q4933">
        <v>0</v>
      </c>
      <c r="R4933">
        <v>0</v>
      </c>
    </row>
    <row r="4934" spans="1:18" x14ac:dyDescent="0.25">
      <c r="A4934" t="s">
        <v>15</v>
      </c>
      <c r="B4934" t="s">
        <v>8</v>
      </c>
      <c r="C4934">
        <v>3</v>
      </c>
      <c r="D4934">
        <v>6</v>
      </c>
      <c r="E4934">
        <v>2</v>
      </c>
      <c r="F4934" s="15">
        <v>46195</v>
      </c>
      <c r="G4934" t="s">
        <v>605</v>
      </c>
      <c r="H4934">
        <v>4</v>
      </c>
      <c r="I4934">
        <v>2026</v>
      </c>
      <c r="J4934">
        <v>6</v>
      </c>
      <c r="K4934" t="s">
        <v>282</v>
      </c>
      <c r="L4934" t="s">
        <v>28</v>
      </c>
      <c r="M4934" t="s">
        <v>6</v>
      </c>
      <c r="N4934" t="b">
        <v>0</v>
      </c>
      <c r="O4934">
        <v>1</v>
      </c>
      <c r="P4934">
        <v>0</v>
      </c>
      <c r="Q4934">
        <v>0</v>
      </c>
      <c r="R4934">
        <v>0</v>
      </c>
    </row>
    <row r="4935" spans="1:18" x14ac:dyDescent="0.25">
      <c r="A4935" t="s">
        <v>15</v>
      </c>
      <c r="B4935" t="s">
        <v>8</v>
      </c>
      <c r="C4935">
        <v>3</v>
      </c>
      <c r="D4935">
        <v>6</v>
      </c>
      <c r="E4935">
        <v>2</v>
      </c>
      <c r="F4935" s="15">
        <v>46195</v>
      </c>
      <c r="G4935" t="s">
        <v>605</v>
      </c>
      <c r="H4935">
        <v>4</v>
      </c>
      <c r="I4935">
        <v>2026</v>
      </c>
      <c r="J4935">
        <v>6</v>
      </c>
      <c r="K4935" t="s">
        <v>282</v>
      </c>
      <c r="L4935" t="s">
        <v>17</v>
      </c>
      <c r="M4935" t="s">
        <v>6</v>
      </c>
      <c r="N4935" t="b">
        <v>0</v>
      </c>
      <c r="O4935">
        <v>1</v>
      </c>
      <c r="P4935">
        <v>0</v>
      </c>
      <c r="Q4935">
        <v>0</v>
      </c>
      <c r="R4935">
        <v>0</v>
      </c>
    </row>
    <row r="4936" spans="1:18" x14ac:dyDescent="0.25">
      <c r="A4936" t="s">
        <v>15</v>
      </c>
      <c r="B4936" t="s">
        <v>8</v>
      </c>
      <c r="C4936">
        <v>3</v>
      </c>
      <c r="D4936">
        <v>6</v>
      </c>
      <c r="E4936">
        <v>2</v>
      </c>
      <c r="F4936" s="15">
        <v>46195</v>
      </c>
      <c r="G4936" t="s">
        <v>605</v>
      </c>
      <c r="H4936">
        <v>4</v>
      </c>
      <c r="I4936">
        <v>2026</v>
      </c>
      <c r="J4936">
        <v>6</v>
      </c>
      <c r="K4936" t="s">
        <v>282</v>
      </c>
      <c r="L4936" t="s">
        <v>20</v>
      </c>
      <c r="M4936" t="s">
        <v>6</v>
      </c>
      <c r="N4936" t="b">
        <v>0</v>
      </c>
      <c r="O4936">
        <v>1</v>
      </c>
      <c r="P4936">
        <v>0</v>
      </c>
      <c r="Q4936">
        <v>0</v>
      </c>
      <c r="R4936">
        <v>0</v>
      </c>
    </row>
    <row r="4937" spans="1:18" x14ac:dyDescent="0.25">
      <c r="A4937" t="s">
        <v>20</v>
      </c>
      <c r="B4937" t="s">
        <v>6</v>
      </c>
      <c r="C4937">
        <v>4</v>
      </c>
      <c r="D4937">
        <v>6</v>
      </c>
      <c r="E4937">
        <v>2</v>
      </c>
      <c r="F4937" s="15">
        <v>46195</v>
      </c>
      <c r="G4937" t="s">
        <v>605</v>
      </c>
      <c r="H4937">
        <v>4</v>
      </c>
      <c r="I4937">
        <v>2026</v>
      </c>
      <c r="J4937">
        <v>6</v>
      </c>
      <c r="K4937" t="s">
        <v>282</v>
      </c>
      <c r="L4937" t="s">
        <v>28</v>
      </c>
      <c r="M4937" t="s">
        <v>6</v>
      </c>
      <c r="N4937" t="b">
        <v>0</v>
      </c>
      <c r="O4937">
        <v>0</v>
      </c>
      <c r="P4937">
        <v>1</v>
      </c>
      <c r="Q4937">
        <v>0</v>
      </c>
      <c r="R4937">
        <v>0</v>
      </c>
    </row>
    <row r="4938" spans="1:18" x14ac:dyDescent="0.25">
      <c r="A4938" t="s">
        <v>20</v>
      </c>
      <c r="B4938" t="s">
        <v>6</v>
      </c>
      <c r="C4938">
        <v>4</v>
      </c>
      <c r="D4938">
        <v>6</v>
      </c>
      <c r="E4938">
        <v>2</v>
      </c>
      <c r="F4938" s="15">
        <v>46195</v>
      </c>
      <c r="G4938" t="s">
        <v>605</v>
      </c>
      <c r="H4938">
        <v>4</v>
      </c>
      <c r="I4938">
        <v>2026</v>
      </c>
      <c r="J4938">
        <v>6</v>
      </c>
      <c r="K4938" t="s">
        <v>282</v>
      </c>
      <c r="L4938" t="s">
        <v>17</v>
      </c>
      <c r="M4938" t="s">
        <v>6</v>
      </c>
      <c r="N4938" t="b">
        <v>0</v>
      </c>
      <c r="O4938">
        <v>0</v>
      </c>
      <c r="P4938">
        <v>1</v>
      </c>
      <c r="Q4938">
        <v>0</v>
      </c>
      <c r="R4938">
        <v>0</v>
      </c>
    </row>
    <row r="4939" spans="1:18" x14ac:dyDescent="0.25">
      <c r="A4939" t="s">
        <v>20</v>
      </c>
      <c r="B4939" t="s">
        <v>6</v>
      </c>
      <c r="C4939">
        <v>4</v>
      </c>
      <c r="D4939">
        <v>6</v>
      </c>
      <c r="E4939">
        <v>2</v>
      </c>
      <c r="F4939" s="15">
        <v>46195</v>
      </c>
      <c r="G4939" t="s">
        <v>605</v>
      </c>
      <c r="H4939">
        <v>4</v>
      </c>
      <c r="I4939">
        <v>2026</v>
      </c>
      <c r="J4939">
        <v>6</v>
      </c>
      <c r="K4939" t="s">
        <v>282</v>
      </c>
      <c r="L4939" t="s">
        <v>15</v>
      </c>
      <c r="M4939" t="s">
        <v>8</v>
      </c>
      <c r="N4939" t="b">
        <v>0</v>
      </c>
      <c r="O4939">
        <v>0</v>
      </c>
      <c r="P4939">
        <v>1</v>
      </c>
      <c r="Q4939">
        <v>0</v>
      </c>
      <c r="R4939">
        <v>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5" x14ac:dyDescent="0.25"/>
  <sheetData>
    <row r="1" spans="1:15" ht="15" customHeight="1" x14ac:dyDescent="0.25">
      <c r="A1" s="18" t="s">
        <v>295</v>
      </c>
      <c r="B1" s="18"/>
      <c r="C1" s="18"/>
      <c r="D1" s="18"/>
      <c r="E1" s="18"/>
      <c r="F1" s="18"/>
      <c r="G1" s="18"/>
      <c r="H1" s="18"/>
      <c r="I1" s="18"/>
      <c r="J1" s="18"/>
      <c r="K1" s="18"/>
      <c r="L1" s="18"/>
      <c r="M1" s="18"/>
      <c r="N1" s="18"/>
      <c r="O1" s="18"/>
    </row>
    <row r="2" spans="1:15" x14ac:dyDescent="0.25">
      <c r="A2" s="18"/>
      <c r="B2" s="18"/>
      <c r="C2" s="18"/>
      <c r="D2" s="18"/>
      <c r="E2" s="18"/>
      <c r="F2" s="18"/>
      <c r="G2" s="18"/>
      <c r="H2" s="18"/>
      <c r="I2" s="18"/>
      <c r="J2" s="18"/>
      <c r="K2" s="18"/>
      <c r="L2" s="18"/>
      <c r="M2" s="18"/>
      <c r="N2" s="18"/>
      <c r="O2" s="18"/>
    </row>
    <row r="3" spans="1:15" x14ac:dyDescent="0.25">
      <c r="A3" s="18"/>
      <c r="B3" s="18"/>
      <c r="C3" s="18"/>
      <c r="D3" s="18"/>
      <c r="E3" s="18"/>
      <c r="F3" s="18"/>
      <c r="G3" s="18"/>
      <c r="H3" s="18"/>
      <c r="I3" s="18"/>
      <c r="J3" s="18"/>
      <c r="K3" s="18"/>
      <c r="L3" s="18"/>
      <c r="M3" s="18"/>
      <c r="N3" s="18"/>
      <c r="O3" s="18"/>
    </row>
    <row r="4" spans="1:15" x14ac:dyDescent="0.25">
      <c r="A4" s="18"/>
      <c r="B4" s="18"/>
      <c r="C4" s="18"/>
      <c r="D4" s="18"/>
      <c r="E4" s="18"/>
      <c r="F4" s="18"/>
      <c r="G4" s="18"/>
      <c r="H4" s="18"/>
      <c r="I4" s="18"/>
      <c r="J4" s="18"/>
      <c r="K4" s="18"/>
      <c r="L4" s="18"/>
      <c r="M4" s="18"/>
      <c r="N4" s="18"/>
      <c r="O4" s="18"/>
    </row>
    <row r="5" spans="1:15" x14ac:dyDescent="0.25">
      <c r="A5" s="18"/>
      <c r="B5" s="18"/>
      <c r="C5" s="18"/>
      <c r="D5" s="18"/>
      <c r="E5" s="18"/>
      <c r="F5" s="18"/>
      <c r="G5" s="18"/>
      <c r="H5" s="18"/>
      <c r="I5" s="18"/>
      <c r="J5" s="18"/>
      <c r="K5" s="18"/>
      <c r="L5" s="18"/>
      <c r="M5" s="18"/>
      <c r="N5" s="18"/>
      <c r="O5" s="18"/>
    </row>
    <row r="6" spans="1:15" x14ac:dyDescent="0.25">
      <c r="A6" s="18"/>
      <c r="B6" s="18"/>
      <c r="C6" s="18"/>
      <c r="D6" s="18"/>
      <c r="E6" s="18"/>
      <c r="F6" s="18"/>
      <c r="G6" s="18"/>
      <c r="H6" s="18"/>
      <c r="I6" s="18"/>
      <c r="J6" s="18"/>
      <c r="K6" s="18"/>
      <c r="L6" s="18"/>
      <c r="M6" s="18"/>
      <c r="N6" s="18"/>
      <c r="O6" s="18"/>
    </row>
    <row r="7" spans="1:15" x14ac:dyDescent="0.25">
      <c r="A7" s="18"/>
      <c r="B7" s="18"/>
      <c r="C7" s="18"/>
      <c r="D7" s="18"/>
      <c r="E7" s="18"/>
      <c r="F7" s="18"/>
      <c r="G7" s="18"/>
      <c r="H7" s="18"/>
      <c r="I7" s="18"/>
      <c r="J7" s="18"/>
      <c r="K7" s="18"/>
      <c r="L7" s="18"/>
      <c r="M7" s="18"/>
      <c r="N7" s="18"/>
      <c r="O7" s="18"/>
    </row>
    <row r="8" spans="1:15" x14ac:dyDescent="0.25">
      <c r="A8" s="18"/>
      <c r="B8" s="18"/>
      <c r="C8" s="18"/>
      <c r="D8" s="18"/>
      <c r="E8" s="18"/>
      <c r="F8" s="18"/>
      <c r="G8" s="18"/>
      <c r="H8" s="18"/>
      <c r="I8" s="18"/>
      <c r="J8" s="18"/>
      <c r="K8" s="18"/>
      <c r="L8" s="18"/>
      <c r="M8" s="18"/>
      <c r="N8" s="18"/>
      <c r="O8" s="18"/>
    </row>
    <row r="9" spans="1:15" x14ac:dyDescent="0.25">
      <c r="A9" s="18"/>
      <c r="B9" s="18"/>
      <c r="C9" s="18"/>
      <c r="D9" s="18"/>
      <c r="E9" s="18"/>
      <c r="F9" s="18"/>
      <c r="G9" s="18"/>
      <c r="H9" s="18"/>
      <c r="I9" s="18"/>
      <c r="J9" s="18"/>
      <c r="K9" s="18"/>
      <c r="L9" s="18"/>
      <c r="M9" s="18"/>
      <c r="N9" s="18"/>
      <c r="O9" s="18"/>
    </row>
    <row r="10" spans="1:15" x14ac:dyDescent="0.25">
      <c r="A10" s="18"/>
      <c r="B10" s="18"/>
      <c r="C10" s="18"/>
      <c r="D10" s="18"/>
      <c r="E10" s="18"/>
      <c r="F10" s="18"/>
      <c r="G10" s="18"/>
      <c r="H10" s="18"/>
      <c r="I10" s="18"/>
      <c r="J10" s="18"/>
      <c r="K10" s="18"/>
      <c r="L10" s="18"/>
      <c r="M10" s="18"/>
      <c r="N10" s="18"/>
      <c r="O10" s="18"/>
    </row>
    <row r="11" spans="1:15" x14ac:dyDescent="0.25">
      <c r="A11" s="18"/>
      <c r="B11" s="18"/>
      <c r="C11" s="18"/>
      <c r="D11" s="18"/>
      <c r="E11" s="18"/>
      <c r="F11" s="18"/>
      <c r="G11" s="18"/>
      <c r="H11" s="18"/>
      <c r="I11" s="18"/>
      <c r="J11" s="18"/>
      <c r="K11" s="18"/>
      <c r="L11" s="18"/>
      <c r="M11" s="18"/>
      <c r="N11" s="18"/>
      <c r="O11" s="18"/>
    </row>
    <row r="12" spans="1:15" x14ac:dyDescent="0.25">
      <c r="A12" s="18"/>
      <c r="B12" s="18"/>
      <c r="C12" s="18"/>
      <c r="D12" s="18"/>
      <c r="E12" s="18"/>
      <c r="F12" s="18"/>
      <c r="G12" s="18"/>
      <c r="H12" s="18"/>
      <c r="I12" s="18"/>
      <c r="J12" s="18"/>
      <c r="K12" s="18"/>
      <c r="L12" s="18"/>
      <c r="M12" s="18"/>
      <c r="N12" s="18"/>
      <c r="O12" s="18"/>
    </row>
    <row r="13" spans="1:15" x14ac:dyDescent="0.25">
      <c r="A13" s="18"/>
      <c r="B13" s="18"/>
      <c r="C13" s="18"/>
      <c r="D13" s="18"/>
      <c r="E13" s="18"/>
      <c r="F13" s="18"/>
      <c r="G13" s="18"/>
      <c r="H13" s="18"/>
      <c r="I13" s="18"/>
      <c r="J13" s="18"/>
      <c r="K13" s="18"/>
      <c r="L13" s="18"/>
      <c r="M13" s="18"/>
      <c r="N13" s="18"/>
      <c r="O13" s="18"/>
    </row>
    <row r="14" spans="1:15" x14ac:dyDescent="0.25">
      <c r="A14" s="18"/>
      <c r="B14" s="18"/>
      <c r="C14" s="18"/>
      <c r="D14" s="18"/>
      <c r="E14" s="18"/>
      <c r="F14" s="18"/>
      <c r="G14" s="18"/>
      <c r="H14" s="18"/>
      <c r="I14" s="18"/>
      <c r="J14" s="18"/>
      <c r="K14" s="18"/>
      <c r="L14" s="18"/>
      <c r="M14" s="18"/>
      <c r="N14" s="18"/>
      <c r="O14" s="18"/>
    </row>
    <row r="15" spans="1:15" x14ac:dyDescent="0.25">
      <c r="A15" s="18"/>
      <c r="B15" s="18"/>
      <c r="C15" s="18"/>
      <c r="D15" s="18"/>
      <c r="E15" s="18"/>
      <c r="F15" s="18"/>
      <c r="G15" s="18"/>
      <c r="H15" s="18"/>
      <c r="I15" s="18"/>
      <c r="J15" s="18"/>
      <c r="K15" s="18"/>
      <c r="L15" s="18"/>
      <c r="M15" s="18"/>
      <c r="N15" s="18"/>
      <c r="O15" s="18"/>
    </row>
    <row r="16" spans="1:15" x14ac:dyDescent="0.25">
      <c r="A16" s="18"/>
      <c r="B16" s="18"/>
      <c r="C16" s="18"/>
      <c r="D16" s="18"/>
      <c r="E16" s="18"/>
      <c r="F16" s="18"/>
      <c r="G16" s="18"/>
      <c r="H16" s="18"/>
      <c r="I16" s="18"/>
      <c r="J16" s="18"/>
      <c r="K16" s="18"/>
      <c r="L16" s="18"/>
      <c r="M16" s="18"/>
      <c r="N16" s="18"/>
      <c r="O16" s="18"/>
    </row>
    <row r="17" spans="1:15" x14ac:dyDescent="0.25">
      <c r="A17" s="18"/>
      <c r="B17" s="18"/>
      <c r="C17" s="18"/>
      <c r="D17" s="18"/>
      <c r="E17" s="18"/>
      <c r="F17" s="18"/>
      <c r="G17" s="18"/>
      <c r="H17" s="18"/>
      <c r="I17" s="18"/>
      <c r="J17" s="18"/>
      <c r="K17" s="18"/>
      <c r="L17" s="18"/>
      <c r="M17" s="18"/>
      <c r="N17" s="18"/>
      <c r="O17" s="18"/>
    </row>
    <row r="18" spans="1:15" x14ac:dyDescent="0.25">
      <c r="A18" s="18"/>
      <c r="B18" s="18"/>
      <c r="C18" s="18"/>
      <c r="D18" s="18"/>
      <c r="E18" s="18"/>
      <c r="F18" s="18"/>
      <c r="G18" s="18"/>
      <c r="H18" s="18"/>
      <c r="I18" s="18"/>
      <c r="J18" s="18"/>
      <c r="K18" s="18"/>
      <c r="L18" s="18"/>
      <c r="M18" s="18"/>
      <c r="N18" s="18"/>
      <c r="O18" s="18"/>
    </row>
    <row r="19" spans="1:15" x14ac:dyDescent="0.25">
      <c r="A19" s="18"/>
      <c r="B19" s="18"/>
      <c r="C19" s="18"/>
      <c r="D19" s="18"/>
      <c r="E19" s="18"/>
      <c r="F19" s="18"/>
      <c r="G19" s="18"/>
      <c r="H19" s="18"/>
      <c r="I19" s="18"/>
      <c r="J19" s="18"/>
      <c r="K19" s="18"/>
      <c r="L19" s="18"/>
      <c r="M19" s="18"/>
      <c r="N19" s="18"/>
      <c r="O19" s="18"/>
    </row>
    <row r="20" spans="1:15" x14ac:dyDescent="0.25">
      <c r="A20" s="18"/>
      <c r="B20" s="18"/>
      <c r="C20" s="18"/>
      <c r="D20" s="18"/>
      <c r="E20" s="18"/>
      <c r="F20" s="18"/>
      <c r="G20" s="18"/>
      <c r="H20" s="18"/>
      <c r="I20" s="18"/>
      <c r="J20" s="18"/>
      <c r="K20" s="18"/>
      <c r="L20" s="18"/>
      <c r="M20" s="18"/>
      <c r="N20" s="18"/>
      <c r="O20" s="18"/>
    </row>
    <row r="21" spans="1:15" x14ac:dyDescent="0.25">
      <c r="A21" s="18"/>
      <c r="B21" s="18"/>
      <c r="C21" s="18"/>
      <c r="D21" s="18"/>
      <c r="E21" s="18"/>
      <c r="F21" s="18"/>
      <c r="G21" s="18"/>
      <c r="H21" s="18"/>
      <c r="I21" s="18"/>
      <c r="J21" s="18"/>
      <c r="K21" s="18"/>
      <c r="L21" s="18"/>
      <c r="M21" s="18"/>
      <c r="N21" s="18"/>
      <c r="O21" s="18"/>
    </row>
    <row r="22" spans="1:15" x14ac:dyDescent="0.25">
      <c r="A22" s="18"/>
      <c r="B22" s="18"/>
      <c r="C22" s="18"/>
      <c r="D22" s="18"/>
      <c r="E22" s="18"/>
      <c r="F22" s="18"/>
      <c r="G22" s="18"/>
      <c r="H22" s="18"/>
      <c r="I22" s="18"/>
      <c r="J22" s="18"/>
      <c r="K22" s="18"/>
      <c r="L22" s="18"/>
      <c r="M22" s="18"/>
      <c r="N22" s="18"/>
      <c r="O22" s="18"/>
    </row>
    <row r="23" spans="1:15" x14ac:dyDescent="0.25">
      <c r="A23" s="18"/>
      <c r="B23" s="18"/>
      <c r="C23" s="18"/>
      <c r="D23" s="18"/>
      <c r="E23" s="18"/>
      <c r="F23" s="18"/>
      <c r="G23" s="18"/>
      <c r="H23" s="18"/>
      <c r="I23" s="18"/>
      <c r="J23" s="18"/>
      <c r="K23" s="18"/>
      <c r="L23" s="18"/>
      <c r="M23" s="18"/>
      <c r="N23" s="18"/>
      <c r="O23" s="18"/>
    </row>
    <row r="24" spans="1:15" x14ac:dyDescent="0.25">
      <c r="A24" s="18"/>
      <c r="B24" s="18"/>
      <c r="C24" s="18"/>
      <c r="D24" s="18"/>
      <c r="E24" s="18"/>
      <c r="F24" s="18"/>
      <c r="G24" s="18"/>
      <c r="H24" s="18"/>
      <c r="I24" s="18"/>
      <c r="J24" s="18"/>
      <c r="K24" s="18"/>
      <c r="L24" s="18"/>
      <c r="M24" s="18"/>
      <c r="N24" s="18"/>
      <c r="O24" s="18"/>
    </row>
    <row r="25" spans="1:15" x14ac:dyDescent="0.25">
      <c r="A25" s="18"/>
      <c r="B25" s="18"/>
      <c r="C25" s="18"/>
      <c r="D25" s="18"/>
      <c r="E25" s="18"/>
      <c r="F25" s="18"/>
      <c r="G25" s="18"/>
      <c r="H25" s="18"/>
      <c r="I25" s="18"/>
      <c r="J25" s="18"/>
      <c r="K25" s="18"/>
      <c r="L25" s="18"/>
      <c r="M25" s="18"/>
      <c r="N25" s="18"/>
      <c r="O25" s="18"/>
    </row>
    <row r="26" spans="1:15" x14ac:dyDescent="0.25">
      <c r="A26" s="18"/>
      <c r="B26" s="18"/>
      <c r="C26" s="18"/>
      <c r="D26" s="18"/>
      <c r="E26" s="18"/>
      <c r="F26" s="18"/>
      <c r="G26" s="18"/>
      <c r="H26" s="18"/>
      <c r="I26" s="18"/>
      <c r="J26" s="18"/>
      <c r="K26" s="18"/>
      <c r="L26" s="18"/>
      <c r="M26" s="18"/>
      <c r="N26" s="18"/>
      <c r="O26" s="18"/>
    </row>
    <row r="27" spans="1:15" x14ac:dyDescent="0.25">
      <c r="A27" s="18"/>
      <c r="B27" s="18"/>
      <c r="C27" s="18"/>
      <c r="D27" s="18"/>
      <c r="E27" s="18"/>
      <c r="F27" s="18"/>
      <c r="G27" s="18"/>
      <c r="H27" s="18"/>
      <c r="I27" s="18"/>
      <c r="J27" s="18"/>
      <c r="K27" s="18"/>
      <c r="L27" s="18"/>
      <c r="M27" s="18"/>
      <c r="N27" s="18"/>
      <c r="O27" s="18"/>
    </row>
    <row r="28" spans="1:15" x14ac:dyDescent="0.25">
      <c r="A28" s="18"/>
      <c r="B28" s="18"/>
      <c r="C28" s="18"/>
      <c r="D28" s="18"/>
      <c r="E28" s="18"/>
      <c r="F28" s="18"/>
      <c r="G28" s="18"/>
      <c r="H28" s="18"/>
      <c r="I28" s="18"/>
      <c r="J28" s="18"/>
      <c r="K28" s="18"/>
      <c r="L28" s="18"/>
      <c r="M28" s="18"/>
      <c r="N28" s="18"/>
      <c r="O28" s="18"/>
    </row>
    <row r="29" spans="1:15" x14ac:dyDescent="0.25">
      <c r="A29" s="18"/>
      <c r="B29" s="18"/>
      <c r="C29" s="18"/>
      <c r="D29" s="18"/>
      <c r="E29" s="18"/>
      <c r="F29" s="18"/>
      <c r="G29" s="18"/>
      <c r="H29" s="18"/>
      <c r="I29" s="18"/>
      <c r="J29" s="18"/>
      <c r="K29" s="18"/>
      <c r="L29" s="18"/>
      <c r="M29" s="18"/>
      <c r="N29" s="18"/>
      <c r="O29" s="18"/>
    </row>
    <row r="30" spans="1:15" x14ac:dyDescent="0.25">
      <c r="A30" s="18"/>
      <c r="B30" s="18"/>
      <c r="C30" s="18"/>
      <c r="D30" s="18"/>
      <c r="E30" s="18"/>
      <c r="F30" s="18"/>
      <c r="G30" s="18"/>
      <c r="H30" s="18"/>
      <c r="I30" s="18"/>
      <c r="J30" s="18"/>
      <c r="K30" s="18"/>
      <c r="L30" s="18"/>
      <c r="M30" s="18"/>
      <c r="N30" s="18"/>
      <c r="O30" s="18"/>
    </row>
    <row r="31" spans="1:15" x14ac:dyDescent="0.25">
      <c r="A31" s="18"/>
      <c r="B31" s="18"/>
      <c r="C31" s="18"/>
      <c r="D31" s="18"/>
      <c r="E31" s="18"/>
      <c r="F31" s="18"/>
      <c r="G31" s="18"/>
      <c r="H31" s="18"/>
      <c r="I31" s="18"/>
      <c r="J31" s="18"/>
      <c r="K31" s="18"/>
      <c r="L31" s="18"/>
      <c r="M31" s="18"/>
      <c r="N31" s="18"/>
      <c r="O31" s="18"/>
    </row>
    <row r="32" spans="1:15" x14ac:dyDescent="0.25">
      <c r="A32" s="18"/>
      <c r="B32" s="18"/>
      <c r="C32" s="18"/>
      <c r="D32" s="18"/>
      <c r="E32" s="18"/>
      <c r="F32" s="18"/>
      <c r="G32" s="18"/>
      <c r="H32" s="18"/>
      <c r="I32" s="18"/>
      <c r="J32" s="18"/>
      <c r="K32" s="18"/>
      <c r="L32" s="18"/>
      <c r="M32" s="18"/>
      <c r="N32" s="18"/>
      <c r="O32" s="18"/>
    </row>
    <row r="33" spans="1:15" x14ac:dyDescent="0.25">
      <c r="A33" s="18"/>
      <c r="B33" s="18"/>
      <c r="C33" s="18"/>
      <c r="D33" s="18"/>
      <c r="E33" s="18"/>
      <c r="F33" s="18"/>
      <c r="G33" s="18"/>
      <c r="H33" s="18"/>
      <c r="I33" s="18"/>
      <c r="J33" s="18"/>
      <c r="K33" s="18"/>
      <c r="L33" s="18"/>
      <c r="M33" s="18"/>
      <c r="N33" s="18"/>
      <c r="O33" s="18"/>
    </row>
    <row r="34" spans="1:15" x14ac:dyDescent="0.25">
      <c r="A34" s="18"/>
      <c r="B34" s="18"/>
      <c r="C34" s="18"/>
      <c r="D34" s="18"/>
      <c r="E34" s="18"/>
      <c r="F34" s="18"/>
      <c r="G34" s="18"/>
      <c r="H34" s="18"/>
      <c r="I34" s="18"/>
      <c r="J34" s="18"/>
      <c r="K34" s="18"/>
      <c r="L34" s="18"/>
      <c r="M34" s="18"/>
      <c r="N34" s="18"/>
      <c r="O34" s="18"/>
    </row>
    <row r="35" spans="1:15" x14ac:dyDescent="0.25">
      <c r="A35" s="18"/>
      <c r="B35" s="18"/>
      <c r="C35" s="18"/>
      <c r="D35" s="18"/>
      <c r="E35" s="18"/>
      <c r="F35" s="18"/>
      <c r="G35" s="18"/>
      <c r="H35" s="18"/>
      <c r="I35" s="18"/>
      <c r="J35" s="18"/>
      <c r="K35" s="18"/>
      <c r="L35" s="18"/>
      <c r="M35" s="18"/>
      <c r="N35" s="18"/>
      <c r="O35" s="18"/>
    </row>
    <row r="36" spans="1:15" x14ac:dyDescent="0.25">
      <c r="A36" s="18"/>
      <c r="B36" s="18"/>
      <c r="C36" s="18"/>
      <c r="D36" s="18"/>
      <c r="E36" s="18"/>
      <c r="F36" s="18"/>
      <c r="G36" s="18"/>
      <c r="H36" s="18"/>
      <c r="I36" s="18"/>
      <c r="J36" s="18"/>
      <c r="K36" s="18"/>
      <c r="L36" s="18"/>
      <c r="M36" s="18"/>
      <c r="N36" s="18"/>
      <c r="O36" s="18"/>
    </row>
    <row r="37" spans="1:15" x14ac:dyDescent="0.25">
      <c r="A37" s="18"/>
      <c r="B37" s="18"/>
      <c r="C37" s="18"/>
      <c r="D37" s="18"/>
      <c r="E37" s="18"/>
      <c r="F37" s="18"/>
      <c r="G37" s="18"/>
      <c r="H37" s="18"/>
      <c r="I37" s="18"/>
      <c r="J37" s="18"/>
      <c r="K37" s="18"/>
      <c r="L37" s="18"/>
      <c r="M37" s="18"/>
      <c r="N37" s="18"/>
      <c r="O37" s="18"/>
    </row>
    <row r="38" spans="1:15" x14ac:dyDescent="0.25">
      <c r="A38" s="18"/>
      <c r="B38" s="18"/>
      <c r="C38" s="18"/>
      <c r="D38" s="18"/>
      <c r="E38" s="18"/>
      <c r="F38" s="18"/>
      <c r="G38" s="18"/>
      <c r="H38" s="18"/>
      <c r="I38" s="18"/>
      <c r="J38" s="18"/>
      <c r="K38" s="18"/>
      <c r="L38" s="18"/>
      <c r="M38" s="18"/>
      <c r="N38" s="18"/>
      <c r="O38" s="18"/>
    </row>
    <row r="39" spans="1:15" x14ac:dyDescent="0.25">
      <c r="A39" s="18"/>
      <c r="B39" s="18"/>
      <c r="C39" s="18"/>
      <c r="D39" s="18"/>
      <c r="E39" s="18"/>
      <c r="F39" s="18"/>
      <c r="G39" s="18"/>
      <c r="H39" s="18"/>
      <c r="I39" s="18"/>
      <c r="J39" s="18"/>
      <c r="K39" s="18"/>
      <c r="L39" s="18"/>
      <c r="M39" s="18"/>
      <c r="N39" s="18"/>
      <c r="O39" s="18"/>
    </row>
    <row r="40" spans="1:15" x14ac:dyDescent="0.25">
      <c r="A40" s="18"/>
      <c r="B40" s="18"/>
      <c r="C40" s="18"/>
      <c r="D40" s="18"/>
      <c r="E40" s="18"/>
      <c r="F40" s="18"/>
      <c r="G40" s="18"/>
      <c r="H40" s="18"/>
      <c r="I40" s="18"/>
      <c r="J40" s="18"/>
      <c r="K40" s="18"/>
      <c r="L40" s="18"/>
      <c r="M40" s="18"/>
      <c r="N40" s="18"/>
      <c r="O40" s="18"/>
    </row>
    <row r="41" spans="1:15" ht="409.5" customHeight="1" x14ac:dyDescent="0.25">
      <c r="A41" s="18"/>
      <c r="B41" s="18"/>
      <c r="C41" s="18"/>
      <c r="D41" s="18"/>
      <c r="E41" s="18"/>
      <c r="F41" s="18"/>
      <c r="G41" s="18"/>
      <c r="H41" s="18"/>
      <c r="I41" s="18"/>
      <c r="J41" s="18"/>
      <c r="K41" s="18"/>
      <c r="L41" s="18"/>
      <c r="M41" s="18"/>
      <c r="N41" s="18"/>
      <c r="O41" s="18"/>
    </row>
    <row r="42" spans="1:15" x14ac:dyDescent="0.25">
      <c r="A42" s="18"/>
      <c r="B42" s="18"/>
      <c r="C42" s="18"/>
      <c r="D42" s="18"/>
      <c r="E42" s="18"/>
      <c r="F42" s="18"/>
      <c r="G42" s="18"/>
      <c r="H42" s="18"/>
      <c r="I42" s="18"/>
      <c r="J42" s="18"/>
      <c r="K42" s="18"/>
      <c r="L42" s="18"/>
      <c r="M42" s="18"/>
      <c r="N42" s="18"/>
      <c r="O42" s="18"/>
    </row>
    <row r="43" spans="1:15" x14ac:dyDescent="0.25">
      <c r="A43" s="18"/>
      <c r="B43" s="18"/>
      <c r="C43" s="18"/>
      <c r="D43" s="18"/>
      <c r="E43" s="18"/>
      <c r="F43" s="18"/>
      <c r="G43" s="18"/>
      <c r="H43" s="18"/>
      <c r="I43" s="18"/>
      <c r="J43" s="18"/>
      <c r="K43" s="18"/>
      <c r="L43" s="18"/>
      <c r="M43" s="18"/>
      <c r="N43" s="18"/>
      <c r="O43" s="18"/>
    </row>
    <row r="44" spans="1:15" x14ac:dyDescent="0.25">
      <c r="A44" s="18"/>
      <c r="B44" s="18"/>
      <c r="C44" s="18"/>
      <c r="D44" s="18"/>
      <c r="E44" s="18"/>
      <c r="F44" s="18"/>
      <c r="G44" s="18"/>
      <c r="H44" s="18"/>
      <c r="I44" s="18"/>
      <c r="J44" s="18"/>
      <c r="K44" s="18"/>
      <c r="L44" s="18"/>
      <c r="M44" s="18"/>
      <c r="N44" s="18"/>
      <c r="O44" s="18"/>
    </row>
    <row r="45" spans="1:15" x14ac:dyDescent="0.25">
      <c r="A45" s="18"/>
      <c r="B45" s="18"/>
      <c r="C45" s="18"/>
      <c r="D45" s="18"/>
      <c r="E45" s="18"/>
      <c r="F45" s="18"/>
      <c r="G45" s="18"/>
      <c r="H45" s="18"/>
      <c r="I45" s="18"/>
      <c r="J45" s="18"/>
      <c r="K45" s="18"/>
      <c r="L45" s="18"/>
      <c r="M45" s="18"/>
      <c r="N45" s="18"/>
      <c r="O45" s="18"/>
    </row>
    <row r="46" spans="1:15" x14ac:dyDescent="0.25">
      <c r="A46" s="18"/>
      <c r="B46" s="18"/>
      <c r="C46" s="18"/>
      <c r="D46" s="18"/>
      <c r="E46" s="18"/>
      <c r="F46" s="18"/>
      <c r="G46" s="18"/>
      <c r="H46" s="18"/>
      <c r="I46" s="18"/>
      <c r="J46" s="18"/>
      <c r="K46" s="18"/>
      <c r="L46" s="18"/>
      <c r="M46" s="18"/>
      <c r="N46" s="18"/>
      <c r="O46" s="18"/>
    </row>
    <row r="47" spans="1:15" x14ac:dyDescent="0.25">
      <c r="A47" s="18"/>
      <c r="B47" s="18"/>
      <c r="C47" s="18"/>
      <c r="D47" s="18"/>
      <c r="E47" s="18"/>
      <c r="F47" s="18"/>
      <c r="G47" s="18"/>
      <c r="H47" s="18"/>
      <c r="I47" s="18"/>
      <c r="J47" s="18"/>
      <c r="K47" s="18"/>
      <c r="L47" s="18"/>
      <c r="M47" s="18"/>
      <c r="N47" s="18"/>
      <c r="O47" s="18"/>
    </row>
    <row r="48" spans="1:15" x14ac:dyDescent="0.25">
      <c r="A48" s="18"/>
      <c r="B48" s="18"/>
      <c r="C48" s="18"/>
      <c r="D48" s="18"/>
      <c r="E48" s="18"/>
      <c r="F48" s="18"/>
      <c r="G48" s="18"/>
      <c r="H48" s="18"/>
      <c r="I48" s="18"/>
      <c r="J48" s="18"/>
      <c r="K48" s="18"/>
      <c r="L48" s="18"/>
      <c r="M48" s="18"/>
      <c r="N48" s="18"/>
      <c r="O48" s="18"/>
    </row>
    <row r="49" spans="1:15" x14ac:dyDescent="0.25">
      <c r="A49" s="18"/>
      <c r="B49" s="18"/>
      <c r="C49" s="18"/>
      <c r="D49" s="18"/>
      <c r="E49" s="18"/>
      <c r="F49" s="18"/>
      <c r="G49" s="18"/>
      <c r="H49" s="18"/>
      <c r="I49" s="18"/>
      <c r="J49" s="18"/>
      <c r="K49" s="18"/>
      <c r="L49" s="18"/>
      <c r="M49" s="18"/>
      <c r="N49" s="18"/>
      <c r="O49" s="18"/>
    </row>
    <row r="50" spans="1:15" x14ac:dyDescent="0.25">
      <c r="A50" s="18"/>
      <c r="B50" s="18"/>
      <c r="C50" s="18"/>
      <c r="D50" s="18"/>
      <c r="E50" s="18"/>
      <c r="F50" s="18"/>
      <c r="G50" s="18"/>
      <c r="H50" s="18"/>
      <c r="I50" s="18"/>
      <c r="J50" s="18"/>
      <c r="K50" s="18"/>
      <c r="L50" s="18"/>
      <c r="M50" s="18"/>
      <c r="N50" s="18"/>
      <c r="O50" s="18"/>
    </row>
    <row r="51" spans="1:15" x14ac:dyDescent="0.25">
      <c r="A51" s="18"/>
      <c r="B51" s="18"/>
      <c r="C51" s="18"/>
      <c r="D51" s="18"/>
      <c r="E51" s="18"/>
      <c r="F51" s="18"/>
      <c r="G51" s="18"/>
      <c r="H51" s="18"/>
      <c r="I51" s="18"/>
      <c r="J51" s="18"/>
      <c r="K51" s="18"/>
      <c r="L51" s="18"/>
      <c r="M51" s="18"/>
      <c r="N51" s="18"/>
      <c r="O51" s="18"/>
    </row>
    <row r="52" spans="1:15" x14ac:dyDescent="0.25">
      <c r="A52" s="18"/>
      <c r="B52" s="18"/>
      <c r="C52" s="18"/>
      <c r="D52" s="18"/>
      <c r="E52" s="18"/>
      <c r="F52" s="18"/>
      <c r="G52" s="18"/>
      <c r="H52" s="18"/>
      <c r="I52" s="18"/>
      <c r="J52" s="18"/>
      <c r="K52" s="18"/>
      <c r="L52" s="18"/>
      <c r="M52" s="18"/>
      <c r="N52" s="18"/>
      <c r="O52" s="18"/>
    </row>
    <row r="53" spans="1:15" x14ac:dyDescent="0.25">
      <c r="A53" s="18"/>
      <c r="B53" s="18"/>
      <c r="C53" s="18"/>
      <c r="D53" s="18"/>
      <c r="E53" s="18"/>
      <c r="F53" s="18"/>
      <c r="G53" s="18"/>
      <c r="H53" s="18"/>
      <c r="I53" s="18"/>
      <c r="J53" s="18"/>
      <c r="K53" s="18"/>
      <c r="L53" s="18"/>
      <c r="M53" s="18"/>
      <c r="N53" s="18"/>
      <c r="O53" s="18"/>
    </row>
    <row r="54" spans="1:15" x14ac:dyDescent="0.25">
      <c r="A54" s="18"/>
      <c r="B54" s="18"/>
      <c r="C54" s="18"/>
      <c r="D54" s="18"/>
      <c r="E54" s="18"/>
      <c r="F54" s="18"/>
      <c r="G54" s="18"/>
      <c r="H54" s="18"/>
      <c r="I54" s="18"/>
      <c r="J54" s="18"/>
      <c r="K54" s="18"/>
      <c r="L54" s="18"/>
      <c r="M54" s="18"/>
      <c r="N54" s="18"/>
      <c r="O54" s="18"/>
    </row>
    <row r="55" spans="1:15" x14ac:dyDescent="0.25">
      <c r="A55" s="18"/>
      <c r="B55" s="18"/>
      <c r="C55" s="18"/>
      <c r="D55" s="18"/>
      <c r="E55" s="18"/>
      <c r="F55" s="18"/>
      <c r="G55" s="18"/>
      <c r="H55" s="18"/>
      <c r="I55" s="18"/>
      <c r="J55" s="18"/>
      <c r="K55" s="18"/>
      <c r="L55" s="18"/>
      <c r="M55" s="18"/>
      <c r="N55" s="18"/>
      <c r="O55" s="18"/>
    </row>
    <row r="56" spans="1:15" x14ac:dyDescent="0.25">
      <c r="A56" s="18"/>
      <c r="B56" s="18"/>
      <c r="C56" s="18"/>
      <c r="D56" s="18"/>
      <c r="E56" s="18"/>
      <c r="F56" s="18"/>
      <c r="G56" s="18"/>
      <c r="H56" s="18"/>
      <c r="I56" s="18"/>
      <c r="J56" s="18"/>
      <c r="K56" s="18"/>
      <c r="L56" s="18"/>
      <c r="M56" s="18"/>
      <c r="N56" s="18"/>
      <c r="O56" s="18"/>
    </row>
    <row r="57" spans="1:15" x14ac:dyDescent="0.25">
      <c r="A57" s="18"/>
      <c r="B57" s="18"/>
      <c r="C57" s="18"/>
      <c r="D57" s="18"/>
      <c r="E57" s="18"/>
      <c r="F57" s="18"/>
      <c r="G57" s="18"/>
      <c r="H57" s="18"/>
      <c r="I57" s="18"/>
      <c r="J57" s="18"/>
      <c r="K57" s="18"/>
      <c r="L57" s="18"/>
      <c r="M57" s="18"/>
      <c r="N57" s="18"/>
      <c r="O57" s="18"/>
    </row>
    <row r="58" spans="1:15" x14ac:dyDescent="0.25">
      <c r="A58" s="18"/>
      <c r="B58" s="18"/>
      <c r="C58" s="18"/>
      <c r="D58" s="18"/>
      <c r="E58" s="18"/>
      <c r="F58" s="18"/>
      <c r="G58" s="18"/>
      <c r="H58" s="18"/>
      <c r="I58" s="18"/>
      <c r="J58" s="18"/>
      <c r="K58" s="18"/>
      <c r="L58" s="18"/>
      <c r="M58" s="18"/>
      <c r="N58" s="18"/>
      <c r="O58" s="18"/>
    </row>
    <row r="59" spans="1:15" x14ac:dyDescent="0.25">
      <c r="A59" s="18"/>
      <c r="B59" s="18"/>
      <c r="C59" s="18"/>
      <c r="D59" s="18"/>
      <c r="E59" s="18"/>
      <c r="F59" s="18"/>
      <c r="G59" s="18"/>
      <c r="H59" s="18"/>
      <c r="I59" s="18"/>
      <c r="J59" s="18"/>
      <c r="K59" s="18"/>
      <c r="L59" s="18"/>
      <c r="M59" s="18"/>
      <c r="N59" s="18"/>
      <c r="O59" s="18"/>
    </row>
    <row r="60" spans="1:15" x14ac:dyDescent="0.25">
      <c r="A60" s="18"/>
      <c r="B60" s="18"/>
      <c r="C60" s="18"/>
      <c r="D60" s="18"/>
      <c r="E60" s="18"/>
      <c r="F60" s="18"/>
      <c r="G60" s="18"/>
      <c r="H60" s="18"/>
      <c r="I60" s="18"/>
      <c r="J60" s="18"/>
      <c r="K60" s="18"/>
      <c r="L60" s="18"/>
      <c r="M60" s="18"/>
      <c r="N60" s="18"/>
      <c r="O60" s="18"/>
    </row>
    <row r="61" spans="1:15" x14ac:dyDescent="0.25">
      <c r="A61" s="18"/>
      <c r="B61" s="18"/>
      <c r="C61" s="18"/>
      <c r="D61" s="18"/>
      <c r="E61" s="18"/>
      <c r="F61" s="18"/>
      <c r="G61" s="18"/>
      <c r="H61" s="18"/>
      <c r="I61" s="18"/>
      <c r="J61" s="18"/>
      <c r="K61" s="18"/>
      <c r="L61" s="18"/>
      <c r="M61" s="18"/>
      <c r="N61" s="18"/>
      <c r="O61" s="18"/>
    </row>
    <row r="62" spans="1:15" x14ac:dyDescent="0.25">
      <c r="A62" s="18"/>
      <c r="B62" s="18"/>
      <c r="C62" s="18"/>
      <c r="D62" s="18"/>
      <c r="E62" s="18"/>
      <c r="F62" s="18"/>
      <c r="G62" s="18"/>
      <c r="H62" s="18"/>
      <c r="I62" s="18"/>
      <c r="J62" s="18"/>
      <c r="K62" s="18"/>
      <c r="L62" s="18"/>
      <c r="M62" s="18"/>
      <c r="N62" s="18"/>
      <c r="O62" s="18"/>
    </row>
    <row r="63" spans="1:15" x14ac:dyDescent="0.25">
      <c r="A63" s="18"/>
      <c r="B63" s="18"/>
      <c r="C63" s="18"/>
      <c r="D63" s="18"/>
      <c r="E63" s="18"/>
      <c r="F63" s="18"/>
      <c r="G63" s="18"/>
      <c r="H63" s="18"/>
      <c r="I63" s="18"/>
      <c r="J63" s="18"/>
      <c r="K63" s="18"/>
      <c r="L63" s="18"/>
      <c r="M63" s="18"/>
      <c r="N63" s="18"/>
      <c r="O63" s="18"/>
    </row>
    <row r="64" spans="1:15" x14ac:dyDescent="0.25">
      <c r="A64" s="18"/>
      <c r="B64" s="18"/>
      <c r="C64" s="18"/>
      <c r="D64" s="18"/>
      <c r="E64" s="18"/>
      <c r="F64" s="18"/>
      <c r="G64" s="18"/>
      <c r="H64" s="18"/>
      <c r="I64" s="18"/>
      <c r="J64" s="18"/>
      <c r="K64" s="18"/>
      <c r="L64" s="18"/>
      <c r="M64" s="18"/>
      <c r="N64" s="18"/>
      <c r="O64" s="18"/>
    </row>
    <row r="65" spans="1:15" x14ac:dyDescent="0.25">
      <c r="A65" s="18"/>
      <c r="B65" s="18"/>
      <c r="C65" s="18"/>
      <c r="D65" s="18"/>
      <c r="E65" s="18"/>
      <c r="F65" s="18"/>
      <c r="G65" s="18"/>
      <c r="H65" s="18"/>
      <c r="I65" s="18"/>
      <c r="J65" s="18"/>
      <c r="K65" s="18"/>
      <c r="L65" s="18"/>
      <c r="M65" s="18"/>
      <c r="N65" s="18"/>
      <c r="O65" s="18"/>
    </row>
    <row r="66" spans="1:15" x14ac:dyDescent="0.25">
      <c r="A66" s="18"/>
      <c r="B66" s="18"/>
      <c r="C66" s="18"/>
      <c r="D66" s="18"/>
      <c r="E66" s="18"/>
      <c r="F66" s="18"/>
      <c r="G66" s="18"/>
      <c r="H66" s="18"/>
      <c r="I66" s="18"/>
      <c r="J66" s="18"/>
      <c r="K66" s="18"/>
      <c r="L66" s="18"/>
      <c r="M66" s="18"/>
      <c r="N66" s="18"/>
      <c r="O66" s="18"/>
    </row>
    <row r="67" spans="1:15" x14ac:dyDescent="0.25">
      <c r="A67" s="18"/>
      <c r="B67" s="18"/>
      <c r="C67" s="18"/>
      <c r="D67" s="18"/>
      <c r="E67" s="18"/>
      <c r="F67" s="18"/>
      <c r="G67" s="18"/>
      <c r="H67" s="18"/>
      <c r="I67" s="18"/>
      <c r="J67" s="18"/>
      <c r="K67" s="18"/>
      <c r="L67" s="18"/>
      <c r="M67" s="18"/>
      <c r="N67" s="18"/>
      <c r="O67" s="18"/>
    </row>
    <row r="68" spans="1:15" x14ac:dyDescent="0.25">
      <c r="A68" s="18"/>
      <c r="B68" s="18"/>
      <c r="C68" s="18"/>
      <c r="D68" s="18"/>
      <c r="E68" s="18"/>
      <c r="F68" s="18"/>
      <c r="G68" s="18"/>
      <c r="H68" s="18"/>
      <c r="I68" s="18"/>
      <c r="J68" s="18"/>
      <c r="K68" s="18"/>
      <c r="L68" s="18"/>
      <c r="M68" s="18"/>
      <c r="N68" s="18"/>
      <c r="O68" s="18"/>
    </row>
    <row r="69" spans="1:15" x14ac:dyDescent="0.2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2026-06-25T02:03:35Z</dcterms:modified>
</cp:coreProperties>
</file>