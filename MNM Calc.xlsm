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209AE086-D99C-43B2-A01D-CFAE80B4EF99}" xr6:coauthVersionLast="47" xr6:coauthVersionMax="47" xr10:uidLastSave="{00000000-0000-0000-0000-000000000000}"/>
  <bookViews>
    <workbookView xWindow="3828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Matchups!$A$1:$R$5779</definedName>
    <definedName name="Slicer_Month">#N/A</definedName>
    <definedName name="Slicer_Year">#N/A</definedName>
  </definedNames>
  <calcPr calcId="191029"/>
  <pivotCaches>
    <pivotCache cacheId="23" r:id="rId11"/>
    <pivotCache cacheId="33"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21" i="1" l="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4" i="2"/>
  <c r="H14" i="2"/>
  <c r="I14" i="2"/>
  <c r="K14" i="2"/>
  <c r="L14" i="2"/>
  <c r="M14" i="2"/>
  <c r="G99" i="2"/>
  <c r="H99" i="2"/>
  <c r="I99" i="2"/>
  <c r="K99" i="2"/>
  <c r="L99" i="2"/>
  <c r="M99" i="2"/>
  <c r="G102" i="2"/>
  <c r="H102" i="2"/>
  <c r="I102" i="2"/>
  <c r="K102" i="2"/>
  <c r="L102" i="2"/>
  <c r="M102" i="2"/>
  <c r="G101" i="2"/>
  <c r="H101" i="2"/>
  <c r="I101" i="2"/>
  <c r="K101" i="2"/>
  <c r="L101" i="2"/>
  <c r="M101" i="2"/>
  <c r="G100" i="2"/>
  <c r="H100" i="2"/>
  <c r="I100" i="2"/>
  <c r="K100" i="2"/>
  <c r="L100" i="2"/>
  <c r="M100" i="2"/>
  <c r="G98" i="2"/>
  <c r="H98" i="2"/>
  <c r="I98" i="2"/>
  <c r="K98" i="2"/>
  <c r="L98" i="2"/>
  <c r="M98" i="2"/>
  <c r="G45" i="2"/>
  <c r="H45" i="2"/>
  <c r="I45" i="2"/>
  <c r="K45" i="2"/>
  <c r="L45" i="2"/>
  <c r="M45" i="2"/>
  <c r="G30" i="2"/>
  <c r="H30" i="2"/>
  <c r="I30" i="2"/>
  <c r="K30" i="2"/>
  <c r="L30" i="2"/>
  <c r="M30"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6" i="2"/>
  <c r="H96" i="2"/>
  <c r="I96" i="2"/>
  <c r="K96" i="2"/>
  <c r="L96" i="2"/>
  <c r="M96" i="2"/>
  <c r="G56" i="2"/>
  <c r="H56" i="2"/>
  <c r="I56" i="2"/>
  <c r="K56" i="2"/>
  <c r="L56" i="2"/>
  <c r="M56" i="2"/>
  <c r="G20" i="2"/>
  <c r="H20" i="2"/>
  <c r="I20" i="2"/>
  <c r="K20" i="2"/>
  <c r="L20" i="2"/>
  <c r="M20" i="2"/>
  <c r="G94" i="2"/>
  <c r="H94" i="2"/>
  <c r="I94" i="2"/>
  <c r="K94" i="2"/>
  <c r="L94" i="2"/>
  <c r="M94" i="2"/>
  <c r="G90" i="2"/>
  <c r="H90" i="2"/>
  <c r="I90" i="2"/>
  <c r="K90" i="2"/>
  <c r="L90" i="2"/>
  <c r="M90"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8" i="2"/>
  <c r="H18" i="2"/>
  <c r="I18" i="2"/>
  <c r="K18" i="2"/>
  <c r="L18" i="2"/>
  <c r="M18"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6" i="14" s="1"/>
  <c r="G54" i="14"/>
  <c r="H54" i="14"/>
  <c r="H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3" i="2"/>
  <c r="H93" i="2"/>
  <c r="I93" i="2"/>
  <c r="K93" i="2"/>
  <c r="L93" i="2"/>
  <c r="M93"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43" i="2"/>
  <c r="L8" i="2"/>
  <c r="L65" i="2"/>
  <c r="G62" i="2"/>
  <c r="M54" i="2"/>
  <c r="M68" i="2"/>
  <c r="M71" i="2"/>
  <c r="I67" i="2"/>
  <c r="M44" i="2"/>
  <c r="K69" i="2"/>
  <c r="M5" i="2"/>
  <c r="G44" i="2"/>
  <c r="K62" i="2"/>
  <c r="K42" i="2"/>
  <c r="M79" i="2"/>
  <c r="H70" i="2"/>
  <c r="I31" i="2"/>
  <c r="I6" i="2"/>
  <c r="H16" i="2"/>
  <c r="M77" i="2"/>
  <c r="H6" i="2"/>
  <c r="M7" i="2"/>
  <c r="M66" i="2"/>
  <c r="M6" i="2"/>
  <c r="H58" i="2"/>
  <c r="G75" i="2"/>
  <c r="L54" i="2"/>
  <c r="K65" i="2"/>
  <c r="G72" i="2"/>
  <c r="K79" i="2"/>
  <c r="G16" i="2"/>
  <c r="L83" i="2"/>
  <c r="K23" i="2"/>
  <c r="H60" i="2"/>
  <c r="I43" i="2"/>
  <c r="M97"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2" i="2"/>
  <c r="I7" i="2"/>
  <c r="I65" i="2"/>
  <c r="L37" i="2"/>
  <c r="M37" i="2"/>
  <c r="M70" i="2"/>
  <c r="G68" i="2"/>
  <c r="G60" i="2"/>
  <c r="L7" i="2"/>
  <c r="L63" i="2"/>
  <c r="M63" i="2"/>
  <c r="H15" i="2"/>
  <c r="H31" i="2"/>
  <c r="M40" i="2"/>
  <c r="M62" i="2"/>
  <c r="G67" i="2"/>
  <c r="H64" i="2"/>
  <c r="L71" i="2"/>
  <c r="H55" i="2"/>
  <c r="L50" i="2"/>
  <c r="H74" i="2"/>
  <c r="K63" i="2"/>
  <c r="G73" i="2"/>
  <c r="K67" i="2"/>
  <c r="G74" i="2"/>
  <c r="K43" i="2"/>
  <c r="I64" i="2"/>
  <c r="L31" i="2"/>
  <c r="H97" i="2"/>
  <c r="H40" i="2"/>
  <c r="L69" i="2"/>
  <c r="M65" i="2"/>
  <c r="H42" i="2"/>
  <c r="G63" i="2"/>
  <c r="H7" i="2"/>
  <c r="G65" i="2"/>
  <c r="K77" i="2"/>
  <c r="I76" i="2"/>
  <c r="I59" i="2"/>
  <c r="M31" i="2"/>
  <c r="H62" i="2"/>
  <c r="M72" i="2"/>
  <c r="I92" i="2"/>
  <c r="I57" i="2"/>
  <c r="H79" i="2"/>
  <c r="G69" i="2"/>
  <c r="I66" i="2"/>
  <c r="H67" i="2"/>
  <c r="I60" i="2"/>
  <c r="M67" i="2"/>
  <c r="H37" i="2"/>
  <c r="L15" i="2"/>
  <c r="L53" i="2"/>
  <c r="G66" i="2"/>
  <c r="L13" i="2"/>
  <c r="I75" i="2"/>
  <c r="G53" i="2"/>
  <c r="G76" i="2"/>
  <c r="L6" i="2"/>
  <c r="L48" i="2"/>
  <c r="H5" i="2"/>
  <c r="I79" i="2"/>
  <c r="L16" i="2"/>
  <c r="G58" i="2"/>
  <c r="G92" i="2"/>
  <c r="M43" i="2"/>
  <c r="K92" i="2"/>
  <c r="I44" i="2"/>
  <c r="M74" i="2"/>
  <c r="G6" i="2"/>
  <c r="K73" i="2"/>
  <c r="I69" i="2"/>
  <c r="M50" i="2"/>
  <c r="G13" i="2"/>
  <c r="I77" i="2"/>
  <c r="K71" i="2"/>
  <c r="L78" i="2"/>
  <c r="M55" i="2"/>
  <c r="H50" i="2"/>
  <c r="H44" i="2"/>
  <c r="G71" i="2"/>
  <c r="I70" i="2"/>
  <c r="M8" i="2"/>
  <c r="I83" i="2"/>
  <c r="K6" i="2"/>
  <c r="G70" i="2"/>
  <c r="I52" i="2"/>
  <c r="G7" i="2"/>
  <c r="H53" i="2"/>
  <c r="H73" i="2"/>
  <c r="L92" i="2"/>
  <c r="M78" i="2"/>
  <c r="M23" i="2"/>
  <c r="L62" i="2"/>
  <c r="L68" i="2"/>
  <c r="K55" i="2"/>
  <c r="M83" i="2"/>
  <c r="L64" i="2"/>
  <c r="G8" i="2"/>
  <c r="M42" i="2"/>
  <c r="L72" i="2"/>
  <c r="L67" i="2"/>
  <c r="I62" i="2"/>
  <c r="K52" i="2"/>
  <c r="G97" i="2"/>
  <c r="G83" i="2"/>
  <c r="G15" i="2"/>
  <c r="M13" i="2"/>
  <c r="M61" i="2"/>
  <c r="G57" i="2"/>
  <c r="L97" i="2"/>
  <c r="K61" i="2"/>
  <c r="G54" i="2"/>
  <c r="L59" i="2"/>
  <c r="K40" i="2"/>
  <c r="L57" i="2"/>
  <c r="I8" i="2"/>
  <c r="G78" i="2"/>
  <c r="K74" i="2"/>
  <c r="K54" i="2"/>
  <c r="G40" i="2"/>
  <c r="L52" i="2"/>
  <c r="H75" i="2"/>
  <c r="M60" i="2"/>
  <c r="I55" i="2"/>
  <c r="G43" i="2"/>
  <c r="I68" i="2"/>
  <c r="L75" i="2"/>
  <c r="K8" i="2"/>
  <c r="K97" i="2"/>
  <c r="H13" i="2"/>
  <c r="M48" i="2"/>
  <c r="M69" i="2"/>
  <c r="G23" i="2"/>
  <c r="K16" i="2"/>
  <c r="K13" i="2"/>
  <c r="H54" i="2"/>
  <c r="M92" i="2"/>
  <c r="L40" i="2"/>
  <c r="I53" i="2"/>
  <c r="I48" i="2"/>
  <c r="K57" i="2"/>
  <c r="G55" i="2"/>
  <c r="M16" i="2"/>
  <c r="L66" i="2"/>
  <c r="H65" i="2"/>
  <c r="I97" i="2"/>
  <c r="G79" i="2"/>
  <c r="I74" i="2"/>
  <c r="L73" i="2"/>
  <c r="K50" i="2"/>
  <c r="H71" i="2"/>
  <c r="L61" i="2"/>
  <c r="G5" i="2"/>
  <c r="K5" i="2"/>
  <c r="M57" i="2"/>
  <c r="G31" i="2"/>
  <c r="L70" i="2"/>
  <c r="G64" i="2"/>
  <c r="G37" i="2"/>
  <c r="M64" i="2"/>
  <c r="K66" i="2"/>
  <c r="M59" i="2"/>
  <c r="K37" i="2"/>
  <c r="I40" i="2"/>
  <c r="L42" i="2"/>
  <c r="H8" i="2"/>
  <c r="H63" i="2"/>
  <c r="I23" i="2"/>
  <c r="H43" i="2"/>
  <c r="M58" i="2"/>
  <c r="I13" i="2"/>
  <c r="K75" i="2"/>
  <c r="K15" i="2"/>
  <c r="K70" i="2"/>
  <c r="L5" i="2"/>
  <c r="H66" i="2"/>
  <c r="K83" i="2"/>
  <c r="M52" i="2"/>
  <c r="G59" i="2"/>
  <c r="H61" i="2"/>
  <c r="H69" i="2"/>
  <c r="K60" i="2"/>
  <c r="H83" i="2"/>
  <c r="I16" i="2"/>
  <c r="H78" i="2"/>
  <c r="L44" i="2"/>
  <c r="I58" i="2"/>
  <c r="H23" i="2"/>
  <c r="I15" i="2"/>
  <c r="I72" i="2"/>
  <c r="G42" i="2"/>
  <c r="K44" i="2"/>
  <c r="K58" i="2"/>
  <c r="K59" i="2"/>
  <c r="M75" i="2"/>
  <c r="K72" i="2"/>
  <c r="K48" i="2"/>
  <c r="K53" i="2"/>
  <c r="K31" i="2"/>
  <c r="M53" i="2"/>
  <c r="K68" i="2"/>
  <c r="G52" i="2"/>
  <c r="K76" i="2"/>
  <c r="I42" i="2"/>
  <c r="J104" i="2" l="1"/>
  <c r="N104" i="2"/>
  <c r="O104" i="2"/>
  <c r="J14" i="2"/>
  <c r="N14" i="2"/>
  <c r="O14" i="2" s="1"/>
  <c r="J99" i="2"/>
  <c r="N99" i="2"/>
  <c r="O99" i="2" s="1"/>
  <c r="J102" i="2"/>
  <c r="N102" i="2"/>
  <c r="O102" i="2" s="1"/>
  <c r="J101" i="2"/>
  <c r="N101" i="2"/>
  <c r="O101" i="2" s="1"/>
  <c r="J100" i="2"/>
  <c r="N100" i="2"/>
  <c r="O100" i="2" s="1"/>
  <c r="J98" i="2"/>
  <c r="N98" i="2"/>
  <c r="O98" i="2" s="1"/>
  <c r="J45" i="2"/>
  <c r="N45" i="2"/>
  <c r="O45" i="2" s="1"/>
  <c r="H55" i="14"/>
  <c r="J30" i="2"/>
  <c r="N30" i="2"/>
  <c r="O30" i="2" s="1"/>
  <c r="J96" i="2"/>
  <c r="N96" i="2"/>
  <c r="O96" i="2" s="1"/>
  <c r="J56" i="2"/>
  <c r="N56" i="2"/>
  <c r="O56" i="2" s="1"/>
  <c r="J20" i="2"/>
  <c r="N20" i="2"/>
  <c r="O20" i="2" s="1"/>
  <c r="J94" i="2"/>
  <c r="N94" i="2"/>
  <c r="O94" i="2" s="1"/>
  <c r="J90" i="2"/>
  <c r="N90" i="2"/>
  <c r="O90" i="2" s="1"/>
  <c r="G55" i="14"/>
  <c r="J80" i="2"/>
  <c r="F80" i="2" s="1"/>
  <c r="N80" i="2"/>
  <c r="O80" i="2" s="1"/>
  <c r="J51" i="2"/>
  <c r="F51" i="2" s="1"/>
  <c r="N51" i="2"/>
  <c r="J85" i="2"/>
  <c r="F85" i="2" s="1"/>
  <c r="N85" i="2"/>
  <c r="J84" i="2"/>
  <c r="F84" i="2" s="1"/>
  <c r="N84" i="2"/>
  <c r="O84" i="2" s="1"/>
  <c r="J18" i="2"/>
  <c r="F18" i="2" s="1"/>
  <c r="N18" i="2"/>
  <c r="H53" i="14"/>
  <c r="J91" i="2"/>
  <c r="F91" i="2" s="1"/>
  <c r="N91" i="2"/>
  <c r="J89" i="2"/>
  <c r="N89" i="2"/>
  <c r="O89" i="2" s="1"/>
  <c r="J88" i="2"/>
  <c r="N88" i="2"/>
  <c r="J87" i="2"/>
  <c r="N87" i="2"/>
  <c r="J86" i="2"/>
  <c r="N86" i="2"/>
  <c r="J49" i="2"/>
  <c r="N49" i="2"/>
  <c r="O49" i="2" s="1"/>
  <c r="J47" i="2"/>
  <c r="N47" i="2"/>
  <c r="O47" i="2" s="1"/>
  <c r="J93" i="2"/>
  <c r="N93" i="2"/>
  <c r="J81" i="2"/>
  <c r="N81" i="2"/>
  <c r="O81" i="2" s="1"/>
  <c r="N92" i="2"/>
  <c r="O92" i="2" s="1"/>
  <c r="J92" i="2"/>
  <c r="F92" i="2" s="1"/>
  <c r="H52" i="14"/>
  <c r="N31" i="2"/>
  <c r="O31" i="2" s="1"/>
  <c r="J31" i="2"/>
  <c r="F31" i="2" s="1"/>
  <c r="N8" i="2"/>
  <c r="O8" i="2" s="1"/>
  <c r="J8" i="2"/>
  <c r="F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13" i="2"/>
  <c r="O13" i="2" s="1"/>
  <c r="J13" i="2"/>
  <c r="F13" i="2" s="1"/>
  <c r="N62" i="2"/>
  <c r="O62" i="2" s="1"/>
  <c r="J62" i="2"/>
  <c r="F62" i="2" s="1"/>
  <c r="N61" i="2"/>
  <c r="O61" i="2" s="1"/>
  <c r="J61" i="2"/>
  <c r="F61" i="2" s="1"/>
  <c r="N60" i="2"/>
  <c r="O60" i="2" s="1"/>
  <c r="J60" i="2"/>
  <c r="F60" i="2" s="1"/>
  <c r="N66" i="2"/>
  <c r="O66" i="2" s="1"/>
  <c r="J66" i="2"/>
  <c r="F66" i="2" s="1"/>
  <c r="N59" i="2"/>
  <c r="O59" i="2" s="1"/>
  <c r="J59" i="2"/>
  <c r="F59" i="2" s="1"/>
  <c r="N58" i="2"/>
  <c r="O58" i="2" s="1"/>
  <c r="J58" i="2"/>
  <c r="F58" i="2" s="1"/>
  <c r="N57" i="2"/>
  <c r="O57" i="2" s="1"/>
  <c r="J57" i="2"/>
  <c r="F57" i="2" s="1"/>
  <c r="N97" i="2"/>
  <c r="O97" i="2" s="1"/>
  <c r="J97" i="2"/>
  <c r="F97"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43" i="2"/>
  <c r="O43" i="2" s="1"/>
  <c r="J43" i="2"/>
  <c r="F43" i="2" s="1"/>
  <c r="N44" i="2"/>
  <c r="O44" i="2" s="1"/>
  <c r="J44" i="2"/>
  <c r="F44" i="2" s="1"/>
  <c r="N48" i="2"/>
  <c r="O48" i="2" s="1"/>
  <c r="J48" i="2"/>
  <c r="F48" i="2" s="1"/>
  <c r="H51" i="14"/>
  <c r="N42" i="2"/>
  <c r="O42" i="2" s="1"/>
  <c r="J42" i="2"/>
  <c r="F42" i="2" s="1"/>
  <c r="N40" i="2"/>
  <c r="O40" i="2" s="1"/>
  <c r="J40" i="2"/>
  <c r="F40" i="2" s="1"/>
  <c r="H50" i="14"/>
  <c r="H49" i="14"/>
  <c r="H46" i="14"/>
  <c r="N16" i="2"/>
  <c r="O16" i="2" s="1"/>
  <c r="J16" i="2"/>
  <c r="F16" i="2" s="1"/>
  <c r="N37" i="2"/>
  <c r="O37" i="2" s="1"/>
  <c r="J37" i="2"/>
  <c r="F37" i="2" s="1"/>
  <c r="H48" i="14"/>
  <c r="N23" i="2"/>
  <c r="O23" i="2" s="1"/>
  <c r="J23" i="2"/>
  <c r="F23" i="2" s="1"/>
  <c r="N7" i="2"/>
  <c r="O7" i="2" s="1"/>
  <c r="J7" i="2"/>
  <c r="F7" i="2" s="1"/>
  <c r="N83" i="2"/>
  <c r="O83" i="2" s="1"/>
  <c r="J83" i="2"/>
  <c r="F83"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38" i="2"/>
  <c r="I25" i="2"/>
  <c r="C6" i="5"/>
  <c r="H33" i="2"/>
  <c r="G17" i="2"/>
  <c r="M9" i="2"/>
  <c r="M10" i="2"/>
  <c r="M32" i="2"/>
  <c r="I11" i="2"/>
  <c r="G9" i="2"/>
  <c r="H25" i="2"/>
  <c r="K24" i="2"/>
  <c r="G82" i="2"/>
  <c r="M103" i="2"/>
  <c r="L11" i="2"/>
  <c r="M33" i="2"/>
  <c r="L38" i="2"/>
  <c r="L95" i="2"/>
  <c r="L35" i="2"/>
  <c r="H26" i="2"/>
  <c r="G38" i="2"/>
  <c r="I12" i="2"/>
  <c r="H38" i="2"/>
  <c r="I38" i="2"/>
  <c r="G103" i="2"/>
  <c r="M27" i="2"/>
  <c r="I29" i="2"/>
  <c r="L21" i="2"/>
  <c r="K21" i="2"/>
  <c r="C9" i="5"/>
  <c r="K32" i="2"/>
  <c r="H46" i="2"/>
  <c r="I24" i="2"/>
  <c r="G35" i="2"/>
  <c r="H24" i="2"/>
  <c r="H12" i="2"/>
  <c r="K26" i="2"/>
  <c r="L26" i="2"/>
  <c r="H21" i="2"/>
  <c r="K29" i="2"/>
  <c r="G36" i="2"/>
  <c r="I19" i="2"/>
  <c r="H35" i="2"/>
  <c r="M82" i="2"/>
  <c r="L24" i="2"/>
  <c r="L9" i="2"/>
  <c r="M34" i="2"/>
  <c r="M29" i="2"/>
  <c r="G25" i="2"/>
  <c r="K11" i="2"/>
  <c r="K27" i="2"/>
  <c r="I9" i="2"/>
  <c r="G46" i="2"/>
  <c r="M35" i="2"/>
  <c r="H36" i="2"/>
  <c r="K41" i="2"/>
  <c r="I36" i="2"/>
  <c r="I82" i="2"/>
  <c r="C5" i="5"/>
  <c r="I22" i="2"/>
  <c r="M39" i="2"/>
  <c r="G32" i="2"/>
  <c r="G27" i="2"/>
  <c r="G39" i="2"/>
  <c r="I21" i="2"/>
  <c r="M46" i="2"/>
  <c r="K103" i="2"/>
  <c r="I39" i="2"/>
  <c r="G11" i="2"/>
  <c r="H28" i="2"/>
  <c r="L10" i="2"/>
  <c r="G29" i="2"/>
  <c r="M12" i="2"/>
  <c r="L41" i="2"/>
  <c r="L22" i="2"/>
  <c r="G34" i="2"/>
  <c r="I27" i="2"/>
  <c r="L29" i="2"/>
  <c r="K12" i="2"/>
  <c r="I95" i="2"/>
  <c r="M24" i="2"/>
  <c r="G22" i="2"/>
  <c r="M11" i="2"/>
  <c r="H103" i="2"/>
  <c r="G10" i="2"/>
  <c r="H17" i="2"/>
  <c r="G21" i="2"/>
  <c r="M41" i="2"/>
  <c r="K25" i="2"/>
  <c r="M38" i="2"/>
  <c r="L17" i="2"/>
  <c r="H22" i="2"/>
  <c r="H32" i="2"/>
  <c r="I26" i="2"/>
  <c r="K17" i="2"/>
  <c r="M17" i="2"/>
  <c r="H34" i="2"/>
  <c r="L33" i="2"/>
  <c r="I35" i="2"/>
  <c r="C16" i="5"/>
  <c r="I33" i="2"/>
  <c r="I17" i="2"/>
  <c r="M21" i="2"/>
  <c r="K82" i="2"/>
  <c r="K36" i="2"/>
  <c r="I28" i="2"/>
  <c r="K9" i="2"/>
  <c r="H9" i="2"/>
  <c r="H29" i="2"/>
  <c r="L36" i="2"/>
  <c r="H11" i="2"/>
  <c r="M26" i="2"/>
  <c r="C7" i="5"/>
  <c r="K10" i="2"/>
  <c r="C10" i="5"/>
  <c r="G24" i="2"/>
  <c r="K39" i="2"/>
  <c r="I34" i="2"/>
  <c r="H95" i="2"/>
  <c r="G33" i="2"/>
  <c r="L32" i="2"/>
  <c r="K35" i="2"/>
  <c r="G41" i="2"/>
  <c r="L103" i="2"/>
  <c r="H27" i="2"/>
  <c r="M95" i="2"/>
  <c r="I10" i="2"/>
  <c r="M22" i="2"/>
  <c r="L12" i="2"/>
  <c r="G12" i="2"/>
  <c r="M19" i="2"/>
  <c r="L39" i="2"/>
  <c r="L25" i="2"/>
  <c r="L27" i="2"/>
  <c r="H19" i="2"/>
  <c r="H10" i="2"/>
  <c r="K28" i="2"/>
  <c r="K95" i="2"/>
  <c r="M28" i="2"/>
  <c r="H82" i="2"/>
  <c r="K34" i="2"/>
  <c r="C8" i="5"/>
  <c r="L19" i="2"/>
  <c r="G95" i="2"/>
  <c r="I32" i="2"/>
  <c r="K33" i="2"/>
  <c r="G26" i="2"/>
  <c r="G19" i="2"/>
  <c r="L82" i="2"/>
  <c r="I103" i="2"/>
  <c r="K46" i="2"/>
  <c r="I46" i="2"/>
  <c r="G28" i="2"/>
  <c r="L28" i="2"/>
  <c r="K22" i="2"/>
  <c r="M25" i="2"/>
  <c r="M36" i="2"/>
  <c r="H2021" i="1" l="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4" i="2"/>
  <c r="E14" i="2"/>
  <c r="F99" i="2"/>
  <c r="E99" i="2"/>
  <c r="F102" i="2"/>
  <c r="E102" i="2"/>
  <c r="F101" i="2"/>
  <c r="E101" i="2"/>
  <c r="F100" i="2"/>
  <c r="E100" i="2"/>
  <c r="F98" i="2"/>
  <c r="E98" i="2"/>
  <c r="F45" i="2"/>
  <c r="E45" i="2"/>
  <c r="F30" i="2"/>
  <c r="E30"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6" i="2"/>
  <c r="E96" i="2"/>
  <c r="F56" i="2"/>
  <c r="E56" i="2"/>
  <c r="F20" i="2"/>
  <c r="E20" i="2"/>
  <c r="F94" i="2"/>
  <c r="E94" i="2"/>
  <c r="F90" i="2"/>
  <c r="E90"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3"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18" i="2"/>
  <c r="E18"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3" i="2"/>
  <c r="E93"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2"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8" i="2"/>
  <c r="E79" i="2"/>
  <c r="E78" i="2"/>
  <c r="E77" i="2"/>
  <c r="E76" i="2"/>
  <c r="E75" i="2"/>
  <c r="E74" i="2"/>
  <c r="E73" i="2"/>
  <c r="E72" i="2"/>
  <c r="E71" i="2"/>
  <c r="E70" i="2"/>
  <c r="E69" i="2"/>
  <c r="E68" i="2"/>
  <c r="E67" i="2"/>
  <c r="E6" i="2"/>
  <c r="E65" i="2"/>
  <c r="E64" i="2"/>
  <c r="E63" i="2"/>
  <c r="E13" i="2"/>
  <c r="E62" i="2"/>
  <c r="E61" i="2"/>
  <c r="E60" i="2"/>
  <c r="E66" i="2"/>
  <c r="E59" i="2"/>
  <c r="E58" i="2"/>
  <c r="E57" i="2"/>
  <c r="E97" i="2"/>
  <c r="E55" i="2"/>
  <c r="E54" i="2"/>
  <c r="E53" i="2"/>
  <c r="E52" i="2"/>
  <c r="E5" i="2"/>
  <c r="E50" i="2"/>
  <c r="E43" i="2"/>
  <c r="E44"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6"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3"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82" i="2"/>
  <c r="O82" i="2" s="1"/>
  <c r="J11" i="2"/>
  <c r="F11" i="2" s="1"/>
  <c r="J12" i="2"/>
  <c r="F12" i="2" s="1"/>
  <c r="J41" i="2"/>
  <c r="F41" i="2" s="1"/>
  <c r="J22" i="2"/>
  <c r="F22" i="2" s="1"/>
  <c r="J35" i="2"/>
  <c r="F35" i="2" s="1"/>
  <c r="N12" i="2"/>
  <c r="O12" i="2" s="1"/>
  <c r="N11" i="2"/>
  <c r="O11" i="2" s="1"/>
  <c r="N39" i="2"/>
  <c r="O39" i="2" s="1"/>
  <c r="N9" i="2"/>
  <c r="O9" i="2" s="1"/>
  <c r="J32" i="2"/>
  <c r="F32" i="2" s="1"/>
  <c r="N95" i="2"/>
  <c r="O95"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35" i="2"/>
  <c r="O35" i="2" s="1"/>
  <c r="J27" i="2"/>
  <c r="F27" i="2" s="1"/>
  <c r="N21" i="2"/>
  <c r="O21" i="2" s="1"/>
  <c r="N27" i="2"/>
  <c r="O27" i="2" s="1"/>
  <c r="J24" i="2"/>
  <c r="F24" i="2" s="1"/>
  <c r="N10" i="2"/>
  <c r="O10" i="2" s="1"/>
  <c r="N22" i="2"/>
  <c r="O22" i="2" s="1"/>
  <c r="N36" i="2"/>
  <c r="O36" i="2" s="1"/>
  <c r="N103" i="2"/>
  <c r="O103" i="2" s="1"/>
  <c r="N32" i="2"/>
  <c r="O32" i="2" s="1"/>
  <c r="N38" i="2"/>
  <c r="O38"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9" i="2"/>
  <c r="F9" i="2" s="1"/>
  <c r="J82" i="2"/>
  <c r="F82" i="2" s="1"/>
  <c r="J10" i="2"/>
  <c r="F10" i="2" s="1"/>
  <c r="J21" i="2"/>
  <c r="F21" i="2" s="1"/>
  <c r="J38" i="2"/>
  <c r="F38" i="2" s="1"/>
  <c r="J103" i="2"/>
  <c r="F103" i="2" s="1"/>
  <c r="J95" i="2"/>
  <c r="F95" i="2" s="1"/>
  <c r="C13" i="5"/>
  <c r="D9" i="5"/>
  <c r="G20" i="5"/>
  <c r="G17" i="5"/>
  <c r="G19" i="5"/>
  <c r="G16" i="5"/>
  <c r="G18" i="5"/>
  <c r="G21" i="5" s="1"/>
  <c r="P104" i="2" l="1"/>
  <c r="P14" i="2"/>
  <c r="P99" i="2"/>
  <c r="P102" i="2"/>
  <c r="P101" i="2"/>
  <c r="P100" i="2"/>
  <c r="P98" i="2"/>
  <c r="P45" i="2"/>
  <c r="P30" i="2"/>
  <c r="P96" i="2"/>
  <c r="P56" i="2"/>
  <c r="P20" i="2"/>
  <c r="P94" i="2"/>
  <c r="P90" i="2"/>
  <c r="P80" i="2"/>
  <c r="P51" i="2"/>
  <c r="P85" i="2"/>
  <c r="P84" i="2"/>
  <c r="P18" i="2"/>
  <c r="P91" i="2"/>
  <c r="P89" i="2"/>
  <c r="P88" i="2"/>
  <c r="P87" i="2"/>
  <c r="P86" i="2"/>
  <c r="P47" i="2"/>
  <c r="P49" i="2"/>
  <c r="P93" i="2"/>
  <c r="P81" i="2"/>
  <c r="P92" i="2"/>
  <c r="P31" i="2"/>
  <c r="P79" i="2"/>
  <c r="P8" i="2"/>
  <c r="P77" i="2"/>
  <c r="P78" i="2"/>
  <c r="P75" i="2"/>
  <c r="P76" i="2"/>
  <c r="P73" i="2"/>
  <c r="P74" i="2"/>
  <c r="P72" i="2"/>
  <c r="P69" i="2"/>
  <c r="P71" i="2"/>
  <c r="P70" i="2"/>
  <c r="P67" i="2"/>
  <c r="P68" i="2"/>
  <c r="P65" i="2"/>
  <c r="P6" i="2"/>
  <c r="P63" i="2"/>
  <c r="P64" i="2"/>
  <c r="P62" i="2"/>
  <c r="P13" i="2"/>
  <c r="P60" i="2"/>
  <c r="P61" i="2"/>
  <c r="P59" i="2"/>
  <c r="P66" i="2"/>
  <c r="P57" i="2"/>
  <c r="P58" i="2"/>
  <c r="P55" i="2"/>
  <c r="P97" i="2"/>
  <c r="P53" i="2"/>
  <c r="P54" i="2"/>
  <c r="P5" i="2"/>
  <c r="P52" i="2"/>
  <c r="P43" i="2"/>
  <c r="P50" i="2"/>
  <c r="P48" i="2"/>
  <c r="P44" i="2"/>
  <c r="P42" i="2"/>
  <c r="P40" i="2"/>
  <c r="E11" i="2"/>
  <c r="P37" i="2"/>
  <c r="P16" i="2"/>
  <c r="E34" i="2"/>
  <c r="E26" i="2"/>
  <c r="E32" i="2"/>
  <c r="P23" i="2"/>
  <c r="P7" i="2"/>
  <c r="P83" i="2"/>
  <c r="E12" i="2"/>
  <c r="E22" i="2"/>
  <c r="E27" i="2"/>
  <c r="E41" i="2"/>
  <c r="E46" i="2"/>
  <c r="P15" i="2"/>
  <c r="E29" i="2"/>
  <c r="E39" i="2"/>
  <c r="E19" i="2"/>
  <c r="E28" i="2"/>
  <c r="E35" i="2"/>
  <c r="E17" i="2"/>
  <c r="E33" i="2"/>
  <c r="E24" i="2"/>
  <c r="E25" i="2"/>
  <c r="P25" i="2"/>
  <c r="P34" i="2"/>
  <c r="P17" i="2"/>
  <c r="P33" i="2"/>
  <c r="P24" i="2"/>
  <c r="P32" i="2"/>
  <c r="P26" i="2"/>
  <c r="P39" i="2"/>
  <c r="P35" i="2"/>
  <c r="P12" i="2"/>
  <c r="P29" i="2"/>
  <c r="P11" i="2"/>
  <c r="P28" i="2"/>
  <c r="P19" i="2"/>
  <c r="P46" i="2"/>
  <c r="P41" i="2"/>
  <c r="P22" i="2"/>
  <c r="P27" i="2"/>
  <c r="E103" i="2"/>
  <c r="E9" i="2"/>
  <c r="E36" i="2"/>
  <c r="E38" i="2"/>
  <c r="E10" i="2"/>
  <c r="E21" i="2"/>
  <c r="E95"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82" i="2"/>
  <c r="D10" i="5"/>
  <c r="D7" i="5"/>
  <c r="D6" i="5"/>
  <c r="D5" i="5"/>
  <c r="C14" i="5"/>
  <c r="D104" i="2" l="1"/>
  <c r="C104" i="2" s="1"/>
  <c r="D14" i="2"/>
  <c r="C14" i="2" s="1"/>
  <c r="D99" i="2"/>
  <c r="C99" i="2" s="1"/>
  <c r="D102" i="2"/>
  <c r="C102" i="2" s="1"/>
  <c r="D101" i="2"/>
  <c r="C101" i="2" s="1"/>
  <c r="D100" i="2"/>
  <c r="C100" i="2" s="1"/>
  <c r="D98" i="2"/>
  <c r="C98" i="2" s="1"/>
  <c r="D45" i="2"/>
  <c r="C45" i="2" s="1"/>
  <c r="D30" i="2"/>
  <c r="C30" i="2" s="1"/>
  <c r="D96" i="2"/>
  <c r="C96" i="2" s="1"/>
  <c r="D56" i="2"/>
  <c r="C56" i="2" s="1"/>
  <c r="D20" i="2"/>
  <c r="C20" i="2" s="1"/>
  <c r="D90" i="2"/>
  <c r="C90" i="2" s="1"/>
  <c r="D94" i="2"/>
  <c r="C94" i="2" s="1"/>
  <c r="D80" i="2"/>
  <c r="C80" i="2" s="1"/>
  <c r="D85" i="2"/>
  <c r="C85" i="2" s="1"/>
  <c r="D51" i="2"/>
  <c r="C51" i="2" s="1"/>
  <c r="D18" i="2"/>
  <c r="C18" i="2" s="1"/>
  <c r="D84" i="2"/>
  <c r="C84" i="2" s="1"/>
  <c r="D91" i="2"/>
  <c r="C91" i="2" s="1"/>
  <c r="D89" i="2"/>
  <c r="C89" i="2" s="1"/>
  <c r="D88" i="2"/>
  <c r="C88" i="2" s="1"/>
  <c r="D87" i="2"/>
  <c r="C87" i="2" s="1"/>
  <c r="D86" i="2"/>
  <c r="C86" i="2" s="1"/>
  <c r="D47" i="2"/>
  <c r="C47" i="2" s="1"/>
  <c r="D49" i="2"/>
  <c r="C49" i="2" s="1"/>
  <c r="D81" i="2"/>
  <c r="C81" i="2" s="1"/>
  <c r="D93" i="2"/>
  <c r="C93" i="2" s="1"/>
  <c r="D92" i="2"/>
  <c r="C92" i="2" s="1"/>
  <c r="D8" i="2"/>
  <c r="C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13" i="2"/>
  <c r="C13" i="2" s="1"/>
  <c r="D63" i="2"/>
  <c r="C63" i="2" s="1"/>
  <c r="D61" i="2"/>
  <c r="C61" i="2" s="1"/>
  <c r="D62" i="2"/>
  <c r="C62" i="2" s="1"/>
  <c r="D60" i="2"/>
  <c r="C60" i="2" s="1"/>
  <c r="D59" i="2"/>
  <c r="C59" i="2" s="1"/>
  <c r="D66" i="2"/>
  <c r="C66" i="2" s="1"/>
  <c r="D57" i="2"/>
  <c r="C57" i="2" s="1"/>
  <c r="D58" i="2"/>
  <c r="C58" i="2" s="1"/>
  <c r="D55" i="2"/>
  <c r="C55" i="2" s="1"/>
  <c r="D97" i="2"/>
  <c r="C97" i="2" s="1"/>
  <c r="D53" i="2"/>
  <c r="C53" i="2" s="1"/>
  <c r="D54" i="2"/>
  <c r="C54" i="2" s="1"/>
  <c r="D5" i="2"/>
  <c r="C5" i="2" s="1"/>
  <c r="D52" i="2"/>
  <c r="C52" i="2" s="1"/>
  <c r="D43" i="2"/>
  <c r="C43" i="2" s="1"/>
  <c r="D50" i="2"/>
  <c r="C50" i="2" s="1"/>
  <c r="D48" i="2"/>
  <c r="C48" i="2" s="1"/>
  <c r="D44" i="2"/>
  <c r="C44" i="2" s="1"/>
  <c r="D42" i="2"/>
  <c r="C42" i="2" s="1"/>
  <c r="D40" i="2"/>
  <c r="C40" i="2" s="1"/>
  <c r="D16" i="2"/>
  <c r="C16" i="2" s="1"/>
  <c r="D37" i="2"/>
  <c r="C37" i="2" s="1"/>
  <c r="D23" i="2"/>
  <c r="C23" i="2" s="1"/>
  <c r="D7" i="2"/>
  <c r="C7" i="2" s="1"/>
  <c r="D83" i="2"/>
  <c r="C83" i="2" s="1"/>
  <c r="D15" i="2"/>
  <c r="C15" i="2" s="1"/>
  <c r="D25" i="2"/>
  <c r="C25" i="2" s="1"/>
  <c r="D34" i="2"/>
  <c r="C34" i="2" s="1"/>
  <c r="D17" i="2"/>
  <c r="C17" i="2" s="1"/>
  <c r="D33" i="2"/>
  <c r="C33" i="2" s="1"/>
  <c r="D24" i="2"/>
  <c r="C24" i="2" s="1"/>
  <c r="D32" i="2"/>
  <c r="C32" i="2" s="1"/>
  <c r="D26" i="2"/>
  <c r="C26" i="2" s="1"/>
  <c r="D39" i="2"/>
  <c r="C39" i="2" s="1"/>
  <c r="D35" i="2"/>
  <c r="C35" i="2" s="1"/>
  <c r="D12" i="2"/>
  <c r="C12" i="2" s="1"/>
  <c r="D28" i="2"/>
  <c r="C28" i="2" s="1"/>
  <c r="D29" i="2"/>
  <c r="C29" i="2" s="1"/>
  <c r="D11" i="2"/>
  <c r="C11" i="2" s="1"/>
  <c r="D19" i="2"/>
  <c r="C19" i="2" s="1"/>
  <c r="D46" i="2"/>
  <c r="C46" i="2" s="1"/>
  <c r="D41" i="2"/>
  <c r="C41" i="2" s="1"/>
  <c r="D22" i="2"/>
  <c r="C22" i="2" s="1"/>
  <c r="D27" i="2"/>
  <c r="C27" i="2" s="1"/>
  <c r="C15" i="5"/>
  <c r="D36" i="2"/>
  <c r="D82" i="2"/>
  <c r="D38" i="2"/>
  <c r="D21" i="2"/>
  <c r="D95" i="2"/>
  <c r="D9" i="2"/>
  <c r="D10" i="2"/>
  <c r="D103" i="2"/>
  <c r="G7" i="5"/>
  <c r="G5" i="5"/>
  <c r="G8" i="5" s="1"/>
  <c r="G6" i="5"/>
  <c r="G13" i="5"/>
  <c r="P21" i="2" l="1"/>
  <c r="C21" i="2" s="1"/>
  <c r="P95" i="2"/>
  <c r="C95" i="2" s="1"/>
  <c r="P82" i="2"/>
  <c r="C82" i="2" s="1"/>
  <c r="P38" i="2"/>
  <c r="C38" i="2" s="1"/>
  <c r="P36" i="2"/>
  <c r="C36" i="2" s="1"/>
  <c r="P10" i="2"/>
  <c r="C10" i="2" s="1"/>
  <c r="P9" i="2"/>
  <c r="C9" i="2" s="1"/>
  <c r="P103" i="2"/>
  <c r="C103"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<sst xmlns="http://schemas.openxmlformats.org/spreadsheetml/2006/main" count="39042" uniqueCount="695">
  <si>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</si>
  <si>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</si>
  <si>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</si>
  <si>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</si>
  <si>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</si>
  <si>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</si>
  <si>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</si>
  <si>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</si>
  <si>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</si>
  <si>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</si>
  <si>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</si>
  <si>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</si>
  <si>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</si>
  <si>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</si>
  <si>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</si>
  <si>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</si>
  <si>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</si>
  <si>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</si>
  <si>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</si>
  <si>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</si>
  <si>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</si>
  <si>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</si>
  <si>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</si>
  <si>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</si>
  <si>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</si>
  <si>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</si>
  <si>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</si>
  <si>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</si>
  <si>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</si>
  <si>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</si>
  <si>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</si>
  <si>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</si>
  <si>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</si>
  <si>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</si>
  <si>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</si>
  <si>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</si>
  <si>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</si>
  <si>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</si>
  <si>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</si>
  <si>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</si>
  <si>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</si>
  <si>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</si>
  <si>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</si>
  <si>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</si>
  <si>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</si>
  <si>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</si>
  <si>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</si>
  <si>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</si>
  <si>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</si>
  <si>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</si>
  <si>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</si>
  <si>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</si>
  <si>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</si>
  <si>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</si>
  <si>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</si>
  <si>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</si>
  <si>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</si>
  <si>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</si>
  <si>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</si>
  <si>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</si>
  <si>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</si>
  <si>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</si>
  <si>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</si>
  <si>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</si>
  <si>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</si>
  <si>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</si>
  <si>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</si>
  <si>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</si>
  <si>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</si>
  <si>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</si>
  <si>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</si>
  <si>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</si>
  <si>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</si>
  <si>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</si>
  <si>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</si>
  <si>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</si>
  <si>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</si>
  <si>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</si>
  <si>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</si>
  <si>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</si>
  <si>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</si>
  <si>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</si>
  <si>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</si>
  <si>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</si>
  <si>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</si>
  <si>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</si>
  <si>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</si>
  <si>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</si>
  <si>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</si>
  <si>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</si>
  <si>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</si>
  <si>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</si>
  <si>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</si>
  <si>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</si>
  <si>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</si>
  <si>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</si>
  <si>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</si>
  <si>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</si>
  <si>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</si>
  <si>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</si>
  <si>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</si>
  <si>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</si>
  <si>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</si>
  <si>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</si>
  <si>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</si>
  <si>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</si>
  <si>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</si>
  <si>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</si>
  <si>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</si>
  <si>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</si>
  <si>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</si>
  <si>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</si>
  <si>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</si>
  <si>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</si>
  <si>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</si>
  <si>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</si>
  <si>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</si>
  <si>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</si>
  <si>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</si>
  <si>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</si>
  <si>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</si>
  <si>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</si>
  <si>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</si>
  <si>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</si>
  <si>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</si>
  <si>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</si>
  <si>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</si>
  <si>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</si>
  <si>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</si>
  <si>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</si>
  <si>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</si>
  <si>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</si>
  <si>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</si>
  <si>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</si>
  <si>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</si>
  <si>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</si>
  <si>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</si>
  <si>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</si>
  <si>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</si>
  <si>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</si>
  <si>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</si>
  <si>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</si>
  <si>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</si>
  <si>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</si>
  <si>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</si>
  <si>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</si>
  <si>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</si>
  <si>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</si>
  <si>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</si>
  <si>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</si>
  <si>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</si>
  <si>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</si>
  <si>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</si>
  <si>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</si>
  <si>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</si>
  <si>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</si>
  <si>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</si>
  <si>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</si>
  <si>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</si>
  <si>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</si>
  <si>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</si>
  <si>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</si>
  <si>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</si>
  <si>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</si>
  <si>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</si>
  <si>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</si>
  <si>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</si>
  <si>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</si>
  <si>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</si>
  <si>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</si>
  <si>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</si>
  <si>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</si>
  <si>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</si>
  <si>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</si>
  <si>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</si>
  <si>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</si>
  <si>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</si>
  <si>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</si>
  <si>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</si>
  <si>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</si>
  <si>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</si>
  <si>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</si>
  <si>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</si>
  <si>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</si>
  <si>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</si>
  <si>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</si>
  <si>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</si>
  <si>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</si>
  <si>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</si>
  <si>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</si>
  <si>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</si>
  <si>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</si>
  <si>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</si>
  <si>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</si>
  <si>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</si>
  <si>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</si>
  <si>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</si>
  <si>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</si>
  <si>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</si>
  <si>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</si>
  <si>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</si>
  <si>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</si>
  <si>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</si>
  <si>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</si>
  <si>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</si>
  <si>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</si>
  <si>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</si>
  <si>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</si>
  <si>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</si>
  <si>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</si>
  <si>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</si>
  <si>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</si>
  <si>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</si>
  <si>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</si>
  <si>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</si>
  <si>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</si>
  <si>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</si>
  <si>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</si>
  <si>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</si>
  <si>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</si>
  <si>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</si>
  <si>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</si>
  <si>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</si>
  <si>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</si>
  <si>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</si>
  <si>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</si>
  <si>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</si>
  <si>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</si>
  <si>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</si>
  <si>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</si>
  <si>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</si>
  <si>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</si>
  <si>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</si>
  <si>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</si>
  <si>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</si>
  <si>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</si>
  <si>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</si>
  <si>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</si>
  <si>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</si>
  <si>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</si>
  <si>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</si>
  <si>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</si>
  <si>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</si>
  <si>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</si>
  <si>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</si>
  <si>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</si>
  <si>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</si>
  <si>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</si>
  <si>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</si>
  <si>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</si>
  <si>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</si>
  <si>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</si>
  <si>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</si>
  <si>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</si>
  <si>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</si>
  <si>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</si>
  <si>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</si>
  <si>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</si>
  <si>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</si>
  <si>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</si>
  <si>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</si>
  <si>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</si>
  <si>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</si>
  <si>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</si>
  <si>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</si>
  <si>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</si>
  <si>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</si>
  <si>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</si>
  <si>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</si>
  <si>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</si>
  <si>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</si>
  <si>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</si>
  <si>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</si>
  <si>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</si>
  <si>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</si>
  <si>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</si>
  <si>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</si>
  <si>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</si>
  <si>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</si>
  <si>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</si>
  <si>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</si>
  <si>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</si>
  <si>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</si>
  <si>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</si>
  <si>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</si>
  <si>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</si>
  <si>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</si>
  <si>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</si>
  <si>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</si>
  <si>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</si>
  <si>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</si>
  <si>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</si>
  <si>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</si>
  <si>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</si>
  <si>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</si>
  <si>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</si>
  <si>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</si>
  <si>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</si>
  <si>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</si>
  <si>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</si>
  <si>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</si>
  <si>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</si>
  <si>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</si>
  <si>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</si>
  <si>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</si>
  <si>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</si>
  <si>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</si>
  <si>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</si>
  <si>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</si>
  <si>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</si>
  <si>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</si>
  <si>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</si>
  <si>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</si>
  <si>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</si>
  <si>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</si>
  <si>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</si>
  <si>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</si>
  <si>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</si>
  <si>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</si>
  <si>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</si>
  <si>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</si>
  <si>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</si>
  <si>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</si>
  <si>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</si>
  <si>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</si>
  <si>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</si>
  <si>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</si>
  <si>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</si>
  <si>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</si>
  <si>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</si>
  <si>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</si>
  <si>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</si>
  <si>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</si>
  <si>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</si>
  <si>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</si>
  <si>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</si>
  <si>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</si>
  <si>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</si>
  <si>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</si>
  <si>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</si>
  <si>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</si>
  <si>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</si>
  <si>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</si>
  <si>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</si>
  <si>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</si>
  <si>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</si>
  <si>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</si>
  <si>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</si>
  <si>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</si>
  <si>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</si>
  <si>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</si>
  <si>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</si>
  <si>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</si>
  <si>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</si>
  <si>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</si>
  <si>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</si>
  <si>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</si>
  <si>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</si>
  <si>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</si>
  <si>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</si>
  <si>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</si>
  <si>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</si>
  <si>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</si>
  <si>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</si>
  <si>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</si>
  <si>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</si>
  <si>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</si>
  <si>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</si>
  <si>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</si>
  <si>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</si>
  <si>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</si>
  <si>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</si>
  <si>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</si>
  <si>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</si>
  <si>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</si>
  <si>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</si>
  <si>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</si>
  <si>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</si>
  <si>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</si>
  <si>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</si>
  <si>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</si>
  <si>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</si>
  <si>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</si>
  <si>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</si>
  <si>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</si>
  <si>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</si>
  <si>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</si>
  <si>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</si>
  <si>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</si>
  <si>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</si>
  <si>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</si>
  <si>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</si>
  <si>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</si>
  <si>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</si>
  <si>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</si>
  <si>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</si>
  <si>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</si>
  <si>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</si>
  <si>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</si>
  <si>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</si>
  <si>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</si>
  <si>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</si>
  <si>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</si>
  <si>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</si>
  <si>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</si>
  <si>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</si>
  <si>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</si>
  <si>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</si>
  <si>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</si>
  <si>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</si>
  <si>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</si>
  <si>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</si>
  <si>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</si>
  <si>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</si>
  <si>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</si>
  <si>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</si>
  <si>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</si>
  <si>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</si>
  <si>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</si>
  <si>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</si>
  <si>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</si>
  <si>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</si>
  <si>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</si>
  <si>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</si>
  <si>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</si>
  <si>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</si>
  <si>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</si>
  <si>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</si>
  <si>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</si>
  <si>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</si>
  <si>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</si>
  <si>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</si>
  <si>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</si>
  <si>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</si>
  <si>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</si>
  <si>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</si>
  <si>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</si>
  <si>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</si>
  <si>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</si>
  <si>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</si>
  <si>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</si>
  <si>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</si>
  <si>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</si>
  <si>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</si>
  <si>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</si>
  <si>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</si>
  <si>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</si>
  <si>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</si>
  <si>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</si>
  <si>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</si>
  <si>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</si>
  <si>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</si>
  <si>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</si>
  <si>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</si>
  <si>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</si>
  <si>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</si>
  <si>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</si>
  <si>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</si>
  <si>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</si>
  <si>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</si>
  <si>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</si>
  <si>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</si>
  <si>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</si>
  <si>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</si>
  <si>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</si>
  <si>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</si>
  <si>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</si>
  <si>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</si>
  <si>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</si>
  <si>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</si>
  <si>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</si>
  <si>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</si>
  <si>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</si>
  <si>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</si>
  <si>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</si>
  <si>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</si>
  <si>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</si>
  <si>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</si>
  <si>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</si>
  <si>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</si>
  <si>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</si>
  <si>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</si>
  <si>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</si>
  <si>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</si>
  <si>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</si>
  <si>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</si>
  <si>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</si>
  <si>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</si>
  <si>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</si>
  <si>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</si>
  <si>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</si>
  <si>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</si>
  <si>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</si>
  <si>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</si>
  <si>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</si>
  <si>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</si>
  <si>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</si>
  <si>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</si>
  <si>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</si>
  <si>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</si>
  <si>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</si>
  <si>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</si>
  <si>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</si>
  <si>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</si>
  <si>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</si>
  <si>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</si>
  <si>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</si>
  <si>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</si>
  <si>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</si>
  <si>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</si>
  <si>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</si>
  <si>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</si>
  <si>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</si>
  <si>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</si>
  <si>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</si>
  <si>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</si>
  <si>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</si>
  <si>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</si>
  <si>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</si>
  <si>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</si>
  <si>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</si>
  <si>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</si>
  <si>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</si>
  <si>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</si>
  <si>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</si>
  <si>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</si>
  <si>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</si>
  <si>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</si>
  <si>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</si>
  <si>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</si>
  <si>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</si>
  <si>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</si>
  <si>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</si>
  <si>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</si>
  <si>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</si>
  <si>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</si>
  <si>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</si>
  <si>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</si>
  <si>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</si>
  <si>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</si>
  <si>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</si>
  <si>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</si>
  <si>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</si>
  <si>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</si>
  <si>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</si>
  <si>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</si>
  <si>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</si>
  <si>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</si>
  <si>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</si>
  <si>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</si>
  <si>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</si>
  <si>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</si>
  <si>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</si>
  <si>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</si>
  <si>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</si>
  <si>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</si>
  <si>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</si>
  <si>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</si>
  <si>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</si>
  <si>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</si>
  <si>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</si>
  <si>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</si>
  <si>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</si>
  <si>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</si>
  <si>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</si>
  <si>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</si>
  <si>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</si>
  <si>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</si>
  <si>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</si>
  <si>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</si>
  <si>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</si>
  <si>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</si>
  <si>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</si>
  <si>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</si>
  <si>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</si>
  <si>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</si>
  <si>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</si>
  <si>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</si>
  <si>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</si>
  <si>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</si>
  <si>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</si>
  <si>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</si>
  <si>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</si>
  <si>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</si>
  <si>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</si>
  <si>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</si>
  <si>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</si>
  <si>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</si>
  <si>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</si>
  <si>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</si>
  <si>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</si>
  <si>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</si>
  <si>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</si>
  <si>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</si>
  <si>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</si>
  <si>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</si>
  <si>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</si>
  <si>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</si>
  <si>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</si>
  <si>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</si>
  <si>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</si>
  <si>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</si>
  <si>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</si>
  <si>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</si>
  <si>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</si>
  <si>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</si>
  <si>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</si>
  <si>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</si>
  <si>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</si>
  <si>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</si>
  <si>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</si>
  <si>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</si>
  <si>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</si>
  <si>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</si>
  <si>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</si>
  <si>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</si>
  <si>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</si>
  <si>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</si>
  <si>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</si>
  <si>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</si>
  <si>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</si>
  <si>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</si>
  <si>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</si>
  <si>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</si>
  <si>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</si>
  <si>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</si>
  <si>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</si>
  <si>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</si>
  <si>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</si>
  <si>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</si>
  <si>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</si>
  <si>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</si>
  <si>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</si>
  <si>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</si>
  <si>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</si>
  <si>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</si>
  <si>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</si>
  <si>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</si>
  <si>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</si>
  <si>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</si>
  <si>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</si>
  <si>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</si>
  <si>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</si>
  <si>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</si>
  <si>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</si>
  <si>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</si>
  <si>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</si>
  <si>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</si>
  <si>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</si>
  <si>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</si>
  <si>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</si>
  <si>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</si>
  <si>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</si>
  <si>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</si>
  <si>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</si>
  <si>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</si>
  <si>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</si>
  <si>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</si>
  <si>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</si>
  <si>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</si>
  <si>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</si>
  <si>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</si>
  <si>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</si>
  <si>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</si>
  <si>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</si>
  <si>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</si>
  <si>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</si>
  <si>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</si>
  <si>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</si>
  <si>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</si>
  <si>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</si>
  <si>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</si>
  <si>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</si>
  <si>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</si>
  <si>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</si>
  <si>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</si>
  <si>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</si>
  <si>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</si>
  <si>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</si>
  <si>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</si>
  <si>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</si>
  <si>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</si>
  <si>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</si>
  <si>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Charlie B</t>
  </si>
  <si>
    <t>1|19000101|46251</t>
  </si>
  <si>
    <t>2|19000101|46251</t>
  </si>
  <si>
    <t>3|19000101|46251</t>
  </si>
  <si>
    <t>4|19000101|46251</t>
  </si>
  <si>
    <t>5|19000101|46251</t>
  </si>
  <si>
    <t>1|19000102|46251</t>
  </si>
  <si>
    <t>2|19000102|46251</t>
  </si>
  <si>
    <t>3|19000102|46251</t>
  </si>
  <si>
    <t>4|19000102|46251</t>
  </si>
  <si>
    <t>5|19000102|46251</t>
  </si>
  <si>
    <t xml:space="preserve">Charlie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</si>
</sst>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53.350303240739" createdVersion="8" refreshedVersion="8" minRefreshableVersion="3" recordCount="5778" xr:uid="{A68797AC-E72E-49CE-BBC1-16C3348D6A5F}">
  <cacheSource type="worksheet">
    <worksheetSource name="Matchups"/>
  </cacheSource>
  <cacheFields count="22">
    <cacheField name="Player" numFmtId="0">
      <sharedItems count="136">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B"/>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8-18T00:00:00" count="56">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6">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B"/>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8-18T00:00:00"/>
        <groupItems count="14">
          <s v="&lt;7/21/2025"/>
          <s v="Jan"/>
          <s v="Feb"/>
          <s v="Mar"/>
          <s v="Apr"/>
          <s v="May"/>
          <s v="Jun"/>
          <s v="Jul"/>
          <s v="Aug"/>
          <s v="Sep"/>
          <s v="Oct"/>
          <s v="Nov"/>
          <s v="Dec"/>
          <s v="&gt;8/18/2026"/>
        </groupItems>
      </fieldGroup>
    </cacheField>
    <cacheField name="Quarters (Date)" numFmtId="0" databaseField="0">
      <fieldGroup base="5">
        <rangePr groupBy="quarters" startDate="2025-07-21T00:00:00" endDate="2026-08-18T00:00:00"/>
        <groupItems count="6">
          <s v="&lt;7/21/2025"/>
          <s v="Qtr1"/>
          <s v="Qtr2"/>
          <s v="Qtr3"/>
          <s v="Qtr4"/>
          <s v="&gt;8/18/2026"/>
        </groupItems>
      </fieldGroup>
    </cacheField>
    <cacheField name="Years (Date)" numFmtId="0" databaseField="0">
      <fieldGroup base="5">
        <rangePr groupBy="years" startDate="2025-07-21T00:00:00" endDate="2026-08-18T00:00:00"/>
        <groupItems count="4">
          <s v="&lt;7/21/2025"/>
          <s v="2025"/>
          <s v="2026"/>
          <s v="&gt;8/18/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53.350303472223" createdVersion="8" refreshedVersion="8" minRefreshableVersion="3" recordCount="2020" xr:uid="{DC51D016-C251-461D-A8BC-322113D3679A}">
  <cacheSource type="worksheet">
    <worksheetSource name="GameLog"/>
  </cacheSource>
  <cacheFields count="11">
    <cacheField name="Player" numFmtId="0">
      <sharedItems containsBlank="1" count="151">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8-18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78">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Current"/>
    <x v="84"/>
    <s v="Win"/>
    <b v="0"/>
    <n v="0"/>
    <n v="1"/>
    <n v="0"/>
    <n v="1"/>
  </r>
  <r>
    <x v="21"/>
    <s v="Loss"/>
    <n v="1"/>
    <n v="1"/>
    <n v="1"/>
    <x v="55"/>
    <s v="1|19000101|46251"/>
    <n v="4"/>
    <n v="2026"/>
    <n v="8"/>
    <s v="Current"/>
    <x v="94"/>
    <s v="Loss"/>
    <b v="0"/>
    <n v="0"/>
    <n v="1"/>
    <n v="0"/>
    <n v="0"/>
  </r>
  <r>
    <x v="21"/>
    <s v="Loss"/>
    <n v="1"/>
    <n v="1"/>
    <n v="1"/>
    <x v="55"/>
    <s v="1|19000101|46251"/>
    <n v="4"/>
    <n v="2026"/>
    <n v="8"/>
    <s v="Current"/>
    <x v="17"/>
    <s v="Loss"/>
    <b v="0"/>
    <n v="0"/>
    <n v="1"/>
    <n v="0"/>
    <n v="0"/>
  </r>
  <r>
    <x v="84"/>
    <s v="Win"/>
    <n v="2"/>
    <n v="1"/>
    <n v="1"/>
    <x v="55"/>
    <s v="1|19000101|46251"/>
    <n v="4"/>
    <n v="2026"/>
    <n v="8"/>
    <s v="Current"/>
    <x v="21"/>
    <s v="Loss"/>
    <b v="0"/>
    <n v="1"/>
    <n v="0"/>
    <n v="0"/>
    <n v="0"/>
  </r>
  <r>
    <x v="84"/>
    <s v="Win"/>
    <n v="2"/>
    <n v="1"/>
    <n v="1"/>
    <x v="55"/>
    <s v="1|19000101|46251"/>
    <n v="4"/>
    <n v="2026"/>
    <n v="8"/>
    <s v="Current"/>
    <x v="94"/>
    <s v="Loss"/>
    <b v="0"/>
    <n v="1"/>
    <n v="0"/>
    <n v="0"/>
    <n v="0"/>
  </r>
  <r>
    <x v="84"/>
    <s v="Win"/>
    <n v="2"/>
    <n v="1"/>
    <n v="1"/>
    <x v="55"/>
    <s v="1|19000101|46251"/>
    <n v="4"/>
    <n v="2026"/>
    <n v="8"/>
    <s v="Current"/>
    <x v="17"/>
    <s v="Loss"/>
    <b v="0"/>
    <n v="1"/>
    <n v="0"/>
    <n v="0"/>
    <n v="0"/>
  </r>
  <r>
    <x v="94"/>
    <s v="Loss"/>
    <n v="3"/>
    <n v="1"/>
    <n v="1"/>
    <x v="55"/>
    <s v="1|19000101|46251"/>
    <n v="4"/>
    <n v="2026"/>
    <n v="8"/>
    <s v="Current"/>
    <x v="21"/>
    <s v="Loss"/>
    <b v="0"/>
    <n v="0"/>
    <n v="1"/>
    <n v="0"/>
    <n v="0"/>
  </r>
  <r>
    <x v="94"/>
    <s v="Loss"/>
    <n v="3"/>
    <n v="1"/>
    <n v="1"/>
    <x v="55"/>
    <s v="1|19000101|46251"/>
    <n v="4"/>
    <n v="2026"/>
    <n v="8"/>
    <s v="Current"/>
    <x v="84"/>
    <s v="Win"/>
    <b v="0"/>
    <n v="0"/>
    <n v="1"/>
    <n v="0"/>
    <n v="1"/>
  </r>
  <r>
    <x v="94"/>
    <s v="Loss"/>
    <n v="3"/>
    <n v="1"/>
    <n v="1"/>
    <x v="55"/>
    <s v="1|19000101|46251"/>
    <n v="4"/>
    <n v="2026"/>
    <n v="8"/>
    <s v="Current"/>
    <x v="17"/>
    <s v="Loss"/>
    <b v="0"/>
    <n v="0"/>
    <n v="1"/>
    <n v="0"/>
    <n v="0"/>
  </r>
  <r>
    <x v="17"/>
    <s v="Loss"/>
    <n v="4"/>
    <n v="1"/>
    <n v="1"/>
    <x v="55"/>
    <s v="1|19000101|46251"/>
    <n v="4"/>
    <n v="2026"/>
    <n v="8"/>
    <s v="Current"/>
    <x v="21"/>
    <s v="Loss"/>
    <b v="0"/>
    <n v="0"/>
    <n v="1"/>
    <n v="0"/>
    <n v="0"/>
  </r>
  <r>
    <x v="17"/>
    <s v="Loss"/>
    <n v="4"/>
    <n v="1"/>
    <n v="1"/>
    <x v="55"/>
    <s v="1|19000101|46251"/>
    <n v="4"/>
    <n v="2026"/>
    <n v="8"/>
    <s v="Current"/>
    <x v="84"/>
    <s v="Win"/>
    <b v="0"/>
    <n v="0"/>
    <n v="1"/>
    <n v="0"/>
    <n v="1"/>
  </r>
  <r>
    <x v="17"/>
    <s v="Loss"/>
    <n v="4"/>
    <n v="1"/>
    <n v="1"/>
    <x v="55"/>
    <s v="1|19000101|46251"/>
    <n v="4"/>
    <n v="2026"/>
    <n v="8"/>
    <s v="Current"/>
    <x v="94"/>
    <s v="Loss"/>
    <b v="0"/>
    <n v="0"/>
    <n v="1"/>
    <n v="0"/>
    <n v="0"/>
  </r>
  <r>
    <x v="14"/>
    <s v="Draw"/>
    <n v="1"/>
    <n v="2"/>
    <n v="1"/>
    <x v="55"/>
    <s v="2|19000101|46251"/>
    <n v="4"/>
    <n v="2026"/>
    <n v="8"/>
    <s v="Current"/>
    <x v="80"/>
    <s v="Draw"/>
    <b v="0"/>
    <n v="0"/>
    <n v="0"/>
    <n v="1"/>
    <n v="0"/>
  </r>
  <r>
    <x v="14"/>
    <s v="Draw"/>
    <n v="1"/>
    <n v="2"/>
    <n v="1"/>
    <x v="55"/>
    <s v="2|19000101|46251"/>
    <n v="4"/>
    <n v="2026"/>
    <n v="8"/>
    <s v="Current"/>
    <x v="18"/>
    <s v="Draw"/>
    <b v="0"/>
    <n v="0"/>
    <n v="0"/>
    <n v="1"/>
    <n v="0"/>
  </r>
  <r>
    <x v="14"/>
    <s v="Draw"/>
    <n v="1"/>
    <n v="2"/>
    <n v="1"/>
    <x v="55"/>
    <s v="2|19000101|46251"/>
    <n v="4"/>
    <n v="2026"/>
    <n v="8"/>
    <s v="Current"/>
    <x v="43"/>
    <s v="Draw"/>
    <b v="0"/>
    <n v="0"/>
    <n v="0"/>
    <n v="1"/>
    <n v="0"/>
  </r>
  <r>
    <x v="80"/>
    <s v="Draw"/>
    <n v="2"/>
    <n v="2"/>
    <n v="1"/>
    <x v="55"/>
    <s v="2|19000101|46251"/>
    <n v="4"/>
    <n v="2026"/>
    <n v="8"/>
    <s v="Current"/>
    <x v="14"/>
    <s v="Draw"/>
    <b v="0"/>
    <n v="0"/>
    <n v="0"/>
    <n v="1"/>
    <n v="0"/>
  </r>
  <r>
    <x v="80"/>
    <s v="Draw"/>
    <n v="2"/>
    <n v="2"/>
    <n v="1"/>
    <x v="55"/>
    <s v="2|19000101|46251"/>
    <n v="4"/>
    <n v="2026"/>
    <n v="8"/>
    <s v="Current"/>
    <x v="18"/>
    <s v="Draw"/>
    <b v="0"/>
    <n v="0"/>
    <n v="0"/>
    <n v="1"/>
    <n v="0"/>
  </r>
  <r>
    <x v="80"/>
    <s v="Draw"/>
    <n v="2"/>
    <n v="2"/>
    <n v="1"/>
    <x v="55"/>
    <s v="2|19000101|46251"/>
    <n v="4"/>
    <n v="2026"/>
    <n v="8"/>
    <s v="Current"/>
    <x v="43"/>
    <s v="Draw"/>
    <b v="0"/>
    <n v="0"/>
    <n v="0"/>
    <n v="1"/>
    <n v="0"/>
  </r>
  <r>
    <x v="18"/>
    <s v="Draw"/>
    <n v="3"/>
    <n v="2"/>
    <n v="1"/>
    <x v="55"/>
    <s v="2|19000101|46251"/>
    <n v="4"/>
    <n v="2026"/>
    <n v="8"/>
    <s v="Current"/>
    <x v="14"/>
    <s v="Draw"/>
    <b v="0"/>
    <n v="0"/>
    <n v="0"/>
    <n v="1"/>
    <n v="0"/>
  </r>
  <r>
    <x v="18"/>
    <s v="Draw"/>
    <n v="3"/>
    <n v="2"/>
    <n v="1"/>
    <x v="55"/>
    <s v="2|19000101|46251"/>
    <n v="4"/>
    <n v="2026"/>
    <n v="8"/>
    <s v="Current"/>
    <x v="80"/>
    <s v="Draw"/>
    <b v="0"/>
    <n v="0"/>
    <n v="0"/>
    <n v="1"/>
    <n v="0"/>
  </r>
  <r>
    <x v="18"/>
    <s v="Draw"/>
    <n v="3"/>
    <n v="2"/>
    <n v="1"/>
    <x v="55"/>
    <s v="2|19000101|46251"/>
    <n v="4"/>
    <n v="2026"/>
    <n v="8"/>
    <s v="Current"/>
    <x v="43"/>
    <s v="Draw"/>
    <b v="0"/>
    <n v="0"/>
    <n v="0"/>
    <n v="1"/>
    <n v="0"/>
  </r>
  <r>
    <x v="43"/>
    <s v="Draw"/>
    <n v="4"/>
    <n v="2"/>
    <n v="1"/>
    <x v="55"/>
    <s v="2|19000101|46251"/>
    <n v="4"/>
    <n v="2026"/>
    <n v="8"/>
    <s v="Current"/>
    <x v="14"/>
    <s v="Draw"/>
    <b v="0"/>
    <n v="0"/>
    <n v="0"/>
    <n v="1"/>
    <n v="0"/>
  </r>
  <r>
    <x v="43"/>
    <s v="Draw"/>
    <n v="4"/>
    <n v="2"/>
    <n v="1"/>
    <x v="55"/>
    <s v="2|19000101|46251"/>
    <n v="4"/>
    <n v="2026"/>
    <n v="8"/>
    <s v="Current"/>
    <x v="80"/>
    <s v="Draw"/>
    <b v="0"/>
    <n v="0"/>
    <n v="0"/>
    <n v="1"/>
    <n v="0"/>
  </r>
  <r>
    <x v="43"/>
    <s v="Draw"/>
    <n v="4"/>
    <n v="2"/>
    <n v="1"/>
    <x v="55"/>
    <s v="2|19000101|46251"/>
    <n v="4"/>
    <n v="2026"/>
    <n v="8"/>
    <s v="Current"/>
    <x v="18"/>
    <s v="Draw"/>
    <b v="0"/>
    <n v="0"/>
    <n v="0"/>
    <n v="1"/>
    <n v="0"/>
  </r>
  <r>
    <x v="3"/>
    <s v="Draw"/>
    <n v="1"/>
    <n v="3"/>
    <n v="1"/>
    <x v="55"/>
    <s v="3|19000101|46251"/>
    <n v="4"/>
    <n v="2026"/>
    <n v="8"/>
    <s v="Current"/>
    <x v="1"/>
    <s v="Draw"/>
    <b v="0"/>
    <n v="0"/>
    <n v="0"/>
    <n v="1"/>
    <n v="0"/>
  </r>
  <r>
    <x v="3"/>
    <s v="Draw"/>
    <n v="1"/>
    <n v="3"/>
    <n v="1"/>
    <x v="55"/>
    <s v="3|19000101|46251"/>
    <n v="4"/>
    <n v="2026"/>
    <n v="8"/>
    <s v="Current"/>
    <x v="0"/>
    <s v="Draw"/>
    <b v="0"/>
    <n v="0"/>
    <n v="0"/>
    <n v="1"/>
    <n v="0"/>
  </r>
  <r>
    <x v="3"/>
    <s v="Draw"/>
    <n v="1"/>
    <n v="3"/>
    <n v="1"/>
    <x v="55"/>
    <s v="3|19000101|46251"/>
    <n v="4"/>
    <n v="2026"/>
    <n v="8"/>
    <s v="Current"/>
    <x v="32"/>
    <s v="Draw"/>
    <b v="0"/>
    <n v="0"/>
    <n v="0"/>
    <n v="1"/>
    <n v="0"/>
  </r>
  <r>
    <x v="2"/>
    <s v="Draw"/>
    <n v="2"/>
    <n v="3"/>
    <n v="1"/>
    <x v="55"/>
    <s v="3|19000101|46251"/>
    <n v="4"/>
    <n v="2026"/>
    <n v="8"/>
    <s v="Current"/>
    <x v="2"/>
    <s v="Draw"/>
    <b v="0"/>
    <n v="0"/>
    <n v="0"/>
    <n v="1"/>
    <n v="0"/>
  </r>
  <r>
    <x v="2"/>
    <s v="Draw"/>
    <n v="2"/>
    <n v="3"/>
    <n v="1"/>
    <x v="55"/>
    <s v="3|19000101|46251"/>
    <n v="4"/>
    <n v="2026"/>
    <n v="8"/>
    <s v="Current"/>
    <x v="0"/>
    <s v="Draw"/>
    <b v="0"/>
    <n v="0"/>
    <n v="0"/>
    <n v="1"/>
    <n v="0"/>
  </r>
  <r>
    <x v="2"/>
    <s v="Draw"/>
    <n v="2"/>
    <n v="3"/>
    <n v="1"/>
    <x v="55"/>
    <s v="3|19000101|46251"/>
    <n v="4"/>
    <n v="2026"/>
    <n v="8"/>
    <s v="Current"/>
    <x v="32"/>
    <s v="Draw"/>
    <b v="0"/>
    <n v="0"/>
    <n v="0"/>
    <n v="1"/>
    <n v="0"/>
  </r>
  <r>
    <x v="1"/>
    <s v="Draw"/>
    <n v="3"/>
    <n v="3"/>
    <n v="1"/>
    <x v="55"/>
    <s v="3|19000101|46251"/>
    <n v="4"/>
    <n v="2026"/>
    <n v="8"/>
    <s v="Current"/>
    <x v="2"/>
    <s v="Draw"/>
    <b v="0"/>
    <n v="0"/>
    <n v="0"/>
    <n v="1"/>
    <n v="0"/>
  </r>
  <r>
    <x v="1"/>
    <s v="Draw"/>
    <n v="3"/>
    <n v="3"/>
    <n v="1"/>
    <x v="55"/>
    <s v="3|19000101|46251"/>
    <n v="4"/>
    <n v="2026"/>
    <n v="8"/>
    <s v="Current"/>
    <x v="1"/>
    <s v="Draw"/>
    <b v="0"/>
    <n v="0"/>
    <n v="0"/>
    <n v="1"/>
    <n v="0"/>
  </r>
  <r>
    <x v="1"/>
    <s v="Draw"/>
    <n v="3"/>
    <n v="3"/>
    <n v="1"/>
    <x v="55"/>
    <s v="3|19000101|46251"/>
    <n v="4"/>
    <n v="2026"/>
    <n v="8"/>
    <s v="Current"/>
    <x v="32"/>
    <s v="Draw"/>
    <b v="0"/>
    <n v="0"/>
    <n v="0"/>
    <n v="1"/>
    <n v="0"/>
  </r>
  <r>
    <x v="32"/>
    <s v="Draw"/>
    <n v="4"/>
    <n v="3"/>
    <n v="1"/>
    <x v="55"/>
    <s v="3|19000101|46251"/>
    <n v="4"/>
    <n v="2026"/>
    <n v="8"/>
    <s v="Current"/>
    <x v="2"/>
    <s v="Draw"/>
    <b v="0"/>
    <n v="0"/>
    <n v="0"/>
    <n v="1"/>
    <n v="0"/>
  </r>
  <r>
    <x v="32"/>
    <s v="Draw"/>
    <n v="4"/>
    <n v="3"/>
    <n v="1"/>
    <x v="55"/>
    <s v="3|19000101|46251"/>
    <n v="4"/>
    <n v="2026"/>
    <n v="8"/>
    <s v="Current"/>
    <x v="1"/>
    <s v="Draw"/>
    <b v="0"/>
    <n v="0"/>
    <n v="0"/>
    <n v="1"/>
    <n v="0"/>
  </r>
  <r>
    <x v="32"/>
    <s v="Draw"/>
    <n v="4"/>
    <n v="3"/>
    <n v="1"/>
    <x v="55"/>
    <s v="3|19000101|46251"/>
    <n v="4"/>
    <n v="2026"/>
    <n v="8"/>
    <s v="Current"/>
    <x v="0"/>
    <s v="Draw"/>
    <b v="0"/>
    <n v="0"/>
    <n v="0"/>
    <n v="1"/>
    <n v="0"/>
  </r>
  <r>
    <x v="20"/>
    <s v="Loss"/>
    <n v="1"/>
    <n v="4"/>
    <n v="1"/>
    <x v="55"/>
    <s v="4|19000101|46251"/>
    <n v="4"/>
    <n v="2026"/>
    <n v="8"/>
    <s v="Current"/>
    <x v="69"/>
    <s v="Loss"/>
    <b v="0"/>
    <n v="0"/>
    <n v="1"/>
    <n v="0"/>
    <n v="0"/>
  </r>
  <r>
    <x v="20"/>
    <s v="Loss"/>
    <n v="1"/>
    <n v="4"/>
    <n v="1"/>
    <x v="55"/>
    <s v="4|19000101|46251"/>
    <n v="4"/>
    <n v="2026"/>
    <n v="8"/>
    <s v="Current"/>
    <x v="13"/>
    <s v="Win"/>
    <b v="0"/>
    <n v="0"/>
    <n v="1"/>
    <n v="0"/>
    <n v="1"/>
  </r>
  <r>
    <x v="20"/>
    <s v="Loss"/>
    <n v="1"/>
    <n v="4"/>
    <n v="1"/>
    <x v="55"/>
    <s v="4|19000101|46251"/>
    <n v="4"/>
    <n v="2026"/>
    <n v="8"/>
    <s v="Current"/>
    <x v="4"/>
    <s v="Loss"/>
    <b v="0"/>
    <n v="0"/>
    <n v="1"/>
    <n v="0"/>
    <n v="0"/>
  </r>
  <r>
    <x v="69"/>
    <s v="Loss"/>
    <n v="2"/>
    <n v="4"/>
    <n v="1"/>
    <x v="55"/>
    <s v="4|19000101|46251"/>
    <n v="4"/>
    <n v="2026"/>
    <n v="8"/>
    <s v="Current"/>
    <x v="20"/>
    <s v="Loss"/>
    <b v="0"/>
    <n v="0"/>
    <n v="1"/>
    <n v="0"/>
    <n v="0"/>
  </r>
  <r>
    <x v="69"/>
    <s v="Loss"/>
    <n v="2"/>
    <n v="4"/>
    <n v="1"/>
    <x v="55"/>
    <s v="4|19000101|46251"/>
    <n v="4"/>
    <n v="2026"/>
    <n v="8"/>
    <s v="Current"/>
    <x v="13"/>
    <s v="Win"/>
    <b v="0"/>
    <n v="0"/>
    <n v="1"/>
    <n v="0"/>
    <n v="1"/>
  </r>
  <r>
    <x v="69"/>
    <s v="Loss"/>
    <n v="2"/>
    <n v="4"/>
    <n v="1"/>
    <x v="55"/>
    <s v="4|19000101|46251"/>
    <n v="4"/>
    <n v="2026"/>
    <n v="8"/>
    <s v="Current"/>
    <x v="4"/>
    <s v="Loss"/>
    <b v="0"/>
    <n v="0"/>
    <n v="1"/>
    <n v="0"/>
    <n v="0"/>
  </r>
  <r>
    <x v="13"/>
    <s v="Win"/>
    <n v="3"/>
    <n v="4"/>
    <n v="1"/>
    <x v="55"/>
    <s v="4|19000101|46251"/>
    <n v="4"/>
    <n v="2026"/>
    <n v="8"/>
    <s v="Current"/>
    <x v="20"/>
    <s v="Loss"/>
    <b v="0"/>
    <n v="1"/>
    <n v="0"/>
    <n v="0"/>
    <n v="0"/>
  </r>
  <r>
    <x v="13"/>
    <s v="Win"/>
    <n v="3"/>
    <n v="4"/>
    <n v="1"/>
    <x v="55"/>
    <s v="4|19000101|46251"/>
    <n v="4"/>
    <n v="2026"/>
    <n v="8"/>
    <s v="Current"/>
    <x v="69"/>
    <s v="Loss"/>
    <b v="0"/>
    <n v="1"/>
    <n v="0"/>
    <n v="0"/>
    <n v="0"/>
  </r>
  <r>
    <x v="13"/>
    <s v="Win"/>
    <n v="3"/>
    <n v="4"/>
    <n v="1"/>
    <x v="55"/>
    <s v="4|19000101|46251"/>
    <n v="4"/>
    <n v="2026"/>
    <n v="8"/>
    <s v="Current"/>
    <x v="4"/>
    <s v="Loss"/>
    <b v="0"/>
    <n v="1"/>
    <n v="0"/>
    <n v="0"/>
    <n v="0"/>
  </r>
  <r>
    <x v="4"/>
    <s v="Loss"/>
    <n v="4"/>
    <n v="4"/>
    <n v="1"/>
    <x v="55"/>
    <s v="4|19000101|46251"/>
    <n v="4"/>
    <n v="2026"/>
    <n v="8"/>
    <s v="Current"/>
    <x v="20"/>
    <s v="Loss"/>
    <b v="0"/>
    <n v="0"/>
    <n v="1"/>
    <n v="0"/>
    <n v="0"/>
  </r>
  <r>
    <x v="4"/>
    <s v="Loss"/>
    <n v="4"/>
    <n v="4"/>
    <n v="1"/>
    <x v="55"/>
    <s v="4|19000101|46251"/>
    <n v="4"/>
    <n v="2026"/>
    <n v="8"/>
    <s v="Current"/>
    <x v="69"/>
    <s v="Loss"/>
    <b v="0"/>
    <n v="0"/>
    <n v="1"/>
    <n v="0"/>
    <n v="0"/>
  </r>
  <r>
    <x v="4"/>
    <s v="Loss"/>
    <n v="4"/>
    <n v="4"/>
    <n v="1"/>
    <x v="55"/>
    <s v="4|19000101|46251"/>
    <n v="4"/>
    <n v="2026"/>
    <n v="8"/>
    <s v="Current"/>
    <x v="13"/>
    <s v="Win"/>
    <b v="0"/>
    <n v="0"/>
    <n v="1"/>
    <n v="0"/>
    <n v="1"/>
  </r>
  <r>
    <x v="70"/>
    <s v="Win"/>
    <n v="1"/>
    <n v="5"/>
    <n v="1"/>
    <x v="55"/>
    <s v="5|19000101|46251"/>
    <n v="3"/>
    <n v="2026"/>
    <n v="8"/>
    <s v="Current"/>
    <x v="5"/>
    <s v="Loss"/>
    <b v="0"/>
    <n v="1"/>
    <n v="0"/>
    <n v="0"/>
    <n v="0"/>
  </r>
  <r>
    <x v="70"/>
    <s v="Win"/>
    <n v="1"/>
    <n v="5"/>
    <n v="1"/>
    <x v="55"/>
    <s v="5|19000101|46251"/>
    <n v="3"/>
    <n v="2026"/>
    <n v="8"/>
    <s v="Current"/>
    <x v="93"/>
    <s v="Loss"/>
    <b v="0"/>
    <n v="1"/>
    <n v="0"/>
    <n v="0"/>
    <n v="0"/>
  </r>
  <r>
    <x v="5"/>
    <s v="Loss"/>
    <n v="2"/>
    <n v="5"/>
    <n v="1"/>
    <x v="55"/>
    <s v="5|19000101|46251"/>
    <n v="3"/>
    <n v="2026"/>
    <n v="8"/>
    <s v="Current"/>
    <x v="70"/>
    <s v="Win"/>
    <b v="0"/>
    <n v="0"/>
    <n v="1"/>
    <n v="0"/>
    <n v="1"/>
  </r>
  <r>
    <x v="5"/>
    <s v="Loss"/>
    <n v="2"/>
    <n v="5"/>
    <n v="1"/>
    <x v="55"/>
    <s v="5|19000101|46251"/>
    <n v="3"/>
    <n v="2026"/>
    <n v="8"/>
    <s v="Current"/>
    <x v="93"/>
    <s v="Loss"/>
    <b v="0"/>
    <n v="0"/>
    <n v="1"/>
    <n v="0"/>
    <n v="0"/>
  </r>
  <r>
    <x v="93"/>
    <s v="Loss"/>
    <n v="3"/>
    <n v="5"/>
    <n v="1"/>
    <x v="55"/>
    <s v="5|19000101|46251"/>
    <n v="3"/>
    <n v="2026"/>
    <n v="8"/>
    <s v="Current"/>
    <x v="70"/>
    <s v="Win"/>
    <b v="0"/>
    <n v="0"/>
    <n v="1"/>
    <n v="0"/>
    <n v="1"/>
  </r>
  <r>
    <x v="93"/>
    <s v="Loss"/>
    <n v="3"/>
    <n v="5"/>
    <n v="1"/>
    <x v="55"/>
    <s v="5|19000101|46251"/>
    <n v="3"/>
    <n v="2026"/>
    <n v="8"/>
    <s v="Current"/>
    <x v="5"/>
    <s v="Loss"/>
    <b v="0"/>
    <n v="0"/>
    <n v="1"/>
    <n v="0"/>
    <n v="0"/>
  </r>
  <r>
    <x v="1"/>
    <s v="Win"/>
    <n v="1"/>
    <n v="1"/>
    <n v="2"/>
    <x v="55"/>
    <s v="1|19000102|46251"/>
    <n v="3"/>
    <n v="2026"/>
    <n v="8"/>
    <s v="Current"/>
    <x v="17"/>
    <s v="Loss"/>
    <b v="0"/>
    <n v="1"/>
    <n v="0"/>
    <n v="0"/>
    <n v="0"/>
  </r>
  <r>
    <x v="1"/>
    <s v="Win"/>
    <n v="1"/>
    <n v="1"/>
    <n v="2"/>
    <x v="55"/>
    <s v="1|19000102|46251"/>
    <n v="3"/>
    <n v="2026"/>
    <n v="8"/>
    <s v="Current"/>
    <x v="94"/>
    <s v="Loss"/>
    <b v="0"/>
    <n v="1"/>
    <n v="0"/>
    <n v="0"/>
    <n v="0"/>
  </r>
  <r>
    <x v="17"/>
    <s v="Loss"/>
    <n v="2"/>
    <n v="1"/>
    <n v="2"/>
    <x v="55"/>
    <s v="1|19000102|46251"/>
    <n v="3"/>
    <n v="2026"/>
    <n v="8"/>
    <s v="Current"/>
    <x v="0"/>
    <s v="Win"/>
    <b v="0"/>
    <n v="0"/>
    <n v="1"/>
    <n v="0"/>
    <n v="1"/>
  </r>
  <r>
    <x v="17"/>
    <s v="Loss"/>
    <n v="2"/>
    <n v="1"/>
    <n v="2"/>
    <x v="55"/>
    <s v="1|19000102|46251"/>
    <n v="3"/>
    <n v="2026"/>
    <n v="8"/>
    <s v="Current"/>
    <x v="94"/>
    <s v="Loss"/>
    <b v="0"/>
    <n v="0"/>
    <n v="1"/>
    <n v="0"/>
    <n v="0"/>
  </r>
  <r>
    <x v="94"/>
    <s v="Loss"/>
    <n v="3"/>
    <n v="1"/>
    <n v="2"/>
    <x v="55"/>
    <s v="1|19000102|46251"/>
    <n v="3"/>
    <n v="2026"/>
    <n v="8"/>
    <s v="Current"/>
    <x v="0"/>
    <s v="Win"/>
    <b v="0"/>
    <n v="0"/>
    <n v="1"/>
    <n v="0"/>
    <n v="1"/>
  </r>
  <r>
    <x v="94"/>
    <s v="Loss"/>
    <n v="3"/>
    <n v="1"/>
    <n v="2"/>
    <x v="55"/>
    <s v="1|19000102|46251"/>
    <n v="3"/>
    <n v="2026"/>
    <n v="8"/>
    <s v="Current"/>
    <x v="17"/>
    <s v="Loss"/>
    <b v="0"/>
    <n v="0"/>
    <n v="1"/>
    <n v="0"/>
    <n v="0"/>
  </r>
  <r>
    <x v="13"/>
    <s v="Loss"/>
    <n v="1"/>
    <n v="2"/>
    <n v="2"/>
    <x v="55"/>
    <s v="2|19000102|46251"/>
    <n v="4"/>
    <n v="2026"/>
    <n v="8"/>
    <s v="Current"/>
    <x v="93"/>
    <s v="Loss"/>
    <b v="0"/>
    <n v="0"/>
    <n v="1"/>
    <n v="0"/>
    <n v="0"/>
  </r>
  <r>
    <x v="13"/>
    <s v="Loss"/>
    <n v="1"/>
    <n v="2"/>
    <n v="2"/>
    <x v="55"/>
    <s v="2|19000102|46251"/>
    <n v="4"/>
    <n v="2026"/>
    <n v="8"/>
    <s v="Current"/>
    <x v="84"/>
    <s v="Win"/>
    <b v="0"/>
    <n v="0"/>
    <n v="1"/>
    <n v="0"/>
    <n v="1"/>
  </r>
  <r>
    <x v="13"/>
    <s v="Loss"/>
    <n v="1"/>
    <n v="2"/>
    <n v="2"/>
    <x v="55"/>
    <s v="2|19000102|46251"/>
    <n v="4"/>
    <n v="2026"/>
    <n v="8"/>
    <s v="Current"/>
    <x v="14"/>
    <s v="Loss"/>
    <b v="0"/>
    <n v="0"/>
    <n v="1"/>
    <n v="0"/>
    <n v="0"/>
  </r>
  <r>
    <x v="93"/>
    <s v="Loss"/>
    <n v="2"/>
    <n v="2"/>
    <n v="2"/>
    <x v="55"/>
    <s v="2|19000102|46251"/>
    <n v="4"/>
    <n v="2026"/>
    <n v="8"/>
    <s v="Current"/>
    <x v="13"/>
    <s v="Loss"/>
    <b v="0"/>
    <n v="0"/>
    <n v="1"/>
    <n v="0"/>
    <n v="0"/>
  </r>
  <r>
    <x v="93"/>
    <s v="Loss"/>
    <n v="2"/>
    <n v="2"/>
    <n v="2"/>
    <x v="55"/>
    <s v="2|19000102|46251"/>
    <n v="4"/>
    <n v="2026"/>
    <n v="8"/>
    <s v="Current"/>
    <x v="84"/>
    <s v="Win"/>
    <b v="0"/>
    <n v="0"/>
    <n v="1"/>
    <n v="0"/>
    <n v="1"/>
  </r>
  <r>
    <x v="93"/>
    <s v="Loss"/>
    <n v="2"/>
    <n v="2"/>
    <n v="2"/>
    <x v="55"/>
    <s v="2|19000102|46251"/>
    <n v="4"/>
    <n v="2026"/>
    <n v="8"/>
    <s v="Current"/>
    <x v="14"/>
    <s v="Loss"/>
    <b v="0"/>
    <n v="0"/>
    <n v="1"/>
    <n v="0"/>
    <n v="0"/>
  </r>
  <r>
    <x v="84"/>
    <s v="Win"/>
    <n v="3"/>
    <n v="2"/>
    <n v="2"/>
    <x v="55"/>
    <s v="2|19000102|46251"/>
    <n v="4"/>
    <n v="2026"/>
    <n v="8"/>
    <s v="Current"/>
    <x v="13"/>
    <s v="Loss"/>
    <b v="0"/>
    <n v="1"/>
    <n v="0"/>
    <n v="0"/>
    <n v="0"/>
  </r>
  <r>
    <x v="84"/>
    <s v="Win"/>
    <n v="3"/>
    <n v="2"/>
    <n v="2"/>
    <x v="55"/>
    <s v="2|19000102|46251"/>
    <n v="4"/>
    <n v="2026"/>
    <n v="8"/>
    <s v="Current"/>
    <x v="93"/>
    <s v="Loss"/>
    <b v="0"/>
    <n v="1"/>
    <n v="0"/>
    <n v="0"/>
    <n v="0"/>
  </r>
  <r>
    <x v="84"/>
    <s v="Win"/>
    <n v="3"/>
    <n v="2"/>
    <n v="2"/>
    <x v="55"/>
    <s v="2|19000102|46251"/>
    <n v="4"/>
    <n v="2026"/>
    <n v="8"/>
    <s v="Current"/>
    <x v="14"/>
    <s v="Loss"/>
    <b v="0"/>
    <n v="1"/>
    <n v="0"/>
    <n v="0"/>
    <n v="0"/>
  </r>
  <r>
    <x v="14"/>
    <s v="Loss"/>
    <n v="4"/>
    <n v="2"/>
    <n v="2"/>
    <x v="55"/>
    <s v="2|19000102|46251"/>
    <n v="4"/>
    <n v="2026"/>
    <n v="8"/>
    <s v="Current"/>
    <x v="13"/>
    <s v="Loss"/>
    <b v="0"/>
    <n v="0"/>
    <n v="1"/>
    <n v="0"/>
    <n v="0"/>
  </r>
  <r>
    <x v="14"/>
    <s v="Loss"/>
    <n v="4"/>
    <n v="2"/>
    <n v="2"/>
    <x v="55"/>
    <s v="2|19000102|46251"/>
    <n v="4"/>
    <n v="2026"/>
    <n v="8"/>
    <s v="Current"/>
    <x v="93"/>
    <s v="Loss"/>
    <b v="0"/>
    <n v="0"/>
    <n v="1"/>
    <n v="0"/>
    <n v="0"/>
  </r>
  <r>
    <x v="14"/>
    <s v="Loss"/>
    <n v="4"/>
    <n v="2"/>
    <n v="2"/>
    <x v="55"/>
    <s v="2|19000102|46251"/>
    <n v="4"/>
    <n v="2026"/>
    <n v="8"/>
    <s v="Current"/>
    <x v="84"/>
    <s v="Win"/>
    <b v="0"/>
    <n v="0"/>
    <n v="1"/>
    <n v="0"/>
    <n v="1"/>
  </r>
  <r>
    <x v="21"/>
    <s v="Loss"/>
    <n v="1"/>
    <n v="3"/>
    <n v="2"/>
    <x v="55"/>
    <s v="3|19000102|46251"/>
    <n v="4"/>
    <n v="2026"/>
    <n v="8"/>
    <s v="Current"/>
    <x v="4"/>
    <s v="Loss"/>
    <b v="0"/>
    <n v="0"/>
    <n v="1"/>
    <n v="0"/>
    <n v="0"/>
  </r>
  <r>
    <x v="21"/>
    <s v="Loss"/>
    <n v="1"/>
    <n v="3"/>
    <n v="2"/>
    <x v="55"/>
    <s v="3|19000102|46251"/>
    <n v="4"/>
    <n v="2026"/>
    <n v="8"/>
    <s v="Current"/>
    <x v="5"/>
    <s v="Loss"/>
    <b v="0"/>
    <n v="0"/>
    <n v="1"/>
    <n v="0"/>
    <n v="0"/>
  </r>
  <r>
    <x v="21"/>
    <s v="Loss"/>
    <n v="1"/>
    <n v="3"/>
    <n v="2"/>
    <x v="55"/>
    <s v="3|19000102|46251"/>
    <n v="4"/>
    <n v="2026"/>
    <n v="8"/>
    <s v="Current"/>
    <x v="70"/>
    <s v="Win"/>
    <b v="0"/>
    <n v="0"/>
    <n v="1"/>
    <n v="0"/>
    <n v="1"/>
  </r>
  <r>
    <x v="4"/>
    <s v="Loss"/>
    <n v="2"/>
    <n v="3"/>
    <n v="2"/>
    <x v="55"/>
    <s v="3|19000102|46251"/>
    <n v="4"/>
    <n v="2026"/>
    <n v="8"/>
    <s v="Current"/>
    <x v="21"/>
    <s v="Loss"/>
    <b v="0"/>
    <n v="0"/>
    <n v="1"/>
    <n v="0"/>
    <n v="0"/>
  </r>
  <r>
    <x v="4"/>
    <s v="Loss"/>
    <n v="2"/>
    <n v="3"/>
    <n v="2"/>
    <x v="55"/>
    <s v="3|19000102|46251"/>
    <n v="4"/>
    <n v="2026"/>
    <n v="8"/>
    <s v="Current"/>
    <x v="5"/>
    <s v="Loss"/>
    <b v="0"/>
    <n v="0"/>
    <n v="1"/>
    <n v="0"/>
    <n v="0"/>
  </r>
  <r>
    <x v="4"/>
    <s v="Loss"/>
    <n v="2"/>
    <n v="3"/>
    <n v="2"/>
    <x v="55"/>
    <s v="3|19000102|46251"/>
    <n v="4"/>
    <n v="2026"/>
    <n v="8"/>
    <s v="Current"/>
    <x v="70"/>
    <s v="Win"/>
    <b v="0"/>
    <n v="0"/>
    <n v="1"/>
    <n v="0"/>
    <n v="1"/>
  </r>
  <r>
    <x v="5"/>
    <s v="Loss"/>
    <n v="3"/>
    <n v="3"/>
    <n v="2"/>
    <x v="55"/>
    <s v="3|19000102|46251"/>
    <n v="4"/>
    <n v="2026"/>
    <n v="8"/>
    <s v="Current"/>
    <x v="21"/>
    <s v="Loss"/>
    <b v="0"/>
    <n v="0"/>
    <n v="1"/>
    <n v="0"/>
    <n v="0"/>
  </r>
  <r>
    <x v="5"/>
    <s v="Loss"/>
    <n v="3"/>
    <n v="3"/>
    <n v="2"/>
    <x v="55"/>
    <s v="3|19000102|46251"/>
    <n v="4"/>
    <n v="2026"/>
    <n v="8"/>
    <s v="Current"/>
    <x v="4"/>
    <s v="Loss"/>
    <b v="0"/>
    <n v="0"/>
    <n v="1"/>
    <n v="0"/>
    <n v="0"/>
  </r>
  <r>
    <x v="5"/>
    <s v="Loss"/>
    <n v="3"/>
    <n v="3"/>
    <n v="2"/>
    <x v="55"/>
    <s v="3|19000102|46251"/>
    <n v="4"/>
    <n v="2026"/>
    <n v="8"/>
    <s v="Current"/>
    <x v="70"/>
    <s v="Win"/>
    <b v="0"/>
    <n v="0"/>
    <n v="1"/>
    <n v="0"/>
    <n v="1"/>
  </r>
  <r>
    <x v="70"/>
    <s v="Win"/>
    <n v="4"/>
    <n v="3"/>
    <n v="2"/>
    <x v="55"/>
    <s v="3|19000102|46251"/>
    <n v="4"/>
    <n v="2026"/>
    <n v="8"/>
    <s v="Current"/>
    <x v="21"/>
    <s v="Loss"/>
    <b v="0"/>
    <n v="1"/>
    <n v="0"/>
    <n v="0"/>
    <n v="0"/>
  </r>
  <r>
    <x v="70"/>
    <s v="Win"/>
    <n v="4"/>
    <n v="3"/>
    <n v="2"/>
    <x v="55"/>
    <s v="3|19000102|46251"/>
    <n v="4"/>
    <n v="2026"/>
    <n v="8"/>
    <s v="Current"/>
    <x v="4"/>
    <s v="Loss"/>
    <b v="0"/>
    <n v="1"/>
    <n v="0"/>
    <n v="0"/>
    <n v="0"/>
  </r>
  <r>
    <x v="70"/>
    <s v="Win"/>
    <n v="4"/>
    <n v="3"/>
    <n v="2"/>
    <x v="55"/>
    <s v="3|19000102|46251"/>
    <n v="4"/>
    <n v="2026"/>
    <n v="8"/>
    <s v="Current"/>
    <x v="5"/>
    <s v="Loss"/>
    <b v="0"/>
    <n v="1"/>
    <n v="0"/>
    <n v="0"/>
    <n v="0"/>
  </r>
  <r>
    <x v="3"/>
    <s v="Loss"/>
    <n v="1"/>
    <n v="4"/>
    <n v="2"/>
    <x v="55"/>
    <s v="4|19000102|46251"/>
    <n v="4"/>
    <n v="2026"/>
    <n v="8"/>
    <s v="Current"/>
    <x v="20"/>
    <s v="Loss"/>
    <b v="0"/>
    <n v="0"/>
    <n v="1"/>
    <n v="0"/>
    <n v="0"/>
  </r>
  <r>
    <x v="3"/>
    <s v="Loss"/>
    <n v="1"/>
    <n v="4"/>
    <n v="2"/>
    <x v="55"/>
    <s v="4|19000102|46251"/>
    <n v="4"/>
    <n v="2026"/>
    <n v="8"/>
    <s v="Current"/>
    <x v="80"/>
    <s v="Loss"/>
    <b v="0"/>
    <n v="0"/>
    <n v="1"/>
    <n v="0"/>
    <n v="0"/>
  </r>
  <r>
    <x v="3"/>
    <s v="Loss"/>
    <n v="1"/>
    <n v="4"/>
    <n v="2"/>
    <x v="55"/>
    <s v="4|19000102|46251"/>
    <n v="4"/>
    <n v="2026"/>
    <n v="8"/>
    <s v="Current"/>
    <x v="43"/>
    <s v="Win"/>
    <b v="0"/>
    <n v="0"/>
    <n v="1"/>
    <n v="0"/>
    <n v="1"/>
  </r>
  <r>
    <x v="20"/>
    <s v="Loss"/>
    <n v="2"/>
    <n v="4"/>
    <n v="2"/>
    <x v="55"/>
    <s v="4|19000102|46251"/>
    <n v="4"/>
    <n v="2026"/>
    <n v="8"/>
    <s v="Current"/>
    <x v="2"/>
    <s v="Loss"/>
    <b v="0"/>
    <n v="0"/>
    <n v="1"/>
    <n v="0"/>
    <n v="0"/>
  </r>
  <r>
    <x v="20"/>
    <s v="Loss"/>
    <n v="2"/>
    <n v="4"/>
    <n v="2"/>
    <x v="55"/>
    <s v="4|19000102|46251"/>
    <n v="4"/>
    <n v="2026"/>
    <n v="8"/>
    <s v="Current"/>
    <x v="80"/>
    <s v="Loss"/>
    <b v="0"/>
    <n v="0"/>
    <n v="1"/>
    <n v="0"/>
    <n v="0"/>
  </r>
  <r>
    <x v="20"/>
    <s v="Loss"/>
    <n v="2"/>
    <n v="4"/>
    <n v="2"/>
    <x v="55"/>
    <s v="4|19000102|46251"/>
    <n v="4"/>
    <n v="2026"/>
    <n v="8"/>
    <s v="Current"/>
    <x v="43"/>
    <s v="Win"/>
    <b v="0"/>
    <n v="0"/>
    <n v="1"/>
    <n v="0"/>
    <n v="1"/>
  </r>
  <r>
    <x v="80"/>
    <s v="Loss"/>
    <n v="3"/>
    <n v="4"/>
    <n v="2"/>
    <x v="55"/>
    <s v="4|19000102|46251"/>
    <n v="4"/>
    <n v="2026"/>
    <n v="8"/>
    <s v="Current"/>
    <x v="2"/>
    <s v="Loss"/>
    <b v="0"/>
    <n v="0"/>
    <n v="1"/>
    <n v="0"/>
    <n v="0"/>
  </r>
  <r>
    <x v="80"/>
    <s v="Loss"/>
    <n v="3"/>
    <n v="4"/>
    <n v="2"/>
    <x v="55"/>
    <s v="4|19000102|46251"/>
    <n v="4"/>
    <n v="2026"/>
    <n v="8"/>
    <s v="Current"/>
    <x v="20"/>
    <s v="Loss"/>
    <b v="0"/>
    <n v="0"/>
    <n v="1"/>
    <n v="0"/>
    <n v="0"/>
  </r>
  <r>
    <x v="80"/>
    <s v="Loss"/>
    <n v="3"/>
    <n v="4"/>
    <n v="2"/>
    <x v="55"/>
    <s v="4|19000102|46251"/>
    <n v="4"/>
    <n v="2026"/>
    <n v="8"/>
    <s v="Current"/>
    <x v="43"/>
    <s v="Win"/>
    <b v="0"/>
    <n v="0"/>
    <n v="1"/>
    <n v="0"/>
    <n v="1"/>
  </r>
  <r>
    <x v="43"/>
    <s v="Win"/>
    <n v="4"/>
    <n v="4"/>
    <n v="2"/>
    <x v="55"/>
    <s v="4|19000102|46251"/>
    <n v="4"/>
    <n v="2026"/>
    <n v="8"/>
    <s v="Current"/>
    <x v="2"/>
    <s v="Loss"/>
    <b v="0"/>
    <n v="1"/>
    <n v="0"/>
    <n v="0"/>
    <n v="0"/>
  </r>
  <r>
    <x v="43"/>
    <s v="Win"/>
    <n v="4"/>
    <n v="4"/>
    <n v="2"/>
    <x v="55"/>
    <s v="4|19000102|46251"/>
    <n v="4"/>
    <n v="2026"/>
    <n v="8"/>
    <s v="Current"/>
    <x v="20"/>
    <s v="Loss"/>
    <b v="0"/>
    <n v="1"/>
    <n v="0"/>
    <n v="0"/>
    <n v="0"/>
  </r>
  <r>
    <x v="43"/>
    <s v="Win"/>
    <n v="4"/>
    <n v="4"/>
    <n v="2"/>
    <x v="55"/>
    <s v="4|19000102|46251"/>
    <n v="4"/>
    <n v="2026"/>
    <n v="8"/>
    <s v="Current"/>
    <x v="80"/>
    <s v="Loss"/>
    <b v="0"/>
    <n v="1"/>
    <n v="0"/>
    <n v="0"/>
    <n v="0"/>
  </r>
  <r>
    <x v="18"/>
    <s v="Loss"/>
    <n v="1"/>
    <n v="5"/>
    <n v="2"/>
    <x v="55"/>
    <s v="5|19000102|46251"/>
    <n v="3"/>
    <n v="2026"/>
    <n v="8"/>
    <s v="Current"/>
    <x v="32"/>
    <s v="Loss"/>
    <b v="0"/>
    <n v="0"/>
    <n v="1"/>
    <n v="0"/>
    <n v="0"/>
  </r>
  <r>
    <x v="18"/>
    <s v="Loss"/>
    <n v="1"/>
    <n v="5"/>
    <n v="2"/>
    <x v="55"/>
    <s v="5|19000102|46251"/>
    <n v="3"/>
    <n v="2026"/>
    <n v="8"/>
    <s v="Current"/>
    <x v="1"/>
    <s v="Win"/>
    <b v="0"/>
    <n v="0"/>
    <n v="1"/>
    <n v="0"/>
    <n v="1"/>
  </r>
  <r>
    <x v="32"/>
    <s v="Loss"/>
    <n v="2"/>
    <n v="5"/>
    <n v="2"/>
    <x v="55"/>
    <s v="5|19000102|46251"/>
    <n v="3"/>
    <n v="2026"/>
    <n v="8"/>
    <s v="Current"/>
    <x v="18"/>
    <s v="Loss"/>
    <b v="0"/>
    <n v="0"/>
    <n v="1"/>
    <n v="0"/>
    <n v="0"/>
  </r>
  <r>
    <x v="32"/>
    <s v="Loss"/>
    <n v="2"/>
    <n v="5"/>
    <n v="2"/>
    <x v="55"/>
    <s v="5|19000102|46251"/>
    <n v="3"/>
    <n v="2026"/>
    <n v="8"/>
    <s v="Current"/>
    <x v="1"/>
    <s v="Win"/>
    <b v="0"/>
    <n v="0"/>
    <n v="1"/>
    <n v="0"/>
    <n v="1"/>
  </r>
  <r>
    <x v="2"/>
    <s v="Win"/>
    <n v="3"/>
    <n v="5"/>
    <n v="2"/>
    <x v="55"/>
    <s v="5|19000102|46251"/>
    <n v="3"/>
    <n v="2026"/>
    <n v="8"/>
    <s v="Current"/>
    <x v="18"/>
    <s v="Loss"/>
    <b v="0"/>
    <n v="1"/>
    <n v="0"/>
    <n v="0"/>
    <n v="0"/>
  </r>
  <r>
    <x v="2"/>
    <s v="Win"/>
    <n v="3"/>
    <n v="5"/>
    <n v="2"/>
    <x v="55"/>
    <s v="5|19000102|46251"/>
    <n v="3"/>
    <n v="2026"/>
    <n v="8"/>
    <s v="Current"/>
    <x v="32"/>
    <s v="Loss"/>
    <b v="0"/>
    <n v="1"/>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20">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1"/>
  </r>
  <r>
    <x v="84"/>
    <x v="0"/>
    <x v="0"/>
    <n v="1"/>
    <n v="1"/>
    <d v="2026-08-17T00:00:00"/>
    <s v="1|19000101|46251"/>
    <x v="0"/>
    <x v="1"/>
    <x v="4"/>
    <x v="1"/>
  </r>
  <r>
    <x v="94"/>
    <x v="1"/>
    <x v="1"/>
    <n v="1"/>
    <n v="1"/>
    <d v="2026-08-17T00:00:00"/>
    <s v="1|19000101|46251"/>
    <x v="0"/>
    <x v="1"/>
    <x v="4"/>
    <x v="1"/>
  </r>
  <r>
    <x v="57"/>
    <x v="1"/>
    <x v="2"/>
    <n v="1"/>
    <n v="1"/>
    <d v="2026-08-17T00:00:00"/>
    <s v="1|19000101|46251"/>
    <x v="0"/>
    <x v="1"/>
    <x v="4"/>
    <x v="1"/>
  </r>
  <r>
    <x v="8"/>
    <x v="2"/>
    <x v="4"/>
    <n v="2"/>
    <n v="1"/>
    <d v="2026-08-17T00:00:00"/>
    <s v="2|19000101|46251"/>
    <x v="0"/>
    <x v="1"/>
    <x v="4"/>
    <x v="1"/>
  </r>
  <r>
    <x v="80"/>
    <x v="2"/>
    <x v="0"/>
    <n v="2"/>
    <n v="1"/>
    <d v="2026-08-17T00:00:00"/>
    <s v="2|19000101|46251"/>
    <x v="0"/>
    <x v="1"/>
    <x v="4"/>
    <x v="1"/>
  </r>
  <r>
    <x v="11"/>
    <x v="2"/>
    <x v="1"/>
    <n v="2"/>
    <n v="1"/>
    <d v="2026-08-17T00:00:00"/>
    <s v="2|19000101|46251"/>
    <x v="0"/>
    <x v="1"/>
    <x v="4"/>
    <x v="1"/>
  </r>
  <r>
    <x v="37"/>
    <x v="2"/>
    <x v="2"/>
    <n v="2"/>
    <n v="1"/>
    <d v="2026-08-17T00:00:00"/>
    <s v="2|19000101|46251"/>
    <x v="0"/>
    <x v="1"/>
    <x v="4"/>
    <x v="1"/>
  </r>
  <r>
    <x v="42"/>
    <x v="2"/>
    <x v="4"/>
    <n v="3"/>
    <n v="1"/>
    <d v="2026-08-17T00:00:00"/>
    <s v="3|19000101|46251"/>
    <x v="0"/>
    <x v="1"/>
    <x v="4"/>
    <x v="1"/>
  </r>
  <r>
    <x v="18"/>
    <x v="2"/>
    <x v="0"/>
    <n v="3"/>
    <n v="1"/>
    <d v="2026-08-17T00:00:00"/>
    <s v="3|19000101|46251"/>
    <x v="0"/>
    <x v="1"/>
    <x v="4"/>
    <x v="1"/>
  </r>
  <r>
    <x v="13"/>
    <x v="2"/>
    <x v="1"/>
    <n v="3"/>
    <n v="1"/>
    <d v="2026-08-17T00:00:00"/>
    <s v="3|19000101|46251"/>
    <x v="0"/>
    <x v="1"/>
    <x v="4"/>
    <x v="1"/>
  </r>
  <r>
    <x v="28"/>
    <x v="2"/>
    <x v="2"/>
    <n v="3"/>
    <n v="1"/>
    <d v="2026-08-17T00:00:00"/>
    <s v="3|19000101|46251"/>
    <x v="0"/>
    <x v="1"/>
    <x v="4"/>
    <x v="1"/>
  </r>
  <r>
    <x v="50"/>
    <x v="1"/>
    <x v="4"/>
    <n v="4"/>
    <n v="1"/>
    <d v="2026-08-17T00:00:00"/>
    <s v="4|19000101|46251"/>
    <x v="0"/>
    <x v="1"/>
    <x v="4"/>
    <x v="1"/>
  </r>
  <r>
    <x v="69"/>
    <x v="1"/>
    <x v="0"/>
    <n v="4"/>
    <n v="1"/>
    <d v="2026-08-17T00:00:00"/>
    <s v="4|19000101|46251"/>
    <x v="0"/>
    <x v="1"/>
    <x v="4"/>
    <x v="1"/>
  </r>
  <r>
    <x v="33"/>
    <x v="0"/>
    <x v="1"/>
    <n v="4"/>
    <n v="1"/>
    <d v="2026-08-17T00:00:00"/>
    <s v="4|19000101|46251"/>
    <x v="0"/>
    <x v="1"/>
    <x v="4"/>
    <x v="1"/>
  </r>
  <r>
    <x v="1"/>
    <x v="1"/>
    <x v="2"/>
    <n v="4"/>
    <n v="1"/>
    <d v="2026-08-17T00:00:00"/>
    <s v="4|19000101|46251"/>
    <x v="0"/>
    <x v="1"/>
    <x v="4"/>
    <x v="1"/>
  </r>
  <r>
    <x v="70"/>
    <x v="0"/>
    <x v="4"/>
    <n v="5"/>
    <n v="1"/>
    <d v="2026-08-17T00:00:00"/>
    <s v="5|19000101|46251"/>
    <x v="2"/>
    <x v="1"/>
    <x v="4"/>
    <x v="1"/>
  </r>
  <r>
    <x v="9"/>
    <x v="1"/>
    <x v="0"/>
    <n v="5"/>
    <n v="1"/>
    <d v="2026-08-17T00:00:00"/>
    <s v="5|19000101|46251"/>
    <x v="2"/>
    <x v="1"/>
    <x v="4"/>
    <x v="1"/>
  </r>
  <r>
    <x v="93"/>
    <x v="1"/>
    <x v="1"/>
    <n v="5"/>
    <n v="1"/>
    <d v="2026-08-17T00:00:00"/>
    <s v="5|19000101|46251"/>
    <x v="2"/>
    <x v="1"/>
    <x v="4"/>
    <x v="1"/>
  </r>
  <r>
    <x v="13"/>
    <x v="0"/>
    <x v="4"/>
    <n v="1"/>
    <n v="2"/>
    <d v="2026-08-17T00:00:00"/>
    <s v="1|19000102|46251"/>
    <x v="2"/>
    <x v="1"/>
    <x v="4"/>
    <x v="1"/>
  </r>
  <r>
    <x v="57"/>
    <x v="1"/>
    <x v="0"/>
    <n v="1"/>
    <n v="2"/>
    <d v="2026-08-17T00:00:00"/>
    <s v="1|19000102|46251"/>
    <x v="2"/>
    <x v="1"/>
    <x v="4"/>
    <x v="1"/>
  </r>
  <r>
    <x v="94"/>
    <x v="1"/>
    <x v="1"/>
    <n v="1"/>
    <n v="2"/>
    <d v="2026-08-17T00:00:00"/>
    <s v="1|19000102|46251"/>
    <x v="2"/>
    <x v="1"/>
    <x v="4"/>
    <x v="1"/>
  </r>
  <r>
    <x v="33"/>
    <x v="1"/>
    <x v="4"/>
    <n v="2"/>
    <n v="2"/>
    <d v="2026-08-17T00:00:00"/>
    <s v="2|19000102|46251"/>
    <x v="0"/>
    <x v="1"/>
    <x v="4"/>
    <x v="1"/>
  </r>
  <r>
    <x v="93"/>
    <x v="1"/>
    <x v="0"/>
    <n v="2"/>
    <n v="2"/>
    <d v="2026-08-17T00:00:00"/>
    <s v="2|19000102|46251"/>
    <x v="0"/>
    <x v="1"/>
    <x v="4"/>
    <x v="1"/>
  </r>
  <r>
    <x v="84"/>
    <x v="0"/>
    <x v="1"/>
    <n v="2"/>
    <n v="2"/>
    <d v="2026-08-17T00:00:00"/>
    <s v="2|19000102|46251"/>
    <x v="0"/>
    <x v="1"/>
    <x v="4"/>
    <x v="1"/>
  </r>
  <r>
    <x v="8"/>
    <x v="1"/>
    <x v="2"/>
    <n v="2"/>
    <n v="2"/>
    <d v="2026-08-17T00:00:00"/>
    <s v="2|19000102|46251"/>
    <x v="0"/>
    <x v="1"/>
    <x v="4"/>
    <x v="1"/>
  </r>
  <r>
    <x v="62"/>
    <x v="1"/>
    <x v="4"/>
    <n v="3"/>
    <n v="2"/>
    <d v="2026-08-17T00:00:00"/>
    <s v="3|19000102|46251"/>
    <x v="0"/>
    <x v="1"/>
    <x v="4"/>
    <x v="1"/>
  </r>
  <r>
    <x v="1"/>
    <x v="1"/>
    <x v="0"/>
    <n v="3"/>
    <n v="2"/>
    <d v="2026-08-17T00:00:00"/>
    <s v="3|19000102|46251"/>
    <x v="0"/>
    <x v="1"/>
    <x v="4"/>
    <x v="1"/>
  </r>
  <r>
    <x v="9"/>
    <x v="1"/>
    <x v="1"/>
    <n v="3"/>
    <n v="2"/>
    <d v="2026-08-17T00:00:00"/>
    <s v="3|19000102|46251"/>
    <x v="0"/>
    <x v="1"/>
    <x v="4"/>
    <x v="1"/>
  </r>
  <r>
    <x v="70"/>
    <x v="0"/>
    <x v="2"/>
    <n v="3"/>
    <n v="2"/>
    <d v="2026-08-17T00:00:00"/>
    <s v="3|19000102|46251"/>
    <x v="0"/>
    <x v="1"/>
    <x v="4"/>
    <x v="1"/>
  </r>
  <r>
    <x v="42"/>
    <x v="1"/>
    <x v="4"/>
    <n v="4"/>
    <n v="2"/>
    <d v="2026-08-17T00:00:00"/>
    <s v="4|19000102|46251"/>
    <x v="0"/>
    <x v="1"/>
    <x v="4"/>
    <x v="1"/>
  </r>
  <r>
    <x v="50"/>
    <x v="1"/>
    <x v="0"/>
    <n v="4"/>
    <n v="2"/>
    <d v="2026-08-17T00:00:00"/>
    <s v="4|19000102|46251"/>
    <x v="0"/>
    <x v="1"/>
    <x v="4"/>
    <x v="1"/>
  </r>
  <r>
    <x v="80"/>
    <x v="1"/>
    <x v="1"/>
    <n v="4"/>
    <n v="2"/>
    <d v="2026-08-17T00:00:00"/>
    <s v="4|19000102|46251"/>
    <x v="0"/>
    <x v="1"/>
    <x v="4"/>
    <x v="1"/>
  </r>
  <r>
    <x v="37"/>
    <x v="0"/>
    <x v="2"/>
    <n v="4"/>
    <n v="2"/>
    <d v="2026-08-17T00:00:00"/>
    <s v="4|19000102|46251"/>
    <x v="0"/>
    <x v="1"/>
    <x v="4"/>
    <x v="1"/>
  </r>
  <r>
    <x v="11"/>
    <x v="1"/>
    <x v="4"/>
    <n v="5"/>
    <n v="2"/>
    <d v="2026-08-17T00:00:00"/>
    <s v="5|19000102|46251"/>
    <x v="2"/>
    <x v="1"/>
    <x v="4"/>
    <x v="1"/>
  </r>
  <r>
    <x v="28"/>
    <x v="1"/>
    <x v="0"/>
    <n v="5"/>
    <n v="2"/>
    <d v="2026-08-17T00:00:00"/>
    <s v="5|19000102|46251"/>
    <x v="2"/>
    <x v="1"/>
    <x v="4"/>
    <x v="1"/>
  </r>
  <r>
    <x v="18"/>
    <x v="0"/>
    <x v="1"/>
    <n v="5"/>
    <n v="2"/>
    <d v="2026-08-17T00:00:00"/>
    <s v="5|19000102|46251"/>
    <x v="2"/>
    <x v="1"/>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3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8" firstHeaderRow="1" firstDataRow="2" firstDataCol="1" rowPageCount="2" colPageCount="1"/>
  <pivotFields count="11">
    <pivotField axis="axisRow" showAll="0">
      <items count="152">
        <item x="1"/>
        <item x="8"/>
        <item x="9"/>
        <item x="11"/>
        <item x="13"/>
        <item x="15"/>
        <item m="1" x="132"/>
        <item x="42"/>
        <item x="47"/>
        <item x="48"/>
        <item x="50"/>
        <item x="51"/>
        <item x="55"/>
        <item x="56"/>
        <item x="57"/>
        <item x="58"/>
        <item x="61"/>
        <item x="0"/>
        <item m="1" x="119"/>
        <item x="72"/>
        <item x="18"/>
        <item x="33"/>
        <item x="53"/>
        <item x="22"/>
        <item m="1" x="145"/>
        <item m="1" x="146"/>
        <item m="1" x="147"/>
        <item m="1" x="148"/>
        <item m="1" x="149"/>
        <item m="1" x="150"/>
        <item x="60"/>
        <item m="1" x="113"/>
        <item x="45"/>
        <item x="27"/>
        <item x="44"/>
        <item x="26"/>
        <item x="52"/>
        <item m="1" x="143"/>
        <item x="43"/>
        <item x="6"/>
        <item x="35"/>
        <item x="23"/>
        <item m="1" x="131"/>
        <item x="49"/>
        <item x="36"/>
        <item m="1" x="125"/>
        <item x="19"/>
        <item m="1" x="144"/>
        <item m="1" x="140"/>
        <item x="16"/>
        <item m="1" x="115"/>
        <item x="38"/>
        <item x="31"/>
        <item x="21"/>
        <item x="46"/>
        <item m="1" x="141"/>
        <item x="62"/>
        <item m="1" x="142"/>
        <item x="39"/>
        <item x="17"/>
        <item x="41"/>
        <item x="3"/>
        <item m="1" x="109"/>
        <item x="32"/>
        <item x="20"/>
        <item x="30"/>
        <item x="59"/>
        <item x="34"/>
        <item m="1" x="139"/>
        <item m="1" x="128"/>
        <item m="1" x="121"/>
        <item m="1" x="120"/>
        <item x="12"/>
        <item m="1" x="123"/>
        <item x="40"/>
        <item m="1" x="138"/>
        <item m="1" x="136"/>
        <item m="1" x="135"/>
        <item m="1" x="137"/>
        <item m="1" x="133"/>
        <item m="1" x="134"/>
        <item m="1" x="122"/>
        <item x="5"/>
        <item m="1" x="102"/>
        <item x="29"/>
        <item x="10"/>
        <item x="37"/>
        <item m="1" x="129"/>
        <item m="1" x="124"/>
        <item x="4"/>
        <item m="1" x="130"/>
        <item x="25"/>
        <item x="14"/>
        <item x="54"/>
        <item m="1" x="99"/>
        <item x="63"/>
        <item m="1" x="127"/>
        <item m="1" x="126"/>
        <item x="65"/>
        <item x="66"/>
        <item x="67"/>
        <item x="68"/>
        <item x="69"/>
        <item x="70"/>
        <item x="71"/>
        <item x="7"/>
        <item x="24"/>
        <item x="28"/>
        <item x="64"/>
        <item x="73"/>
        <item x="74"/>
        <item m="1" x="117"/>
        <item m="1" x="118"/>
        <item m="1" x="116"/>
        <item m="1" x="111"/>
        <item m="1" x="103"/>
        <item m="1" x="114"/>
        <item x="76"/>
        <item x="77"/>
        <item x="78"/>
        <item m="1" x="112"/>
        <item x="79"/>
        <item m="1" x="104"/>
        <item x="80"/>
        <item m="1" x="110"/>
        <item m="1" x="98"/>
        <item m="1" x="105"/>
        <item x="2"/>
        <item x="81"/>
        <item x="82"/>
        <item x="83"/>
        <item x="84"/>
        <item x="75"/>
        <item m="1" x="106"/>
        <item m="1" x="107"/>
        <item x="85"/>
        <item x="86"/>
        <item m="1" x="95"/>
        <item x="87"/>
        <item m="1" x="108"/>
        <item x="88"/>
        <item x="89"/>
        <item m="1" x="101"/>
        <item x="91"/>
        <item x="92"/>
        <item x="90"/>
        <item m="1" x="100"/>
        <item m="1" x="96"/>
        <item x="93"/>
        <item m="1" x="97"/>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axis="axisPage" showAll="0">
      <items count="4">
        <item x="1"/>
        <item x="0"/>
        <item m="1" x="2"/>
        <item t="default"/>
      </items>
    </pivotField>
  </pivotFields>
  <rowFields count="1">
    <field x="0"/>
  </rowFields>
  <rowItems count="32">
    <i>
      <x/>
    </i>
    <i>
      <x v="1"/>
    </i>
    <i>
      <x v="2"/>
    </i>
    <i>
      <x v="3"/>
    </i>
    <i>
      <x v="4"/>
    </i>
    <i>
      <x v="5"/>
    </i>
    <i>
      <x v="7"/>
    </i>
    <i>
      <x v="10"/>
    </i>
    <i>
      <x v="14"/>
    </i>
    <i>
      <x v="15"/>
    </i>
    <i>
      <x v="20"/>
    </i>
    <i>
      <x v="21"/>
    </i>
    <i>
      <x v="33"/>
    </i>
    <i>
      <x v="46"/>
    </i>
    <i>
      <x v="56"/>
    </i>
    <i>
      <x v="85"/>
    </i>
    <i>
      <x v="86"/>
    </i>
    <i>
      <x v="89"/>
    </i>
    <i>
      <x v="91"/>
    </i>
    <i>
      <x v="103"/>
    </i>
    <i>
      <x v="105"/>
    </i>
    <i>
      <x v="107"/>
    </i>
    <i>
      <x v="110"/>
    </i>
    <i>
      <x v="117"/>
    </i>
    <i>
      <x v="121"/>
    </i>
    <i>
      <x v="123"/>
    </i>
    <i>
      <x v="130"/>
    </i>
    <i>
      <x v="131"/>
    </i>
    <i>
      <x v="140"/>
    </i>
    <i>
      <x v="145"/>
    </i>
    <i>
      <x v="148"/>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3" firstHeaderRow="0" firstDataRow="1" firstDataCol="1" rowPageCount="1" colPageCount="1"/>
  <pivotFields count="22">
    <pivotField axis="axisPage" showAll="0">
      <items count="137">
        <item x="0"/>
        <item x="4"/>
        <item x="40"/>
        <item x="50"/>
        <item x="14"/>
        <item x="5"/>
        <item x="18"/>
        <item m="1" x="117"/>
        <item x="1"/>
        <item x="10"/>
        <item x="15"/>
        <item x="8"/>
        <item x="2"/>
        <item x="34"/>
        <item x="62"/>
        <item m="1" x="130"/>
        <item x="9"/>
        <item x="61"/>
        <item x="22"/>
        <item x="24"/>
        <item m="1" x="129"/>
        <item m="1" x="123"/>
        <item x="55"/>
        <item x="53"/>
        <item x="35"/>
        <item x="13"/>
        <item x="37"/>
        <item x="56"/>
        <item x="51"/>
        <item m="1" x="113"/>
        <item x="29"/>
        <item x="36"/>
        <item x="49"/>
        <item x="3"/>
        <item x="54"/>
        <item x="25"/>
        <item x="60"/>
        <item x="63"/>
        <item x="6"/>
        <item x="19"/>
        <item x="52"/>
        <item x="20"/>
        <item x="23"/>
        <item x="27"/>
        <item x="30"/>
        <item x="26"/>
        <item x="57"/>
        <item x="17"/>
        <item x="7"/>
        <item x="31"/>
        <item x="59"/>
        <item m="1" x="111"/>
        <item x="33"/>
        <item m="1" x="126"/>
        <item m="1" x="120"/>
        <item m="1" x="119"/>
        <item x="12"/>
        <item m="1" x="121"/>
        <item x="42"/>
        <item m="1" x="135"/>
        <item m="1" x="133"/>
        <item m="1" x="134"/>
        <item m="1" x="131"/>
        <item m="1" x="132"/>
        <item x="28"/>
        <item m="1" x="118"/>
        <item x="45"/>
        <item m="1" x="101"/>
        <item x="48"/>
        <item x="46"/>
        <item x="43"/>
        <item m="1" x="127"/>
        <item m="1" x="122"/>
        <item x="21"/>
        <item x="44"/>
        <item m="1" x="128"/>
        <item x="11"/>
        <item x="16"/>
        <item x="58"/>
        <item m="1" x="98"/>
        <item x="64"/>
        <item m="1" x="125"/>
        <item m="1" x="124"/>
        <item x="66"/>
        <item x="65"/>
        <item x="67"/>
        <item x="68"/>
        <item x="69"/>
        <item x="70"/>
        <item x="71"/>
        <item x="72"/>
        <item x="32"/>
        <item x="38"/>
        <item x="39"/>
        <item x="41"/>
        <item x="73"/>
        <item x="74"/>
        <item m="1" x="115"/>
        <item m="1" x="116"/>
        <item m="1" x="114"/>
        <item m="1" x="110"/>
        <item m="1" x="102"/>
        <item m="1" x="112"/>
        <item x="76"/>
        <item x="77"/>
        <item x="78"/>
        <item m="1" x="108"/>
        <item x="79"/>
        <item m="1" x="103"/>
        <item x="80"/>
        <item m="1" x="109"/>
        <item m="1" x="97"/>
        <item m="1" x="104"/>
        <item x="47"/>
        <item x="81"/>
        <item x="82"/>
        <item x="83"/>
        <item x="84"/>
        <item x="75"/>
        <item m="1" x="105"/>
        <item m="1" x="106"/>
        <item x="85"/>
        <item x="86"/>
        <item x="94"/>
        <item x="87"/>
        <item m="1" x="107"/>
        <item x="88"/>
        <item x="89"/>
        <item m="1" x="100"/>
        <item x="91"/>
        <item x="92"/>
        <item x="90"/>
        <item m="1" x="99"/>
        <item m="1" x="95"/>
        <item x="93"/>
        <item m="1" x="96"/>
        <item t="default"/>
      </items>
    </pivotField>
    <pivotField showAll="0"/>
    <pivotField showAll="0"/>
    <pivotField showAll="0"/>
    <pivotField showAll="0"/>
    <pivotField numFmtId="22" showAll="0">
      <items count="57">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t="default"/>
      </items>
    </pivotField>
    <pivotField dataField="1" showAll="0"/>
    <pivotField showAll="0"/>
    <pivotField showAll="0"/>
    <pivotField showAll="0"/>
    <pivotField showAll="0"/>
    <pivotField axis="axisRow" showAll="0" sortType="descending">
      <items count="137">
        <item x="3"/>
        <item x="4"/>
        <item x="40"/>
        <item x="50"/>
        <item x="14"/>
        <item x="5"/>
        <item x="18"/>
        <item m="1" x="117"/>
        <item x="0"/>
        <item x="10"/>
        <item x="15"/>
        <item x="8"/>
        <item x="1"/>
        <item x="34"/>
        <item x="62"/>
        <item m="1" x="130"/>
        <item x="9"/>
        <item x="61"/>
        <item x="22"/>
        <item x="24"/>
        <item m="1" x="129"/>
        <item m="1" x="123"/>
        <item x="55"/>
        <item x="53"/>
        <item x="35"/>
        <item x="13"/>
        <item x="37"/>
        <item x="56"/>
        <item x="51"/>
        <item m="1" x="113"/>
        <item x="29"/>
        <item x="36"/>
        <item x="49"/>
        <item x="2"/>
        <item x="54"/>
        <item x="25"/>
        <item x="60"/>
        <item x="63"/>
        <item x="6"/>
        <item x="19"/>
        <item x="52"/>
        <item x="20"/>
        <item x="23"/>
        <item x="27"/>
        <item x="30"/>
        <item x="26"/>
        <item x="57"/>
        <item x="17"/>
        <item x="7"/>
        <item x="31"/>
        <item x="59"/>
        <item m="1" x="111"/>
        <item x="33"/>
        <item m="1" x="126"/>
        <item m="1" x="120"/>
        <item m="1" x="119"/>
        <item x="12"/>
        <item m="1" x="121"/>
        <item x="42"/>
        <item m="1" x="135"/>
        <item m="1" x="133"/>
        <item m="1" x="134"/>
        <item m="1" x="131"/>
        <item m="1" x="132"/>
        <item x="28"/>
        <item m="1" x="118"/>
        <item x="45"/>
        <item x="47"/>
        <item m="1" x="101"/>
        <item x="46"/>
        <item x="43"/>
        <item m="1" x="127"/>
        <item m="1" x="122"/>
        <item x="21"/>
        <item x="44"/>
        <item m="1" x="128"/>
        <item x="11"/>
        <item x="16"/>
        <item x="58"/>
        <item m="1" x="98"/>
        <item x="64"/>
        <item m="1" x="125"/>
        <item m="1" x="124"/>
        <item x="65"/>
        <item x="66"/>
        <item x="67"/>
        <item x="68"/>
        <item x="69"/>
        <item x="70"/>
        <item x="71"/>
        <item x="72"/>
        <item x="32"/>
        <item x="38"/>
        <item x="39"/>
        <item x="41"/>
        <item x="73"/>
        <item x="74"/>
        <item m="1" x="115"/>
        <item m="1" x="116"/>
        <item m="1" x="114"/>
        <item m="1" x="110"/>
        <item m="1" x="102"/>
        <item m="1" x="112"/>
        <item x="76"/>
        <item x="77"/>
        <item x="78"/>
        <item m="1" x="108"/>
        <item x="79"/>
        <item m="1" x="103"/>
        <item m="1" x="109"/>
        <item x="80"/>
        <item m="1" x="97"/>
        <item m="1" x="104"/>
        <item x="48"/>
        <item x="81"/>
        <item x="82"/>
        <item x="83"/>
        <item x="84"/>
        <item x="75"/>
        <item m="1" x="106"/>
        <item x="85"/>
        <item m="1" x="105"/>
        <item x="86"/>
        <item x="94"/>
        <item x="87"/>
        <item m="1" x="107"/>
        <item x="88"/>
        <item x="89"/>
        <item m="1" x="100"/>
        <item x="91"/>
        <item x="92"/>
        <item x="90"/>
        <item m="1" x="99"/>
        <item m="1" x="95"/>
        <item x="93"/>
        <item m="1" x="96"/>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0">
    <i>
      <x v="47"/>
    </i>
    <i>
      <x v="73"/>
    </i>
    <i>
      <x v="12"/>
    </i>
    <i>
      <x v="1"/>
    </i>
    <i>
      <x v="33"/>
    </i>
    <i>
      <x v="19"/>
    </i>
    <i>
      <x v="5"/>
    </i>
    <i>
      <x v="6"/>
    </i>
    <i>
      <x v="4"/>
    </i>
    <i>
      <x v="9"/>
    </i>
    <i>
      <x v="48"/>
    </i>
    <i>
      <x v="74"/>
    </i>
    <i>
      <x v="10"/>
    </i>
    <i>
      <x v="56"/>
    </i>
    <i>
      <x v="25"/>
    </i>
    <i>
      <x v="13"/>
    </i>
    <i>
      <x v="41"/>
    </i>
    <i>
      <x v="64"/>
    </i>
    <i>
      <x v="88"/>
    </i>
    <i>
      <x v="42"/>
    </i>
    <i>
      <x v="49"/>
    </i>
    <i>
      <x v="69"/>
    </i>
    <i>
      <x v="77"/>
    </i>
    <i>
      <x v="43"/>
    </i>
    <i>
      <x v="91"/>
    </i>
    <i>
      <x v="45"/>
    </i>
    <i>
      <x v="70"/>
    </i>
    <i>
      <x/>
    </i>
    <i>
      <x v="107"/>
    </i>
    <i>
      <x v="76"/>
    </i>
    <i>
      <x v="11"/>
    </i>
    <i>
      <x v="31"/>
    </i>
    <i>
      <x v="131"/>
    </i>
    <i>
      <x v="38"/>
    </i>
    <i>
      <x v="116"/>
    </i>
    <i>
      <x v="52"/>
    </i>
    <i>
      <x v="35"/>
    </i>
    <i>
      <x v="39"/>
    </i>
    <i>
      <x v="117"/>
    </i>
    <i>
      <x v="36"/>
    </i>
    <i>
      <x v="105"/>
    </i>
    <i>
      <x v="95"/>
    </i>
    <i>
      <x v="118"/>
    </i>
    <i>
      <x v="110"/>
    </i>
    <i>
      <x v="27"/>
    </i>
    <i>
      <x v="93"/>
    </i>
    <i>
      <x v="134"/>
    </i>
    <i>
      <x v="96"/>
    </i>
    <i>
      <x v="87"/>
    </i>
    <i>
      <x v="37"/>
    </i>
    <i>
      <x v="3"/>
    </i>
    <i>
      <x v="30"/>
    </i>
    <i>
      <x v="90"/>
    </i>
    <i>
      <x v="120"/>
    </i>
    <i>
      <x v="44"/>
    </i>
    <i>
      <x v="123"/>
    </i>
    <i>
      <x v="14"/>
    </i>
    <i>
      <x v="78"/>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3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9" firstHeaderRow="1" firstDataRow="2" firstDataCol="1" rowPageCount="1" colPageCount="1"/>
  <pivotFields count="11">
    <pivotField axis="axisRow" showAll="0">
      <items count="152">
        <item x="1"/>
        <item x="8"/>
        <item x="9"/>
        <item x="11"/>
        <item x="13"/>
        <item x="15"/>
        <item m="1" x="132"/>
        <item x="42"/>
        <item x="47"/>
        <item x="48"/>
        <item x="50"/>
        <item x="51"/>
        <item x="55"/>
        <item x="56"/>
        <item x="57"/>
        <item x="58"/>
        <item x="61"/>
        <item x="0"/>
        <item m="1" x="119"/>
        <item x="72"/>
        <item x="18"/>
        <item x="33"/>
        <item x="53"/>
        <item x="22"/>
        <item m="1" x="145"/>
        <item m="1" x="146"/>
        <item m="1" x="147"/>
        <item m="1" x="148"/>
        <item m="1" x="149"/>
        <item m="1" x="150"/>
        <item x="60"/>
        <item m="1" x="113"/>
        <item x="45"/>
        <item x="27"/>
        <item x="44"/>
        <item x="26"/>
        <item x="52"/>
        <item m="1" x="143"/>
        <item x="43"/>
        <item x="6"/>
        <item x="35"/>
        <item x="23"/>
        <item m="1" x="131"/>
        <item x="49"/>
        <item x="36"/>
        <item m="1" x="125"/>
        <item x="19"/>
        <item m="1" x="144"/>
        <item m="1" x="140"/>
        <item x="16"/>
        <item m="1" x="115"/>
        <item x="38"/>
        <item x="31"/>
        <item x="21"/>
        <item x="46"/>
        <item m="1" x="141"/>
        <item x="62"/>
        <item m="1" x="142"/>
        <item x="39"/>
        <item x="17"/>
        <item x="41"/>
        <item x="3"/>
        <item m="1" x="109"/>
        <item x="32"/>
        <item x="20"/>
        <item x="30"/>
        <item x="59"/>
        <item x="34"/>
        <item m="1" x="139"/>
        <item m="1" x="128"/>
        <item m="1" x="121"/>
        <item m="1" x="120"/>
        <item x="12"/>
        <item m="1" x="123"/>
        <item x="40"/>
        <item m="1" x="138"/>
        <item m="1" x="136"/>
        <item m="1" x="135"/>
        <item m="1" x="137"/>
        <item m="1" x="133"/>
        <item m="1" x="134"/>
        <item m="1" x="122"/>
        <item x="5"/>
        <item m="1" x="102"/>
        <item x="29"/>
        <item x="10"/>
        <item x="37"/>
        <item m="1" x="129"/>
        <item m="1" x="124"/>
        <item x="4"/>
        <item m="1" x="130"/>
        <item x="25"/>
        <item x="14"/>
        <item x="54"/>
        <item m="1" x="99"/>
        <item x="63"/>
        <item m="1" x="127"/>
        <item m="1" x="126"/>
        <item x="65"/>
        <item x="66"/>
        <item x="67"/>
        <item x="68"/>
        <item x="69"/>
        <item x="70"/>
        <item x="71"/>
        <item x="7"/>
        <item x="24"/>
        <item x="28"/>
        <item x="64"/>
        <item x="73"/>
        <item x="74"/>
        <item m="1" x="117"/>
        <item m="1" x="118"/>
        <item m="1" x="116"/>
        <item m="1" x="111"/>
        <item m="1" x="103"/>
        <item m="1" x="114"/>
        <item x="76"/>
        <item x="77"/>
        <item x="78"/>
        <item m="1" x="112"/>
        <item x="79"/>
        <item m="1" x="104"/>
        <item x="80"/>
        <item m="1" x="110"/>
        <item m="1" x="98"/>
        <item m="1" x="105"/>
        <item x="2"/>
        <item x="81"/>
        <item x="82"/>
        <item x="83"/>
        <item x="84"/>
        <item x="75"/>
        <item m="1" x="106"/>
        <item m="1" x="107"/>
        <item x="85"/>
        <item x="86"/>
        <item m="1" x="95"/>
        <item x="87"/>
        <item m="1" x="108"/>
        <item x="88"/>
        <item x="89"/>
        <item m="1" x="101"/>
        <item x="91"/>
        <item x="92"/>
        <item x="90"/>
        <item m="1" x="100"/>
        <item m="1" x="96"/>
        <item x="93"/>
        <item m="1" x="97"/>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showAll="0"/>
  </pivotFields>
  <rowFields count="1">
    <field x="0"/>
  </rowFields>
  <rowItems count="34">
    <i>
      <x/>
    </i>
    <i>
      <x v="1"/>
    </i>
    <i>
      <x v="2"/>
    </i>
    <i>
      <x v="3"/>
    </i>
    <i>
      <x v="4"/>
    </i>
    <i>
      <x v="5"/>
    </i>
    <i>
      <x v="7"/>
    </i>
    <i>
      <x v="10"/>
    </i>
    <i>
      <x v="14"/>
    </i>
    <i>
      <x v="15"/>
    </i>
    <i>
      <x v="20"/>
    </i>
    <i>
      <x v="21"/>
    </i>
    <i>
      <x v="33"/>
    </i>
    <i>
      <x v="46"/>
    </i>
    <i>
      <x v="56"/>
    </i>
    <i>
      <x v="85"/>
    </i>
    <i>
      <x v="86"/>
    </i>
    <i>
      <x v="89"/>
    </i>
    <i>
      <x v="91"/>
    </i>
    <i>
      <x v="102"/>
    </i>
    <i>
      <x v="103"/>
    </i>
    <i>
      <x v="105"/>
    </i>
    <i>
      <x v="107"/>
    </i>
    <i>
      <x v="110"/>
    </i>
    <i>
      <x v="117"/>
    </i>
    <i>
      <x v="121"/>
    </i>
    <i>
      <x v="123"/>
    </i>
    <i>
      <x v="130"/>
    </i>
    <i>
      <x v="131"/>
    </i>
    <i>
      <x v="140"/>
    </i>
    <i>
      <x v="145"/>
    </i>
    <i>
      <x v="148"/>
    </i>
    <i>
      <x v="150"/>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10"/>
        <filter val="12"/>
        <filter val="14"/>
        <filter val="2"/>
        <filter val="4"/>
        <filter val="6"/>
        <filter val="8"/>
      </filters>
    </filterColumn>
  </autoFilter>
  <sortState xmlns:xlrd2="http://schemas.microsoft.com/office/spreadsheetml/2017/richdata2" ref="B5:P104">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021" totalsRowShown="0">
  <autoFilter ref="A1:K2021"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779" tableType="queryTable" totalsRowShown="0">
  <autoFilter ref="A1:R5779"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9"/>
    <tableColumn id="7" xr3:uid="{B4491C83-EB27-4EBF-850B-0C3D0CFCD92C}" uniqueName="7" name="Pod ID" queryTableFieldId="7" dataDxfId="8"/>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7"/>
    <tableColumn id="12" xr3:uid="{935BC677-B468-4C8F-9C07-5326743B624C}" uniqueName="12" name="Opponent" queryTableFieldId="12" dataDxfId="6"/>
    <tableColumn id="13" xr3:uid="{946B56DC-8905-459D-90F9-20709EF9401E}" uniqueName="13" name="Opponent Result" queryTableFieldId="13" dataDxfId="5"/>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S83" sqref="S83"/>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0.46</v>
      </c>
      <c r="F5" s="8">
        <f>IF(View_Table[[#This Row],[Games]]=0,0,(View_Table[[#This Row],[Wins]] + (View_Table[[#This Row],[Draws]] * 0.25))/View_Table[[#This Row],[Games]])</f>
        <v>0.6875</v>
      </c>
      <c r="G5" s="5">
        <f>IFERROR(
    GETPIVOTDATA(
        "Result",
        'Pivot Table'!$A$3,
        "Player",View_Table[[#This Row],[Player]],
        "Result","Win"
    ),
    0
)</f>
        <v>7</v>
      </c>
      <c r="H5" s="5">
        <f>IFERROR(
    GETPIVOTDATA(
        "Result",
        'Pivot Table'!$A$3,
        "Player",View_Table[[#This Row],[Player]],
        "Result","Loss"
    ),
    0
)</f>
        <v>0</v>
      </c>
      <c r="I5" s="5">
        <f>IFERROR(
    GETPIVOTDATA(
        "Result",
        'Pivot Table'!$A$3,
        "Player",View_Table[[#This Row],[Player]],
        "Result","Draw"
    ),
    0
)</f>
        <v>5</v>
      </c>
      <c r="J5" s="5">
        <f>View_Table[[#This Row],[Wins]]+View_Table[[#This Row],[Losses]]+View_Table[[#This Row],[Draws]]</f>
        <v>12</v>
      </c>
      <c r="K5" s="7">
        <f>IFERROR(
    GETPIVOTDATA(
        "Result",
        'Pivot Table Previous'!$A$3,
        "Player",View_Table[[#This Row],[Player]],
        "Result","Win"
    ),
    0
)</f>
        <v>6</v>
      </c>
      <c r="L5" s="5">
        <f>IFERROR(
    GETPIVOTDATA(
        "Result",
        'Pivot Table Previous'!$A$3,
        "Player",View_Table[[#This Row],[Player]],
        "Result","Loss"
    ),
    0
)</f>
        <v>0</v>
      </c>
      <c r="M5" s="5">
        <f>IFERROR(
    GETPIVOTDATA(
        "Result",
        'Pivot Table Previous'!$A$3,
        "Player",View_Table[[#This Row],[Player]],
        "Result","Draw"
    ),
    0
)</f>
        <v>4</v>
      </c>
      <c r="N5" s="5">
        <f>View_Table[[#This Row],[Wins Previous]]+View_Table[[#This Row],[Losses Previous]]+View_Table[[#This Row],[Draws Previous]]</f>
        <v>10</v>
      </c>
      <c r="O5" s="9">
        <f>_xlfn.LET(_xlpm.g,View_Table[[#This Row],[Games Previous]], _xlpm.w,(View_Table[[#This Row],[Wins Previous]] + View_Table[[#This Row],[Draws Previous]] * 0.25), _xlpm.fake, MAX(0,25-_xlpm.g), IF(_xlpm.g=0,0,(_xlpm.w + _xlpm.fake*0.25)/(_xlpm.g + _xlpm.fake)))</f>
        <v>0.43</v>
      </c>
      <c r="P5" s="7">
        <f>_xlfn.RANK.EQ(View_Table[[#This Row],[Weighted Win% Previous]], View_Table[Weighted Win% Previous], 0)</f>
        <v>1</v>
      </c>
    </row>
    <row r="6" spans="2:16" x14ac:dyDescent="0.2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0.36</v>
      </c>
      <c r="F6" s="8">
        <f>IF(View_Table[[#This Row],[Games]]=0,0,(View_Table[[#This Row],[Wins]] + (View_Table[[#This Row],[Draws]] * 0.25))/View_Table[[#This Row],[Games]])</f>
        <v>0.47916666666666669</v>
      </c>
      <c r="G6" s="5">
        <f>IFERROR(
    GETPIVOTDATA(
        "Result",
        'Pivot Table'!$A$3,
        "Player",View_Table[[#This Row],[Player]],
        "Result","Win"
    ),
    0
)</f>
        <v>5</v>
      </c>
      <c r="H6" s="5">
        <f>IFERROR(
    GETPIVOTDATA(
        "Result",
        'Pivot Table'!$A$3,
        "Player",View_Table[[#This Row],[Player]],
        "Result","Loss"
    ),
    0
)</f>
        <v>4</v>
      </c>
      <c r="I6" s="5">
        <f>IFERROR(
    GETPIVOTDATA(
        "Result",
        'Pivot Table'!$A$3,
        "Player",View_Table[[#This Row],[Player]],
        "Result","Draw"
    ),
    0
)</f>
        <v>3</v>
      </c>
      <c r="J6" s="5">
        <f>View_Table[[#This Row],[Wins]]+View_Table[[#This Row],[Losses]]+View_Table[[#This Row],[Draws]]</f>
        <v>12</v>
      </c>
      <c r="K6" s="7">
        <f>IFERROR(
    GETPIVOTDATA(
        "Result",
        'Pivot Table Previous'!$A$3,
        "Player",View_Table[[#This Row],[Player]],
        "Result","Win"
    ),
    0
)</f>
        <v>5</v>
      </c>
      <c r="L6" s="5">
        <f>IFERROR(
    GETPIVOTDATA(
        "Result",
        'Pivot Table Previous'!$A$3,
        "Player",View_Table[[#This Row],[Player]],
        "Result","Loss"
    ),
    0
)</f>
        <v>3</v>
      </c>
      <c r="M6" s="5">
        <f>IFERROR(
    GETPIVOTDATA(
        "Result",
        'Pivot Table Previous'!$A$3,
        "Player",View_Table[[#This Row],[Player]],
        "Result","Draw"
    ),
    0
)</f>
        <v>2</v>
      </c>
      <c r="N6" s="5">
        <f>View_Table[[#This Row],[Wins Previous]]+View_Table[[#This Row],[Losses Previous]]+View_Table[[#This Row],[Draws Previous]]</f>
        <v>10</v>
      </c>
      <c r="O6" s="9">
        <f>_xlfn.LET(_xlpm.g,View_Table[[#This Row],[Games Previous]], _xlpm.w,(View_Table[[#This Row],[Wins Previous]] + View_Table[[#This Row],[Draws Previous]] * 0.25), _xlpm.fake, MAX(0,25-_xlpm.g), IF(_xlpm.g=0,0,(_xlpm.w + _xlpm.fake*0.25)/(_xlpm.g + _xlpm.fake)))</f>
        <v>0.37</v>
      </c>
      <c r="P6" s="7">
        <f>_xlfn.RANK.EQ(View_Table[[#This Row],[Weighted Win% Previous]], View_Table[Weighted Win% Previous], 0)</f>
        <v>2</v>
      </c>
    </row>
    <row r="7" spans="2:16" hidden="1" x14ac:dyDescent="0.25">
      <c r="B7" s="3" t="s">
        <v>434</v>
      </c>
      <c r="C7" s="6">
        <f>View_Table[[#This Row],[Rank Previous]]-View_Table[[#This Row],[Rank]]</f>
        <v>-1</v>
      </c>
      <c r="D7" s="7">
        <f>_xlfn.RANK.EQ(View_Table[[#This Row],[Weighted Win%]], View_Table[Weighted Win%], 0)</f>
        <v>33</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32</v>
      </c>
    </row>
    <row r="8" spans="2:16" x14ac:dyDescent="0.25">
      <c r="B8" s="3" t="s">
        <v>405</v>
      </c>
      <c r="C8" s="6">
        <f>View_Table[[#This Row],[Rank Previous]]-View_Table[[#This Row],[Rank]]</f>
        <v>4</v>
      </c>
      <c r="D8" s="7">
        <f>_xlfn.RANK.EQ(View_Table[[#This Row],[Weighted Win%]], View_Table[Weighted Win%], 0)</f>
        <v>3</v>
      </c>
      <c r="E8" s="9">
        <f>_xlfn.LET(_xlpm.g,View_Table[[#This Row],[Games]], _xlpm.w,(View_Table[[#This Row],[Wins]] + View_Table[[#This Row],[Draws]] * 0.25), _xlpm.fake, MAX(0,25-_xlpm.g), IF(_xlpm.g=0,0,(_xlpm.w + _xlpm.fake*0.25)/(_xlpm.g + _xlpm.fake)))</f>
        <v>0.34</v>
      </c>
      <c r="F8" s="8">
        <f>IF(View_Table[[#This Row],[Games]]=0,0,(View_Table[[#This Row],[Wins]] + (View_Table[[#This Row],[Draws]] * 0.25))/View_Table[[#This Row],[Games]])</f>
        <v>0.47499999999999998</v>
      </c>
      <c r="G8" s="5">
        <f>IFERROR(
    GETPIVOTDATA(
        "Result",
        'Pivot Table'!$A$3,
        "Player",View_Table[[#This Row],[Player]],
        "Result","Win"
    ),
    0
)</f>
        <v>4</v>
      </c>
      <c r="H8" s="5">
        <f>IFERROR(
    GETPIVOTDATA(
        "Result",
        'Pivot Table'!$A$3,
        "Player",View_Table[[#This Row],[Player]],
        "Result","Loss"
    ),
    0
)</f>
        <v>3</v>
      </c>
      <c r="I8" s="5">
        <f>IFERROR(
    GETPIVOTDATA(
        "Result",
        'Pivot Table'!$A$3,
        "Player",View_Table[[#This Row],[Player]],
        "Result","Draw"
    ),
    0
)</f>
        <v>3</v>
      </c>
      <c r="J8" s="5">
        <f>View_Table[[#This Row],[Wins]]+View_Table[[#This Row],[Losses]]+View_Table[[#This Row],[Draws]]</f>
        <v>10</v>
      </c>
      <c r="K8" s="7">
        <f>IFERROR(
    GETPIVOTDATA(
        "Result",
        'Pivot Table Previous'!$A$3,
        "Player",View_Table[[#This Row],[Player]],
        "Result","Win"
    ),
    0
)</f>
        <v>2</v>
      </c>
      <c r="L8" s="5">
        <f>IFERROR(
    GETPIVOTDATA(
        "Result",
        'Pivot Table Previous'!$A$3,
        "Player",View_Table[[#This Row],[Player]],
        "Result","Loss"
    ),
    0
)</f>
        <v>3</v>
      </c>
      <c r="M8" s="5">
        <f>IFERROR(
    GETPIVOTDATA(
        "Result",
        'Pivot Table Previous'!$A$3,
        "Player",View_Table[[#This Row],[Player]],
        "Result","Draw"
    ),
    0
)</f>
        <v>3</v>
      </c>
      <c r="N8" s="5">
        <f>View_Table[[#This Row],[Wins Previous]]+View_Table[[#This Row],[Losses Previous]]+View_Table[[#This Row],[Draws Previous]]</f>
        <v>8</v>
      </c>
      <c r="O8" s="9">
        <f>_xlfn.LET(_xlpm.g,View_Table[[#This Row],[Games Previous]], _xlpm.w,(View_Table[[#This Row],[Wins Previous]] + View_Table[[#This Row],[Draws Previous]] * 0.25), _xlpm.fake, MAX(0,25-_xlpm.g), IF(_xlpm.g=0,0,(_xlpm.w + _xlpm.fake*0.25)/(_xlpm.g + _xlpm.fake)))</f>
        <v>0.28000000000000003</v>
      </c>
      <c r="P8" s="7">
        <f>_xlfn.RANK.EQ(View_Table[[#This Row],[Weighted Win% Previous]], View_Table[Weighted Win% Previous], 0)</f>
        <v>7</v>
      </c>
    </row>
    <row r="9" spans="2:16" x14ac:dyDescent="0.25">
      <c r="B9" s="3" t="s">
        <v>7</v>
      </c>
      <c r="C9" s="6">
        <f>View_Table[[#This Row],[Rank Previous]]-View_Table[[#This Row],[Rank]]</f>
        <v>1</v>
      </c>
      <c r="D9" s="7">
        <f>_xlfn.RANK.EQ(View_Table[[#This Row],[Weighted Win%]], View_Table[Weighted Win%], 0)</f>
        <v>4</v>
      </c>
      <c r="E9" s="9">
        <f>_xlfn.LET(_xlpm.g,View_Table[[#This Row],[Games]], _xlpm.w,(View_Table[[#This Row],[Wins]] + View_Table[[#This Row],[Draws]] * 0.25), _xlpm.fake, MAX(0,25-_xlpm.g), IF(_xlpm.g=0,0,(_xlpm.w + _xlpm.fake*0.25)/(_xlpm.g + _xlpm.fake)))</f>
        <v>0.33</v>
      </c>
      <c r="F9" s="8">
        <f>IF(View_Table[[#This Row],[Games]]=0,0,(View_Table[[#This Row],[Wins]] + (View_Table[[#This Row],[Draws]] * 0.25))/View_Table[[#This Row],[Games]])</f>
        <v>0.39285714285714285</v>
      </c>
      <c r="G9" s="5">
        <f>IFERROR(
    GETPIVOTDATA(
        "Result",
        'Pivot Table'!$A$3,
        "Player",View_Table[[#This Row],[Player]],
        "Result","Win"
    ),
    0
)</f>
        <v>5</v>
      </c>
      <c r="H9" s="5">
        <f>IFERROR(
    GETPIVOTDATA(
        "Result",
        'Pivot Table'!$A$3,
        "Player",View_Table[[#This Row],[Player]],
        "Result","Loss"
    ),
    0
)</f>
        <v>7</v>
      </c>
      <c r="I9" s="5">
        <f>IFERROR(
    GETPIVOTDATA(
        "Result",
        'Pivot Table'!$A$3,
        "Player",View_Table[[#This Row],[Player]],
        "Result","Draw"
    ),
    0
)</f>
        <v>2</v>
      </c>
      <c r="J9" s="5">
        <f>View_Table[[#This Row],[Wins]]+View_Table[[#This Row],[Losses]]+View_Table[[#This Row],[Draws]]</f>
        <v>14</v>
      </c>
      <c r="K9" s="5">
        <f>IFERROR(
    GETPIVOTDATA(
        "Result",
        'Pivot Table Previous'!$A$3,
        "Player",View_Table[[#This Row],[Player]],
        "Result","Win"
    ),
    0
)</f>
        <v>4</v>
      </c>
      <c r="L9" s="5">
        <f>IFERROR(
    GETPIVOTDATA(
        "Result",
        'Pivot Table Previous'!$A$3,
        "Player",View_Table[[#This Row],[Player]],
        "Result","Loss"
    ),
    0
)</f>
        <v>7</v>
      </c>
      <c r="M9" s="5">
        <f>IFERROR(
    GETPIVOTDATA(
        "Result",
        'Pivot Table Previous'!$A$3,
        "Player",View_Table[[#This Row],[Player]],
        "Result","Draw"
    ),
    0
)</f>
        <v>1</v>
      </c>
      <c r="N9" s="5">
        <f>View_Table[[#This Row],[Wins Previous]]+View_Table[[#This Row],[Losses Previous]]+View_Table[[#This Row],[Draws Previous]]</f>
        <v>12</v>
      </c>
      <c r="O9" s="9">
        <f>_xlfn.LET(_xlpm.g,View_Table[[#This Row],[Games Previous]], _xlpm.w,(View_Table[[#This Row],[Wins Previous]] + View_Table[[#This Row],[Draws Previous]] * 0.25), _xlpm.fake, MAX(0,25-_xlpm.g), IF(_xlpm.g=0,0,(_xlpm.w + _xlpm.fake*0.25)/(_xlpm.g + _xlpm.fake)))</f>
        <v>0.3</v>
      </c>
      <c r="P9" s="7">
        <f>IF(View_Table[[#This Row],[Games Previous]]=0,
    View_Table[[#This Row],[Rank]],
    _xlfn.RANK.EQ(View_Table[[#This Row],[Weighted Win% Previous]], View_Table[Weighted Win% Previous], 0)
)</f>
        <v>5</v>
      </c>
    </row>
    <row r="10" spans="2:16" x14ac:dyDescent="0.25">
      <c r="B10" s="3" t="s">
        <v>19</v>
      </c>
      <c r="C10" s="6">
        <f>View_Table[[#This Row],[Rank Previous]]-View_Table[[#This Row],[Rank]]</f>
        <v>-2</v>
      </c>
      <c r="D10" s="7">
        <f>_xlfn.RANK.EQ(View_Table[[#This Row],[Weighted Win%]], View_Table[Weighted Win%], 0)</f>
        <v>5</v>
      </c>
      <c r="E10" s="9">
        <f>_xlfn.LET(_xlpm.g,View_Table[[#This Row],[Games]], _xlpm.w,(View_Table[[#This Row],[Wins]] + View_Table[[#This Row],[Draws]] * 0.25), _xlpm.fake, MAX(0,25-_xlpm.g), IF(_xlpm.g=0,0,(_xlpm.w + _xlpm.fake*0.25)/(_xlpm.g + _xlpm.fake)))</f>
        <v>0.3</v>
      </c>
      <c r="F10" s="8">
        <f>IF(View_Table[[#This Row],[Games]]=0,0,(View_Table[[#This Row],[Wins]] + (View_Table[[#This Row],[Draws]] * 0.25))/View_Table[[#This Row],[Games]])</f>
        <v>0.35416666666666669</v>
      </c>
      <c r="G10" s="5">
        <f>IFERROR(
    GETPIVOTDATA(
        "Result",
        'Pivot Table'!$A$3,
        "Player",View_Table[[#This Row],[Player]],
        "Result","Win"
    ),
    0
)</f>
        <v>3</v>
      </c>
      <c r="H10" s="5">
        <f>IFERROR(
    GETPIVOTDATA(
        "Result",
        'Pivot Table'!$A$3,
        "Player",View_Table[[#This Row],[Player]],
        "Result","Loss"
    ),
    0
)</f>
        <v>4</v>
      </c>
      <c r="I10" s="5">
        <f>IFERROR(
    GETPIVOTDATA(
        "Result",
        'Pivot Table'!$A$3,
        "Player",View_Table[[#This Row],[Player]],
        "Result","Draw"
    ),
    0
)</f>
        <v>5</v>
      </c>
      <c r="J10" s="5">
        <f>View_Table[[#This Row],[Wins]]+View_Table[[#This Row],[Losses]]+View_Table[[#This Row],[Draws]]</f>
        <v>12</v>
      </c>
      <c r="K10" s="5">
        <f>IFERROR(
    GETPIVOTDATA(
        "Result",
        'Pivot Table Previous'!$A$3,
        "Player",View_Table[[#This Row],[Player]],
        "Result","Win"
    ),
    0
)</f>
        <v>3</v>
      </c>
      <c r="L10" s="5">
        <f>IFERROR(
    GETPIVOTDATA(
        "Result",
        'Pivot Table Previous'!$A$3,
        "Player",View_Table[[#This Row],[Player]],
        "Result","Loss"
    ),
    0
)</f>
        <v>3</v>
      </c>
      <c r="M10" s="5">
        <f>IFERROR(
    GETPIVOTDATA(
        "Result",
        'Pivot Table Previous'!$A$3,
        "Player",View_Table[[#This Row],[Player]],
        "Result","Draw"
    ),
    0
)</f>
        <v>4</v>
      </c>
      <c r="N10" s="5">
        <f>View_Table[[#This Row],[Wins Previous]]+View_Table[[#This Row],[Losses Previous]]+View_Table[[#This Row],[Draws Previous]]</f>
        <v>10</v>
      </c>
      <c r="O10" s="9">
        <f>_xlfn.LET(_xlpm.g,View_Table[[#This Row],[Games Previous]], _xlpm.w,(View_Table[[#This Row],[Wins Previous]] + View_Table[[#This Row],[Draws Previous]] * 0.25), _xlpm.fake, MAX(0,25-_xlpm.g), IF(_xlpm.g=0,0,(_xlpm.w + _xlpm.fake*0.25)/(_xlpm.g + _xlpm.fake)))</f>
        <v>0.31</v>
      </c>
      <c r="P10" s="7">
        <f>IF(View_Table[[#This Row],[Games Previous]]=0,
    View_Table[[#This Row],[Rank]],
    _xlfn.RANK.EQ(View_Table[[#This Row],[Weighted Win% Previous]], View_Table[Weighted Win% Previous], 0)
)</f>
        <v>3</v>
      </c>
    </row>
    <row r="11" spans="2:16" hidden="1" x14ac:dyDescent="0.25">
      <c r="B11" s="3" t="s">
        <v>322</v>
      </c>
      <c r="C11" s="6">
        <f>View_Table[[#This Row],[Rank Previous]]-View_Table[[#This Row],[Rank]]</f>
        <v>-1</v>
      </c>
      <c r="D11" s="7">
        <f>_xlfn.RANK.EQ(View_Table[[#This Row],[Weighted Win%]], View_Table[Weighted Win%], 0)</f>
        <v>33</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32</v>
      </c>
    </row>
    <row r="12" spans="2:16" x14ac:dyDescent="0.25">
      <c r="B12" s="3" t="s">
        <v>352</v>
      </c>
      <c r="C12" s="6">
        <f>View_Table[[#This Row],[Rank Previous]]-View_Table[[#This Row],[Rank]]</f>
        <v>-3</v>
      </c>
      <c r="D12" s="7">
        <f>_xlfn.RANK.EQ(View_Table[[#This Row],[Weighted Win%]], View_Table[Weighted Win%], 0)</f>
        <v>6</v>
      </c>
      <c r="E12" s="9">
        <f>_xlfn.LET(_xlpm.g,View_Table[[#This Row],[Games]], _xlpm.w,(View_Table[[#This Row],[Wins]] + View_Table[[#This Row],[Draws]] * 0.25), _xlpm.fake, MAX(0,25-_xlpm.g), IF(_xlpm.g=0,0,(_xlpm.w + _xlpm.fake*0.25)/(_xlpm.g + _xlpm.fake)))</f>
        <v>0.28999999999999998</v>
      </c>
      <c r="F12" s="8">
        <f>IF(View_Table[[#This Row],[Games]]=0,0,(View_Table[[#This Row],[Wins]] + (View_Table[[#This Row],[Draws]] * 0.25))/View_Table[[#This Row],[Games]])</f>
        <v>0.35</v>
      </c>
      <c r="G12" s="5">
        <f>IFERROR(
    GETPIVOTDATA(
        "Result",
        'Pivot Table'!$A$3,
        "Player",View_Table[[#This Row],[Player]],
        "Result","Win"
    ),
    0
)</f>
        <v>3</v>
      </c>
      <c r="H12" s="5">
        <f>IFERROR(
    GETPIVOTDATA(
        "Result",
        'Pivot Table'!$A$3,
        "Player",View_Table[[#This Row],[Player]],
        "Result","Loss"
    ),
    0
)</f>
        <v>5</v>
      </c>
      <c r="I12" s="5">
        <f>IFERROR(
    GETPIVOTDATA(
        "Result",
        'Pivot Table'!$A$3,
        "Player",View_Table[[#This Row],[Player]],
        "Result","Draw"
    ),
    0
)</f>
        <v>2</v>
      </c>
      <c r="J12" s="5">
        <f>View_Table[[#This Row],[Wins]]+View_Table[[#This Row],[Losses]]+View_Table[[#This Row],[Draws]]</f>
        <v>10</v>
      </c>
      <c r="K12" s="7">
        <f>IFERROR(
    GETPIVOTDATA(
        "Result",
        'Pivot Table Previous'!$A$3,
        "Player",View_Table[[#This Row],[Player]],
        "Result","Win"
    ),
    0
)</f>
        <v>3</v>
      </c>
      <c r="L12" s="5">
        <f>IFERROR(
    GETPIVOTDATA(
        "Result",
        'Pivot Table Previous'!$A$3,
        "Player",View_Table[[#This Row],[Player]],
        "Result","Loss"
    ),
    0
)</f>
        <v>3</v>
      </c>
      <c r="M12" s="5">
        <f>IFERROR(
    GETPIVOTDATA(
        "Result",
        'Pivot Table Previous'!$A$3,
        "Player",View_Table[[#This Row],[Player]],
        "Result","Draw"
    ),
    0
)</f>
        <v>2</v>
      </c>
      <c r="N12" s="5">
        <f>View_Table[[#This Row],[Wins Previous]]+View_Table[[#This Row],[Losses Previous]]+View_Table[[#This Row],[Draws Previous]]</f>
        <v>8</v>
      </c>
      <c r="O12" s="9">
        <f>_xlfn.LET(_xlpm.g,View_Table[[#This Row],[Games Previous]], _xlpm.w,(View_Table[[#This Row],[Wins Previous]] + View_Table[[#This Row],[Draws Previous]] * 0.25), _xlpm.fake, MAX(0,25-_xlpm.g), IF(_xlpm.g=0,0,(_xlpm.w + _xlpm.fake*0.25)/(_xlpm.g + _xlpm.fake)))</f>
        <v>0.31</v>
      </c>
      <c r="P12" s="7">
        <f>_xlfn.RANK.EQ(View_Table[[#This Row],[Weighted Win% Previous]], View_Table[Weighted Win% Previous], 0)</f>
        <v>3</v>
      </c>
    </row>
    <row r="13" spans="2:16" x14ac:dyDescent="0.25">
      <c r="B13" s="3" t="s">
        <v>326</v>
      </c>
      <c r="C13" s="6">
        <f>View_Table[[#This Row],[Rank Previous]]-View_Table[[#This Row],[Rank]]</f>
        <v>5</v>
      </c>
      <c r="D13" s="7">
        <f>_xlfn.RANK.EQ(View_Table[[#This Row],[Weighted Win%]], View_Table[Weighted Win%], 0)</f>
        <v>6</v>
      </c>
      <c r="E13" s="9">
        <f>_xlfn.LET(_xlpm.g,View_Table[[#This Row],[Games]], _xlpm.w,(View_Table[[#This Row],[Wins]] + View_Table[[#This Row],[Draws]] * 0.25), _xlpm.fake, MAX(0,25-_xlpm.g), IF(_xlpm.g=0,0,(_xlpm.w + _xlpm.fake*0.25)/(_xlpm.g + _xlpm.fake)))</f>
        <v>0.28999999999999998</v>
      </c>
      <c r="F13" s="8">
        <f>IF(View_Table[[#This Row],[Games]]=0,0,(View_Table[[#This Row],[Wins]] + (View_Table[[#This Row],[Draws]] * 0.25))/View_Table[[#This Row],[Games]])</f>
        <v>0.41666666666666669</v>
      </c>
      <c r="G13" s="5">
        <f>IFERROR(
    GETPIVOTDATA(
        "Result",
        'Pivot Table'!$A$3,
        "Player",View_Table[[#This Row],[Player]],
        "Result","Win"
    ),
    0
)</f>
        <v>2</v>
      </c>
      <c r="H13" s="5">
        <f>IFERROR(
    GETPIVOTDATA(
        "Result",
        'Pivot Table'!$A$3,
        "Player",View_Table[[#This Row],[Player]],
        "Result","Loss"
    ),
    0
)</f>
        <v>2</v>
      </c>
      <c r="I13" s="5">
        <f>IFERROR(
    GETPIVOTDATA(
        "Result",
        'Pivot Table'!$A$3,
        "Player",View_Table[[#This Row],[Player]],
        "Result","Draw"
    ),
    0
)</f>
        <v>2</v>
      </c>
      <c r="J13" s="5">
        <f>View_Table[[#This Row],[Wins]]+View_Table[[#This Row],[Losses]]+View_Table[[#This Row],[Draws]]</f>
        <v>6</v>
      </c>
      <c r="K13" s="7">
        <f>IFERROR(
    GETPIVOTDATA(
        "Result",
        'Pivot Table Previous'!$A$3,
        "Player",View_Table[[#This Row],[Player]],
        "Result","Win"
    ),
    0
)</f>
        <v>1</v>
      </c>
      <c r="L13" s="5">
        <f>IFERROR(
    GETPIVOTDATA(
        "Result",
        'Pivot Table Previous'!$A$3,
        "Player",View_Table[[#This Row],[Player]],
        "Result","Loss"
    ),
    0
)</f>
        <v>2</v>
      </c>
      <c r="M13" s="5">
        <f>IFERROR(
    GETPIVOTDATA(
        "Result",
        'Pivot Table Previous'!$A$3,
        "Player",View_Table[[#This Row],[Player]],
        "Result","Draw"
    ),
    0
)</f>
        <v>1</v>
      </c>
      <c r="N13" s="5">
        <f>View_Table[[#This Row],[Wins Previous]]+View_Table[[#This Row],[Losses Previous]]+View_Table[[#This Row],[Draws Previous]]</f>
        <v>4</v>
      </c>
      <c r="O13" s="9">
        <f>_xlfn.LET(_xlpm.g,View_Table[[#This Row],[Games Previous]], _xlpm.w,(View_Table[[#This Row],[Wins Previous]] + View_Table[[#This Row],[Draws Previous]] * 0.25), _xlpm.fake, MAX(0,25-_xlpm.g), IF(_xlpm.g=0,0,(_xlpm.w + _xlpm.fake*0.25)/(_xlpm.g + _xlpm.fake)))</f>
        <v>0.26</v>
      </c>
      <c r="P13" s="7">
        <f>_xlfn.RANK.EQ(View_Table[[#This Row],[Weighted Win% Previous]], View_Table[Weighted Win% Previous], 0)</f>
        <v>11</v>
      </c>
    </row>
    <row r="14" spans="2:16" x14ac:dyDescent="0.25">
      <c r="B14" s="3" t="s">
        <v>11</v>
      </c>
      <c r="C14" s="6">
        <f>View_Table[[#This Row],[Rank Previous]]-View_Table[[#This Row],[Rank]]</f>
        <v>-3</v>
      </c>
      <c r="D14" s="7">
        <f>_xlfn.RANK.EQ(View_Table[[#This Row],[Weighted Win%]], View_Table[Weighted Win%], 0)</f>
        <v>8</v>
      </c>
      <c r="E14" s="9">
        <f>_xlfn.LET(_xlpm.g,View_Table[[#This Row],[Games]], _xlpm.w,(View_Table[[#This Row],[Wins]] + View_Table[[#This Row],[Draws]] * 0.25), _xlpm.fake, MAX(0,25-_xlpm.g), IF(_xlpm.g=0,0,(_xlpm.w + _xlpm.fake*0.25)/(_xlpm.g + _xlpm.fake)))</f>
        <v>0.28000000000000003</v>
      </c>
      <c r="F14" s="8">
        <f>IF(View_Table[[#This Row],[Games]]=0,0,(View_Table[[#This Row],[Wins]] + (View_Table[[#This Row],[Draws]] * 0.25))/View_Table[[#This Row],[Games]])</f>
        <v>0.375</v>
      </c>
      <c r="G14" s="5">
        <f>IFERROR(
    GETPIVOTDATA(
        "Result",
        'Pivot Table'!$A$3,
        "Player",View_Table[[#This Row],[Player]],
        "Result","Win"
    ),
    0
)</f>
        <v>2</v>
      </c>
      <c r="H14" s="5">
        <f>IFERROR(
    GETPIVOTDATA(
        "Result",
        'Pivot Table'!$A$3,
        "Player",View_Table[[#This Row],[Player]],
        "Result","Loss"
    ),
    0
)</f>
        <v>3</v>
      </c>
      <c r="I14" s="5">
        <f>IFERROR(
    GETPIVOTDATA(
        "Result",
        'Pivot Table'!$A$3,
        "Player",View_Table[[#This Row],[Player]],
        "Result","Draw"
    ),
    0
)</f>
        <v>1</v>
      </c>
      <c r="J14" s="5">
        <f>View_Table[[#This Row],[Wins]]+View_Table[[#This Row],[Losses]]+View_Table[[#This Row],[Draws]]</f>
        <v>6</v>
      </c>
      <c r="K14" s="7">
        <f>IFERROR(
    GETPIVOTDATA(
        "Result",
        'Pivot Table Previous'!$A$3,
        "Player",View_Table[[#This Row],[Player]],
        "Result","Win"
    ),
    0
)</f>
        <v>2</v>
      </c>
      <c r="L14" s="5">
        <f>IFERROR(
    GETPIVOTDATA(
        "Result",
        'Pivot Table Previous'!$A$3,
        "Player",View_Table[[#This Row],[Player]],
        "Result","Loss"
    ),
    0
)</f>
        <v>1</v>
      </c>
      <c r="M14" s="5">
        <f>IFERROR(
    GETPIVOTDATA(
        "Result",
        'Pivot Table Previous'!$A$3,
        "Player",View_Table[[#This Row],[Player]],
        "Result","Draw"
    ),
    0
)</f>
        <v>1</v>
      </c>
      <c r="N14" s="5">
        <f>View_Table[[#This Row],[Wins Previous]]+View_Table[[#This Row],[Losses Previous]]+View_Table[[#This Row],[Draws Previous]]</f>
        <v>4</v>
      </c>
      <c r="O14" s="9">
        <f>_xlfn.LET(_xlpm.g,View_Table[[#This Row],[Games Previous]], _xlpm.w,(View_Table[[#This Row],[Wins Previous]] + View_Table[[#This Row],[Draws Previous]] * 0.25), _xlpm.fake, MAX(0,25-_xlpm.g), IF(_xlpm.g=0,0,(_xlpm.w + _xlpm.fake*0.25)/(_xlpm.g + _xlpm.fake)))</f>
        <v>0.3</v>
      </c>
      <c r="P14" s="7">
        <f>_xlfn.RANK.EQ(View_Table[[#This Row],[Weighted Win% Previous]], View_Table[Weighted Win% Previous], 0)</f>
        <v>5</v>
      </c>
    </row>
    <row r="15" spans="2:16" hidden="1" x14ac:dyDescent="0.25">
      <c r="B15" s="3" t="s">
        <v>421</v>
      </c>
      <c r="C15" s="6">
        <f>View_Table[[#This Row],[Rank Previous]]-View_Table[[#This Row],[Rank]]</f>
        <v>-1</v>
      </c>
      <c r="D15" s="7">
        <f>_xlfn.RANK.EQ(View_Table[[#This Row],[Weighted Win%]], View_Table[Weighted Win%], 0)</f>
        <v>33</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32</v>
      </c>
    </row>
    <row r="16" spans="2:16" x14ac:dyDescent="0.25">
      <c r="B16" s="3" t="s">
        <v>438</v>
      </c>
      <c r="C16" s="6">
        <f>View_Table[[#This Row],[Rank Previous]]-View_Table[[#This Row],[Rank]]</f>
        <v>-1</v>
      </c>
      <c r="D16" s="7">
        <f>_xlfn.RANK.EQ(View_Table[[#This Row],[Weighted Win%]], View_Table[Weighted Win%], 0)</f>
        <v>8</v>
      </c>
      <c r="E16" s="9">
        <f>_xlfn.LET(_xlpm.g,View_Table[[#This Row],[Games]], _xlpm.w,(View_Table[[#This Row],[Wins]] + View_Table[[#This Row],[Draws]] * 0.25), _xlpm.fake, MAX(0,25-_xlpm.g), IF(_xlpm.g=0,0,(_xlpm.w + _xlpm.fake*0.25)/(_xlpm.g + _xlpm.fake)))</f>
        <v>0.28000000000000003</v>
      </c>
      <c r="F16" s="8">
        <f>IF(View_Table[[#This Row],[Games]]=0,0,(View_Table[[#This Row],[Wins]] + (View_Table[[#This Row],[Draws]] * 0.25))/View_Table[[#This Row],[Games]])</f>
        <v>0.625</v>
      </c>
      <c r="G16" s="5">
        <f>IFERROR(
    GETPIVOTDATA(
        "Result",
        'Pivot Table'!$A$3,
        "Player",View_Table[[#This Row],[Player]],
        "Result","Win"
    ),
    0
)</f>
        <v>1</v>
      </c>
      <c r="H16" s="5">
        <f>IFERROR(
    GETPIVOTDATA(
        "Result",
        'Pivot Table'!$A$3,
        "Player",View_Table[[#This Row],[Player]],
        "Result","Loss"
    ),
    0
)</f>
        <v>0</v>
      </c>
      <c r="I16" s="5">
        <f>IFERROR(
    GETPIVOTDATA(
        "Result",
        'Pivot Table'!$A$3,
        "Player",View_Table[[#This Row],[Player]],
        "Result","Draw"
    ),
    0
)</f>
        <v>1</v>
      </c>
      <c r="J16" s="5">
        <f>View_Table[[#This Row],[Wins]]+View_Table[[#This Row],[Losses]]+View_Table[[#This Row],[Draws]]</f>
        <v>2</v>
      </c>
      <c r="K16" s="7">
        <f>IFERROR(
    GETPIVOTDATA(
        "Result",
        'Pivot Table Previous'!$A$3,
        "Player",View_Table[[#This Row],[Player]],
        "Result","Win"
    ),
    0
)</f>
        <v>1</v>
      </c>
      <c r="L16" s="5">
        <f>IFERROR(
    GETPIVOTDATA(
        "Result",
        'Pivot Table Previous'!$A$3,
        "Player",View_Table[[#This Row],[Player]],
        "Result","Loss"
    ),
    0
)</f>
        <v>0</v>
      </c>
      <c r="M16" s="5">
        <f>IFERROR(
    GETPIVOTDATA(
        "Result",
        'Pivot Table Previous'!$A$3,
        "Player",View_Table[[#This Row],[Player]],
        "Result","Draw"
    ),
    0
)</f>
        <v>1</v>
      </c>
      <c r="N16" s="5">
        <f>View_Table[[#This Row],[Wins Previous]]+View_Table[[#This Row],[Losses Previous]]+View_Table[[#This Row],[Draws Previous]]</f>
        <v>2</v>
      </c>
      <c r="O16" s="9">
        <f>_xlfn.LET(_xlpm.g,View_Table[[#This Row],[Games Previous]], _xlpm.w,(View_Table[[#This Row],[Wins Previous]] + View_Table[[#This Row],[Draws Previous]] * 0.25), _xlpm.fake, MAX(0,25-_xlpm.g), IF(_xlpm.g=0,0,(_xlpm.w + _xlpm.fake*0.25)/(_xlpm.g + _xlpm.fake)))</f>
        <v>0.28000000000000003</v>
      </c>
      <c r="P16" s="7">
        <f>_xlfn.RANK.EQ(View_Table[[#This Row],[Weighted Win% Previous]], View_Table[Weighted Win% Previous], 0)</f>
        <v>7</v>
      </c>
    </row>
    <row r="17" spans="2:16" hidden="1" x14ac:dyDescent="0.25">
      <c r="B17" s="3" t="s">
        <v>402</v>
      </c>
      <c r="C17" s="6">
        <f>View_Table[[#This Row],[Rank Previous]]-View_Table[[#This Row],[Rank]]</f>
        <v>-1</v>
      </c>
      <c r="D17" s="7">
        <f>_xlfn.RANK.EQ(View_Table[[#This Row],[Weighted Win%]], View_Table[Weighted Win%], 0)</f>
        <v>33</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32</v>
      </c>
    </row>
    <row r="18" spans="2:16" x14ac:dyDescent="0.25">
      <c r="B18" s="3" t="s">
        <v>578</v>
      </c>
      <c r="C18" s="6">
        <f>View_Table[[#This Row],[Rank Previous]]-View_Table[[#This Row],[Rank]]</f>
        <v>13</v>
      </c>
      <c r="D18" s="7">
        <f>_xlfn.RANK.EQ(View_Table[[#This Row],[Weighted Win%]], View_Table[Weighted Win%], 0)</f>
        <v>8</v>
      </c>
      <c r="E18" s="9">
        <f>_xlfn.LET(_xlpm.g,View_Table[[#This Row],[Games]], _xlpm.w,(View_Table[[#This Row],[Wins]] + View_Table[[#This Row],[Draws]] * 0.25), _xlpm.fake, MAX(0,25-_xlpm.g), IF(_xlpm.g=0,0,(_xlpm.w + _xlpm.fake*0.25)/(_xlpm.g + _xlpm.fake)))</f>
        <v>0.28000000000000003</v>
      </c>
      <c r="F18" s="8">
        <f>IF(View_Table[[#This Row],[Games]]=0,0,(View_Table[[#This Row],[Wins]] + (View_Table[[#This Row],[Draws]] * 0.25))/View_Table[[#This Row],[Games]])</f>
        <v>0.3125</v>
      </c>
      <c r="G18" s="5">
        <f>IFERROR(
    GETPIVOTDATA(
        "Result",
        'Pivot Table'!$A$3,
        "Player",View_Table[[#This Row],[Player]],
        "Result","Win"
    ),
    0
)</f>
        <v>3</v>
      </c>
      <c r="H18" s="5">
        <f>IFERROR(
    GETPIVOTDATA(
        "Result",
        'Pivot Table'!$A$3,
        "Player",View_Table[[#This Row],[Player]],
        "Result","Loss"
    ),
    0
)</f>
        <v>6</v>
      </c>
      <c r="I18" s="5">
        <f>IFERROR(
    GETPIVOTDATA(
        "Result",
        'Pivot Table'!$A$3,
        "Player",View_Table[[#This Row],[Player]],
        "Result","Draw"
    ),
    0
)</f>
        <v>3</v>
      </c>
      <c r="J18" s="5">
        <f>View_Table[[#This Row],[Wins]]+View_Table[[#This Row],[Losses]]+View_Table[[#This Row],[Draws]]</f>
        <v>12</v>
      </c>
      <c r="K18" s="7">
        <f>IFERROR(
    GETPIVOTDATA(
        "Result",
        'Pivot Table Previous'!$A$3,
        "Player",View_Table[[#This Row],[Player]],
        "Result","Win"
    ),
    0
)</f>
        <v>1</v>
      </c>
      <c r="L18" s="5">
        <f>IFERROR(
    GETPIVOTDATA(
        "Result",
        'Pivot Table Previous'!$A$3,
        "Player",View_Table[[#This Row],[Player]],
        "Result","Loss"
    ),
    0
)</f>
        <v>6</v>
      </c>
      <c r="M18" s="5">
        <f>IFERROR(
    GETPIVOTDATA(
        "Result",
        'Pivot Table Previous'!$A$3,
        "Player",View_Table[[#This Row],[Player]],
        "Result","Draw"
    ),
    0
)</f>
        <v>3</v>
      </c>
      <c r="N18" s="5">
        <f>View_Table[[#This Row],[Wins Previous]]+View_Table[[#This Row],[Losses Previous]]+View_Table[[#This Row],[Draws Previous]]</f>
        <v>10</v>
      </c>
      <c r="O18" s="9">
        <f>_xlfn.LET(_xlpm.g,View_Table[[#This Row],[Games Previous]], _xlpm.w,(View_Table[[#This Row],[Wins Previous]] + View_Table[[#This Row],[Draws Previous]] * 0.25), _xlpm.fake, MAX(0,25-_xlpm.g), IF(_xlpm.g=0,0,(_xlpm.w + _xlpm.fake*0.25)/(_xlpm.g + _xlpm.fake)))</f>
        <v>0.22</v>
      </c>
      <c r="P18" s="7">
        <f>_xlfn.RANK.EQ(View_Table[[#This Row],[Weighted Win% Previous]], View_Table[Weighted Win% Previous], 0)</f>
        <v>21</v>
      </c>
    </row>
    <row r="19" spans="2:16" hidden="1" x14ac:dyDescent="0.25">
      <c r="B19" s="3" t="s">
        <v>296</v>
      </c>
      <c r="C19" s="6">
        <f>View_Table[[#This Row],[Rank Previous]]-View_Table[[#This Row],[Rank]]</f>
        <v>-1</v>
      </c>
      <c r="D19" s="7">
        <f>_xlfn.RANK.EQ(View_Table[[#This Row],[Weighted Win%]], View_Table[Weighted Win%], 0)</f>
        <v>33</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32</v>
      </c>
    </row>
    <row r="20" spans="2:16" hidden="1" x14ac:dyDescent="0.25">
      <c r="B20" s="3" t="s">
        <v>607</v>
      </c>
      <c r="C20" s="6">
        <f>View_Table[[#This Row],[Rank Previous]]-View_Table[[#This Row],[Rank]]</f>
        <v>-1</v>
      </c>
      <c r="D20" s="7">
        <f>_xlfn.RANK.EQ(View_Table[[#This Row],[Weighted Win%]], View_Table[Weighted Win%], 0)</f>
        <v>33</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32</v>
      </c>
    </row>
    <row r="21" spans="2:16" hidden="1" x14ac:dyDescent="0.25">
      <c r="B21" s="3" t="s">
        <v>22</v>
      </c>
      <c r="C21" s="6">
        <f>View_Table[[#This Row],[Rank Previous]]-View_Table[[#This Row],[Rank]]</f>
        <v>0</v>
      </c>
      <c r="D21" s="7">
        <f>_xlfn.RANK.EQ(View_Table[[#This Row],[Weighted Win%]], View_Table[Weighted Win%], 0)</f>
        <v>33</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33</v>
      </c>
    </row>
    <row r="22" spans="2:16" x14ac:dyDescent="0.25">
      <c r="B22" s="3" t="s">
        <v>9</v>
      </c>
      <c r="C22" s="6">
        <f>View_Table[[#This Row],[Rank Previous]]-View_Table[[#This Row],[Rank]]</f>
        <v>-4</v>
      </c>
      <c r="D22" s="7">
        <f>_xlfn.RANK.EQ(View_Table[[#This Row],[Weighted Win%]], View_Table[Weighted Win%], 0)</f>
        <v>11</v>
      </c>
      <c r="E22" s="9">
        <f>_xlfn.LET(_xlpm.g,View_Table[[#This Row],[Games]], _xlpm.w,(View_Table[[#This Row],[Wins]] + View_Table[[#This Row],[Draws]] * 0.25), _xlpm.fake, MAX(0,25-_xlpm.g), IF(_xlpm.g=0,0,(_xlpm.w + _xlpm.fake*0.25)/(_xlpm.g + _xlpm.fake)))</f>
        <v>0.26</v>
      </c>
      <c r="F22" s="8">
        <f>IF(View_Table[[#This Row],[Games]]=0,0,(View_Table[[#This Row],[Wins]] + (View_Table[[#This Row],[Draws]] * 0.25))/View_Table[[#This Row],[Games]])</f>
        <v>0.27083333333333331</v>
      </c>
      <c r="G22" s="5">
        <f>IFERROR(
    GETPIVOTDATA(
        "Result",
        'Pivot Table'!$A$3,
        "Player",View_Table[[#This Row],[Player]],
        "Result","Win"
    ),
    0
)</f>
        <v>2</v>
      </c>
      <c r="H22" s="5">
        <f>IFERROR(
    GETPIVOTDATA(
        "Result",
        'Pivot Table'!$A$3,
        "Player",View_Table[[#This Row],[Player]],
        "Result","Loss"
    ),
    0
)</f>
        <v>5</v>
      </c>
      <c r="I22" s="5">
        <f>IFERROR(
    GETPIVOTDATA(
        "Result",
        'Pivot Table'!$A$3,
        "Player",View_Table[[#This Row],[Player]],
        "Result","Draw"
    ),
    0
)</f>
        <v>5</v>
      </c>
      <c r="J22" s="5">
        <f>View_Table[[#This Row],[Wins]]+View_Table[[#This Row],[Losses]]+View_Table[[#This Row],[Draws]]</f>
        <v>12</v>
      </c>
      <c r="K22" s="7">
        <f>IFERROR(
    GETPIVOTDATA(
        "Result",
        'Pivot Table Previous'!$A$3,
        "Player",View_Table[[#This Row],[Player]],
        "Result","Win"
    ),
    0
)</f>
        <v>2</v>
      </c>
      <c r="L22" s="5">
        <f>IFERROR(
    GETPIVOTDATA(
        "Result",
        'Pivot Table Previous'!$A$3,
        "Player",View_Table[[#This Row],[Player]],
        "Result","Loss"
    ),
    0
)</f>
        <v>3</v>
      </c>
      <c r="M22" s="5">
        <f>IFERROR(
    GETPIVOTDATA(
        "Result",
        'Pivot Table Previous'!$A$3,
        "Player",View_Table[[#This Row],[Player]],
        "Result","Draw"
    ),
    0
)</f>
        <v>5</v>
      </c>
      <c r="N22" s="5">
        <f>View_Table[[#This Row],[Wins Previous]]+View_Table[[#This Row],[Losses Previous]]+View_Table[[#This Row],[Draws Previous]]</f>
        <v>10</v>
      </c>
      <c r="O22" s="9">
        <f>_xlfn.LET(_xlpm.g,View_Table[[#This Row],[Games Previous]], _xlpm.w,(View_Table[[#This Row],[Wins Previous]] + View_Table[[#This Row],[Draws Previous]] * 0.25), _xlpm.fake, MAX(0,25-_xlpm.g), IF(_xlpm.g=0,0,(_xlpm.w + _xlpm.fake*0.25)/(_xlpm.g + _xlpm.fake)))</f>
        <v>0.28000000000000003</v>
      </c>
      <c r="P22" s="7">
        <f>_xlfn.RANK.EQ(View_Table[[#This Row],[Weighted Win% Previous]], View_Table[Weighted Win% Previous], 0)</f>
        <v>7</v>
      </c>
    </row>
    <row r="23" spans="2:16" hidden="1" x14ac:dyDescent="0.25">
      <c r="B23" s="3" t="s">
        <v>432</v>
      </c>
      <c r="C23" s="6">
        <f>View_Table[[#This Row],[Rank Previous]]-View_Table[[#This Row],[Rank]]</f>
        <v>-1</v>
      </c>
      <c r="D23" s="7">
        <f>_xlfn.RANK.EQ(View_Table[[#This Row],[Weighted Win%]], View_Table[Weighted Win%], 0)</f>
        <v>33</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32</v>
      </c>
    </row>
    <row r="24" spans="2:16" hidden="1" x14ac:dyDescent="0.25">
      <c r="B24" s="3" t="s">
        <v>400</v>
      </c>
      <c r="C24" s="6">
        <f>View_Table[[#This Row],[Rank Previous]]-View_Table[[#This Row],[Rank]]</f>
        <v>-1</v>
      </c>
      <c r="D24" s="7">
        <f>_xlfn.RANK.EQ(View_Table[[#This Row],[Weighted Win%]], View_Table[Weighted Win%], 0)</f>
        <v>33</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32</v>
      </c>
    </row>
    <row r="25" spans="2:16" hidden="1" x14ac:dyDescent="0.25">
      <c r="B25" s="3" t="s">
        <v>406</v>
      </c>
      <c r="C25" s="6">
        <f>View_Table[[#This Row],[Rank Previous]]-View_Table[[#This Row],[Rank]]</f>
        <v>-1</v>
      </c>
      <c r="D25" s="7">
        <f>_xlfn.RANK.EQ(View_Table[[#This Row],[Weighted Win%]], View_Table[Weighted Win%], 0)</f>
        <v>33</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32</v>
      </c>
    </row>
    <row r="26" spans="2:16" hidden="1" x14ac:dyDescent="0.25">
      <c r="B26" s="3" t="s">
        <v>386</v>
      </c>
      <c r="C26" s="6">
        <f>View_Table[[#This Row],[Rank Previous]]-View_Table[[#This Row],[Rank]]</f>
        <v>-1</v>
      </c>
      <c r="D26" s="7">
        <f>_xlfn.RANK.EQ(View_Table[[#This Row],[Weighted Win%]], View_Table[Weighted Win%], 0)</f>
        <v>33</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32</v>
      </c>
    </row>
    <row r="27" spans="2:16" hidden="1" x14ac:dyDescent="0.25">
      <c r="B27" s="3" t="s">
        <v>43</v>
      </c>
      <c r="C27" s="6">
        <f>View_Table[[#This Row],[Rank Previous]]-View_Table[[#This Row],[Rank]]</f>
        <v>-1</v>
      </c>
      <c r="D27" s="7">
        <f>_xlfn.RANK.EQ(View_Table[[#This Row],[Weighted Win%]], View_Table[Weighted Win%], 0)</f>
        <v>33</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32</v>
      </c>
    </row>
    <row r="28" spans="2:16" hidden="1" x14ac:dyDescent="0.25">
      <c r="B28" s="3" t="s">
        <v>323</v>
      </c>
      <c r="C28" s="6">
        <f>View_Table[[#This Row],[Rank Previous]]-View_Table[[#This Row],[Rank]]</f>
        <v>-1</v>
      </c>
      <c r="D28" s="7">
        <f>_xlfn.RANK.EQ(View_Table[[#This Row],[Weighted Win%]], View_Table[Weighted Win%], 0)</f>
        <v>33</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32</v>
      </c>
    </row>
    <row r="29" spans="2:16" hidden="1" x14ac:dyDescent="0.25">
      <c r="B29" s="3" t="s">
        <v>324</v>
      </c>
      <c r="C29" s="6">
        <f>View_Table[[#This Row],[Rank Previous]]-View_Table[[#This Row],[Rank]]</f>
        <v>-1</v>
      </c>
      <c r="D29" s="7">
        <f>_xlfn.RANK.EQ(View_Table[[#This Row],[Weighted Win%]], View_Table[Weighted Win%], 0)</f>
        <v>33</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32</v>
      </c>
    </row>
    <row r="30" spans="2:16" x14ac:dyDescent="0.25">
      <c r="B30" s="3" t="s">
        <v>622</v>
      </c>
      <c r="C30" s="6">
        <f>View_Table[[#This Row],[Rank Previous]]-View_Table[[#This Row],[Rank]]</f>
        <v>-2</v>
      </c>
      <c r="D30" s="7">
        <f>_xlfn.RANK.EQ(View_Table[[#This Row],[Weighted Win%]], View_Table[Weighted Win%], 0)</f>
        <v>12</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2</v>
      </c>
      <c r="H30" s="5">
        <f>IFERROR(
    GETPIVOTDATA(
        "Result",
        'Pivot Table'!$A$3,
        "Player",View_Table[[#This Row],[Player]],
        "Result","Loss"
    ),
    0
)</f>
        <v>6</v>
      </c>
      <c r="I30" s="5">
        <f>IFERROR(
    GETPIVOTDATA(
        "Result",
        'Pivot Table'!$A$3,
        "Player",View_Table[[#This Row],[Player]],
        "Result","Draw"
    ),
    0
)</f>
        <v>0</v>
      </c>
      <c r="J30" s="5">
        <f>View_Table[[#This Row],[Wins]]+View_Table[[#This Row],[Losses]]+View_Table[[#This Row],[Draws]]</f>
        <v>8</v>
      </c>
      <c r="K30" s="7">
        <f>IFERROR(
    GETPIVOTDATA(
        "Result",
        'Pivot Table Previous'!$A$3,
        "Player",View_Table[[#This Row],[Player]],
        "Result","Win"
    ),
    0
)</f>
        <v>2</v>
      </c>
      <c r="L30" s="5">
        <f>IFERROR(
    GETPIVOTDATA(
        "Result",
        'Pivot Table Previous'!$A$3,
        "Player",View_Table[[#This Row],[Player]],
        "Result","Loss"
    ),
    0
)</f>
        <v>4</v>
      </c>
      <c r="M30" s="5">
        <f>IFERROR(
    GETPIVOTDATA(
        "Result",
        'Pivot Table Previous'!$A$3,
        "Player",View_Table[[#This Row],[Player]],
        "Result","Draw"
    ),
    0
)</f>
        <v>0</v>
      </c>
      <c r="N30" s="5">
        <f>View_Table[[#This Row],[Wins Previous]]+View_Table[[#This Row],[Losses Previous]]+View_Table[[#This Row],[Draws Previous]]</f>
        <v>6</v>
      </c>
      <c r="O30" s="9">
        <f>_xlfn.LET(_xlpm.g,View_Table[[#This Row],[Games Previous]], _xlpm.w,(View_Table[[#This Row],[Wins Previous]] + View_Table[[#This Row],[Draws Previous]] * 0.25), _xlpm.fake, MAX(0,25-_xlpm.g), IF(_xlpm.g=0,0,(_xlpm.w + _xlpm.fake*0.25)/(_xlpm.g + _xlpm.fake)))</f>
        <v>0.27</v>
      </c>
      <c r="P30" s="7">
        <f>_xlfn.RANK.EQ(View_Table[[#This Row],[Weighted Win% Previous]], View_Table[Weighted Win% Previous], 0)</f>
        <v>10</v>
      </c>
    </row>
    <row r="31" spans="2:16" hidden="1" x14ac:dyDescent="0.25">
      <c r="B31" s="3" t="s">
        <v>478</v>
      </c>
      <c r="C31" s="6">
        <f>View_Table[[#This Row],[Rank Previous]]-View_Table[[#This Row],[Rank]]</f>
        <v>-1</v>
      </c>
      <c r="D31" s="7">
        <f>_xlfn.RANK.EQ(View_Table[[#This Row],[Weighted Win%]], View_Table[Weighted Win%], 0)</f>
        <v>33</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32</v>
      </c>
    </row>
    <row r="32" spans="2:16" hidden="1" x14ac:dyDescent="0.25">
      <c r="B32" s="3" t="s">
        <v>401</v>
      </c>
      <c r="C32" s="6">
        <f>View_Table[[#This Row],[Rank Previous]]-View_Table[[#This Row],[Rank]]</f>
        <v>-1</v>
      </c>
      <c r="D32" s="7">
        <f>_xlfn.RANK.EQ(View_Table[[#This Row],[Weighted Win%]], View_Table[Weighted Win%], 0)</f>
        <v>33</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32</v>
      </c>
    </row>
    <row r="33" spans="2:16" hidden="1" x14ac:dyDescent="0.25">
      <c r="B33" s="3" t="s">
        <v>403</v>
      </c>
      <c r="C33" s="6">
        <f>View_Table[[#This Row],[Rank Previous]]-View_Table[[#This Row],[Rank]]</f>
        <v>-1</v>
      </c>
      <c r="D33" s="7">
        <f>_xlfn.RANK.EQ(View_Table[[#This Row],[Weighted Win%]], View_Table[Weighted Win%], 0)</f>
        <v>33</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32</v>
      </c>
    </row>
    <row r="34" spans="2:16" hidden="1" x14ac:dyDescent="0.25">
      <c r="B34" s="3" t="s">
        <v>404</v>
      </c>
      <c r="C34" s="6">
        <f>View_Table[[#This Row],[Rank Previous]]-View_Table[[#This Row],[Rank]]</f>
        <v>14</v>
      </c>
      <c r="D34" s="7">
        <f>_xlfn.RANK.EQ(View_Table[[#This Row],[Weighted Win%]], View_Table[Weighted Win%], 0)</f>
        <v>18</v>
      </c>
      <c r="E34" s="9">
        <f>_xlfn.LET(_xlpm.g,View_Table[[#This Row],[Games]], _xlpm.w,(View_Table[[#This Row],[Wins]] + View_Table[[#This Row],[Draws]] * 0.25), _xlpm.fake, MAX(0,25-_xlpm.g), IF(_xlpm.g=0,0,(_xlpm.w + _xlpm.fake*0.25)/(_xlpm.g + _xlpm.fake)))</f>
        <v>0.24</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1</v>
      </c>
      <c r="I34" s="5">
        <f>IFERROR(
    GETPIVOTDATA(
        "Result",
        'Pivot Table'!$A$3,
        "Player",View_Table[[#This Row],[Player]],
        "Result","Draw"
    ),
    0
)</f>
        <v>0</v>
      </c>
      <c r="J34" s="5">
        <f>View_Table[[#This Row],[Wins]]+View_Table[[#This Row],[Losses]]+View_Table[[#This Row],[Draws]]</f>
        <v>1</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32</v>
      </c>
    </row>
    <row r="35" spans="2:16" x14ac:dyDescent="0.25">
      <c r="B35" s="3" t="s">
        <v>364</v>
      </c>
      <c r="C35" s="6">
        <f>View_Table[[#This Row],[Rank Previous]]-View_Table[[#This Row],[Rank]]</f>
        <v>0</v>
      </c>
      <c r="D35" s="7">
        <f>_xlfn.RANK.EQ(View_Table[[#This Row],[Weighted Win%]], View_Table[Weighted Win%], 0)</f>
        <v>12</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12</v>
      </c>
    </row>
    <row r="36" spans="2:16" hidden="1" x14ac:dyDescent="0.25">
      <c r="B36" s="3" t="s">
        <v>59</v>
      </c>
      <c r="C36" s="6">
        <f>View_Table[[#This Row],[Rank Previous]]-View_Table[[#This Row],[Rank]]</f>
        <v>0</v>
      </c>
      <c r="D36" s="7">
        <f>_xlfn.RANK.EQ(View_Table[[#This Row],[Weighted Win%]], View_Table[Weighted Win%], 0)</f>
        <v>33</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33</v>
      </c>
    </row>
    <row r="37" spans="2:16" hidden="1" x14ac:dyDescent="0.25">
      <c r="B37" s="3" t="s">
        <v>437</v>
      </c>
      <c r="C37" s="6">
        <f>View_Table[[#This Row],[Rank Previous]]-View_Table[[#This Row],[Rank]]</f>
        <v>-1</v>
      </c>
      <c r="D37" s="7">
        <f>_xlfn.RANK.EQ(View_Table[[#This Row],[Weighted Win%]], View_Table[Weighted Win%], 0)</f>
        <v>33</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32</v>
      </c>
    </row>
    <row r="38" spans="2:16" x14ac:dyDescent="0.25">
      <c r="B38" s="3" t="s">
        <v>17</v>
      </c>
      <c r="C38" s="6">
        <f>View_Table[[#This Row],[Rank Previous]]-View_Table[[#This Row],[Rank]]</f>
        <v>0</v>
      </c>
      <c r="D38" s="7">
        <f>_xlfn.RANK.EQ(View_Table[[#This Row],[Weighted Win%]], View_Table[Weighted Win%], 0)</f>
        <v>12</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2</v>
      </c>
      <c r="H38" s="5">
        <f>IFERROR(
    GETPIVOTDATA(
        "Result",
        'Pivot Table'!$A$3,
        "Player",View_Table[[#This Row],[Player]],
        "Result","Loss"
    ),
    0
)</f>
        <v>6</v>
      </c>
      <c r="I38" s="5">
        <f>IFERROR(
    GETPIVOTDATA(
        "Result",
        'Pivot Table'!$A$3,
        "Player",View_Table[[#This Row],[Player]],
        "Result","Draw"
    ),
    0
)</f>
        <v>4</v>
      </c>
      <c r="J38" s="5">
        <f>View_Table[[#This Row],[Wins]]+View_Table[[#This Row],[Losses]]+View_Table[[#This Row],[Draws]]</f>
        <v>12</v>
      </c>
      <c r="K38" s="5">
        <f>IFERROR(
    GETPIVOTDATA(
        "Result",
        'Pivot Table Previous'!$A$3,
        "Player",View_Table[[#This Row],[Player]],
        "Result","Win"
    ),
    0
)</f>
        <v>2</v>
      </c>
      <c r="L38" s="5">
        <f>IFERROR(
    GETPIVOTDATA(
        "Result",
        'Pivot Table Previous'!$A$3,
        "Player",View_Table[[#This Row],[Player]],
        "Result","Loss"
    ),
    0
)</f>
        <v>6</v>
      </c>
      <c r="M38" s="5">
        <f>IFERROR(
    GETPIVOTDATA(
        "Result",
        'Pivot Table Previous'!$A$3,
        "Player",View_Table[[#This Row],[Player]],
        "Result","Draw"
    ),
    0
)</f>
        <v>4</v>
      </c>
      <c r="N38" s="5">
        <f>View_Table[[#This Row],[Wins Previous]]+View_Table[[#This Row],[Losses Previous]]+View_Table[[#This Row],[Draws Previous]]</f>
        <v>12</v>
      </c>
      <c r="O38" s="9">
        <f>_xlfn.LET(_xlpm.g,View_Table[[#This Row],[Games Previous]], _xlpm.w,(View_Table[[#This Row],[Wins Previous]] + View_Table[[#This Row],[Draws Previous]] * 0.25), _xlpm.fake, MAX(0,25-_xlpm.g), IF(_xlpm.g=0,0,(_xlpm.w + _xlpm.fake*0.25)/(_xlpm.g + _xlpm.fake)))</f>
        <v>0.25</v>
      </c>
      <c r="P38" s="7">
        <f>IF(View_Table[[#This Row],[Games Previous]]=0,
    View_Table[[#This Row],[Rank]],
    _xlfn.RANK.EQ(View_Table[[#This Row],[Weighted Win% Previous]], View_Table[Weighted Win% Previous], 0)
)</f>
        <v>12</v>
      </c>
    </row>
    <row r="39" spans="2:16" hidden="1" x14ac:dyDescent="0.25">
      <c r="B39" s="3" t="s">
        <v>365</v>
      </c>
      <c r="C39" s="6">
        <f>View_Table[[#This Row],[Rank Previous]]-View_Table[[#This Row],[Rank]]</f>
        <v>-1</v>
      </c>
      <c r="D39" s="7">
        <f>_xlfn.RANK.EQ(View_Table[[#This Row],[Weighted Win%]], View_Table[Weighted Win%], 0)</f>
        <v>33</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32</v>
      </c>
    </row>
    <row r="40" spans="2:16" hidden="1" x14ac:dyDescent="0.25">
      <c r="B40" s="3" t="s">
        <v>463</v>
      </c>
      <c r="C40" s="6">
        <f>View_Table[[#This Row],[Rank Previous]]-View_Table[[#This Row],[Rank]]</f>
        <v>-1</v>
      </c>
      <c r="D40" s="7">
        <f>_xlfn.RANK.EQ(View_Table[[#This Row],[Weighted Win%]], View_Table[Weighted Win%], 0)</f>
        <v>33</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32</v>
      </c>
    </row>
    <row r="41" spans="2:16" hidden="1" x14ac:dyDescent="0.25">
      <c r="B41" s="3" t="s">
        <v>42</v>
      </c>
      <c r="C41" s="6">
        <f>View_Table[[#This Row],[Rank Previous]]-View_Table[[#This Row],[Rank]]</f>
        <v>-1</v>
      </c>
      <c r="D41" s="7">
        <f>_xlfn.RANK.EQ(View_Table[[#This Row],[Weighted Win%]], View_Table[Weighted Win%], 0)</f>
        <v>33</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32</v>
      </c>
    </row>
    <row r="42" spans="2:16" x14ac:dyDescent="0.25">
      <c r="B42" s="3" t="s">
        <v>464</v>
      </c>
      <c r="C42" s="6">
        <f>View_Table[[#This Row],[Rank Previous]]-View_Table[[#This Row],[Rank]]</f>
        <v>0</v>
      </c>
      <c r="D42" s="7">
        <f>_xlfn.RANK.EQ(View_Table[[#This Row],[Weighted Win%]], View_Table[Weighted Win%], 0)</f>
        <v>12</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2</v>
      </c>
      <c r="J42" s="5">
        <f>View_Table[[#This Row],[Wins]]+View_Table[[#This Row],[Losses]]+View_Table[[#This Row],[Draws]]</f>
        <v>2</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2</v>
      </c>
      <c r="N42" s="5">
        <f>View_Table[[#This Row],[Wins Previous]]+View_Table[[#This Row],[Losses Previous]]+View_Table[[#This Row],[Draws Previous]]</f>
        <v>2</v>
      </c>
      <c r="O42" s="9">
        <f>_xlfn.LET(_xlpm.g,View_Table[[#This Row],[Games Previous]], _xlpm.w,(View_Table[[#This Row],[Wins Previous]] + View_Table[[#This Row],[Draws Previous]] * 0.25), _xlpm.fake, MAX(0,25-_xlpm.g), IF(_xlpm.g=0,0,(_xlpm.w + _xlpm.fake*0.25)/(_xlpm.g + _xlpm.fake)))</f>
        <v>0.25</v>
      </c>
      <c r="P42" s="7">
        <f>_xlfn.RANK.EQ(View_Table[[#This Row],[Weighted Win% Previous]], View_Table[Weighted Win% Previous], 0)</f>
        <v>12</v>
      </c>
    </row>
    <row r="43" spans="2:16" x14ac:dyDescent="0.25">
      <c r="B43" s="3" t="s">
        <v>20</v>
      </c>
      <c r="C43" s="6">
        <f>View_Table[[#This Row],[Rank Previous]]-View_Table[[#This Row],[Rank]]</f>
        <v>0</v>
      </c>
      <c r="D43" s="7">
        <f>_xlfn.RANK.EQ(View_Table[[#This Row],[Weighted Win%]], View_Table[Weighted Win%], 0)</f>
        <v>12</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1</v>
      </c>
      <c r="H43" s="5">
        <f>IFERROR(
    GETPIVOTDATA(
        "Result",
        'Pivot Table'!$A$3,
        "Player",View_Table[[#This Row],[Player]],
        "Result","Loss"
    ),
    0
)</f>
        <v>3</v>
      </c>
      <c r="I43" s="5">
        <f>IFERROR(
    GETPIVOTDATA(
        "Result",
        'Pivot Table'!$A$3,
        "Player",View_Table[[#This Row],[Player]],
        "Result","Draw"
    ),
    0
)</f>
        <v>2</v>
      </c>
      <c r="J43" s="5">
        <f>View_Table[[#This Row],[Wins]]+View_Table[[#This Row],[Losses]]+View_Table[[#This Row],[Draws]]</f>
        <v>6</v>
      </c>
      <c r="K43" s="7">
        <f>IFERROR(
    GETPIVOTDATA(
        "Result",
        'Pivot Table Previous'!$A$3,
        "Player",View_Table[[#This Row],[Player]],
        "Result","Win"
    ),
    0
)</f>
        <v>1</v>
      </c>
      <c r="L43" s="5">
        <f>IFERROR(
    GETPIVOTDATA(
        "Result",
        'Pivot Table Previous'!$A$3,
        "Player",View_Table[[#This Row],[Player]],
        "Result","Loss"
    ),
    0
)</f>
        <v>3</v>
      </c>
      <c r="M43" s="5">
        <f>IFERROR(
    GETPIVOTDATA(
        "Result",
        'Pivot Table Previous'!$A$3,
        "Player",View_Table[[#This Row],[Player]],
        "Result","Draw"
    ),
    0
)</f>
        <v>2</v>
      </c>
      <c r="N43" s="5">
        <f>View_Table[[#This Row],[Wins Previous]]+View_Table[[#This Row],[Losses Previous]]+View_Table[[#This Row],[Draws Previous]]</f>
        <v>6</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12</v>
      </c>
    </row>
    <row r="44" spans="2:16" x14ac:dyDescent="0.25">
      <c r="B44" s="3" t="s">
        <v>325</v>
      </c>
      <c r="C44" s="6">
        <f>View_Table[[#This Row],[Rank Previous]]-View_Table[[#This Row],[Rank]]</f>
        <v>0</v>
      </c>
      <c r="D44" s="7">
        <f>_xlfn.RANK.EQ(View_Table[[#This Row],[Weighted Win%]], View_Table[Weighted Win%], 0)</f>
        <v>12</v>
      </c>
      <c r="E44" s="9">
        <f>_xlfn.LET(_xlpm.g,View_Table[[#This Row],[Games]], _xlpm.w,(View_Table[[#This Row],[Wins]] + View_Table[[#This Row],[Draws]] * 0.25), _xlpm.fake, MAX(0,25-_xlpm.g), IF(_xlpm.g=0,0,(_xlpm.w + _xlpm.fake*0.25)/(_xlpm.g + _xlpm.fake)))</f>
        <v>0.25</v>
      </c>
      <c r="F44" s="8">
        <f>IF(View_Table[[#This Row],[Games]]=0,0,(View_Table[[#This Row],[Wins]] + (View_Table[[#This Row],[Draws]] * 0.25))/View_Table[[#This Row],[Games]])</f>
        <v>0.25</v>
      </c>
      <c r="G44" s="5">
        <f>IFERROR(
    GETPIVOTDATA(
        "Result",
        'Pivot Table'!$A$3,
        "Player",View_Table[[#This Row],[Player]],
        "Result","Win"
    ),
    0
)</f>
        <v>3</v>
      </c>
      <c r="H44" s="5">
        <f>IFERROR(
    GETPIVOTDATA(
        "Result",
        'Pivot Table'!$A$3,
        "Player",View_Table[[#This Row],[Player]],
        "Result","Loss"
    ),
    0
)</f>
        <v>9</v>
      </c>
      <c r="I44" s="5">
        <f>IFERROR(
    GETPIVOTDATA(
        "Result",
        'Pivot Table'!$A$3,
        "Player",View_Table[[#This Row],[Player]],
        "Result","Draw"
    ),
    0
)</f>
        <v>0</v>
      </c>
      <c r="J44" s="5">
        <f>View_Table[[#This Row],[Wins]]+View_Table[[#This Row],[Losses]]+View_Table[[#This Row],[Draws]]</f>
        <v>12</v>
      </c>
      <c r="K44" s="7">
        <f>IFERROR(
    GETPIVOTDATA(
        "Result",
        'Pivot Table Previous'!$A$3,
        "Player",View_Table[[#This Row],[Player]],
        "Result","Win"
    ),
    0
)</f>
        <v>3</v>
      </c>
      <c r="L44" s="5">
        <f>IFERROR(
    GETPIVOTDATA(
        "Result",
        'Pivot Table Previous'!$A$3,
        "Player",View_Table[[#This Row],[Player]],
        "Result","Loss"
    ),
    0
)</f>
        <v>9</v>
      </c>
      <c r="M44" s="5">
        <f>IFERROR(
    GETPIVOTDATA(
        "Result",
        'Pivot Table Previous'!$A$3,
        "Player",View_Table[[#This Row],[Player]],
        "Result","Draw"
    ),
    0
)</f>
        <v>0</v>
      </c>
      <c r="N44" s="5">
        <f>View_Table[[#This Row],[Wins Previous]]+View_Table[[#This Row],[Losses Previous]]+View_Table[[#This Row],[Draws Previous]]</f>
        <v>12</v>
      </c>
      <c r="O44" s="9">
        <f>_xlfn.LET(_xlpm.g,View_Table[[#This Row],[Games Previous]], _xlpm.w,(View_Table[[#This Row],[Wins Previous]] + View_Table[[#This Row],[Draws Previous]] * 0.25), _xlpm.fake, MAX(0,25-_xlpm.g), IF(_xlpm.g=0,0,(_xlpm.w + _xlpm.fake*0.25)/(_xlpm.g + _xlpm.fake)))</f>
        <v>0.25</v>
      </c>
      <c r="P44" s="7">
        <f>_xlfn.RANK.EQ(View_Table[[#This Row],[Weighted Win% Previous]], View_Table[Weighted Win% Previous], 0)</f>
        <v>12</v>
      </c>
    </row>
    <row r="45" spans="2:16" x14ac:dyDescent="0.25">
      <c r="B45" s="3" t="s">
        <v>351</v>
      </c>
      <c r="C45" s="6">
        <f>View_Table[[#This Row],[Rank Previous]]-View_Table[[#This Row],[Rank]]</f>
        <v>0</v>
      </c>
      <c r="D45" s="7">
        <f>_xlfn.RANK.EQ(View_Table[[#This Row],[Weighted Win%]], View_Table[Weighted Win%], 0)</f>
        <v>18</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0.21875</v>
      </c>
      <c r="G45" s="5">
        <f>IFERROR(
    GETPIVOTDATA(
        "Result",
        'Pivot Table'!$A$3,
        "Player",View_Table[[#This Row],[Player]],
        "Result","Win"
    ),
    0
)</f>
        <v>1</v>
      </c>
      <c r="H45" s="5">
        <f>IFERROR(
    GETPIVOTDATA(
        "Result",
        'Pivot Table'!$A$3,
        "Player",View_Table[[#This Row],[Player]],
        "Result","Loss"
    ),
    0
)</f>
        <v>4</v>
      </c>
      <c r="I45" s="5">
        <f>IFERROR(
    GETPIVOTDATA(
        "Result",
        'Pivot Table'!$A$3,
        "Player",View_Table[[#This Row],[Player]],
        "Result","Draw"
    ),
    0
)</f>
        <v>3</v>
      </c>
      <c r="J45" s="5">
        <f>View_Table[[#This Row],[Wins]]+View_Table[[#This Row],[Losses]]+View_Table[[#This Row],[Draws]]</f>
        <v>8</v>
      </c>
      <c r="K45" s="7">
        <f>IFERROR(
    GETPIVOTDATA(
        "Result",
        'Pivot Table Previous'!$A$3,
        "Player",View_Table[[#This Row],[Player]],
        "Result","Win"
    ),
    0
)</f>
        <v>1</v>
      </c>
      <c r="L45" s="5">
        <f>IFERROR(
    GETPIVOTDATA(
        "Result",
        'Pivot Table Previous'!$A$3,
        "Player",View_Table[[#This Row],[Player]],
        "Result","Loss"
    ),
    0
)</f>
        <v>4</v>
      </c>
      <c r="M45" s="5">
        <f>IFERROR(
    GETPIVOTDATA(
        "Result",
        'Pivot Table Previous'!$A$3,
        "Player",View_Table[[#This Row],[Player]],
        "Result","Draw"
    ),
    0
)</f>
        <v>3</v>
      </c>
      <c r="N45" s="5">
        <f>View_Table[[#This Row],[Wins Previous]]+View_Table[[#This Row],[Losses Previous]]+View_Table[[#This Row],[Draws Previous]]</f>
        <v>8</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18</v>
      </c>
    </row>
    <row r="46" spans="2:16" hidden="1" x14ac:dyDescent="0.25">
      <c r="B46" s="3" t="s">
        <v>30</v>
      </c>
      <c r="C46" s="6">
        <f>View_Table[[#This Row],[Rank Previous]]-View_Table[[#This Row],[Rank]]</f>
        <v>-1</v>
      </c>
      <c r="D46" s="7">
        <f>_xlfn.RANK.EQ(View_Table[[#This Row],[Weighted Win%]], View_Table[Weighted Win%], 0)</f>
        <v>33</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32</v>
      </c>
    </row>
    <row r="47" spans="2:16" hidden="1" x14ac:dyDescent="0.25">
      <c r="B47" s="3" t="s">
        <v>541</v>
      </c>
      <c r="C47" s="6">
        <f>View_Table[[#This Row],[Rank Previous]]-View_Table[[#This Row],[Rank]]</f>
        <v>-1</v>
      </c>
      <c r="D47" s="7">
        <f>_xlfn.RANK.EQ(View_Table[[#This Row],[Weighted Win%]], View_Table[Weighted Win%], 0)</f>
        <v>33</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32</v>
      </c>
    </row>
    <row r="48" spans="2:16" hidden="1" x14ac:dyDescent="0.25">
      <c r="B48" s="3" t="s">
        <v>46</v>
      </c>
      <c r="C48" s="6">
        <f>View_Table[[#This Row],[Rank Previous]]-View_Table[[#This Row],[Rank]]</f>
        <v>-1</v>
      </c>
      <c r="D48" s="7">
        <f>_xlfn.RANK.EQ(View_Table[[#This Row],[Weighted Win%]], View_Table[Weighted Win%], 0)</f>
        <v>33</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32</v>
      </c>
    </row>
    <row r="49" spans="2:16" hidden="1" x14ac:dyDescent="0.25">
      <c r="B49" s="3" t="s">
        <v>542</v>
      </c>
      <c r="C49" s="6">
        <f>View_Table[[#This Row],[Rank Previous]]-View_Table[[#This Row],[Rank]]</f>
        <v>-1</v>
      </c>
      <c r="D49" s="7">
        <f>_xlfn.RANK.EQ(View_Table[[#This Row],[Weighted Win%]], View_Table[Weighted Win%], 0)</f>
        <v>33</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32</v>
      </c>
    </row>
    <row r="50" spans="2:16" hidden="1" x14ac:dyDescent="0.25">
      <c r="B50" s="3" t="s">
        <v>57</v>
      </c>
      <c r="C50" s="6">
        <f>View_Table[[#This Row],[Rank Previous]]-View_Table[[#This Row],[Rank]]</f>
        <v>-1</v>
      </c>
      <c r="D50" s="7">
        <f>_xlfn.RANK.EQ(View_Table[[#This Row],[Weighted Win%]], View_Table[Weighted Win%], 0)</f>
        <v>33</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32</v>
      </c>
    </row>
    <row r="51" spans="2:16" hidden="1" x14ac:dyDescent="0.25">
      <c r="B51" s="3" t="s">
        <v>591</v>
      </c>
      <c r="C51" s="6">
        <f>View_Table[[#This Row],[Rank Previous]]-View_Table[[#This Row],[Rank]]</f>
        <v>-1</v>
      </c>
      <c r="D51" s="7">
        <f>_xlfn.RANK.EQ(View_Table[[#This Row],[Weighted Win%]], View_Table[Weighted Win%], 0)</f>
        <v>33</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32</v>
      </c>
    </row>
    <row r="52" spans="2:16" hidden="1" x14ac:dyDescent="0.25">
      <c r="B52" s="3" t="s">
        <v>61</v>
      </c>
      <c r="C52" s="6">
        <f>View_Table[[#This Row],[Rank Previous]]-View_Table[[#This Row],[Rank]]</f>
        <v>-1</v>
      </c>
      <c r="D52" s="7">
        <f>_xlfn.RANK.EQ(View_Table[[#This Row],[Weighted Win%]], View_Table[Weighted Win%], 0)</f>
        <v>33</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32</v>
      </c>
    </row>
    <row r="53" spans="2:16" hidden="1" x14ac:dyDescent="0.25">
      <c r="B53" s="3" t="s">
        <v>321</v>
      </c>
      <c r="C53" s="6">
        <f>View_Table[[#This Row],[Rank Previous]]-View_Table[[#This Row],[Rank]]</f>
        <v>-1</v>
      </c>
      <c r="D53" s="7">
        <f>_xlfn.RANK.EQ(View_Table[[#This Row],[Weighted Win%]], View_Table[Weighted Win%], 0)</f>
        <v>33</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32</v>
      </c>
    </row>
    <row r="54" spans="2:16" hidden="1" x14ac:dyDescent="0.25">
      <c r="B54" s="3" t="s">
        <v>38</v>
      </c>
      <c r="C54" s="6">
        <f>View_Table[[#This Row],[Rank Previous]]-View_Table[[#This Row],[Rank]]</f>
        <v>-1</v>
      </c>
      <c r="D54" s="7">
        <f>_xlfn.RANK.EQ(View_Table[[#This Row],[Weighted Win%]], View_Table[Weighted Win%], 0)</f>
        <v>33</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32</v>
      </c>
    </row>
    <row r="55" spans="2:16" hidden="1" x14ac:dyDescent="0.25">
      <c r="B55" s="3" t="s">
        <v>48</v>
      </c>
      <c r="C55" s="6">
        <f>View_Table[[#This Row],[Rank Previous]]-View_Table[[#This Row],[Rank]]</f>
        <v>-1</v>
      </c>
      <c r="D55" s="7">
        <f>_xlfn.RANK.EQ(View_Table[[#This Row],[Weighted Win%]], View_Table[Weighted Win%], 0)</f>
        <v>33</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32</v>
      </c>
    </row>
    <row r="56" spans="2:16" hidden="1" x14ac:dyDescent="0.25">
      <c r="B56" s="3" t="s">
        <v>608</v>
      </c>
      <c r="C56" s="6">
        <f>View_Table[[#This Row],[Rank Previous]]-View_Table[[#This Row],[Rank]]</f>
        <v>-1</v>
      </c>
      <c r="D56" s="7">
        <f>_xlfn.RANK.EQ(View_Table[[#This Row],[Weighted Win%]], View_Table[Weighted Win%], 0)</f>
        <v>33</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32</v>
      </c>
    </row>
    <row r="57" spans="2:16" hidden="1" x14ac:dyDescent="0.25">
      <c r="B57" s="3" t="s">
        <v>62</v>
      </c>
      <c r="C57" s="6">
        <f>View_Table[[#This Row],[Rank Previous]]-View_Table[[#This Row],[Rank]]</f>
        <v>-1</v>
      </c>
      <c r="D57" s="7">
        <f>_xlfn.RANK.EQ(View_Table[[#This Row],[Weighted Win%]], View_Table[Weighted Win%], 0)</f>
        <v>33</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32</v>
      </c>
    </row>
    <row r="58" spans="2:16" hidden="1" x14ac:dyDescent="0.25">
      <c r="B58" s="3" t="s">
        <v>54</v>
      </c>
      <c r="C58" s="6">
        <f>View_Table[[#This Row],[Rank Previous]]-View_Table[[#This Row],[Rank]]</f>
        <v>-1</v>
      </c>
      <c r="D58" s="7">
        <f>_xlfn.RANK.EQ(View_Table[[#This Row],[Weighted Win%]], View_Table[Weighted Win%], 0)</f>
        <v>33</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32</v>
      </c>
    </row>
    <row r="59" spans="2:16" hidden="1" x14ac:dyDescent="0.25">
      <c r="B59" s="3" t="s">
        <v>60</v>
      </c>
      <c r="C59" s="6">
        <f>View_Table[[#This Row],[Rank Previous]]-View_Table[[#This Row],[Rank]]</f>
        <v>-1</v>
      </c>
      <c r="D59" s="7">
        <f>_xlfn.RANK.EQ(View_Table[[#This Row],[Weighted Win%]], View_Table[Weighted Win%], 0)</f>
        <v>33</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32</v>
      </c>
    </row>
    <row r="60" spans="2:16" hidden="1" x14ac:dyDescent="0.25">
      <c r="B60" s="3" t="s">
        <v>85</v>
      </c>
      <c r="C60" s="6">
        <f>View_Table[[#This Row],[Rank Previous]]-View_Table[[#This Row],[Rank]]</f>
        <v>-1</v>
      </c>
      <c r="D60" s="7">
        <f>_xlfn.RANK.EQ(View_Table[[#This Row],[Weighted Win%]], View_Table[Weighted Win%], 0)</f>
        <v>33</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32</v>
      </c>
    </row>
    <row r="61" spans="2:16" hidden="1" x14ac:dyDescent="0.25">
      <c r="B61" s="3" t="s">
        <v>47</v>
      </c>
      <c r="C61" s="6">
        <f>View_Table[[#This Row],[Rank Previous]]-View_Table[[#This Row],[Rank]]</f>
        <v>-1</v>
      </c>
      <c r="D61" s="7">
        <f>_xlfn.RANK.EQ(View_Table[[#This Row],[Weighted Win%]], View_Table[Weighted Win%], 0)</f>
        <v>33</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32</v>
      </c>
    </row>
    <row r="62" spans="2:16" hidden="1" x14ac:dyDescent="0.25">
      <c r="B62" s="3" t="s">
        <v>50</v>
      </c>
      <c r="C62" s="6">
        <f>View_Table[[#This Row],[Rank Previous]]-View_Table[[#This Row],[Rank]]</f>
        <v>-1</v>
      </c>
      <c r="D62" s="7">
        <f>_xlfn.RANK.EQ(View_Table[[#This Row],[Weighted Win%]], View_Table[Weighted Win%], 0)</f>
        <v>33</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32</v>
      </c>
    </row>
    <row r="63" spans="2:16" hidden="1" x14ac:dyDescent="0.25">
      <c r="B63" s="3" t="s">
        <v>53</v>
      </c>
      <c r="C63" s="6">
        <f>View_Table[[#This Row],[Rank Previous]]-View_Table[[#This Row],[Rank]]</f>
        <v>-1</v>
      </c>
      <c r="D63" s="7">
        <f>_xlfn.RANK.EQ(View_Table[[#This Row],[Weighted Win%]], View_Table[Weighted Win%], 0)</f>
        <v>33</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32</v>
      </c>
    </row>
    <row r="64" spans="2:16" hidden="1" x14ac:dyDescent="0.25">
      <c r="B64" s="3" t="s">
        <v>56</v>
      </c>
      <c r="C64" s="6">
        <f>View_Table[[#This Row],[Rank Previous]]-View_Table[[#This Row],[Rank]]</f>
        <v>-1</v>
      </c>
      <c r="D64" s="7">
        <f>_xlfn.RANK.EQ(View_Table[[#This Row],[Weighted Win%]], View_Table[Weighted Win%], 0)</f>
        <v>33</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32</v>
      </c>
    </row>
    <row r="65" spans="2:16" hidden="1" x14ac:dyDescent="0.25">
      <c r="B65" s="3" t="s">
        <v>58</v>
      </c>
      <c r="C65" s="6">
        <f>View_Table[[#This Row],[Rank Previous]]-View_Table[[#This Row],[Rank]]</f>
        <v>-1</v>
      </c>
      <c r="D65" s="7">
        <f>_xlfn.RANK.EQ(View_Table[[#This Row],[Weighted Win%]], View_Table[Weighted Win%], 0)</f>
        <v>33</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32</v>
      </c>
    </row>
    <row r="66" spans="2:16" x14ac:dyDescent="0.25">
      <c r="B66" s="3" t="s">
        <v>27</v>
      </c>
      <c r="C66" s="6">
        <f>View_Table[[#This Row],[Rank Previous]]-View_Table[[#This Row],[Rank]]</f>
        <v>3</v>
      </c>
      <c r="D66" s="7">
        <f>_xlfn.RANK.EQ(View_Table[[#This Row],[Weighted Win%]], View_Table[Weighted Win%], 0)</f>
        <v>18</v>
      </c>
      <c r="E66" s="9">
        <f>_xlfn.LET(_xlpm.g,View_Table[[#This Row],[Games]], _xlpm.w,(View_Table[[#This Row],[Wins]] + View_Table[[#This Row],[Draws]] * 0.25), _xlpm.fake, MAX(0,25-_xlpm.g), IF(_xlpm.g=0,0,(_xlpm.w + _xlpm.fake*0.25)/(_xlpm.g + _xlpm.fake)))</f>
        <v>0.24</v>
      </c>
      <c r="F66" s="8">
        <f>IF(View_Table[[#This Row],[Games]]=0,0,(View_Table[[#This Row],[Wins]] + (View_Table[[#This Row],[Draws]] * 0.25))/View_Table[[#This Row],[Games]])</f>
        <v>0.22500000000000001</v>
      </c>
      <c r="G66" s="5">
        <f>IFERROR(
    GETPIVOTDATA(
        "Result",
        'Pivot Table'!$A$3,
        "Player",View_Table[[#This Row],[Player]],
        "Result","Win"
    ),
    0
)</f>
        <v>2</v>
      </c>
      <c r="H66" s="5">
        <f>IFERROR(
    GETPIVOTDATA(
        "Result",
        'Pivot Table'!$A$3,
        "Player",View_Table[[#This Row],[Player]],
        "Result","Loss"
    ),
    0
)</f>
        <v>7</v>
      </c>
      <c r="I66" s="5">
        <f>IFERROR(
    GETPIVOTDATA(
        "Result",
        'Pivot Table'!$A$3,
        "Player",View_Table[[#This Row],[Player]],
        "Result","Draw"
    ),
    0
)</f>
        <v>1</v>
      </c>
      <c r="J66" s="5">
        <f>View_Table[[#This Row],[Wins]]+View_Table[[#This Row],[Losses]]+View_Table[[#This Row],[Draws]]</f>
        <v>10</v>
      </c>
      <c r="K66" s="7">
        <f>IFERROR(
    GETPIVOTDATA(
        "Result",
        'Pivot Table Previous'!$A$3,
        "Player",View_Table[[#This Row],[Player]],
        "Result","Win"
    ),
    0
)</f>
        <v>1</v>
      </c>
      <c r="L66" s="5">
        <f>IFERROR(
    GETPIVOTDATA(
        "Result",
        'Pivot Table Previous'!$A$3,
        "Player",View_Table[[#This Row],[Player]],
        "Result","Loss"
    ),
    0
)</f>
        <v>6</v>
      </c>
      <c r="M66" s="5">
        <f>IFERROR(
    GETPIVOTDATA(
        "Result",
        'Pivot Table Previous'!$A$3,
        "Player",View_Table[[#This Row],[Player]],
        "Result","Draw"
    ),
    0
)</f>
        <v>1</v>
      </c>
      <c r="N66" s="5">
        <f>View_Table[[#This Row],[Wins Previous]]+View_Table[[#This Row],[Losses Previous]]+View_Table[[#This Row],[Draws Previous]]</f>
        <v>8</v>
      </c>
      <c r="O66" s="9">
        <f>_xlfn.LET(_xlpm.g,View_Table[[#This Row],[Games Previous]], _xlpm.w,(View_Table[[#This Row],[Wins Previous]] + View_Table[[#This Row],[Draws Previous]] * 0.25), _xlpm.fake, MAX(0,25-_xlpm.g), IF(_xlpm.g=0,0,(_xlpm.w + _xlpm.fake*0.25)/(_xlpm.g + _xlpm.fake)))</f>
        <v>0.22</v>
      </c>
      <c r="P66" s="7">
        <f>_xlfn.RANK.EQ(View_Table[[#This Row],[Weighted Win% Previous]], View_Table[Weighted Win% Previous], 0)</f>
        <v>21</v>
      </c>
    </row>
    <row r="67" spans="2:16" hidden="1" x14ac:dyDescent="0.25">
      <c r="B67" s="3" t="s">
        <v>45</v>
      </c>
      <c r="C67" s="6">
        <f>View_Table[[#This Row],[Rank Previous]]-View_Table[[#This Row],[Rank]]</f>
        <v>-1</v>
      </c>
      <c r="D67" s="7">
        <f>_xlfn.RANK.EQ(View_Table[[#This Row],[Weighted Win%]], View_Table[Weighted Win%], 0)</f>
        <v>33</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32</v>
      </c>
    </row>
    <row r="68" spans="2:16" hidden="1" x14ac:dyDescent="0.25">
      <c r="B68" s="3" t="s">
        <v>40</v>
      </c>
      <c r="C68" s="6">
        <f>View_Table[[#This Row],[Rank Previous]]-View_Table[[#This Row],[Rank]]</f>
        <v>-1</v>
      </c>
      <c r="D68" s="7">
        <f>_xlfn.RANK.EQ(View_Table[[#This Row],[Weighted Win%]], View_Table[Weighted Win%], 0)</f>
        <v>33</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32</v>
      </c>
    </row>
    <row r="69" spans="2:16" hidden="1" x14ac:dyDescent="0.25">
      <c r="B69" s="3" t="s">
        <v>55</v>
      </c>
      <c r="C69" s="6">
        <f>View_Table[[#This Row],[Rank Previous]]-View_Table[[#This Row],[Rank]]</f>
        <v>-1</v>
      </c>
      <c r="D69" s="7">
        <f>_xlfn.RANK.EQ(View_Table[[#This Row],[Weighted Win%]], View_Table[Weighted Win%], 0)</f>
        <v>33</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32</v>
      </c>
    </row>
    <row r="70" spans="2:16" hidden="1" x14ac:dyDescent="0.25">
      <c r="B70" s="3" t="s">
        <v>16</v>
      </c>
      <c r="C70" s="6">
        <f>View_Table[[#This Row],[Rank Previous]]-View_Table[[#This Row],[Rank]]</f>
        <v>-1</v>
      </c>
      <c r="D70" s="7">
        <f>_xlfn.RANK.EQ(View_Table[[#This Row],[Weighted Win%]], View_Table[Weighted Win%], 0)</f>
        <v>33</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32</v>
      </c>
    </row>
    <row r="71" spans="2:16" hidden="1" x14ac:dyDescent="0.25">
      <c r="B71" s="3" t="s">
        <v>21</v>
      </c>
      <c r="C71" s="6">
        <f>View_Table[[#This Row],[Rank Previous]]-View_Table[[#This Row],[Rank]]</f>
        <v>-1</v>
      </c>
      <c r="D71" s="7">
        <f>_xlfn.RANK.EQ(View_Table[[#This Row],[Weighted Win%]], View_Table[Weighted Win%], 0)</f>
        <v>33</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32</v>
      </c>
    </row>
    <row r="72" spans="2:16" hidden="1" x14ac:dyDescent="0.25">
      <c r="B72" s="3" t="s">
        <v>49</v>
      </c>
      <c r="C72" s="6">
        <f>View_Table[[#This Row],[Rank Previous]]-View_Table[[#This Row],[Rank]]</f>
        <v>-1</v>
      </c>
      <c r="D72" s="7">
        <f>_xlfn.RANK.EQ(View_Table[[#This Row],[Weighted Win%]], View_Table[Weighted Win%], 0)</f>
        <v>33</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32</v>
      </c>
    </row>
    <row r="73" spans="2:16" hidden="1" x14ac:dyDescent="0.25">
      <c r="B73" s="3" t="s">
        <v>12</v>
      </c>
      <c r="C73" s="6">
        <f>View_Table[[#This Row],[Rank Previous]]-View_Table[[#This Row],[Rank]]</f>
        <v>-1</v>
      </c>
      <c r="D73" s="7">
        <f>_xlfn.RANK.EQ(View_Table[[#This Row],[Weighted Win%]], View_Table[Weighted Win%], 0)</f>
        <v>33</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32</v>
      </c>
    </row>
    <row r="74" spans="2:16" hidden="1" x14ac:dyDescent="0.25">
      <c r="B74" s="3" t="s">
        <v>44</v>
      </c>
      <c r="C74" s="6">
        <f>View_Table[[#This Row],[Rank Previous]]-View_Table[[#This Row],[Rank]]</f>
        <v>-1</v>
      </c>
      <c r="D74" s="7">
        <f>_xlfn.RANK.EQ(View_Table[[#This Row],[Weighted Win%]], View_Table[Weighted Win%], 0)</f>
        <v>33</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32</v>
      </c>
    </row>
    <row r="75" spans="2:16" hidden="1" x14ac:dyDescent="0.25">
      <c r="B75" s="3" t="s">
        <v>29</v>
      </c>
      <c r="C75" s="6">
        <f>View_Table[[#This Row],[Rank Previous]]-View_Table[[#This Row],[Rank]]</f>
        <v>-1</v>
      </c>
      <c r="D75" s="7">
        <f>_xlfn.RANK.EQ(View_Table[[#This Row],[Weighted Win%]], View_Table[Weighted Win%], 0)</f>
        <v>33</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32</v>
      </c>
    </row>
    <row r="76" spans="2:16" hidden="1" x14ac:dyDescent="0.25">
      <c r="B76" s="3" t="s">
        <v>65</v>
      </c>
      <c r="C76" s="6">
        <f>View_Table[[#This Row],[Rank Previous]]-View_Table[[#This Row],[Rank]]</f>
        <v>-1</v>
      </c>
      <c r="D76" s="7">
        <f>_xlfn.RANK.EQ(View_Table[[#This Row],[Weighted Win%]], View_Table[Weighted Win%], 0)</f>
        <v>33</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32</v>
      </c>
    </row>
    <row r="77" spans="2:16" hidden="1" x14ac:dyDescent="0.25">
      <c r="B77" s="3" t="s">
        <v>76</v>
      </c>
      <c r="C77" s="6">
        <f>View_Table[[#This Row],[Rank Previous]]-View_Table[[#This Row],[Rank]]</f>
        <v>-1</v>
      </c>
      <c r="D77" s="7">
        <f>_xlfn.RANK.EQ(View_Table[[#This Row],[Weighted Win%]], View_Table[Weighted Win%], 0)</f>
        <v>33</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32</v>
      </c>
    </row>
    <row r="78" spans="2:16" hidden="1" x14ac:dyDescent="0.25">
      <c r="B78" s="3" t="s">
        <v>39</v>
      </c>
      <c r="C78" s="6">
        <f>View_Table[[#This Row],[Rank Previous]]-View_Table[[#This Row],[Rank]]</f>
        <v>-1</v>
      </c>
      <c r="D78" s="7">
        <f>_xlfn.RANK.EQ(View_Table[[#This Row],[Weighted Win%]], View_Table[Weighted Win%], 0)</f>
        <v>33</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32</v>
      </c>
    </row>
    <row r="79" spans="2:16" hidden="1" x14ac:dyDescent="0.25">
      <c r="B79" s="3" t="s">
        <v>18</v>
      </c>
      <c r="C79" s="6">
        <f>View_Table[[#This Row],[Rank Previous]]-View_Table[[#This Row],[Rank]]</f>
        <v>-1</v>
      </c>
      <c r="D79" s="7">
        <f>_xlfn.RANK.EQ(View_Table[[#This Row],[Weighted Win%]], View_Table[Weighted Win%], 0)</f>
        <v>33</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32</v>
      </c>
    </row>
    <row r="80" spans="2:16" hidden="1" x14ac:dyDescent="0.25">
      <c r="B80" s="3" t="s">
        <v>592</v>
      </c>
      <c r="C80" s="6">
        <f>View_Table[[#This Row],[Rank Previous]]-View_Table[[#This Row],[Rank]]</f>
        <v>-1</v>
      </c>
      <c r="D80" s="7">
        <f>_xlfn.RANK.EQ(View_Table[[#This Row],[Weighted Win%]], View_Table[Weighted Win%], 0)</f>
        <v>33</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32</v>
      </c>
    </row>
    <row r="81" spans="2:16" hidden="1" x14ac:dyDescent="0.25">
      <c r="B81" s="3" t="s">
        <v>539</v>
      </c>
      <c r="C81" s="6">
        <f>View_Table[[#This Row],[Rank Previous]]-View_Table[[#This Row],[Rank]]</f>
        <v>-1</v>
      </c>
      <c r="D81" s="7">
        <f>_xlfn.RANK.EQ(View_Table[[#This Row],[Weighted Win%]], View_Table[Weighted Win%], 0)</f>
        <v>33</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32</v>
      </c>
    </row>
    <row r="82" spans="2:16" x14ac:dyDescent="0.25">
      <c r="B82" s="3" t="s">
        <v>13</v>
      </c>
      <c r="C82" s="6">
        <f>View_Table[[#This Row],[Rank Previous]]-View_Table[[#This Row],[Rank]]</f>
        <v>-9</v>
      </c>
      <c r="D82" s="7">
        <f>_xlfn.RANK.EQ(View_Table[[#This Row],[Weighted Win%]], View_Table[Weighted Win%], 0)</f>
        <v>21</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0.21428571428571427</v>
      </c>
      <c r="G82" s="5">
        <f>IFERROR(
    GETPIVOTDATA(
        "Result",
        'Pivot Table'!$A$3,
        "Player",View_Table[[#This Row],[Player]],
        "Result","Win"
    ),
    0
)</f>
        <v>2</v>
      </c>
      <c r="H82" s="5">
        <f>IFERROR(
    GETPIVOTDATA(
        "Result",
        'Pivot Table'!$A$3,
        "Player",View_Table[[#This Row],[Player]],
        "Result","Loss"
    ),
    0
)</f>
        <v>8</v>
      </c>
      <c r="I82" s="5">
        <f>IFERROR(
    GETPIVOTDATA(
        "Result",
        'Pivot Table'!$A$3,
        "Player",View_Table[[#This Row],[Player]],
        "Result","Draw"
    ),
    0
)</f>
        <v>4</v>
      </c>
      <c r="J82" s="5">
        <f>View_Table[[#This Row],[Wins]]+View_Table[[#This Row],[Losses]]+View_Table[[#This Row],[Draws]]</f>
        <v>14</v>
      </c>
      <c r="K82" s="5">
        <f>IFERROR(
    GETPIVOTDATA(
        "Result",
        'Pivot Table Previous'!$A$3,
        "Player",View_Table[[#This Row],[Player]],
        "Result","Win"
    ),
    0
)</f>
        <v>2</v>
      </c>
      <c r="L82" s="5">
        <f>IFERROR(
    GETPIVOTDATA(
        "Result",
        'Pivot Table Previous'!$A$3,
        "Player",View_Table[[#This Row],[Player]],
        "Result","Loss"
    ),
    0
)</f>
        <v>6</v>
      </c>
      <c r="M82" s="5">
        <f>IFERROR(
    GETPIVOTDATA(
        "Result",
        'Pivot Table Previous'!$A$3,
        "Player",View_Table[[#This Row],[Player]],
        "Result","Draw"
    ),
    0
)</f>
        <v>4</v>
      </c>
      <c r="N82" s="5">
        <f>View_Table[[#This Row],[Wins Previous]]+View_Table[[#This Row],[Losses Previous]]+View_Table[[#This Row],[Draws Previous]]</f>
        <v>12</v>
      </c>
      <c r="O82" s="9">
        <f>_xlfn.LET(_xlpm.g,View_Table[[#This Row],[Games Previous]], _xlpm.w,(View_Table[[#This Row],[Wins Previous]] + View_Table[[#This Row],[Draws Previous]] * 0.25), _xlpm.fake, MAX(0,25-_xlpm.g), IF(_xlpm.g=0,0,(_xlpm.w + _xlpm.fake*0.25)/(_xlpm.g + _xlpm.fake)))</f>
        <v>0.25</v>
      </c>
      <c r="P82" s="7">
        <f>IF(View_Table[[#This Row],[Games Previous]]=0,
    View_Table[[#This Row],[Rank]],
    _xlfn.RANK.EQ(View_Table[[#This Row],[Weighted Win% Previous]], View_Table[Weighted Win% Previous], 0)
)</f>
        <v>12</v>
      </c>
    </row>
    <row r="83" spans="2:16" x14ac:dyDescent="0.25">
      <c r="B83" s="3" t="s">
        <v>435</v>
      </c>
      <c r="C83" s="6">
        <f>View_Table[[#This Row],[Rank Previous]]-View_Table[[#This Row],[Rank]]</f>
        <v>-2</v>
      </c>
      <c r="D83" s="7">
        <f>_xlfn.RANK.EQ(View_Table[[#This Row],[Weighted Win%]], View_Table[Weighted Win%], 0)</f>
        <v>21</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19</v>
      </c>
    </row>
    <row r="84" spans="2:16" hidden="1" x14ac:dyDescent="0.25">
      <c r="B84" s="3" t="s">
        <v>579</v>
      </c>
      <c r="C84" s="6">
        <f>View_Table[[#This Row],[Rank Previous]]-View_Table[[#This Row],[Rank]]</f>
        <v>-1</v>
      </c>
      <c r="D84" s="7">
        <f>_xlfn.RANK.EQ(View_Table[[#This Row],[Weighted Win%]], View_Table[Weighted Win%], 0)</f>
        <v>33</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32</v>
      </c>
    </row>
    <row r="85" spans="2:16" hidden="1" x14ac:dyDescent="0.25">
      <c r="B85" s="3" t="s">
        <v>590</v>
      </c>
      <c r="C85" s="6">
        <f>View_Table[[#This Row],[Rank Previous]]-View_Table[[#This Row],[Rank]]</f>
        <v>-1</v>
      </c>
      <c r="D85" s="7">
        <f>_xlfn.RANK.EQ(View_Table[[#This Row],[Weighted Win%]], View_Table[Weighted Win%], 0)</f>
        <v>33</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32</v>
      </c>
    </row>
    <row r="86" spans="2:16" hidden="1" x14ac:dyDescent="0.25">
      <c r="B86" s="3" t="s">
        <v>551</v>
      </c>
      <c r="C86" s="6">
        <f>View_Table[[#This Row],[Rank Previous]]-View_Table[[#This Row],[Rank]]</f>
        <v>-1</v>
      </c>
      <c r="D86" s="7">
        <f>_xlfn.RANK.EQ(View_Table[[#This Row],[Weighted Win%]], View_Table[Weighted Win%], 0)</f>
        <v>33</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32</v>
      </c>
    </row>
    <row r="87" spans="2:16" hidden="1" x14ac:dyDescent="0.25">
      <c r="B87" s="3" t="s">
        <v>552</v>
      </c>
      <c r="C87" s="6">
        <f>View_Table[[#This Row],[Rank Previous]]-View_Table[[#This Row],[Rank]]</f>
        <v>-1</v>
      </c>
      <c r="D87" s="7">
        <f>_xlfn.RANK.EQ(View_Table[[#This Row],[Weighted Win%]], View_Table[Weighted Win%], 0)</f>
        <v>33</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32</v>
      </c>
    </row>
    <row r="88" spans="2:16" hidden="1" x14ac:dyDescent="0.25">
      <c r="B88" s="3" t="s">
        <v>553</v>
      </c>
      <c r="C88" s="6">
        <f>View_Table[[#This Row],[Rank Previous]]-View_Table[[#This Row],[Rank]]</f>
        <v>-1</v>
      </c>
      <c r="D88" s="7">
        <f>_xlfn.RANK.EQ(View_Table[[#This Row],[Weighted Win%]], View_Table[Weighted Win%], 0)</f>
        <v>33</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32</v>
      </c>
    </row>
    <row r="89" spans="2:16" hidden="1" x14ac:dyDescent="0.25">
      <c r="B89" s="3" t="s">
        <v>554</v>
      </c>
      <c r="C89" s="6">
        <f>View_Table[[#This Row],[Rank Previous]]-View_Table[[#This Row],[Rank]]</f>
        <v>-1</v>
      </c>
      <c r="D89" s="7">
        <f>_xlfn.RANK.EQ(View_Table[[#This Row],[Weighted Win%]], View_Table[Weighted Win%], 0)</f>
        <v>33</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32</v>
      </c>
    </row>
    <row r="90" spans="2:16" x14ac:dyDescent="0.25">
      <c r="B90" s="3" t="s">
        <v>605</v>
      </c>
      <c r="C90" s="6">
        <f>View_Table[[#This Row],[Rank Previous]]-View_Table[[#This Row],[Rank]]</f>
        <v>-2</v>
      </c>
      <c r="D90" s="7">
        <f>_xlfn.RANK.EQ(View_Table[[#This Row],[Weighted Win%]], View_Table[Weighted Win%], 0)</f>
        <v>21</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19</v>
      </c>
    </row>
    <row r="91" spans="2:16" x14ac:dyDescent="0.25">
      <c r="B91" s="3" t="s">
        <v>567</v>
      </c>
      <c r="C91" s="6">
        <f>View_Table[[#This Row],[Rank Previous]]-View_Table[[#This Row],[Rank]]</f>
        <v>-3</v>
      </c>
      <c r="D91" s="7">
        <f>_xlfn.RANK.EQ(View_Table[[#This Row],[Weighted Win%]], View_Table[Weighted Win%], 0)</f>
        <v>24</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21</v>
      </c>
    </row>
    <row r="92" spans="2:16" x14ac:dyDescent="0.25">
      <c r="B92" s="3" t="s">
        <v>519</v>
      </c>
      <c r="C92" s="6">
        <f>View_Table[[#This Row],[Rank Previous]]-View_Table[[#This Row],[Rank]]</f>
        <v>-3</v>
      </c>
      <c r="D92" s="7">
        <f>_xlfn.RANK.EQ(View_Table[[#This Row],[Weighted Win%]], View_Table[Weighted Win%], 0)</f>
        <v>24</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0.15625</v>
      </c>
      <c r="G92" s="5">
        <f>IFERROR(
    GETPIVOTDATA(
        "Result",
        'Pivot Table'!$A$3,
        "Player",View_Table[[#This Row],[Player]],
        "Result","Win"
    ),
    0
)</f>
        <v>1</v>
      </c>
      <c r="H92" s="5">
        <f>IFERROR(
    GETPIVOTDATA(
        "Result",
        'Pivot Table'!$A$3,
        "Player",View_Table[[#This Row],[Player]],
        "Result","Loss"
    ),
    0
)</f>
        <v>6</v>
      </c>
      <c r="I92" s="5">
        <f>IFERROR(
    GETPIVOTDATA(
        "Result",
        'Pivot Table'!$A$3,
        "Player",View_Table[[#This Row],[Player]],
        "Result","Draw"
    ),
    0
)</f>
        <v>1</v>
      </c>
      <c r="J92" s="5">
        <f>View_Table[[#This Row],[Wins]]+View_Table[[#This Row],[Losses]]+View_Table[[#This Row],[Draws]]</f>
        <v>8</v>
      </c>
      <c r="K92" s="7">
        <f>IFERROR(
    GETPIVOTDATA(
        "Result",
        'Pivot Table Previous'!$A$3,
        "Player",View_Table[[#This Row],[Player]],
        "Result","Win"
    ),
    0
)</f>
        <v>1</v>
      </c>
      <c r="L92" s="5">
        <f>IFERROR(
    GETPIVOTDATA(
        "Result",
        'Pivot Table Previous'!$A$3,
        "Player",View_Table[[#This Row],[Player]],
        "Result","Loss"
    ),
    0
)</f>
        <v>6</v>
      </c>
      <c r="M92" s="5">
        <f>IFERROR(
    GETPIVOTDATA(
        "Result",
        'Pivot Table Previous'!$A$3,
        "Player",View_Table[[#This Row],[Player]],
        "Result","Draw"
    ),
    0
)</f>
        <v>1</v>
      </c>
      <c r="N92" s="5">
        <f>View_Table[[#This Row],[Wins Previous]]+View_Table[[#This Row],[Losses Previous]]+View_Table[[#This Row],[Draws Previous]]</f>
        <v>8</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21</v>
      </c>
    </row>
    <row r="93" spans="2:16" x14ac:dyDescent="0.25">
      <c r="B93" s="3" t="s">
        <v>540</v>
      </c>
      <c r="C93" s="6">
        <f>View_Table[[#This Row],[Rank Previous]]-View_Table[[#This Row],[Rank]]</f>
        <v>-5</v>
      </c>
      <c r="D93" s="7">
        <f>_xlfn.RANK.EQ(View_Table[[#This Row],[Weighted Win%]], View_Table[Weighted Win%], 0)</f>
        <v>26</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8.3333333333333329E-2</v>
      </c>
      <c r="G93" s="5">
        <f>IFERROR(
    GETPIVOTDATA(
        "Result",
        'Pivot Table'!$A$3,
        "Player",View_Table[[#This Row],[Player]],
        "Result","Win"
    ),
    0
)</f>
        <v>0</v>
      </c>
      <c r="H93" s="5">
        <f>IFERROR(
    GETPIVOTDATA(
        "Result",
        'Pivot Table'!$A$3,
        "Player",View_Table[[#This Row],[Player]],
        "Result","Loss"
    ),
    0
)</f>
        <v>4</v>
      </c>
      <c r="I93" s="5">
        <f>IFERROR(
    GETPIVOTDATA(
        "Result",
        'Pivot Table'!$A$3,
        "Player",View_Table[[#This Row],[Player]],
        "Result","Draw"
    ),
    0
)</f>
        <v>2</v>
      </c>
      <c r="J93" s="5">
        <f>View_Table[[#This Row],[Wins]]+View_Table[[#This Row],[Losses]]+View_Table[[#This Row],[Draws]]</f>
        <v>6</v>
      </c>
      <c r="K93" s="7">
        <f>IFERROR(
    GETPIVOTDATA(
        "Result",
        'Pivot Table Previous'!$A$3,
        "Player",View_Table[[#This Row],[Player]],
        "Result","Win"
    ),
    0
)</f>
        <v>0</v>
      </c>
      <c r="L93" s="5">
        <f>IFERROR(
    GETPIVOTDATA(
        "Result",
        'Pivot Table Previous'!$A$3,
        "Player",View_Table[[#This Row],[Player]],
        "Result","Loss"
    ),
    0
)</f>
        <v>3</v>
      </c>
      <c r="M93" s="5">
        <f>IFERROR(
    GETPIVOTDATA(
        "Result",
        'Pivot Table Previous'!$A$3,
        "Player",View_Table[[#This Row],[Player]],
        "Result","Draw"
    ),
    0
)</f>
        <v>1</v>
      </c>
      <c r="N93" s="5">
        <f>View_Table[[#This Row],[Wins Previous]]+View_Table[[#This Row],[Losses Previous]]+View_Table[[#This Row],[Draws Previous]]</f>
        <v>4</v>
      </c>
      <c r="O93" s="9">
        <f>_xlfn.LET(_xlpm.g,View_Table[[#This Row],[Games Previous]], _xlpm.w,(View_Table[[#This Row],[Wins Previous]] + View_Table[[#This Row],[Draws Previous]] * 0.25), _xlpm.fake, MAX(0,25-_xlpm.g), IF(_xlpm.g=0,0,(_xlpm.w + _xlpm.fake*0.25)/(_xlpm.g + _xlpm.fake)))</f>
        <v>0.22</v>
      </c>
      <c r="P93" s="7">
        <f>_xlfn.RANK.EQ(View_Table[[#This Row],[Weighted Win% Previous]], View_Table[Weighted Win% Previous], 0)</f>
        <v>21</v>
      </c>
    </row>
    <row r="94" spans="2:16" hidden="1" x14ac:dyDescent="0.25">
      <c r="B94" s="3" t="s">
        <v>606</v>
      </c>
      <c r="C94" s="6">
        <f>View_Table[[#This Row],[Rank Previous]]-View_Table[[#This Row],[Rank]]</f>
        <v>-1</v>
      </c>
      <c r="D94" s="7">
        <f>_xlfn.RANK.EQ(View_Table[[#This Row],[Weighted Win%]], View_Table[Weighted Win%], 0)</f>
        <v>33</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32</v>
      </c>
    </row>
    <row r="95" spans="2:16" x14ac:dyDescent="0.25">
      <c r="B95" s="3" t="s">
        <v>41</v>
      </c>
      <c r="C95" s="6">
        <f>View_Table[[#This Row],[Rank Previous]]-View_Table[[#This Row],[Rank]]</f>
        <v>0</v>
      </c>
      <c r="D95" s="7">
        <f>_xlfn.RANK.EQ(View_Table[[#This Row],[Weighted Win%]], View_Table[Weighted Win%], 0)</f>
        <v>26</v>
      </c>
      <c r="E95" s="9">
        <f>_xlfn.LET(_xlpm.g,View_Table[[#This Row],[Games]], _xlpm.w,(View_Table[[#This Row],[Wins]] + View_Table[[#This Row],[Draws]] * 0.25), _xlpm.fake, MAX(0,25-_xlpm.g), IF(_xlpm.g=0,0,(_xlpm.w + _xlpm.fake*0.25)/(_xlpm.g + _xlpm.fake)))</f>
        <v>0.21</v>
      </c>
      <c r="F95" s="8">
        <f>IF(View_Table[[#This Row],[Games]]=0,0,(View_Table[[#This Row],[Wins]] + (View_Table[[#This Row],[Draws]] * 0.25))/View_Table[[#This Row],[Games]])</f>
        <v>0.125</v>
      </c>
      <c r="G95" s="5">
        <f>IFERROR(
    GETPIVOTDATA(
        "Result",
        'Pivot Table'!$A$3,
        "Player",View_Table[[#This Row],[Player]],
        "Result","Win"
    ),
    0
)</f>
        <v>1</v>
      </c>
      <c r="H95" s="5">
        <f>IFERROR(
    GETPIVOTDATA(
        "Result",
        'Pivot Table'!$A$3,
        "Player",View_Table[[#This Row],[Player]],
        "Result","Loss"
    ),
    0
)</f>
        <v>7</v>
      </c>
      <c r="I95" s="5">
        <f>IFERROR(
    GETPIVOTDATA(
        "Result",
        'Pivot Table'!$A$3,
        "Player",View_Table[[#This Row],[Player]],
        "Result","Draw"
    ),
    0
)</f>
        <v>0</v>
      </c>
      <c r="J95" s="5">
        <f>View_Table[[#This Row],[Wins]]+View_Table[[#This Row],[Losses]]+View_Table[[#This Row],[Draws]]</f>
        <v>8</v>
      </c>
      <c r="K95" s="5">
        <f>IFERROR(
    GETPIVOTDATA(
        "Result",
        'Pivot Table Previous'!$A$3,
        "Player",View_Table[[#This Row],[Player]],
        "Result","Win"
    ),
    0
)</f>
        <v>1</v>
      </c>
      <c r="L95" s="5">
        <f>IFERROR(
    GETPIVOTDATA(
        "Result",
        'Pivot Table Previous'!$A$3,
        "Player",View_Table[[#This Row],[Player]],
        "Result","Loss"
    ),
    0
)</f>
        <v>7</v>
      </c>
      <c r="M95" s="5">
        <f>IFERROR(
    GETPIVOTDATA(
        "Result",
        'Pivot Table Previous'!$A$3,
        "Player",View_Table[[#This Row],[Player]],
        "Result","Draw"
    ),
    0
)</f>
        <v>0</v>
      </c>
      <c r="N95" s="5">
        <f>View_Table[[#This Row],[Wins Previous]]+View_Table[[#This Row],[Losses Previous]]+View_Table[[#This Row],[Draws Previous]]</f>
        <v>8</v>
      </c>
      <c r="O95" s="9">
        <f>_xlfn.LET(_xlpm.g,View_Table[[#This Row],[Games Previous]], _xlpm.w,(View_Table[[#This Row],[Wins Previous]] + View_Table[[#This Row],[Draws Previous]] * 0.25), _xlpm.fake, MAX(0,25-_xlpm.g), IF(_xlpm.g=0,0,(_xlpm.w + _xlpm.fake*0.25)/(_xlpm.g + _xlpm.fake)))</f>
        <v>0.21</v>
      </c>
      <c r="P95" s="7">
        <f>IF(View_Table[[#This Row],[Games Previous]]=0,
    View_Table[[#This Row],[Rank]],
    _xlfn.RANK.EQ(View_Table[[#This Row],[Weighted Win% Previous]], View_Table[Weighted Win% Previous], 0)
)</f>
        <v>26</v>
      </c>
    </row>
    <row r="96" spans="2:16" x14ac:dyDescent="0.25">
      <c r="B96" s="3" t="s">
        <v>609</v>
      </c>
      <c r="C96" s="6">
        <f>View_Table[[#This Row],[Rank Previous]]-View_Table[[#This Row],[Rank]]</f>
        <v>0</v>
      </c>
      <c r="D96" s="7">
        <f>_xlfn.RANK.EQ(View_Table[[#This Row],[Weighted Win%]], View_Table[Weighted Win%], 0)</f>
        <v>26</v>
      </c>
      <c r="E96" s="9">
        <f>_xlfn.LET(_xlpm.g,View_Table[[#This Row],[Games]], _xlpm.w,(View_Table[[#This Row],[Wins]] + View_Table[[#This Row],[Draws]] * 0.25), _xlpm.fake, MAX(0,25-_xlpm.g), IF(_xlpm.g=0,0,(_xlpm.w + _xlpm.fake*0.25)/(_xlpm.g + _xlpm.fake)))</f>
        <v>0.21</v>
      </c>
      <c r="F96" s="8">
        <f>IF(View_Table[[#This Row],[Games]]=0,0,(View_Table[[#This Row],[Wins]] + (View_Table[[#This Row],[Draws]] * 0.25))/View_Table[[#This Row],[Games]])</f>
        <v>8.3333333333333329E-2</v>
      </c>
      <c r="G96" s="5">
        <f>IFERROR(
    GETPIVOTDATA(
        "Result",
        'Pivot Table'!$A$3,
        "Player",View_Table[[#This Row],[Player]],
        "Result","Win"
    ),
    0
)</f>
        <v>0</v>
      </c>
      <c r="H96" s="5">
        <f>IFERROR(
    GETPIVOTDATA(
        "Result",
        'Pivot Table'!$A$3,
        "Player",View_Table[[#This Row],[Player]],
        "Result","Loss"
    ),
    0
)</f>
        <v>4</v>
      </c>
      <c r="I96" s="5">
        <f>IFERROR(
    GETPIVOTDATA(
        "Result",
        'Pivot Table'!$A$3,
        "Player",View_Table[[#This Row],[Player]],
        "Result","Draw"
    ),
    0
)</f>
        <v>2</v>
      </c>
      <c r="J96" s="5">
        <f>View_Table[[#This Row],[Wins]]+View_Table[[#This Row],[Losses]]+View_Table[[#This Row],[Draws]]</f>
        <v>6</v>
      </c>
      <c r="K96" s="7">
        <f>IFERROR(
    GETPIVOTDATA(
        "Result",
        'Pivot Table Previous'!$A$3,
        "Player",View_Table[[#This Row],[Player]],
        "Result","Win"
    ),
    0
)</f>
        <v>0</v>
      </c>
      <c r="L96" s="5">
        <f>IFERROR(
    GETPIVOTDATA(
        "Result",
        'Pivot Table Previous'!$A$3,
        "Player",View_Table[[#This Row],[Player]],
        "Result","Loss"
    ),
    0
)</f>
        <v>4</v>
      </c>
      <c r="M96" s="5">
        <f>IFERROR(
    GETPIVOTDATA(
        "Result",
        'Pivot Table Previous'!$A$3,
        "Player",View_Table[[#This Row],[Player]],
        "Result","Draw"
    ),
    0
)</f>
        <v>2</v>
      </c>
      <c r="N96" s="5">
        <f>View_Table[[#This Row],[Wins Previous]]+View_Table[[#This Row],[Losses Previous]]+View_Table[[#This Row],[Draws Previous]]</f>
        <v>6</v>
      </c>
      <c r="O96" s="9">
        <f>_xlfn.LET(_xlpm.g,View_Table[[#This Row],[Games Previous]], _xlpm.w,(View_Table[[#This Row],[Wins Previous]] + View_Table[[#This Row],[Draws Previous]] * 0.25), _xlpm.fake, MAX(0,25-_xlpm.g), IF(_xlpm.g=0,0,(_xlpm.w + _xlpm.fake*0.25)/(_xlpm.g + _xlpm.fake)))</f>
        <v>0.21</v>
      </c>
      <c r="P96" s="7">
        <f>_xlfn.RANK.EQ(View_Table[[#This Row],[Weighted Win% Previous]], View_Table[Weighted Win% Previous], 0)</f>
        <v>26</v>
      </c>
    </row>
    <row r="97" spans="2:16" x14ac:dyDescent="0.25">
      <c r="B97" s="3" t="s">
        <v>433</v>
      </c>
      <c r="C97" s="6">
        <f>View_Table[[#This Row],[Rank Previous]]-View_Table[[#This Row],[Rank]]</f>
        <v>-1</v>
      </c>
      <c r="D97" s="7">
        <f>_xlfn.RANK.EQ(View_Table[[#This Row],[Weighted Win%]], View_Table[Weighted Win%], 0)</f>
        <v>29</v>
      </c>
      <c r="E97" s="9">
        <f>_xlfn.LET(_xlpm.g,View_Table[[#This Row],[Games]], _xlpm.w,(View_Table[[#This Row],[Wins]] + View_Table[[#This Row],[Draws]] * 0.25), _xlpm.fake, MAX(0,25-_xlpm.g), IF(_xlpm.g=0,0,(_xlpm.w + _xlpm.fake*0.25)/(_xlpm.g + _xlpm.fake)))</f>
        <v>0.19</v>
      </c>
      <c r="F97" s="8">
        <f>IF(View_Table[[#This Row],[Games]]=0,0,(View_Table[[#This Row],[Wins]] + (View_Table[[#This Row],[Draws]] * 0.25))/View_Table[[#This Row],[Games]])</f>
        <v>6.25E-2</v>
      </c>
      <c r="G97" s="5">
        <f>IFERROR(
    GETPIVOTDATA(
        "Result",
        'Pivot Table'!$A$3,
        "Player",View_Table[[#This Row],[Player]],
        "Result","Win"
    ),
    0
)</f>
        <v>0</v>
      </c>
      <c r="H97" s="5">
        <f>IFERROR(
    GETPIVOTDATA(
        "Result",
        'Pivot Table'!$A$3,
        "Player",View_Table[[#This Row],[Player]],
        "Result","Loss"
    ),
    0
)</f>
        <v>6</v>
      </c>
      <c r="I97" s="5">
        <f>IFERROR(
    GETPIVOTDATA(
        "Result",
        'Pivot Table'!$A$3,
        "Player",View_Table[[#This Row],[Player]],
        "Result","Draw"
    ),
    0
)</f>
        <v>2</v>
      </c>
      <c r="J97" s="5">
        <f>View_Table[[#This Row],[Wins]]+View_Table[[#This Row],[Losses]]+View_Table[[#This Row],[Draws]]</f>
        <v>8</v>
      </c>
      <c r="K97" s="7">
        <f>IFERROR(
    GETPIVOTDATA(
        "Result",
        'Pivot Table Previous'!$A$3,
        "Player",View_Table[[#This Row],[Player]],
        "Result","Win"
    ),
    0
)</f>
        <v>0</v>
      </c>
      <c r="L97" s="5">
        <f>IFERROR(
    GETPIVOTDATA(
        "Result",
        'Pivot Table Previous'!$A$3,
        "Player",View_Table[[#This Row],[Player]],
        "Result","Loss"
    ),
    0
)</f>
        <v>5</v>
      </c>
      <c r="M97" s="5">
        <f>IFERROR(
    GETPIVOTDATA(
        "Result",
        'Pivot Table Previous'!$A$3,
        "Player",View_Table[[#This Row],[Player]],
        "Result","Draw"
    ),
    0
)</f>
        <v>1</v>
      </c>
      <c r="N97" s="5">
        <f>View_Table[[#This Row],[Wins Previous]]+View_Table[[#This Row],[Losses Previous]]+View_Table[[#This Row],[Draws Previous]]</f>
        <v>6</v>
      </c>
      <c r="O97" s="9">
        <f>_xlfn.LET(_xlpm.g,View_Table[[#This Row],[Games Previous]], _xlpm.w,(View_Table[[#This Row],[Wins Previous]] + View_Table[[#This Row],[Draws Previous]] * 0.25), _xlpm.fake, MAX(0,25-_xlpm.g), IF(_xlpm.g=0,0,(_xlpm.w + _xlpm.fake*0.25)/(_xlpm.g + _xlpm.fake)))</f>
        <v>0.2</v>
      </c>
      <c r="P97" s="7">
        <f>_xlfn.RANK.EQ(View_Table[[#This Row],[Weighted Win% Previous]], View_Table[Weighted Win% Previous], 0)</f>
        <v>28</v>
      </c>
    </row>
    <row r="98" spans="2:16" x14ac:dyDescent="0.25">
      <c r="B98" s="3" t="s">
        <v>10</v>
      </c>
      <c r="C98" s="6">
        <f>View_Table[[#This Row],[Rank Previous]]-View_Table[[#This Row],[Rank]]</f>
        <v>-1</v>
      </c>
      <c r="D98" s="7">
        <f>_xlfn.RANK.EQ(View_Table[[#This Row],[Weighted Win%]], View_Table[Weighted Win%], 0)</f>
        <v>29</v>
      </c>
      <c r="E98" s="9">
        <f>_xlfn.LET(_xlpm.g,View_Table[[#This Row],[Games]], _xlpm.w,(View_Table[[#This Row],[Wins]] + View_Table[[#This Row],[Draws]] * 0.25), _xlpm.fake, MAX(0,25-_xlpm.g), IF(_xlpm.g=0,0,(_xlpm.w + _xlpm.fake*0.25)/(_xlpm.g + _xlpm.fake)))</f>
        <v>0.19</v>
      </c>
      <c r="F98" s="8">
        <f>IF(View_Table[[#This Row],[Games]]=0,0,(View_Table[[#This Row],[Wins]] + (View_Table[[#This Row],[Draws]] * 0.25))/View_Table[[#This Row],[Games]])</f>
        <v>6.25E-2</v>
      </c>
      <c r="G98" s="5">
        <f>IFERROR(
    GETPIVOTDATA(
        "Result",
        'Pivot Table'!$A$3,
        "Player",View_Table[[#This Row],[Player]],
        "Result","Win"
    ),
    0
)</f>
        <v>0</v>
      </c>
      <c r="H98" s="5">
        <f>IFERROR(
    GETPIVOTDATA(
        "Result",
        'Pivot Table'!$A$3,
        "Player",View_Table[[#This Row],[Player]],
        "Result","Loss"
    ),
    0
)</f>
        <v>6</v>
      </c>
      <c r="I98" s="5">
        <f>IFERROR(
    GETPIVOTDATA(
        "Result",
        'Pivot Table'!$A$3,
        "Player",View_Table[[#This Row],[Player]],
        "Result","Draw"
    ),
    0
)</f>
        <v>2</v>
      </c>
      <c r="J98" s="5">
        <f>View_Table[[#This Row],[Wins]]+View_Table[[#This Row],[Losses]]+View_Table[[#This Row],[Draws]]</f>
        <v>8</v>
      </c>
      <c r="K98" s="7">
        <f>IFERROR(
    GETPIVOTDATA(
        "Result",
        'Pivot Table Previous'!$A$3,
        "Player",View_Table[[#This Row],[Player]],
        "Result","Win"
    ),
    0
)</f>
        <v>0</v>
      </c>
      <c r="L98" s="5">
        <f>IFERROR(
    GETPIVOTDATA(
        "Result",
        'Pivot Table Previous'!$A$3,
        "Player",View_Table[[#This Row],[Player]],
        "Result","Loss"
    ),
    0
)</f>
        <v>5</v>
      </c>
      <c r="M98" s="5">
        <f>IFERROR(
    GETPIVOTDATA(
        "Result",
        'Pivot Table Previous'!$A$3,
        "Player",View_Table[[#This Row],[Player]],
        "Result","Draw"
    ),
    0
)</f>
        <v>1</v>
      </c>
      <c r="N98" s="5">
        <f>View_Table[[#This Row],[Wins Previous]]+View_Table[[#This Row],[Losses Previous]]+View_Table[[#This Row],[Draws Previous]]</f>
        <v>6</v>
      </c>
      <c r="O98" s="9">
        <f>_xlfn.LET(_xlpm.g,View_Table[[#This Row],[Games Previous]], _xlpm.w,(View_Table[[#This Row],[Wins Previous]] + View_Table[[#This Row],[Draws Previous]] * 0.25), _xlpm.fake, MAX(0,25-_xlpm.g), IF(_xlpm.g=0,0,(_xlpm.w + _xlpm.fake*0.25)/(_xlpm.g + _xlpm.fake)))</f>
        <v>0.2</v>
      </c>
      <c r="P98" s="7">
        <f>_xlfn.RANK.EQ(View_Table[[#This Row],[Weighted Win% Previous]], View_Table[Weighted Win% Previous], 0)</f>
        <v>28</v>
      </c>
    </row>
    <row r="99" spans="2:16" x14ac:dyDescent="0.25">
      <c r="B99" s="3" t="s">
        <v>51</v>
      </c>
      <c r="C99" s="6">
        <f>View_Table[[#This Row],[Rank Previous]]-View_Table[[#This Row],[Rank]]</f>
        <v>2</v>
      </c>
      <c r="D99" s="7">
        <f>_xlfn.RANK.EQ(View_Table[[#This Row],[Weighted Win%]], View_Table[Weighted Win%], 0)</f>
        <v>29</v>
      </c>
      <c r="E99" s="9">
        <f>_xlfn.LET(_xlpm.g,View_Table[[#This Row],[Games]], _xlpm.w,(View_Table[[#This Row],[Wins]] + View_Table[[#This Row],[Draws]] * 0.25), _xlpm.fake, MAX(0,25-_xlpm.g), IF(_xlpm.g=0,0,(_xlpm.w + _xlpm.fake*0.25)/(_xlpm.g + _xlpm.fake)))</f>
        <v>0.19</v>
      </c>
      <c r="F99" s="8">
        <f>IF(View_Table[[#This Row],[Games]]=0,0,(View_Table[[#This Row],[Wins]] + (View_Table[[#This Row],[Draws]] * 0.25))/View_Table[[#This Row],[Games]])</f>
        <v>0.1</v>
      </c>
      <c r="G99" s="5">
        <f>IFERROR(
    GETPIVOTDATA(
        "Result",
        'Pivot Table'!$A$3,
        "Player",View_Table[[#This Row],[Player]],
        "Result","Win"
    ),
    0
)</f>
        <v>0</v>
      </c>
      <c r="H99" s="5">
        <f>IFERROR(
    GETPIVOTDATA(
        "Result",
        'Pivot Table'!$A$3,
        "Player",View_Table[[#This Row],[Player]],
        "Result","Loss"
    ),
    0
)</f>
        <v>6</v>
      </c>
      <c r="I99" s="5">
        <f>IFERROR(
    GETPIVOTDATA(
        "Result",
        'Pivot Table'!$A$3,
        "Player",View_Table[[#This Row],[Player]],
        "Result","Draw"
    ),
    0
)</f>
        <v>4</v>
      </c>
      <c r="J99" s="5">
        <f>View_Table[[#This Row],[Wins]]+View_Table[[#This Row],[Losses]]+View_Table[[#This Row],[Draws]]</f>
        <v>10</v>
      </c>
      <c r="K99" s="7">
        <f>IFERROR(
    GETPIVOTDATA(
        "Result",
        'Pivot Table Previous'!$A$3,
        "Player",View_Table[[#This Row],[Player]],
        "Result","Win"
    ),
    0
)</f>
        <v>0</v>
      </c>
      <c r="L99" s="5">
        <f>IFERROR(
    GETPIVOTDATA(
        "Result",
        'Pivot Table Previous'!$A$3,
        "Player",View_Table[[#This Row],[Player]],
        "Result","Loss"
    ),
    0
)</f>
        <v>6</v>
      </c>
      <c r="M99" s="5">
        <f>IFERROR(
    GETPIVOTDATA(
        "Result",
        'Pivot Table Previous'!$A$3,
        "Player",View_Table[[#This Row],[Player]],
        "Result","Draw"
    ),
    0
)</f>
        <v>4</v>
      </c>
      <c r="N99" s="5">
        <f>View_Table[[#This Row],[Wins Previous]]+View_Table[[#This Row],[Losses Previous]]+View_Table[[#This Row],[Draws Previous]]</f>
        <v>10</v>
      </c>
      <c r="O99" s="9">
        <f>_xlfn.LET(_xlpm.g,View_Table[[#This Row],[Games Previous]], _xlpm.w,(View_Table[[#This Row],[Wins Previous]] + View_Table[[#This Row],[Draws Previous]] * 0.25), _xlpm.fake, MAX(0,25-_xlpm.g), IF(_xlpm.g=0,0,(_xlpm.w + _xlpm.fake*0.25)/(_xlpm.g + _xlpm.fake)))</f>
        <v>0.19</v>
      </c>
      <c r="P99" s="7">
        <f>_xlfn.RANK.EQ(View_Table[[#This Row],[Weighted Win% Previous]], View_Table[Weighted Win% Previous], 0)</f>
        <v>31</v>
      </c>
    </row>
    <row r="100" spans="2:16" hidden="1" x14ac:dyDescent="0.25">
      <c r="B100" s="3" t="s">
        <v>436</v>
      </c>
      <c r="C100" s="6">
        <f>View_Table[[#This Row],[Rank Previous]]-View_Table[[#This Row],[Rank]]</f>
        <v>-1</v>
      </c>
      <c r="D100" s="7">
        <f>_xlfn.RANK.EQ(View_Table[[#This Row],[Weighted Win%]], View_Table[Weighted Win%], 0)</f>
        <v>33</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32</v>
      </c>
    </row>
    <row r="101" spans="2:16" hidden="1" x14ac:dyDescent="0.25">
      <c r="B101" s="3" t="s">
        <v>363</v>
      </c>
      <c r="C101" s="6">
        <f>View_Table[[#This Row],[Rank Previous]]-View_Table[[#This Row],[Rank]]</f>
        <v>-1</v>
      </c>
      <c r="D101" s="7">
        <f>_xlfn.RANK.EQ(View_Table[[#This Row],[Weighted Win%]], View_Table[Weighted Win%], 0)</f>
        <v>33</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32</v>
      </c>
    </row>
    <row r="102" spans="2:16" hidden="1" x14ac:dyDescent="0.25">
      <c r="B102" s="3" t="s">
        <v>52</v>
      </c>
      <c r="C102" s="6">
        <f>View_Table[[#This Row],[Rank Previous]]-View_Table[[#This Row],[Rank]]</f>
        <v>-1</v>
      </c>
      <c r="D102" s="7">
        <f>_xlfn.RANK.EQ(View_Table[[#This Row],[Weighted Win%]], View_Table[Weighted Win%], 0)</f>
        <v>33</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32</v>
      </c>
    </row>
    <row r="103" spans="2:16" x14ac:dyDescent="0.25">
      <c r="B103" s="3" t="s">
        <v>14</v>
      </c>
      <c r="C103" s="6">
        <f>View_Table[[#This Row],[Rank Previous]]-View_Table[[#This Row],[Rank]]</f>
        <v>-4</v>
      </c>
      <c r="D103" s="7">
        <f>_xlfn.RANK.EQ(View_Table[[#This Row],[Weighted Win%]], View_Table[Weighted Win%], 0)</f>
        <v>32</v>
      </c>
      <c r="E103" s="9">
        <f>_xlfn.LET(_xlpm.g,View_Table[[#This Row],[Games]], _xlpm.w,(View_Table[[#This Row],[Wins]] + View_Table[[#This Row],[Draws]] * 0.25), _xlpm.fake, MAX(0,25-_xlpm.g), IF(_xlpm.g=0,0,(_xlpm.w + _xlpm.fake*0.25)/(_xlpm.g + _xlpm.fake)))</f>
        <v>0.18</v>
      </c>
      <c r="F103" s="8">
        <f>IF(View_Table[[#This Row],[Games]]=0,0,(View_Table[[#This Row],[Wins]] + (View_Table[[#This Row],[Draws]] * 0.25))/View_Table[[#This Row],[Games]])</f>
        <v>0.125</v>
      </c>
      <c r="G103" s="5">
        <f>IFERROR(
    GETPIVOTDATA(
        "Result",
        'Pivot Table'!$A$3,
        "Player",View_Table[[#This Row],[Player]],
        "Result","Win"
    ),
    0
)</f>
        <v>1</v>
      </c>
      <c r="H103" s="5">
        <f>IFERROR(
    GETPIVOTDATA(
        "Result",
        'Pivot Table'!$A$3,
        "Player",View_Table[[#This Row],[Player]],
        "Result","Loss"
    ),
    0
)</f>
        <v>10</v>
      </c>
      <c r="I103" s="5">
        <f>IFERROR(
    GETPIVOTDATA(
        "Result",
        'Pivot Table'!$A$3,
        "Player",View_Table[[#This Row],[Player]],
        "Result","Draw"
    ),
    0
)</f>
        <v>3</v>
      </c>
      <c r="J103" s="5">
        <f>View_Table[[#This Row],[Wins]]+View_Table[[#This Row],[Losses]]+View_Table[[#This Row],[Draws]]</f>
        <v>14</v>
      </c>
      <c r="K103" s="5">
        <f>IFERROR(
    GETPIVOTDATA(
        "Result",
        'Pivot Table Previous'!$A$3,
        "Player",View_Table[[#This Row],[Player]],
        "Result","Win"
    ),
    0
)</f>
        <v>1</v>
      </c>
      <c r="L103" s="5">
        <f>IFERROR(
    GETPIVOTDATA(
        "Result",
        'Pivot Table Previous'!$A$3,
        "Player",View_Table[[#This Row],[Player]],
        "Result","Loss"
    ),
    0
)</f>
        <v>8</v>
      </c>
      <c r="M103" s="5">
        <f>IFERROR(
    GETPIVOTDATA(
        "Result",
        'Pivot Table Previous'!$A$3,
        "Player",View_Table[[#This Row],[Player]],
        "Result","Draw"
    ),
    0
)</f>
        <v>3</v>
      </c>
      <c r="N103" s="5">
        <f>View_Table[[#This Row],[Wins Previous]]+View_Table[[#This Row],[Losses Previous]]+View_Table[[#This Row],[Draws Previous]]</f>
        <v>12</v>
      </c>
      <c r="O103" s="9">
        <f>_xlfn.LET(_xlpm.g,View_Table[[#This Row],[Games Previous]], _xlpm.w,(View_Table[[#This Row],[Wins Previous]] + View_Table[[#This Row],[Draws Previous]] * 0.25), _xlpm.fake, MAX(0,25-_xlpm.g), IF(_xlpm.g=0,0,(_xlpm.w + _xlpm.fake*0.25)/(_xlpm.g + _xlpm.fake)))</f>
        <v>0.2</v>
      </c>
      <c r="P103" s="7">
        <f>IF(View_Table[[#This Row],[Games Previous]]=0,
    View_Table[[#This Row],[Rank]],
    _xlfn.RANK.EQ(View_Table[[#This Row],[Weighted Win% Previous]], View_Table[Weighted Win% Previous], 0)
)</f>
        <v>28</v>
      </c>
    </row>
    <row r="104" spans="2:16" hidden="1" x14ac:dyDescent="0.25">
      <c r="B104" s="3" t="s">
        <v>465</v>
      </c>
      <c r="C104" s="6">
        <f>View_Table[[#This Row],[Rank Previous]]-View_Table[[#This Row],[Rank]]</f>
        <v>-1</v>
      </c>
      <c r="D104" s="7">
        <f>_xlfn.RANK.EQ(View_Table[[#This Row],[Weighted Win%]], View_Table[Weighted Win%], 0)</f>
        <v>33</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32</v>
      </c>
    </row>
  </sheetData>
  <phoneticPr fontId="4" type="noConversion"/>
  <conditionalFormatting sqref="J5:J104">
    <cfRule type="colorScale" priority="1904">
      <colorScale>
        <cfvo type="min"/>
        <cfvo type="percentile" val="50"/>
        <cfvo type="num" val="25"/>
        <color rgb="FFF8696B"/>
        <color rgb="FFFFEB84"/>
        <color rgb="FF63BE7B"/>
      </colorScale>
    </cfRule>
  </conditionalFormatting>
  <conditionalFormatting sqref="D5:D104">
    <cfRule type="top10" dxfId="4" priority="1905" bottom="1" rank="5"/>
    <cfRule type="cellIs" dxfId="3" priority="1906" operator="between">
      <formula>1</formula>
      <formula>16</formula>
    </cfRule>
    <cfRule type="top10" dxfId="2" priority="1907" bottom="1" rank="1"/>
  </conditionalFormatting>
  <conditionalFormatting sqref="G5:G104">
    <cfRule type="colorScale" priority="1908">
      <colorScale>
        <cfvo type="min"/>
        <cfvo type="percentile" val="70"/>
        <cfvo type="max"/>
        <color rgb="FFFF6600"/>
        <color theme="9" tint="0.59999389629810485"/>
        <color theme="9" tint="0.39997558519241921"/>
      </colorScale>
    </cfRule>
  </conditionalFormatting>
  <conditionalFormatting sqref="H5:H104">
    <cfRule type="colorScale" priority="1909">
      <colorScale>
        <cfvo type="min"/>
        <cfvo type="percentile" val="90"/>
        <cfvo type="max"/>
        <color theme="9" tint="0.59999389629810485"/>
        <color theme="9" tint="0.79998168889431442"/>
        <color rgb="FFFF6600"/>
      </colorScale>
    </cfRule>
  </conditionalFormatting>
  <conditionalFormatting sqref="F5:F104">
    <cfRule type="colorScale" priority="1910">
      <colorScale>
        <cfvo type="min"/>
        <cfvo type="num" val="0.25"/>
        <cfvo type="max"/>
        <color rgb="FFF8696B"/>
        <color theme="9" tint="0.59999389629810485"/>
        <color rgb="FF00B050"/>
      </colorScale>
    </cfRule>
  </conditionalFormatting>
  <conditionalFormatting sqref="I5:I104">
    <cfRule type="colorScale" priority="1911">
      <colorScale>
        <cfvo type="min"/>
        <cfvo type="max"/>
        <color theme="9" tint="0.79998168889431442"/>
        <color rgb="FFBF95DF"/>
      </colorScale>
    </cfRule>
  </conditionalFormatting>
  <conditionalFormatting sqref="N5:N104">
    <cfRule type="colorScale" priority="1912">
      <colorScale>
        <cfvo type="min"/>
        <cfvo type="percentile" val="50"/>
        <cfvo type="num" val="25"/>
        <color rgb="FFF8696B"/>
        <color rgb="FFFFEB84"/>
        <color rgb="FF63BE7B"/>
      </colorScale>
    </cfRule>
  </conditionalFormatting>
  <conditionalFormatting sqref="L5:L104">
    <cfRule type="colorScale" priority="1913">
      <colorScale>
        <cfvo type="min"/>
        <cfvo type="percentile" val="90"/>
        <cfvo type="max"/>
        <color theme="9" tint="0.59999389629810485"/>
        <color theme="9" tint="0.79998168889431442"/>
        <color rgb="FFFF6600"/>
      </colorScale>
    </cfRule>
  </conditionalFormatting>
  <conditionalFormatting sqref="M5:M104">
    <cfRule type="colorScale" priority="1914">
      <colorScale>
        <cfvo type="min"/>
        <cfvo type="max"/>
        <color theme="9" tint="0.79998168889431442"/>
        <color rgb="FFBF95DF"/>
      </colorScale>
    </cfRule>
  </conditionalFormatting>
  <conditionalFormatting sqref="K5:K104">
    <cfRule type="colorScale" priority="1915">
      <colorScale>
        <cfvo type="min"/>
        <cfvo type="percentile" val="70"/>
        <cfvo type="max"/>
        <color rgb="FFFF6600"/>
        <color theme="9" tint="0.59999389629810485"/>
        <color theme="9" tint="0.39997558519241921"/>
      </colorScale>
    </cfRule>
  </conditionalFormatting>
  <conditionalFormatting sqref="P5:P104">
    <cfRule type="top10" dxfId="1" priority="1916" bottom="1" rank="5"/>
    <cfRule type="top10" dxfId="0" priority="1917"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18"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919"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920"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62</v>
      </c>
      <c r="C6" s="19">
        <v>86</v>
      </c>
      <c r="D6" s="19">
        <v>5</v>
      </c>
      <c r="E6" s="19">
        <v>153</v>
      </c>
    </row>
    <row r="7" spans="1:5" x14ac:dyDescent="0.25">
      <c r="A7" s="3">
        <v>2</v>
      </c>
      <c r="B7" s="19">
        <v>35</v>
      </c>
      <c r="C7" s="19">
        <v>87</v>
      </c>
      <c r="D7" s="19">
        <v>6</v>
      </c>
      <c r="E7" s="19">
        <v>128</v>
      </c>
    </row>
    <row r="8" spans="1:5" x14ac:dyDescent="0.25">
      <c r="A8" s="3">
        <v>3</v>
      </c>
      <c r="B8" s="19">
        <v>34</v>
      </c>
      <c r="C8" s="19">
        <v>61</v>
      </c>
      <c r="D8" s="19">
        <v>6</v>
      </c>
      <c r="E8" s="19">
        <v>101</v>
      </c>
    </row>
    <row r="9" spans="1:5" x14ac:dyDescent="0.25">
      <c r="A9" s="3">
        <v>4</v>
      </c>
      <c r="B9" s="19"/>
      <c r="C9" s="19">
        <v>56</v>
      </c>
      <c r="D9" s="19">
        <v>6</v>
      </c>
      <c r="E9" s="19">
        <v>62</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131</v>
      </c>
      <c r="C12" s="19">
        <v>296</v>
      </c>
      <c r="D12" s="19">
        <v>29</v>
      </c>
      <c r="E12" s="19">
        <v>456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0.26804182509505703</v>
      </c>
    </row>
    <row r="4" spans="2:7" x14ac:dyDescent="0.25">
      <c r="B4" t="s">
        <v>2</v>
      </c>
      <c r="C4" t="s">
        <v>75</v>
      </c>
      <c r="D4" t="s">
        <v>70</v>
      </c>
      <c r="F4" t="s">
        <v>77</v>
      </c>
      <c r="G4" t="s">
        <v>34</v>
      </c>
    </row>
    <row r="5" spans="2:7" x14ac:dyDescent="0.25">
      <c r="B5">
        <v>1</v>
      </c>
      <c r="C5">
        <f>GETPIVOTDATA("Result",Seat_Order_Pivot!$A$3,"Seat",Table3[[#This Row],[Seat]],"Result","Win")</f>
        <v>153</v>
      </c>
      <c r="D5" s="4">
        <f>Table3[[#This Row],[Count Result]]/C13</f>
        <v>0.29087452471482889</v>
      </c>
      <c r="F5">
        <v>1</v>
      </c>
      <c r="G5" s="4">
        <f>GETPIVOTDATA("Result",pivot_seat_New!$A$5,"Seat",Table411[[#This Row],[3 pods]],"Pod Size",3)/C14</f>
        <v>0.44927536231884058</v>
      </c>
    </row>
    <row r="6" spans="2:7" x14ac:dyDescent="0.25">
      <c r="B6">
        <v>2</v>
      </c>
      <c r="C6">
        <f>GETPIVOTDATA("Result",Seat_Order_Pivot!$A$3,"Seat",Table3[[#This Row],[Seat]],"Result","Win")</f>
        <v>128</v>
      </c>
      <c r="D6" s="4">
        <f>Table3[[#This Row],[Count Result]]/C13</f>
        <v>0.24334600760456274</v>
      </c>
      <c r="F6">
        <v>2</v>
      </c>
      <c r="G6" s="4">
        <f>GETPIVOTDATA("Result",pivot_seat_New!$A$5,"Seat",Table411[[#This Row],[3 pods]],"Pod Size",3)/C14</f>
        <v>0.25362318840579712</v>
      </c>
    </row>
    <row r="7" spans="2:7" x14ac:dyDescent="0.25">
      <c r="B7">
        <v>3</v>
      </c>
      <c r="C7">
        <f>GETPIVOTDATA("Result",Seat_Order_Pivot!$A$3,"Seat",Table3[[#This Row],[Seat]],"Result","Win")</f>
        <v>101</v>
      </c>
      <c r="D7" s="4">
        <f>Table3[[#This Row],[Count Result]]/C13</f>
        <v>0.19201520912547529</v>
      </c>
      <c r="F7">
        <v>3</v>
      </c>
      <c r="G7" s="4">
        <f>GETPIVOTDATA("Result",pivot_seat_New!$A$5,"Seat",Table411[[#This Row],[3 pods]],"Pod Size",3)/C14</f>
        <v>0.24637681159420291</v>
      </c>
    </row>
    <row r="8" spans="2:7" x14ac:dyDescent="0.25">
      <c r="B8">
        <v>4</v>
      </c>
      <c r="C8">
        <f>GETPIVOTDATA("Result",Seat_Order_Pivot!$A$3,"Seat",Table3[[#This Row],[Seat]],"Result","Win")</f>
        <v>62</v>
      </c>
      <c r="D8" s="4">
        <f>Table3[[#This Row],[Count Result]]/(C15+C16)</f>
        <v>0.15979381443298968</v>
      </c>
      <c r="F8" t="s">
        <v>63</v>
      </c>
      <c r="G8" s="4">
        <f>1-G5-G6-G7</f>
        <v>5.0724637681159396E-2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76</v>
      </c>
      <c r="D10" s="4">
        <f>Table3[[#This Row],[Count Result]]/C13</f>
        <v>0.14448669201520911</v>
      </c>
      <c r="F10">
        <v>1</v>
      </c>
      <c r="G10" s="4">
        <f>GETPIVOTDATA("Result",pivot_seat_New!$A$5,"Seat",Table41112[[#This Row],[4 pods]],"Pod Size",4)/C15</f>
        <v>0.24089635854341737</v>
      </c>
    </row>
    <row r="11" spans="2:7" x14ac:dyDescent="0.25">
      <c r="F11">
        <v>2</v>
      </c>
      <c r="G11" s="4">
        <f>GETPIVOTDATA("Result",pivot_seat_New!$A$5,"Seat",Table41112[[#This Row],[4 pods]],"Pod Size",4)/C15</f>
        <v>0.24369747899159663</v>
      </c>
    </row>
    <row r="12" spans="2:7" x14ac:dyDescent="0.25">
      <c r="B12" t="s">
        <v>71</v>
      </c>
      <c r="C12" t="s">
        <v>69</v>
      </c>
      <c r="F12">
        <v>3</v>
      </c>
      <c r="G12" s="4">
        <f>GETPIVOTDATA("Result",pivot_seat_New!$A$5,"Seat",Table41112[[#This Row],[4 pods]],"Pod Size",4)/C15</f>
        <v>0.17086834733893558</v>
      </c>
    </row>
    <row r="13" spans="2:7" x14ac:dyDescent="0.25">
      <c r="B13" t="s">
        <v>68</v>
      </c>
      <c r="C13">
        <f>SUM(Table3[Count Result])</f>
        <v>526</v>
      </c>
      <c r="F13">
        <v>4</v>
      </c>
      <c r="G13" s="4">
        <f>GETPIVOTDATA("Result",pivot_seat_New!$A$5,"Seat",Table41112[[#This Row],[4 pods]],"Pod Size",4)/C15</f>
        <v>0.15686274509803921</v>
      </c>
    </row>
    <row r="14" spans="2:7" x14ac:dyDescent="0.25">
      <c r="B14" t="s">
        <v>72</v>
      </c>
      <c r="C14">
        <f>(C13)-((GETPIVOTDATA("Result",Seat_Order_Pivot!$A$3,"Seat",4,"Result","Win")) + (GETPIVOTDATA("Result",Seat_Order_Pivot!$A$3,"Seat",4,"Result","Loss")) + (GETPIVOTDATA("Result",Seat_Order_Pivot!$A$3,"Seat",4,"Result","Draw")))</f>
        <v>138</v>
      </c>
      <c r="F14" t="s">
        <v>63</v>
      </c>
      <c r="G14" s="4">
        <f>1-G11-G12-G13-G10</f>
        <v>0.18767507002801112</v>
      </c>
    </row>
    <row r="15" spans="2:7" x14ac:dyDescent="0.25">
      <c r="B15" t="s">
        <v>73</v>
      </c>
      <c r="C15">
        <f>C13-C14-C16</f>
        <v>357</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76</v>
      </c>
      <c r="C3" s="19">
        <v>297</v>
      </c>
      <c r="D3" s="19">
        <v>153</v>
      </c>
      <c r="E3" s="19">
        <v>526</v>
      </c>
    </row>
    <row r="4" spans="1:5" x14ac:dyDescent="0.25">
      <c r="A4" s="3">
        <v>2</v>
      </c>
      <c r="B4" s="19">
        <v>75</v>
      </c>
      <c r="C4" s="19">
        <v>322</v>
      </c>
      <c r="D4" s="19">
        <v>128</v>
      </c>
      <c r="E4" s="19">
        <v>525</v>
      </c>
    </row>
    <row r="5" spans="1:5" x14ac:dyDescent="0.25">
      <c r="A5" s="3">
        <v>3</v>
      </c>
      <c r="B5" s="19">
        <v>76</v>
      </c>
      <c r="C5" s="19">
        <v>349</v>
      </c>
      <c r="D5" s="19">
        <v>101</v>
      </c>
      <c r="E5" s="19">
        <v>526</v>
      </c>
    </row>
    <row r="6" spans="1:5" x14ac:dyDescent="0.25">
      <c r="A6" s="3">
        <v>4</v>
      </c>
      <c r="B6" s="19">
        <v>69</v>
      </c>
      <c r="C6" s="19">
        <v>257</v>
      </c>
      <c r="D6" s="19">
        <v>62</v>
      </c>
      <c r="E6" s="19">
        <v>388</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298</v>
      </c>
      <c r="C9" s="19">
        <v>1266</v>
      </c>
      <c r="D9" s="19">
        <v>456</v>
      </c>
      <c r="E9" s="19">
        <v>2020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8"/>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8</v>
      </c>
      <c r="C7" s="19">
        <v>1</v>
      </c>
      <c r="D7" s="19">
        <v>3</v>
      </c>
    </row>
    <row r="8" spans="1:4" x14ac:dyDescent="0.25">
      <c r="A8" s="3" t="s">
        <v>19</v>
      </c>
      <c r="B8" s="19">
        <v>3</v>
      </c>
      <c r="C8" s="19">
        <v>3</v>
      </c>
      <c r="D8" s="19">
        <v>4</v>
      </c>
    </row>
    <row r="9" spans="1:4" x14ac:dyDescent="0.25">
      <c r="A9" s="3" t="s">
        <v>13</v>
      </c>
      <c r="B9" s="19">
        <v>6</v>
      </c>
      <c r="C9" s="19">
        <v>2</v>
      </c>
      <c r="D9" s="19">
        <v>4</v>
      </c>
    </row>
    <row r="10" spans="1:4" x14ac:dyDescent="0.25">
      <c r="A10" s="3" t="s">
        <v>10</v>
      </c>
      <c r="B10" s="19">
        <v>5</v>
      </c>
      <c r="C10" s="19"/>
      <c r="D10" s="19">
        <v>1</v>
      </c>
    </row>
    <row r="11" spans="1:4" x14ac:dyDescent="0.25">
      <c r="A11" s="3" t="s">
        <v>7</v>
      </c>
      <c r="B11" s="19">
        <v>7</v>
      </c>
      <c r="C11" s="19">
        <v>4</v>
      </c>
      <c r="D11" s="19">
        <v>1</v>
      </c>
    </row>
    <row r="12" spans="1:4" x14ac:dyDescent="0.25">
      <c r="A12" s="3" t="s">
        <v>20</v>
      </c>
      <c r="B12" s="19">
        <v>3</v>
      </c>
      <c r="C12" s="19">
        <v>1</v>
      </c>
      <c r="D12" s="19">
        <v>2</v>
      </c>
    </row>
    <row r="13" spans="1:4" x14ac:dyDescent="0.25">
      <c r="A13" s="3" t="s">
        <v>15</v>
      </c>
      <c r="B13" s="19">
        <v>3</v>
      </c>
      <c r="C13" s="19">
        <v>5</v>
      </c>
      <c r="D13" s="19">
        <v>2</v>
      </c>
    </row>
    <row r="14" spans="1:4" x14ac:dyDescent="0.25">
      <c r="A14" s="3" t="s">
        <v>11</v>
      </c>
      <c r="B14" s="19">
        <v>1</v>
      </c>
      <c r="C14" s="19">
        <v>2</v>
      </c>
      <c r="D14" s="19">
        <v>1</v>
      </c>
    </row>
    <row r="15" spans="1:4" x14ac:dyDescent="0.25">
      <c r="A15" s="3" t="s">
        <v>9</v>
      </c>
      <c r="B15" s="19">
        <v>3</v>
      </c>
      <c r="C15" s="19">
        <v>2</v>
      </c>
      <c r="D15" s="19">
        <v>5</v>
      </c>
    </row>
    <row r="16" spans="1:4" x14ac:dyDescent="0.25">
      <c r="A16" s="3" t="s">
        <v>17</v>
      </c>
      <c r="B16" s="19">
        <v>6</v>
      </c>
      <c r="C16" s="19">
        <v>2</v>
      </c>
      <c r="D16" s="19">
        <v>4</v>
      </c>
    </row>
    <row r="17" spans="1:4" x14ac:dyDescent="0.25">
      <c r="A17" s="3" t="s">
        <v>28</v>
      </c>
      <c r="B17" s="19"/>
      <c r="C17" s="19">
        <v>6</v>
      </c>
      <c r="D17" s="19">
        <v>4</v>
      </c>
    </row>
    <row r="18" spans="1:4" x14ac:dyDescent="0.25">
      <c r="A18" s="3" t="s">
        <v>27</v>
      </c>
      <c r="B18" s="19">
        <v>6</v>
      </c>
      <c r="C18" s="19">
        <v>1</v>
      </c>
      <c r="D18" s="19">
        <v>1</v>
      </c>
    </row>
    <row r="19" spans="1:4" x14ac:dyDescent="0.25">
      <c r="A19" s="3" t="s">
        <v>41</v>
      </c>
      <c r="B19" s="19">
        <v>7</v>
      </c>
      <c r="C19" s="19">
        <v>1</v>
      </c>
      <c r="D19" s="19"/>
    </row>
    <row r="20" spans="1:4" x14ac:dyDescent="0.25">
      <c r="A20" s="3" t="s">
        <v>51</v>
      </c>
      <c r="B20" s="19">
        <v>6</v>
      </c>
      <c r="C20" s="19"/>
      <c r="D20" s="19">
        <v>4</v>
      </c>
    </row>
    <row r="21" spans="1:4" x14ac:dyDescent="0.25">
      <c r="A21" s="3" t="s">
        <v>352</v>
      </c>
      <c r="B21" s="19">
        <v>3</v>
      </c>
      <c r="C21" s="19">
        <v>3</v>
      </c>
      <c r="D21" s="19">
        <v>2</v>
      </c>
    </row>
    <row r="22" spans="1:4" x14ac:dyDescent="0.25">
      <c r="A22" s="3" t="s">
        <v>325</v>
      </c>
      <c r="B22" s="19">
        <v>9</v>
      </c>
      <c r="C22" s="19">
        <v>3</v>
      </c>
      <c r="D22" s="19"/>
    </row>
    <row r="23" spans="1:4" x14ac:dyDescent="0.25">
      <c r="A23" s="3" t="s">
        <v>326</v>
      </c>
      <c r="B23" s="19">
        <v>2</v>
      </c>
      <c r="C23" s="19">
        <v>1</v>
      </c>
      <c r="D23" s="19">
        <v>1</v>
      </c>
    </row>
    <row r="24" spans="1:4" x14ac:dyDescent="0.25">
      <c r="A24" s="3" t="s">
        <v>351</v>
      </c>
      <c r="B24" s="19">
        <v>4</v>
      </c>
      <c r="C24" s="19">
        <v>1</v>
      </c>
      <c r="D24" s="19">
        <v>3</v>
      </c>
    </row>
    <row r="25" spans="1:4" x14ac:dyDescent="0.25">
      <c r="A25" s="3" t="s">
        <v>364</v>
      </c>
      <c r="B25" s="19"/>
      <c r="C25" s="19"/>
      <c r="D25" s="19">
        <v>2</v>
      </c>
    </row>
    <row r="26" spans="1:4" x14ac:dyDescent="0.25">
      <c r="A26" s="3" t="s">
        <v>405</v>
      </c>
      <c r="B26" s="19">
        <v>3</v>
      </c>
      <c r="C26" s="19">
        <v>2</v>
      </c>
      <c r="D26" s="19">
        <v>3</v>
      </c>
    </row>
    <row r="27" spans="1:4" x14ac:dyDescent="0.25">
      <c r="A27" s="3" t="s">
        <v>435</v>
      </c>
      <c r="B27" s="19">
        <v>2</v>
      </c>
      <c r="C27" s="19"/>
      <c r="D27" s="19"/>
    </row>
    <row r="28" spans="1:4" x14ac:dyDescent="0.25">
      <c r="A28" s="3" t="s">
        <v>433</v>
      </c>
      <c r="B28" s="19">
        <v>5</v>
      </c>
      <c r="C28" s="19"/>
      <c r="D28" s="19">
        <v>1</v>
      </c>
    </row>
    <row r="29" spans="1:4" x14ac:dyDescent="0.25">
      <c r="A29" s="3" t="s">
        <v>438</v>
      </c>
      <c r="B29" s="19"/>
      <c r="C29" s="19">
        <v>1</v>
      </c>
      <c r="D29" s="19">
        <v>1</v>
      </c>
    </row>
    <row r="30" spans="1:4" x14ac:dyDescent="0.25">
      <c r="A30" s="3" t="s">
        <v>464</v>
      </c>
      <c r="B30" s="19"/>
      <c r="C30" s="19"/>
      <c r="D30" s="19">
        <v>2</v>
      </c>
    </row>
    <row r="31" spans="1:4" x14ac:dyDescent="0.25">
      <c r="A31" s="3" t="s">
        <v>519</v>
      </c>
      <c r="B31" s="19">
        <v>6</v>
      </c>
      <c r="C31" s="19">
        <v>1</v>
      </c>
      <c r="D31" s="19">
        <v>1</v>
      </c>
    </row>
    <row r="32" spans="1:4" x14ac:dyDescent="0.25">
      <c r="A32" s="3" t="s">
        <v>540</v>
      </c>
      <c r="B32" s="19">
        <v>3</v>
      </c>
      <c r="C32" s="19"/>
      <c r="D32" s="19">
        <v>1</v>
      </c>
    </row>
    <row r="33" spans="1:4" x14ac:dyDescent="0.25">
      <c r="A33" s="3" t="s">
        <v>567</v>
      </c>
      <c r="B33" s="19">
        <v>3</v>
      </c>
      <c r="C33" s="19"/>
      <c r="D33" s="19">
        <v>1</v>
      </c>
    </row>
    <row r="34" spans="1:4" x14ac:dyDescent="0.25">
      <c r="A34" s="3" t="s">
        <v>578</v>
      </c>
      <c r="B34" s="19">
        <v>6</v>
      </c>
      <c r="C34" s="19">
        <v>1</v>
      </c>
      <c r="D34" s="19">
        <v>3</v>
      </c>
    </row>
    <row r="35" spans="1:4" x14ac:dyDescent="0.25">
      <c r="A35" s="3" t="s">
        <v>605</v>
      </c>
      <c r="B35" s="19">
        <v>2</v>
      </c>
      <c r="C35" s="19"/>
      <c r="D35" s="19"/>
    </row>
    <row r="36" spans="1:4" x14ac:dyDescent="0.25">
      <c r="A36" s="3" t="s">
        <v>609</v>
      </c>
      <c r="B36" s="19">
        <v>4</v>
      </c>
      <c r="C36" s="19"/>
      <c r="D36" s="19">
        <v>2</v>
      </c>
    </row>
    <row r="37" spans="1:4" x14ac:dyDescent="0.25">
      <c r="A37" s="3" t="s">
        <v>622</v>
      </c>
      <c r="B37" s="19">
        <v>4</v>
      </c>
      <c r="C37" s="19">
        <v>2</v>
      </c>
      <c r="D37" s="19"/>
    </row>
    <row r="38" spans="1:4" x14ac:dyDescent="0.25">
      <c r="A38" s="3" t="s">
        <v>24</v>
      </c>
      <c r="B38" s="19">
        <v>120</v>
      </c>
      <c r="C38" s="19">
        <v>45</v>
      </c>
      <c r="D38" s="19">
        <v>59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3"/>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22</v>
      </c>
      <c r="C4" s="19">
        <v>10</v>
      </c>
      <c r="D4" s="19">
        <v>2</v>
      </c>
      <c r="E4" s="4">
        <f t="shared" ref="E4:E41" si="0">IFERROR(C4/B4, "")</f>
        <v>0.45454545454545453</v>
      </c>
      <c r="F4" s="4">
        <f t="shared" ref="F4:F41" si="1">IFERROR(D4/B4, "")</f>
        <v>9.0909090909090912E-2</v>
      </c>
      <c r="G4" s="4">
        <f>IFERROR(1-Table5[[#This Row],[Loss % Against]]-Table5[[#This Row],[Win% Against]],"")</f>
        <v>0.45454545454545453</v>
      </c>
      <c r="H4" s="16">
        <f>IFERROR(IF(B4=0,"",
 IF(Table5[[#This Row],[Win% Against]] &gt; Table5[[#This Row],[Loss % Against]], 1,
 IF(Table5[[#This Row],[Win% Against]] &lt; Table5[[#This Row],[Loss % Against]], -1, 0))), "")</f>
        <v>1</v>
      </c>
    </row>
    <row r="5" spans="1:8" x14ac:dyDescent="0.2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25">
      <c r="A6" s="3" t="s">
        <v>28</v>
      </c>
      <c r="B6" s="19">
        <v>17</v>
      </c>
      <c r="C6" s="19">
        <v>6</v>
      </c>
      <c r="D6" s="19">
        <v>4</v>
      </c>
      <c r="E6" s="4">
        <f t="shared" si="0"/>
        <v>0.35294117647058826</v>
      </c>
      <c r="F6" s="4">
        <f t="shared" si="1"/>
        <v>0.23529411764705882</v>
      </c>
      <c r="G6" s="4">
        <f>IFERROR(1-Table5[[#This Row],[Loss % Against]]-Table5[[#This Row],[Win% Against]],"")</f>
        <v>0.41176470588235287</v>
      </c>
      <c r="H6" s="16">
        <f>IFERROR(IF(B6=0,"",
 IF(Table5[[#This Row],[Win% Against]] &gt; Table5[[#This Row],[Loss % Against]], 1,
 IF(Table5[[#This Row],[Win% Against]] &lt; Table5[[#This Row],[Loss % Against]], -1, 0))), "")</f>
        <v>1</v>
      </c>
    </row>
    <row r="7" spans="1:8" x14ac:dyDescent="0.25">
      <c r="A7" s="3" t="s">
        <v>14</v>
      </c>
      <c r="B7" s="19">
        <v>16</v>
      </c>
      <c r="C7" s="19">
        <v>7</v>
      </c>
      <c r="D7" s="19">
        <v>3</v>
      </c>
      <c r="E7" s="4">
        <f t="shared" si="0"/>
        <v>0.4375</v>
      </c>
      <c r="F7" s="4">
        <f t="shared" si="1"/>
        <v>0.1875</v>
      </c>
      <c r="G7" s="4">
        <f>IFERROR(1-Table5[[#This Row],[Loss % Against]]-Table5[[#This Row],[Win% Against]],"")</f>
        <v>0.375</v>
      </c>
      <c r="H7" s="16">
        <f>IFERROR(IF(B7=0,"",
 IF(Table5[[#This Row],[Win% Against]] &gt; Table5[[#This Row],[Loss % Against]], 1,
 IF(Table5[[#This Row],[Win% Against]] &lt; Table5[[#This Row],[Loss % Against]], -1, 0))), "")</f>
        <v>1</v>
      </c>
    </row>
    <row r="8" spans="1:8" x14ac:dyDescent="0.25">
      <c r="A8" s="3" t="s">
        <v>15</v>
      </c>
      <c r="B8" s="19">
        <v>14</v>
      </c>
      <c r="C8" s="19">
        <v>6</v>
      </c>
      <c r="D8" s="19">
        <v>2</v>
      </c>
      <c r="E8" s="4">
        <f t="shared" si="0"/>
        <v>0.42857142857142855</v>
      </c>
      <c r="F8" s="4">
        <f t="shared" si="1"/>
        <v>0.14285714285714285</v>
      </c>
      <c r="G8" s="4">
        <f>IFERROR(1-Table5[[#This Row],[Loss % Against]]-Table5[[#This Row],[Win% Against]],"")</f>
        <v>0.42857142857142866</v>
      </c>
      <c r="H8" s="16">
        <f>IFERROR(IF(B8=0,"",
 IF(Table5[[#This Row],[Win% Against]] &gt; Table5[[#This Row],[Loss % Against]], 1,
 IF(Table5[[#This Row],[Win% Against]] &lt; Table5[[#This Row],[Loss % Against]], -1, 0))), "")</f>
        <v>1</v>
      </c>
    </row>
    <row r="9" spans="1:8" x14ac:dyDescent="0.25">
      <c r="A9" s="3" t="s">
        <v>41</v>
      </c>
      <c r="B9" s="19">
        <v>13</v>
      </c>
      <c r="C9" s="19">
        <v>9</v>
      </c>
      <c r="D9" s="19">
        <v>3</v>
      </c>
      <c r="E9" s="4">
        <f t="shared" si="0"/>
        <v>0.69230769230769229</v>
      </c>
      <c r="F9" s="4">
        <f t="shared" si="1"/>
        <v>0.23076923076923078</v>
      </c>
      <c r="G9" s="4">
        <f>IFERROR(1-Table5[[#This Row],[Loss % Against]]-Table5[[#This Row],[Win% Against]],"")</f>
        <v>7.6923076923076872E-2</v>
      </c>
      <c r="H9" s="16">
        <f>IFERROR(IF(B9=0,"",
 IF(Table5[[#This Row],[Win% Against]] &gt; Table5[[#This Row],[Loss % Against]], 1,
 IF(Table5[[#This Row],[Win% Against]] &lt; Table5[[#This Row],[Loss % Against]], -1, 0))), "")</f>
        <v>1</v>
      </c>
    </row>
    <row r="10" spans="1:8" x14ac:dyDescent="0.25">
      <c r="A10" s="3" t="s">
        <v>13</v>
      </c>
      <c r="B10" s="19">
        <v>13</v>
      </c>
      <c r="C10" s="19">
        <v>3</v>
      </c>
      <c r="D10" s="19">
        <v>1</v>
      </c>
      <c r="E10" s="4">
        <f t="shared" si="0"/>
        <v>0.23076923076923078</v>
      </c>
      <c r="F10" s="4">
        <f t="shared" si="1"/>
        <v>7.6923076923076927E-2</v>
      </c>
      <c r="G10" s="4">
        <f>IFERROR(1-Table5[[#This Row],[Loss % Against]]-Table5[[#This Row],[Win% Against]],"")</f>
        <v>0.69230769230769229</v>
      </c>
      <c r="H10" s="16">
        <f>IFERROR(IF(B10=0,"",
 IF(Table5[[#This Row],[Win% Against]] &gt; Table5[[#This Row],[Loss % Against]], 1,
 IF(Table5[[#This Row],[Win% Against]] &lt; Table5[[#This Row],[Loss % Against]], -1, 0))), "")</f>
        <v>1</v>
      </c>
    </row>
    <row r="11" spans="1:8" x14ac:dyDescent="0.25">
      <c r="A11" s="3" t="s">
        <v>10</v>
      </c>
      <c r="B11" s="19">
        <v>13</v>
      </c>
      <c r="C11" s="19">
        <v>5</v>
      </c>
      <c r="D11" s="19">
        <v>3</v>
      </c>
      <c r="E11" s="4">
        <f t="shared" si="0"/>
        <v>0.38461538461538464</v>
      </c>
      <c r="F11" s="4">
        <f t="shared" si="1"/>
        <v>0.23076923076923078</v>
      </c>
      <c r="G11" s="4">
        <f>IFERROR(1-Table5[[#This Row],[Loss % Against]]-Table5[[#This Row],[Win% Against]],"")</f>
        <v>0.38461538461538453</v>
      </c>
      <c r="H11" s="16">
        <f>IFERROR(IF(B11=0,"",
 IF(Table5[[#This Row],[Win% Against]] &gt; Table5[[#This Row],[Loss % Against]], 1,
 IF(Table5[[#This Row],[Win% Against]] &lt; Table5[[#This Row],[Loss % Against]], -1, 0))), "")</f>
        <v>1</v>
      </c>
    </row>
    <row r="12" spans="1:8" x14ac:dyDescent="0.25">
      <c r="A12" s="3" t="s">
        <v>19</v>
      </c>
      <c r="B12" s="19">
        <v>12</v>
      </c>
      <c r="C12" s="19">
        <v>4</v>
      </c>
      <c r="D12" s="19">
        <v>3</v>
      </c>
      <c r="E12" s="4">
        <f t="shared" si="0"/>
        <v>0.33333333333333331</v>
      </c>
      <c r="F12" s="4">
        <f t="shared" si="1"/>
        <v>0.25</v>
      </c>
      <c r="G12" s="4">
        <f>IFERROR(1-Table5[[#This Row],[Loss % Against]]-Table5[[#This Row],[Win% Against]],"")</f>
        <v>0.41666666666666669</v>
      </c>
      <c r="H12" s="16">
        <f>IFERROR(IF(B12=0,"",
 IF(Table5[[#This Row],[Win% Against]] &gt; Table5[[#This Row],[Loss % Against]], 1,
 IF(Table5[[#This Row],[Win% Against]] &lt; Table5[[#This Row],[Loss % Against]], -1, 0))), "")</f>
        <v>1</v>
      </c>
    </row>
    <row r="13" spans="1:8" x14ac:dyDescent="0.2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2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25">
      <c r="A15" s="3" t="s">
        <v>351</v>
      </c>
      <c r="B15" s="19">
        <v>10</v>
      </c>
      <c r="C15" s="19">
        <v>4</v>
      </c>
      <c r="D15" s="19">
        <v>1</v>
      </c>
      <c r="E15" s="4">
        <f t="shared" si="0"/>
        <v>0.4</v>
      </c>
      <c r="F15" s="4">
        <f t="shared" si="1"/>
        <v>0.1</v>
      </c>
      <c r="G15" s="4">
        <f>IFERROR(1-Table5[[#This Row],[Loss % Against]]-Table5[[#This Row],[Win% Against]],"")</f>
        <v>0.5</v>
      </c>
      <c r="H15" s="16">
        <f>IFERROR(IF(B15=0,"",
 IF(Table5[[#This Row],[Win% Against]] &gt; Table5[[#This Row],[Loss % Against]], 1,
 IF(Table5[[#This Row],[Win% Against]] &lt; Table5[[#This Row],[Loss % Against]], -1, 0))), "")</f>
        <v>1</v>
      </c>
    </row>
    <row r="16" spans="1:8" x14ac:dyDescent="0.2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2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25">
      <c r="A18" s="3" t="s">
        <v>27</v>
      </c>
      <c r="B18" s="19">
        <v>8</v>
      </c>
      <c r="C18" s="19">
        <v>3</v>
      </c>
      <c r="D18" s="19">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25">
      <c r="A19" s="3" t="s">
        <v>51</v>
      </c>
      <c r="B19" s="19">
        <v>7</v>
      </c>
      <c r="C19" s="19">
        <v>4</v>
      </c>
      <c r="D19" s="19">
        <v>0</v>
      </c>
      <c r="E19" s="4">
        <f t="shared" si="0"/>
        <v>0.5714285714285714</v>
      </c>
      <c r="F19" s="4">
        <f t="shared" si="1"/>
        <v>0</v>
      </c>
      <c r="G19" s="4">
        <f>IFERROR(1-Table5[[#This Row],[Loss % Against]]-Table5[[#This Row],[Win% Against]],"")</f>
        <v>0.4285714285714286</v>
      </c>
      <c r="H19" s="16">
        <f>IFERROR(IF(B19=0,"",
 IF(Table5[[#This Row],[Win% Against]] &gt; Table5[[#This Row],[Loss % Against]], 1,
 IF(Table5[[#This Row],[Win% Against]] &lt; Table5[[#This Row],[Loss % Against]], -1, 0))), "")</f>
        <v>1</v>
      </c>
    </row>
    <row r="20" spans="1:8" x14ac:dyDescent="0.25">
      <c r="A20" s="3" t="s">
        <v>11</v>
      </c>
      <c r="B20" s="19">
        <v>7</v>
      </c>
      <c r="C20" s="19">
        <v>3</v>
      </c>
      <c r="D20" s="19">
        <v>3</v>
      </c>
      <c r="E20" s="4">
        <f t="shared" si="0"/>
        <v>0.42857142857142855</v>
      </c>
      <c r="F20" s="4">
        <f t="shared" si="1"/>
        <v>0.42857142857142855</v>
      </c>
      <c r="G20" s="4">
        <f>IFERROR(1-Table5[[#This Row],[Loss % Against]]-Table5[[#This Row],[Win% Against]],"")</f>
        <v>0.14285714285714285</v>
      </c>
      <c r="H20" s="16">
        <f>IFERROR(IF(B20=0,"",
 IF(Table5[[#This Row],[Win% Against]] &gt; Table5[[#This Row],[Loss % Against]], 1,
 IF(Table5[[#This Row],[Win% Against]] &lt; Table5[[#This Row],[Loss % Against]], -1, 0))), "")</f>
        <v>0</v>
      </c>
    </row>
    <row r="21" spans="1:8" x14ac:dyDescent="0.2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2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76</v>
      </c>
      <c r="B24" s="19">
        <v>4</v>
      </c>
      <c r="C24" s="19">
        <v>2</v>
      </c>
      <c r="D24" s="19">
        <v>0</v>
      </c>
      <c r="E24" s="4">
        <f t="shared" si="0"/>
        <v>0.5</v>
      </c>
      <c r="F24" s="4">
        <f t="shared" si="1"/>
        <v>0</v>
      </c>
      <c r="G24" s="4">
        <f>IFERROR(1-Table5[[#This Row],[Loss % Against]]-Table5[[#This Row],[Win% Against]],"")</f>
        <v>0.5</v>
      </c>
      <c r="H24" s="16">
        <f>IFERROR(IF(B24=0,"",
 IF(Table5[[#This Row],[Win% Against]] &gt; Table5[[#This Row],[Loss % Against]], 1,
 IF(Table5[[#This Row],[Win% Against]] &lt; Table5[[#This Row],[Loss % Against]], -1, 0))), "")</f>
        <v>1</v>
      </c>
    </row>
    <row r="25" spans="1:8" x14ac:dyDescent="0.25">
      <c r="A25" s="3" t="s">
        <v>325</v>
      </c>
      <c r="B25" s="19">
        <v>4</v>
      </c>
      <c r="C25" s="19">
        <v>0</v>
      </c>
      <c r="D25" s="19">
        <v>1</v>
      </c>
      <c r="E25" s="4">
        <f t="shared" si="0"/>
        <v>0</v>
      </c>
      <c r="F25" s="4">
        <f t="shared" si="1"/>
        <v>0.25</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25">
      <c r="A27" s="3" t="s">
        <v>44</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25">
      <c r="A28" s="3" t="s">
        <v>433</v>
      </c>
      <c r="B28" s="19">
        <v>4</v>
      </c>
      <c r="C28" s="19">
        <v>3</v>
      </c>
      <c r="D28" s="19">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25">
      <c r="A29" s="3" t="s">
        <v>22</v>
      </c>
      <c r="B29" s="19">
        <v>4</v>
      </c>
      <c r="C29" s="19">
        <v>1</v>
      </c>
      <c r="D29" s="19">
        <v>1</v>
      </c>
      <c r="E29" s="4">
        <f t="shared" si="0"/>
        <v>0.25</v>
      </c>
      <c r="F29" s="4">
        <f t="shared" si="1"/>
        <v>0.25</v>
      </c>
      <c r="G29" s="4">
        <f>IFERROR(1-Table5[[#This Row],[Loss % Against]]-Table5[[#This Row],[Win% Against]],"")</f>
        <v>0.5</v>
      </c>
      <c r="H29" s="16">
        <f>IFERROR(IF(B29=0,"",
 IF(Table5[[#This Row],[Win% Against]] &gt; Table5[[#This Row],[Loss % Against]], 1,
 IF(Table5[[#This Row],[Win% Against]] &lt; Table5[[#This Row],[Loss % Against]], -1, 0))), "")</f>
        <v>0</v>
      </c>
    </row>
    <row r="30" spans="1:8" x14ac:dyDescent="0.25">
      <c r="A30" s="3" t="s">
        <v>326</v>
      </c>
      <c r="B30" s="19">
        <v>4</v>
      </c>
      <c r="C30" s="19">
        <v>2</v>
      </c>
      <c r="D30" s="19">
        <v>1</v>
      </c>
      <c r="E30" s="4">
        <f t="shared" si="0"/>
        <v>0.5</v>
      </c>
      <c r="F30" s="4">
        <f t="shared" si="1"/>
        <v>0.25</v>
      </c>
      <c r="G30" s="4">
        <f>IFERROR(1-Table5[[#This Row],[Loss % Against]]-Table5[[#This Row],[Win% Against]],"")</f>
        <v>0.25</v>
      </c>
      <c r="H30" s="16">
        <f>IFERROR(IF(B30=0,"",
 IF(Table5[[#This Row],[Win% Against]] &gt; Table5[[#This Row],[Loss % Against]], 1,
 IF(Table5[[#This Row],[Win% Against]] &lt; Table5[[#This Row],[Loss % Against]], -1, 0))), "")</f>
        <v>1</v>
      </c>
    </row>
    <row r="31" spans="1:8" x14ac:dyDescent="0.25">
      <c r="A31" s="3" t="s">
        <v>30</v>
      </c>
      <c r="B31" s="19">
        <v>3</v>
      </c>
      <c r="C31" s="19">
        <v>1</v>
      </c>
      <c r="D31" s="19">
        <v>1</v>
      </c>
      <c r="E31" s="4">
        <f t="shared" si="0"/>
        <v>0.33333333333333331</v>
      </c>
      <c r="F31" s="4">
        <f t="shared" si="1"/>
        <v>0.33333333333333331</v>
      </c>
      <c r="G31" s="4">
        <f>IFERROR(1-Table5[[#This Row],[Loss % Against]]-Table5[[#This Row],[Win% Against]],"")</f>
        <v>0.33333333333333343</v>
      </c>
      <c r="H31" s="16">
        <f>IFERROR(IF(B31=0,"",
 IF(Table5[[#This Row],[Win% Against]] &gt; Table5[[#This Row],[Loss % Against]], 1,
 IF(Table5[[#This Row],[Win% Against]] &lt; Table5[[#This Row],[Loss % Against]], -1, 0))), "")</f>
        <v>0</v>
      </c>
    </row>
    <row r="32" spans="1:8" x14ac:dyDescent="0.25">
      <c r="A32" s="3" t="s">
        <v>519</v>
      </c>
      <c r="B32" s="19">
        <v>3</v>
      </c>
      <c r="C32" s="19">
        <v>2</v>
      </c>
      <c r="D32" s="19">
        <v>0</v>
      </c>
      <c r="E32" s="4">
        <f t="shared" si="0"/>
        <v>0.66666666666666663</v>
      </c>
      <c r="F32" s="4">
        <f t="shared" si="1"/>
        <v>0</v>
      </c>
      <c r="G32" s="4">
        <f>IFERROR(1-Table5[[#This Row],[Loss % Against]]-Table5[[#This Row],[Win% Against]],"")</f>
        <v>0.33333333333333337</v>
      </c>
      <c r="H32" s="16">
        <f>IFERROR(IF(B32=0,"",
 IF(Table5[[#This Row],[Win% Against]] &gt; Table5[[#This Row],[Loss % Against]], 1,
 IF(Table5[[#This Row],[Win% Against]] &lt; Table5[[#This Row],[Loss % Against]], -1, 0))), "")</f>
        <v>1</v>
      </c>
    </row>
    <row r="33" spans="1:8" x14ac:dyDescent="0.25">
      <c r="A33" s="3" t="s">
        <v>364</v>
      </c>
      <c r="B33" s="19">
        <v>3</v>
      </c>
      <c r="C33" s="19">
        <v>0</v>
      </c>
      <c r="D33" s="19">
        <v>0</v>
      </c>
      <c r="E33" s="4">
        <f t="shared" si="0"/>
        <v>0</v>
      </c>
      <c r="F33" s="4">
        <f t="shared" si="1"/>
        <v>0</v>
      </c>
      <c r="G33" s="4">
        <f>IFERROR(1-Table5[[#This Row],[Loss % Against]]-Table5[[#This Row],[Win% Against]],"")</f>
        <v>1</v>
      </c>
      <c r="H33" s="16">
        <f>IFERROR(IF(B33=0,"",
 IF(Table5[[#This Row],[Win% Against]] &gt; Table5[[#This Row],[Loss % Against]], 1,
 IF(Table5[[#This Row],[Win% Against]] &lt; Table5[[#This Row],[Loss % Against]], -1, 0))), "")</f>
        <v>0</v>
      </c>
    </row>
    <row r="34" spans="1:8" x14ac:dyDescent="0.25">
      <c r="A34" s="3" t="s">
        <v>57</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56</v>
      </c>
      <c r="B35" s="19">
        <v>2</v>
      </c>
      <c r="C35" s="19">
        <v>2</v>
      </c>
      <c r="D35" s="19">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25">
      <c r="A36" s="3" t="s">
        <v>609</v>
      </c>
      <c r="B36" s="19">
        <v>2</v>
      </c>
      <c r="C36" s="19">
        <v>1</v>
      </c>
      <c r="D36" s="19">
        <v>0</v>
      </c>
      <c r="E36" s="4">
        <f t="shared" si="0"/>
        <v>0.5</v>
      </c>
      <c r="F36" s="4">
        <f t="shared" si="1"/>
        <v>0</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16</v>
      </c>
      <c r="B37" s="19">
        <v>2</v>
      </c>
      <c r="C37" s="19">
        <v>1</v>
      </c>
      <c r="D37" s="19">
        <v>0</v>
      </c>
      <c r="E37" s="4">
        <f t="shared" si="0"/>
        <v>0.5</v>
      </c>
      <c r="F37" s="4">
        <f t="shared" si="1"/>
        <v>0</v>
      </c>
      <c r="G37" s="4">
        <f>IFERROR(1-Table5[[#This Row],[Loss % Against]]-Table5[[#This Row],[Win% Against]],"")</f>
        <v>0.5</v>
      </c>
      <c r="H37" s="16">
        <f>IFERROR(IF(B37=0,"",
 IF(Table5[[#This Row],[Win% Against]] &gt; Table5[[#This Row],[Loss % Against]], 1,
 IF(Table5[[#This Row],[Win% Against]] &lt; Table5[[#This Row],[Loss % Against]], -1, 0))), "")</f>
        <v>1</v>
      </c>
    </row>
    <row r="38" spans="1:8" x14ac:dyDescent="0.25">
      <c r="A38" s="3" t="s">
        <v>567</v>
      </c>
      <c r="B38" s="19">
        <v>2</v>
      </c>
      <c r="C38" s="19">
        <v>1</v>
      </c>
      <c r="D38" s="19">
        <v>1</v>
      </c>
      <c r="E38" s="4">
        <f t="shared" si="0"/>
        <v>0.5</v>
      </c>
      <c r="F38" s="4">
        <f t="shared" si="1"/>
        <v>0.5</v>
      </c>
      <c r="G38" s="4">
        <f>IFERROR(1-Table5[[#This Row],[Loss % Against]]-Table5[[#This Row],[Win% Against]],"")</f>
        <v>0</v>
      </c>
      <c r="H38" s="16">
        <f>IFERROR(IF(B38=0,"",
 IF(Table5[[#This Row],[Win% Against]] &gt; Table5[[#This Row],[Loss % Against]], 1,
 IF(Table5[[#This Row],[Win% Against]] &lt; Table5[[#This Row],[Loss % Against]], -1, 0))), "")</f>
        <v>0</v>
      </c>
    </row>
    <row r="39" spans="1:8" x14ac:dyDescent="0.25">
      <c r="A39" s="3" t="s">
        <v>18</v>
      </c>
      <c r="B39" s="19">
        <v>2</v>
      </c>
      <c r="C39" s="19">
        <v>0</v>
      </c>
      <c r="D39" s="19">
        <v>0</v>
      </c>
      <c r="E39" s="4">
        <f t="shared" si="0"/>
        <v>0</v>
      </c>
      <c r="F39" s="4">
        <f t="shared" si="1"/>
        <v>0</v>
      </c>
      <c r="G39" s="4">
        <f>IFERROR(1-Table5[[#This Row],[Loss % Against]]-Table5[[#This Row],[Win% Against]],"")</f>
        <v>1</v>
      </c>
      <c r="H39" s="16">
        <f>IFERROR(IF(B39=0,"",
 IF(Table5[[#This Row],[Win% Against]] &gt; Table5[[#This Row],[Loss % Against]], 1,
 IF(Table5[[#This Row],[Win% Against]] &lt; Table5[[#This Row],[Loss % Against]], -1, 0))), "")</f>
        <v>0</v>
      </c>
    </row>
    <row r="40" spans="1:8" x14ac:dyDescent="0.2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25">
      <c r="A41" s="3" t="s">
        <v>21</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25">
      <c r="A42" s="3" t="s">
        <v>578</v>
      </c>
      <c r="B42" s="19">
        <v>2</v>
      </c>
      <c r="C42" s="19">
        <v>0</v>
      </c>
      <c r="D42" s="19">
        <v>1</v>
      </c>
      <c r="E42" s="4">
        <f t="shared" ref="E42:E53" si="2">IFERROR(C42/B42, "")</f>
        <v>0</v>
      </c>
      <c r="F42" s="4">
        <f t="shared" ref="F42:F53" si="3">IFERROR(D42/B42, "")</f>
        <v>0.5</v>
      </c>
      <c r="G42" s="4">
        <f>IFERROR(1-Table5[[#This Row],[Loss % Against]]-Table5[[#This Row],[Win% Against]],"")</f>
        <v>0.5</v>
      </c>
      <c r="H42" s="16">
        <f>IFERROR(IF(B42=0,"",
 IF(Table5[[#This Row],[Win% Against]] &gt; Table5[[#This Row],[Loss % Against]], 1,
 IF(Table5[[#This Row],[Win% Against]] &lt; Table5[[#This Row],[Loss % Against]], -1, 0))), "")</f>
        <v>-1</v>
      </c>
    </row>
    <row r="43" spans="1:8" x14ac:dyDescent="0.25">
      <c r="A43" s="3" t="s">
        <v>40</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25">
      <c r="A44" s="3" t="s">
        <v>478</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25">
      <c r="A45" s="3" t="s">
        <v>437</v>
      </c>
      <c r="B45" s="19">
        <v>1</v>
      </c>
      <c r="C45" s="19">
        <v>0</v>
      </c>
      <c r="D45" s="19">
        <v>0</v>
      </c>
      <c r="E45" s="4">
        <f t="shared" si="2"/>
        <v>0</v>
      </c>
      <c r="F45" s="4">
        <f t="shared" si="3"/>
        <v>0</v>
      </c>
      <c r="G45" s="4">
        <f>IFERROR(1-Table5[[#This Row],[Loss % Against]]-Table5[[#This Row],[Win% Against]],"")</f>
        <v>1</v>
      </c>
      <c r="H45" s="16">
        <f>IFERROR(IF(B45=0,"",
 IF(Table5[[#This Row],[Win% Against]] &gt; Table5[[#This Row],[Loss % Against]], 1,
 IF(Table5[[#This Row],[Win% Against]] &lt; Table5[[#This Row],[Loss % Against]], -1, 0))), "")</f>
        <v>0</v>
      </c>
    </row>
    <row r="46" spans="1:8" x14ac:dyDescent="0.25">
      <c r="A46" s="3" t="s">
        <v>579</v>
      </c>
      <c r="B46" s="19">
        <v>1</v>
      </c>
      <c r="C46" s="19">
        <v>0</v>
      </c>
      <c r="D46" s="19">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25">
      <c r="A47" s="3" t="s">
        <v>540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47</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25">
      <c r="A49" s="3" t="s">
        <v>434</v>
      </c>
      <c r="B49" s="19">
        <v>1</v>
      </c>
      <c r="C49" s="19">
        <v>0</v>
      </c>
      <c r="D49" s="19">
        <v>1</v>
      </c>
      <c r="E49" s="4">
        <f t="shared" si="2"/>
        <v>0</v>
      </c>
      <c r="F49" s="4">
        <f t="shared" si="3"/>
        <v>1</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622</v>
      </c>
      <c r="B50" s="19">
        <v>1</v>
      </c>
      <c r="C50" s="19">
        <v>1</v>
      </c>
      <c r="D50" s="19">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25">
      <c r="A51" s="3" t="s">
        <v>438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404</v>
      </c>
      <c r="B52" s="19">
        <v>1</v>
      </c>
      <c r="C52" s="19">
        <v>0</v>
      </c>
      <c r="D52" s="19">
        <v>0</v>
      </c>
      <c r="E52" s="4">
        <f t="shared" si="2"/>
        <v>0</v>
      </c>
      <c r="F52" s="4">
        <f t="shared" si="3"/>
        <v>0</v>
      </c>
      <c r="G52" s="4">
        <f>IFERROR(1-Table5[[#This Row],[Loss % Against]]-Table5[[#This Row],[Win% Against]],"")</f>
        <v>1</v>
      </c>
      <c r="H52" s="16">
        <f>IFERROR(IF(B52=0,"",
 IF(Table5[[#This Row],[Win% Against]] &gt; Table5[[#This Row],[Loss % Against]], 1,
 IF(Table5[[#This Row],[Win% Against]] &lt; Table5[[#This Row],[Loss % Against]], -1, 0))), "")</f>
        <v>0</v>
      </c>
    </row>
    <row r="53" spans="1:8" x14ac:dyDescent="0.25">
      <c r="A53" s="3" t="s">
        <v>55</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25">
      <c r="A54" s="3" t="s">
        <v>46</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25">
      <c r="A55" s="3" t="s">
        <v>53</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421</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590</v>
      </c>
      <c r="B57" s="19">
        <v>1</v>
      </c>
      <c r="C57" s="19">
        <v>0</v>
      </c>
      <c r="D57" s="19">
        <v>0</v>
      </c>
    </row>
    <row r="58" spans="1:8" x14ac:dyDescent="0.25">
      <c r="A58" s="3" t="s">
        <v>29</v>
      </c>
      <c r="B58" s="19">
        <v>1</v>
      </c>
      <c r="C58" s="19">
        <v>1</v>
      </c>
      <c r="D58" s="19">
        <v>0</v>
      </c>
    </row>
    <row r="59" spans="1:8" x14ac:dyDescent="0.25">
      <c r="A59" s="3" t="s">
        <v>683</v>
      </c>
      <c r="B59" s="19">
        <v>1</v>
      </c>
      <c r="C59" s="19">
        <v>1</v>
      </c>
      <c r="D59" s="19">
        <v>0</v>
      </c>
    </row>
    <row r="60" spans="1:8" x14ac:dyDescent="0.25">
      <c r="A60" s="3" t="s">
        <v>61</v>
      </c>
      <c r="B60" s="19">
        <v>1</v>
      </c>
      <c r="C60" s="19">
        <v>1</v>
      </c>
      <c r="D60" s="19">
        <v>0</v>
      </c>
    </row>
    <row r="61" spans="1:8" x14ac:dyDescent="0.25">
      <c r="A61" s="3" t="s">
        <v>365</v>
      </c>
      <c r="B61" s="19">
        <v>1</v>
      </c>
      <c r="C61" s="19">
        <v>0</v>
      </c>
      <c r="D61" s="19">
        <v>0</v>
      </c>
    </row>
    <row r="62" spans="1:8" x14ac:dyDescent="0.25">
      <c r="A62" s="3" t="s">
        <v>59</v>
      </c>
      <c r="B62" s="19">
        <v>1</v>
      </c>
      <c r="C62" s="19">
        <v>0</v>
      </c>
      <c r="D62" s="19">
        <v>0</v>
      </c>
    </row>
    <row r="63" spans="1:8" x14ac:dyDescent="0.25">
      <c r="A63" s="3" t="s">
        <v>322</v>
      </c>
      <c r="B63" s="19">
        <v>1</v>
      </c>
      <c r="C63" s="19">
        <v>0</v>
      </c>
      <c r="D63"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9"/>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10</v>
      </c>
      <c r="C6" s="19">
        <v>1</v>
      </c>
      <c r="D6" s="19">
        <v>3</v>
      </c>
    </row>
    <row r="7" spans="1:4" x14ac:dyDescent="0.25">
      <c r="A7" s="3" t="s">
        <v>19</v>
      </c>
      <c r="B7" s="19">
        <v>4</v>
      </c>
      <c r="C7" s="19">
        <v>3</v>
      </c>
      <c r="D7" s="19">
        <v>5</v>
      </c>
    </row>
    <row r="8" spans="1:4" x14ac:dyDescent="0.25">
      <c r="A8" s="3" t="s">
        <v>13</v>
      </c>
      <c r="B8" s="19">
        <v>8</v>
      </c>
      <c r="C8" s="19">
        <v>2</v>
      </c>
      <c r="D8" s="19">
        <v>4</v>
      </c>
    </row>
    <row r="9" spans="1:4" x14ac:dyDescent="0.25">
      <c r="A9" s="3" t="s">
        <v>10</v>
      </c>
      <c r="B9" s="19">
        <v>6</v>
      </c>
      <c r="C9" s="19"/>
      <c r="D9" s="19">
        <v>2</v>
      </c>
    </row>
    <row r="10" spans="1:4" x14ac:dyDescent="0.25">
      <c r="A10" s="3" t="s">
        <v>7</v>
      </c>
      <c r="B10" s="19">
        <v>7</v>
      </c>
      <c r="C10" s="19">
        <v>5</v>
      </c>
      <c r="D10" s="19">
        <v>2</v>
      </c>
    </row>
    <row r="11" spans="1:4" x14ac:dyDescent="0.25">
      <c r="A11" s="3" t="s">
        <v>20</v>
      </c>
      <c r="B11" s="19">
        <v>3</v>
      </c>
      <c r="C11" s="19">
        <v>1</v>
      </c>
      <c r="D11" s="19">
        <v>2</v>
      </c>
    </row>
    <row r="12" spans="1:4" x14ac:dyDescent="0.25">
      <c r="A12" s="3" t="s">
        <v>15</v>
      </c>
      <c r="B12" s="19">
        <v>4</v>
      </c>
      <c r="C12" s="19">
        <v>5</v>
      </c>
      <c r="D12" s="19">
        <v>3</v>
      </c>
    </row>
    <row r="13" spans="1:4" x14ac:dyDescent="0.25">
      <c r="A13" s="3" t="s">
        <v>11</v>
      </c>
      <c r="B13" s="19">
        <v>3</v>
      </c>
      <c r="C13" s="19">
        <v>2</v>
      </c>
      <c r="D13" s="19">
        <v>1</v>
      </c>
    </row>
    <row r="14" spans="1:4" x14ac:dyDescent="0.25">
      <c r="A14" s="3" t="s">
        <v>9</v>
      </c>
      <c r="B14" s="19">
        <v>5</v>
      </c>
      <c r="C14" s="19">
        <v>2</v>
      </c>
      <c r="D14" s="19">
        <v>5</v>
      </c>
    </row>
    <row r="15" spans="1:4" x14ac:dyDescent="0.25">
      <c r="A15" s="3" t="s">
        <v>17</v>
      </c>
      <c r="B15" s="19">
        <v>6</v>
      </c>
      <c r="C15" s="19">
        <v>2</v>
      </c>
      <c r="D15" s="19">
        <v>4</v>
      </c>
    </row>
    <row r="16" spans="1:4" x14ac:dyDescent="0.25">
      <c r="A16" s="3" t="s">
        <v>28</v>
      </c>
      <c r="B16" s="19"/>
      <c r="C16" s="19">
        <v>7</v>
      </c>
      <c r="D16" s="19">
        <v>5</v>
      </c>
    </row>
    <row r="17" spans="1:4" x14ac:dyDescent="0.25">
      <c r="A17" s="3" t="s">
        <v>27</v>
      </c>
      <c r="B17" s="19">
        <v>7</v>
      </c>
      <c r="C17" s="19">
        <v>2</v>
      </c>
      <c r="D17" s="19">
        <v>1</v>
      </c>
    </row>
    <row r="18" spans="1:4" x14ac:dyDescent="0.25">
      <c r="A18" s="3" t="s">
        <v>41</v>
      </c>
      <c r="B18" s="19">
        <v>7</v>
      </c>
      <c r="C18" s="19">
        <v>1</v>
      </c>
      <c r="D18" s="19"/>
    </row>
    <row r="19" spans="1:4" x14ac:dyDescent="0.25">
      <c r="A19" s="3" t="s">
        <v>51</v>
      </c>
      <c r="B19" s="19">
        <v>6</v>
      </c>
      <c r="C19" s="19"/>
      <c r="D19" s="19">
        <v>4</v>
      </c>
    </row>
    <row r="20" spans="1:4" x14ac:dyDescent="0.25">
      <c r="A20" s="3" t="s">
        <v>352</v>
      </c>
      <c r="B20" s="19">
        <v>5</v>
      </c>
      <c r="C20" s="19">
        <v>3</v>
      </c>
      <c r="D20" s="19">
        <v>2</v>
      </c>
    </row>
    <row r="21" spans="1:4" x14ac:dyDescent="0.25">
      <c r="A21" s="3" t="s">
        <v>325</v>
      </c>
      <c r="B21" s="19">
        <v>9</v>
      </c>
      <c r="C21" s="19">
        <v>3</v>
      </c>
      <c r="D21" s="19"/>
    </row>
    <row r="22" spans="1:4" x14ac:dyDescent="0.25">
      <c r="A22" s="3" t="s">
        <v>326</v>
      </c>
      <c r="B22" s="19">
        <v>2</v>
      </c>
      <c r="C22" s="19">
        <v>2</v>
      </c>
      <c r="D22" s="19">
        <v>2</v>
      </c>
    </row>
    <row r="23" spans="1:4" x14ac:dyDescent="0.25">
      <c r="A23" s="3" t="s">
        <v>351</v>
      </c>
      <c r="B23" s="19">
        <v>4</v>
      </c>
      <c r="C23" s="19">
        <v>1</v>
      </c>
      <c r="D23" s="19">
        <v>3</v>
      </c>
    </row>
    <row r="24" spans="1:4" x14ac:dyDescent="0.25">
      <c r="A24" s="3" t="s">
        <v>364</v>
      </c>
      <c r="B24" s="19"/>
      <c r="C24" s="19"/>
      <c r="D24" s="19">
        <v>2</v>
      </c>
    </row>
    <row r="25" spans="1:4" x14ac:dyDescent="0.25">
      <c r="A25" s="3" t="s">
        <v>404</v>
      </c>
      <c r="B25" s="19">
        <v>1</v>
      </c>
      <c r="C25" s="19"/>
      <c r="D25" s="19"/>
    </row>
    <row r="26" spans="1:4" x14ac:dyDescent="0.25">
      <c r="A26" s="3" t="s">
        <v>405</v>
      </c>
      <c r="B26" s="19">
        <v>3</v>
      </c>
      <c r="C26" s="19">
        <v>4</v>
      </c>
      <c r="D26" s="19">
        <v>3</v>
      </c>
    </row>
    <row r="27" spans="1:4" x14ac:dyDescent="0.25">
      <c r="A27" s="3" t="s">
        <v>435</v>
      </c>
      <c r="B27" s="19">
        <v>2</v>
      </c>
      <c r="C27" s="19"/>
      <c r="D27" s="19"/>
    </row>
    <row r="28" spans="1:4" x14ac:dyDescent="0.25">
      <c r="A28" s="3" t="s">
        <v>433</v>
      </c>
      <c r="B28" s="19">
        <v>6</v>
      </c>
      <c r="C28" s="19"/>
      <c r="D28" s="19">
        <v>2</v>
      </c>
    </row>
    <row r="29" spans="1:4" x14ac:dyDescent="0.25">
      <c r="A29" s="3" t="s">
        <v>438</v>
      </c>
      <c r="B29" s="19"/>
      <c r="C29" s="19">
        <v>1</v>
      </c>
      <c r="D29" s="19">
        <v>1</v>
      </c>
    </row>
    <row r="30" spans="1:4" x14ac:dyDescent="0.25">
      <c r="A30" s="3" t="s">
        <v>464</v>
      </c>
      <c r="B30" s="19"/>
      <c r="C30" s="19"/>
      <c r="D30" s="19">
        <v>2</v>
      </c>
    </row>
    <row r="31" spans="1:4" x14ac:dyDescent="0.25">
      <c r="A31" s="3" t="s">
        <v>519</v>
      </c>
      <c r="B31" s="19">
        <v>6</v>
      </c>
      <c r="C31" s="19">
        <v>1</v>
      </c>
      <c r="D31" s="19">
        <v>1</v>
      </c>
    </row>
    <row r="32" spans="1:4" x14ac:dyDescent="0.25">
      <c r="A32" s="3" t="s">
        <v>540</v>
      </c>
      <c r="B32" s="19">
        <v>4</v>
      </c>
      <c r="C32" s="19"/>
      <c r="D32" s="19">
        <v>2</v>
      </c>
    </row>
    <row r="33" spans="1:4" x14ac:dyDescent="0.25">
      <c r="A33" s="3" t="s">
        <v>567</v>
      </c>
      <c r="B33" s="19">
        <v>3</v>
      </c>
      <c r="C33" s="19"/>
      <c r="D33" s="19">
        <v>1</v>
      </c>
    </row>
    <row r="34" spans="1:4" x14ac:dyDescent="0.25">
      <c r="A34" s="3" t="s">
        <v>578</v>
      </c>
      <c r="B34" s="19">
        <v>6</v>
      </c>
      <c r="C34" s="19">
        <v>3</v>
      </c>
      <c r="D34" s="19">
        <v>3</v>
      </c>
    </row>
    <row r="35" spans="1:4" x14ac:dyDescent="0.25">
      <c r="A35" s="3" t="s">
        <v>605</v>
      </c>
      <c r="B35" s="19">
        <v>2</v>
      </c>
      <c r="C35" s="19"/>
      <c r="D35" s="19"/>
    </row>
    <row r="36" spans="1:4" x14ac:dyDescent="0.25">
      <c r="A36" s="3" t="s">
        <v>609</v>
      </c>
      <c r="B36" s="19">
        <v>4</v>
      </c>
      <c r="C36" s="19"/>
      <c r="D36" s="19">
        <v>2</v>
      </c>
    </row>
    <row r="37" spans="1:4" x14ac:dyDescent="0.25">
      <c r="A37" s="3" t="s">
        <v>622</v>
      </c>
      <c r="B37" s="19">
        <v>6</v>
      </c>
      <c r="C37" s="19">
        <v>2</v>
      </c>
      <c r="D37" s="19"/>
    </row>
    <row r="38" spans="1:4" x14ac:dyDescent="0.25">
      <c r="A38" s="3" t="s">
        <v>694</v>
      </c>
      <c r="B38" s="19">
        <v>2</v>
      </c>
      <c r="C38" s="19"/>
      <c r="D38" s="19"/>
    </row>
    <row r="39" spans="1:4" x14ac:dyDescent="0.25">
      <c r="A39" s="3" t="s">
        <v>24</v>
      </c>
      <c r="B39" s="19">
        <v>141</v>
      </c>
      <c r="C39" s="19">
        <v>53</v>
      </c>
      <c r="D39" s="19">
        <v>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021"/>
  <sheetViews>
    <sheetView topLeftCell="A1977" workbookViewId="0">
      <selection activeCell="P2000" sqref="P2000"/>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2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2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2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2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2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2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2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2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2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2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2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2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2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2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2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2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2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2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2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2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2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2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2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2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2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2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2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2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2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2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2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2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2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2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2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2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2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2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2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2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2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2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2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2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2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2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2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2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2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2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2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2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2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2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2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2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2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2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2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2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2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2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2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2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2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2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2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2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2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2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2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2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2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2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2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2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2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2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2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2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2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2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2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2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2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2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2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2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2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2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2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2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2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2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2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2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2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2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2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2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2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2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2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2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2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2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2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2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2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2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2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2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2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2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2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2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2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2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2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2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2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2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2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2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2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2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2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2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2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2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2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2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2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2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2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2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2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2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2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2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2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2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2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2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2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2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2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2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2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2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2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2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2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2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2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2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2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2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2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2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2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2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2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2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2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2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2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2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2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2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2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2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2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2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2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2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2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2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2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2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2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2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2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2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2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2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2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2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2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2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2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2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2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2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2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2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2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25">
      <c r="A1985" t="s">
        <v>352</v>
      </c>
      <c r="B1985" t="s">
        <v>6</v>
      </c>
      <c r="C1985">
        <v>1</v>
      </c>
      <c r="D1985">
        <v>1</v>
      </c>
      <c r="E1985">
        <v>1</v>
      </c>
      <c r="F1985" s="1">
        <v>46251</v>
      </c>
      <c r="G1985" s="11" t="str">
        <f>_xlfn.TEXTJOIN("|",TRUE,D1985,TEXT(INT(E1985),"yyyymmdd"),F1985)</f>
        <v>1|19000101|46251</v>
      </c>
      <c r="H1985" s="19">
        <f>COUNTIF(GameLog[Pod ID],GameLog[[#This Row],[Pod ID]])</f>
        <v>4</v>
      </c>
      <c r="I1985" s="19">
        <f>YEAR(GameLog[[#This Row],[Date]])</f>
        <v>2026</v>
      </c>
      <c r="J1985" s="19">
        <f>MONTH(GameLog[[#This Row],[Date]])</f>
        <v>8</v>
      </c>
      <c r="K1985" s="19" t="str">
        <f>IF(GameLog[[#This Row],[Date]]=MAX(GameLog[Date]),"Current","Previous")</f>
        <v>Current</v>
      </c>
    </row>
    <row r="1986" spans="1:11" x14ac:dyDescent="0.25">
      <c r="A1986" t="s">
        <v>578</v>
      </c>
      <c r="B1986" t="s">
        <v>8</v>
      </c>
      <c r="C1986">
        <v>2</v>
      </c>
      <c r="D1986">
        <v>1</v>
      </c>
      <c r="E1986">
        <v>1</v>
      </c>
      <c r="F1986" s="1">
        <v>46251</v>
      </c>
      <c r="G1986" s="11" t="str">
        <f>_xlfn.TEXTJOIN("|",TRUE,D1986,TEXT(INT(E1986),"yyyymmdd"),F1986)</f>
        <v>1|19000101|46251</v>
      </c>
      <c r="H1986" s="19">
        <f>COUNTIF(GameLog[Pod ID],GameLog[[#This Row],[Pod ID]])</f>
        <v>4</v>
      </c>
      <c r="I1986" s="19">
        <f>YEAR(GameLog[[#This Row],[Date]])</f>
        <v>2026</v>
      </c>
      <c r="J1986" s="19">
        <f>MONTH(GameLog[[#This Row],[Date]])</f>
        <v>8</v>
      </c>
      <c r="K1986" s="19" t="str">
        <f>IF(GameLog[[#This Row],[Date]]=MAX(GameLog[Date]),"Current","Previous")</f>
        <v>Current</v>
      </c>
    </row>
    <row r="1987" spans="1:11" x14ac:dyDescent="0.25">
      <c r="A1987" t="s">
        <v>694</v>
      </c>
      <c r="B1987" t="s">
        <v>6</v>
      </c>
      <c r="C1987">
        <v>3</v>
      </c>
      <c r="D1987">
        <v>1</v>
      </c>
      <c r="E1987">
        <v>1</v>
      </c>
      <c r="F1987" s="1">
        <v>46251</v>
      </c>
      <c r="G1987" s="11" t="str">
        <f>_xlfn.TEXTJOIN("|",TRUE,D1987,TEXT(INT(E1987),"yyyymmdd"),F1987)</f>
        <v>1|19000101|46251</v>
      </c>
      <c r="H1987" s="19">
        <f>COUNTIF(GameLog[Pod ID],GameLog[[#This Row],[Pod ID]])</f>
        <v>4</v>
      </c>
      <c r="I1987" s="19">
        <f>YEAR(GameLog[[#This Row],[Date]])</f>
        <v>2026</v>
      </c>
      <c r="J1987" s="19">
        <f>MONTH(GameLog[[#This Row],[Date]])</f>
        <v>8</v>
      </c>
      <c r="K1987" s="19" t="str">
        <f>IF(GameLog[[#This Row],[Date]]=MAX(GameLog[Date]),"Current","Previous")</f>
        <v>Current</v>
      </c>
    </row>
    <row r="1988" spans="1:11" x14ac:dyDescent="0.25">
      <c r="A1988" t="s">
        <v>9</v>
      </c>
      <c r="B1988" t="s">
        <v>6</v>
      </c>
      <c r="C1988">
        <v>4</v>
      </c>
      <c r="D1988">
        <v>1</v>
      </c>
      <c r="E1988">
        <v>1</v>
      </c>
      <c r="F1988" s="1">
        <v>46251</v>
      </c>
      <c r="G1988" s="11" t="str">
        <f>_xlfn.TEXTJOIN("|",TRUE,D1988,TEXT(INT(E1988),"yyyymmdd"),F1988)</f>
        <v>1|19000101|46251</v>
      </c>
      <c r="H1988" s="19">
        <f>COUNTIF(GameLog[Pod ID],GameLog[[#This Row],[Pod ID]])</f>
        <v>4</v>
      </c>
      <c r="I1988" s="19">
        <f>YEAR(GameLog[[#This Row],[Date]])</f>
        <v>2026</v>
      </c>
      <c r="J1988" s="19">
        <f>MONTH(GameLog[[#This Row],[Date]])</f>
        <v>8</v>
      </c>
      <c r="K1988" s="19" t="str">
        <f>IF(GameLog[[#This Row],[Date]]=MAX(GameLog[Date]),"Current","Previous")</f>
        <v>Current</v>
      </c>
    </row>
    <row r="1989" spans="1:11" x14ac:dyDescent="0.25">
      <c r="A1989" t="s">
        <v>19</v>
      </c>
      <c r="B1989" t="s">
        <v>63</v>
      </c>
      <c r="C1989">
        <v>1</v>
      </c>
      <c r="D1989">
        <v>2</v>
      </c>
      <c r="E1989">
        <v>1</v>
      </c>
      <c r="F1989" s="1">
        <v>46251</v>
      </c>
      <c r="G1989" s="11" t="str">
        <f>_xlfn.TEXTJOIN("|",TRUE,D1989,TEXT(INT(E1989),"yyyymmdd"),F1989)</f>
        <v>2|19000101|46251</v>
      </c>
      <c r="H1989" s="19">
        <f>COUNTIF(GameLog[Pod ID],GameLog[[#This Row],[Pod ID]])</f>
        <v>4</v>
      </c>
      <c r="I1989" s="19">
        <f>YEAR(GameLog[[#This Row],[Date]])</f>
        <v>2026</v>
      </c>
      <c r="J1989" s="19">
        <f>MONTH(GameLog[[#This Row],[Date]])</f>
        <v>8</v>
      </c>
      <c r="K1989" s="19" t="str">
        <f>IF(GameLog[[#This Row],[Date]]=MAX(GameLog[Date]),"Current","Previous")</f>
        <v>Current</v>
      </c>
    </row>
    <row r="1990" spans="1:11" x14ac:dyDescent="0.25">
      <c r="A1990" t="s">
        <v>540</v>
      </c>
      <c r="B1990" t="s">
        <v>63</v>
      </c>
      <c r="C1990">
        <v>2</v>
      </c>
      <c r="D1990">
        <v>2</v>
      </c>
      <c r="E1990">
        <v>1</v>
      </c>
      <c r="F1990" s="1">
        <v>46251</v>
      </c>
      <c r="G1990" s="11" t="str">
        <f>_xlfn.TEXTJOIN("|",TRUE,D1990,TEXT(INT(E1990),"yyyymmdd"),F1990)</f>
        <v>2|19000101|46251</v>
      </c>
      <c r="H1990" s="19">
        <f>COUNTIF(GameLog[Pod ID],GameLog[[#This Row],[Pod ID]])</f>
        <v>4</v>
      </c>
      <c r="I1990" s="19">
        <f>YEAR(GameLog[[#This Row],[Date]])</f>
        <v>2026</v>
      </c>
      <c r="J1990" s="19">
        <f>MONTH(GameLog[[#This Row],[Date]])</f>
        <v>8</v>
      </c>
      <c r="K1990" s="19" t="str">
        <f>IF(GameLog[[#This Row],[Date]]=MAX(GameLog[Date]),"Current","Previous")</f>
        <v>Current</v>
      </c>
    </row>
    <row r="1991" spans="1:11" x14ac:dyDescent="0.25">
      <c r="A1991" t="s">
        <v>10</v>
      </c>
      <c r="B1991" t="s">
        <v>63</v>
      </c>
      <c r="C1991">
        <v>3</v>
      </c>
      <c r="D1991">
        <v>2</v>
      </c>
      <c r="E1991">
        <v>1</v>
      </c>
      <c r="F1991" s="1">
        <v>46251</v>
      </c>
      <c r="G1991" s="11" t="str">
        <f>_xlfn.TEXTJOIN("|",TRUE,D1991,TEXT(INT(E1991),"yyyymmdd"),F1991)</f>
        <v>2|19000101|46251</v>
      </c>
      <c r="H1991" s="19">
        <f>COUNTIF(GameLog[Pod ID],GameLog[[#This Row],[Pod ID]])</f>
        <v>4</v>
      </c>
      <c r="I1991" s="19">
        <f>YEAR(GameLog[[#This Row],[Date]])</f>
        <v>2026</v>
      </c>
      <c r="J1991" s="19">
        <f>MONTH(GameLog[[#This Row],[Date]])</f>
        <v>8</v>
      </c>
      <c r="K1991" s="19" t="str">
        <f>IF(GameLog[[#This Row],[Date]]=MAX(GameLog[Date]),"Current","Previous")</f>
        <v>Current</v>
      </c>
    </row>
    <row r="1992" spans="1:11" x14ac:dyDescent="0.25">
      <c r="A1992" t="s">
        <v>326</v>
      </c>
      <c r="B1992" t="s">
        <v>63</v>
      </c>
      <c r="C1992">
        <v>4</v>
      </c>
      <c r="D1992">
        <v>2</v>
      </c>
      <c r="E1992">
        <v>1</v>
      </c>
      <c r="F1992" s="1">
        <v>46251</v>
      </c>
      <c r="G1992" s="11" t="str">
        <f>_xlfn.TEXTJOIN("|",TRUE,D1992,TEXT(INT(E1992),"yyyymmdd"),F1992)</f>
        <v>2|19000101|46251</v>
      </c>
      <c r="H1992" s="19">
        <f>COUNTIF(GameLog[Pod ID],GameLog[[#This Row],[Pod ID]])</f>
        <v>4</v>
      </c>
      <c r="I1992" s="19">
        <f>YEAR(GameLog[[#This Row],[Date]])</f>
        <v>2026</v>
      </c>
      <c r="J1992" s="19">
        <f>MONTH(GameLog[[#This Row],[Date]])</f>
        <v>8</v>
      </c>
      <c r="K1992" s="19" t="str">
        <f>IF(GameLog[[#This Row],[Date]]=MAX(GameLog[Date]),"Current","Previous")</f>
        <v>Current</v>
      </c>
    </row>
    <row r="1993" spans="1:11" x14ac:dyDescent="0.25">
      <c r="A1993" t="s">
        <v>15</v>
      </c>
      <c r="B1993" t="s">
        <v>63</v>
      </c>
      <c r="C1993">
        <v>1</v>
      </c>
      <c r="D1993">
        <v>3</v>
      </c>
      <c r="E1993">
        <v>1</v>
      </c>
      <c r="F1993" s="1">
        <v>46251</v>
      </c>
      <c r="G1993" s="11" t="str">
        <f>_xlfn.TEXTJOIN("|",TRUE,D1993,TEXT(INT(E1993),"yyyymmdd"),F1993)</f>
        <v>3|19000101|46251</v>
      </c>
      <c r="H1993" s="19">
        <f>COUNTIF(GameLog[Pod ID],GameLog[[#This Row],[Pod ID]])</f>
        <v>4</v>
      </c>
      <c r="I1993" s="19">
        <f>YEAR(GameLog[[#This Row],[Date]])</f>
        <v>2026</v>
      </c>
      <c r="J1993" s="19">
        <f>MONTH(GameLog[[#This Row],[Date]])</f>
        <v>8</v>
      </c>
      <c r="K1993" s="19" t="str">
        <f>IF(GameLog[[#This Row],[Date]]=MAX(GameLog[Date]),"Current","Previous")</f>
        <v>Current</v>
      </c>
    </row>
    <row r="1994" spans="1:11" x14ac:dyDescent="0.25">
      <c r="A1994" t="s">
        <v>28</v>
      </c>
      <c r="B1994" t="s">
        <v>63</v>
      </c>
      <c r="C1994">
        <v>2</v>
      </c>
      <c r="D1994">
        <v>3</v>
      </c>
      <c r="E1994">
        <v>1</v>
      </c>
      <c r="F1994" s="1">
        <v>46251</v>
      </c>
      <c r="G1994" s="11" t="str">
        <f>_xlfn.TEXTJOIN("|",TRUE,D1994,TEXT(INT(E1994),"yyyymmdd"),F1994)</f>
        <v>3|19000101|46251</v>
      </c>
      <c r="H1994" s="19">
        <f>COUNTIF(GameLog[Pod ID],GameLog[[#This Row],[Pod ID]])</f>
        <v>4</v>
      </c>
      <c r="I1994" s="19">
        <f>YEAR(GameLog[[#This Row],[Date]])</f>
        <v>2026</v>
      </c>
      <c r="J1994" s="19">
        <f>MONTH(GameLog[[#This Row],[Date]])</f>
        <v>8</v>
      </c>
      <c r="K1994" s="19" t="str">
        <f>IF(GameLog[[#This Row],[Date]]=MAX(GameLog[Date]),"Current","Previous")</f>
        <v>Current</v>
      </c>
    </row>
    <row r="1995" spans="1:11" x14ac:dyDescent="0.25">
      <c r="A1995" t="s">
        <v>7</v>
      </c>
      <c r="B1995" t="s">
        <v>63</v>
      </c>
      <c r="C1995">
        <v>3</v>
      </c>
      <c r="D1995">
        <v>3</v>
      </c>
      <c r="E1995">
        <v>1</v>
      </c>
      <c r="F1995" s="1">
        <v>46251</v>
      </c>
      <c r="G1995" s="11" t="str">
        <f>_xlfn.TEXTJOIN("|",TRUE,D1995,TEXT(INT(E1995),"yyyymmdd"),F1995)</f>
        <v>3|19000101|46251</v>
      </c>
      <c r="H1995" s="19">
        <f>COUNTIF(GameLog[Pod ID],GameLog[[#This Row],[Pod ID]])</f>
        <v>4</v>
      </c>
      <c r="I1995" s="19">
        <f>YEAR(GameLog[[#This Row],[Date]])</f>
        <v>2026</v>
      </c>
      <c r="J1995" s="19">
        <f>MONTH(GameLog[[#This Row],[Date]])</f>
        <v>8</v>
      </c>
      <c r="K1995" s="19" t="str">
        <f>IF(GameLog[[#This Row],[Date]]=MAX(GameLog[Date]),"Current","Previous")</f>
        <v>Current</v>
      </c>
    </row>
    <row r="1996" spans="1:11" x14ac:dyDescent="0.25">
      <c r="A1996" t="s">
        <v>433</v>
      </c>
      <c r="B1996" t="s">
        <v>63</v>
      </c>
      <c r="C1996">
        <v>4</v>
      </c>
      <c r="D1996">
        <v>3</v>
      </c>
      <c r="E1996">
        <v>1</v>
      </c>
      <c r="F1996" s="1">
        <v>46251</v>
      </c>
      <c r="G1996" s="11" t="str">
        <f>_xlfn.TEXTJOIN("|",TRUE,D1996,TEXT(INT(E1996),"yyyymmdd"),F1996)</f>
        <v>3|19000101|46251</v>
      </c>
      <c r="H1996" s="19">
        <f>COUNTIF(GameLog[Pod ID],GameLog[[#This Row],[Pod ID]])</f>
        <v>4</v>
      </c>
      <c r="I1996" s="19">
        <f>YEAR(GameLog[[#This Row],[Date]])</f>
        <v>2026</v>
      </c>
      <c r="J1996" s="19">
        <f>MONTH(GameLog[[#This Row],[Date]])</f>
        <v>8</v>
      </c>
      <c r="K1996" s="19" t="str">
        <f>IF(GameLog[[#This Row],[Date]]=MAX(GameLog[Date]),"Current","Previous")</f>
        <v>Current</v>
      </c>
    </row>
    <row r="1997" spans="1:11" x14ac:dyDescent="0.25">
      <c r="A1997" t="s">
        <v>11</v>
      </c>
      <c r="B1997" t="s">
        <v>6</v>
      </c>
      <c r="C1997">
        <v>1</v>
      </c>
      <c r="D1997">
        <v>4</v>
      </c>
      <c r="E1997">
        <v>1</v>
      </c>
      <c r="F1997" s="1">
        <v>46251</v>
      </c>
      <c r="G1997" s="11" t="str">
        <f>_xlfn.TEXTJOIN("|",TRUE,D1997,TEXT(INT(E1997),"yyyymmdd"),F1997)</f>
        <v>4|19000101|46251</v>
      </c>
      <c r="H1997" s="19">
        <f>COUNTIF(GameLog[Pod ID],GameLog[[#This Row],[Pod ID]])</f>
        <v>4</v>
      </c>
      <c r="I1997" s="19">
        <f>YEAR(GameLog[[#This Row],[Date]])</f>
        <v>2026</v>
      </c>
      <c r="J1997" s="19">
        <f>MONTH(GameLog[[#This Row],[Date]])</f>
        <v>8</v>
      </c>
      <c r="K1997" s="19" t="str">
        <f>IF(GameLog[[#This Row],[Date]]=MAX(GameLog[Date]),"Current","Previous")</f>
        <v>Current</v>
      </c>
    </row>
    <row r="1998" spans="1:11" x14ac:dyDescent="0.25">
      <c r="A1998" t="s">
        <v>404</v>
      </c>
      <c r="B1998" t="s">
        <v>6</v>
      </c>
      <c r="C1998">
        <v>2</v>
      </c>
      <c r="D1998">
        <v>4</v>
      </c>
      <c r="E1998">
        <v>1</v>
      </c>
      <c r="F1998" s="1">
        <v>46251</v>
      </c>
      <c r="G1998" s="11" t="str">
        <f>_xlfn.TEXTJOIN("|",TRUE,D1998,TEXT(INT(E1998),"yyyymmdd"),F1998)</f>
        <v>4|19000101|46251</v>
      </c>
      <c r="H1998" s="19">
        <f>COUNTIF(GameLog[Pod ID],GameLog[[#This Row],[Pod ID]])</f>
        <v>4</v>
      </c>
      <c r="I1998" s="19">
        <f>YEAR(GameLog[[#This Row],[Date]])</f>
        <v>2026</v>
      </c>
      <c r="J1998" s="19">
        <f>MONTH(GameLog[[#This Row],[Date]])</f>
        <v>8</v>
      </c>
      <c r="K1998" s="19" t="str">
        <f>IF(GameLog[[#This Row],[Date]]=MAX(GameLog[Date]),"Current","Previous")</f>
        <v>Current</v>
      </c>
    </row>
    <row r="1999" spans="1:11" x14ac:dyDescent="0.25">
      <c r="A1999" t="s">
        <v>27</v>
      </c>
      <c r="B1999" t="s">
        <v>8</v>
      </c>
      <c r="C1999">
        <v>3</v>
      </c>
      <c r="D1999">
        <v>4</v>
      </c>
      <c r="E1999">
        <v>1</v>
      </c>
      <c r="F1999" s="1">
        <v>46251</v>
      </c>
      <c r="G1999" s="11" t="str">
        <f>_xlfn.TEXTJOIN("|",TRUE,D1999,TEXT(INT(E1999),"yyyymmdd"),F1999)</f>
        <v>4|19000101|46251</v>
      </c>
      <c r="H1999" s="19">
        <f>COUNTIF(GameLog[Pod ID],GameLog[[#This Row],[Pod ID]])</f>
        <v>4</v>
      </c>
      <c r="I1999" s="19">
        <f>YEAR(GameLog[[#This Row],[Date]])</f>
        <v>2026</v>
      </c>
      <c r="J1999" s="19">
        <f>MONTH(GameLog[[#This Row],[Date]])</f>
        <v>8</v>
      </c>
      <c r="K1999" s="19" t="str">
        <f>IF(GameLog[[#This Row],[Date]]=MAX(GameLog[Date]),"Current","Previous")</f>
        <v>Current</v>
      </c>
    </row>
    <row r="2000" spans="1:11" x14ac:dyDescent="0.25">
      <c r="A2000" t="s">
        <v>14</v>
      </c>
      <c r="B2000" t="s">
        <v>6</v>
      </c>
      <c r="C2000">
        <v>4</v>
      </c>
      <c r="D2000">
        <v>4</v>
      </c>
      <c r="E2000">
        <v>1</v>
      </c>
      <c r="F2000" s="1">
        <v>46251</v>
      </c>
      <c r="G2000" s="11" t="str">
        <f>_xlfn.TEXTJOIN("|",TRUE,D2000,TEXT(INT(E2000),"yyyymmdd"),F2000)</f>
        <v>4|19000101|46251</v>
      </c>
      <c r="H2000" s="19">
        <f>COUNTIF(GameLog[Pod ID],GameLog[[#This Row],[Pod ID]])</f>
        <v>4</v>
      </c>
      <c r="I2000" s="19">
        <f>YEAR(GameLog[[#This Row],[Date]])</f>
        <v>2026</v>
      </c>
      <c r="J2000" s="19">
        <f>MONTH(GameLog[[#This Row],[Date]])</f>
        <v>8</v>
      </c>
      <c r="K2000" s="19" t="str">
        <f>IF(GameLog[[#This Row],[Date]]=MAX(GameLog[Date]),"Current","Previous")</f>
        <v>Current</v>
      </c>
    </row>
    <row r="2001" spans="1:11" x14ac:dyDescent="0.25">
      <c r="A2001" t="s">
        <v>405</v>
      </c>
      <c r="B2001" t="s">
        <v>8</v>
      </c>
      <c r="C2001">
        <v>1</v>
      </c>
      <c r="D2001">
        <v>5</v>
      </c>
      <c r="E2001">
        <v>1</v>
      </c>
      <c r="F2001" s="1">
        <v>46251</v>
      </c>
      <c r="G2001" s="11" t="str">
        <f>_xlfn.TEXTJOIN("|",TRUE,D2001,TEXT(INT(E2001),"yyyymmdd"),F2001)</f>
        <v>5|19000101|46251</v>
      </c>
      <c r="H2001" s="19">
        <f>COUNTIF(GameLog[Pod ID],GameLog[[#This Row],[Pod ID]])</f>
        <v>3</v>
      </c>
      <c r="I2001" s="19">
        <f>YEAR(GameLog[[#This Row],[Date]])</f>
        <v>2026</v>
      </c>
      <c r="J2001" s="19">
        <f>MONTH(GameLog[[#This Row],[Date]])</f>
        <v>8</v>
      </c>
      <c r="K2001" s="19" t="str">
        <f>IF(GameLog[[#This Row],[Date]]=MAX(GameLog[Date]),"Current","Previous")</f>
        <v>Current</v>
      </c>
    </row>
    <row r="2002" spans="1:11" x14ac:dyDescent="0.25">
      <c r="A2002" t="s">
        <v>13</v>
      </c>
      <c r="B2002" t="s">
        <v>6</v>
      </c>
      <c r="C2002">
        <v>2</v>
      </c>
      <c r="D2002">
        <v>5</v>
      </c>
      <c r="E2002">
        <v>1</v>
      </c>
      <c r="F2002" s="1">
        <v>46251</v>
      </c>
      <c r="G2002" s="11" t="str">
        <f>_xlfn.TEXTJOIN("|",TRUE,D2002,TEXT(INT(E2002),"yyyymmdd"),F2002)</f>
        <v>5|19000101|46251</v>
      </c>
      <c r="H2002" s="19">
        <f>COUNTIF(GameLog[Pod ID],GameLog[[#This Row],[Pod ID]])</f>
        <v>3</v>
      </c>
      <c r="I2002" s="19">
        <f>YEAR(GameLog[[#This Row],[Date]])</f>
        <v>2026</v>
      </c>
      <c r="J2002" s="19">
        <f>MONTH(GameLog[[#This Row],[Date]])</f>
        <v>8</v>
      </c>
      <c r="K2002" s="19" t="str">
        <f>IF(GameLog[[#This Row],[Date]]=MAX(GameLog[Date]),"Current","Previous")</f>
        <v>Current</v>
      </c>
    </row>
    <row r="2003" spans="1:11" x14ac:dyDescent="0.25">
      <c r="A2003" t="s">
        <v>622</v>
      </c>
      <c r="B2003" t="s">
        <v>6</v>
      </c>
      <c r="C2003">
        <v>3</v>
      </c>
      <c r="D2003">
        <v>5</v>
      </c>
      <c r="E2003">
        <v>1</v>
      </c>
      <c r="F2003" s="1">
        <v>46251</v>
      </c>
      <c r="G2003" s="11" t="str">
        <f>_xlfn.TEXTJOIN("|",TRUE,D2003,TEXT(INT(E2003),"yyyymmdd"),F2003)</f>
        <v>5|19000101|46251</v>
      </c>
      <c r="H2003" s="19">
        <f>COUNTIF(GameLog[Pod ID],GameLog[[#This Row],[Pod ID]])</f>
        <v>3</v>
      </c>
      <c r="I2003" s="19">
        <f>YEAR(GameLog[[#This Row],[Date]])</f>
        <v>2026</v>
      </c>
      <c r="J2003" s="19">
        <f>MONTH(GameLog[[#This Row],[Date]])</f>
        <v>8</v>
      </c>
      <c r="K2003" s="19" t="str">
        <f>IF(GameLog[[#This Row],[Date]]=MAX(GameLog[Date]),"Current","Previous")</f>
        <v>Current</v>
      </c>
    </row>
    <row r="2004" spans="1:11" x14ac:dyDescent="0.25">
      <c r="A2004" t="s">
        <v>7</v>
      </c>
      <c r="B2004" t="s">
        <v>8</v>
      </c>
      <c r="C2004">
        <v>1</v>
      </c>
      <c r="D2004">
        <v>1</v>
      </c>
      <c r="E2004">
        <v>2</v>
      </c>
      <c r="F2004" s="1">
        <v>46251</v>
      </c>
      <c r="G2004" s="11" t="str">
        <f>_xlfn.TEXTJOIN("|",TRUE,D2004,TEXT(INT(E2004),"yyyymmdd"),F2004)</f>
        <v>1|19000102|46251</v>
      </c>
      <c r="H2004" s="19">
        <f>COUNTIF(GameLog[Pod ID],GameLog[[#This Row],[Pod ID]])</f>
        <v>3</v>
      </c>
      <c r="I2004" s="19">
        <f>YEAR(GameLog[[#This Row],[Date]])</f>
        <v>2026</v>
      </c>
      <c r="J2004" s="19">
        <f>MONTH(GameLog[[#This Row],[Date]])</f>
        <v>8</v>
      </c>
      <c r="K2004" s="19" t="str">
        <f>IF(GameLog[[#This Row],[Date]]=MAX(GameLog[Date]),"Current","Previous")</f>
        <v>Current</v>
      </c>
    </row>
    <row r="2005" spans="1:11" x14ac:dyDescent="0.25">
      <c r="A2005" t="s">
        <v>9</v>
      </c>
      <c r="B2005" t="s">
        <v>6</v>
      </c>
      <c r="C2005">
        <v>2</v>
      </c>
      <c r="D2005">
        <v>1</v>
      </c>
      <c r="E2005">
        <v>2</v>
      </c>
      <c r="F2005" s="1">
        <v>46251</v>
      </c>
      <c r="G2005" s="11" t="str">
        <f>_xlfn.TEXTJOIN("|",TRUE,D2005,TEXT(INT(E2005),"yyyymmdd"),F2005)</f>
        <v>1|19000102|46251</v>
      </c>
      <c r="H2005" s="19">
        <f>COUNTIF(GameLog[Pod ID],GameLog[[#This Row],[Pod ID]])</f>
        <v>3</v>
      </c>
      <c r="I2005" s="19">
        <f>YEAR(GameLog[[#This Row],[Date]])</f>
        <v>2026</v>
      </c>
      <c r="J2005" s="19">
        <f>MONTH(GameLog[[#This Row],[Date]])</f>
        <v>8</v>
      </c>
      <c r="K2005" s="19" t="str">
        <f>IF(GameLog[[#This Row],[Date]]=MAX(GameLog[Date]),"Current","Previous")</f>
        <v>Current</v>
      </c>
    </row>
    <row r="2006" spans="1:11" x14ac:dyDescent="0.25">
      <c r="A2006" t="s">
        <v>694</v>
      </c>
      <c r="B2006" t="s">
        <v>6</v>
      </c>
      <c r="C2006">
        <v>3</v>
      </c>
      <c r="D2006">
        <v>1</v>
      </c>
      <c r="E2006">
        <v>2</v>
      </c>
      <c r="F2006" s="1">
        <v>46251</v>
      </c>
      <c r="G2006" s="11" t="str">
        <f>_xlfn.TEXTJOIN("|",TRUE,D2006,TEXT(INT(E2006),"yyyymmdd"),F2006)</f>
        <v>1|19000102|46251</v>
      </c>
      <c r="H2006" s="19">
        <f>COUNTIF(GameLog[Pod ID],GameLog[[#This Row],[Pod ID]])</f>
        <v>3</v>
      </c>
      <c r="I2006" s="19">
        <f>YEAR(GameLog[[#This Row],[Date]])</f>
        <v>2026</v>
      </c>
      <c r="J2006" s="19">
        <f>MONTH(GameLog[[#This Row],[Date]])</f>
        <v>8</v>
      </c>
      <c r="K2006" s="19" t="str">
        <f>IF(GameLog[[#This Row],[Date]]=MAX(GameLog[Date]),"Current","Previous")</f>
        <v>Current</v>
      </c>
    </row>
    <row r="2007" spans="1:11" x14ac:dyDescent="0.25">
      <c r="A2007" t="s">
        <v>27</v>
      </c>
      <c r="B2007" t="s">
        <v>6</v>
      </c>
      <c r="C2007">
        <v>1</v>
      </c>
      <c r="D2007">
        <v>2</v>
      </c>
      <c r="E2007">
        <v>2</v>
      </c>
      <c r="F2007" s="1">
        <v>46251</v>
      </c>
      <c r="G2007" s="11" t="str">
        <f>_xlfn.TEXTJOIN("|",TRUE,D2007,TEXT(INT(E2007),"yyyymmdd"),F2007)</f>
        <v>2|19000102|46251</v>
      </c>
      <c r="H2007" s="19">
        <f>COUNTIF(GameLog[Pod ID],GameLog[[#This Row],[Pod ID]])</f>
        <v>4</v>
      </c>
      <c r="I2007" s="19">
        <f>YEAR(GameLog[[#This Row],[Date]])</f>
        <v>2026</v>
      </c>
      <c r="J2007" s="19">
        <f>MONTH(GameLog[[#This Row],[Date]])</f>
        <v>8</v>
      </c>
      <c r="K2007" s="19" t="str">
        <f>IF(GameLog[[#This Row],[Date]]=MAX(GameLog[Date]),"Current","Previous")</f>
        <v>Current</v>
      </c>
    </row>
    <row r="2008" spans="1:11" x14ac:dyDescent="0.25">
      <c r="A2008" t="s">
        <v>622</v>
      </c>
      <c r="B2008" t="s">
        <v>6</v>
      </c>
      <c r="C2008">
        <v>2</v>
      </c>
      <c r="D2008">
        <v>2</v>
      </c>
      <c r="E2008">
        <v>2</v>
      </c>
      <c r="F2008" s="1">
        <v>46251</v>
      </c>
      <c r="G2008" s="11" t="str">
        <f>_xlfn.TEXTJOIN("|",TRUE,D2008,TEXT(INT(E2008),"yyyymmdd"),F2008)</f>
        <v>2|19000102|46251</v>
      </c>
      <c r="H2008" s="19">
        <f>COUNTIF(GameLog[Pod ID],GameLog[[#This Row],[Pod ID]])</f>
        <v>4</v>
      </c>
      <c r="I2008" s="19">
        <f>YEAR(GameLog[[#This Row],[Date]])</f>
        <v>2026</v>
      </c>
      <c r="J2008" s="19">
        <f>MONTH(GameLog[[#This Row],[Date]])</f>
        <v>8</v>
      </c>
      <c r="K2008" s="19" t="str">
        <f>IF(GameLog[[#This Row],[Date]]=MAX(GameLog[Date]),"Current","Previous")</f>
        <v>Current</v>
      </c>
    </row>
    <row r="2009" spans="1:11" x14ac:dyDescent="0.25">
      <c r="A2009" t="s">
        <v>578</v>
      </c>
      <c r="B2009" t="s">
        <v>8</v>
      </c>
      <c r="C2009">
        <v>3</v>
      </c>
      <c r="D2009">
        <v>2</v>
      </c>
      <c r="E2009">
        <v>2</v>
      </c>
      <c r="F2009" s="1">
        <v>46251</v>
      </c>
      <c r="G2009" s="11" t="str">
        <f>_xlfn.TEXTJOIN("|",TRUE,D2009,TEXT(INT(E2009),"yyyymmdd"),F2009)</f>
        <v>2|19000102|46251</v>
      </c>
      <c r="H2009" s="19">
        <f>COUNTIF(GameLog[Pod ID],GameLog[[#This Row],[Pod ID]])</f>
        <v>4</v>
      </c>
      <c r="I2009" s="19">
        <f>YEAR(GameLog[[#This Row],[Date]])</f>
        <v>2026</v>
      </c>
      <c r="J2009" s="19">
        <f>MONTH(GameLog[[#This Row],[Date]])</f>
        <v>8</v>
      </c>
      <c r="K2009" s="19" t="str">
        <f>IF(GameLog[[#This Row],[Date]]=MAX(GameLog[Date]),"Current","Previous")</f>
        <v>Current</v>
      </c>
    </row>
    <row r="2010" spans="1:11" x14ac:dyDescent="0.25">
      <c r="A2010" t="s">
        <v>19</v>
      </c>
      <c r="B2010" t="s">
        <v>6</v>
      </c>
      <c r="C2010">
        <v>4</v>
      </c>
      <c r="D2010">
        <v>2</v>
      </c>
      <c r="E2010">
        <v>2</v>
      </c>
      <c r="F2010" s="1">
        <v>46251</v>
      </c>
      <c r="G2010" s="11" t="str">
        <f>_xlfn.TEXTJOIN("|",TRUE,D2010,TEXT(INT(E2010),"yyyymmdd"),F2010)</f>
        <v>2|19000102|46251</v>
      </c>
      <c r="H2010" s="19">
        <f>COUNTIF(GameLog[Pod ID],GameLog[[#This Row],[Pod ID]])</f>
        <v>4</v>
      </c>
      <c r="I2010" s="19">
        <f>YEAR(GameLog[[#This Row],[Date]])</f>
        <v>2026</v>
      </c>
      <c r="J2010" s="19">
        <f>MONTH(GameLog[[#This Row],[Date]])</f>
        <v>8</v>
      </c>
      <c r="K2010" s="19" t="str">
        <f>IF(GameLog[[#This Row],[Date]]=MAX(GameLog[Date]),"Current","Previous")</f>
        <v>Current</v>
      </c>
    </row>
    <row r="2011" spans="1:11" x14ac:dyDescent="0.25">
      <c r="A2011" t="s">
        <v>352</v>
      </c>
      <c r="B2011" t="s">
        <v>6</v>
      </c>
      <c r="C2011">
        <v>1</v>
      </c>
      <c r="D2011">
        <v>3</v>
      </c>
      <c r="E2011">
        <v>2</v>
      </c>
      <c r="F2011" s="1">
        <v>46251</v>
      </c>
      <c r="G2011" s="11" t="str">
        <f>_xlfn.TEXTJOIN("|",TRUE,D2011,TEXT(INT(E2011),"yyyymmdd"),F2011)</f>
        <v>3|19000102|46251</v>
      </c>
      <c r="H2011" s="19">
        <f>COUNTIF(GameLog[Pod ID],GameLog[[#This Row],[Pod ID]])</f>
        <v>4</v>
      </c>
      <c r="I2011" s="19">
        <f>YEAR(GameLog[[#This Row],[Date]])</f>
        <v>2026</v>
      </c>
      <c r="J2011" s="19">
        <f>MONTH(GameLog[[#This Row],[Date]])</f>
        <v>8</v>
      </c>
      <c r="K2011" s="19" t="str">
        <f>IF(GameLog[[#This Row],[Date]]=MAX(GameLog[Date]),"Current","Previous")</f>
        <v>Current</v>
      </c>
    </row>
    <row r="2012" spans="1:11" x14ac:dyDescent="0.25">
      <c r="A2012" t="s">
        <v>14</v>
      </c>
      <c r="B2012" t="s">
        <v>6</v>
      </c>
      <c r="C2012">
        <v>2</v>
      </c>
      <c r="D2012">
        <v>3</v>
      </c>
      <c r="E2012">
        <v>2</v>
      </c>
      <c r="F2012" s="1">
        <v>46251</v>
      </c>
      <c r="G2012" s="11" t="str">
        <f>_xlfn.TEXTJOIN("|",TRUE,D2012,TEXT(INT(E2012),"yyyymmdd"),F2012)</f>
        <v>3|19000102|46251</v>
      </c>
      <c r="H2012" s="19">
        <f>COUNTIF(GameLog[Pod ID],GameLog[[#This Row],[Pod ID]])</f>
        <v>4</v>
      </c>
      <c r="I2012" s="19">
        <f>YEAR(GameLog[[#This Row],[Date]])</f>
        <v>2026</v>
      </c>
      <c r="J2012" s="19">
        <f>MONTH(GameLog[[#This Row],[Date]])</f>
        <v>8</v>
      </c>
      <c r="K2012" s="19" t="str">
        <f>IF(GameLog[[#This Row],[Date]]=MAX(GameLog[Date]),"Current","Previous")</f>
        <v>Current</v>
      </c>
    </row>
    <row r="2013" spans="1:11" x14ac:dyDescent="0.25">
      <c r="A2013" t="s">
        <v>13</v>
      </c>
      <c r="B2013" t="s">
        <v>6</v>
      </c>
      <c r="C2013">
        <v>3</v>
      </c>
      <c r="D2013">
        <v>3</v>
      </c>
      <c r="E2013">
        <v>2</v>
      </c>
      <c r="F2013" s="1">
        <v>46251</v>
      </c>
      <c r="G2013" s="11" t="str">
        <f>_xlfn.TEXTJOIN("|",TRUE,D2013,TEXT(INT(E2013),"yyyymmdd"),F2013)</f>
        <v>3|19000102|46251</v>
      </c>
      <c r="H2013" s="19">
        <f>COUNTIF(GameLog[Pod ID],GameLog[[#This Row],[Pod ID]])</f>
        <v>4</v>
      </c>
      <c r="I2013" s="19">
        <f>YEAR(GameLog[[#This Row],[Date]])</f>
        <v>2026</v>
      </c>
      <c r="J2013" s="19">
        <f>MONTH(GameLog[[#This Row],[Date]])</f>
        <v>8</v>
      </c>
      <c r="K2013" s="19" t="str">
        <f>IF(GameLog[[#This Row],[Date]]=MAX(GameLog[Date]),"Current","Previous")</f>
        <v>Current</v>
      </c>
    </row>
    <row r="2014" spans="1:11" x14ac:dyDescent="0.25">
      <c r="A2014" t="s">
        <v>405</v>
      </c>
      <c r="B2014" t="s">
        <v>8</v>
      </c>
      <c r="C2014">
        <v>4</v>
      </c>
      <c r="D2014">
        <v>3</v>
      </c>
      <c r="E2014">
        <v>2</v>
      </c>
      <c r="F2014" s="1">
        <v>46251</v>
      </c>
      <c r="G2014" s="11" t="str">
        <f>_xlfn.TEXTJOIN("|",TRUE,D2014,TEXT(INT(E2014),"yyyymmdd"),F2014)</f>
        <v>3|19000102|46251</v>
      </c>
      <c r="H2014" s="19">
        <f>COUNTIF(GameLog[Pod ID],GameLog[[#This Row],[Pod ID]])</f>
        <v>4</v>
      </c>
      <c r="I2014" s="19">
        <f>YEAR(GameLog[[#This Row],[Date]])</f>
        <v>2026</v>
      </c>
      <c r="J2014" s="19">
        <f>MONTH(GameLog[[#This Row],[Date]])</f>
        <v>8</v>
      </c>
      <c r="K2014" s="19" t="str">
        <f>IF(GameLog[[#This Row],[Date]]=MAX(GameLog[Date]),"Current","Previous")</f>
        <v>Current</v>
      </c>
    </row>
    <row r="2015" spans="1:11" x14ac:dyDescent="0.25">
      <c r="A2015" t="s">
        <v>15</v>
      </c>
      <c r="B2015" t="s">
        <v>6</v>
      </c>
      <c r="C2015">
        <v>1</v>
      </c>
      <c r="D2015">
        <v>4</v>
      </c>
      <c r="E2015">
        <v>2</v>
      </c>
      <c r="F2015" s="1">
        <v>46251</v>
      </c>
      <c r="G2015" s="11" t="str">
        <f>_xlfn.TEXTJOIN("|",TRUE,D2015,TEXT(INT(E2015),"yyyymmdd"),F2015)</f>
        <v>4|19000102|46251</v>
      </c>
      <c r="H2015" s="19">
        <f>COUNTIF(GameLog[Pod ID],GameLog[[#This Row],[Pod ID]])</f>
        <v>4</v>
      </c>
      <c r="I2015" s="19">
        <f>YEAR(GameLog[[#This Row],[Date]])</f>
        <v>2026</v>
      </c>
      <c r="J2015" s="19">
        <f>MONTH(GameLog[[#This Row],[Date]])</f>
        <v>8</v>
      </c>
      <c r="K2015" s="19" t="str">
        <f>IF(GameLog[[#This Row],[Date]]=MAX(GameLog[Date]),"Current","Previous")</f>
        <v>Current</v>
      </c>
    </row>
    <row r="2016" spans="1:11" x14ac:dyDescent="0.25">
      <c r="A2016" t="s">
        <v>11</v>
      </c>
      <c r="B2016" t="s">
        <v>6</v>
      </c>
      <c r="C2016">
        <v>2</v>
      </c>
      <c r="D2016">
        <v>4</v>
      </c>
      <c r="E2016">
        <v>2</v>
      </c>
      <c r="F2016" s="1">
        <v>46251</v>
      </c>
      <c r="G2016" s="11" t="str">
        <f>_xlfn.TEXTJOIN("|",TRUE,D2016,TEXT(INT(E2016),"yyyymmdd"),F2016)</f>
        <v>4|19000102|46251</v>
      </c>
      <c r="H2016" s="19">
        <f>COUNTIF(GameLog[Pod ID],GameLog[[#This Row],[Pod ID]])</f>
        <v>4</v>
      </c>
      <c r="I2016" s="19">
        <f>YEAR(GameLog[[#This Row],[Date]])</f>
        <v>2026</v>
      </c>
      <c r="J2016" s="19">
        <f>MONTH(GameLog[[#This Row],[Date]])</f>
        <v>8</v>
      </c>
      <c r="K2016" s="19" t="str">
        <f>IF(GameLog[[#This Row],[Date]]=MAX(GameLog[Date]),"Current","Previous")</f>
        <v>Current</v>
      </c>
    </row>
    <row r="2017" spans="1:11" x14ac:dyDescent="0.25">
      <c r="A2017" t="s">
        <v>540</v>
      </c>
      <c r="B2017" t="s">
        <v>6</v>
      </c>
      <c r="C2017">
        <v>3</v>
      </c>
      <c r="D2017">
        <v>4</v>
      </c>
      <c r="E2017">
        <v>2</v>
      </c>
      <c r="F2017" s="1">
        <v>46251</v>
      </c>
      <c r="G2017" s="11" t="str">
        <f>_xlfn.TEXTJOIN("|",TRUE,D2017,TEXT(INT(E2017),"yyyymmdd"),F2017)</f>
        <v>4|19000102|46251</v>
      </c>
      <c r="H2017" s="19">
        <f>COUNTIF(GameLog[Pod ID],GameLog[[#This Row],[Pod ID]])</f>
        <v>4</v>
      </c>
      <c r="I2017" s="19">
        <f>YEAR(GameLog[[#This Row],[Date]])</f>
        <v>2026</v>
      </c>
      <c r="J2017" s="19">
        <f>MONTH(GameLog[[#This Row],[Date]])</f>
        <v>8</v>
      </c>
      <c r="K2017" s="19" t="str">
        <f>IF(GameLog[[#This Row],[Date]]=MAX(GameLog[Date]),"Current","Previous")</f>
        <v>Current</v>
      </c>
    </row>
    <row r="2018" spans="1:11" x14ac:dyDescent="0.25">
      <c r="A2018" t="s">
        <v>326</v>
      </c>
      <c r="B2018" t="s">
        <v>8</v>
      </c>
      <c r="C2018">
        <v>4</v>
      </c>
      <c r="D2018">
        <v>4</v>
      </c>
      <c r="E2018">
        <v>2</v>
      </c>
      <c r="F2018" s="1">
        <v>46251</v>
      </c>
      <c r="G2018" s="11" t="str">
        <f>_xlfn.TEXTJOIN("|",TRUE,D2018,TEXT(INT(E2018),"yyyymmdd"),F2018)</f>
        <v>4|19000102|46251</v>
      </c>
      <c r="H2018" s="19">
        <f>COUNTIF(GameLog[Pod ID],GameLog[[#This Row],[Pod ID]])</f>
        <v>4</v>
      </c>
      <c r="I2018" s="19">
        <f>YEAR(GameLog[[#This Row],[Date]])</f>
        <v>2026</v>
      </c>
      <c r="J2018" s="19">
        <f>MONTH(GameLog[[#This Row],[Date]])</f>
        <v>8</v>
      </c>
      <c r="K2018" s="19" t="str">
        <f>IF(GameLog[[#This Row],[Date]]=MAX(GameLog[Date]),"Current","Previous")</f>
        <v>Current</v>
      </c>
    </row>
    <row r="2019" spans="1:11" x14ac:dyDescent="0.25">
      <c r="A2019" t="s">
        <v>10</v>
      </c>
      <c r="B2019" t="s">
        <v>6</v>
      </c>
      <c r="C2019">
        <v>1</v>
      </c>
      <c r="D2019">
        <v>5</v>
      </c>
      <c r="E2019">
        <v>2</v>
      </c>
      <c r="F2019" s="1">
        <v>46251</v>
      </c>
      <c r="G2019" s="11" t="str">
        <f>_xlfn.TEXTJOIN("|",TRUE,D2019,TEXT(INT(E2019),"yyyymmdd"),F2019)</f>
        <v>5|19000102|46251</v>
      </c>
      <c r="H2019" s="19">
        <f>COUNTIF(GameLog[Pod ID],GameLog[[#This Row],[Pod ID]])</f>
        <v>3</v>
      </c>
      <c r="I2019" s="19">
        <f>YEAR(GameLog[[#This Row],[Date]])</f>
        <v>2026</v>
      </c>
      <c r="J2019" s="19">
        <f>MONTH(GameLog[[#This Row],[Date]])</f>
        <v>8</v>
      </c>
      <c r="K2019" s="19" t="str">
        <f>IF(GameLog[[#This Row],[Date]]=MAX(GameLog[Date]),"Current","Previous")</f>
        <v>Current</v>
      </c>
    </row>
    <row r="2020" spans="1:11" x14ac:dyDescent="0.25">
      <c r="A2020" t="s">
        <v>433</v>
      </c>
      <c r="B2020" t="s">
        <v>6</v>
      </c>
      <c r="C2020">
        <v>2</v>
      </c>
      <c r="D2020">
        <v>5</v>
      </c>
      <c r="E2020">
        <v>2</v>
      </c>
      <c r="F2020" s="1">
        <v>46251</v>
      </c>
      <c r="G2020" s="11" t="str">
        <f>_xlfn.TEXTJOIN("|",TRUE,D2020,TEXT(INT(E2020),"yyyymmdd"),F2020)</f>
        <v>5|19000102|46251</v>
      </c>
      <c r="H2020" s="19">
        <f>COUNTIF(GameLog[Pod ID],GameLog[[#This Row],[Pod ID]])</f>
        <v>3</v>
      </c>
      <c r="I2020" s="19">
        <f>YEAR(GameLog[[#This Row],[Date]])</f>
        <v>2026</v>
      </c>
      <c r="J2020" s="19">
        <f>MONTH(GameLog[[#This Row],[Date]])</f>
        <v>8</v>
      </c>
      <c r="K2020" s="19" t="str">
        <f>IF(GameLog[[#This Row],[Date]]=MAX(GameLog[Date]),"Current","Previous")</f>
        <v>Current</v>
      </c>
    </row>
    <row r="2021" spans="1:11" x14ac:dyDescent="0.25">
      <c r="A2021" t="s">
        <v>28</v>
      </c>
      <c r="B2021" t="s">
        <v>8</v>
      </c>
      <c r="C2021">
        <v>3</v>
      </c>
      <c r="D2021">
        <v>5</v>
      </c>
      <c r="E2021">
        <v>2</v>
      </c>
      <c r="F2021" s="1">
        <v>46251</v>
      </c>
      <c r="G2021" s="11" t="str">
        <f>_xlfn.TEXTJOIN("|",TRUE,D2021,TEXT(INT(E2021),"yyyymmdd"),F2021)</f>
        <v>5|19000102|46251</v>
      </c>
      <c r="H2021" s="19">
        <f>COUNTIF(GameLog[Pod ID],GameLog[[#This Row],[Pod ID]])</f>
        <v>3</v>
      </c>
      <c r="I2021" s="19">
        <f>YEAR(GameLog[[#This Row],[Date]])</f>
        <v>2026</v>
      </c>
      <c r="J2021" s="19">
        <f>MONTH(GameLog[[#This Row],[Date]])</f>
        <v>8</v>
      </c>
      <c r="K2021"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779"/>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2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2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2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2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2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2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2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2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2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2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2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2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2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2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2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2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2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2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2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2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2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2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2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2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2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2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2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2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2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2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2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2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2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2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2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2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2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2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2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2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2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2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2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2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2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2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2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2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2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2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2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2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2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2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2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2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2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2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2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2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2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2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2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2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2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2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2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2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2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2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2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2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2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2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2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2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2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2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2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2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2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2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2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2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2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2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2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2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2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2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2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2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2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2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2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2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2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2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2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2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2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2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2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2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2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2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2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2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2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2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2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2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2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2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2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2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2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2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2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2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2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2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2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2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2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2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2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2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2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2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2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2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2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2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2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2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2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2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2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2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2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2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2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2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2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2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2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2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2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2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2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2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2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2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2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2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2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2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2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2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2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2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2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2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2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2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2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2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2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2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2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2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2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2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2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2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2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2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2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2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2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2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2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2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2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2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2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2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2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2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2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2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2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2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2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2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2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2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2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2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2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2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2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2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2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2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2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2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2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2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2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2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2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2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2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2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2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2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2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2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2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2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2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2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2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2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2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2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2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2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2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2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2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2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2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2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2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2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2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2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2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2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2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2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2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2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2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2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2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2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2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2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2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2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2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2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2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2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2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2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2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2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2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2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2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2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2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2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2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2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2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2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2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2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2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2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2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2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2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2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2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2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2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2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2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2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2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2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2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2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2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2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2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2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2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2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2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2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2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2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2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2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2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2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2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2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2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2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2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2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2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2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2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2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2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2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2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2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2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2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2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2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2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2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2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2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2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2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2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2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2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2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2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2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2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2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2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2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2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2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2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2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2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2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2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2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2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2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2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2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2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2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2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2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2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2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2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2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2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2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2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2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2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2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2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2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2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2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2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2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2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2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2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2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2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2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2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2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2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2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2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2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2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2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2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2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2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2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2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2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2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2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2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2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2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2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2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2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2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2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2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2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2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2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2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2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2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2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2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2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2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2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2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2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2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2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2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2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2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2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2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2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2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2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2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2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2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2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2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2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2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2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2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2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2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2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2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2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2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2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2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2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2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2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2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2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2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2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2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2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2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2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2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2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2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2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2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2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2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2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2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2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2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2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2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2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2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2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2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2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2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2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2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2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2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2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2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2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2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2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2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2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2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2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2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2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2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2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2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2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2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2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2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2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2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2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2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2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2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2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2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2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2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2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2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2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2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2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2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2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2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2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2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2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2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2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2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2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2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2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2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2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2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2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2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2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2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2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2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2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2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2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2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2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2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2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2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2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2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2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2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2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2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2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2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2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2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2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2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2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2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2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2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2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2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2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2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2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2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2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2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2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2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2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2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2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2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2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2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2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2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2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2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2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2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2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2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2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2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2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2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2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2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2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2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2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2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2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2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2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2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2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2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2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2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2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2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2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2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2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2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2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2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2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2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2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2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2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2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2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2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2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2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2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2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2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2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2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2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2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2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2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2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2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2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2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2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2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2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2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2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2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2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2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2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2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2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2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2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2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2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2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2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2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2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2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2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2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2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2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2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2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2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2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2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2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2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2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2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2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2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2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2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2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2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2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2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2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2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2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2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2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2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2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2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2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2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2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2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2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2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2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2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2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2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2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2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2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2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2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2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2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2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2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2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2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2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2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2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2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2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2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2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2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2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2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2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2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2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2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2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2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2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2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2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2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2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2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2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2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2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2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2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2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2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2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2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2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2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2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2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2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2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2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2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2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2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2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2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2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2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2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2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2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2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2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2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2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2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2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2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2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2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2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2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2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2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2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2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2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2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2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2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2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2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2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2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2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2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2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2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2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2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2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2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2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2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2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2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2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2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2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2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2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2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2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2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2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2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2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2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2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2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2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2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2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2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2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2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2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2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2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2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2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2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2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2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2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2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2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2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2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2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2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2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2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2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2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2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2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2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2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2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2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2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2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2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2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2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2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2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2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2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2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2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2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2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2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2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2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2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2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2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2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2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2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2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2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2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2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2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2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2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2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2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2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2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2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2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2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2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2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2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2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2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2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2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2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2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2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2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2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2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2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2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2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2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2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2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2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2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2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2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2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2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2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2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2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2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2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2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2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2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2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2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2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2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2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2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2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2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2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2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2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2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2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2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2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2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2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2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2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2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2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2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2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2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2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2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2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2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2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2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2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2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2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2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2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2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2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2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2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2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2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2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2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2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2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2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2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2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2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2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2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2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2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2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2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2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2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2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2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2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2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2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2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2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2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2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2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2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2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2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2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2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2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2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2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2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2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2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2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2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2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2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2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2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2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2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2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2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2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2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2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2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2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2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2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2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2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2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2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2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2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2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2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2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2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2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2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2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2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2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2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2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2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2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2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2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2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2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2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2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2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2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2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2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2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2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2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2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2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2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2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2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2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2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2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2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2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2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2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2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2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2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2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2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2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2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2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2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2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2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2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2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2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2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2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2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2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2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2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2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2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2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2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2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2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2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2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2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2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2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2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2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2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2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2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2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2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2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2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2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2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2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2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2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2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2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2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2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2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2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2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2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2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2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2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2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2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2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2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2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2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2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2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2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2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2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2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2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2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2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2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2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2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2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2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2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2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2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2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2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2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2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2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2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2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2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2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2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2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2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2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2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2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2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2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2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2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2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2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2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2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2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2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2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2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2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2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2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2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2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2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2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2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2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2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2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2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2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2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2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2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2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2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2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2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2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2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2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2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2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2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2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2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2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2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2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2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2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2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2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2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2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2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2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2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2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2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2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2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2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2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2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2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2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2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2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2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2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2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2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2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2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2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2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2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2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2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2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2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2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2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2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2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2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2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2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2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2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2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2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2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2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2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2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2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2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2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2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2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2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2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2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2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2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2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2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2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2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2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2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2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2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2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2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2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2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2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2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2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2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2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2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2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2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2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2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2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2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2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2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2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2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2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2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2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2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2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2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2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2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2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2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2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2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2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2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2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2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2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2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2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2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2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2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2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2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2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2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2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2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2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2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2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2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2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2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2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2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2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2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2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2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2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2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2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2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2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2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2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2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2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2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2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2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2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2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2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2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2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2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2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2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2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2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2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2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2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2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2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2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2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2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2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2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2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2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2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2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2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2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2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2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2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2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2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2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2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2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2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2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2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2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2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2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2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2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2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2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2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2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2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2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2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2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2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2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2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2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2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2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2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2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2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2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2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2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2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2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2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2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2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2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2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2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2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2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2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2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2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2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2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2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2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2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2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2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2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2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2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2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2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2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2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2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2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2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2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2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2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2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2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2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2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2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2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2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2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2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2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2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2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2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2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2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2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2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2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2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2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2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2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2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2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2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2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2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2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2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2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2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2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2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2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2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2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2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2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2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2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2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2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2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2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2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2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2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2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2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2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2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2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2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2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2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2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2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2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2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2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2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2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2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2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2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2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2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2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2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2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2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2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2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2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2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2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2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2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2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2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2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2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2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2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2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2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2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2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2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2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2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2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2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2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2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2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2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2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2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2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2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2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2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2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2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2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2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2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2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2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2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2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2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2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2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2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2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2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2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2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2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2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2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2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2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2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2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2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2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2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2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2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2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2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2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2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2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2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2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2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2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2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2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2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2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2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2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2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2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2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2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2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2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2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2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2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2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2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2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2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2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2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2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2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2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2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2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2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2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2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2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2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2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2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2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2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2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2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2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2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2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2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2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2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2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2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2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2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2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2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2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2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2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2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2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2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2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2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2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2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2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2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2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2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2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2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2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2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2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2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2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2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2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2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2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2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2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2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2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2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2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2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2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2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2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2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2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2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2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2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2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2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2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2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2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2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2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2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2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2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2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2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2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2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2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2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2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2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2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2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2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2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2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2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2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2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2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2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2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2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2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2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2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2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2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2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2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2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2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2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2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2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2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2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2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2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2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2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2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2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2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2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2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2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2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2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2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2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2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2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2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2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2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2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2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2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2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2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2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2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2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2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2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2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2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2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2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2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2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2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2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2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2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2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2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2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2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2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2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2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2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2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2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2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2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2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2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2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2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2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2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2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2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2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2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2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2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2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2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2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2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2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2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2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2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2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2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2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2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2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2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2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2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2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2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2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2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2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2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2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2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2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2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2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2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2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2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2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2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2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2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2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2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2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2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2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2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2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2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2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2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2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2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2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2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2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2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2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2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2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2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2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2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2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2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2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2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2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2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2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2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2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2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2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2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2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2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2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2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2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2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2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2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2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2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2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2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2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2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2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2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2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2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2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2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2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2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2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2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2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2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2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2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2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2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2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2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2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2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2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2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2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2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2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2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2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2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2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2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2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2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2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2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2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2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2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2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2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2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2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2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2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2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2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2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2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2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2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2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2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2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2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2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2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2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2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2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2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2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2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2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2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2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2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2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2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2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2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2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2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2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2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2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2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2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2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2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2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2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2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2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2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2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2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2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2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2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2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2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2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2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2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2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2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2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2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2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2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2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2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2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2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2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2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2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2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2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2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2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2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2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2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2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2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2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2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2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2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2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2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2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2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2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2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2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2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2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2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2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2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2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2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2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2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2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2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2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2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2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2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2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2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2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2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2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2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2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2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2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2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2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2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2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2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2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2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2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2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2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2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2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2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2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2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2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2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2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2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2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2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2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2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2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2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2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2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2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2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2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2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2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2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2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2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2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2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2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2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2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2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2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2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2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2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2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2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2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2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2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2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2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2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2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2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2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2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2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2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2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2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2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2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2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2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2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2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2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2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2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2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2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2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2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2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2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2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2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2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2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2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2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2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2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2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2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2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2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2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2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2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2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2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2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2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2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2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2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2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2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2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2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2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2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2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2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2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2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2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2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2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2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2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2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2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2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2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2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2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2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2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2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2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2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2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2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2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2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2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2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2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2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2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2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2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2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2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2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2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2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2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2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2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2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2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2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2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2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2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2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2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2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2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2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2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2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2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2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2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2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2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2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2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2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2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2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2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2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2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2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2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2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2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2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2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2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2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2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2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2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2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2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2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2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2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2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2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2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2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2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2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2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2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2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2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2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2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2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2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2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2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2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2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2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2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2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2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2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2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2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2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2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2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2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2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2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2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2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2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2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2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2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2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2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2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2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2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2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2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2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2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2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2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2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2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2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2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2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2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2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2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2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2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2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2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2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2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2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2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2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2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2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2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2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2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2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2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2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2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2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2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2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2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2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2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2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2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2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2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2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2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2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2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2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2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2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2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2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2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2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2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2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2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2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2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2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2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2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2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2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2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2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2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2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2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2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2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2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2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2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2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2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2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2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2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2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2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2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2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2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2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2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2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2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2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2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2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2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2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2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2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2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2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2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2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2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2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2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2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2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2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2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2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2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2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2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2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2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2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2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2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2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2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2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2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2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2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2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2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2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2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2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2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2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2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2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2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2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2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2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2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2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2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2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2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2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2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2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2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2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2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2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2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2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2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2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2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2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2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2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2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2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2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2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2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2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2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2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2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2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2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2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2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2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2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2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2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2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2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2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2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2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2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2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2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2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2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2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2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2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2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2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2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2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2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2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2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2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2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2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2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2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2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2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2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2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2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2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2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2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2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2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2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2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2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2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2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2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2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2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2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2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2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2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2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2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2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2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2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2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2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2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2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2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2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2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2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2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2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2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2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2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2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2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2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2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2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2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2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2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2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2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2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2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2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2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2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2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2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2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2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2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2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2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2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2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2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2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2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2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2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2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2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2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2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2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2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2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2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2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2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2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2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2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2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2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2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2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2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2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2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2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2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2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2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2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2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2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2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2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2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2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2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2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2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2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2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2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2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2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2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2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2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2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2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2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2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2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2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2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2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2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2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2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2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2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2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2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2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2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2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2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2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2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2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2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2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2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2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2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2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2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2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2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2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2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2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2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2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2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2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2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2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2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2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2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2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2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2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2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2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2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2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2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2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2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2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2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2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2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2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2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2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2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2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2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2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2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2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2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2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2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2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2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2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2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2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2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2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2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2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2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2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2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2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2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2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2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2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2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2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2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2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2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2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2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2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2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2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2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2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2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2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2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2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2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2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2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2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2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2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2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2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2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2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2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2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2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2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2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2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2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2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2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2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2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2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2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2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2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2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2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2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2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2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2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2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2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2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2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2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2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2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2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2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2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2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2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2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2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2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2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2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2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2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2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2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2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2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2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2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2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2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2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2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2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2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2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2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2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2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2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2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2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2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2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2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2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2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2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2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2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2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2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2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2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2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2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2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2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2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2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2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2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2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2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2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2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2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2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2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2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2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2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2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2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2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2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2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2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2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2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2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2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2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2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2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2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2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2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2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2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2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2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2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2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2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2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2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2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2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2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2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2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2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2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2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2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2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2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2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2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2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2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2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2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2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2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2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2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2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2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2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2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2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2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2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2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2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2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2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2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2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2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2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2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2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2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2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2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2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2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2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2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2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2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2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2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2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2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2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2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2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2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2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2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2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2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2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2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2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2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2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2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2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2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2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2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2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2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2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2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2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2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2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2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2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2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2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2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2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2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2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2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2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2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2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2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2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2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2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2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2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2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2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2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2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2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2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2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2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2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2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2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2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2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2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2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2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2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2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2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2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2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2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2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2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2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2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2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2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2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2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2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2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2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2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2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2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2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2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2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2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2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2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2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2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2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2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2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2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2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2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2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2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2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2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2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2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2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2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2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2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2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2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2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2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2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2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2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2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2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2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2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2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2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2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2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2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2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2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2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2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2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2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2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2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2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2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2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2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2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2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2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2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2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2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2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2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2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2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2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2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2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2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2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2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2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2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2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2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2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2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2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2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2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2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2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2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2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2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2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2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2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2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2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2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2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2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2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2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2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2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2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2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2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2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2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2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2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2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2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2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2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2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2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2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2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2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2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2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2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2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2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2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2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2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2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2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2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2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2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2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2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2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2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2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2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2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2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2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2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2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2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2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2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2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2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2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2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2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2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2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2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2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2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2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2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2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2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2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2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2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2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2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2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2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2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2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2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2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2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2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2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2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2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2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2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2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2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2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2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2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2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2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2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2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2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2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2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2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2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2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2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2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2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2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2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2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2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2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2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2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2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2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2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2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2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2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2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2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2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2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2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2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2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2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2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2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2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2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2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2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2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2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2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2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2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2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2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2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2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2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2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2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2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2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2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2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2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2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2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2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2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2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2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2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2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2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2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2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2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2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2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2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2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2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2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2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2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2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2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2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2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2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2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2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2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2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2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2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2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2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2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2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2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2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2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2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2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2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2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2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2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2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2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2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2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2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2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2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2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2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2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2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2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2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2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2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2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2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2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2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2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2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2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2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2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2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2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2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2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2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2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2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2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2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2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2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2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2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2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2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2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2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2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2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2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2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2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2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2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2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2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2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2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2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2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2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2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2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2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2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2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2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2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2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2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2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2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2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2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2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2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2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2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2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2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2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2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2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2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2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2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2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2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2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2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2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2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2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2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2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2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2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2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2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2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2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2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2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2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2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2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2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2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2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2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2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2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2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2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2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2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2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2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2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2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2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2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2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2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2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2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2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2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2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2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2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2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2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2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2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2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2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2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2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2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2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2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2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2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2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2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2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2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2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2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2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2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2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2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2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2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2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2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2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2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2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2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2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2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2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2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2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2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2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2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2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2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2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2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2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2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2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2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2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2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2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2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2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2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2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2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2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2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2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2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2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2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2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2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2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2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2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2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2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2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2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2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2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2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2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2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2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2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2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2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2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2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2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2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2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2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2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2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2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2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2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2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2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2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2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2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2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2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2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2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2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2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2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2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2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2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2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2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2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2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2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2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2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2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2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2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2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2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2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2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2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2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2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2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2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2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2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2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2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2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2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2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2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2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2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2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2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2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2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2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2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2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2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2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2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2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2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2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2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2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2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2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2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2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2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2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2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2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2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2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2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2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2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2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2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2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2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2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2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2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2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2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2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2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2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2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2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2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2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2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2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2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2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2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2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2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2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2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2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2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2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2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2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2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2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2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2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2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2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2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2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2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2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2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2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2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2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2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2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2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2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2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2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2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2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2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2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2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2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2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2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2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2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2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2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2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2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2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2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2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2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2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2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2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2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2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2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2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2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2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2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2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2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2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2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2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2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2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2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2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2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2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2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2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2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2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2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2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2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2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2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2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2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2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2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2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2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2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2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2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2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2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2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2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2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2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2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2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2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2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2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2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2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2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2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2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2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2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2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2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2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2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2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2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2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2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2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2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2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2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2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2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2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2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2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2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2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2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2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2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2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2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2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2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2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2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2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2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2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2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2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2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2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2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2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2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2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2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2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2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2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2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2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2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2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2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2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2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2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2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2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2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2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2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2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2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2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2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2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2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2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2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2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2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2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2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2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2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2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2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2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2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2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2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2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2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2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2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2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2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2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2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2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2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2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2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2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2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2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2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2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2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2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2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2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2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2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2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2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2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2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2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2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2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2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2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2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2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2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2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2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2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2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2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2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2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2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2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2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2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2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2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2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2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2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2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2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2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2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2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2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2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2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2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2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2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2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2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2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2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2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2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2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2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2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2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2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2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2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2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2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2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2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2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2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2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2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2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2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2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2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2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2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2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2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2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2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2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2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2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2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2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2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2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2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2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2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2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2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2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2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2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2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2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2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2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2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2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2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2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2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2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2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2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2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2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2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2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2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2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2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2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2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2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2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2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2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2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2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2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2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2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2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2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2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2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2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2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2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2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2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2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2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2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2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2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2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2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2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2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2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2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2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2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2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2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2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2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2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2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2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2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2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2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2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2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2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2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2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2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2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2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2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2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2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2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2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2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2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2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2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2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2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2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2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2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2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2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2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2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2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2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2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2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2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2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2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2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2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2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2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2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2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2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2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2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2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2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2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2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2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2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2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2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2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2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2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2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2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2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2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2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2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2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2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2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2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2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2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2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2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2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2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2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2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2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2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2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2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2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2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2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2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2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2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2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2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2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2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2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2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2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2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2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2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2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2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2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2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2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2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2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2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2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2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2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2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2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2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2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2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2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2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2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2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2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2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2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2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2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2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2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2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2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2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2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2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2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2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2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2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2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2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2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2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2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2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2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2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2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2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2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2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2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2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2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2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2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2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2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2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2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2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2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2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2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2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2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2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2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2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2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2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2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2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2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2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2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2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2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2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2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2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2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2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2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2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2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2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2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2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2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2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2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2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2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2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2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2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2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2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2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2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2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2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2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2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2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2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2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2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2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2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2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2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2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2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2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2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2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2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2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2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2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2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2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2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2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2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2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2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2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2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2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2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2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2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2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2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2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2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2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2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2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2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2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2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2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2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2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2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2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2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2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2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2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2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2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2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2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2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2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2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2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2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2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2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2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2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2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2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2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2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2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2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2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2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2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2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2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2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2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2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2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2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2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2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2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2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2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2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2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2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2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2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2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2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2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2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2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2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2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2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2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2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2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2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2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2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2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2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2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2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2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2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2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2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2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2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2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2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2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2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2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2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2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2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2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2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2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2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2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2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2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2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2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2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2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2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2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2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2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2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2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2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2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2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2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2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2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2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2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2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2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2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2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2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2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2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2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2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2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2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2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2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2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2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2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2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2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2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2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2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2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2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2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2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2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2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2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2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2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2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2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2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2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2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2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2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2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2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2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2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2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2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2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2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2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2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2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2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2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2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2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2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2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2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2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2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2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2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2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2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2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2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2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2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2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2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2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2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2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2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2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2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2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2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2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2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2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2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2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2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2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2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2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2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2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2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2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2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2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2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2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2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2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2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2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2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2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2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2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2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2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2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2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2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2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2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2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2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2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2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2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2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2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2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2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2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2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2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2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2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2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2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2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2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2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2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2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2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2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2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2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2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2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2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2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2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2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2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2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2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2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2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2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2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2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2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2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2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2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2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2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2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2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2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2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2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2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2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2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2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2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2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2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2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2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2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2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2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2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2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2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2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2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2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2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2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2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2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2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2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2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2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2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2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2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2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2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2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2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2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2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2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2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2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2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2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2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2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2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2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2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2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2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2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2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2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2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2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2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2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2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2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2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2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2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2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2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2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2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2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2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2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2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2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2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2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2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2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2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2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2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2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2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2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2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2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2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2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2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2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2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2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2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2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2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2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2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2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2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2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2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2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2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2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2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2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2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2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2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2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2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2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2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2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2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2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2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2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2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2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2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2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2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2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2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2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2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2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2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2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2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2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2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2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2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2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2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2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2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2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2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2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2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2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2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2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2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2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2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2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2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2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2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2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2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2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2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2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2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2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2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2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2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2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2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2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2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2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2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2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2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2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2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2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2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2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2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2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2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2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2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2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2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2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2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2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2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2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2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2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2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2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2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2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2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2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2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2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2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2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2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2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2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2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2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2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2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2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2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2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2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2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2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2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2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2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2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2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2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2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2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2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2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2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2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2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2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2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2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2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2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2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2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2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2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2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2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2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2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2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2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2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2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2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2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2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2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2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2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2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2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2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2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2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2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2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2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2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2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2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2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2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2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2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2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2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2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2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2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2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2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2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2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2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2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2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2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2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2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2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2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2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2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2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2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2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2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2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2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2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2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2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2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2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2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2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2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2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2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2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2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2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2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2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2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2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2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2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2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2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2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2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2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2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2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2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2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2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2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2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2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2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2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2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2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2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2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2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2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2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2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2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2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2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2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2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2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2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2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2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2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2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2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2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2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2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2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2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2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2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2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2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2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2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2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2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2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2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2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2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2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2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2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2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2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2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2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2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2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2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2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2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2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2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2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2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2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2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2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2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2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2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2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2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2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2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2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2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2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2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2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2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2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2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2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2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2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2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2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2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2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2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2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2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2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2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2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2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2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2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2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2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2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2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2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2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2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2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2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2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2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2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2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2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2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2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2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2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2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2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2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2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2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2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2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2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2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2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2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2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2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2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2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2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2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2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2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2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2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2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2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2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2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2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2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2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2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2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2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2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2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2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2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2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2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2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2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2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2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2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2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2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2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2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2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2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2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2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2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2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2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2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2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2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2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2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2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2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2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2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2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2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2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2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2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2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2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2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2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2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2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2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2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2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2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2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2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2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2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2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2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2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2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2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2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2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2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2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2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2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2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2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2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2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2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2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2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2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2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2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2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2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2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2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2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2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2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2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2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2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2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2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2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2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2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2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2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2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2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2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2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2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2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2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2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2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2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2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2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2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2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2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2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2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2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2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2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2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2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2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2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2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2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2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2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2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2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2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2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2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2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2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2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2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2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2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2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2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2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2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2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2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2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2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2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2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2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2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2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2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2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2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2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2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2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2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2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2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2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2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2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2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2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2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2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2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2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2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2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2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2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2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2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2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2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2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2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2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2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2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2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2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2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2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2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2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2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2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2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2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2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2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2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2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2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2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2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2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2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2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2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2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2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2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2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2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2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2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2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2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2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2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2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2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2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2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2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2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2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2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2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2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2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2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2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2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2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2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2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2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2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2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2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2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2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2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2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2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2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2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2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2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2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2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2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2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2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2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2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2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2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2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2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2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2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2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2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2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2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2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2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2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2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2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2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2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2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2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2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2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2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2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2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2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2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2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2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2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2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2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2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2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2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2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2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2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2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2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2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2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2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2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2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2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2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2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2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2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2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2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2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2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2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2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2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2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2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2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2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2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2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2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2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2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2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2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2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2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2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2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2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2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2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2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2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2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2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2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2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2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2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2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2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2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2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2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2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2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2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2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2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2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2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2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2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2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2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2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2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2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2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2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2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2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2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2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2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2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2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2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2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2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2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2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2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2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2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2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2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2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2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2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2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2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2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2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2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2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2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2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2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2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2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2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2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2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2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2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2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2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2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2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2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2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2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2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2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2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2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2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2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2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2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2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2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2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2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2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2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2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2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2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2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2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2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2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2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2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2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2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2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2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2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2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2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2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2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2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2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2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2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2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2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2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2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2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2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2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2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2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2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2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2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2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2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2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2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2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2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2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2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2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2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2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2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2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2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2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2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2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2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2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2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2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2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2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2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2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2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2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2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2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2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2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2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2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2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2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2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2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2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2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2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2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2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2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2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2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2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2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2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2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2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2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2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2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2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2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2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2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2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2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2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2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2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2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2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2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2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2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2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2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2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2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2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2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2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2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2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2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2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2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2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2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2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2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2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2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2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2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2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2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2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2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2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2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2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2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2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2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2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2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2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2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2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2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2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2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2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2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2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2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2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2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2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2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2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2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2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2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2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2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2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2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2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2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2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2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2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2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2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2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2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2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2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2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2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2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2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2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2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2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2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2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2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2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2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2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2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2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2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2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2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2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2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2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2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2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2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2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2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2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2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2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2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2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2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2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2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2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2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2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2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2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2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2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2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2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2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2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2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2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2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2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2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2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2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2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2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2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2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2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2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2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2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2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2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2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2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2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2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2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2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2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2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2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2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2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2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2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2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2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2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2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2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2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2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2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2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2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2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2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2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2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2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2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2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2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2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2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2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2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2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2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2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2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2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2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2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2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2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2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2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2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2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2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2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2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2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2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2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2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2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2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2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2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2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2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2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2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2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2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2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2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2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2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2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2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2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2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2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2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2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2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2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2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2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2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2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2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2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2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2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2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2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2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2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2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2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2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2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2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2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2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2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2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2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2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2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2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2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2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2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2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2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2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2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2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2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2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2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2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2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2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2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2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2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2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2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2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2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2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2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2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2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2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2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2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2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2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2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2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2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2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2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2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2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2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2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2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2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2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2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2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2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2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2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2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2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2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2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2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2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2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2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2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2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2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2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2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2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2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2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2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2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2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2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2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2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2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2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2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2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2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2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2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2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2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2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2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2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2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2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2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2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2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2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2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2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2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2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2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2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2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2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2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2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2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2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2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2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2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2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2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2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2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2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2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2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2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2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2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2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2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2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2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2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2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2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2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2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2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2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2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2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2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2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2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2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2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2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2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2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2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2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2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2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2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2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2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2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2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2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2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2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2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2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2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2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2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2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2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2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2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2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2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2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2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2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2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2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2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2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2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2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2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2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2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2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2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2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2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2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2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2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2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2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2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2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2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2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2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2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2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2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2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2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2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2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2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2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2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2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2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2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2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2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2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2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2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2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2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2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25">
      <c r="A5678" s="19" t="s">
        <v>352</v>
      </c>
      <c r="B5678" s="19" t="s">
        <v>6</v>
      </c>
      <c r="C5678">
        <v>1</v>
      </c>
      <c r="D5678">
        <v>1</v>
      </c>
      <c r="E5678">
        <v>1</v>
      </c>
      <c r="F5678" s="15">
        <v>46251</v>
      </c>
      <c r="G5678" s="19" t="s">
        <v>684</v>
      </c>
      <c r="H5678">
        <v>4</v>
      </c>
      <c r="I5678">
        <v>2026</v>
      </c>
      <c r="J5678">
        <v>8</v>
      </c>
      <c r="K5678" s="19" t="s">
        <v>282</v>
      </c>
      <c r="L5678" s="19" t="s">
        <v>578</v>
      </c>
      <c r="M5678" s="19" t="s">
        <v>8</v>
      </c>
      <c r="N5678" t="b">
        <v>0</v>
      </c>
      <c r="O5678">
        <v>0</v>
      </c>
      <c r="P5678">
        <v>1</v>
      </c>
      <c r="Q5678">
        <v>0</v>
      </c>
      <c r="R5678">
        <v>1</v>
      </c>
    </row>
    <row r="5679" spans="1:18" x14ac:dyDescent="0.25">
      <c r="A5679" s="19" t="s">
        <v>352</v>
      </c>
      <c r="B5679" s="19" t="s">
        <v>6</v>
      </c>
      <c r="C5679">
        <v>1</v>
      </c>
      <c r="D5679">
        <v>1</v>
      </c>
      <c r="E5679">
        <v>1</v>
      </c>
      <c r="F5679" s="15">
        <v>46251</v>
      </c>
      <c r="G5679" s="19" t="s">
        <v>684</v>
      </c>
      <c r="H5679">
        <v>4</v>
      </c>
      <c r="I5679">
        <v>2026</v>
      </c>
      <c r="J5679">
        <v>8</v>
      </c>
      <c r="K5679" s="19" t="s">
        <v>282</v>
      </c>
      <c r="L5679" s="19" t="s">
        <v>694</v>
      </c>
      <c r="M5679" s="19" t="s">
        <v>6</v>
      </c>
      <c r="N5679" t="b">
        <v>0</v>
      </c>
      <c r="O5679">
        <v>0</v>
      </c>
      <c r="P5679">
        <v>1</v>
      </c>
      <c r="Q5679">
        <v>0</v>
      </c>
      <c r="R5679">
        <v>0</v>
      </c>
    </row>
    <row r="5680" spans="1:18" x14ac:dyDescent="0.25">
      <c r="A5680" s="19" t="s">
        <v>352</v>
      </c>
      <c r="B5680" s="19" t="s">
        <v>6</v>
      </c>
      <c r="C5680">
        <v>1</v>
      </c>
      <c r="D5680">
        <v>1</v>
      </c>
      <c r="E5680">
        <v>1</v>
      </c>
      <c r="F5680" s="15">
        <v>46251</v>
      </c>
      <c r="G5680" s="19" t="s">
        <v>684</v>
      </c>
      <c r="H5680">
        <v>4</v>
      </c>
      <c r="I5680">
        <v>2026</v>
      </c>
      <c r="J5680">
        <v>8</v>
      </c>
      <c r="K5680" s="19" t="s">
        <v>282</v>
      </c>
      <c r="L5680" s="19" t="s">
        <v>9</v>
      </c>
      <c r="M5680" s="19" t="s">
        <v>6</v>
      </c>
      <c r="N5680" t="b">
        <v>0</v>
      </c>
      <c r="O5680">
        <v>0</v>
      </c>
      <c r="P5680">
        <v>1</v>
      </c>
      <c r="Q5680">
        <v>0</v>
      </c>
      <c r="R5680">
        <v>0</v>
      </c>
    </row>
    <row r="5681" spans="1:18" x14ac:dyDescent="0.25">
      <c r="A5681" s="19" t="s">
        <v>578</v>
      </c>
      <c r="B5681" s="19" t="s">
        <v>8</v>
      </c>
      <c r="C5681">
        <v>2</v>
      </c>
      <c r="D5681">
        <v>1</v>
      </c>
      <c r="E5681">
        <v>1</v>
      </c>
      <c r="F5681" s="15">
        <v>46251</v>
      </c>
      <c r="G5681" s="19" t="s">
        <v>684</v>
      </c>
      <c r="H5681">
        <v>4</v>
      </c>
      <c r="I5681">
        <v>2026</v>
      </c>
      <c r="J5681">
        <v>8</v>
      </c>
      <c r="K5681" s="19" t="s">
        <v>282</v>
      </c>
      <c r="L5681" s="19" t="s">
        <v>352</v>
      </c>
      <c r="M5681" s="19" t="s">
        <v>6</v>
      </c>
      <c r="N5681" t="b">
        <v>0</v>
      </c>
      <c r="O5681">
        <v>1</v>
      </c>
      <c r="P5681">
        <v>0</v>
      </c>
      <c r="Q5681">
        <v>0</v>
      </c>
      <c r="R5681">
        <v>0</v>
      </c>
    </row>
    <row r="5682" spans="1:18" x14ac:dyDescent="0.25">
      <c r="A5682" s="19" t="s">
        <v>578</v>
      </c>
      <c r="B5682" s="19" t="s">
        <v>8</v>
      </c>
      <c r="C5682">
        <v>2</v>
      </c>
      <c r="D5682">
        <v>1</v>
      </c>
      <c r="E5682">
        <v>1</v>
      </c>
      <c r="F5682" s="15">
        <v>46251</v>
      </c>
      <c r="G5682" s="19" t="s">
        <v>684</v>
      </c>
      <c r="H5682">
        <v>4</v>
      </c>
      <c r="I5682">
        <v>2026</v>
      </c>
      <c r="J5682">
        <v>8</v>
      </c>
      <c r="K5682" s="19" t="s">
        <v>282</v>
      </c>
      <c r="L5682" s="19" t="s">
        <v>694</v>
      </c>
      <c r="M5682" s="19" t="s">
        <v>6</v>
      </c>
      <c r="N5682" t="b">
        <v>0</v>
      </c>
      <c r="O5682">
        <v>1</v>
      </c>
      <c r="P5682">
        <v>0</v>
      </c>
      <c r="Q5682">
        <v>0</v>
      </c>
      <c r="R5682">
        <v>0</v>
      </c>
    </row>
    <row r="5683" spans="1:18" x14ac:dyDescent="0.25">
      <c r="A5683" s="19" t="s">
        <v>578</v>
      </c>
      <c r="B5683" s="19" t="s">
        <v>8</v>
      </c>
      <c r="C5683">
        <v>2</v>
      </c>
      <c r="D5683">
        <v>1</v>
      </c>
      <c r="E5683">
        <v>1</v>
      </c>
      <c r="F5683" s="15">
        <v>46251</v>
      </c>
      <c r="G5683" s="19" t="s">
        <v>684</v>
      </c>
      <c r="H5683">
        <v>4</v>
      </c>
      <c r="I5683">
        <v>2026</v>
      </c>
      <c r="J5683">
        <v>8</v>
      </c>
      <c r="K5683" s="19" t="s">
        <v>282</v>
      </c>
      <c r="L5683" s="19" t="s">
        <v>9</v>
      </c>
      <c r="M5683" s="19" t="s">
        <v>6</v>
      </c>
      <c r="N5683" t="b">
        <v>0</v>
      </c>
      <c r="O5683">
        <v>1</v>
      </c>
      <c r="P5683">
        <v>0</v>
      </c>
      <c r="Q5683">
        <v>0</v>
      </c>
      <c r="R5683">
        <v>0</v>
      </c>
    </row>
    <row r="5684" spans="1:18" x14ac:dyDescent="0.25">
      <c r="A5684" s="19" t="s">
        <v>694</v>
      </c>
      <c r="B5684" s="19" t="s">
        <v>6</v>
      </c>
      <c r="C5684">
        <v>3</v>
      </c>
      <c r="D5684">
        <v>1</v>
      </c>
      <c r="E5684">
        <v>1</v>
      </c>
      <c r="F5684" s="15">
        <v>46251</v>
      </c>
      <c r="G5684" s="19" t="s">
        <v>684</v>
      </c>
      <c r="H5684">
        <v>4</v>
      </c>
      <c r="I5684">
        <v>2026</v>
      </c>
      <c r="J5684">
        <v>8</v>
      </c>
      <c r="K5684" s="19" t="s">
        <v>282</v>
      </c>
      <c r="L5684" s="19" t="s">
        <v>352</v>
      </c>
      <c r="M5684" s="19" t="s">
        <v>6</v>
      </c>
      <c r="N5684" t="b">
        <v>0</v>
      </c>
      <c r="O5684">
        <v>0</v>
      </c>
      <c r="P5684">
        <v>1</v>
      </c>
      <c r="Q5684">
        <v>0</v>
      </c>
      <c r="R5684">
        <v>0</v>
      </c>
    </row>
    <row r="5685" spans="1:18" x14ac:dyDescent="0.25">
      <c r="A5685" s="19" t="s">
        <v>694</v>
      </c>
      <c r="B5685" s="19" t="s">
        <v>6</v>
      </c>
      <c r="C5685">
        <v>3</v>
      </c>
      <c r="D5685">
        <v>1</v>
      </c>
      <c r="E5685">
        <v>1</v>
      </c>
      <c r="F5685" s="15">
        <v>46251</v>
      </c>
      <c r="G5685" s="19" t="s">
        <v>684</v>
      </c>
      <c r="H5685">
        <v>4</v>
      </c>
      <c r="I5685">
        <v>2026</v>
      </c>
      <c r="J5685">
        <v>8</v>
      </c>
      <c r="K5685" s="19" t="s">
        <v>282</v>
      </c>
      <c r="L5685" s="19" t="s">
        <v>578</v>
      </c>
      <c r="M5685" s="19" t="s">
        <v>8</v>
      </c>
      <c r="N5685" t="b">
        <v>0</v>
      </c>
      <c r="O5685">
        <v>0</v>
      </c>
      <c r="P5685">
        <v>1</v>
      </c>
      <c r="Q5685">
        <v>0</v>
      </c>
      <c r="R5685">
        <v>1</v>
      </c>
    </row>
    <row r="5686" spans="1:18" x14ac:dyDescent="0.25">
      <c r="A5686" s="19" t="s">
        <v>694</v>
      </c>
      <c r="B5686" s="19" t="s">
        <v>6</v>
      </c>
      <c r="C5686">
        <v>3</v>
      </c>
      <c r="D5686">
        <v>1</v>
      </c>
      <c r="E5686">
        <v>1</v>
      </c>
      <c r="F5686" s="15">
        <v>46251</v>
      </c>
      <c r="G5686" s="19" t="s">
        <v>684</v>
      </c>
      <c r="H5686">
        <v>4</v>
      </c>
      <c r="I5686">
        <v>2026</v>
      </c>
      <c r="J5686">
        <v>8</v>
      </c>
      <c r="K5686" s="19" t="s">
        <v>282</v>
      </c>
      <c r="L5686" s="19" t="s">
        <v>9</v>
      </c>
      <c r="M5686" s="19" t="s">
        <v>6</v>
      </c>
      <c r="N5686" t="b">
        <v>0</v>
      </c>
      <c r="O5686">
        <v>0</v>
      </c>
      <c r="P5686">
        <v>1</v>
      </c>
      <c r="Q5686">
        <v>0</v>
      </c>
      <c r="R5686">
        <v>0</v>
      </c>
    </row>
    <row r="5687" spans="1:18" x14ac:dyDescent="0.25">
      <c r="A5687" s="19" t="s">
        <v>9</v>
      </c>
      <c r="B5687" s="19" t="s">
        <v>6</v>
      </c>
      <c r="C5687">
        <v>4</v>
      </c>
      <c r="D5687">
        <v>1</v>
      </c>
      <c r="E5687">
        <v>1</v>
      </c>
      <c r="F5687" s="15">
        <v>46251</v>
      </c>
      <c r="G5687" s="19" t="s">
        <v>684</v>
      </c>
      <c r="H5687">
        <v>4</v>
      </c>
      <c r="I5687">
        <v>2026</v>
      </c>
      <c r="J5687">
        <v>8</v>
      </c>
      <c r="K5687" s="19" t="s">
        <v>282</v>
      </c>
      <c r="L5687" s="19" t="s">
        <v>352</v>
      </c>
      <c r="M5687" s="19" t="s">
        <v>6</v>
      </c>
      <c r="N5687" t="b">
        <v>0</v>
      </c>
      <c r="O5687">
        <v>0</v>
      </c>
      <c r="P5687">
        <v>1</v>
      </c>
      <c r="Q5687">
        <v>0</v>
      </c>
      <c r="R5687">
        <v>0</v>
      </c>
    </row>
    <row r="5688" spans="1:18" x14ac:dyDescent="0.25">
      <c r="A5688" s="19" t="s">
        <v>9</v>
      </c>
      <c r="B5688" s="19" t="s">
        <v>6</v>
      </c>
      <c r="C5688">
        <v>4</v>
      </c>
      <c r="D5688">
        <v>1</v>
      </c>
      <c r="E5688">
        <v>1</v>
      </c>
      <c r="F5688" s="15">
        <v>46251</v>
      </c>
      <c r="G5688" s="19" t="s">
        <v>684</v>
      </c>
      <c r="H5688">
        <v>4</v>
      </c>
      <c r="I5688">
        <v>2026</v>
      </c>
      <c r="J5688">
        <v>8</v>
      </c>
      <c r="K5688" s="19" t="s">
        <v>282</v>
      </c>
      <c r="L5688" s="19" t="s">
        <v>578</v>
      </c>
      <c r="M5688" s="19" t="s">
        <v>8</v>
      </c>
      <c r="N5688" t="b">
        <v>0</v>
      </c>
      <c r="O5688">
        <v>0</v>
      </c>
      <c r="P5688">
        <v>1</v>
      </c>
      <c r="Q5688">
        <v>0</v>
      </c>
      <c r="R5688">
        <v>1</v>
      </c>
    </row>
    <row r="5689" spans="1:18" x14ac:dyDescent="0.25">
      <c r="A5689" s="19" t="s">
        <v>9</v>
      </c>
      <c r="B5689" s="19" t="s">
        <v>6</v>
      </c>
      <c r="C5689">
        <v>4</v>
      </c>
      <c r="D5689">
        <v>1</v>
      </c>
      <c r="E5689">
        <v>1</v>
      </c>
      <c r="F5689" s="15">
        <v>46251</v>
      </c>
      <c r="G5689" s="19" t="s">
        <v>684</v>
      </c>
      <c r="H5689">
        <v>4</v>
      </c>
      <c r="I5689">
        <v>2026</v>
      </c>
      <c r="J5689">
        <v>8</v>
      </c>
      <c r="K5689" s="19" t="s">
        <v>282</v>
      </c>
      <c r="L5689" s="19" t="s">
        <v>694</v>
      </c>
      <c r="M5689" s="19" t="s">
        <v>6</v>
      </c>
      <c r="N5689" t="b">
        <v>0</v>
      </c>
      <c r="O5689">
        <v>0</v>
      </c>
      <c r="P5689">
        <v>1</v>
      </c>
      <c r="Q5689">
        <v>0</v>
      </c>
      <c r="R5689">
        <v>0</v>
      </c>
    </row>
    <row r="5690" spans="1:18" x14ac:dyDescent="0.25">
      <c r="A5690" s="19" t="s">
        <v>19</v>
      </c>
      <c r="B5690" s="19" t="s">
        <v>63</v>
      </c>
      <c r="C5690">
        <v>1</v>
      </c>
      <c r="D5690">
        <v>2</v>
      </c>
      <c r="E5690">
        <v>1</v>
      </c>
      <c r="F5690" s="15">
        <v>46251</v>
      </c>
      <c r="G5690" s="19" t="s">
        <v>685</v>
      </c>
      <c r="H5690">
        <v>4</v>
      </c>
      <c r="I5690">
        <v>2026</v>
      </c>
      <c r="J5690">
        <v>8</v>
      </c>
      <c r="K5690" s="19" t="s">
        <v>282</v>
      </c>
      <c r="L5690" s="19" t="s">
        <v>540</v>
      </c>
      <c r="M5690" s="19" t="s">
        <v>63</v>
      </c>
      <c r="N5690" t="b">
        <v>0</v>
      </c>
      <c r="O5690">
        <v>0</v>
      </c>
      <c r="P5690">
        <v>0</v>
      </c>
      <c r="Q5690">
        <v>1</v>
      </c>
      <c r="R5690">
        <v>0</v>
      </c>
    </row>
    <row r="5691" spans="1:18" x14ac:dyDescent="0.25">
      <c r="A5691" s="19" t="s">
        <v>19</v>
      </c>
      <c r="B5691" s="19" t="s">
        <v>63</v>
      </c>
      <c r="C5691">
        <v>1</v>
      </c>
      <c r="D5691">
        <v>2</v>
      </c>
      <c r="E5691">
        <v>1</v>
      </c>
      <c r="F5691" s="15">
        <v>46251</v>
      </c>
      <c r="G5691" s="19" t="s">
        <v>685</v>
      </c>
      <c r="H5691">
        <v>4</v>
      </c>
      <c r="I5691">
        <v>2026</v>
      </c>
      <c r="J5691">
        <v>8</v>
      </c>
      <c r="K5691" s="19" t="s">
        <v>282</v>
      </c>
      <c r="L5691" s="19" t="s">
        <v>10</v>
      </c>
      <c r="M5691" s="19" t="s">
        <v>63</v>
      </c>
      <c r="N5691" t="b">
        <v>0</v>
      </c>
      <c r="O5691">
        <v>0</v>
      </c>
      <c r="P5691">
        <v>0</v>
      </c>
      <c r="Q5691">
        <v>1</v>
      </c>
      <c r="R5691">
        <v>0</v>
      </c>
    </row>
    <row r="5692" spans="1:18" x14ac:dyDescent="0.25">
      <c r="A5692" s="19" t="s">
        <v>19</v>
      </c>
      <c r="B5692" s="19" t="s">
        <v>63</v>
      </c>
      <c r="C5692">
        <v>1</v>
      </c>
      <c r="D5692">
        <v>2</v>
      </c>
      <c r="E5692">
        <v>1</v>
      </c>
      <c r="F5692" s="15">
        <v>46251</v>
      </c>
      <c r="G5692" s="19" t="s">
        <v>685</v>
      </c>
      <c r="H5692">
        <v>4</v>
      </c>
      <c r="I5692">
        <v>2026</v>
      </c>
      <c r="J5692">
        <v>8</v>
      </c>
      <c r="K5692" s="19" t="s">
        <v>282</v>
      </c>
      <c r="L5692" s="19" t="s">
        <v>326</v>
      </c>
      <c r="M5692" s="19" t="s">
        <v>63</v>
      </c>
      <c r="N5692" t="b">
        <v>0</v>
      </c>
      <c r="O5692">
        <v>0</v>
      </c>
      <c r="P5692">
        <v>0</v>
      </c>
      <c r="Q5692">
        <v>1</v>
      </c>
      <c r="R5692">
        <v>0</v>
      </c>
    </row>
    <row r="5693" spans="1:18" x14ac:dyDescent="0.25">
      <c r="A5693" s="19" t="s">
        <v>540</v>
      </c>
      <c r="B5693" s="19" t="s">
        <v>63</v>
      </c>
      <c r="C5693">
        <v>2</v>
      </c>
      <c r="D5693">
        <v>2</v>
      </c>
      <c r="E5693">
        <v>1</v>
      </c>
      <c r="F5693" s="15">
        <v>46251</v>
      </c>
      <c r="G5693" s="19" t="s">
        <v>685</v>
      </c>
      <c r="H5693">
        <v>4</v>
      </c>
      <c r="I5693">
        <v>2026</v>
      </c>
      <c r="J5693">
        <v>8</v>
      </c>
      <c r="K5693" s="19" t="s">
        <v>282</v>
      </c>
      <c r="L5693" s="19" t="s">
        <v>19</v>
      </c>
      <c r="M5693" s="19" t="s">
        <v>63</v>
      </c>
      <c r="N5693" t="b">
        <v>0</v>
      </c>
      <c r="O5693">
        <v>0</v>
      </c>
      <c r="P5693">
        <v>0</v>
      </c>
      <c r="Q5693">
        <v>1</v>
      </c>
      <c r="R5693">
        <v>0</v>
      </c>
    </row>
    <row r="5694" spans="1:18" x14ac:dyDescent="0.25">
      <c r="A5694" s="19" t="s">
        <v>540</v>
      </c>
      <c r="B5694" s="19" t="s">
        <v>63</v>
      </c>
      <c r="C5694">
        <v>2</v>
      </c>
      <c r="D5694">
        <v>2</v>
      </c>
      <c r="E5694">
        <v>1</v>
      </c>
      <c r="F5694" s="15">
        <v>46251</v>
      </c>
      <c r="G5694" s="19" t="s">
        <v>685</v>
      </c>
      <c r="H5694">
        <v>4</v>
      </c>
      <c r="I5694">
        <v>2026</v>
      </c>
      <c r="J5694">
        <v>8</v>
      </c>
      <c r="K5694" s="19" t="s">
        <v>282</v>
      </c>
      <c r="L5694" s="19" t="s">
        <v>10</v>
      </c>
      <c r="M5694" s="19" t="s">
        <v>63</v>
      </c>
      <c r="N5694" t="b">
        <v>0</v>
      </c>
      <c r="O5694">
        <v>0</v>
      </c>
      <c r="P5694">
        <v>0</v>
      </c>
      <c r="Q5694">
        <v>1</v>
      </c>
      <c r="R5694">
        <v>0</v>
      </c>
    </row>
    <row r="5695" spans="1:18" x14ac:dyDescent="0.25">
      <c r="A5695" s="19" t="s">
        <v>540</v>
      </c>
      <c r="B5695" s="19" t="s">
        <v>63</v>
      </c>
      <c r="C5695">
        <v>2</v>
      </c>
      <c r="D5695">
        <v>2</v>
      </c>
      <c r="E5695">
        <v>1</v>
      </c>
      <c r="F5695" s="15">
        <v>46251</v>
      </c>
      <c r="G5695" s="19" t="s">
        <v>685</v>
      </c>
      <c r="H5695">
        <v>4</v>
      </c>
      <c r="I5695">
        <v>2026</v>
      </c>
      <c r="J5695">
        <v>8</v>
      </c>
      <c r="K5695" s="19" t="s">
        <v>282</v>
      </c>
      <c r="L5695" s="19" t="s">
        <v>326</v>
      </c>
      <c r="M5695" s="19" t="s">
        <v>63</v>
      </c>
      <c r="N5695" t="b">
        <v>0</v>
      </c>
      <c r="O5695">
        <v>0</v>
      </c>
      <c r="P5695">
        <v>0</v>
      </c>
      <c r="Q5695">
        <v>1</v>
      </c>
      <c r="R5695">
        <v>0</v>
      </c>
    </row>
    <row r="5696" spans="1:18" x14ac:dyDescent="0.25">
      <c r="A5696" s="19" t="s">
        <v>10</v>
      </c>
      <c r="B5696" s="19" t="s">
        <v>63</v>
      </c>
      <c r="C5696">
        <v>3</v>
      </c>
      <c r="D5696">
        <v>2</v>
      </c>
      <c r="E5696">
        <v>1</v>
      </c>
      <c r="F5696" s="15">
        <v>46251</v>
      </c>
      <c r="G5696" s="19" t="s">
        <v>685</v>
      </c>
      <c r="H5696">
        <v>4</v>
      </c>
      <c r="I5696">
        <v>2026</v>
      </c>
      <c r="J5696">
        <v>8</v>
      </c>
      <c r="K5696" s="19" t="s">
        <v>282</v>
      </c>
      <c r="L5696" s="19" t="s">
        <v>19</v>
      </c>
      <c r="M5696" s="19" t="s">
        <v>63</v>
      </c>
      <c r="N5696" t="b">
        <v>0</v>
      </c>
      <c r="O5696">
        <v>0</v>
      </c>
      <c r="P5696">
        <v>0</v>
      </c>
      <c r="Q5696">
        <v>1</v>
      </c>
      <c r="R5696">
        <v>0</v>
      </c>
    </row>
    <row r="5697" spans="1:18" x14ac:dyDescent="0.25">
      <c r="A5697" s="19" t="s">
        <v>10</v>
      </c>
      <c r="B5697" s="19" t="s">
        <v>63</v>
      </c>
      <c r="C5697">
        <v>3</v>
      </c>
      <c r="D5697">
        <v>2</v>
      </c>
      <c r="E5697">
        <v>1</v>
      </c>
      <c r="F5697" s="15">
        <v>46251</v>
      </c>
      <c r="G5697" s="19" t="s">
        <v>685</v>
      </c>
      <c r="H5697">
        <v>4</v>
      </c>
      <c r="I5697">
        <v>2026</v>
      </c>
      <c r="J5697">
        <v>8</v>
      </c>
      <c r="K5697" s="19" t="s">
        <v>282</v>
      </c>
      <c r="L5697" s="19" t="s">
        <v>540</v>
      </c>
      <c r="M5697" s="19" t="s">
        <v>63</v>
      </c>
      <c r="N5697" t="b">
        <v>0</v>
      </c>
      <c r="O5697">
        <v>0</v>
      </c>
      <c r="P5697">
        <v>0</v>
      </c>
      <c r="Q5697">
        <v>1</v>
      </c>
      <c r="R5697">
        <v>0</v>
      </c>
    </row>
    <row r="5698" spans="1:18" x14ac:dyDescent="0.25">
      <c r="A5698" s="19" t="s">
        <v>10</v>
      </c>
      <c r="B5698" s="19" t="s">
        <v>63</v>
      </c>
      <c r="C5698">
        <v>3</v>
      </c>
      <c r="D5698">
        <v>2</v>
      </c>
      <c r="E5698">
        <v>1</v>
      </c>
      <c r="F5698" s="15">
        <v>46251</v>
      </c>
      <c r="G5698" s="19" t="s">
        <v>685</v>
      </c>
      <c r="H5698">
        <v>4</v>
      </c>
      <c r="I5698">
        <v>2026</v>
      </c>
      <c r="J5698">
        <v>8</v>
      </c>
      <c r="K5698" s="19" t="s">
        <v>282</v>
      </c>
      <c r="L5698" s="19" t="s">
        <v>326</v>
      </c>
      <c r="M5698" s="19" t="s">
        <v>63</v>
      </c>
      <c r="N5698" t="b">
        <v>0</v>
      </c>
      <c r="O5698">
        <v>0</v>
      </c>
      <c r="P5698">
        <v>0</v>
      </c>
      <c r="Q5698">
        <v>1</v>
      </c>
      <c r="R5698">
        <v>0</v>
      </c>
    </row>
    <row r="5699" spans="1:18" x14ac:dyDescent="0.25">
      <c r="A5699" s="19" t="s">
        <v>326</v>
      </c>
      <c r="B5699" s="19" t="s">
        <v>63</v>
      </c>
      <c r="C5699">
        <v>4</v>
      </c>
      <c r="D5699">
        <v>2</v>
      </c>
      <c r="E5699">
        <v>1</v>
      </c>
      <c r="F5699" s="15">
        <v>46251</v>
      </c>
      <c r="G5699" s="19" t="s">
        <v>685</v>
      </c>
      <c r="H5699">
        <v>4</v>
      </c>
      <c r="I5699">
        <v>2026</v>
      </c>
      <c r="J5699">
        <v>8</v>
      </c>
      <c r="K5699" s="19" t="s">
        <v>282</v>
      </c>
      <c r="L5699" s="19" t="s">
        <v>19</v>
      </c>
      <c r="M5699" s="19" t="s">
        <v>63</v>
      </c>
      <c r="N5699" t="b">
        <v>0</v>
      </c>
      <c r="O5699">
        <v>0</v>
      </c>
      <c r="P5699">
        <v>0</v>
      </c>
      <c r="Q5699">
        <v>1</v>
      </c>
      <c r="R5699">
        <v>0</v>
      </c>
    </row>
    <row r="5700" spans="1:18" x14ac:dyDescent="0.25">
      <c r="A5700" s="19" t="s">
        <v>326</v>
      </c>
      <c r="B5700" s="19" t="s">
        <v>63</v>
      </c>
      <c r="C5700">
        <v>4</v>
      </c>
      <c r="D5700">
        <v>2</v>
      </c>
      <c r="E5700">
        <v>1</v>
      </c>
      <c r="F5700" s="15">
        <v>46251</v>
      </c>
      <c r="G5700" s="19" t="s">
        <v>685</v>
      </c>
      <c r="H5700">
        <v>4</v>
      </c>
      <c r="I5700">
        <v>2026</v>
      </c>
      <c r="J5700">
        <v>8</v>
      </c>
      <c r="K5700" s="19" t="s">
        <v>282</v>
      </c>
      <c r="L5700" s="19" t="s">
        <v>540</v>
      </c>
      <c r="M5700" s="19" t="s">
        <v>63</v>
      </c>
      <c r="N5700" t="b">
        <v>0</v>
      </c>
      <c r="O5700">
        <v>0</v>
      </c>
      <c r="P5700">
        <v>0</v>
      </c>
      <c r="Q5700">
        <v>1</v>
      </c>
      <c r="R5700">
        <v>0</v>
      </c>
    </row>
    <row r="5701" spans="1:18" x14ac:dyDescent="0.25">
      <c r="A5701" s="19" t="s">
        <v>326</v>
      </c>
      <c r="B5701" s="19" t="s">
        <v>63</v>
      </c>
      <c r="C5701">
        <v>4</v>
      </c>
      <c r="D5701">
        <v>2</v>
      </c>
      <c r="E5701">
        <v>1</v>
      </c>
      <c r="F5701" s="15">
        <v>46251</v>
      </c>
      <c r="G5701" s="19" t="s">
        <v>685</v>
      </c>
      <c r="H5701">
        <v>4</v>
      </c>
      <c r="I5701">
        <v>2026</v>
      </c>
      <c r="J5701">
        <v>8</v>
      </c>
      <c r="K5701" s="19" t="s">
        <v>282</v>
      </c>
      <c r="L5701" s="19" t="s">
        <v>10</v>
      </c>
      <c r="M5701" s="19" t="s">
        <v>63</v>
      </c>
      <c r="N5701" t="b">
        <v>0</v>
      </c>
      <c r="O5701">
        <v>0</v>
      </c>
      <c r="P5701">
        <v>0</v>
      </c>
      <c r="Q5701">
        <v>1</v>
      </c>
      <c r="R5701">
        <v>0</v>
      </c>
    </row>
    <row r="5702" spans="1:18" x14ac:dyDescent="0.25">
      <c r="A5702" s="19" t="s">
        <v>15</v>
      </c>
      <c r="B5702" s="19" t="s">
        <v>63</v>
      </c>
      <c r="C5702">
        <v>1</v>
      </c>
      <c r="D5702">
        <v>3</v>
      </c>
      <c r="E5702">
        <v>1</v>
      </c>
      <c r="F5702" s="15">
        <v>46251</v>
      </c>
      <c r="G5702" s="19" t="s">
        <v>686</v>
      </c>
      <c r="H5702">
        <v>4</v>
      </c>
      <c r="I5702">
        <v>2026</v>
      </c>
      <c r="J5702">
        <v>8</v>
      </c>
      <c r="K5702" s="19" t="s">
        <v>282</v>
      </c>
      <c r="L5702" s="19" t="s">
        <v>28</v>
      </c>
      <c r="M5702" s="19" t="s">
        <v>63</v>
      </c>
      <c r="N5702" t="b">
        <v>0</v>
      </c>
      <c r="O5702">
        <v>0</v>
      </c>
      <c r="P5702">
        <v>0</v>
      </c>
      <c r="Q5702">
        <v>1</v>
      </c>
      <c r="R5702">
        <v>0</v>
      </c>
    </row>
    <row r="5703" spans="1:18" x14ac:dyDescent="0.25">
      <c r="A5703" s="19" t="s">
        <v>15</v>
      </c>
      <c r="B5703" s="19" t="s">
        <v>63</v>
      </c>
      <c r="C5703">
        <v>1</v>
      </c>
      <c r="D5703">
        <v>3</v>
      </c>
      <c r="E5703">
        <v>1</v>
      </c>
      <c r="F5703" s="15">
        <v>46251</v>
      </c>
      <c r="G5703" s="19" t="s">
        <v>686</v>
      </c>
      <c r="H5703">
        <v>4</v>
      </c>
      <c r="I5703">
        <v>2026</v>
      </c>
      <c r="J5703">
        <v>8</v>
      </c>
      <c r="K5703" s="19" t="s">
        <v>282</v>
      </c>
      <c r="L5703" s="19" t="s">
        <v>7</v>
      </c>
      <c r="M5703" s="19" t="s">
        <v>63</v>
      </c>
      <c r="N5703" t="b">
        <v>0</v>
      </c>
      <c r="O5703">
        <v>0</v>
      </c>
      <c r="P5703">
        <v>0</v>
      </c>
      <c r="Q5703">
        <v>1</v>
      </c>
      <c r="R5703">
        <v>0</v>
      </c>
    </row>
    <row r="5704" spans="1:18" x14ac:dyDescent="0.25">
      <c r="A5704" s="19" t="s">
        <v>15</v>
      </c>
      <c r="B5704" s="19" t="s">
        <v>63</v>
      </c>
      <c r="C5704">
        <v>1</v>
      </c>
      <c r="D5704">
        <v>3</v>
      </c>
      <c r="E5704">
        <v>1</v>
      </c>
      <c r="F5704" s="15">
        <v>46251</v>
      </c>
      <c r="G5704" s="19" t="s">
        <v>686</v>
      </c>
      <c r="H5704">
        <v>4</v>
      </c>
      <c r="I5704">
        <v>2026</v>
      </c>
      <c r="J5704">
        <v>8</v>
      </c>
      <c r="K5704" s="19" t="s">
        <v>282</v>
      </c>
      <c r="L5704" s="19" t="s">
        <v>433</v>
      </c>
      <c r="M5704" s="19" t="s">
        <v>63</v>
      </c>
      <c r="N5704" t="b">
        <v>0</v>
      </c>
      <c r="O5704">
        <v>0</v>
      </c>
      <c r="P5704">
        <v>0</v>
      </c>
      <c r="Q5704">
        <v>1</v>
      </c>
      <c r="R5704">
        <v>0</v>
      </c>
    </row>
    <row r="5705" spans="1:18" x14ac:dyDescent="0.25">
      <c r="A5705" s="19" t="s">
        <v>28</v>
      </c>
      <c r="B5705" s="19" t="s">
        <v>63</v>
      </c>
      <c r="C5705">
        <v>2</v>
      </c>
      <c r="D5705">
        <v>3</v>
      </c>
      <c r="E5705">
        <v>1</v>
      </c>
      <c r="F5705" s="15">
        <v>46251</v>
      </c>
      <c r="G5705" s="19" t="s">
        <v>686</v>
      </c>
      <c r="H5705">
        <v>4</v>
      </c>
      <c r="I5705">
        <v>2026</v>
      </c>
      <c r="J5705">
        <v>8</v>
      </c>
      <c r="K5705" s="19" t="s">
        <v>282</v>
      </c>
      <c r="L5705" s="19" t="s">
        <v>15</v>
      </c>
      <c r="M5705" s="19" t="s">
        <v>63</v>
      </c>
      <c r="N5705" t="b">
        <v>0</v>
      </c>
      <c r="O5705">
        <v>0</v>
      </c>
      <c r="P5705">
        <v>0</v>
      </c>
      <c r="Q5705">
        <v>1</v>
      </c>
      <c r="R5705">
        <v>0</v>
      </c>
    </row>
    <row r="5706" spans="1:18" x14ac:dyDescent="0.25">
      <c r="A5706" s="19" t="s">
        <v>28</v>
      </c>
      <c r="B5706" s="19" t="s">
        <v>63</v>
      </c>
      <c r="C5706">
        <v>2</v>
      </c>
      <c r="D5706">
        <v>3</v>
      </c>
      <c r="E5706">
        <v>1</v>
      </c>
      <c r="F5706" s="15">
        <v>46251</v>
      </c>
      <c r="G5706" s="19" t="s">
        <v>686</v>
      </c>
      <c r="H5706">
        <v>4</v>
      </c>
      <c r="I5706">
        <v>2026</v>
      </c>
      <c r="J5706">
        <v>8</v>
      </c>
      <c r="K5706" s="19" t="s">
        <v>282</v>
      </c>
      <c r="L5706" s="19" t="s">
        <v>7</v>
      </c>
      <c r="M5706" s="19" t="s">
        <v>63</v>
      </c>
      <c r="N5706" t="b">
        <v>0</v>
      </c>
      <c r="O5706">
        <v>0</v>
      </c>
      <c r="P5706">
        <v>0</v>
      </c>
      <c r="Q5706">
        <v>1</v>
      </c>
      <c r="R5706">
        <v>0</v>
      </c>
    </row>
    <row r="5707" spans="1:18" x14ac:dyDescent="0.25">
      <c r="A5707" s="19" t="s">
        <v>28</v>
      </c>
      <c r="B5707" s="19" t="s">
        <v>63</v>
      </c>
      <c r="C5707">
        <v>2</v>
      </c>
      <c r="D5707">
        <v>3</v>
      </c>
      <c r="E5707">
        <v>1</v>
      </c>
      <c r="F5707" s="15">
        <v>46251</v>
      </c>
      <c r="G5707" s="19" t="s">
        <v>686</v>
      </c>
      <c r="H5707">
        <v>4</v>
      </c>
      <c r="I5707">
        <v>2026</v>
      </c>
      <c r="J5707">
        <v>8</v>
      </c>
      <c r="K5707" s="19" t="s">
        <v>282</v>
      </c>
      <c r="L5707" s="19" t="s">
        <v>433</v>
      </c>
      <c r="M5707" s="19" t="s">
        <v>63</v>
      </c>
      <c r="N5707" t="b">
        <v>0</v>
      </c>
      <c r="O5707">
        <v>0</v>
      </c>
      <c r="P5707">
        <v>0</v>
      </c>
      <c r="Q5707">
        <v>1</v>
      </c>
      <c r="R5707">
        <v>0</v>
      </c>
    </row>
    <row r="5708" spans="1:18" x14ac:dyDescent="0.25">
      <c r="A5708" s="19" t="s">
        <v>7</v>
      </c>
      <c r="B5708" s="19" t="s">
        <v>63</v>
      </c>
      <c r="C5708">
        <v>3</v>
      </c>
      <c r="D5708">
        <v>3</v>
      </c>
      <c r="E5708">
        <v>1</v>
      </c>
      <c r="F5708" s="15">
        <v>46251</v>
      </c>
      <c r="G5708" s="19" t="s">
        <v>686</v>
      </c>
      <c r="H5708">
        <v>4</v>
      </c>
      <c r="I5708">
        <v>2026</v>
      </c>
      <c r="J5708">
        <v>8</v>
      </c>
      <c r="K5708" s="19" t="s">
        <v>282</v>
      </c>
      <c r="L5708" s="19" t="s">
        <v>15</v>
      </c>
      <c r="M5708" s="19" t="s">
        <v>63</v>
      </c>
      <c r="N5708" t="b">
        <v>0</v>
      </c>
      <c r="O5708">
        <v>0</v>
      </c>
      <c r="P5708">
        <v>0</v>
      </c>
      <c r="Q5708">
        <v>1</v>
      </c>
      <c r="R5708">
        <v>0</v>
      </c>
    </row>
    <row r="5709" spans="1:18" x14ac:dyDescent="0.25">
      <c r="A5709" s="19" t="s">
        <v>7</v>
      </c>
      <c r="B5709" s="19" t="s">
        <v>63</v>
      </c>
      <c r="C5709">
        <v>3</v>
      </c>
      <c r="D5709">
        <v>3</v>
      </c>
      <c r="E5709">
        <v>1</v>
      </c>
      <c r="F5709" s="15">
        <v>46251</v>
      </c>
      <c r="G5709" s="19" t="s">
        <v>686</v>
      </c>
      <c r="H5709">
        <v>4</v>
      </c>
      <c r="I5709">
        <v>2026</v>
      </c>
      <c r="J5709">
        <v>8</v>
      </c>
      <c r="K5709" s="19" t="s">
        <v>282</v>
      </c>
      <c r="L5709" s="19" t="s">
        <v>28</v>
      </c>
      <c r="M5709" s="19" t="s">
        <v>63</v>
      </c>
      <c r="N5709" t="b">
        <v>0</v>
      </c>
      <c r="O5709">
        <v>0</v>
      </c>
      <c r="P5709">
        <v>0</v>
      </c>
      <c r="Q5709">
        <v>1</v>
      </c>
      <c r="R5709">
        <v>0</v>
      </c>
    </row>
    <row r="5710" spans="1:18" x14ac:dyDescent="0.25">
      <c r="A5710" s="19" t="s">
        <v>7</v>
      </c>
      <c r="B5710" s="19" t="s">
        <v>63</v>
      </c>
      <c r="C5710">
        <v>3</v>
      </c>
      <c r="D5710">
        <v>3</v>
      </c>
      <c r="E5710">
        <v>1</v>
      </c>
      <c r="F5710" s="15">
        <v>46251</v>
      </c>
      <c r="G5710" s="19" t="s">
        <v>686</v>
      </c>
      <c r="H5710">
        <v>4</v>
      </c>
      <c r="I5710">
        <v>2026</v>
      </c>
      <c r="J5710">
        <v>8</v>
      </c>
      <c r="K5710" s="19" t="s">
        <v>282</v>
      </c>
      <c r="L5710" s="19" t="s">
        <v>433</v>
      </c>
      <c r="M5710" s="19" t="s">
        <v>63</v>
      </c>
      <c r="N5710" t="b">
        <v>0</v>
      </c>
      <c r="O5710">
        <v>0</v>
      </c>
      <c r="P5710">
        <v>0</v>
      </c>
      <c r="Q5710">
        <v>1</v>
      </c>
      <c r="R5710">
        <v>0</v>
      </c>
    </row>
    <row r="5711" spans="1:18" x14ac:dyDescent="0.25">
      <c r="A5711" s="19" t="s">
        <v>433</v>
      </c>
      <c r="B5711" s="19" t="s">
        <v>63</v>
      </c>
      <c r="C5711">
        <v>4</v>
      </c>
      <c r="D5711">
        <v>3</v>
      </c>
      <c r="E5711">
        <v>1</v>
      </c>
      <c r="F5711" s="15">
        <v>46251</v>
      </c>
      <c r="G5711" s="19" t="s">
        <v>686</v>
      </c>
      <c r="H5711">
        <v>4</v>
      </c>
      <c r="I5711">
        <v>2026</v>
      </c>
      <c r="J5711">
        <v>8</v>
      </c>
      <c r="K5711" s="19" t="s">
        <v>282</v>
      </c>
      <c r="L5711" s="19" t="s">
        <v>15</v>
      </c>
      <c r="M5711" s="19" t="s">
        <v>63</v>
      </c>
      <c r="N5711" t="b">
        <v>0</v>
      </c>
      <c r="O5711">
        <v>0</v>
      </c>
      <c r="P5711">
        <v>0</v>
      </c>
      <c r="Q5711">
        <v>1</v>
      </c>
      <c r="R5711">
        <v>0</v>
      </c>
    </row>
    <row r="5712" spans="1:18" x14ac:dyDescent="0.25">
      <c r="A5712" s="19" t="s">
        <v>433</v>
      </c>
      <c r="B5712" s="19" t="s">
        <v>63</v>
      </c>
      <c r="C5712">
        <v>4</v>
      </c>
      <c r="D5712">
        <v>3</v>
      </c>
      <c r="E5712">
        <v>1</v>
      </c>
      <c r="F5712" s="15">
        <v>46251</v>
      </c>
      <c r="G5712" s="19" t="s">
        <v>686</v>
      </c>
      <c r="H5712">
        <v>4</v>
      </c>
      <c r="I5712">
        <v>2026</v>
      </c>
      <c r="J5712">
        <v>8</v>
      </c>
      <c r="K5712" s="19" t="s">
        <v>282</v>
      </c>
      <c r="L5712" s="19" t="s">
        <v>28</v>
      </c>
      <c r="M5712" s="19" t="s">
        <v>63</v>
      </c>
      <c r="N5712" t="b">
        <v>0</v>
      </c>
      <c r="O5712">
        <v>0</v>
      </c>
      <c r="P5712">
        <v>0</v>
      </c>
      <c r="Q5712">
        <v>1</v>
      </c>
      <c r="R5712">
        <v>0</v>
      </c>
    </row>
    <row r="5713" spans="1:18" x14ac:dyDescent="0.25">
      <c r="A5713" s="19" t="s">
        <v>433</v>
      </c>
      <c r="B5713" s="19" t="s">
        <v>63</v>
      </c>
      <c r="C5713">
        <v>4</v>
      </c>
      <c r="D5713">
        <v>3</v>
      </c>
      <c r="E5713">
        <v>1</v>
      </c>
      <c r="F5713" s="15">
        <v>46251</v>
      </c>
      <c r="G5713" s="19" t="s">
        <v>686</v>
      </c>
      <c r="H5713">
        <v>4</v>
      </c>
      <c r="I5713">
        <v>2026</v>
      </c>
      <c r="J5713">
        <v>8</v>
      </c>
      <c r="K5713" s="19" t="s">
        <v>282</v>
      </c>
      <c r="L5713" s="19" t="s">
        <v>7</v>
      </c>
      <c r="M5713" s="19" t="s">
        <v>63</v>
      </c>
      <c r="N5713" t="b">
        <v>0</v>
      </c>
      <c r="O5713">
        <v>0</v>
      </c>
      <c r="P5713">
        <v>0</v>
      </c>
      <c r="Q5713">
        <v>1</v>
      </c>
      <c r="R5713">
        <v>0</v>
      </c>
    </row>
    <row r="5714" spans="1:18" x14ac:dyDescent="0.25">
      <c r="A5714" s="19" t="s">
        <v>11</v>
      </c>
      <c r="B5714" s="19" t="s">
        <v>6</v>
      </c>
      <c r="C5714">
        <v>1</v>
      </c>
      <c r="D5714">
        <v>4</v>
      </c>
      <c r="E5714">
        <v>1</v>
      </c>
      <c r="F5714" s="15">
        <v>46251</v>
      </c>
      <c r="G5714" s="19" t="s">
        <v>687</v>
      </c>
      <c r="H5714">
        <v>4</v>
      </c>
      <c r="I5714">
        <v>2026</v>
      </c>
      <c r="J5714">
        <v>8</v>
      </c>
      <c r="K5714" s="19" t="s">
        <v>282</v>
      </c>
      <c r="L5714" s="19" t="s">
        <v>404</v>
      </c>
      <c r="M5714" s="19" t="s">
        <v>6</v>
      </c>
      <c r="N5714" t="b">
        <v>0</v>
      </c>
      <c r="O5714">
        <v>0</v>
      </c>
      <c r="P5714">
        <v>1</v>
      </c>
      <c r="Q5714">
        <v>0</v>
      </c>
      <c r="R5714">
        <v>0</v>
      </c>
    </row>
    <row r="5715" spans="1:18" x14ac:dyDescent="0.25">
      <c r="A5715" s="19" t="s">
        <v>11</v>
      </c>
      <c r="B5715" s="19" t="s">
        <v>6</v>
      </c>
      <c r="C5715">
        <v>1</v>
      </c>
      <c r="D5715">
        <v>4</v>
      </c>
      <c r="E5715">
        <v>1</v>
      </c>
      <c r="F5715" s="15">
        <v>46251</v>
      </c>
      <c r="G5715" s="19" t="s">
        <v>687</v>
      </c>
      <c r="H5715">
        <v>4</v>
      </c>
      <c r="I5715">
        <v>2026</v>
      </c>
      <c r="J5715">
        <v>8</v>
      </c>
      <c r="K5715" s="19" t="s">
        <v>282</v>
      </c>
      <c r="L5715" s="19" t="s">
        <v>27</v>
      </c>
      <c r="M5715" s="19" t="s">
        <v>8</v>
      </c>
      <c r="N5715" t="b">
        <v>0</v>
      </c>
      <c r="O5715">
        <v>0</v>
      </c>
      <c r="P5715">
        <v>1</v>
      </c>
      <c r="Q5715">
        <v>0</v>
      </c>
      <c r="R5715">
        <v>1</v>
      </c>
    </row>
    <row r="5716" spans="1:18" x14ac:dyDescent="0.25">
      <c r="A5716" s="19" t="s">
        <v>11</v>
      </c>
      <c r="B5716" s="19" t="s">
        <v>6</v>
      </c>
      <c r="C5716">
        <v>1</v>
      </c>
      <c r="D5716">
        <v>4</v>
      </c>
      <c r="E5716">
        <v>1</v>
      </c>
      <c r="F5716" s="15">
        <v>46251</v>
      </c>
      <c r="G5716" s="19" t="s">
        <v>687</v>
      </c>
      <c r="H5716">
        <v>4</v>
      </c>
      <c r="I5716">
        <v>2026</v>
      </c>
      <c r="J5716">
        <v>8</v>
      </c>
      <c r="K5716" s="19" t="s">
        <v>282</v>
      </c>
      <c r="L5716" s="19" t="s">
        <v>14</v>
      </c>
      <c r="M5716" s="19" t="s">
        <v>6</v>
      </c>
      <c r="N5716" t="b">
        <v>0</v>
      </c>
      <c r="O5716">
        <v>0</v>
      </c>
      <c r="P5716">
        <v>1</v>
      </c>
      <c r="Q5716">
        <v>0</v>
      </c>
      <c r="R5716">
        <v>0</v>
      </c>
    </row>
    <row r="5717" spans="1:18" x14ac:dyDescent="0.25">
      <c r="A5717" s="19" t="s">
        <v>404</v>
      </c>
      <c r="B5717" s="19" t="s">
        <v>6</v>
      </c>
      <c r="C5717">
        <v>2</v>
      </c>
      <c r="D5717">
        <v>4</v>
      </c>
      <c r="E5717">
        <v>1</v>
      </c>
      <c r="F5717" s="15">
        <v>46251</v>
      </c>
      <c r="G5717" s="19" t="s">
        <v>687</v>
      </c>
      <c r="H5717">
        <v>4</v>
      </c>
      <c r="I5717">
        <v>2026</v>
      </c>
      <c r="J5717">
        <v>8</v>
      </c>
      <c r="K5717" s="19" t="s">
        <v>282</v>
      </c>
      <c r="L5717" s="19" t="s">
        <v>11</v>
      </c>
      <c r="M5717" s="19" t="s">
        <v>6</v>
      </c>
      <c r="N5717" t="b">
        <v>0</v>
      </c>
      <c r="O5717">
        <v>0</v>
      </c>
      <c r="P5717">
        <v>1</v>
      </c>
      <c r="Q5717">
        <v>0</v>
      </c>
      <c r="R5717">
        <v>0</v>
      </c>
    </row>
    <row r="5718" spans="1:18" x14ac:dyDescent="0.25">
      <c r="A5718" s="19" t="s">
        <v>404</v>
      </c>
      <c r="B5718" s="19" t="s">
        <v>6</v>
      </c>
      <c r="C5718">
        <v>2</v>
      </c>
      <c r="D5718">
        <v>4</v>
      </c>
      <c r="E5718">
        <v>1</v>
      </c>
      <c r="F5718" s="15">
        <v>46251</v>
      </c>
      <c r="G5718" s="19" t="s">
        <v>687</v>
      </c>
      <c r="H5718">
        <v>4</v>
      </c>
      <c r="I5718">
        <v>2026</v>
      </c>
      <c r="J5718">
        <v>8</v>
      </c>
      <c r="K5718" s="19" t="s">
        <v>282</v>
      </c>
      <c r="L5718" s="19" t="s">
        <v>27</v>
      </c>
      <c r="M5718" s="19" t="s">
        <v>8</v>
      </c>
      <c r="N5718" t="b">
        <v>0</v>
      </c>
      <c r="O5718">
        <v>0</v>
      </c>
      <c r="P5718">
        <v>1</v>
      </c>
      <c r="Q5718">
        <v>0</v>
      </c>
      <c r="R5718">
        <v>1</v>
      </c>
    </row>
    <row r="5719" spans="1:18" x14ac:dyDescent="0.25">
      <c r="A5719" s="19" t="s">
        <v>404</v>
      </c>
      <c r="B5719" s="19" t="s">
        <v>6</v>
      </c>
      <c r="C5719">
        <v>2</v>
      </c>
      <c r="D5719">
        <v>4</v>
      </c>
      <c r="E5719">
        <v>1</v>
      </c>
      <c r="F5719" s="15">
        <v>46251</v>
      </c>
      <c r="G5719" s="19" t="s">
        <v>687</v>
      </c>
      <c r="H5719">
        <v>4</v>
      </c>
      <c r="I5719">
        <v>2026</v>
      </c>
      <c r="J5719">
        <v>8</v>
      </c>
      <c r="K5719" s="19" t="s">
        <v>282</v>
      </c>
      <c r="L5719" s="19" t="s">
        <v>14</v>
      </c>
      <c r="M5719" s="19" t="s">
        <v>6</v>
      </c>
      <c r="N5719" t="b">
        <v>0</v>
      </c>
      <c r="O5719">
        <v>0</v>
      </c>
      <c r="P5719">
        <v>1</v>
      </c>
      <c r="Q5719">
        <v>0</v>
      </c>
      <c r="R5719">
        <v>0</v>
      </c>
    </row>
    <row r="5720" spans="1:18" x14ac:dyDescent="0.25">
      <c r="A5720" s="19" t="s">
        <v>27</v>
      </c>
      <c r="B5720" s="19" t="s">
        <v>8</v>
      </c>
      <c r="C5720">
        <v>3</v>
      </c>
      <c r="D5720">
        <v>4</v>
      </c>
      <c r="E5720">
        <v>1</v>
      </c>
      <c r="F5720" s="15">
        <v>46251</v>
      </c>
      <c r="G5720" s="19" t="s">
        <v>687</v>
      </c>
      <c r="H5720">
        <v>4</v>
      </c>
      <c r="I5720">
        <v>2026</v>
      </c>
      <c r="J5720">
        <v>8</v>
      </c>
      <c r="K5720" s="19" t="s">
        <v>282</v>
      </c>
      <c r="L5720" s="19" t="s">
        <v>11</v>
      </c>
      <c r="M5720" s="19" t="s">
        <v>6</v>
      </c>
      <c r="N5720" t="b">
        <v>0</v>
      </c>
      <c r="O5720">
        <v>1</v>
      </c>
      <c r="P5720">
        <v>0</v>
      </c>
      <c r="Q5720">
        <v>0</v>
      </c>
      <c r="R5720">
        <v>0</v>
      </c>
    </row>
    <row r="5721" spans="1:18" x14ac:dyDescent="0.25">
      <c r="A5721" s="19" t="s">
        <v>27</v>
      </c>
      <c r="B5721" s="19" t="s">
        <v>8</v>
      </c>
      <c r="C5721">
        <v>3</v>
      </c>
      <c r="D5721">
        <v>4</v>
      </c>
      <c r="E5721">
        <v>1</v>
      </c>
      <c r="F5721" s="15">
        <v>46251</v>
      </c>
      <c r="G5721" s="19" t="s">
        <v>687</v>
      </c>
      <c r="H5721">
        <v>4</v>
      </c>
      <c r="I5721">
        <v>2026</v>
      </c>
      <c r="J5721">
        <v>8</v>
      </c>
      <c r="K5721" s="19" t="s">
        <v>282</v>
      </c>
      <c r="L5721" s="19" t="s">
        <v>404</v>
      </c>
      <c r="M5721" s="19" t="s">
        <v>6</v>
      </c>
      <c r="N5721" t="b">
        <v>0</v>
      </c>
      <c r="O5721">
        <v>1</v>
      </c>
      <c r="P5721">
        <v>0</v>
      </c>
      <c r="Q5721">
        <v>0</v>
      </c>
      <c r="R5721">
        <v>0</v>
      </c>
    </row>
    <row r="5722" spans="1:18" x14ac:dyDescent="0.25">
      <c r="A5722" s="19" t="s">
        <v>27</v>
      </c>
      <c r="B5722" s="19" t="s">
        <v>8</v>
      </c>
      <c r="C5722">
        <v>3</v>
      </c>
      <c r="D5722">
        <v>4</v>
      </c>
      <c r="E5722">
        <v>1</v>
      </c>
      <c r="F5722" s="15">
        <v>46251</v>
      </c>
      <c r="G5722" s="19" t="s">
        <v>687</v>
      </c>
      <c r="H5722">
        <v>4</v>
      </c>
      <c r="I5722">
        <v>2026</v>
      </c>
      <c r="J5722">
        <v>8</v>
      </c>
      <c r="K5722" s="19" t="s">
        <v>282</v>
      </c>
      <c r="L5722" s="19" t="s">
        <v>14</v>
      </c>
      <c r="M5722" s="19" t="s">
        <v>6</v>
      </c>
      <c r="N5722" t="b">
        <v>0</v>
      </c>
      <c r="O5722">
        <v>1</v>
      </c>
      <c r="P5722">
        <v>0</v>
      </c>
      <c r="Q5722">
        <v>0</v>
      </c>
      <c r="R5722">
        <v>0</v>
      </c>
    </row>
    <row r="5723" spans="1:18" x14ac:dyDescent="0.25">
      <c r="A5723" s="19" t="s">
        <v>14</v>
      </c>
      <c r="B5723" s="19" t="s">
        <v>6</v>
      </c>
      <c r="C5723">
        <v>4</v>
      </c>
      <c r="D5723">
        <v>4</v>
      </c>
      <c r="E5723">
        <v>1</v>
      </c>
      <c r="F5723" s="15">
        <v>46251</v>
      </c>
      <c r="G5723" s="19" t="s">
        <v>687</v>
      </c>
      <c r="H5723">
        <v>4</v>
      </c>
      <c r="I5723">
        <v>2026</v>
      </c>
      <c r="J5723">
        <v>8</v>
      </c>
      <c r="K5723" s="19" t="s">
        <v>282</v>
      </c>
      <c r="L5723" s="19" t="s">
        <v>11</v>
      </c>
      <c r="M5723" s="19" t="s">
        <v>6</v>
      </c>
      <c r="N5723" t="b">
        <v>0</v>
      </c>
      <c r="O5723">
        <v>0</v>
      </c>
      <c r="P5723">
        <v>1</v>
      </c>
      <c r="Q5723">
        <v>0</v>
      </c>
      <c r="R5723">
        <v>0</v>
      </c>
    </row>
    <row r="5724" spans="1:18" x14ac:dyDescent="0.25">
      <c r="A5724" s="19" t="s">
        <v>14</v>
      </c>
      <c r="B5724" s="19" t="s">
        <v>6</v>
      </c>
      <c r="C5724">
        <v>4</v>
      </c>
      <c r="D5724">
        <v>4</v>
      </c>
      <c r="E5724">
        <v>1</v>
      </c>
      <c r="F5724" s="15">
        <v>46251</v>
      </c>
      <c r="G5724" s="19" t="s">
        <v>687</v>
      </c>
      <c r="H5724">
        <v>4</v>
      </c>
      <c r="I5724">
        <v>2026</v>
      </c>
      <c r="J5724">
        <v>8</v>
      </c>
      <c r="K5724" s="19" t="s">
        <v>282</v>
      </c>
      <c r="L5724" s="19" t="s">
        <v>404</v>
      </c>
      <c r="M5724" s="19" t="s">
        <v>6</v>
      </c>
      <c r="N5724" t="b">
        <v>0</v>
      </c>
      <c r="O5724">
        <v>0</v>
      </c>
      <c r="P5724">
        <v>1</v>
      </c>
      <c r="Q5724">
        <v>0</v>
      </c>
      <c r="R5724">
        <v>0</v>
      </c>
    </row>
    <row r="5725" spans="1:18" x14ac:dyDescent="0.25">
      <c r="A5725" s="19" t="s">
        <v>14</v>
      </c>
      <c r="B5725" s="19" t="s">
        <v>6</v>
      </c>
      <c r="C5725">
        <v>4</v>
      </c>
      <c r="D5725">
        <v>4</v>
      </c>
      <c r="E5725">
        <v>1</v>
      </c>
      <c r="F5725" s="15">
        <v>46251</v>
      </c>
      <c r="G5725" s="19" t="s">
        <v>687</v>
      </c>
      <c r="H5725">
        <v>4</v>
      </c>
      <c r="I5725">
        <v>2026</v>
      </c>
      <c r="J5725">
        <v>8</v>
      </c>
      <c r="K5725" s="19" t="s">
        <v>282</v>
      </c>
      <c r="L5725" s="19" t="s">
        <v>27</v>
      </c>
      <c r="M5725" s="19" t="s">
        <v>8</v>
      </c>
      <c r="N5725" t="b">
        <v>0</v>
      </c>
      <c r="O5725">
        <v>0</v>
      </c>
      <c r="P5725">
        <v>1</v>
      </c>
      <c r="Q5725">
        <v>0</v>
      </c>
      <c r="R5725">
        <v>1</v>
      </c>
    </row>
    <row r="5726" spans="1:18" x14ac:dyDescent="0.25">
      <c r="A5726" s="19" t="s">
        <v>405</v>
      </c>
      <c r="B5726" s="19" t="s">
        <v>8</v>
      </c>
      <c r="C5726">
        <v>1</v>
      </c>
      <c r="D5726">
        <v>5</v>
      </c>
      <c r="E5726">
        <v>1</v>
      </c>
      <c r="F5726" s="15">
        <v>46251</v>
      </c>
      <c r="G5726" s="19" t="s">
        <v>688</v>
      </c>
      <c r="H5726">
        <v>3</v>
      </c>
      <c r="I5726">
        <v>2026</v>
      </c>
      <c r="J5726">
        <v>8</v>
      </c>
      <c r="K5726" s="19" t="s">
        <v>282</v>
      </c>
      <c r="L5726" s="19" t="s">
        <v>13</v>
      </c>
      <c r="M5726" s="19" t="s">
        <v>6</v>
      </c>
      <c r="N5726" t="b">
        <v>0</v>
      </c>
      <c r="O5726">
        <v>1</v>
      </c>
      <c r="P5726">
        <v>0</v>
      </c>
      <c r="Q5726">
        <v>0</v>
      </c>
      <c r="R5726">
        <v>0</v>
      </c>
    </row>
    <row r="5727" spans="1:18" x14ac:dyDescent="0.25">
      <c r="A5727" s="19" t="s">
        <v>405</v>
      </c>
      <c r="B5727" s="19" t="s">
        <v>8</v>
      </c>
      <c r="C5727">
        <v>1</v>
      </c>
      <c r="D5727">
        <v>5</v>
      </c>
      <c r="E5727">
        <v>1</v>
      </c>
      <c r="F5727" s="15">
        <v>46251</v>
      </c>
      <c r="G5727" s="19" t="s">
        <v>688</v>
      </c>
      <c r="H5727">
        <v>3</v>
      </c>
      <c r="I5727">
        <v>2026</v>
      </c>
      <c r="J5727">
        <v>8</v>
      </c>
      <c r="K5727" s="19" t="s">
        <v>282</v>
      </c>
      <c r="L5727" s="19" t="s">
        <v>622</v>
      </c>
      <c r="M5727" s="19" t="s">
        <v>6</v>
      </c>
      <c r="N5727" t="b">
        <v>0</v>
      </c>
      <c r="O5727">
        <v>1</v>
      </c>
      <c r="P5727">
        <v>0</v>
      </c>
      <c r="Q5727">
        <v>0</v>
      </c>
      <c r="R5727">
        <v>0</v>
      </c>
    </row>
    <row r="5728" spans="1:18" x14ac:dyDescent="0.25">
      <c r="A5728" s="19" t="s">
        <v>13</v>
      </c>
      <c r="B5728" s="19" t="s">
        <v>6</v>
      </c>
      <c r="C5728">
        <v>2</v>
      </c>
      <c r="D5728">
        <v>5</v>
      </c>
      <c r="E5728">
        <v>1</v>
      </c>
      <c r="F5728" s="15">
        <v>46251</v>
      </c>
      <c r="G5728" s="19" t="s">
        <v>688</v>
      </c>
      <c r="H5728">
        <v>3</v>
      </c>
      <c r="I5728">
        <v>2026</v>
      </c>
      <c r="J5728">
        <v>8</v>
      </c>
      <c r="K5728" s="19" t="s">
        <v>282</v>
      </c>
      <c r="L5728" s="19" t="s">
        <v>405</v>
      </c>
      <c r="M5728" s="19" t="s">
        <v>8</v>
      </c>
      <c r="N5728" t="b">
        <v>0</v>
      </c>
      <c r="O5728">
        <v>0</v>
      </c>
      <c r="P5728">
        <v>1</v>
      </c>
      <c r="Q5728">
        <v>0</v>
      </c>
      <c r="R5728">
        <v>1</v>
      </c>
    </row>
    <row r="5729" spans="1:18" x14ac:dyDescent="0.25">
      <c r="A5729" s="19" t="s">
        <v>13</v>
      </c>
      <c r="B5729" s="19" t="s">
        <v>6</v>
      </c>
      <c r="C5729">
        <v>2</v>
      </c>
      <c r="D5729">
        <v>5</v>
      </c>
      <c r="E5729">
        <v>1</v>
      </c>
      <c r="F5729" s="15">
        <v>46251</v>
      </c>
      <c r="G5729" s="19" t="s">
        <v>688</v>
      </c>
      <c r="H5729">
        <v>3</v>
      </c>
      <c r="I5729">
        <v>2026</v>
      </c>
      <c r="J5729">
        <v>8</v>
      </c>
      <c r="K5729" s="19" t="s">
        <v>282</v>
      </c>
      <c r="L5729" s="19" t="s">
        <v>622</v>
      </c>
      <c r="M5729" s="19" t="s">
        <v>6</v>
      </c>
      <c r="N5729" t="b">
        <v>0</v>
      </c>
      <c r="O5729">
        <v>0</v>
      </c>
      <c r="P5729">
        <v>1</v>
      </c>
      <c r="Q5729">
        <v>0</v>
      </c>
      <c r="R5729">
        <v>0</v>
      </c>
    </row>
    <row r="5730" spans="1:18" x14ac:dyDescent="0.25">
      <c r="A5730" s="19" t="s">
        <v>622</v>
      </c>
      <c r="B5730" s="19" t="s">
        <v>6</v>
      </c>
      <c r="C5730">
        <v>3</v>
      </c>
      <c r="D5730">
        <v>5</v>
      </c>
      <c r="E5730">
        <v>1</v>
      </c>
      <c r="F5730" s="15">
        <v>46251</v>
      </c>
      <c r="G5730" s="19" t="s">
        <v>688</v>
      </c>
      <c r="H5730">
        <v>3</v>
      </c>
      <c r="I5730">
        <v>2026</v>
      </c>
      <c r="J5730">
        <v>8</v>
      </c>
      <c r="K5730" s="19" t="s">
        <v>282</v>
      </c>
      <c r="L5730" s="19" t="s">
        <v>405</v>
      </c>
      <c r="M5730" s="19" t="s">
        <v>8</v>
      </c>
      <c r="N5730" t="b">
        <v>0</v>
      </c>
      <c r="O5730">
        <v>0</v>
      </c>
      <c r="P5730">
        <v>1</v>
      </c>
      <c r="Q5730">
        <v>0</v>
      </c>
      <c r="R5730">
        <v>1</v>
      </c>
    </row>
    <row r="5731" spans="1:18" x14ac:dyDescent="0.25">
      <c r="A5731" s="19" t="s">
        <v>622</v>
      </c>
      <c r="B5731" s="19" t="s">
        <v>6</v>
      </c>
      <c r="C5731">
        <v>3</v>
      </c>
      <c r="D5731">
        <v>5</v>
      </c>
      <c r="E5731">
        <v>1</v>
      </c>
      <c r="F5731" s="15">
        <v>46251</v>
      </c>
      <c r="G5731" s="19" t="s">
        <v>688</v>
      </c>
      <c r="H5731">
        <v>3</v>
      </c>
      <c r="I5731">
        <v>2026</v>
      </c>
      <c r="J5731">
        <v>8</v>
      </c>
      <c r="K5731" s="19" t="s">
        <v>282</v>
      </c>
      <c r="L5731" s="19" t="s">
        <v>13</v>
      </c>
      <c r="M5731" s="19" t="s">
        <v>6</v>
      </c>
      <c r="N5731" t="b">
        <v>0</v>
      </c>
      <c r="O5731">
        <v>0</v>
      </c>
      <c r="P5731">
        <v>1</v>
      </c>
      <c r="Q5731">
        <v>0</v>
      </c>
      <c r="R5731">
        <v>0</v>
      </c>
    </row>
    <row r="5732" spans="1:18" x14ac:dyDescent="0.25">
      <c r="A5732" s="19" t="s">
        <v>7</v>
      </c>
      <c r="B5732" s="19" t="s">
        <v>8</v>
      </c>
      <c r="C5732">
        <v>1</v>
      </c>
      <c r="D5732">
        <v>1</v>
      </c>
      <c r="E5732">
        <v>2</v>
      </c>
      <c r="F5732" s="15">
        <v>46251</v>
      </c>
      <c r="G5732" s="19" t="s">
        <v>689</v>
      </c>
      <c r="H5732">
        <v>3</v>
      </c>
      <c r="I5732">
        <v>2026</v>
      </c>
      <c r="J5732">
        <v>8</v>
      </c>
      <c r="K5732" s="19" t="s">
        <v>282</v>
      </c>
      <c r="L5732" s="19" t="s">
        <v>9</v>
      </c>
      <c r="M5732" s="19" t="s">
        <v>6</v>
      </c>
      <c r="N5732" t="b">
        <v>0</v>
      </c>
      <c r="O5732">
        <v>1</v>
      </c>
      <c r="P5732">
        <v>0</v>
      </c>
      <c r="Q5732">
        <v>0</v>
      </c>
      <c r="R5732">
        <v>0</v>
      </c>
    </row>
    <row r="5733" spans="1:18" x14ac:dyDescent="0.25">
      <c r="A5733" s="19" t="s">
        <v>7</v>
      </c>
      <c r="B5733" s="19" t="s">
        <v>8</v>
      </c>
      <c r="C5733">
        <v>1</v>
      </c>
      <c r="D5733">
        <v>1</v>
      </c>
      <c r="E5733">
        <v>2</v>
      </c>
      <c r="F5733" s="15">
        <v>46251</v>
      </c>
      <c r="G5733" s="19" t="s">
        <v>689</v>
      </c>
      <c r="H5733">
        <v>3</v>
      </c>
      <c r="I5733">
        <v>2026</v>
      </c>
      <c r="J5733">
        <v>8</v>
      </c>
      <c r="K5733" s="19" t="s">
        <v>282</v>
      </c>
      <c r="L5733" s="19" t="s">
        <v>694</v>
      </c>
      <c r="M5733" s="19" t="s">
        <v>6</v>
      </c>
      <c r="N5733" t="b">
        <v>0</v>
      </c>
      <c r="O5733">
        <v>1</v>
      </c>
      <c r="P5733">
        <v>0</v>
      </c>
      <c r="Q5733">
        <v>0</v>
      </c>
      <c r="R5733">
        <v>0</v>
      </c>
    </row>
    <row r="5734" spans="1:18" x14ac:dyDescent="0.25">
      <c r="A5734" s="19" t="s">
        <v>9</v>
      </c>
      <c r="B5734" s="19" t="s">
        <v>6</v>
      </c>
      <c r="C5734">
        <v>2</v>
      </c>
      <c r="D5734">
        <v>1</v>
      </c>
      <c r="E5734">
        <v>2</v>
      </c>
      <c r="F5734" s="15">
        <v>46251</v>
      </c>
      <c r="G5734" s="19" t="s">
        <v>689</v>
      </c>
      <c r="H5734">
        <v>3</v>
      </c>
      <c r="I5734">
        <v>2026</v>
      </c>
      <c r="J5734">
        <v>8</v>
      </c>
      <c r="K5734" s="19" t="s">
        <v>282</v>
      </c>
      <c r="L5734" s="19" t="s">
        <v>7</v>
      </c>
      <c r="M5734" s="19" t="s">
        <v>8</v>
      </c>
      <c r="N5734" t="b">
        <v>0</v>
      </c>
      <c r="O5734">
        <v>0</v>
      </c>
      <c r="P5734">
        <v>1</v>
      </c>
      <c r="Q5734">
        <v>0</v>
      </c>
      <c r="R5734">
        <v>1</v>
      </c>
    </row>
    <row r="5735" spans="1:18" x14ac:dyDescent="0.25">
      <c r="A5735" s="19" t="s">
        <v>9</v>
      </c>
      <c r="B5735" s="19" t="s">
        <v>6</v>
      </c>
      <c r="C5735">
        <v>2</v>
      </c>
      <c r="D5735">
        <v>1</v>
      </c>
      <c r="E5735">
        <v>2</v>
      </c>
      <c r="F5735" s="15">
        <v>46251</v>
      </c>
      <c r="G5735" s="19" t="s">
        <v>689</v>
      </c>
      <c r="H5735">
        <v>3</v>
      </c>
      <c r="I5735">
        <v>2026</v>
      </c>
      <c r="J5735">
        <v>8</v>
      </c>
      <c r="K5735" s="19" t="s">
        <v>282</v>
      </c>
      <c r="L5735" s="19" t="s">
        <v>694</v>
      </c>
      <c r="M5735" s="19" t="s">
        <v>6</v>
      </c>
      <c r="N5735" t="b">
        <v>0</v>
      </c>
      <c r="O5735">
        <v>0</v>
      </c>
      <c r="P5735">
        <v>1</v>
      </c>
      <c r="Q5735">
        <v>0</v>
      </c>
      <c r="R5735">
        <v>0</v>
      </c>
    </row>
    <row r="5736" spans="1:18" x14ac:dyDescent="0.25">
      <c r="A5736" s="19" t="s">
        <v>694</v>
      </c>
      <c r="B5736" s="19" t="s">
        <v>6</v>
      </c>
      <c r="C5736">
        <v>3</v>
      </c>
      <c r="D5736">
        <v>1</v>
      </c>
      <c r="E5736">
        <v>2</v>
      </c>
      <c r="F5736" s="15">
        <v>46251</v>
      </c>
      <c r="G5736" s="19" t="s">
        <v>689</v>
      </c>
      <c r="H5736">
        <v>3</v>
      </c>
      <c r="I5736">
        <v>2026</v>
      </c>
      <c r="J5736">
        <v>8</v>
      </c>
      <c r="K5736" s="19" t="s">
        <v>282</v>
      </c>
      <c r="L5736" s="19" t="s">
        <v>7</v>
      </c>
      <c r="M5736" s="19" t="s">
        <v>8</v>
      </c>
      <c r="N5736" t="b">
        <v>0</v>
      </c>
      <c r="O5736">
        <v>0</v>
      </c>
      <c r="P5736">
        <v>1</v>
      </c>
      <c r="Q5736">
        <v>0</v>
      </c>
      <c r="R5736">
        <v>1</v>
      </c>
    </row>
    <row r="5737" spans="1:18" x14ac:dyDescent="0.25">
      <c r="A5737" s="19" t="s">
        <v>694</v>
      </c>
      <c r="B5737" s="19" t="s">
        <v>6</v>
      </c>
      <c r="C5737">
        <v>3</v>
      </c>
      <c r="D5737">
        <v>1</v>
      </c>
      <c r="E5737">
        <v>2</v>
      </c>
      <c r="F5737" s="15">
        <v>46251</v>
      </c>
      <c r="G5737" s="19" t="s">
        <v>689</v>
      </c>
      <c r="H5737">
        <v>3</v>
      </c>
      <c r="I5737">
        <v>2026</v>
      </c>
      <c r="J5737">
        <v>8</v>
      </c>
      <c r="K5737" s="19" t="s">
        <v>282</v>
      </c>
      <c r="L5737" s="19" t="s">
        <v>9</v>
      </c>
      <c r="M5737" s="19" t="s">
        <v>6</v>
      </c>
      <c r="N5737" t="b">
        <v>0</v>
      </c>
      <c r="O5737">
        <v>0</v>
      </c>
      <c r="P5737">
        <v>1</v>
      </c>
      <c r="Q5737">
        <v>0</v>
      </c>
      <c r="R5737">
        <v>0</v>
      </c>
    </row>
    <row r="5738" spans="1:18" x14ac:dyDescent="0.25">
      <c r="A5738" s="19" t="s">
        <v>27</v>
      </c>
      <c r="B5738" s="19" t="s">
        <v>6</v>
      </c>
      <c r="C5738">
        <v>1</v>
      </c>
      <c r="D5738">
        <v>2</v>
      </c>
      <c r="E5738">
        <v>2</v>
      </c>
      <c r="F5738" s="15">
        <v>46251</v>
      </c>
      <c r="G5738" s="19" t="s">
        <v>690</v>
      </c>
      <c r="H5738">
        <v>4</v>
      </c>
      <c r="I5738">
        <v>2026</v>
      </c>
      <c r="J5738">
        <v>8</v>
      </c>
      <c r="K5738" s="19" t="s">
        <v>282</v>
      </c>
      <c r="L5738" s="19" t="s">
        <v>622</v>
      </c>
      <c r="M5738" s="19" t="s">
        <v>6</v>
      </c>
      <c r="N5738" t="b">
        <v>0</v>
      </c>
      <c r="O5738">
        <v>0</v>
      </c>
      <c r="P5738">
        <v>1</v>
      </c>
      <c r="Q5738">
        <v>0</v>
      </c>
      <c r="R5738">
        <v>0</v>
      </c>
    </row>
    <row r="5739" spans="1:18" x14ac:dyDescent="0.25">
      <c r="A5739" s="19" t="s">
        <v>27</v>
      </c>
      <c r="B5739" s="19" t="s">
        <v>6</v>
      </c>
      <c r="C5739">
        <v>1</v>
      </c>
      <c r="D5739">
        <v>2</v>
      </c>
      <c r="E5739">
        <v>2</v>
      </c>
      <c r="F5739" s="15">
        <v>46251</v>
      </c>
      <c r="G5739" s="19" t="s">
        <v>690</v>
      </c>
      <c r="H5739">
        <v>4</v>
      </c>
      <c r="I5739">
        <v>2026</v>
      </c>
      <c r="J5739">
        <v>8</v>
      </c>
      <c r="K5739" s="19" t="s">
        <v>282</v>
      </c>
      <c r="L5739" s="19" t="s">
        <v>578</v>
      </c>
      <c r="M5739" s="19" t="s">
        <v>8</v>
      </c>
      <c r="N5739" t="b">
        <v>0</v>
      </c>
      <c r="O5739">
        <v>0</v>
      </c>
      <c r="P5739">
        <v>1</v>
      </c>
      <c r="Q5739">
        <v>0</v>
      </c>
      <c r="R5739">
        <v>1</v>
      </c>
    </row>
    <row r="5740" spans="1:18" x14ac:dyDescent="0.25">
      <c r="A5740" s="19" t="s">
        <v>27</v>
      </c>
      <c r="B5740" s="19" t="s">
        <v>6</v>
      </c>
      <c r="C5740">
        <v>1</v>
      </c>
      <c r="D5740">
        <v>2</v>
      </c>
      <c r="E5740">
        <v>2</v>
      </c>
      <c r="F5740" s="15">
        <v>46251</v>
      </c>
      <c r="G5740" s="19" t="s">
        <v>690</v>
      </c>
      <c r="H5740">
        <v>4</v>
      </c>
      <c r="I5740">
        <v>2026</v>
      </c>
      <c r="J5740">
        <v>8</v>
      </c>
      <c r="K5740" s="19" t="s">
        <v>282</v>
      </c>
      <c r="L5740" s="19" t="s">
        <v>19</v>
      </c>
      <c r="M5740" s="19" t="s">
        <v>6</v>
      </c>
      <c r="N5740" t="b">
        <v>0</v>
      </c>
      <c r="O5740">
        <v>0</v>
      </c>
      <c r="P5740">
        <v>1</v>
      </c>
      <c r="Q5740">
        <v>0</v>
      </c>
      <c r="R5740">
        <v>0</v>
      </c>
    </row>
    <row r="5741" spans="1:18" x14ac:dyDescent="0.25">
      <c r="A5741" s="19" t="s">
        <v>622</v>
      </c>
      <c r="B5741" s="19" t="s">
        <v>6</v>
      </c>
      <c r="C5741">
        <v>2</v>
      </c>
      <c r="D5741">
        <v>2</v>
      </c>
      <c r="E5741">
        <v>2</v>
      </c>
      <c r="F5741" s="15">
        <v>46251</v>
      </c>
      <c r="G5741" s="19" t="s">
        <v>690</v>
      </c>
      <c r="H5741">
        <v>4</v>
      </c>
      <c r="I5741">
        <v>2026</v>
      </c>
      <c r="J5741">
        <v>8</v>
      </c>
      <c r="K5741" s="19" t="s">
        <v>282</v>
      </c>
      <c r="L5741" s="19" t="s">
        <v>27</v>
      </c>
      <c r="M5741" s="19" t="s">
        <v>6</v>
      </c>
      <c r="N5741" t="b">
        <v>0</v>
      </c>
      <c r="O5741">
        <v>0</v>
      </c>
      <c r="P5741">
        <v>1</v>
      </c>
      <c r="Q5741">
        <v>0</v>
      </c>
      <c r="R5741">
        <v>0</v>
      </c>
    </row>
    <row r="5742" spans="1:18" x14ac:dyDescent="0.25">
      <c r="A5742" s="19" t="s">
        <v>622</v>
      </c>
      <c r="B5742" s="19" t="s">
        <v>6</v>
      </c>
      <c r="C5742">
        <v>2</v>
      </c>
      <c r="D5742">
        <v>2</v>
      </c>
      <c r="E5742">
        <v>2</v>
      </c>
      <c r="F5742" s="15">
        <v>46251</v>
      </c>
      <c r="G5742" s="19" t="s">
        <v>690</v>
      </c>
      <c r="H5742">
        <v>4</v>
      </c>
      <c r="I5742">
        <v>2026</v>
      </c>
      <c r="J5742">
        <v>8</v>
      </c>
      <c r="K5742" s="19" t="s">
        <v>282</v>
      </c>
      <c r="L5742" s="19" t="s">
        <v>578</v>
      </c>
      <c r="M5742" s="19" t="s">
        <v>8</v>
      </c>
      <c r="N5742" t="b">
        <v>0</v>
      </c>
      <c r="O5742">
        <v>0</v>
      </c>
      <c r="P5742">
        <v>1</v>
      </c>
      <c r="Q5742">
        <v>0</v>
      </c>
      <c r="R5742">
        <v>1</v>
      </c>
    </row>
    <row r="5743" spans="1:18" x14ac:dyDescent="0.25">
      <c r="A5743" s="19" t="s">
        <v>622</v>
      </c>
      <c r="B5743" s="19" t="s">
        <v>6</v>
      </c>
      <c r="C5743">
        <v>2</v>
      </c>
      <c r="D5743">
        <v>2</v>
      </c>
      <c r="E5743">
        <v>2</v>
      </c>
      <c r="F5743" s="15">
        <v>46251</v>
      </c>
      <c r="G5743" s="19" t="s">
        <v>690</v>
      </c>
      <c r="H5743">
        <v>4</v>
      </c>
      <c r="I5743">
        <v>2026</v>
      </c>
      <c r="J5743">
        <v>8</v>
      </c>
      <c r="K5743" s="19" t="s">
        <v>282</v>
      </c>
      <c r="L5743" s="19" t="s">
        <v>19</v>
      </c>
      <c r="M5743" s="19" t="s">
        <v>6</v>
      </c>
      <c r="N5743" t="b">
        <v>0</v>
      </c>
      <c r="O5743">
        <v>0</v>
      </c>
      <c r="P5743">
        <v>1</v>
      </c>
      <c r="Q5743">
        <v>0</v>
      </c>
      <c r="R5743">
        <v>0</v>
      </c>
    </row>
    <row r="5744" spans="1:18" x14ac:dyDescent="0.25">
      <c r="A5744" s="19" t="s">
        <v>578</v>
      </c>
      <c r="B5744" s="19" t="s">
        <v>8</v>
      </c>
      <c r="C5744">
        <v>3</v>
      </c>
      <c r="D5744">
        <v>2</v>
      </c>
      <c r="E5744">
        <v>2</v>
      </c>
      <c r="F5744" s="15">
        <v>46251</v>
      </c>
      <c r="G5744" s="19" t="s">
        <v>690</v>
      </c>
      <c r="H5744">
        <v>4</v>
      </c>
      <c r="I5744">
        <v>2026</v>
      </c>
      <c r="J5744">
        <v>8</v>
      </c>
      <c r="K5744" s="19" t="s">
        <v>282</v>
      </c>
      <c r="L5744" s="19" t="s">
        <v>27</v>
      </c>
      <c r="M5744" s="19" t="s">
        <v>6</v>
      </c>
      <c r="N5744" t="b">
        <v>0</v>
      </c>
      <c r="O5744">
        <v>1</v>
      </c>
      <c r="P5744">
        <v>0</v>
      </c>
      <c r="Q5744">
        <v>0</v>
      </c>
      <c r="R5744">
        <v>0</v>
      </c>
    </row>
    <row r="5745" spans="1:18" x14ac:dyDescent="0.25">
      <c r="A5745" s="19" t="s">
        <v>578</v>
      </c>
      <c r="B5745" s="19" t="s">
        <v>8</v>
      </c>
      <c r="C5745">
        <v>3</v>
      </c>
      <c r="D5745">
        <v>2</v>
      </c>
      <c r="E5745">
        <v>2</v>
      </c>
      <c r="F5745" s="15">
        <v>46251</v>
      </c>
      <c r="G5745" s="19" t="s">
        <v>690</v>
      </c>
      <c r="H5745">
        <v>4</v>
      </c>
      <c r="I5745">
        <v>2026</v>
      </c>
      <c r="J5745">
        <v>8</v>
      </c>
      <c r="K5745" s="19" t="s">
        <v>282</v>
      </c>
      <c r="L5745" s="19" t="s">
        <v>622</v>
      </c>
      <c r="M5745" s="19" t="s">
        <v>6</v>
      </c>
      <c r="N5745" t="b">
        <v>0</v>
      </c>
      <c r="O5745">
        <v>1</v>
      </c>
      <c r="P5745">
        <v>0</v>
      </c>
      <c r="Q5745">
        <v>0</v>
      </c>
      <c r="R5745">
        <v>0</v>
      </c>
    </row>
    <row r="5746" spans="1:18" x14ac:dyDescent="0.25">
      <c r="A5746" s="19" t="s">
        <v>578</v>
      </c>
      <c r="B5746" s="19" t="s">
        <v>8</v>
      </c>
      <c r="C5746">
        <v>3</v>
      </c>
      <c r="D5746">
        <v>2</v>
      </c>
      <c r="E5746">
        <v>2</v>
      </c>
      <c r="F5746" s="15">
        <v>46251</v>
      </c>
      <c r="G5746" s="19" t="s">
        <v>690</v>
      </c>
      <c r="H5746">
        <v>4</v>
      </c>
      <c r="I5746">
        <v>2026</v>
      </c>
      <c r="J5746">
        <v>8</v>
      </c>
      <c r="K5746" s="19" t="s">
        <v>282</v>
      </c>
      <c r="L5746" s="19" t="s">
        <v>19</v>
      </c>
      <c r="M5746" s="19" t="s">
        <v>6</v>
      </c>
      <c r="N5746" t="b">
        <v>0</v>
      </c>
      <c r="O5746">
        <v>1</v>
      </c>
      <c r="P5746">
        <v>0</v>
      </c>
      <c r="Q5746">
        <v>0</v>
      </c>
      <c r="R5746">
        <v>0</v>
      </c>
    </row>
    <row r="5747" spans="1:18" x14ac:dyDescent="0.25">
      <c r="A5747" s="19" t="s">
        <v>19</v>
      </c>
      <c r="B5747" s="19" t="s">
        <v>6</v>
      </c>
      <c r="C5747">
        <v>4</v>
      </c>
      <c r="D5747">
        <v>2</v>
      </c>
      <c r="E5747">
        <v>2</v>
      </c>
      <c r="F5747" s="15">
        <v>46251</v>
      </c>
      <c r="G5747" s="19" t="s">
        <v>690</v>
      </c>
      <c r="H5747">
        <v>4</v>
      </c>
      <c r="I5747">
        <v>2026</v>
      </c>
      <c r="J5747">
        <v>8</v>
      </c>
      <c r="K5747" s="19" t="s">
        <v>282</v>
      </c>
      <c r="L5747" s="19" t="s">
        <v>27</v>
      </c>
      <c r="M5747" s="19" t="s">
        <v>6</v>
      </c>
      <c r="N5747" t="b">
        <v>0</v>
      </c>
      <c r="O5747">
        <v>0</v>
      </c>
      <c r="P5747">
        <v>1</v>
      </c>
      <c r="Q5747">
        <v>0</v>
      </c>
      <c r="R5747">
        <v>0</v>
      </c>
    </row>
    <row r="5748" spans="1:18" x14ac:dyDescent="0.25">
      <c r="A5748" s="19" t="s">
        <v>19</v>
      </c>
      <c r="B5748" s="19" t="s">
        <v>6</v>
      </c>
      <c r="C5748">
        <v>4</v>
      </c>
      <c r="D5748">
        <v>2</v>
      </c>
      <c r="E5748">
        <v>2</v>
      </c>
      <c r="F5748" s="15">
        <v>46251</v>
      </c>
      <c r="G5748" s="19" t="s">
        <v>690</v>
      </c>
      <c r="H5748">
        <v>4</v>
      </c>
      <c r="I5748">
        <v>2026</v>
      </c>
      <c r="J5748">
        <v>8</v>
      </c>
      <c r="K5748" s="19" t="s">
        <v>282</v>
      </c>
      <c r="L5748" s="19" t="s">
        <v>622</v>
      </c>
      <c r="M5748" s="19" t="s">
        <v>6</v>
      </c>
      <c r="N5748" t="b">
        <v>0</v>
      </c>
      <c r="O5748">
        <v>0</v>
      </c>
      <c r="P5748">
        <v>1</v>
      </c>
      <c r="Q5748">
        <v>0</v>
      </c>
      <c r="R5748">
        <v>0</v>
      </c>
    </row>
    <row r="5749" spans="1:18" x14ac:dyDescent="0.25">
      <c r="A5749" s="19" t="s">
        <v>19</v>
      </c>
      <c r="B5749" s="19" t="s">
        <v>6</v>
      </c>
      <c r="C5749">
        <v>4</v>
      </c>
      <c r="D5749">
        <v>2</v>
      </c>
      <c r="E5749">
        <v>2</v>
      </c>
      <c r="F5749" s="15">
        <v>46251</v>
      </c>
      <c r="G5749" s="19" t="s">
        <v>690</v>
      </c>
      <c r="H5749">
        <v>4</v>
      </c>
      <c r="I5749">
        <v>2026</v>
      </c>
      <c r="J5749">
        <v>8</v>
      </c>
      <c r="K5749" s="19" t="s">
        <v>282</v>
      </c>
      <c r="L5749" s="19" t="s">
        <v>578</v>
      </c>
      <c r="M5749" s="19" t="s">
        <v>8</v>
      </c>
      <c r="N5749" t="b">
        <v>0</v>
      </c>
      <c r="O5749">
        <v>0</v>
      </c>
      <c r="P5749">
        <v>1</v>
      </c>
      <c r="Q5749">
        <v>0</v>
      </c>
      <c r="R5749">
        <v>1</v>
      </c>
    </row>
    <row r="5750" spans="1:18" x14ac:dyDescent="0.25">
      <c r="A5750" s="19" t="s">
        <v>352</v>
      </c>
      <c r="B5750" s="19" t="s">
        <v>6</v>
      </c>
      <c r="C5750">
        <v>1</v>
      </c>
      <c r="D5750">
        <v>3</v>
      </c>
      <c r="E5750">
        <v>2</v>
      </c>
      <c r="F5750" s="15">
        <v>46251</v>
      </c>
      <c r="G5750" s="19" t="s">
        <v>691</v>
      </c>
      <c r="H5750">
        <v>4</v>
      </c>
      <c r="I5750">
        <v>2026</v>
      </c>
      <c r="J5750">
        <v>8</v>
      </c>
      <c r="K5750" s="19" t="s">
        <v>282</v>
      </c>
      <c r="L5750" s="19" t="s">
        <v>14</v>
      </c>
      <c r="M5750" s="19" t="s">
        <v>6</v>
      </c>
      <c r="N5750" t="b">
        <v>0</v>
      </c>
      <c r="O5750">
        <v>0</v>
      </c>
      <c r="P5750">
        <v>1</v>
      </c>
      <c r="Q5750">
        <v>0</v>
      </c>
      <c r="R5750">
        <v>0</v>
      </c>
    </row>
    <row r="5751" spans="1:18" x14ac:dyDescent="0.25">
      <c r="A5751" s="19" t="s">
        <v>352</v>
      </c>
      <c r="B5751" s="19" t="s">
        <v>6</v>
      </c>
      <c r="C5751">
        <v>1</v>
      </c>
      <c r="D5751">
        <v>3</v>
      </c>
      <c r="E5751">
        <v>2</v>
      </c>
      <c r="F5751" s="15">
        <v>46251</v>
      </c>
      <c r="G5751" s="19" t="s">
        <v>691</v>
      </c>
      <c r="H5751">
        <v>4</v>
      </c>
      <c r="I5751">
        <v>2026</v>
      </c>
      <c r="J5751">
        <v>8</v>
      </c>
      <c r="K5751" s="19" t="s">
        <v>282</v>
      </c>
      <c r="L5751" s="19" t="s">
        <v>13</v>
      </c>
      <c r="M5751" s="19" t="s">
        <v>6</v>
      </c>
      <c r="N5751" t="b">
        <v>0</v>
      </c>
      <c r="O5751">
        <v>0</v>
      </c>
      <c r="P5751">
        <v>1</v>
      </c>
      <c r="Q5751">
        <v>0</v>
      </c>
      <c r="R5751">
        <v>0</v>
      </c>
    </row>
    <row r="5752" spans="1:18" x14ac:dyDescent="0.25">
      <c r="A5752" s="19" t="s">
        <v>352</v>
      </c>
      <c r="B5752" s="19" t="s">
        <v>6</v>
      </c>
      <c r="C5752">
        <v>1</v>
      </c>
      <c r="D5752">
        <v>3</v>
      </c>
      <c r="E5752">
        <v>2</v>
      </c>
      <c r="F5752" s="15">
        <v>46251</v>
      </c>
      <c r="G5752" s="19" t="s">
        <v>691</v>
      </c>
      <c r="H5752">
        <v>4</v>
      </c>
      <c r="I5752">
        <v>2026</v>
      </c>
      <c r="J5752">
        <v>8</v>
      </c>
      <c r="K5752" s="19" t="s">
        <v>282</v>
      </c>
      <c r="L5752" s="19" t="s">
        <v>405</v>
      </c>
      <c r="M5752" s="19" t="s">
        <v>8</v>
      </c>
      <c r="N5752" t="b">
        <v>0</v>
      </c>
      <c r="O5752">
        <v>0</v>
      </c>
      <c r="P5752">
        <v>1</v>
      </c>
      <c r="Q5752">
        <v>0</v>
      </c>
      <c r="R5752">
        <v>1</v>
      </c>
    </row>
    <row r="5753" spans="1:18" x14ac:dyDescent="0.25">
      <c r="A5753" s="19" t="s">
        <v>14</v>
      </c>
      <c r="B5753" s="19" t="s">
        <v>6</v>
      </c>
      <c r="C5753">
        <v>2</v>
      </c>
      <c r="D5753">
        <v>3</v>
      </c>
      <c r="E5753">
        <v>2</v>
      </c>
      <c r="F5753" s="15">
        <v>46251</v>
      </c>
      <c r="G5753" s="19" t="s">
        <v>691</v>
      </c>
      <c r="H5753">
        <v>4</v>
      </c>
      <c r="I5753">
        <v>2026</v>
      </c>
      <c r="J5753">
        <v>8</v>
      </c>
      <c r="K5753" s="19" t="s">
        <v>282</v>
      </c>
      <c r="L5753" s="19" t="s">
        <v>352</v>
      </c>
      <c r="M5753" s="19" t="s">
        <v>6</v>
      </c>
      <c r="N5753" t="b">
        <v>0</v>
      </c>
      <c r="O5753">
        <v>0</v>
      </c>
      <c r="P5753">
        <v>1</v>
      </c>
      <c r="Q5753">
        <v>0</v>
      </c>
      <c r="R5753">
        <v>0</v>
      </c>
    </row>
    <row r="5754" spans="1:18" x14ac:dyDescent="0.25">
      <c r="A5754" s="19" t="s">
        <v>14</v>
      </c>
      <c r="B5754" s="19" t="s">
        <v>6</v>
      </c>
      <c r="C5754">
        <v>2</v>
      </c>
      <c r="D5754">
        <v>3</v>
      </c>
      <c r="E5754">
        <v>2</v>
      </c>
      <c r="F5754" s="15">
        <v>46251</v>
      </c>
      <c r="G5754" s="19" t="s">
        <v>691</v>
      </c>
      <c r="H5754">
        <v>4</v>
      </c>
      <c r="I5754">
        <v>2026</v>
      </c>
      <c r="J5754">
        <v>8</v>
      </c>
      <c r="K5754" s="19" t="s">
        <v>282</v>
      </c>
      <c r="L5754" s="19" t="s">
        <v>13</v>
      </c>
      <c r="M5754" s="19" t="s">
        <v>6</v>
      </c>
      <c r="N5754" t="b">
        <v>0</v>
      </c>
      <c r="O5754">
        <v>0</v>
      </c>
      <c r="P5754">
        <v>1</v>
      </c>
      <c r="Q5754">
        <v>0</v>
      </c>
      <c r="R5754">
        <v>0</v>
      </c>
    </row>
    <row r="5755" spans="1:18" x14ac:dyDescent="0.25">
      <c r="A5755" s="19" t="s">
        <v>14</v>
      </c>
      <c r="B5755" s="19" t="s">
        <v>6</v>
      </c>
      <c r="C5755">
        <v>2</v>
      </c>
      <c r="D5755">
        <v>3</v>
      </c>
      <c r="E5755">
        <v>2</v>
      </c>
      <c r="F5755" s="15">
        <v>46251</v>
      </c>
      <c r="G5755" s="19" t="s">
        <v>691</v>
      </c>
      <c r="H5755">
        <v>4</v>
      </c>
      <c r="I5755">
        <v>2026</v>
      </c>
      <c r="J5755">
        <v>8</v>
      </c>
      <c r="K5755" s="19" t="s">
        <v>282</v>
      </c>
      <c r="L5755" s="19" t="s">
        <v>405</v>
      </c>
      <c r="M5755" s="19" t="s">
        <v>8</v>
      </c>
      <c r="N5755" t="b">
        <v>0</v>
      </c>
      <c r="O5755">
        <v>0</v>
      </c>
      <c r="P5755">
        <v>1</v>
      </c>
      <c r="Q5755">
        <v>0</v>
      </c>
      <c r="R5755">
        <v>1</v>
      </c>
    </row>
    <row r="5756" spans="1:18" x14ac:dyDescent="0.25">
      <c r="A5756" s="19" t="s">
        <v>13</v>
      </c>
      <c r="B5756" s="19" t="s">
        <v>6</v>
      </c>
      <c r="C5756">
        <v>3</v>
      </c>
      <c r="D5756">
        <v>3</v>
      </c>
      <c r="E5756">
        <v>2</v>
      </c>
      <c r="F5756" s="15">
        <v>46251</v>
      </c>
      <c r="G5756" s="19" t="s">
        <v>691</v>
      </c>
      <c r="H5756">
        <v>4</v>
      </c>
      <c r="I5756">
        <v>2026</v>
      </c>
      <c r="J5756">
        <v>8</v>
      </c>
      <c r="K5756" s="19" t="s">
        <v>282</v>
      </c>
      <c r="L5756" s="19" t="s">
        <v>352</v>
      </c>
      <c r="M5756" s="19" t="s">
        <v>6</v>
      </c>
      <c r="N5756" t="b">
        <v>0</v>
      </c>
      <c r="O5756">
        <v>0</v>
      </c>
      <c r="P5756">
        <v>1</v>
      </c>
      <c r="Q5756">
        <v>0</v>
      </c>
      <c r="R5756">
        <v>0</v>
      </c>
    </row>
    <row r="5757" spans="1:18" x14ac:dyDescent="0.25">
      <c r="A5757" s="19" t="s">
        <v>13</v>
      </c>
      <c r="B5757" s="19" t="s">
        <v>6</v>
      </c>
      <c r="C5757">
        <v>3</v>
      </c>
      <c r="D5757">
        <v>3</v>
      </c>
      <c r="E5757">
        <v>2</v>
      </c>
      <c r="F5757" s="15">
        <v>46251</v>
      </c>
      <c r="G5757" s="19" t="s">
        <v>691</v>
      </c>
      <c r="H5757">
        <v>4</v>
      </c>
      <c r="I5757">
        <v>2026</v>
      </c>
      <c r="J5757">
        <v>8</v>
      </c>
      <c r="K5757" s="19" t="s">
        <v>282</v>
      </c>
      <c r="L5757" s="19" t="s">
        <v>14</v>
      </c>
      <c r="M5757" s="19" t="s">
        <v>6</v>
      </c>
      <c r="N5757" t="b">
        <v>0</v>
      </c>
      <c r="O5757">
        <v>0</v>
      </c>
      <c r="P5757">
        <v>1</v>
      </c>
      <c r="Q5757">
        <v>0</v>
      </c>
      <c r="R5757">
        <v>0</v>
      </c>
    </row>
    <row r="5758" spans="1:18" x14ac:dyDescent="0.25">
      <c r="A5758" s="19" t="s">
        <v>13</v>
      </c>
      <c r="B5758" s="19" t="s">
        <v>6</v>
      </c>
      <c r="C5758">
        <v>3</v>
      </c>
      <c r="D5758">
        <v>3</v>
      </c>
      <c r="E5758">
        <v>2</v>
      </c>
      <c r="F5758" s="15">
        <v>46251</v>
      </c>
      <c r="G5758" s="19" t="s">
        <v>691</v>
      </c>
      <c r="H5758">
        <v>4</v>
      </c>
      <c r="I5758">
        <v>2026</v>
      </c>
      <c r="J5758">
        <v>8</v>
      </c>
      <c r="K5758" s="19" t="s">
        <v>282</v>
      </c>
      <c r="L5758" s="19" t="s">
        <v>405</v>
      </c>
      <c r="M5758" s="19" t="s">
        <v>8</v>
      </c>
      <c r="N5758" t="b">
        <v>0</v>
      </c>
      <c r="O5758">
        <v>0</v>
      </c>
      <c r="P5758">
        <v>1</v>
      </c>
      <c r="Q5758">
        <v>0</v>
      </c>
      <c r="R5758">
        <v>1</v>
      </c>
    </row>
    <row r="5759" spans="1:18" x14ac:dyDescent="0.25">
      <c r="A5759" s="19" t="s">
        <v>405</v>
      </c>
      <c r="B5759" s="19" t="s">
        <v>8</v>
      </c>
      <c r="C5759">
        <v>4</v>
      </c>
      <c r="D5759">
        <v>3</v>
      </c>
      <c r="E5759">
        <v>2</v>
      </c>
      <c r="F5759" s="15">
        <v>46251</v>
      </c>
      <c r="G5759" s="19" t="s">
        <v>691</v>
      </c>
      <c r="H5759">
        <v>4</v>
      </c>
      <c r="I5759">
        <v>2026</v>
      </c>
      <c r="J5759">
        <v>8</v>
      </c>
      <c r="K5759" s="19" t="s">
        <v>282</v>
      </c>
      <c r="L5759" s="19" t="s">
        <v>352</v>
      </c>
      <c r="M5759" s="19" t="s">
        <v>6</v>
      </c>
      <c r="N5759" t="b">
        <v>0</v>
      </c>
      <c r="O5759">
        <v>1</v>
      </c>
      <c r="P5759">
        <v>0</v>
      </c>
      <c r="Q5759">
        <v>0</v>
      </c>
      <c r="R5759">
        <v>0</v>
      </c>
    </row>
    <row r="5760" spans="1:18" x14ac:dyDescent="0.25">
      <c r="A5760" s="19" t="s">
        <v>405</v>
      </c>
      <c r="B5760" s="19" t="s">
        <v>8</v>
      </c>
      <c r="C5760">
        <v>4</v>
      </c>
      <c r="D5760">
        <v>3</v>
      </c>
      <c r="E5760">
        <v>2</v>
      </c>
      <c r="F5760" s="15">
        <v>46251</v>
      </c>
      <c r="G5760" s="19" t="s">
        <v>691</v>
      </c>
      <c r="H5760">
        <v>4</v>
      </c>
      <c r="I5760">
        <v>2026</v>
      </c>
      <c r="J5760">
        <v>8</v>
      </c>
      <c r="K5760" s="19" t="s">
        <v>282</v>
      </c>
      <c r="L5760" s="19" t="s">
        <v>14</v>
      </c>
      <c r="M5760" s="19" t="s">
        <v>6</v>
      </c>
      <c r="N5760" t="b">
        <v>0</v>
      </c>
      <c r="O5760">
        <v>1</v>
      </c>
      <c r="P5760">
        <v>0</v>
      </c>
      <c r="Q5760">
        <v>0</v>
      </c>
      <c r="R5760">
        <v>0</v>
      </c>
    </row>
    <row r="5761" spans="1:18" x14ac:dyDescent="0.25">
      <c r="A5761" s="19" t="s">
        <v>405</v>
      </c>
      <c r="B5761" s="19" t="s">
        <v>8</v>
      </c>
      <c r="C5761">
        <v>4</v>
      </c>
      <c r="D5761">
        <v>3</v>
      </c>
      <c r="E5761">
        <v>2</v>
      </c>
      <c r="F5761" s="15">
        <v>46251</v>
      </c>
      <c r="G5761" s="19" t="s">
        <v>691</v>
      </c>
      <c r="H5761">
        <v>4</v>
      </c>
      <c r="I5761">
        <v>2026</v>
      </c>
      <c r="J5761">
        <v>8</v>
      </c>
      <c r="K5761" s="19" t="s">
        <v>282</v>
      </c>
      <c r="L5761" s="19" t="s">
        <v>13</v>
      </c>
      <c r="M5761" s="19" t="s">
        <v>6</v>
      </c>
      <c r="N5761" t="b">
        <v>0</v>
      </c>
      <c r="O5761">
        <v>1</v>
      </c>
      <c r="P5761">
        <v>0</v>
      </c>
      <c r="Q5761">
        <v>0</v>
      </c>
      <c r="R5761">
        <v>0</v>
      </c>
    </row>
    <row r="5762" spans="1:18" x14ac:dyDescent="0.25">
      <c r="A5762" s="19" t="s">
        <v>15</v>
      </c>
      <c r="B5762" s="19" t="s">
        <v>6</v>
      </c>
      <c r="C5762">
        <v>1</v>
      </c>
      <c r="D5762">
        <v>4</v>
      </c>
      <c r="E5762">
        <v>2</v>
      </c>
      <c r="F5762" s="15">
        <v>46251</v>
      </c>
      <c r="G5762" s="19" t="s">
        <v>692</v>
      </c>
      <c r="H5762">
        <v>4</v>
      </c>
      <c r="I5762">
        <v>2026</v>
      </c>
      <c r="J5762">
        <v>8</v>
      </c>
      <c r="K5762" s="19" t="s">
        <v>282</v>
      </c>
      <c r="L5762" s="19" t="s">
        <v>11</v>
      </c>
      <c r="M5762" s="19" t="s">
        <v>6</v>
      </c>
      <c r="N5762" t="b">
        <v>0</v>
      </c>
      <c r="O5762">
        <v>0</v>
      </c>
      <c r="P5762">
        <v>1</v>
      </c>
      <c r="Q5762">
        <v>0</v>
      </c>
      <c r="R5762">
        <v>0</v>
      </c>
    </row>
    <row r="5763" spans="1:18" x14ac:dyDescent="0.25">
      <c r="A5763" s="19" t="s">
        <v>15</v>
      </c>
      <c r="B5763" s="19" t="s">
        <v>6</v>
      </c>
      <c r="C5763">
        <v>1</v>
      </c>
      <c r="D5763">
        <v>4</v>
      </c>
      <c r="E5763">
        <v>2</v>
      </c>
      <c r="F5763" s="15">
        <v>46251</v>
      </c>
      <c r="G5763" s="19" t="s">
        <v>692</v>
      </c>
      <c r="H5763">
        <v>4</v>
      </c>
      <c r="I5763">
        <v>2026</v>
      </c>
      <c r="J5763">
        <v>8</v>
      </c>
      <c r="K5763" s="19" t="s">
        <v>282</v>
      </c>
      <c r="L5763" s="19" t="s">
        <v>540</v>
      </c>
      <c r="M5763" s="19" t="s">
        <v>6</v>
      </c>
      <c r="N5763" t="b">
        <v>0</v>
      </c>
      <c r="O5763">
        <v>0</v>
      </c>
      <c r="P5763">
        <v>1</v>
      </c>
      <c r="Q5763">
        <v>0</v>
      </c>
      <c r="R5763">
        <v>0</v>
      </c>
    </row>
    <row r="5764" spans="1:18" x14ac:dyDescent="0.25">
      <c r="A5764" s="19" t="s">
        <v>15</v>
      </c>
      <c r="B5764" s="19" t="s">
        <v>6</v>
      </c>
      <c r="C5764">
        <v>1</v>
      </c>
      <c r="D5764">
        <v>4</v>
      </c>
      <c r="E5764">
        <v>2</v>
      </c>
      <c r="F5764" s="15">
        <v>46251</v>
      </c>
      <c r="G5764" s="19" t="s">
        <v>692</v>
      </c>
      <c r="H5764">
        <v>4</v>
      </c>
      <c r="I5764">
        <v>2026</v>
      </c>
      <c r="J5764">
        <v>8</v>
      </c>
      <c r="K5764" s="19" t="s">
        <v>282</v>
      </c>
      <c r="L5764" s="19" t="s">
        <v>326</v>
      </c>
      <c r="M5764" s="19" t="s">
        <v>8</v>
      </c>
      <c r="N5764" t="b">
        <v>0</v>
      </c>
      <c r="O5764">
        <v>0</v>
      </c>
      <c r="P5764">
        <v>1</v>
      </c>
      <c r="Q5764">
        <v>0</v>
      </c>
      <c r="R5764">
        <v>1</v>
      </c>
    </row>
    <row r="5765" spans="1:18" x14ac:dyDescent="0.25">
      <c r="A5765" s="19" t="s">
        <v>11</v>
      </c>
      <c r="B5765" s="19" t="s">
        <v>6</v>
      </c>
      <c r="C5765">
        <v>2</v>
      </c>
      <c r="D5765">
        <v>4</v>
      </c>
      <c r="E5765">
        <v>2</v>
      </c>
      <c r="F5765" s="15">
        <v>46251</v>
      </c>
      <c r="G5765" s="19" t="s">
        <v>692</v>
      </c>
      <c r="H5765">
        <v>4</v>
      </c>
      <c r="I5765">
        <v>2026</v>
      </c>
      <c r="J5765">
        <v>8</v>
      </c>
      <c r="K5765" s="19" t="s">
        <v>282</v>
      </c>
      <c r="L5765" s="19" t="s">
        <v>15</v>
      </c>
      <c r="M5765" s="19" t="s">
        <v>6</v>
      </c>
      <c r="N5765" t="b">
        <v>0</v>
      </c>
      <c r="O5765">
        <v>0</v>
      </c>
      <c r="P5765">
        <v>1</v>
      </c>
      <c r="Q5765">
        <v>0</v>
      </c>
      <c r="R5765">
        <v>0</v>
      </c>
    </row>
    <row r="5766" spans="1:18" x14ac:dyDescent="0.25">
      <c r="A5766" s="19" t="s">
        <v>11</v>
      </c>
      <c r="B5766" s="19" t="s">
        <v>6</v>
      </c>
      <c r="C5766">
        <v>2</v>
      </c>
      <c r="D5766">
        <v>4</v>
      </c>
      <c r="E5766">
        <v>2</v>
      </c>
      <c r="F5766" s="15">
        <v>46251</v>
      </c>
      <c r="G5766" s="19" t="s">
        <v>692</v>
      </c>
      <c r="H5766">
        <v>4</v>
      </c>
      <c r="I5766">
        <v>2026</v>
      </c>
      <c r="J5766">
        <v>8</v>
      </c>
      <c r="K5766" s="19" t="s">
        <v>282</v>
      </c>
      <c r="L5766" s="19" t="s">
        <v>540</v>
      </c>
      <c r="M5766" s="19" t="s">
        <v>6</v>
      </c>
      <c r="N5766" t="b">
        <v>0</v>
      </c>
      <c r="O5766">
        <v>0</v>
      </c>
      <c r="P5766">
        <v>1</v>
      </c>
      <c r="Q5766">
        <v>0</v>
      </c>
      <c r="R5766">
        <v>0</v>
      </c>
    </row>
    <row r="5767" spans="1:18" x14ac:dyDescent="0.25">
      <c r="A5767" s="19" t="s">
        <v>11</v>
      </c>
      <c r="B5767" s="19" t="s">
        <v>6</v>
      </c>
      <c r="C5767">
        <v>2</v>
      </c>
      <c r="D5767">
        <v>4</v>
      </c>
      <c r="E5767">
        <v>2</v>
      </c>
      <c r="F5767" s="15">
        <v>46251</v>
      </c>
      <c r="G5767" s="19" t="s">
        <v>692</v>
      </c>
      <c r="H5767">
        <v>4</v>
      </c>
      <c r="I5767">
        <v>2026</v>
      </c>
      <c r="J5767">
        <v>8</v>
      </c>
      <c r="K5767" s="19" t="s">
        <v>282</v>
      </c>
      <c r="L5767" s="19" t="s">
        <v>326</v>
      </c>
      <c r="M5767" s="19" t="s">
        <v>8</v>
      </c>
      <c r="N5767" t="b">
        <v>0</v>
      </c>
      <c r="O5767">
        <v>0</v>
      </c>
      <c r="P5767">
        <v>1</v>
      </c>
      <c r="Q5767">
        <v>0</v>
      </c>
      <c r="R5767">
        <v>1</v>
      </c>
    </row>
    <row r="5768" spans="1:18" x14ac:dyDescent="0.25">
      <c r="A5768" s="19" t="s">
        <v>540</v>
      </c>
      <c r="B5768" s="19" t="s">
        <v>6</v>
      </c>
      <c r="C5768">
        <v>3</v>
      </c>
      <c r="D5768">
        <v>4</v>
      </c>
      <c r="E5768">
        <v>2</v>
      </c>
      <c r="F5768" s="15">
        <v>46251</v>
      </c>
      <c r="G5768" s="19" t="s">
        <v>692</v>
      </c>
      <c r="H5768">
        <v>4</v>
      </c>
      <c r="I5768">
        <v>2026</v>
      </c>
      <c r="J5768">
        <v>8</v>
      </c>
      <c r="K5768" s="19" t="s">
        <v>282</v>
      </c>
      <c r="L5768" s="19" t="s">
        <v>15</v>
      </c>
      <c r="M5768" s="19" t="s">
        <v>6</v>
      </c>
      <c r="N5768" t="b">
        <v>0</v>
      </c>
      <c r="O5768">
        <v>0</v>
      </c>
      <c r="P5768">
        <v>1</v>
      </c>
      <c r="Q5768">
        <v>0</v>
      </c>
      <c r="R5768">
        <v>0</v>
      </c>
    </row>
    <row r="5769" spans="1:18" x14ac:dyDescent="0.25">
      <c r="A5769" s="19" t="s">
        <v>540</v>
      </c>
      <c r="B5769" s="19" t="s">
        <v>6</v>
      </c>
      <c r="C5769">
        <v>3</v>
      </c>
      <c r="D5769">
        <v>4</v>
      </c>
      <c r="E5769">
        <v>2</v>
      </c>
      <c r="F5769" s="15">
        <v>46251</v>
      </c>
      <c r="G5769" s="19" t="s">
        <v>692</v>
      </c>
      <c r="H5769">
        <v>4</v>
      </c>
      <c r="I5769">
        <v>2026</v>
      </c>
      <c r="J5769">
        <v>8</v>
      </c>
      <c r="K5769" s="19" t="s">
        <v>282</v>
      </c>
      <c r="L5769" s="19" t="s">
        <v>11</v>
      </c>
      <c r="M5769" s="19" t="s">
        <v>6</v>
      </c>
      <c r="N5769" t="b">
        <v>0</v>
      </c>
      <c r="O5769">
        <v>0</v>
      </c>
      <c r="P5769">
        <v>1</v>
      </c>
      <c r="Q5769">
        <v>0</v>
      </c>
      <c r="R5769">
        <v>0</v>
      </c>
    </row>
    <row r="5770" spans="1:18" x14ac:dyDescent="0.25">
      <c r="A5770" s="19" t="s">
        <v>540</v>
      </c>
      <c r="B5770" s="19" t="s">
        <v>6</v>
      </c>
      <c r="C5770">
        <v>3</v>
      </c>
      <c r="D5770">
        <v>4</v>
      </c>
      <c r="E5770">
        <v>2</v>
      </c>
      <c r="F5770" s="15">
        <v>46251</v>
      </c>
      <c r="G5770" s="19" t="s">
        <v>692</v>
      </c>
      <c r="H5770">
        <v>4</v>
      </c>
      <c r="I5770">
        <v>2026</v>
      </c>
      <c r="J5770">
        <v>8</v>
      </c>
      <c r="K5770" s="19" t="s">
        <v>282</v>
      </c>
      <c r="L5770" s="19" t="s">
        <v>326</v>
      </c>
      <c r="M5770" s="19" t="s">
        <v>8</v>
      </c>
      <c r="N5770" t="b">
        <v>0</v>
      </c>
      <c r="O5770">
        <v>0</v>
      </c>
      <c r="P5770">
        <v>1</v>
      </c>
      <c r="Q5770">
        <v>0</v>
      </c>
      <c r="R5770">
        <v>1</v>
      </c>
    </row>
    <row r="5771" spans="1:18" x14ac:dyDescent="0.25">
      <c r="A5771" s="19" t="s">
        <v>326</v>
      </c>
      <c r="B5771" s="19" t="s">
        <v>8</v>
      </c>
      <c r="C5771">
        <v>4</v>
      </c>
      <c r="D5771">
        <v>4</v>
      </c>
      <c r="E5771">
        <v>2</v>
      </c>
      <c r="F5771" s="15">
        <v>46251</v>
      </c>
      <c r="G5771" s="19" t="s">
        <v>692</v>
      </c>
      <c r="H5771">
        <v>4</v>
      </c>
      <c r="I5771">
        <v>2026</v>
      </c>
      <c r="J5771">
        <v>8</v>
      </c>
      <c r="K5771" s="19" t="s">
        <v>282</v>
      </c>
      <c r="L5771" s="19" t="s">
        <v>15</v>
      </c>
      <c r="M5771" s="19" t="s">
        <v>6</v>
      </c>
      <c r="N5771" t="b">
        <v>0</v>
      </c>
      <c r="O5771">
        <v>1</v>
      </c>
      <c r="P5771">
        <v>0</v>
      </c>
      <c r="Q5771">
        <v>0</v>
      </c>
      <c r="R5771">
        <v>0</v>
      </c>
    </row>
    <row r="5772" spans="1:18" x14ac:dyDescent="0.25">
      <c r="A5772" s="19" t="s">
        <v>326</v>
      </c>
      <c r="B5772" s="19" t="s">
        <v>8</v>
      </c>
      <c r="C5772">
        <v>4</v>
      </c>
      <c r="D5772">
        <v>4</v>
      </c>
      <c r="E5772">
        <v>2</v>
      </c>
      <c r="F5772" s="15">
        <v>46251</v>
      </c>
      <c r="G5772" s="19" t="s">
        <v>692</v>
      </c>
      <c r="H5772">
        <v>4</v>
      </c>
      <c r="I5772">
        <v>2026</v>
      </c>
      <c r="J5772">
        <v>8</v>
      </c>
      <c r="K5772" s="19" t="s">
        <v>282</v>
      </c>
      <c r="L5772" s="19" t="s">
        <v>11</v>
      </c>
      <c r="M5772" s="19" t="s">
        <v>6</v>
      </c>
      <c r="N5772" t="b">
        <v>0</v>
      </c>
      <c r="O5772">
        <v>1</v>
      </c>
      <c r="P5772">
        <v>0</v>
      </c>
      <c r="Q5772">
        <v>0</v>
      </c>
      <c r="R5772">
        <v>0</v>
      </c>
    </row>
    <row r="5773" spans="1:18" x14ac:dyDescent="0.25">
      <c r="A5773" s="19" t="s">
        <v>326</v>
      </c>
      <c r="B5773" s="19" t="s">
        <v>8</v>
      </c>
      <c r="C5773">
        <v>4</v>
      </c>
      <c r="D5773">
        <v>4</v>
      </c>
      <c r="E5773">
        <v>2</v>
      </c>
      <c r="F5773" s="15">
        <v>46251</v>
      </c>
      <c r="G5773" s="19" t="s">
        <v>692</v>
      </c>
      <c r="H5773">
        <v>4</v>
      </c>
      <c r="I5773">
        <v>2026</v>
      </c>
      <c r="J5773">
        <v>8</v>
      </c>
      <c r="K5773" s="19" t="s">
        <v>282</v>
      </c>
      <c r="L5773" s="19" t="s">
        <v>540</v>
      </c>
      <c r="M5773" s="19" t="s">
        <v>6</v>
      </c>
      <c r="N5773" t="b">
        <v>0</v>
      </c>
      <c r="O5773">
        <v>1</v>
      </c>
      <c r="P5773">
        <v>0</v>
      </c>
      <c r="Q5773">
        <v>0</v>
      </c>
      <c r="R5773">
        <v>0</v>
      </c>
    </row>
    <row r="5774" spans="1:18" x14ac:dyDescent="0.25">
      <c r="A5774" s="19" t="s">
        <v>10</v>
      </c>
      <c r="B5774" s="19" t="s">
        <v>6</v>
      </c>
      <c r="C5774">
        <v>1</v>
      </c>
      <c r="D5774">
        <v>5</v>
      </c>
      <c r="E5774">
        <v>2</v>
      </c>
      <c r="F5774" s="15">
        <v>46251</v>
      </c>
      <c r="G5774" s="19" t="s">
        <v>693</v>
      </c>
      <c r="H5774">
        <v>3</v>
      </c>
      <c r="I5774">
        <v>2026</v>
      </c>
      <c r="J5774">
        <v>8</v>
      </c>
      <c r="K5774" s="19" t="s">
        <v>282</v>
      </c>
      <c r="L5774" s="19" t="s">
        <v>433</v>
      </c>
      <c r="M5774" s="19" t="s">
        <v>6</v>
      </c>
      <c r="N5774" t="b">
        <v>0</v>
      </c>
      <c r="O5774">
        <v>0</v>
      </c>
      <c r="P5774">
        <v>1</v>
      </c>
      <c r="Q5774">
        <v>0</v>
      </c>
      <c r="R5774">
        <v>0</v>
      </c>
    </row>
    <row r="5775" spans="1:18" x14ac:dyDescent="0.25">
      <c r="A5775" s="19" t="s">
        <v>10</v>
      </c>
      <c r="B5775" s="19" t="s">
        <v>6</v>
      </c>
      <c r="C5775">
        <v>1</v>
      </c>
      <c r="D5775">
        <v>5</v>
      </c>
      <c r="E5775">
        <v>2</v>
      </c>
      <c r="F5775" s="15">
        <v>46251</v>
      </c>
      <c r="G5775" s="19" t="s">
        <v>693</v>
      </c>
      <c r="H5775">
        <v>3</v>
      </c>
      <c r="I5775">
        <v>2026</v>
      </c>
      <c r="J5775">
        <v>8</v>
      </c>
      <c r="K5775" s="19" t="s">
        <v>282</v>
      </c>
      <c r="L5775" s="19" t="s">
        <v>28</v>
      </c>
      <c r="M5775" s="19" t="s">
        <v>8</v>
      </c>
      <c r="N5775" t="b">
        <v>0</v>
      </c>
      <c r="O5775">
        <v>0</v>
      </c>
      <c r="P5775">
        <v>1</v>
      </c>
      <c r="Q5775">
        <v>0</v>
      </c>
      <c r="R5775">
        <v>1</v>
      </c>
    </row>
    <row r="5776" spans="1:18" x14ac:dyDescent="0.25">
      <c r="A5776" s="19" t="s">
        <v>433</v>
      </c>
      <c r="B5776" s="19" t="s">
        <v>6</v>
      </c>
      <c r="C5776">
        <v>2</v>
      </c>
      <c r="D5776">
        <v>5</v>
      </c>
      <c r="E5776">
        <v>2</v>
      </c>
      <c r="F5776" s="15">
        <v>46251</v>
      </c>
      <c r="G5776" s="19" t="s">
        <v>693</v>
      </c>
      <c r="H5776">
        <v>3</v>
      </c>
      <c r="I5776">
        <v>2026</v>
      </c>
      <c r="J5776">
        <v>8</v>
      </c>
      <c r="K5776" s="19" t="s">
        <v>282</v>
      </c>
      <c r="L5776" s="19" t="s">
        <v>10</v>
      </c>
      <c r="M5776" s="19" t="s">
        <v>6</v>
      </c>
      <c r="N5776" t="b">
        <v>0</v>
      </c>
      <c r="O5776">
        <v>0</v>
      </c>
      <c r="P5776">
        <v>1</v>
      </c>
      <c r="Q5776">
        <v>0</v>
      </c>
      <c r="R5776">
        <v>0</v>
      </c>
    </row>
    <row r="5777" spans="1:18" x14ac:dyDescent="0.25">
      <c r="A5777" s="19" t="s">
        <v>433</v>
      </c>
      <c r="B5777" s="19" t="s">
        <v>6</v>
      </c>
      <c r="C5777">
        <v>2</v>
      </c>
      <c r="D5777">
        <v>5</v>
      </c>
      <c r="E5777">
        <v>2</v>
      </c>
      <c r="F5777" s="15">
        <v>46251</v>
      </c>
      <c r="G5777" s="19" t="s">
        <v>693</v>
      </c>
      <c r="H5777">
        <v>3</v>
      </c>
      <c r="I5777">
        <v>2026</v>
      </c>
      <c r="J5777">
        <v>8</v>
      </c>
      <c r="K5777" s="19" t="s">
        <v>282</v>
      </c>
      <c r="L5777" s="19" t="s">
        <v>28</v>
      </c>
      <c r="M5777" s="19" t="s">
        <v>8</v>
      </c>
      <c r="N5777" t="b">
        <v>0</v>
      </c>
      <c r="O5777">
        <v>0</v>
      </c>
      <c r="P5777">
        <v>1</v>
      </c>
      <c r="Q5777">
        <v>0</v>
      </c>
      <c r="R5777">
        <v>1</v>
      </c>
    </row>
    <row r="5778" spans="1:18" x14ac:dyDescent="0.25">
      <c r="A5778" s="19" t="s">
        <v>28</v>
      </c>
      <c r="B5778" s="19" t="s">
        <v>8</v>
      </c>
      <c r="C5778">
        <v>3</v>
      </c>
      <c r="D5778">
        <v>5</v>
      </c>
      <c r="E5778">
        <v>2</v>
      </c>
      <c r="F5778" s="15">
        <v>46251</v>
      </c>
      <c r="G5778" s="19" t="s">
        <v>693</v>
      </c>
      <c r="H5778">
        <v>3</v>
      </c>
      <c r="I5778">
        <v>2026</v>
      </c>
      <c r="J5778">
        <v>8</v>
      </c>
      <c r="K5778" s="19" t="s">
        <v>282</v>
      </c>
      <c r="L5778" s="19" t="s">
        <v>10</v>
      </c>
      <c r="M5778" s="19" t="s">
        <v>6</v>
      </c>
      <c r="N5778" t="b">
        <v>0</v>
      </c>
      <c r="O5778">
        <v>1</v>
      </c>
      <c r="P5778">
        <v>0</v>
      </c>
      <c r="Q5778">
        <v>0</v>
      </c>
      <c r="R5778">
        <v>0</v>
      </c>
    </row>
    <row r="5779" spans="1:18" x14ac:dyDescent="0.25">
      <c r="A5779" s="19" t="s">
        <v>28</v>
      </c>
      <c r="B5779" s="19" t="s">
        <v>8</v>
      </c>
      <c r="C5779">
        <v>3</v>
      </c>
      <c r="D5779">
        <v>5</v>
      </c>
      <c r="E5779">
        <v>2</v>
      </c>
      <c r="F5779" s="15">
        <v>46251</v>
      </c>
      <c r="G5779" s="19" t="s">
        <v>693</v>
      </c>
      <c r="H5779">
        <v>3</v>
      </c>
      <c r="I5779">
        <v>2026</v>
      </c>
      <c r="J5779">
        <v>8</v>
      </c>
      <c r="K5779" s="19" t="s">
        <v>282</v>
      </c>
      <c r="L5779" s="19" t="s">
        <v>433</v>
      </c>
      <c r="M5779" s="19" t="s">
        <v>6</v>
      </c>
      <c r="N5779" t="b">
        <v>0</v>
      </c>
      <c r="O5779">
        <v>1</v>
      </c>
      <c r="P5779">
        <v>0</v>
      </c>
      <c r="Q5779">
        <v>0</v>
      </c>
      <c r="R5779">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2026-08-19T13:26:05Z</dcterms:modified>
</cp:coreProperties>
</file>