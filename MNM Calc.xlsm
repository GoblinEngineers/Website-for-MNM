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E4E7C30C-5752-498E-9C62-A4CA75D4F4EE}" xr6:coauthVersionLast="47" xr6:coauthVersionMax="47" xr10:uidLastSave="{00000000-0000-0000-0000-000000000000}"/>
  <bookViews>
    <workbookView xWindow="-98" yWindow="-98" windowWidth="38596" windowHeight="21075"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Matchups!$A$1:$R$6067</definedName>
    <definedName name="Slicer_Month">#N/A</definedName>
    <definedName name="Slicer_Year">#N/A</definedName>
  </definedNames>
  <calcPr calcId="191029"/>
  <pivotCaches>
    <pivotCache cacheId="27" r:id="rId11"/>
    <pivotCache cacheId="33"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125" i="1" l="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4" i="2"/>
  <c r="H14" i="2"/>
  <c r="I14" i="2"/>
  <c r="K14" i="2"/>
  <c r="L14" i="2"/>
  <c r="M14" i="2"/>
  <c r="G103" i="2"/>
  <c r="H103" i="2"/>
  <c r="I103" i="2"/>
  <c r="K103" i="2"/>
  <c r="L103" i="2"/>
  <c r="M103" i="2"/>
  <c r="G102" i="2"/>
  <c r="H102" i="2"/>
  <c r="I102" i="2"/>
  <c r="K102" i="2"/>
  <c r="L102" i="2"/>
  <c r="M102" i="2"/>
  <c r="G101" i="2"/>
  <c r="H101" i="2"/>
  <c r="I101" i="2"/>
  <c r="K101" i="2"/>
  <c r="L101" i="2"/>
  <c r="M101" i="2"/>
  <c r="G100" i="2"/>
  <c r="H100" i="2"/>
  <c r="I100" i="2"/>
  <c r="K100" i="2"/>
  <c r="L100" i="2"/>
  <c r="M100" i="2"/>
  <c r="G105" i="2"/>
  <c r="H105" i="2"/>
  <c r="I105" i="2"/>
  <c r="K105" i="2"/>
  <c r="L105" i="2"/>
  <c r="M105" i="2"/>
  <c r="G43" i="2"/>
  <c r="H43" i="2"/>
  <c r="I43" i="2"/>
  <c r="K43" i="2"/>
  <c r="L43" i="2"/>
  <c r="M43" i="2"/>
  <c r="G30" i="2"/>
  <c r="H30" i="2"/>
  <c r="I30" i="2"/>
  <c r="K30" i="2"/>
  <c r="L30" i="2"/>
  <c r="M30"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9" i="2"/>
  <c r="H99" i="2"/>
  <c r="I99" i="2"/>
  <c r="K99" i="2"/>
  <c r="L99" i="2"/>
  <c r="M99" i="2"/>
  <c r="G56" i="2"/>
  <c r="H56" i="2"/>
  <c r="I56" i="2"/>
  <c r="K56" i="2"/>
  <c r="L56" i="2"/>
  <c r="M56" i="2"/>
  <c r="G20" i="2"/>
  <c r="H20" i="2"/>
  <c r="I20" i="2"/>
  <c r="K20" i="2"/>
  <c r="L20" i="2"/>
  <c r="M20" i="2"/>
  <c r="G94" i="2"/>
  <c r="H94" i="2"/>
  <c r="I94" i="2"/>
  <c r="K94" i="2"/>
  <c r="L94" i="2"/>
  <c r="M94" i="2"/>
  <c r="G66" i="2"/>
  <c r="H66" i="2"/>
  <c r="I66" i="2"/>
  <c r="K66" i="2"/>
  <c r="L66" i="2"/>
  <c r="M66"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2" i="2"/>
  <c r="H12" i="2"/>
  <c r="I12" i="2"/>
  <c r="K12" i="2"/>
  <c r="L12" i="2"/>
  <c r="M12"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H54" i="14" s="1"/>
  <c r="E55" i="14"/>
  <c r="E56" i="14"/>
  <c r="F54" i="14"/>
  <c r="F55" i="14"/>
  <c r="F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5" i="2"/>
  <c r="H95" i="2"/>
  <c r="I95" i="2"/>
  <c r="K95" i="2"/>
  <c r="L95" i="2"/>
  <c r="M95"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3" i="2"/>
  <c r="L8" i="2"/>
  <c r="L65" i="2"/>
  <c r="G62" i="2"/>
  <c r="M54" i="2"/>
  <c r="M68" i="2"/>
  <c r="M71" i="2"/>
  <c r="I67" i="2"/>
  <c r="M83" i="2"/>
  <c r="K69" i="2"/>
  <c r="M5" i="2"/>
  <c r="G83" i="2"/>
  <c r="K62" i="2"/>
  <c r="K35" i="2"/>
  <c r="M79" i="2"/>
  <c r="H70" i="2"/>
  <c r="I31" i="2"/>
  <c r="I6" i="2"/>
  <c r="H18" i="2"/>
  <c r="M77" i="2"/>
  <c r="H6" i="2"/>
  <c r="M7" i="2"/>
  <c r="M90" i="2"/>
  <c r="M6" i="2"/>
  <c r="H58" i="2"/>
  <c r="G75" i="2"/>
  <c r="L54" i="2"/>
  <c r="K65" i="2"/>
  <c r="G72" i="2"/>
  <c r="K79" i="2"/>
  <c r="G18" i="2"/>
  <c r="L45" i="2"/>
  <c r="K23" i="2"/>
  <c r="H60" i="2"/>
  <c r="I13" i="2"/>
  <c r="M98"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2" i="2"/>
  <c r="I7" i="2"/>
  <c r="I65" i="2"/>
  <c r="L37" i="2"/>
  <c r="M37" i="2"/>
  <c r="M70" i="2"/>
  <c r="G68" i="2"/>
  <c r="G60" i="2"/>
  <c r="L7" i="2"/>
  <c r="L63" i="2"/>
  <c r="M63" i="2"/>
  <c r="H15" i="2"/>
  <c r="H31" i="2"/>
  <c r="M40" i="2"/>
  <c r="M62" i="2"/>
  <c r="G67" i="2"/>
  <c r="H64" i="2"/>
  <c r="L71" i="2"/>
  <c r="H55" i="2"/>
  <c r="L50" i="2"/>
  <c r="H74" i="2"/>
  <c r="K63" i="2"/>
  <c r="G73" i="2"/>
  <c r="K67" i="2"/>
  <c r="G74" i="2"/>
  <c r="K13" i="2"/>
  <c r="I64" i="2"/>
  <c r="L31" i="2"/>
  <c r="H98" i="2"/>
  <c r="H40" i="2"/>
  <c r="L69" i="2"/>
  <c r="M65" i="2"/>
  <c r="H35" i="2"/>
  <c r="G63" i="2"/>
  <c r="H7" i="2"/>
  <c r="G65" i="2"/>
  <c r="K77" i="2"/>
  <c r="I76" i="2"/>
  <c r="I59" i="2"/>
  <c r="M31" i="2"/>
  <c r="H62" i="2"/>
  <c r="M72" i="2"/>
  <c r="I92" i="2"/>
  <c r="I57" i="2"/>
  <c r="H79" i="2"/>
  <c r="G69" i="2"/>
  <c r="I90" i="2"/>
  <c r="H67" i="2"/>
  <c r="I60" i="2"/>
  <c r="M67" i="2"/>
  <c r="H37" i="2"/>
  <c r="L15" i="2"/>
  <c r="L53" i="2"/>
  <c r="G90" i="2"/>
  <c r="L22" i="2"/>
  <c r="I75" i="2"/>
  <c r="G53" i="2"/>
  <c r="G76" i="2"/>
  <c r="L6" i="2"/>
  <c r="L48" i="2"/>
  <c r="H5" i="2"/>
  <c r="I79" i="2"/>
  <c r="L18" i="2"/>
  <c r="G58" i="2"/>
  <c r="G92" i="2"/>
  <c r="M13" i="2"/>
  <c r="K92" i="2"/>
  <c r="I83" i="2"/>
  <c r="M74" i="2"/>
  <c r="G6" i="2"/>
  <c r="K73" i="2"/>
  <c r="I69" i="2"/>
  <c r="M50" i="2"/>
  <c r="G22" i="2"/>
  <c r="I77" i="2"/>
  <c r="K71" i="2"/>
  <c r="L78" i="2"/>
  <c r="M55" i="2"/>
  <c r="H50" i="2"/>
  <c r="H83" i="2"/>
  <c r="G71" i="2"/>
  <c r="I70" i="2"/>
  <c r="M8" i="2"/>
  <c r="I45" i="2"/>
  <c r="K6" i="2"/>
  <c r="G70" i="2"/>
  <c r="I52" i="2"/>
  <c r="G7" i="2"/>
  <c r="H53" i="2"/>
  <c r="H73" i="2"/>
  <c r="L92" i="2"/>
  <c r="M78" i="2"/>
  <c r="M23" i="2"/>
  <c r="L62" i="2"/>
  <c r="L68" i="2"/>
  <c r="K55" i="2"/>
  <c r="M45" i="2"/>
  <c r="L64" i="2"/>
  <c r="G8" i="2"/>
  <c r="M35" i="2"/>
  <c r="L72" i="2"/>
  <c r="L67" i="2"/>
  <c r="I62" i="2"/>
  <c r="K52" i="2"/>
  <c r="G98" i="2"/>
  <c r="G45" i="2"/>
  <c r="G15" i="2"/>
  <c r="M22" i="2"/>
  <c r="M61" i="2"/>
  <c r="G57" i="2"/>
  <c r="L98" i="2"/>
  <c r="K61" i="2"/>
  <c r="G54" i="2"/>
  <c r="L59" i="2"/>
  <c r="K40" i="2"/>
  <c r="L57" i="2"/>
  <c r="I8" i="2"/>
  <c r="G78" i="2"/>
  <c r="K74" i="2"/>
  <c r="K54" i="2"/>
  <c r="G40" i="2"/>
  <c r="L52" i="2"/>
  <c r="H75" i="2"/>
  <c r="M60" i="2"/>
  <c r="I55" i="2"/>
  <c r="G13" i="2"/>
  <c r="I68" i="2"/>
  <c r="L75" i="2"/>
  <c r="K8" i="2"/>
  <c r="K98" i="2"/>
  <c r="H22" i="2"/>
  <c r="M48" i="2"/>
  <c r="M69" i="2"/>
  <c r="G23" i="2"/>
  <c r="K18" i="2"/>
  <c r="K22" i="2"/>
  <c r="H54" i="2"/>
  <c r="M92" i="2"/>
  <c r="L40" i="2"/>
  <c r="I53" i="2"/>
  <c r="I48" i="2"/>
  <c r="K57" i="2"/>
  <c r="G55" i="2"/>
  <c r="M18" i="2"/>
  <c r="L90" i="2"/>
  <c r="H65" i="2"/>
  <c r="I98" i="2"/>
  <c r="G79" i="2"/>
  <c r="I74" i="2"/>
  <c r="L73" i="2"/>
  <c r="K50" i="2"/>
  <c r="H71" i="2"/>
  <c r="L61" i="2"/>
  <c r="G5" i="2"/>
  <c r="K5" i="2"/>
  <c r="M57" i="2"/>
  <c r="G31" i="2"/>
  <c r="L70" i="2"/>
  <c r="G64" i="2"/>
  <c r="G37" i="2"/>
  <c r="M64" i="2"/>
  <c r="K90" i="2"/>
  <c r="M59" i="2"/>
  <c r="K37" i="2"/>
  <c r="I40" i="2"/>
  <c r="L35" i="2"/>
  <c r="H8" i="2"/>
  <c r="H63" i="2"/>
  <c r="I23" i="2"/>
  <c r="H13" i="2"/>
  <c r="M58" i="2"/>
  <c r="I22" i="2"/>
  <c r="K75" i="2"/>
  <c r="K15" i="2"/>
  <c r="K70" i="2"/>
  <c r="L5" i="2"/>
  <c r="H90" i="2"/>
  <c r="K45" i="2"/>
  <c r="M52" i="2"/>
  <c r="G59" i="2"/>
  <c r="H61" i="2"/>
  <c r="H69" i="2"/>
  <c r="K60" i="2"/>
  <c r="H45" i="2"/>
  <c r="I18" i="2"/>
  <c r="H78" i="2"/>
  <c r="L83" i="2"/>
  <c r="I58" i="2"/>
  <c r="H23" i="2"/>
  <c r="I15" i="2"/>
  <c r="I72" i="2"/>
  <c r="G35" i="2"/>
  <c r="K83" i="2"/>
  <c r="K58" i="2"/>
  <c r="K59" i="2"/>
  <c r="M75" i="2"/>
  <c r="K72" i="2"/>
  <c r="K48" i="2"/>
  <c r="K53" i="2"/>
  <c r="K31" i="2"/>
  <c r="M53" i="2"/>
  <c r="K68" i="2"/>
  <c r="G52" i="2"/>
  <c r="K76" i="2"/>
  <c r="I35" i="2"/>
  <c r="H56" i="14" l="1"/>
  <c r="G54" i="14"/>
  <c r="G56" i="14"/>
  <c r="J38" i="2"/>
  <c r="N38" i="2"/>
  <c r="O38" i="2" s="1"/>
  <c r="J104" i="2"/>
  <c r="N104" i="2"/>
  <c r="O104" i="2"/>
  <c r="J14" i="2"/>
  <c r="N14" i="2"/>
  <c r="O14" i="2" s="1"/>
  <c r="J103" i="2"/>
  <c r="N103" i="2"/>
  <c r="O103" i="2" s="1"/>
  <c r="J102" i="2"/>
  <c r="N102" i="2"/>
  <c r="O102" i="2" s="1"/>
  <c r="J101" i="2"/>
  <c r="N101" i="2"/>
  <c r="O101" i="2" s="1"/>
  <c r="J100" i="2"/>
  <c r="N100" i="2"/>
  <c r="O100" i="2" s="1"/>
  <c r="J105" i="2"/>
  <c r="N105" i="2"/>
  <c r="O105" i="2" s="1"/>
  <c r="J43" i="2"/>
  <c r="N43" i="2"/>
  <c r="O43" i="2" s="1"/>
  <c r="H55" i="14"/>
  <c r="J30" i="2"/>
  <c r="N30" i="2"/>
  <c r="O30" i="2" s="1"/>
  <c r="J99" i="2"/>
  <c r="N99" i="2"/>
  <c r="O99" i="2" s="1"/>
  <c r="J56" i="2"/>
  <c r="N56" i="2"/>
  <c r="O56" i="2" s="1"/>
  <c r="J20" i="2"/>
  <c r="N20" i="2"/>
  <c r="O20" i="2" s="1"/>
  <c r="J94" i="2"/>
  <c r="N94" i="2"/>
  <c r="O94" i="2" s="1"/>
  <c r="J66" i="2"/>
  <c r="N66" i="2"/>
  <c r="O66" i="2" s="1"/>
  <c r="G55" i="14"/>
  <c r="J80" i="2"/>
  <c r="F80" i="2" s="1"/>
  <c r="N80" i="2"/>
  <c r="O80" i="2" s="1"/>
  <c r="J51" i="2"/>
  <c r="F51" i="2" s="1"/>
  <c r="N51" i="2"/>
  <c r="J85" i="2"/>
  <c r="F85" i="2" s="1"/>
  <c r="N85" i="2"/>
  <c r="J84" i="2"/>
  <c r="F84" i="2" s="1"/>
  <c r="N84" i="2"/>
  <c r="O84" i="2" s="1"/>
  <c r="J12" i="2"/>
  <c r="F12" i="2" s="1"/>
  <c r="N12" i="2"/>
  <c r="H53" i="14"/>
  <c r="J91" i="2"/>
  <c r="F91" i="2" s="1"/>
  <c r="N91" i="2"/>
  <c r="J89" i="2"/>
  <c r="N89" i="2"/>
  <c r="O89" i="2" s="1"/>
  <c r="J88" i="2"/>
  <c r="N88" i="2"/>
  <c r="J87" i="2"/>
  <c r="N87" i="2"/>
  <c r="J86" i="2"/>
  <c r="N86" i="2"/>
  <c r="J49" i="2"/>
  <c r="N49" i="2"/>
  <c r="O49" i="2" s="1"/>
  <c r="J47" i="2"/>
  <c r="N47" i="2"/>
  <c r="O47" i="2" s="1"/>
  <c r="J95" i="2"/>
  <c r="N95" i="2"/>
  <c r="J81" i="2"/>
  <c r="N81" i="2"/>
  <c r="O81" i="2" s="1"/>
  <c r="N92" i="2"/>
  <c r="O92" i="2" s="1"/>
  <c r="J92" i="2"/>
  <c r="F92" i="2" s="1"/>
  <c r="H52" i="14"/>
  <c r="N31" i="2"/>
  <c r="O31" i="2" s="1"/>
  <c r="J31" i="2"/>
  <c r="F31" i="2" s="1"/>
  <c r="N8" i="2"/>
  <c r="O8" i="2" s="1"/>
  <c r="J8" i="2"/>
  <c r="F8"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22" i="2"/>
  <c r="O22" i="2" s="1"/>
  <c r="J22" i="2"/>
  <c r="F22" i="2" s="1"/>
  <c r="N62" i="2"/>
  <c r="O62" i="2" s="1"/>
  <c r="J62" i="2"/>
  <c r="F62" i="2" s="1"/>
  <c r="N61" i="2"/>
  <c r="O61" i="2" s="1"/>
  <c r="J61" i="2"/>
  <c r="F61" i="2" s="1"/>
  <c r="N60" i="2"/>
  <c r="O60" i="2" s="1"/>
  <c r="J60" i="2"/>
  <c r="F60" i="2" s="1"/>
  <c r="N90" i="2"/>
  <c r="O90" i="2" s="1"/>
  <c r="J90" i="2"/>
  <c r="F90" i="2" s="1"/>
  <c r="N59" i="2"/>
  <c r="O59" i="2" s="1"/>
  <c r="J59" i="2"/>
  <c r="F59" i="2" s="1"/>
  <c r="N58" i="2"/>
  <c r="O58" i="2" s="1"/>
  <c r="J58" i="2"/>
  <c r="F58" i="2" s="1"/>
  <c r="N57" i="2"/>
  <c r="O57" i="2" s="1"/>
  <c r="J57" i="2"/>
  <c r="F57" i="2" s="1"/>
  <c r="N98" i="2"/>
  <c r="O98" i="2" s="1"/>
  <c r="J98" i="2"/>
  <c r="F98"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13" i="2"/>
  <c r="O13" i="2" s="1"/>
  <c r="J13" i="2"/>
  <c r="F13" i="2" s="1"/>
  <c r="N83" i="2"/>
  <c r="O83" i="2" s="1"/>
  <c r="J83" i="2"/>
  <c r="F83" i="2" s="1"/>
  <c r="N48" i="2"/>
  <c r="O48" i="2" s="1"/>
  <c r="J48" i="2"/>
  <c r="F48" i="2" s="1"/>
  <c r="H51" i="14"/>
  <c r="N35" i="2"/>
  <c r="O35" i="2" s="1"/>
  <c r="J35" i="2"/>
  <c r="F35" i="2" s="1"/>
  <c r="N40" i="2"/>
  <c r="O40" i="2" s="1"/>
  <c r="J40" i="2"/>
  <c r="F40" i="2" s="1"/>
  <c r="H50" i="14"/>
  <c r="H49" i="14"/>
  <c r="H46" i="14"/>
  <c r="N18" i="2"/>
  <c r="O18" i="2" s="1"/>
  <c r="J18" i="2"/>
  <c r="F18" i="2" s="1"/>
  <c r="N37" i="2"/>
  <c r="O37" i="2" s="1"/>
  <c r="J37" i="2"/>
  <c r="F37" i="2" s="1"/>
  <c r="H48" i="14"/>
  <c r="N23" i="2"/>
  <c r="O23" i="2" s="1"/>
  <c r="J23" i="2"/>
  <c r="F23" i="2" s="1"/>
  <c r="N7" i="2"/>
  <c r="O7" i="2" s="1"/>
  <c r="J7" i="2"/>
  <c r="F7" i="2" s="1"/>
  <c r="N45" i="2"/>
  <c r="O45" i="2" s="1"/>
  <c r="J45" i="2"/>
  <c r="F45"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2" i="2"/>
  <c r="L46" i="2"/>
  <c r="K44" i="2"/>
  <c r="I25" i="2"/>
  <c r="C6" i="5"/>
  <c r="H33" i="2"/>
  <c r="G82" i="2"/>
  <c r="M9" i="2"/>
  <c r="M10" i="2"/>
  <c r="M32" i="2"/>
  <c r="I11" i="2"/>
  <c r="G9" i="2"/>
  <c r="H25" i="2"/>
  <c r="K24" i="2"/>
  <c r="G93" i="2"/>
  <c r="M97" i="2"/>
  <c r="L11" i="2"/>
  <c r="M33" i="2"/>
  <c r="L44" i="2"/>
  <c r="L96" i="2"/>
  <c r="L34" i="2"/>
  <c r="H26" i="2"/>
  <c r="G44" i="2"/>
  <c r="I16" i="2"/>
  <c r="H44" i="2"/>
  <c r="I44" i="2"/>
  <c r="G97" i="2"/>
  <c r="M27" i="2"/>
  <c r="I29" i="2"/>
  <c r="L21" i="2"/>
  <c r="K21" i="2"/>
  <c r="C9" i="5"/>
  <c r="K32" i="2"/>
  <c r="H46" i="2"/>
  <c r="I24" i="2"/>
  <c r="G34" i="2"/>
  <c r="H24" i="2"/>
  <c r="H16" i="2"/>
  <c r="K26" i="2"/>
  <c r="L26" i="2"/>
  <c r="H21" i="2"/>
  <c r="K29" i="2"/>
  <c r="G36" i="2"/>
  <c r="I19" i="2"/>
  <c r="H34" i="2"/>
  <c r="M93" i="2"/>
  <c r="L24" i="2"/>
  <c r="L9" i="2"/>
  <c r="M42" i="2"/>
  <c r="M29" i="2"/>
  <c r="G25" i="2"/>
  <c r="K11" i="2"/>
  <c r="K27" i="2"/>
  <c r="I9" i="2"/>
  <c r="G46" i="2"/>
  <c r="M34" i="2"/>
  <c r="H36" i="2"/>
  <c r="K41" i="2"/>
  <c r="I36" i="2"/>
  <c r="I93" i="2"/>
  <c r="C5" i="5"/>
  <c r="I17" i="2"/>
  <c r="M39" i="2"/>
  <c r="G32" i="2"/>
  <c r="G27" i="2"/>
  <c r="G39" i="2"/>
  <c r="I21" i="2"/>
  <c r="M46" i="2"/>
  <c r="K97" i="2"/>
  <c r="I39" i="2"/>
  <c r="G11" i="2"/>
  <c r="H28" i="2"/>
  <c r="L10" i="2"/>
  <c r="G29" i="2"/>
  <c r="M16" i="2"/>
  <c r="L41" i="2"/>
  <c r="L17" i="2"/>
  <c r="G42" i="2"/>
  <c r="I27" i="2"/>
  <c r="L29" i="2"/>
  <c r="K16" i="2"/>
  <c r="I96" i="2"/>
  <c r="M24" i="2"/>
  <c r="G17" i="2"/>
  <c r="M11" i="2"/>
  <c r="H97" i="2"/>
  <c r="G10" i="2"/>
  <c r="H82" i="2"/>
  <c r="G21" i="2"/>
  <c r="M41" i="2"/>
  <c r="K25" i="2"/>
  <c r="M44" i="2"/>
  <c r="L82" i="2"/>
  <c r="H17" i="2"/>
  <c r="H32" i="2"/>
  <c r="I26" i="2"/>
  <c r="K82" i="2"/>
  <c r="M82" i="2"/>
  <c r="H42" i="2"/>
  <c r="L33" i="2"/>
  <c r="I34" i="2"/>
  <c r="C16" i="5"/>
  <c r="I33" i="2"/>
  <c r="I82" i="2"/>
  <c r="M21" i="2"/>
  <c r="K93" i="2"/>
  <c r="K36" i="2"/>
  <c r="I28" i="2"/>
  <c r="K9" i="2"/>
  <c r="H9" i="2"/>
  <c r="H29" i="2"/>
  <c r="L36" i="2"/>
  <c r="H11" i="2"/>
  <c r="M26" i="2"/>
  <c r="C7" i="5"/>
  <c r="K10" i="2"/>
  <c r="C10" i="5"/>
  <c r="G24" i="2"/>
  <c r="K39" i="2"/>
  <c r="I42" i="2"/>
  <c r="H96" i="2"/>
  <c r="G33" i="2"/>
  <c r="L32" i="2"/>
  <c r="K34" i="2"/>
  <c r="G41" i="2"/>
  <c r="L97" i="2"/>
  <c r="H27" i="2"/>
  <c r="M96" i="2"/>
  <c r="I10" i="2"/>
  <c r="M17" i="2"/>
  <c r="L16" i="2"/>
  <c r="G16" i="2"/>
  <c r="M19" i="2"/>
  <c r="L39" i="2"/>
  <c r="L25" i="2"/>
  <c r="L27" i="2"/>
  <c r="H19" i="2"/>
  <c r="H10" i="2"/>
  <c r="K28" i="2"/>
  <c r="K96" i="2"/>
  <c r="M28" i="2"/>
  <c r="H93" i="2"/>
  <c r="K42" i="2"/>
  <c r="C8" i="5"/>
  <c r="L19" i="2"/>
  <c r="G96" i="2"/>
  <c r="I32" i="2"/>
  <c r="K33" i="2"/>
  <c r="G26" i="2"/>
  <c r="G19" i="2"/>
  <c r="L93" i="2"/>
  <c r="I97" i="2"/>
  <c r="K46" i="2"/>
  <c r="I46" i="2"/>
  <c r="G28" i="2"/>
  <c r="L28" i="2"/>
  <c r="K17" i="2"/>
  <c r="M25" i="2"/>
  <c r="M36" i="2"/>
  <c r="H2125" i="1" l="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4" i="2"/>
  <c r="E14" i="2"/>
  <c r="F103" i="2"/>
  <c r="E103" i="2"/>
  <c r="F102" i="2"/>
  <c r="E102" i="2"/>
  <c r="F101" i="2"/>
  <c r="E101" i="2"/>
  <c r="F100" i="2"/>
  <c r="E100" i="2"/>
  <c r="F105" i="2"/>
  <c r="E105" i="2"/>
  <c r="F43" i="2"/>
  <c r="E43" i="2"/>
  <c r="F30" i="2"/>
  <c r="E30"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9" i="2"/>
  <c r="E99" i="2"/>
  <c r="F56" i="2"/>
  <c r="E56" i="2"/>
  <c r="F20" i="2"/>
  <c r="E20" i="2"/>
  <c r="F94" i="2"/>
  <c r="E94" i="2"/>
  <c r="F66" i="2"/>
  <c r="E66"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5"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12" i="2"/>
  <c r="E12"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5" i="2"/>
  <c r="E95"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2"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8" i="2"/>
  <c r="E79" i="2"/>
  <c r="E78" i="2"/>
  <c r="E77" i="2"/>
  <c r="E76" i="2"/>
  <c r="E75" i="2"/>
  <c r="E74" i="2"/>
  <c r="E73" i="2"/>
  <c r="E72" i="2"/>
  <c r="E71" i="2"/>
  <c r="E70" i="2"/>
  <c r="E69" i="2"/>
  <c r="E68" i="2"/>
  <c r="E67" i="2"/>
  <c r="E6" i="2"/>
  <c r="E65" i="2"/>
  <c r="E64" i="2"/>
  <c r="E63" i="2"/>
  <c r="E22" i="2"/>
  <c r="E62" i="2"/>
  <c r="E61" i="2"/>
  <c r="E60" i="2"/>
  <c r="E90" i="2"/>
  <c r="E59" i="2"/>
  <c r="E58" i="2"/>
  <c r="E57" i="2"/>
  <c r="E98" i="2"/>
  <c r="E55" i="2"/>
  <c r="E54" i="2"/>
  <c r="E53" i="2"/>
  <c r="E52" i="2"/>
  <c r="E5" i="2"/>
  <c r="E50" i="2"/>
  <c r="E13" i="2"/>
  <c r="E83"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45"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3" i="2"/>
  <c r="O93" i="2" s="1"/>
  <c r="J11" i="2"/>
  <c r="F11" i="2" s="1"/>
  <c r="J16" i="2"/>
  <c r="F16" i="2" s="1"/>
  <c r="J41" i="2"/>
  <c r="F41" i="2" s="1"/>
  <c r="J17" i="2"/>
  <c r="F17" i="2" s="1"/>
  <c r="J34" i="2"/>
  <c r="F34" i="2" s="1"/>
  <c r="N16" i="2"/>
  <c r="O16" i="2" s="1"/>
  <c r="N11" i="2"/>
  <c r="O11" i="2" s="1"/>
  <c r="N39" i="2"/>
  <c r="O39" i="2" s="1"/>
  <c r="N9" i="2"/>
  <c r="O9" i="2" s="1"/>
  <c r="J32" i="2"/>
  <c r="F32" i="2" s="1"/>
  <c r="N96" i="2"/>
  <c r="O96" i="2" s="1"/>
  <c r="N28" i="2"/>
  <c r="O28" i="2" s="1"/>
  <c r="N82" i="2"/>
  <c r="O82" i="2" s="1"/>
  <c r="N41" i="2"/>
  <c r="O41" i="2" s="1"/>
  <c r="N46" i="2"/>
  <c r="O46" i="2" s="1"/>
  <c r="N29" i="2"/>
  <c r="O29" i="2" s="1"/>
  <c r="J46" i="2"/>
  <c r="F46" i="2" s="1"/>
  <c r="N26" i="2"/>
  <c r="O26" i="2" s="1"/>
  <c r="J26" i="2"/>
  <c r="F26" i="2" s="1"/>
  <c r="J39" i="2"/>
  <c r="F39" i="2" s="1"/>
  <c r="J29" i="2"/>
  <c r="F29" i="2" s="1"/>
  <c r="J82" i="2"/>
  <c r="F82" i="2" s="1"/>
  <c r="N25" i="2"/>
  <c r="O25" i="2" s="1"/>
  <c r="J25" i="2"/>
  <c r="F25" i="2" s="1"/>
  <c r="N33" i="2"/>
  <c r="O33" i="2" s="1"/>
  <c r="J33" i="2"/>
  <c r="F33" i="2" s="1"/>
  <c r="N42" i="2"/>
  <c r="O42" i="2" s="1"/>
  <c r="J42" i="2"/>
  <c r="F42" i="2" s="1"/>
  <c r="N24" i="2"/>
  <c r="O24" i="2" s="1"/>
  <c r="N34" i="2"/>
  <c r="O34" i="2" s="1"/>
  <c r="J27" i="2"/>
  <c r="F27" i="2" s="1"/>
  <c r="N21" i="2"/>
  <c r="O21" i="2" s="1"/>
  <c r="N27" i="2"/>
  <c r="O27" i="2" s="1"/>
  <c r="J24" i="2"/>
  <c r="F24" i="2" s="1"/>
  <c r="N10" i="2"/>
  <c r="O10" i="2" s="1"/>
  <c r="N17" i="2"/>
  <c r="O17" i="2" s="1"/>
  <c r="N36" i="2"/>
  <c r="O36" i="2" s="1"/>
  <c r="N97" i="2"/>
  <c r="O97" i="2" s="1"/>
  <c r="N32" i="2"/>
  <c r="O32" i="2" s="1"/>
  <c r="N44" i="2"/>
  <c r="O44"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9" i="2"/>
  <c r="F9" i="2" s="1"/>
  <c r="J93" i="2"/>
  <c r="F93" i="2" s="1"/>
  <c r="J10" i="2"/>
  <c r="F10" i="2" s="1"/>
  <c r="J21" i="2"/>
  <c r="F21" i="2" s="1"/>
  <c r="J44" i="2"/>
  <c r="F44" i="2" s="1"/>
  <c r="J97" i="2"/>
  <c r="F97" i="2" s="1"/>
  <c r="J96" i="2"/>
  <c r="F96" i="2" s="1"/>
  <c r="C13" i="5"/>
  <c r="D9" i="5"/>
  <c r="G20" i="5"/>
  <c r="G17" i="5"/>
  <c r="G19" i="5"/>
  <c r="G16" i="5"/>
  <c r="G18" i="5"/>
  <c r="G21" i="5" s="1"/>
  <c r="P38" i="2" l="1"/>
  <c r="P104" i="2"/>
  <c r="P14" i="2"/>
  <c r="P103" i="2"/>
  <c r="P102" i="2"/>
  <c r="P101" i="2"/>
  <c r="P100" i="2"/>
  <c r="P105" i="2"/>
  <c r="P43" i="2"/>
  <c r="P30" i="2"/>
  <c r="P99" i="2"/>
  <c r="P56" i="2"/>
  <c r="P20" i="2"/>
  <c r="P94" i="2"/>
  <c r="P66" i="2"/>
  <c r="P80" i="2"/>
  <c r="P51" i="2"/>
  <c r="P85" i="2"/>
  <c r="P84" i="2"/>
  <c r="P12" i="2"/>
  <c r="P91" i="2"/>
  <c r="P89" i="2"/>
  <c r="P88" i="2"/>
  <c r="P87" i="2"/>
  <c r="P86" i="2"/>
  <c r="P47" i="2"/>
  <c r="P49" i="2"/>
  <c r="P95" i="2"/>
  <c r="P81" i="2"/>
  <c r="P92" i="2"/>
  <c r="P31" i="2"/>
  <c r="P79" i="2"/>
  <c r="P8" i="2"/>
  <c r="P77" i="2"/>
  <c r="P78" i="2"/>
  <c r="P75" i="2"/>
  <c r="P76" i="2"/>
  <c r="P73" i="2"/>
  <c r="P74" i="2"/>
  <c r="P72" i="2"/>
  <c r="P69" i="2"/>
  <c r="P71" i="2"/>
  <c r="P70" i="2"/>
  <c r="P67" i="2"/>
  <c r="P68" i="2"/>
  <c r="P65" i="2"/>
  <c r="P6" i="2"/>
  <c r="P63" i="2"/>
  <c r="P64" i="2"/>
  <c r="P62" i="2"/>
  <c r="P22" i="2"/>
  <c r="P60" i="2"/>
  <c r="P61" i="2"/>
  <c r="P59" i="2"/>
  <c r="P90" i="2"/>
  <c r="P57" i="2"/>
  <c r="P58" i="2"/>
  <c r="P55" i="2"/>
  <c r="P98" i="2"/>
  <c r="P53" i="2"/>
  <c r="P54" i="2"/>
  <c r="P5" i="2"/>
  <c r="P52" i="2"/>
  <c r="P13" i="2"/>
  <c r="P50" i="2"/>
  <c r="P48" i="2"/>
  <c r="P83" i="2"/>
  <c r="P35" i="2"/>
  <c r="P40" i="2"/>
  <c r="E11" i="2"/>
  <c r="P37" i="2"/>
  <c r="P18" i="2"/>
  <c r="E42" i="2"/>
  <c r="E26" i="2"/>
  <c r="E32" i="2"/>
  <c r="P23" i="2"/>
  <c r="P7" i="2"/>
  <c r="P45" i="2"/>
  <c r="E16" i="2"/>
  <c r="E17" i="2"/>
  <c r="E27" i="2"/>
  <c r="E41" i="2"/>
  <c r="E46" i="2"/>
  <c r="P15" i="2"/>
  <c r="E29" i="2"/>
  <c r="E39" i="2"/>
  <c r="E19" i="2"/>
  <c r="E28" i="2"/>
  <c r="E34" i="2"/>
  <c r="E82" i="2"/>
  <c r="E33" i="2"/>
  <c r="E24" i="2"/>
  <c r="E25" i="2"/>
  <c r="P25" i="2"/>
  <c r="P42" i="2"/>
  <c r="P82" i="2"/>
  <c r="P33" i="2"/>
  <c r="P24" i="2"/>
  <c r="P32" i="2"/>
  <c r="P26" i="2"/>
  <c r="P39" i="2"/>
  <c r="P34" i="2"/>
  <c r="P16" i="2"/>
  <c r="P29" i="2"/>
  <c r="P11" i="2"/>
  <c r="P28" i="2"/>
  <c r="P19" i="2"/>
  <c r="P46" i="2"/>
  <c r="P41" i="2"/>
  <c r="P17" i="2"/>
  <c r="P27" i="2"/>
  <c r="E97" i="2"/>
  <c r="E9" i="2"/>
  <c r="E36" i="2"/>
  <c r="E44" i="2"/>
  <c r="E10" i="2"/>
  <c r="E21" i="2"/>
  <c r="E96"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3" i="2"/>
  <c r="D10" i="5"/>
  <c r="D7" i="5"/>
  <c r="D6" i="5"/>
  <c r="D5" i="5"/>
  <c r="C14" i="5"/>
  <c r="D38" i="2" l="1"/>
  <c r="C38" i="2" s="1"/>
  <c r="D104" i="2"/>
  <c r="C104" i="2" s="1"/>
  <c r="D14" i="2"/>
  <c r="C14" i="2" s="1"/>
  <c r="D103" i="2"/>
  <c r="C103" i="2" s="1"/>
  <c r="D102" i="2"/>
  <c r="C102" i="2" s="1"/>
  <c r="D101" i="2"/>
  <c r="C101" i="2" s="1"/>
  <c r="D100" i="2"/>
  <c r="C100" i="2" s="1"/>
  <c r="D105" i="2"/>
  <c r="C105" i="2" s="1"/>
  <c r="D43" i="2"/>
  <c r="C43" i="2" s="1"/>
  <c r="D30" i="2"/>
  <c r="C30" i="2" s="1"/>
  <c r="D99" i="2"/>
  <c r="C99" i="2" s="1"/>
  <c r="D56" i="2"/>
  <c r="C56" i="2" s="1"/>
  <c r="D20" i="2"/>
  <c r="C20" i="2" s="1"/>
  <c r="D66" i="2"/>
  <c r="C66" i="2" s="1"/>
  <c r="D94" i="2"/>
  <c r="C94" i="2" s="1"/>
  <c r="D80" i="2"/>
  <c r="C80" i="2" s="1"/>
  <c r="D85" i="2"/>
  <c r="C85" i="2" s="1"/>
  <c r="D51" i="2"/>
  <c r="C51" i="2" s="1"/>
  <c r="D12" i="2"/>
  <c r="C12" i="2" s="1"/>
  <c r="D84" i="2"/>
  <c r="C84" i="2" s="1"/>
  <c r="D91" i="2"/>
  <c r="C91" i="2" s="1"/>
  <c r="D89" i="2"/>
  <c r="C89" i="2" s="1"/>
  <c r="D88" i="2"/>
  <c r="C88" i="2" s="1"/>
  <c r="D87" i="2"/>
  <c r="C87" i="2" s="1"/>
  <c r="D86" i="2"/>
  <c r="C86" i="2" s="1"/>
  <c r="D47" i="2"/>
  <c r="C47" i="2" s="1"/>
  <c r="D49" i="2"/>
  <c r="C49" i="2" s="1"/>
  <c r="D81" i="2"/>
  <c r="C81" i="2" s="1"/>
  <c r="D95" i="2"/>
  <c r="C95" i="2" s="1"/>
  <c r="D92" i="2"/>
  <c r="C92" i="2" s="1"/>
  <c r="D8" i="2"/>
  <c r="C8"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22" i="2"/>
  <c r="C22" i="2" s="1"/>
  <c r="D63" i="2"/>
  <c r="C63" i="2" s="1"/>
  <c r="D61" i="2"/>
  <c r="C61" i="2" s="1"/>
  <c r="D62" i="2"/>
  <c r="C62" i="2" s="1"/>
  <c r="D60" i="2"/>
  <c r="C60" i="2" s="1"/>
  <c r="D59" i="2"/>
  <c r="C59" i="2" s="1"/>
  <c r="D90" i="2"/>
  <c r="C90" i="2" s="1"/>
  <c r="D57" i="2"/>
  <c r="C57" i="2" s="1"/>
  <c r="D58" i="2"/>
  <c r="C58" i="2" s="1"/>
  <c r="D55" i="2"/>
  <c r="C55" i="2" s="1"/>
  <c r="D98" i="2"/>
  <c r="C98" i="2" s="1"/>
  <c r="D53" i="2"/>
  <c r="C53" i="2" s="1"/>
  <c r="D54" i="2"/>
  <c r="C54" i="2" s="1"/>
  <c r="D5" i="2"/>
  <c r="C5" i="2" s="1"/>
  <c r="D52" i="2"/>
  <c r="C52" i="2" s="1"/>
  <c r="D13" i="2"/>
  <c r="C13" i="2" s="1"/>
  <c r="D50" i="2"/>
  <c r="C50" i="2" s="1"/>
  <c r="D48" i="2"/>
  <c r="C48" i="2" s="1"/>
  <c r="D83" i="2"/>
  <c r="C83" i="2" s="1"/>
  <c r="D35" i="2"/>
  <c r="C35" i="2" s="1"/>
  <c r="D40" i="2"/>
  <c r="C40" i="2" s="1"/>
  <c r="D18" i="2"/>
  <c r="C18" i="2" s="1"/>
  <c r="D37" i="2"/>
  <c r="C37" i="2" s="1"/>
  <c r="D23" i="2"/>
  <c r="C23" i="2" s="1"/>
  <c r="D7" i="2"/>
  <c r="C7" i="2" s="1"/>
  <c r="D45" i="2"/>
  <c r="C45" i="2" s="1"/>
  <c r="D15" i="2"/>
  <c r="C15" i="2" s="1"/>
  <c r="D25" i="2"/>
  <c r="C25" i="2" s="1"/>
  <c r="D42" i="2"/>
  <c r="C42" i="2" s="1"/>
  <c r="D82" i="2"/>
  <c r="C82" i="2" s="1"/>
  <c r="D33" i="2"/>
  <c r="C33" i="2" s="1"/>
  <c r="D24" i="2"/>
  <c r="C24" i="2" s="1"/>
  <c r="D32" i="2"/>
  <c r="C32" i="2" s="1"/>
  <c r="D26" i="2"/>
  <c r="C26" i="2" s="1"/>
  <c r="D39" i="2"/>
  <c r="C39" i="2" s="1"/>
  <c r="D34" i="2"/>
  <c r="C34" i="2" s="1"/>
  <c r="D16" i="2"/>
  <c r="C16" i="2" s="1"/>
  <c r="D28" i="2"/>
  <c r="C28" i="2" s="1"/>
  <c r="D29" i="2"/>
  <c r="C29" i="2" s="1"/>
  <c r="D11" i="2"/>
  <c r="C11" i="2" s="1"/>
  <c r="D19" i="2"/>
  <c r="C19" i="2" s="1"/>
  <c r="D46" i="2"/>
  <c r="C46" i="2" s="1"/>
  <c r="D41" i="2"/>
  <c r="C41" i="2" s="1"/>
  <c r="D17" i="2"/>
  <c r="C17" i="2" s="1"/>
  <c r="D27" i="2"/>
  <c r="C27" i="2" s="1"/>
  <c r="C15" i="5"/>
  <c r="D36" i="2"/>
  <c r="D93" i="2"/>
  <c r="D44" i="2"/>
  <c r="D21" i="2"/>
  <c r="D96" i="2"/>
  <c r="D9" i="2"/>
  <c r="D10" i="2"/>
  <c r="D97" i="2"/>
  <c r="G7" i="5"/>
  <c r="G5" i="5"/>
  <c r="G8" i="5" s="1"/>
  <c r="G6" i="5"/>
  <c r="G13" i="5"/>
  <c r="P21" i="2" l="1"/>
  <c r="C21" i="2" s="1"/>
  <c r="P96" i="2"/>
  <c r="C96" i="2" s="1"/>
  <c r="P93" i="2"/>
  <c r="C93" i="2" s="1"/>
  <c r="P44" i="2"/>
  <c r="C44" i="2" s="1"/>
  <c r="P36" i="2"/>
  <c r="C36" i="2" s="1"/>
  <c r="P10" i="2"/>
  <c r="C10" i="2" s="1"/>
  <c r="P9" i="2"/>
  <c r="C9" i="2" s="1"/>
  <c r="P97" i="2"/>
  <c r="C97"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<sst xmlns="http://schemas.openxmlformats.org/spreadsheetml/2006/main" count="40987" uniqueCount="723">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</sst>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73.344444212962" createdVersion="8" refreshedVersion="8" minRefreshableVersion="3" recordCount="2124" xr:uid="{DC51D016-C251-461D-A8BC-322113D3679A}">
  <cacheSource type="worksheet">
    <worksheetSource name="GameLog"/>
  </cacheSource>
  <cacheFields count="11">
    <cacheField name="Player" numFmtId="0">
      <sharedItems containsBlank="1" count="152">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Charlie B" u="1"/>
        <s v="Christian S" u="1"/>
        <s v="Christian" u="1"/>
        <s v="Arman" u="1"/>
        <s v="Jake D" u="1"/>
        <s v="Jon M" u="1"/>
        <s v="Eric Teaman" u="1"/>
        <s v="Andrew" u="1"/>
        <s v="Russ C" u="1"/>
        <s v=" Eric E" u="1"/>
        <s v="Edwin M"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9-08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73.34444479167" createdVersion="8" refreshedVersion="8" minRefreshableVersion="3" recordCount="6066" xr:uid="{A68797AC-E72E-49CE-BBC1-16C3348D6A5F}">
  <cacheSource type="worksheet">
    <worksheetSource name="Matchups"/>
  </cacheSource>
  <cacheFields count="22">
    <cacheField name="Player" numFmtId="0">
      <sharedItems count="138">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9-08T00:00:00" count="59">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8">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9-08T00:00:00"/>
        <groupItems count="14">
          <s v="&lt;7/21/2025"/>
          <s v="Jan"/>
          <s v="Feb"/>
          <s v="Mar"/>
          <s v="Apr"/>
          <s v="May"/>
          <s v="Jun"/>
          <s v="Jul"/>
          <s v="Aug"/>
          <s v="Sep"/>
          <s v="Oct"/>
          <s v="Nov"/>
          <s v="Dec"/>
          <s v="&gt;9/8/2026"/>
        </groupItems>
      </fieldGroup>
    </cacheField>
    <cacheField name="Quarters (Date)" numFmtId="0" databaseField="0">
      <fieldGroup base="5">
        <rangePr groupBy="quarters" startDate="2025-07-21T00:00:00" endDate="2026-09-08T00:00:00"/>
        <groupItems count="6">
          <s v="&lt;7/21/2025"/>
          <s v="Qtr1"/>
          <s v="Qtr2"/>
          <s v="Qtr3"/>
          <s v="Qtr4"/>
          <s v="&gt;9/8/2026"/>
        </groupItems>
      </fieldGroup>
    </cacheField>
    <cacheField name="Years (Date)" numFmtId="0" databaseField="0">
      <fieldGroup base="5">
        <rangePr groupBy="years" startDate="2025-07-21T00:00:00" endDate="2026-09-08T00:00:00"/>
        <groupItems count="4">
          <s v="&lt;7/21/2025"/>
          <s v="2025"/>
          <s v="2026"/>
          <s v="&gt;9/8/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24">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70"/>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4"/>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90"/>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4"/>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70"/>
    <x v="0"/>
    <x v="4"/>
    <n v="5"/>
    <n v="2"/>
    <d v="2026-08-24T00:00:00"/>
    <s v="5|19000102|46258"/>
    <x v="2"/>
    <x v="1"/>
    <x v="4"/>
    <x v="0"/>
  </r>
  <r>
    <x v="90"/>
    <x v="1"/>
    <x v="0"/>
    <n v="5"/>
    <n v="2"/>
    <d v="2026-08-24T00:00:00"/>
    <s v="5|19000102|46258"/>
    <x v="2"/>
    <x v="1"/>
    <x v="4"/>
    <x v="0"/>
  </r>
  <r>
    <x v="37"/>
    <x v="1"/>
    <x v="1"/>
    <n v="5"/>
    <n v="2"/>
    <d v="2026-08-24T00:00:00"/>
    <s v="5|19000102|46258"/>
    <x v="2"/>
    <x v="1"/>
    <x v="4"/>
    <x v="0"/>
  </r>
  <r>
    <x v="1"/>
    <x v="2"/>
    <x v="4"/>
    <n v="1"/>
    <n v="1"/>
    <d v="2026-08-31T00:00:00"/>
    <s v="1|19000101|46265"/>
    <x v="0"/>
    <x v="1"/>
    <x v="4"/>
    <x v="0"/>
  </r>
  <r>
    <x v="95"/>
    <x v="2"/>
    <x v="0"/>
    <n v="1"/>
    <n v="1"/>
    <d v="2026-08-31T00:00:00"/>
    <s v="1|19000101|46265"/>
    <x v="0"/>
    <x v="1"/>
    <x v="4"/>
    <x v="0"/>
  </r>
  <r>
    <x v="18"/>
    <x v="2"/>
    <x v="1"/>
    <n v="1"/>
    <n v="1"/>
    <d v="2026-08-31T00:00:00"/>
    <s v="1|19000101|46265"/>
    <x v="0"/>
    <x v="1"/>
    <x v="4"/>
    <x v="0"/>
  </r>
  <r>
    <x v="90"/>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4"/>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90"/>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4"/>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5"/>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1"/>
  </r>
  <r>
    <x v="50"/>
    <x v="0"/>
    <x v="0"/>
    <n v="1"/>
    <n v="1"/>
    <d v="2026-09-07T00:00:00"/>
    <s v="1|19000101|46272"/>
    <x v="0"/>
    <x v="1"/>
    <x v="5"/>
    <x v="1"/>
  </r>
  <r>
    <x v="67"/>
    <x v="1"/>
    <x v="1"/>
    <n v="1"/>
    <n v="1"/>
    <d v="2026-09-07T00:00:00"/>
    <s v="1|19000101|46272"/>
    <x v="0"/>
    <x v="1"/>
    <x v="5"/>
    <x v="1"/>
  </r>
  <r>
    <x v="44"/>
    <x v="1"/>
    <x v="2"/>
    <n v="1"/>
    <n v="1"/>
    <d v="2026-09-07T00:00:00"/>
    <s v="1|19000101|46272"/>
    <x v="0"/>
    <x v="1"/>
    <x v="5"/>
    <x v="1"/>
  </r>
  <r>
    <x v="13"/>
    <x v="2"/>
    <x v="4"/>
    <n v="2"/>
    <n v="1"/>
    <d v="2026-09-07T00:00:00"/>
    <s v="2|19000101|46272"/>
    <x v="0"/>
    <x v="1"/>
    <x v="5"/>
    <x v="1"/>
  </r>
  <r>
    <x v="19"/>
    <x v="2"/>
    <x v="0"/>
    <n v="2"/>
    <n v="1"/>
    <d v="2026-09-07T00:00:00"/>
    <s v="2|19000101|46272"/>
    <x v="0"/>
    <x v="1"/>
    <x v="5"/>
    <x v="1"/>
  </r>
  <r>
    <x v="11"/>
    <x v="2"/>
    <x v="1"/>
    <n v="2"/>
    <n v="1"/>
    <d v="2026-09-07T00:00:00"/>
    <s v="2|19000101|46272"/>
    <x v="0"/>
    <x v="1"/>
    <x v="5"/>
    <x v="1"/>
  </r>
  <r>
    <x v="8"/>
    <x v="2"/>
    <x v="2"/>
    <n v="2"/>
    <n v="1"/>
    <d v="2026-09-07T00:00:00"/>
    <s v="2|19000101|46272"/>
    <x v="0"/>
    <x v="1"/>
    <x v="5"/>
    <x v="1"/>
  </r>
  <r>
    <x v="84"/>
    <x v="2"/>
    <x v="4"/>
    <n v="3"/>
    <n v="1"/>
    <d v="2026-09-07T00:00:00"/>
    <s v="3|19000101|46272"/>
    <x v="0"/>
    <x v="1"/>
    <x v="5"/>
    <x v="1"/>
  </r>
  <r>
    <x v="42"/>
    <x v="2"/>
    <x v="0"/>
    <n v="3"/>
    <n v="1"/>
    <d v="2026-09-07T00:00:00"/>
    <s v="3|19000101|46272"/>
    <x v="0"/>
    <x v="1"/>
    <x v="5"/>
    <x v="1"/>
  </r>
  <r>
    <x v="4"/>
    <x v="2"/>
    <x v="1"/>
    <n v="3"/>
    <n v="1"/>
    <d v="2026-09-07T00:00:00"/>
    <s v="3|19000101|46272"/>
    <x v="0"/>
    <x v="1"/>
    <x v="5"/>
    <x v="1"/>
  </r>
  <r>
    <x v="70"/>
    <x v="2"/>
    <x v="2"/>
    <n v="3"/>
    <n v="1"/>
    <d v="2026-09-07T00:00:00"/>
    <s v="3|19000101|46272"/>
    <x v="0"/>
    <x v="1"/>
    <x v="5"/>
    <x v="1"/>
  </r>
  <r>
    <x v="57"/>
    <x v="2"/>
    <x v="4"/>
    <n v="4"/>
    <n v="1"/>
    <d v="2026-09-07T00:00:00"/>
    <s v="4|19000101|46272"/>
    <x v="0"/>
    <x v="1"/>
    <x v="5"/>
    <x v="1"/>
  </r>
  <r>
    <x v="9"/>
    <x v="2"/>
    <x v="0"/>
    <n v="4"/>
    <n v="1"/>
    <d v="2026-09-07T00:00:00"/>
    <s v="4|19000101|46272"/>
    <x v="0"/>
    <x v="1"/>
    <x v="5"/>
    <x v="1"/>
  </r>
  <r>
    <x v="90"/>
    <x v="2"/>
    <x v="1"/>
    <n v="4"/>
    <n v="1"/>
    <d v="2026-09-07T00:00:00"/>
    <s v="4|19000101|46272"/>
    <x v="0"/>
    <x v="1"/>
    <x v="5"/>
    <x v="1"/>
  </r>
  <r>
    <x v="1"/>
    <x v="2"/>
    <x v="2"/>
    <n v="4"/>
    <n v="1"/>
    <d v="2026-09-07T00:00:00"/>
    <s v="4|19000101|46272"/>
    <x v="0"/>
    <x v="1"/>
    <x v="5"/>
    <x v="1"/>
  </r>
  <r>
    <x v="1"/>
    <x v="2"/>
    <x v="4"/>
    <n v="1"/>
    <n v="2"/>
    <d v="2026-09-07T00:00:00"/>
    <s v="1|19000102|46272"/>
    <x v="0"/>
    <x v="1"/>
    <x v="5"/>
    <x v="1"/>
  </r>
  <r>
    <x v="8"/>
    <x v="2"/>
    <x v="0"/>
    <n v="1"/>
    <n v="2"/>
    <d v="2026-09-07T00:00:00"/>
    <s v="1|19000102|46272"/>
    <x v="0"/>
    <x v="1"/>
    <x v="5"/>
    <x v="1"/>
  </r>
  <r>
    <x v="70"/>
    <x v="2"/>
    <x v="1"/>
    <n v="1"/>
    <n v="2"/>
    <d v="2026-09-07T00:00:00"/>
    <s v="1|19000102|46272"/>
    <x v="0"/>
    <x v="1"/>
    <x v="5"/>
    <x v="1"/>
  </r>
  <r>
    <x v="50"/>
    <x v="2"/>
    <x v="2"/>
    <n v="1"/>
    <n v="2"/>
    <d v="2026-09-07T00:00:00"/>
    <s v="1|19000102|46272"/>
    <x v="0"/>
    <x v="1"/>
    <x v="5"/>
    <x v="1"/>
  </r>
  <r>
    <x v="9"/>
    <x v="1"/>
    <x v="4"/>
    <n v="2"/>
    <n v="2"/>
    <d v="2026-09-07T00:00:00"/>
    <s v="2|19000102|46272"/>
    <x v="0"/>
    <x v="1"/>
    <x v="5"/>
    <x v="1"/>
  </r>
  <r>
    <x v="67"/>
    <x v="1"/>
    <x v="0"/>
    <n v="2"/>
    <n v="2"/>
    <d v="2026-09-07T00:00:00"/>
    <s v="2|19000102|46272"/>
    <x v="0"/>
    <x v="1"/>
    <x v="5"/>
    <x v="1"/>
  </r>
  <r>
    <x v="19"/>
    <x v="1"/>
    <x v="1"/>
    <n v="2"/>
    <n v="2"/>
    <d v="2026-09-07T00:00:00"/>
    <s v="2|19000102|46272"/>
    <x v="0"/>
    <x v="1"/>
    <x v="5"/>
    <x v="1"/>
  </r>
  <r>
    <x v="84"/>
    <x v="0"/>
    <x v="2"/>
    <n v="2"/>
    <n v="2"/>
    <d v="2026-09-07T00:00:00"/>
    <s v="2|19000102|46272"/>
    <x v="0"/>
    <x v="1"/>
    <x v="5"/>
    <x v="1"/>
  </r>
  <r>
    <x v="44"/>
    <x v="1"/>
    <x v="4"/>
    <n v="3"/>
    <n v="2"/>
    <d v="2026-09-07T00:00:00"/>
    <s v="3|19000102|46272"/>
    <x v="0"/>
    <x v="1"/>
    <x v="5"/>
    <x v="1"/>
  </r>
  <r>
    <x v="11"/>
    <x v="1"/>
    <x v="0"/>
    <n v="3"/>
    <n v="2"/>
    <d v="2026-09-07T00:00:00"/>
    <s v="3|19000102|46272"/>
    <x v="0"/>
    <x v="1"/>
    <x v="5"/>
    <x v="1"/>
  </r>
  <r>
    <x v="4"/>
    <x v="1"/>
    <x v="1"/>
    <n v="3"/>
    <n v="2"/>
    <d v="2026-09-07T00:00:00"/>
    <s v="3|19000102|46272"/>
    <x v="0"/>
    <x v="1"/>
    <x v="5"/>
    <x v="1"/>
  </r>
  <r>
    <x v="57"/>
    <x v="0"/>
    <x v="2"/>
    <n v="3"/>
    <n v="2"/>
    <d v="2026-09-07T00:00:00"/>
    <s v="3|19000102|46272"/>
    <x v="0"/>
    <x v="1"/>
    <x v="5"/>
    <x v="1"/>
  </r>
  <r>
    <x v="90"/>
    <x v="1"/>
    <x v="4"/>
    <n v="4"/>
    <n v="2"/>
    <d v="2026-09-07T00:00:00"/>
    <s v="4|19000102|46272"/>
    <x v="0"/>
    <x v="1"/>
    <x v="5"/>
    <x v="1"/>
  </r>
  <r>
    <x v="42"/>
    <x v="1"/>
    <x v="0"/>
    <n v="4"/>
    <n v="2"/>
    <d v="2026-09-07T00:00:00"/>
    <s v="4|19000102|46272"/>
    <x v="0"/>
    <x v="1"/>
    <x v="5"/>
    <x v="1"/>
  </r>
  <r>
    <x v="13"/>
    <x v="0"/>
    <x v="1"/>
    <n v="4"/>
    <n v="2"/>
    <d v="2026-09-07T00:00:00"/>
    <s v="4|19000102|46272"/>
    <x v="0"/>
    <x v="1"/>
    <x v="5"/>
    <x v="1"/>
  </r>
  <r>
    <x v="10"/>
    <x v="1"/>
    <x v="2"/>
    <n v="4"/>
    <n v="2"/>
    <d v="2026-09-07T00:00:00"/>
    <s v="4|19000102|46272"/>
    <x v="0"/>
    <x v="1"/>
    <x v="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66">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Current"/>
    <x v="20"/>
    <s v="Win"/>
    <b v="0"/>
    <n v="0"/>
    <n v="1"/>
    <n v="0"/>
    <n v="1"/>
  </r>
  <r>
    <x v="46"/>
    <s v="Loss"/>
    <n v="1"/>
    <n v="1"/>
    <n v="1"/>
    <x v="58"/>
    <s v="1|19000101|46272"/>
    <n v="4"/>
    <n v="2026"/>
    <n v="9"/>
    <s v="Current"/>
    <x v="66"/>
    <s v="Loss"/>
    <b v="0"/>
    <n v="0"/>
    <n v="1"/>
    <n v="0"/>
    <n v="0"/>
  </r>
  <r>
    <x v="46"/>
    <s v="Loss"/>
    <n v="1"/>
    <n v="1"/>
    <n v="1"/>
    <x v="58"/>
    <s v="1|19000101|46272"/>
    <n v="4"/>
    <n v="2026"/>
    <n v="9"/>
    <s v="Current"/>
    <x v="25"/>
    <s v="Loss"/>
    <b v="0"/>
    <n v="0"/>
    <n v="1"/>
    <n v="0"/>
    <n v="0"/>
  </r>
  <r>
    <x v="20"/>
    <s v="Win"/>
    <n v="2"/>
    <n v="1"/>
    <n v="1"/>
    <x v="58"/>
    <s v="1|19000101|46272"/>
    <n v="4"/>
    <n v="2026"/>
    <n v="9"/>
    <s v="Current"/>
    <x v="46"/>
    <s v="Loss"/>
    <b v="0"/>
    <n v="1"/>
    <n v="0"/>
    <n v="0"/>
    <n v="0"/>
  </r>
  <r>
    <x v="20"/>
    <s v="Win"/>
    <n v="2"/>
    <n v="1"/>
    <n v="1"/>
    <x v="58"/>
    <s v="1|19000101|46272"/>
    <n v="4"/>
    <n v="2026"/>
    <n v="9"/>
    <s v="Current"/>
    <x v="66"/>
    <s v="Loss"/>
    <b v="0"/>
    <n v="1"/>
    <n v="0"/>
    <n v="0"/>
    <n v="0"/>
  </r>
  <r>
    <x v="20"/>
    <s v="Win"/>
    <n v="2"/>
    <n v="1"/>
    <n v="1"/>
    <x v="58"/>
    <s v="1|19000101|46272"/>
    <n v="4"/>
    <n v="2026"/>
    <n v="9"/>
    <s v="Current"/>
    <x v="25"/>
    <s v="Loss"/>
    <b v="0"/>
    <n v="1"/>
    <n v="0"/>
    <n v="0"/>
    <n v="0"/>
  </r>
  <r>
    <x v="67"/>
    <s v="Loss"/>
    <n v="3"/>
    <n v="1"/>
    <n v="1"/>
    <x v="58"/>
    <s v="1|19000101|46272"/>
    <n v="4"/>
    <n v="2026"/>
    <n v="9"/>
    <s v="Current"/>
    <x v="46"/>
    <s v="Loss"/>
    <b v="0"/>
    <n v="0"/>
    <n v="1"/>
    <n v="0"/>
    <n v="0"/>
  </r>
  <r>
    <x v="67"/>
    <s v="Loss"/>
    <n v="3"/>
    <n v="1"/>
    <n v="1"/>
    <x v="58"/>
    <s v="1|19000101|46272"/>
    <n v="4"/>
    <n v="2026"/>
    <n v="9"/>
    <s v="Current"/>
    <x v="20"/>
    <s v="Win"/>
    <b v="0"/>
    <n v="0"/>
    <n v="1"/>
    <n v="0"/>
    <n v="1"/>
  </r>
  <r>
    <x v="67"/>
    <s v="Loss"/>
    <n v="3"/>
    <n v="1"/>
    <n v="1"/>
    <x v="58"/>
    <s v="1|19000101|46272"/>
    <n v="4"/>
    <n v="2026"/>
    <n v="9"/>
    <s v="Current"/>
    <x v="25"/>
    <s v="Loss"/>
    <b v="0"/>
    <n v="0"/>
    <n v="1"/>
    <n v="0"/>
    <n v="0"/>
  </r>
  <r>
    <x v="25"/>
    <s v="Loss"/>
    <n v="4"/>
    <n v="1"/>
    <n v="1"/>
    <x v="58"/>
    <s v="1|19000101|46272"/>
    <n v="4"/>
    <n v="2026"/>
    <n v="9"/>
    <s v="Current"/>
    <x v="46"/>
    <s v="Loss"/>
    <b v="0"/>
    <n v="0"/>
    <n v="1"/>
    <n v="0"/>
    <n v="0"/>
  </r>
  <r>
    <x v="25"/>
    <s v="Loss"/>
    <n v="4"/>
    <n v="1"/>
    <n v="1"/>
    <x v="58"/>
    <s v="1|19000101|46272"/>
    <n v="4"/>
    <n v="2026"/>
    <n v="9"/>
    <s v="Current"/>
    <x v="20"/>
    <s v="Win"/>
    <b v="0"/>
    <n v="0"/>
    <n v="1"/>
    <n v="0"/>
    <n v="1"/>
  </r>
  <r>
    <x v="25"/>
    <s v="Loss"/>
    <n v="4"/>
    <n v="1"/>
    <n v="1"/>
    <x v="58"/>
    <s v="1|19000101|46272"/>
    <n v="4"/>
    <n v="2026"/>
    <n v="9"/>
    <s v="Current"/>
    <x v="66"/>
    <s v="Loss"/>
    <b v="0"/>
    <n v="0"/>
    <n v="1"/>
    <n v="0"/>
    <n v="0"/>
  </r>
  <r>
    <x v="1"/>
    <s v="Draw"/>
    <n v="1"/>
    <n v="2"/>
    <n v="1"/>
    <x v="58"/>
    <s v="2|19000101|46272"/>
    <n v="4"/>
    <n v="2026"/>
    <n v="9"/>
    <s v="Current"/>
    <x v="34"/>
    <s v="Draw"/>
    <b v="0"/>
    <n v="0"/>
    <n v="0"/>
    <n v="1"/>
    <n v="0"/>
  </r>
  <r>
    <x v="1"/>
    <s v="Draw"/>
    <n v="1"/>
    <n v="2"/>
    <n v="1"/>
    <x v="58"/>
    <s v="2|19000101|46272"/>
    <n v="4"/>
    <n v="2026"/>
    <n v="9"/>
    <s v="Current"/>
    <x v="18"/>
    <s v="Draw"/>
    <b v="0"/>
    <n v="0"/>
    <n v="0"/>
    <n v="1"/>
    <n v="0"/>
  </r>
  <r>
    <x v="1"/>
    <s v="Draw"/>
    <n v="1"/>
    <n v="2"/>
    <n v="1"/>
    <x v="58"/>
    <s v="2|19000101|46272"/>
    <n v="4"/>
    <n v="2026"/>
    <n v="9"/>
    <s v="Current"/>
    <x v="14"/>
    <s v="Draw"/>
    <b v="0"/>
    <n v="0"/>
    <n v="0"/>
    <n v="1"/>
    <n v="0"/>
  </r>
  <r>
    <x v="34"/>
    <s v="Draw"/>
    <n v="2"/>
    <n v="2"/>
    <n v="1"/>
    <x v="58"/>
    <s v="2|19000101|46272"/>
    <n v="4"/>
    <n v="2026"/>
    <n v="9"/>
    <s v="Current"/>
    <x v="0"/>
    <s v="Draw"/>
    <b v="0"/>
    <n v="0"/>
    <n v="0"/>
    <n v="1"/>
    <n v="0"/>
  </r>
  <r>
    <x v="34"/>
    <s v="Draw"/>
    <n v="2"/>
    <n v="2"/>
    <n v="1"/>
    <x v="58"/>
    <s v="2|19000101|46272"/>
    <n v="4"/>
    <n v="2026"/>
    <n v="9"/>
    <s v="Current"/>
    <x v="18"/>
    <s v="Draw"/>
    <b v="0"/>
    <n v="0"/>
    <n v="0"/>
    <n v="1"/>
    <n v="0"/>
  </r>
  <r>
    <x v="34"/>
    <s v="Draw"/>
    <n v="2"/>
    <n v="2"/>
    <n v="1"/>
    <x v="58"/>
    <s v="2|19000101|46272"/>
    <n v="4"/>
    <n v="2026"/>
    <n v="9"/>
    <s v="Current"/>
    <x v="14"/>
    <s v="Draw"/>
    <b v="0"/>
    <n v="0"/>
    <n v="0"/>
    <n v="1"/>
    <n v="0"/>
  </r>
  <r>
    <x v="18"/>
    <s v="Draw"/>
    <n v="3"/>
    <n v="2"/>
    <n v="1"/>
    <x v="58"/>
    <s v="2|19000101|46272"/>
    <n v="4"/>
    <n v="2026"/>
    <n v="9"/>
    <s v="Current"/>
    <x v="0"/>
    <s v="Draw"/>
    <b v="0"/>
    <n v="0"/>
    <n v="0"/>
    <n v="1"/>
    <n v="0"/>
  </r>
  <r>
    <x v="18"/>
    <s v="Draw"/>
    <n v="3"/>
    <n v="2"/>
    <n v="1"/>
    <x v="58"/>
    <s v="2|19000101|46272"/>
    <n v="4"/>
    <n v="2026"/>
    <n v="9"/>
    <s v="Current"/>
    <x v="34"/>
    <s v="Draw"/>
    <b v="0"/>
    <n v="0"/>
    <n v="0"/>
    <n v="1"/>
    <n v="0"/>
  </r>
  <r>
    <x v="18"/>
    <s v="Draw"/>
    <n v="3"/>
    <n v="2"/>
    <n v="1"/>
    <x v="58"/>
    <s v="2|19000101|46272"/>
    <n v="4"/>
    <n v="2026"/>
    <n v="9"/>
    <s v="Current"/>
    <x v="14"/>
    <s v="Draw"/>
    <b v="0"/>
    <n v="0"/>
    <n v="0"/>
    <n v="1"/>
    <n v="0"/>
  </r>
  <r>
    <x v="14"/>
    <s v="Draw"/>
    <n v="4"/>
    <n v="2"/>
    <n v="1"/>
    <x v="58"/>
    <s v="2|19000101|46272"/>
    <n v="4"/>
    <n v="2026"/>
    <n v="9"/>
    <s v="Current"/>
    <x v="0"/>
    <s v="Draw"/>
    <b v="0"/>
    <n v="0"/>
    <n v="0"/>
    <n v="1"/>
    <n v="0"/>
  </r>
  <r>
    <x v="14"/>
    <s v="Draw"/>
    <n v="4"/>
    <n v="2"/>
    <n v="1"/>
    <x v="58"/>
    <s v="2|19000101|46272"/>
    <n v="4"/>
    <n v="2026"/>
    <n v="9"/>
    <s v="Current"/>
    <x v="34"/>
    <s v="Draw"/>
    <b v="0"/>
    <n v="0"/>
    <n v="0"/>
    <n v="1"/>
    <n v="0"/>
  </r>
  <r>
    <x v="14"/>
    <s v="Draw"/>
    <n v="4"/>
    <n v="2"/>
    <n v="1"/>
    <x v="58"/>
    <s v="2|19000101|46272"/>
    <n v="4"/>
    <n v="2026"/>
    <n v="9"/>
    <s v="Current"/>
    <x v="18"/>
    <s v="Draw"/>
    <b v="0"/>
    <n v="0"/>
    <n v="0"/>
    <n v="1"/>
    <n v="0"/>
  </r>
  <r>
    <x v="84"/>
    <s v="Draw"/>
    <n v="1"/>
    <n v="3"/>
    <n v="1"/>
    <x v="58"/>
    <s v="3|19000101|46272"/>
    <n v="4"/>
    <n v="2026"/>
    <n v="9"/>
    <s v="Current"/>
    <x v="2"/>
    <s v="Draw"/>
    <b v="0"/>
    <n v="0"/>
    <n v="0"/>
    <n v="1"/>
    <n v="0"/>
  </r>
  <r>
    <x v="84"/>
    <s v="Draw"/>
    <n v="1"/>
    <n v="3"/>
    <n v="1"/>
    <x v="58"/>
    <s v="3|19000101|46272"/>
    <n v="4"/>
    <n v="2026"/>
    <n v="9"/>
    <s v="Current"/>
    <x v="44"/>
    <s v="Draw"/>
    <b v="0"/>
    <n v="0"/>
    <n v="0"/>
    <n v="1"/>
    <n v="0"/>
  </r>
  <r>
    <x v="84"/>
    <s v="Draw"/>
    <n v="1"/>
    <n v="3"/>
    <n v="1"/>
    <x v="58"/>
    <s v="3|19000101|46272"/>
    <n v="4"/>
    <n v="2026"/>
    <n v="9"/>
    <s v="Current"/>
    <x v="70"/>
    <s v="Draw"/>
    <b v="0"/>
    <n v="0"/>
    <n v="0"/>
    <n v="1"/>
    <n v="0"/>
  </r>
  <r>
    <x v="3"/>
    <s v="Draw"/>
    <n v="2"/>
    <n v="3"/>
    <n v="1"/>
    <x v="58"/>
    <s v="3|19000101|46272"/>
    <n v="4"/>
    <n v="2026"/>
    <n v="9"/>
    <s v="Current"/>
    <x v="84"/>
    <s v="Draw"/>
    <b v="0"/>
    <n v="0"/>
    <n v="0"/>
    <n v="1"/>
    <n v="0"/>
  </r>
  <r>
    <x v="3"/>
    <s v="Draw"/>
    <n v="2"/>
    <n v="3"/>
    <n v="1"/>
    <x v="58"/>
    <s v="3|19000101|46272"/>
    <n v="4"/>
    <n v="2026"/>
    <n v="9"/>
    <s v="Current"/>
    <x v="44"/>
    <s v="Draw"/>
    <b v="0"/>
    <n v="0"/>
    <n v="0"/>
    <n v="1"/>
    <n v="0"/>
  </r>
  <r>
    <x v="3"/>
    <s v="Draw"/>
    <n v="2"/>
    <n v="3"/>
    <n v="1"/>
    <x v="58"/>
    <s v="3|19000101|46272"/>
    <n v="4"/>
    <n v="2026"/>
    <n v="9"/>
    <s v="Current"/>
    <x v="70"/>
    <s v="Draw"/>
    <b v="0"/>
    <n v="0"/>
    <n v="0"/>
    <n v="1"/>
    <n v="0"/>
  </r>
  <r>
    <x v="44"/>
    <s v="Draw"/>
    <n v="3"/>
    <n v="3"/>
    <n v="1"/>
    <x v="58"/>
    <s v="3|19000101|46272"/>
    <n v="4"/>
    <n v="2026"/>
    <n v="9"/>
    <s v="Current"/>
    <x v="84"/>
    <s v="Draw"/>
    <b v="0"/>
    <n v="0"/>
    <n v="0"/>
    <n v="1"/>
    <n v="0"/>
  </r>
  <r>
    <x v="44"/>
    <s v="Draw"/>
    <n v="3"/>
    <n v="3"/>
    <n v="1"/>
    <x v="58"/>
    <s v="3|19000101|46272"/>
    <n v="4"/>
    <n v="2026"/>
    <n v="9"/>
    <s v="Current"/>
    <x v="2"/>
    <s v="Draw"/>
    <b v="0"/>
    <n v="0"/>
    <n v="0"/>
    <n v="1"/>
    <n v="0"/>
  </r>
  <r>
    <x v="44"/>
    <s v="Draw"/>
    <n v="3"/>
    <n v="3"/>
    <n v="1"/>
    <x v="58"/>
    <s v="3|19000101|46272"/>
    <n v="4"/>
    <n v="2026"/>
    <n v="9"/>
    <s v="Current"/>
    <x v="70"/>
    <s v="Draw"/>
    <b v="0"/>
    <n v="0"/>
    <n v="0"/>
    <n v="1"/>
    <n v="0"/>
  </r>
  <r>
    <x v="70"/>
    <s v="Draw"/>
    <n v="4"/>
    <n v="3"/>
    <n v="1"/>
    <x v="58"/>
    <s v="3|19000101|46272"/>
    <n v="4"/>
    <n v="2026"/>
    <n v="9"/>
    <s v="Current"/>
    <x v="84"/>
    <s v="Draw"/>
    <b v="0"/>
    <n v="0"/>
    <n v="0"/>
    <n v="1"/>
    <n v="0"/>
  </r>
  <r>
    <x v="70"/>
    <s v="Draw"/>
    <n v="4"/>
    <n v="3"/>
    <n v="1"/>
    <x v="58"/>
    <s v="3|19000101|46272"/>
    <n v="4"/>
    <n v="2026"/>
    <n v="9"/>
    <s v="Current"/>
    <x v="2"/>
    <s v="Draw"/>
    <b v="0"/>
    <n v="0"/>
    <n v="0"/>
    <n v="1"/>
    <n v="0"/>
  </r>
  <r>
    <x v="70"/>
    <s v="Draw"/>
    <n v="4"/>
    <n v="3"/>
    <n v="1"/>
    <x v="58"/>
    <s v="3|19000101|46272"/>
    <n v="4"/>
    <n v="2026"/>
    <n v="9"/>
    <s v="Current"/>
    <x v="44"/>
    <s v="Draw"/>
    <b v="0"/>
    <n v="0"/>
    <n v="0"/>
    <n v="1"/>
    <n v="0"/>
  </r>
  <r>
    <x v="17"/>
    <s v="Draw"/>
    <n v="1"/>
    <n v="4"/>
    <n v="1"/>
    <x v="58"/>
    <s v="4|19000101|46272"/>
    <n v="4"/>
    <n v="2026"/>
    <n v="9"/>
    <s v="Current"/>
    <x v="5"/>
    <s v="Draw"/>
    <b v="0"/>
    <n v="0"/>
    <n v="0"/>
    <n v="1"/>
    <n v="0"/>
  </r>
  <r>
    <x v="17"/>
    <s v="Draw"/>
    <n v="1"/>
    <n v="4"/>
    <n v="1"/>
    <x v="58"/>
    <s v="4|19000101|46272"/>
    <n v="4"/>
    <n v="2026"/>
    <n v="9"/>
    <s v="Current"/>
    <x v="90"/>
    <s v="Draw"/>
    <b v="0"/>
    <n v="0"/>
    <n v="0"/>
    <n v="1"/>
    <n v="0"/>
  </r>
  <r>
    <x v="17"/>
    <s v="Draw"/>
    <n v="1"/>
    <n v="4"/>
    <n v="1"/>
    <x v="58"/>
    <s v="4|19000101|46272"/>
    <n v="4"/>
    <n v="2026"/>
    <n v="9"/>
    <s v="Current"/>
    <x v="4"/>
    <s v="Draw"/>
    <b v="0"/>
    <n v="0"/>
    <n v="0"/>
    <n v="1"/>
    <n v="0"/>
  </r>
  <r>
    <x v="5"/>
    <s v="Draw"/>
    <n v="2"/>
    <n v="4"/>
    <n v="1"/>
    <x v="58"/>
    <s v="4|19000101|46272"/>
    <n v="4"/>
    <n v="2026"/>
    <n v="9"/>
    <s v="Current"/>
    <x v="17"/>
    <s v="Draw"/>
    <b v="0"/>
    <n v="0"/>
    <n v="0"/>
    <n v="1"/>
    <n v="0"/>
  </r>
  <r>
    <x v="5"/>
    <s v="Draw"/>
    <n v="2"/>
    <n v="4"/>
    <n v="1"/>
    <x v="58"/>
    <s v="4|19000101|46272"/>
    <n v="4"/>
    <n v="2026"/>
    <n v="9"/>
    <s v="Current"/>
    <x v="90"/>
    <s v="Draw"/>
    <b v="0"/>
    <n v="0"/>
    <n v="0"/>
    <n v="1"/>
    <n v="0"/>
  </r>
  <r>
    <x v="5"/>
    <s v="Draw"/>
    <n v="2"/>
    <n v="4"/>
    <n v="1"/>
    <x v="58"/>
    <s v="4|19000101|46272"/>
    <n v="4"/>
    <n v="2026"/>
    <n v="9"/>
    <s v="Current"/>
    <x v="4"/>
    <s v="Draw"/>
    <b v="0"/>
    <n v="0"/>
    <n v="0"/>
    <n v="1"/>
    <n v="0"/>
  </r>
  <r>
    <x v="90"/>
    <s v="Draw"/>
    <n v="3"/>
    <n v="4"/>
    <n v="1"/>
    <x v="58"/>
    <s v="4|19000101|46272"/>
    <n v="4"/>
    <n v="2026"/>
    <n v="9"/>
    <s v="Current"/>
    <x v="17"/>
    <s v="Draw"/>
    <b v="0"/>
    <n v="0"/>
    <n v="0"/>
    <n v="1"/>
    <n v="0"/>
  </r>
  <r>
    <x v="90"/>
    <s v="Draw"/>
    <n v="3"/>
    <n v="4"/>
    <n v="1"/>
    <x v="58"/>
    <s v="4|19000101|46272"/>
    <n v="4"/>
    <n v="2026"/>
    <n v="9"/>
    <s v="Current"/>
    <x v="5"/>
    <s v="Draw"/>
    <b v="0"/>
    <n v="0"/>
    <n v="0"/>
    <n v="1"/>
    <n v="0"/>
  </r>
  <r>
    <x v="90"/>
    <s v="Draw"/>
    <n v="3"/>
    <n v="4"/>
    <n v="1"/>
    <x v="58"/>
    <s v="4|19000101|46272"/>
    <n v="4"/>
    <n v="2026"/>
    <n v="9"/>
    <s v="Current"/>
    <x v="4"/>
    <s v="Draw"/>
    <b v="0"/>
    <n v="0"/>
    <n v="0"/>
    <n v="1"/>
    <n v="0"/>
  </r>
  <r>
    <x v="4"/>
    <s v="Draw"/>
    <n v="4"/>
    <n v="4"/>
    <n v="1"/>
    <x v="58"/>
    <s v="4|19000101|46272"/>
    <n v="4"/>
    <n v="2026"/>
    <n v="9"/>
    <s v="Current"/>
    <x v="17"/>
    <s v="Draw"/>
    <b v="0"/>
    <n v="0"/>
    <n v="0"/>
    <n v="1"/>
    <n v="0"/>
  </r>
  <r>
    <x v="4"/>
    <s v="Draw"/>
    <n v="4"/>
    <n v="4"/>
    <n v="1"/>
    <x v="58"/>
    <s v="4|19000101|46272"/>
    <n v="4"/>
    <n v="2026"/>
    <n v="9"/>
    <s v="Current"/>
    <x v="5"/>
    <s v="Draw"/>
    <b v="0"/>
    <n v="0"/>
    <n v="0"/>
    <n v="1"/>
    <n v="0"/>
  </r>
  <r>
    <x v="4"/>
    <s v="Draw"/>
    <n v="4"/>
    <n v="4"/>
    <n v="1"/>
    <x v="58"/>
    <s v="4|19000101|46272"/>
    <n v="4"/>
    <n v="2026"/>
    <n v="9"/>
    <s v="Current"/>
    <x v="90"/>
    <s v="Draw"/>
    <b v="0"/>
    <n v="0"/>
    <n v="0"/>
    <n v="1"/>
    <n v="0"/>
  </r>
  <r>
    <x v="4"/>
    <s v="Draw"/>
    <n v="1"/>
    <n v="1"/>
    <n v="2"/>
    <x v="58"/>
    <s v="1|19000102|46272"/>
    <n v="4"/>
    <n v="2026"/>
    <n v="9"/>
    <s v="Current"/>
    <x v="14"/>
    <s v="Draw"/>
    <b v="0"/>
    <n v="0"/>
    <n v="0"/>
    <n v="1"/>
    <n v="0"/>
  </r>
  <r>
    <x v="4"/>
    <s v="Draw"/>
    <n v="1"/>
    <n v="1"/>
    <n v="2"/>
    <x v="58"/>
    <s v="1|19000102|46272"/>
    <n v="4"/>
    <n v="2026"/>
    <n v="9"/>
    <s v="Current"/>
    <x v="70"/>
    <s v="Draw"/>
    <b v="0"/>
    <n v="0"/>
    <n v="0"/>
    <n v="1"/>
    <n v="0"/>
  </r>
  <r>
    <x v="4"/>
    <s v="Draw"/>
    <n v="1"/>
    <n v="1"/>
    <n v="2"/>
    <x v="58"/>
    <s v="1|19000102|46272"/>
    <n v="4"/>
    <n v="2026"/>
    <n v="9"/>
    <s v="Current"/>
    <x v="20"/>
    <s v="Draw"/>
    <b v="0"/>
    <n v="0"/>
    <n v="0"/>
    <n v="1"/>
    <n v="0"/>
  </r>
  <r>
    <x v="14"/>
    <s v="Draw"/>
    <n v="2"/>
    <n v="1"/>
    <n v="2"/>
    <x v="58"/>
    <s v="1|19000102|46272"/>
    <n v="4"/>
    <n v="2026"/>
    <n v="9"/>
    <s v="Current"/>
    <x v="4"/>
    <s v="Draw"/>
    <b v="0"/>
    <n v="0"/>
    <n v="0"/>
    <n v="1"/>
    <n v="0"/>
  </r>
  <r>
    <x v="14"/>
    <s v="Draw"/>
    <n v="2"/>
    <n v="1"/>
    <n v="2"/>
    <x v="58"/>
    <s v="1|19000102|46272"/>
    <n v="4"/>
    <n v="2026"/>
    <n v="9"/>
    <s v="Current"/>
    <x v="70"/>
    <s v="Draw"/>
    <b v="0"/>
    <n v="0"/>
    <n v="0"/>
    <n v="1"/>
    <n v="0"/>
  </r>
  <r>
    <x v="14"/>
    <s v="Draw"/>
    <n v="2"/>
    <n v="1"/>
    <n v="2"/>
    <x v="58"/>
    <s v="1|19000102|46272"/>
    <n v="4"/>
    <n v="2026"/>
    <n v="9"/>
    <s v="Current"/>
    <x v="20"/>
    <s v="Draw"/>
    <b v="0"/>
    <n v="0"/>
    <n v="0"/>
    <n v="1"/>
    <n v="0"/>
  </r>
  <r>
    <x v="70"/>
    <s v="Draw"/>
    <n v="3"/>
    <n v="1"/>
    <n v="2"/>
    <x v="58"/>
    <s v="1|19000102|46272"/>
    <n v="4"/>
    <n v="2026"/>
    <n v="9"/>
    <s v="Current"/>
    <x v="4"/>
    <s v="Draw"/>
    <b v="0"/>
    <n v="0"/>
    <n v="0"/>
    <n v="1"/>
    <n v="0"/>
  </r>
  <r>
    <x v="70"/>
    <s v="Draw"/>
    <n v="3"/>
    <n v="1"/>
    <n v="2"/>
    <x v="58"/>
    <s v="1|19000102|46272"/>
    <n v="4"/>
    <n v="2026"/>
    <n v="9"/>
    <s v="Current"/>
    <x v="14"/>
    <s v="Draw"/>
    <b v="0"/>
    <n v="0"/>
    <n v="0"/>
    <n v="1"/>
    <n v="0"/>
  </r>
  <r>
    <x v="70"/>
    <s v="Draw"/>
    <n v="3"/>
    <n v="1"/>
    <n v="2"/>
    <x v="58"/>
    <s v="1|19000102|46272"/>
    <n v="4"/>
    <n v="2026"/>
    <n v="9"/>
    <s v="Current"/>
    <x v="20"/>
    <s v="Draw"/>
    <b v="0"/>
    <n v="0"/>
    <n v="0"/>
    <n v="1"/>
    <n v="0"/>
  </r>
  <r>
    <x v="20"/>
    <s v="Draw"/>
    <n v="4"/>
    <n v="1"/>
    <n v="2"/>
    <x v="58"/>
    <s v="1|19000102|46272"/>
    <n v="4"/>
    <n v="2026"/>
    <n v="9"/>
    <s v="Current"/>
    <x v="4"/>
    <s v="Draw"/>
    <b v="0"/>
    <n v="0"/>
    <n v="0"/>
    <n v="1"/>
    <n v="0"/>
  </r>
  <r>
    <x v="20"/>
    <s v="Draw"/>
    <n v="4"/>
    <n v="1"/>
    <n v="2"/>
    <x v="58"/>
    <s v="1|19000102|46272"/>
    <n v="4"/>
    <n v="2026"/>
    <n v="9"/>
    <s v="Current"/>
    <x v="14"/>
    <s v="Draw"/>
    <b v="0"/>
    <n v="0"/>
    <n v="0"/>
    <n v="1"/>
    <n v="0"/>
  </r>
  <r>
    <x v="20"/>
    <s v="Draw"/>
    <n v="4"/>
    <n v="1"/>
    <n v="2"/>
    <x v="58"/>
    <s v="1|19000102|46272"/>
    <n v="4"/>
    <n v="2026"/>
    <n v="9"/>
    <s v="Current"/>
    <x v="70"/>
    <s v="Draw"/>
    <b v="0"/>
    <n v="0"/>
    <n v="0"/>
    <n v="1"/>
    <n v="0"/>
  </r>
  <r>
    <x v="5"/>
    <s v="Loss"/>
    <n v="1"/>
    <n v="2"/>
    <n v="2"/>
    <x v="58"/>
    <s v="2|19000102|46272"/>
    <n v="4"/>
    <n v="2026"/>
    <n v="9"/>
    <s v="Current"/>
    <x v="66"/>
    <s v="Loss"/>
    <b v="0"/>
    <n v="0"/>
    <n v="1"/>
    <n v="0"/>
    <n v="0"/>
  </r>
  <r>
    <x v="5"/>
    <s v="Loss"/>
    <n v="1"/>
    <n v="2"/>
    <n v="2"/>
    <x v="58"/>
    <s v="2|19000102|46272"/>
    <n v="4"/>
    <n v="2026"/>
    <n v="9"/>
    <s v="Current"/>
    <x v="34"/>
    <s v="Loss"/>
    <b v="0"/>
    <n v="0"/>
    <n v="1"/>
    <n v="0"/>
    <n v="0"/>
  </r>
  <r>
    <x v="5"/>
    <s v="Loss"/>
    <n v="1"/>
    <n v="2"/>
    <n v="2"/>
    <x v="58"/>
    <s v="2|19000102|46272"/>
    <n v="4"/>
    <n v="2026"/>
    <n v="9"/>
    <s v="Current"/>
    <x v="84"/>
    <s v="Win"/>
    <b v="0"/>
    <n v="0"/>
    <n v="1"/>
    <n v="0"/>
    <n v="1"/>
  </r>
  <r>
    <x v="67"/>
    <s v="Loss"/>
    <n v="2"/>
    <n v="2"/>
    <n v="2"/>
    <x v="58"/>
    <s v="2|19000102|46272"/>
    <n v="4"/>
    <n v="2026"/>
    <n v="9"/>
    <s v="Current"/>
    <x v="5"/>
    <s v="Loss"/>
    <b v="0"/>
    <n v="0"/>
    <n v="1"/>
    <n v="0"/>
    <n v="0"/>
  </r>
  <r>
    <x v="67"/>
    <s v="Loss"/>
    <n v="2"/>
    <n v="2"/>
    <n v="2"/>
    <x v="58"/>
    <s v="2|19000102|46272"/>
    <n v="4"/>
    <n v="2026"/>
    <n v="9"/>
    <s v="Current"/>
    <x v="34"/>
    <s v="Loss"/>
    <b v="0"/>
    <n v="0"/>
    <n v="1"/>
    <n v="0"/>
    <n v="0"/>
  </r>
  <r>
    <x v="67"/>
    <s v="Loss"/>
    <n v="2"/>
    <n v="2"/>
    <n v="2"/>
    <x v="58"/>
    <s v="2|19000102|46272"/>
    <n v="4"/>
    <n v="2026"/>
    <n v="9"/>
    <s v="Current"/>
    <x v="84"/>
    <s v="Win"/>
    <b v="0"/>
    <n v="0"/>
    <n v="1"/>
    <n v="0"/>
    <n v="1"/>
  </r>
  <r>
    <x v="34"/>
    <s v="Loss"/>
    <n v="3"/>
    <n v="2"/>
    <n v="2"/>
    <x v="58"/>
    <s v="2|19000102|46272"/>
    <n v="4"/>
    <n v="2026"/>
    <n v="9"/>
    <s v="Current"/>
    <x v="5"/>
    <s v="Loss"/>
    <b v="0"/>
    <n v="0"/>
    <n v="1"/>
    <n v="0"/>
    <n v="0"/>
  </r>
  <r>
    <x v="34"/>
    <s v="Loss"/>
    <n v="3"/>
    <n v="2"/>
    <n v="2"/>
    <x v="58"/>
    <s v="2|19000102|46272"/>
    <n v="4"/>
    <n v="2026"/>
    <n v="9"/>
    <s v="Current"/>
    <x v="66"/>
    <s v="Loss"/>
    <b v="0"/>
    <n v="0"/>
    <n v="1"/>
    <n v="0"/>
    <n v="0"/>
  </r>
  <r>
    <x v="34"/>
    <s v="Loss"/>
    <n v="3"/>
    <n v="2"/>
    <n v="2"/>
    <x v="58"/>
    <s v="2|19000102|46272"/>
    <n v="4"/>
    <n v="2026"/>
    <n v="9"/>
    <s v="Current"/>
    <x v="84"/>
    <s v="Win"/>
    <b v="0"/>
    <n v="0"/>
    <n v="1"/>
    <n v="0"/>
    <n v="1"/>
  </r>
  <r>
    <x v="84"/>
    <s v="Win"/>
    <n v="4"/>
    <n v="2"/>
    <n v="2"/>
    <x v="58"/>
    <s v="2|19000102|46272"/>
    <n v="4"/>
    <n v="2026"/>
    <n v="9"/>
    <s v="Current"/>
    <x v="5"/>
    <s v="Loss"/>
    <b v="0"/>
    <n v="1"/>
    <n v="0"/>
    <n v="0"/>
    <n v="0"/>
  </r>
  <r>
    <x v="84"/>
    <s v="Win"/>
    <n v="4"/>
    <n v="2"/>
    <n v="2"/>
    <x v="58"/>
    <s v="2|19000102|46272"/>
    <n v="4"/>
    <n v="2026"/>
    <n v="9"/>
    <s v="Current"/>
    <x v="66"/>
    <s v="Loss"/>
    <b v="0"/>
    <n v="1"/>
    <n v="0"/>
    <n v="0"/>
    <n v="0"/>
  </r>
  <r>
    <x v="84"/>
    <s v="Win"/>
    <n v="4"/>
    <n v="2"/>
    <n v="2"/>
    <x v="58"/>
    <s v="2|19000102|46272"/>
    <n v="4"/>
    <n v="2026"/>
    <n v="9"/>
    <s v="Current"/>
    <x v="34"/>
    <s v="Loss"/>
    <b v="0"/>
    <n v="1"/>
    <n v="0"/>
    <n v="0"/>
    <n v="0"/>
  </r>
  <r>
    <x v="25"/>
    <s v="Loss"/>
    <n v="1"/>
    <n v="3"/>
    <n v="2"/>
    <x v="58"/>
    <s v="3|19000102|46272"/>
    <n v="4"/>
    <n v="2026"/>
    <n v="9"/>
    <s v="Current"/>
    <x v="18"/>
    <s v="Loss"/>
    <b v="0"/>
    <n v="0"/>
    <n v="1"/>
    <n v="0"/>
    <n v="0"/>
  </r>
  <r>
    <x v="25"/>
    <s v="Loss"/>
    <n v="1"/>
    <n v="3"/>
    <n v="2"/>
    <x v="58"/>
    <s v="3|19000102|46272"/>
    <n v="4"/>
    <n v="2026"/>
    <n v="9"/>
    <s v="Current"/>
    <x v="44"/>
    <s v="Loss"/>
    <b v="0"/>
    <n v="0"/>
    <n v="1"/>
    <n v="0"/>
    <n v="0"/>
  </r>
  <r>
    <x v="25"/>
    <s v="Loss"/>
    <n v="1"/>
    <n v="3"/>
    <n v="2"/>
    <x v="58"/>
    <s v="3|19000102|46272"/>
    <n v="4"/>
    <n v="2026"/>
    <n v="9"/>
    <s v="Current"/>
    <x v="17"/>
    <s v="Win"/>
    <b v="0"/>
    <n v="0"/>
    <n v="1"/>
    <n v="0"/>
    <n v="1"/>
  </r>
  <r>
    <x v="18"/>
    <s v="Loss"/>
    <n v="2"/>
    <n v="3"/>
    <n v="2"/>
    <x v="58"/>
    <s v="3|19000102|46272"/>
    <n v="4"/>
    <n v="2026"/>
    <n v="9"/>
    <s v="Current"/>
    <x v="25"/>
    <s v="Loss"/>
    <b v="0"/>
    <n v="0"/>
    <n v="1"/>
    <n v="0"/>
    <n v="0"/>
  </r>
  <r>
    <x v="18"/>
    <s v="Loss"/>
    <n v="2"/>
    <n v="3"/>
    <n v="2"/>
    <x v="58"/>
    <s v="3|19000102|46272"/>
    <n v="4"/>
    <n v="2026"/>
    <n v="9"/>
    <s v="Current"/>
    <x v="44"/>
    <s v="Loss"/>
    <b v="0"/>
    <n v="0"/>
    <n v="1"/>
    <n v="0"/>
    <n v="0"/>
  </r>
  <r>
    <x v="18"/>
    <s v="Loss"/>
    <n v="2"/>
    <n v="3"/>
    <n v="2"/>
    <x v="58"/>
    <s v="3|19000102|46272"/>
    <n v="4"/>
    <n v="2026"/>
    <n v="9"/>
    <s v="Current"/>
    <x v="17"/>
    <s v="Win"/>
    <b v="0"/>
    <n v="0"/>
    <n v="1"/>
    <n v="0"/>
    <n v="1"/>
  </r>
  <r>
    <x v="44"/>
    <s v="Loss"/>
    <n v="3"/>
    <n v="3"/>
    <n v="2"/>
    <x v="58"/>
    <s v="3|19000102|46272"/>
    <n v="4"/>
    <n v="2026"/>
    <n v="9"/>
    <s v="Current"/>
    <x v="25"/>
    <s v="Loss"/>
    <b v="0"/>
    <n v="0"/>
    <n v="1"/>
    <n v="0"/>
    <n v="0"/>
  </r>
  <r>
    <x v="44"/>
    <s v="Loss"/>
    <n v="3"/>
    <n v="3"/>
    <n v="2"/>
    <x v="58"/>
    <s v="3|19000102|46272"/>
    <n v="4"/>
    <n v="2026"/>
    <n v="9"/>
    <s v="Current"/>
    <x v="18"/>
    <s v="Loss"/>
    <b v="0"/>
    <n v="0"/>
    <n v="1"/>
    <n v="0"/>
    <n v="0"/>
  </r>
  <r>
    <x v="44"/>
    <s v="Loss"/>
    <n v="3"/>
    <n v="3"/>
    <n v="2"/>
    <x v="58"/>
    <s v="3|19000102|46272"/>
    <n v="4"/>
    <n v="2026"/>
    <n v="9"/>
    <s v="Current"/>
    <x v="17"/>
    <s v="Win"/>
    <b v="0"/>
    <n v="0"/>
    <n v="1"/>
    <n v="0"/>
    <n v="1"/>
  </r>
  <r>
    <x v="17"/>
    <s v="Win"/>
    <n v="4"/>
    <n v="3"/>
    <n v="2"/>
    <x v="58"/>
    <s v="3|19000102|46272"/>
    <n v="4"/>
    <n v="2026"/>
    <n v="9"/>
    <s v="Current"/>
    <x v="25"/>
    <s v="Loss"/>
    <b v="0"/>
    <n v="1"/>
    <n v="0"/>
    <n v="0"/>
    <n v="0"/>
  </r>
  <r>
    <x v="17"/>
    <s v="Win"/>
    <n v="4"/>
    <n v="3"/>
    <n v="2"/>
    <x v="58"/>
    <s v="3|19000102|46272"/>
    <n v="4"/>
    <n v="2026"/>
    <n v="9"/>
    <s v="Current"/>
    <x v="18"/>
    <s v="Loss"/>
    <b v="0"/>
    <n v="1"/>
    <n v="0"/>
    <n v="0"/>
    <n v="0"/>
  </r>
  <r>
    <x v="17"/>
    <s v="Win"/>
    <n v="4"/>
    <n v="3"/>
    <n v="2"/>
    <x v="58"/>
    <s v="3|19000102|46272"/>
    <n v="4"/>
    <n v="2026"/>
    <n v="9"/>
    <s v="Current"/>
    <x v="44"/>
    <s v="Loss"/>
    <b v="0"/>
    <n v="1"/>
    <n v="0"/>
    <n v="0"/>
    <n v="0"/>
  </r>
  <r>
    <x v="90"/>
    <s v="Loss"/>
    <n v="1"/>
    <n v="4"/>
    <n v="2"/>
    <x v="58"/>
    <s v="4|19000102|46272"/>
    <n v="4"/>
    <n v="2026"/>
    <n v="9"/>
    <s v="Current"/>
    <x v="2"/>
    <s v="Loss"/>
    <b v="0"/>
    <n v="0"/>
    <n v="1"/>
    <n v="0"/>
    <n v="0"/>
  </r>
  <r>
    <x v="90"/>
    <s v="Loss"/>
    <n v="1"/>
    <n v="4"/>
    <n v="2"/>
    <x v="58"/>
    <s v="4|19000102|46272"/>
    <n v="4"/>
    <n v="2026"/>
    <n v="9"/>
    <s v="Current"/>
    <x v="0"/>
    <s v="Win"/>
    <b v="0"/>
    <n v="0"/>
    <n v="1"/>
    <n v="0"/>
    <n v="1"/>
  </r>
  <r>
    <x v="90"/>
    <s v="Loss"/>
    <n v="1"/>
    <n v="4"/>
    <n v="2"/>
    <x v="58"/>
    <s v="4|19000102|46272"/>
    <n v="4"/>
    <n v="2026"/>
    <n v="9"/>
    <s v="Current"/>
    <x v="46"/>
    <s v="Loss"/>
    <b v="0"/>
    <n v="0"/>
    <n v="1"/>
    <n v="0"/>
    <n v="0"/>
  </r>
  <r>
    <x v="3"/>
    <s v="Loss"/>
    <n v="2"/>
    <n v="4"/>
    <n v="2"/>
    <x v="58"/>
    <s v="4|19000102|46272"/>
    <n v="4"/>
    <n v="2026"/>
    <n v="9"/>
    <s v="Current"/>
    <x v="90"/>
    <s v="Loss"/>
    <b v="0"/>
    <n v="0"/>
    <n v="1"/>
    <n v="0"/>
    <n v="0"/>
  </r>
  <r>
    <x v="3"/>
    <s v="Loss"/>
    <n v="2"/>
    <n v="4"/>
    <n v="2"/>
    <x v="58"/>
    <s v="4|19000102|46272"/>
    <n v="4"/>
    <n v="2026"/>
    <n v="9"/>
    <s v="Current"/>
    <x v="0"/>
    <s v="Win"/>
    <b v="0"/>
    <n v="0"/>
    <n v="1"/>
    <n v="0"/>
    <n v="1"/>
  </r>
  <r>
    <x v="3"/>
    <s v="Loss"/>
    <n v="2"/>
    <n v="4"/>
    <n v="2"/>
    <x v="58"/>
    <s v="4|19000102|46272"/>
    <n v="4"/>
    <n v="2026"/>
    <n v="9"/>
    <s v="Current"/>
    <x v="46"/>
    <s v="Loss"/>
    <b v="0"/>
    <n v="0"/>
    <n v="1"/>
    <n v="0"/>
    <n v="0"/>
  </r>
  <r>
    <x v="1"/>
    <s v="Win"/>
    <n v="3"/>
    <n v="4"/>
    <n v="2"/>
    <x v="58"/>
    <s v="4|19000102|46272"/>
    <n v="4"/>
    <n v="2026"/>
    <n v="9"/>
    <s v="Current"/>
    <x v="90"/>
    <s v="Loss"/>
    <b v="0"/>
    <n v="1"/>
    <n v="0"/>
    <n v="0"/>
    <n v="0"/>
  </r>
  <r>
    <x v="1"/>
    <s v="Win"/>
    <n v="3"/>
    <n v="4"/>
    <n v="2"/>
    <x v="58"/>
    <s v="4|19000102|46272"/>
    <n v="4"/>
    <n v="2026"/>
    <n v="9"/>
    <s v="Current"/>
    <x v="2"/>
    <s v="Loss"/>
    <b v="0"/>
    <n v="1"/>
    <n v="0"/>
    <n v="0"/>
    <n v="0"/>
  </r>
  <r>
    <x v="1"/>
    <s v="Win"/>
    <n v="3"/>
    <n v="4"/>
    <n v="2"/>
    <x v="58"/>
    <s v="4|19000102|46272"/>
    <n v="4"/>
    <n v="2026"/>
    <n v="9"/>
    <s v="Current"/>
    <x v="46"/>
    <s v="Loss"/>
    <b v="0"/>
    <n v="1"/>
    <n v="0"/>
    <n v="0"/>
    <n v="0"/>
  </r>
  <r>
    <x v="46"/>
    <s v="Loss"/>
    <n v="4"/>
    <n v="4"/>
    <n v="2"/>
    <x v="58"/>
    <s v="4|19000102|46272"/>
    <n v="4"/>
    <n v="2026"/>
    <n v="9"/>
    <s v="Current"/>
    <x v="90"/>
    <s v="Loss"/>
    <b v="0"/>
    <n v="0"/>
    <n v="1"/>
    <n v="0"/>
    <n v="0"/>
  </r>
  <r>
    <x v="46"/>
    <s v="Loss"/>
    <n v="4"/>
    <n v="4"/>
    <n v="2"/>
    <x v="58"/>
    <s v="4|19000102|46272"/>
    <n v="4"/>
    <n v="2026"/>
    <n v="9"/>
    <s v="Current"/>
    <x v="2"/>
    <s v="Loss"/>
    <b v="0"/>
    <n v="0"/>
    <n v="1"/>
    <n v="0"/>
    <n v="0"/>
  </r>
  <r>
    <x v="46"/>
    <s v="Loss"/>
    <n v="4"/>
    <n v="4"/>
    <n v="2"/>
    <x v="58"/>
    <s v="4|19000102|46272"/>
    <n v="4"/>
    <n v="2026"/>
    <n v="9"/>
    <s v="Current"/>
    <x v="0"/>
    <s v="Win"/>
    <b v="0"/>
    <n v="0"/>
    <n v="1"/>
    <n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2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2" firstHeaderRow="1" firstDataRow="2" firstDataCol="1" rowPageCount="2" colPageCount="1"/>
  <pivotFields count="11">
    <pivotField axis="axisRow" showAll="0">
      <items count="153">
        <item x="1"/>
        <item x="8"/>
        <item x="9"/>
        <item x="11"/>
        <item x="13"/>
        <item x="15"/>
        <item m="1" x="133"/>
        <item x="42"/>
        <item x="47"/>
        <item x="48"/>
        <item x="50"/>
        <item x="51"/>
        <item x="55"/>
        <item x="56"/>
        <item x="57"/>
        <item x="58"/>
        <item x="61"/>
        <item x="0"/>
        <item m="1" x="120"/>
        <item x="72"/>
        <item x="18"/>
        <item x="33"/>
        <item x="53"/>
        <item x="22"/>
        <item m="1" x="146"/>
        <item m="1" x="147"/>
        <item m="1" x="148"/>
        <item m="1" x="149"/>
        <item m="1" x="150"/>
        <item m="1" x="151"/>
        <item x="60"/>
        <item m="1" x="114"/>
        <item x="45"/>
        <item x="27"/>
        <item x="44"/>
        <item x="26"/>
        <item x="52"/>
        <item m="1" x="144"/>
        <item x="43"/>
        <item x="6"/>
        <item x="35"/>
        <item x="23"/>
        <item m="1" x="132"/>
        <item x="49"/>
        <item x="36"/>
        <item m="1" x="126"/>
        <item x="19"/>
        <item m="1" x="145"/>
        <item m="1" x="141"/>
        <item x="16"/>
        <item m="1" x="116"/>
        <item x="38"/>
        <item x="31"/>
        <item x="21"/>
        <item x="46"/>
        <item m="1" x="142"/>
        <item x="62"/>
        <item m="1" x="143"/>
        <item x="39"/>
        <item x="17"/>
        <item x="41"/>
        <item x="3"/>
        <item m="1" x="110"/>
        <item x="32"/>
        <item x="20"/>
        <item x="30"/>
        <item x="59"/>
        <item x="34"/>
        <item m="1" x="140"/>
        <item m="1" x="129"/>
        <item m="1" x="122"/>
        <item m="1" x="121"/>
        <item x="12"/>
        <item m="1" x="124"/>
        <item x="40"/>
        <item m="1" x="139"/>
        <item m="1" x="137"/>
        <item m="1" x="136"/>
        <item m="1" x="138"/>
        <item m="1" x="134"/>
        <item m="1" x="135"/>
        <item m="1" x="123"/>
        <item x="5"/>
        <item m="1" x="103"/>
        <item x="29"/>
        <item x="10"/>
        <item x="37"/>
        <item m="1" x="130"/>
        <item m="1" x="125"/>
        <item x="4"/>
        <item m="1" x="131"/>
        <item x="25"/>
        <item x="14"/>
        <item x="54"/>
        <item m="1" x="100"/>
        <item x="63"/>
        <item m="1" x="128"/>
        <item m="1" x="127"/>
        <item x="65"/>
        <item x="66"/>
        <item x="67"/>
        <item x="68"/>
        <item x="69"/>
        <item x="70"/>
        <item x="71"/>
        <item x="7"/>
        <item x="24"/>
        <item x="28"/>
        <item x="64"/>
        <item x="73"/>
        <item x="74"/>
        <item m="1" x="118"/>
        <item m="1" x="119"/>
        <item m="1" x="117"/>
        <item m="1" x="112"/>
        <item m="1" x="104"/>
        <item m="1" x="115"/>
        <item x="76"/>
        <item x="77"/>
        <item x="78"/>
        <item m="1" x="113"/>
        <item x="79"/>
        <item m="1" x="105"/>
        <item x="80"/>
        <item m="1" x="111"/>
        <item m="1" x="99"/>
        <item m="1" x="106"/>
        <item x="2"/>
        <item x="81"/>
        <item x="82"/>
        <item x="83"/>
        <item x="84"/>
        <item x="75"/>
        <item m="1" x="107"/>
        <item m="1" x="108"/>
        <item x="85"/>
        <item x="86"/>
        <item m="1" x="96"/>
        <item x="87"/>
        <item m="1" x="109"/>
        <item x="88"/>
        <item x="89"/>
        <item m="1" x="102"/>
        <item x="91"/>
        <item x="92"/>
        <item x="90"/>
        <item m="1" x="101"/>
        <item m="1" x="97"/>
        <item x="93"/>
        <item m="1" x="98"/>
        <item x="94"/>
        <item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axis="axisPage" showAll="0">
      <items count="4">
        <item x="1"/>
        <item x="0"/>
        <item m="1" x="2"/>
        <item t="default"/>
      </items>
    </pivotField>
  </pivotFields>
  <rowFields count="1">
    <field x="0"/>
  </rowFields>
  <rowItems count="36">
    <i>
      <x/>
    </i>
    <i>
      <x v="1"/>
    </i>
    <i>
      <x v="2"/>
    </i>
    <i>
      <x v="3"/>
    </i>
    <i>
      <x v="4"/>
    </i>
    <i>
      <x v="5"/>
    </i>
    <i>
      <x v="7"/>
    </i>
    <i>
      <x v="10"/>
    </i>
    <i>
      <x v="14"/>
    </i>
    <i>
      <x v="15"/>
    </i>
    <i>
      <x v="20"/>
    </i>
    <i>
      <x v="21"/>
    </i>
    <i>
      <x v="33"/>
    </i>
    <i>
      <x v="46"/>
    </i>
    <i>
      <x v="56"/>
    </i>
    <i>
      <x v="85"/>
    </i>
    <i>
      <x v="86"/>
    </i>
    <i>
      <x v="89"/>
    </i>
    <i>
      <x v="91"/>
    </i>
    <i>
      <x v="100"/>
    </i>
    <i>
      <x v="102"/>
    </i>
    <i>
      <x v="103"/>
    </i>
    <i>
      <x v="105"/>
    </i>
    <i>
      <x v="107"/>
    </i>
    <i>
      <x v="110"/>
    </i>
    <i>
      <x v="117"/>
    </i>
    <i>
      <x v="121"/>
    </i>
    <i>
      <x v="123"/>
    </i>
    <i>
      <x v="130"/>
    </i>
    <i>
      <x v="131"/>
    </i>
    <i>
      <x v="140"/>
    </i>
    <i>
      <x v="145"/>
    </i>
    <i>
      <x v="148"/>
    </i>
    <i>
      <x v="150"/>
    </i>
    <i>
      <x v="151"/>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4" firstHeaderRow="0" firstDataRow="1" firstDataCol="1" rowPageCount="1" colPageCount="1"/>
  <pivotFields count="22">
    <pivotField axis="axisPage" showAll="0">
      <items count="139">
        <item x="0"/>
        <item x="4"/>
        <item x="40"/>
        <item x="50"/>
        <item x="14"/>
        <item x="5"/>
        <item x="18"/>
        <item m="1" x="119"/>
        <item x="1"/>
        <item x="10"/>
        <item x="15"/>
        <item x="8"/>
        <item x="2"/>
        <item x="34"/>
        <item x="62"/>
        <item m="1" x="132"/>
        <item x="9"/>
        <item x="61"/>
        <item x="22"/>
        <item x="24"/>
        <item m="1" x="131"/>
        <item m="1" x="125"/>
        <item x="55"/>
        <item x="53"/>
        <item x="35"/>
        <item x="13"/>
        <item x="37"/>
        <item x="56"/>
        <item x="51"/>
        <item m="1" x="115"/>
        <item x="29"/>
        <item x="36"/>
        <item x="49"/>
        <item x="3"/>
        <item x="54"/>
        <item x="25"/>
        <item x="60"/>
        <item x="63"/>
        <item x="6"/>
        <item x="19"/>
        <item x="52"/>
        <item x="20"/>
        <item x="23"/>
        <item x="27"/>
        <item x="30"/>
        <item x="26"/>
        <item x="57"/>
        <item x="17"/>
        <item x="7"/>
        <item x="31"/>
        <item x="59"/>
        <item m="1" x="113"/>
        <item x="33"/>
        <item m="1" x="128"/>
        <item m="1" x="122"/>
        <item m="1" x="121"/>
        <item x="12"/>
        <item m="1" x="123"/>
        <item x="42"/>
        <item m="1" x="137"/>
        <item m="1" x="135"/>
        <item m="1" x="136"/>
        <item m="1" x="133"/>
        <item m="1" x="134"/>
        <item x="28"/>
        <item m="1" x="120"/>
        <item x="45"/>
        <item m="1" x="103"/>
        <item x="48"/>
        <item x="46"/>
        <item x="43"/>
        <item m="1" x="129"/>
        <item m="1" x="124"/>
        <item x="21"/>
        <item x="44"/>
        <item m="1" x="130"/>
        <item x="11"/>
        <item x="16"/>
        <item x="58"/>
        <item m="1" x="100"/>
        <item x="64"/>
        <item m="1" x="127"/>
        <item m="1" x="126"/>
        <item x="66"/>
        <item x="65"/>
        <item x="67"/>
        <item x="68"/>
        <item x="69"/>
        <item x="70"/>
        <item x="71"/>
        <item x="72"/>
        <item x="32"/>
        <item x="38"/>
        <item x="39"/>
        <item x="41"/>
        <item x="73"/>
        <item x="74"/>
        <item m="1" x="117"/>
        <item m="1" x="118"/>
        <item m="1" x="116"/>
        <item m="1" x="112"/>
        <item m="1" x="104"/>
        <item m="1" x="114"/>
        <item x="76"/>
        <item x="77"/>
        <item x="78"/>
        <item m="1" x="110"/>
        <item x="79"/>
        <item m="1" x="105"/>
        <item x="80"/>
        <item m="1" x="111"/>
        <item m="1" x="99"/>
        <item m="1" x="106"/>
        <item x="47"/>
        <item x="81"/>
        <item x="82"/>
        <item x="83"/>
        <item x="84"/>
        <item x="75"/>
        <item m="1" x="107"/>
        <item m="1" x="108"/>
        <item x="85"/>
        <item x="86"/>
        <item m="1" x="96"/>
        <item x="87"/>
        <item m="1" x="109"/>
        <item x="88"/>
        <item x="89"/>
        <item m="1" x="102"/>
        <item x="91"/>
        <item x="92"/>
        <item x="90"/>
        <item m="1" x="101"/>
        <item m="1" x="97"/>
        <item x="93"/>
        <item m="1" x="98"/>
        <item x="94"/>
        <item x="95"/>
        <item t="default"/>
      </items>
    </pivotField>
    <pivotField showAll="0"/>
    <pivotField showAll="0"/>
    <pivotField showAll="0"/>
    <pivotField showAll="0"/>
    <pivotField numFmtId="22" showAll="0">
      <items count="60">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t="default"/>
      </items>
    </pivotField>
    <pivotField dataField="1" showAll="0"/>
    <pivotField showAll="0"/>
    <pivotField showAll="0"/>
    <pivotField showAll="0"/>
    <pivotField showAll="0"/>
    <pivotField axis="axisRow" showAll="0" sortType="descending">
      <items count="139">
        <item x="3"/>
        <item x="4"/>
        <item x="40"/>
        <item x="50"/>
        <item x="14"/>
        <item x="5"/>
        <item x="18"/>
        <item m="1" x="119"/>
        <item x="0"/>
        <item x="10"/>
        <item x="15"/>
        <item x="8"/>
        <item x="1"/>
        <item x="34"/>
        <item x="62"/>
        <item m="1" x="132"/>
        <item x="9"/>
        <item x="61"/>
        <item x="22"/>
        <item x="24"/>
        <item m="1" x="131"/>
        <item m="1" x="125"/>
        <item x="55"/>
        <item x="53"/>
        <item x="35"/>
        <item x="13"/>
        <item x="37"/>
        <item x="56"/>
        <item x="51"/>
        <item m="1" x="115"/>
        <item x="29"/>
        <item x="36"/>
        <item x="49"/>
        <item x="2"/>
        <item x="54"/>
        <item x="25"/>
        <item x="60"/>
        <item x="63"/>
        <item x="6"/>
        <item x="19"/>
        <item x="52"/>
        <item x="20"/>
        <item x="23"/>
        <item x="27"/>
        <item x="30"/>
        <item x="26"/>
        <item x="57"/>
        <item x="17"/>
        <item x="7"/>
        <item x="31"/>
        <item x="59"/>
        <item m="1" x="113"/>
        <item x="33"/>
        <item m="1" x="128"/>
        <item m="1" x="122"/>
        <item m="1" x="121"/>
        <item x="12"/>
        <item m="1" x="123"/>
        <item x="42"/>
        <item m="1" x="137"/>
        <item m="1" x="135"/>
        <item m="1" x="136"/>
        <item m="1" x="133"/>
        <item m="1" x="134"/>
        <item x="28"/>
        <item m="1" x="120"/>
        <item x="45"/>
        <item x="47"/>
        <item m="1" x="103"/>
        <item x="46"/>
        <item x="43"/>
        <item m="1" x="129"/>
        <item m="1" x="124"/>
        <item x="21"/>
        <item x="44"/>
        <item m="1" x="130"/>
        <item x="11"/>
        <item x="16"/>
        <item x="58"/>
        <item m="1" x="100"/>
        <item x="64"/>
        <item m="1" x="127"/>
        <item m="1" x="126"/>
        <item x="65"/>
        <item x="66"/>
        <item x="67"/>
        <item x="68"/>
        <item x="69"/>
        <item x="70"/>
        <item x="71"/>
        <item x="72"/>
        <item x="32"/>
        <item x="38"/>
        <item x="39"/>
        <item x="41"/>
        <item x="73"/>
        <item x="74"/>
        <item m="1" x="117"/>
        <item m="1" x="118"/>
        <item m="1" x="116"/>
        <item m="1" x="112"/>
        <item m="1" x="104"/>
        <item m="1" x="114"/>
        <item x="76"/>
        <item x="77"/>
        <item x="78"/>
        <item m="1" x="110"/>
        <item x="79"/>
        <item m="1" x="105"/>
        <item m="1" x="111"/>
        <item x="80"/>
        <item m="1" x="99"/>
        <item m="1" x="106"/>
        <item x="48"/>
        <item x="81"/>
        <item x="82"/>
        <item x="83"/>
        <item x="84"/>
        <item x="75"/>
        <item m="1" x="108"/>
        <item x="85"/>
        <item m="1" x="107"/>
        <item x="86"/>
        <item m="1" x="96"/>
        <item x="87"/>
        <item m="1" x="109"/>
        <item x="88"/>
        <item x="89"/>
        <item m="1" x="102"/>
        <item x="91"/>
        <item x="92"/>
        <item x="90"/>
        <item m="1" x="101"/>
        <item m="1" x="97"/>
        <item x="93"/>
        <item m="1" x="98"/>
        <item x="94"/>
        <item x="9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1">
    <i>
      <x v="47"/>
    </i>
    <i>
      <x v="12"/>
    </i>
    <i>
      <x v="1"/>
    </i>
    <i>
      <x v="73"/>
    </i>
    <i>
      <x v="33"/>
    </i>
    <i>
      <x v="6"/>
    </i>
    <i>
      <x v="5"/>
    </i>
    <i>
      <x v="4"/>
    </i>
    <i>
      <x v="19"/>
    </i>
    <i>
      <x v="9"/>
    </i>
    <i>
      <x v="48"/>
    </i>
    <i>
      <x v="74"/>
    </i>
    <i>
      <x v="10"/>
    </i>
    <i>
      <x v="56"/>
    </i>
    <i>
      <x v="25"/>
    </i>
    <i>
      <x v="41"/>
    </i>
    <i>
      <x v="13"/>
    </i>
    <i>
      <x v="64"/>
    </i>
    <i>
      <x v="88"/>
    </i>
    <i>
      <x v="42"/>
    </i>
    <i>
      <x v="69"/>
    </i>
    <i>
      <x v="43"/>
    </i>
    <i>
      <x v="77"/>
    </i>
    <i>
      <x v="91"/>
    </i>
    <i>
      <x v="45"/>
    </i>
    <i>
      <x v="49"/>
    </i>
    <i>
      <x v="70"/>
    </i>
    <i>
      <x v="131"/>
    </i>
    <i>
      <x v="117"/>
    </i>
    <i>
      <x v="107"/>
    </i>
    <i>
      <x/>
    </i>
    <i>
      <x v="76"/>
    </i>
    <i>
      <x v="31"/>
    </i>
    <i>
      <x v="52"/>
    </i>
    <i>
      <x v="11"/>
    </i>
    <i>
      <x v="38"/>
    </i>
    <i>
      <x v="35"/>
    </i>
    <i>
      <x v="39"/>
    </i>
    <i>
      <x v="116"/>
    </i>
    <i>
      <x v="90"/>
    </i>
    <i>
      <x v="96"/>
    </i>
    <i>
      <x v="93"/>
    </i>
    <i>
      <x v="27"/>
    </i>
    <i>
      <x v="37"/>
    </i>
    <i>
      <x v="118"/>
    </i>
    <i>
      <x v="136"/>
    </i>
    <i>
      <x v="110"/>
    </i>
    <i>
      <x v="95"/>
    </i>
    <i>
      <x v="134"/>
    </i>
    <i>
      <x v="105"/>
    </i>
    <i>
      <x v="87"/>
    </i>
    <i>
      <x v="30"/>
    </i>
    <i>
      <x v="3"/>
    </i>
    <i>
      <x v="36"/>
    </i>
    <i>
      <x v="84"/>
    </i>
    <i>
      <x v="120"/>
    </i>
    <i>
      <x v="14"/>
    </i>
    <i>
      <x v="44"/>
    </i>
    <i>
      <x v="78"/>
    </i>
    <i>
      <x v="2"/>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2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42" firstHeaderRow="1" firstDataRow="2" firstDataCol="1" rowPageCount="1" colPageCount="1"/>
  <pivotFields count="11">
    <pivotField axis="axisRow" showAll="0">
      <items count="153">
        <item x="1"/>
        <item x="8"/>
        <item x="9"/>
        <item x="11"/>
        <item x="13"/>
        <item x="15"/>
        <item m="1" x="133"/>
        <item x="42"/>
        <item x="47"/>
        <item x="48"/>
        <item x="50"/>
        <item x="51"/>
        <item x="55"/>
        <item x="56"/>
        <item x="57"/>
        <item x="58"/>
        <item x="61"/>
        <item x="0"/>
        <item m="1" x="120"/>
        <item x="72"/>
        <item x="18"/>
        <item x="33"/>
        <item x="53"/>
        <item x="22"/>
        <item m="1" x="146"/>
        <item m="1" x="147"/>
        <item m="1" x="148"/>
        <item m="1" x="149"/>
        <item m="1" x="150"/>
        <item m="1" x="151"/>
        <item x="60"/>
        <item m="1" x="114"/>
        <item x="45"/>
        <item x="27"/>
        <item x="44"/>
        <item x="26"/>
        <item x="52"/>
        <item m="1" x="144"/>
        <item x="43"/>
        <item x="6"/>
        <item x="35"/>
        <item x="23"/>
        <item m="1" x="132"/>
        <item x="49"/>
        <item x="36"/>
        <item m="1" x="126"/>
        <item x="19"/>
        <item m="1" x="145"/>
        <item m="1" x="141"/>
        <item x="16"/>
        <item m="1" x="116"/>
        <item x="38"/>
        <item x="31"/>
        <item x="21"/>
        <item x="46"/>
        <item m="1" x="142"/>
        <item x="62"/>
        <item m="1" x="143"/>
        <item x="39"/>
        <item x="17"/>
        <item x="41"/>
        <item x="3"/>
        <item m="1" x="110"/>
        <item x="32"/>
        <item x="20"/>
        <item x="30"/>
        <item x="59"/>
        <item x="34"/>
        <item m="1" x="140"/>
        <item m="1" x="129"/>
        <item m="1" x="122"/>
        <item m="1" x="121"/>
        <item x="12"/>
        <item m="1" x="124"/>
        <item x="40"/>
        <item m="1" x="139"/>
        <item m="1" x="137"/>
        <item m="1" x="136"/>
        <item m="1" x="138"/>
        <item m="1" x="134"/>
        <item m="1" x="135"/>
        <item m="1" x="123"/>
        <item x="5"/>
        <item m="1" x="103"/>
        <item x="29"/>
        <item x="10"/>
        <item x="37"/>
        <item m="1" x="130"/>
        <item m="1" x="125"/>
        <item x="4"/>
        <item m="1" x="131"/>
        <item x="25"/>
        <item x="14"/>
        <item x="54"/>
        <item m="1" x="100"/>
        <item x="63"/>
        <item m="1" x="128"/>
        <item m="1" x="127"/>
        <item x="65"/>
        <item x="66"/>
        <item x="67"/>
        <item x="68"/>
        <item x="69"/>
        <item x="70"/>
        <item x="71"/>
        <item x="7"/>
        <item x="24"/>
        <item x="28"/>
        <item x="64"/>
        <item x="73"/>
        <item x="74"/>
        <item m="1" x="118"/>
        <item m="1" x="119"/>
        <item m="1" x="117"/>
        <item m="1" x="112"/>
        <item m="1" x="104"/>
        <item m="1" x="115"/>
        <item x="76"/>
        <item x="77"/>
        <item x="78"/>
        <item m="1" x="113"/>
        <item x="79"/>
        <item m="1" x="105"/>
        <item x="80"/>
        <item m="1" x="111"/>
        <item m="1" x="99"/>
        <item m="1" x="106"/>
        <item x="2"/>
        <item x="81"/>
        <item x="82"/>
        <item x="83"/>
        <item x="84"/>
        <item x="75"/>
        <item m="1" x="107"/>
        <item m="1" x="108"/>
        <item x="85"/>
        <item x="86"/>
        <item m="1" x="96"/>
        <item x="87"/>
        <item m="1" x="109"/>
        <item x="88"/>
        <item x="89"/>
        <item m="1" x="102"/>
        <item x="91"/>
        <item x="92"/>
        <item x="90"/>
        <item m="1" x="101"/>
        <item m="1" x="97"/>
        <item x="93"/>
        <item m="1" x="98"/>
        <item x="94"/>
        <item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showAll="0"/>
  </pivotFields>
  <rowFields count="1">
    <field x="0"/>
  </rowFields>
  <rowItems count="37">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5"/>
    </i>
    <i>
      <x v="148"/>
    </i>
    <i>
      <x v="150"/>
    </i>
    <i>
      <x v="151"/>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s="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5" totalsRowShown="0">
  <autoFilter ref="B4:P105"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5">
    <sortCondition ref="D4:D105"/>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125" totalsRowShown="0">
  <autoFilter ref="A1:K2125"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067" tableType="queryTable" totalsRowShown="0">
  <autoFilter ref="A1:R6067"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5"/>
  <sheetViews>
    <sheetView tabSelected="1" zoomScaleNormal="100" workbookViewId="0">
      <selection activeCell="E9" sqref="E9"/>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0.48</v>
      </c>
      <c r="F5" s="8">
        <f>IF(View_Table[[#This Row],[Games]]=0,0,(View_Table[[#This Row],[Wins]] + (View_Table[[#This Row],[Draws]] * 0.25))/View_Table[[#This Row],[Games]])</f>
        <v>0.609375</v>
      </c>
      <c r="G5" s="5">
        <f>IFERROR(
    GETPIVOTDATA(
        "Result",
        'Pivot Table'!$A$3,
        "Player",View_Table[[#This Row],[Player]],
        "Result","Win"
    ),
    0
)</f>
        <v>8</v>
      </c>
      <c r="H5" s="5">
        <f>IFERROR(
    GETPIVOTDATA(
        "Result",
        'Pivot Table'!$A$3,
        "Player",View_Table[[#This Row],[Player]],
        "Result","Loss"
    ),
    0
)</f>
        <v>1</v>
      </c>
      <c r="I5" s="5">
        <f>IFERROR(
    GETPIVOTDATA(
        "Result",
        'Pivot Table'!$A$3,
        "Player",View_Table[[#This Row],[Player]],
        "Result","Draw"
    ),
    0
)</f>
        <v>7</v>
      </c>
      <c r="J5" s="5">
        <f>View_Table[[#This Row],[Wins]]+View_Table[[#This Row],[Losses]]+View_Table[[#This Row],[Draws]]</f>
        <v>16</v>
      </c>
      <c r="K5" s="7">
        <f>IFERROR(
    GETPIVOTDATA(
        "Result",
        'Pivot Table Previous'!$A$3,
        "Player",View_Table[[#This Row],[Player]],
        "Result","Win"
    ),
    0
)</f>
        <v>8</v>
      </c>
      <c r="L5" s="5">
        <f>IFERROR(
    GETPIVOTDATA(
        "Result",
        'Pivot Table Previous'!$A$3,
        "Player",View_Table[[#This Row],[Player]],
        "Result","Loss"
    ),
    0
)</f>
        <v>1</v>
      </c>
      <c r="M5" s="5">
        <f>IFERROR(
    GETPIVOTDATA(
        "Result",
        'Pivot Table Previous'!$A$3,
        "Player",View_Table[[#This Row],[Player]],
        "Result","Draw"
    ),
    0
)</f>
        <v>7</v>
      </c>
      <c r="N5" s="5">
        <f>View_Table[[#This Row],[Wins Previous]]+View_Table[[#This Row],[Losses Previous]]+View_Table[[#This Row],[Draws Previous]]</f>
        <v>16</v>
      </c>
      <c r="O5" s="9">
        <f>_xlfn.LET(_xlpm.g,View_Table[[#This Row],[Games Previous]], _xlpm.w,(View_Table[[#This Row],[Wins Previous]] + View_Table[[#This Row],[Draws Previous]] * 0.25), _xlpm.fake, MAX(0,25-_xlpm.g), IF(_xlpm.g=0,0,(_xlpm.w + _xlpm.fake*0.25)/(_xlpm.g + _xlpm.fake)))</f>
        <v>0.48</v>
      </c>
      <c r="P5" s="7">
        <f>_xlfn.RANK.EQ(View_Table[[#This Row],[Weighted Win% Previous]], View_Table[Weighted Win% Previous], 0)</f>
        <v>1</v>
      </c>
    </row>
    <row r="6" spans="2:16" x14ac:dyDescent="0.4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0.44</v>
      </c>
      <c r="F6" s="8">
        <f>IF(View_Table[[#This Row],[Games]]=0,0,(View_Table[[#This Row],[Wins]] + (View_Table[[#This Row],[Draws]] * 0.25))/View_Table[[#This Row],[Games]])</f>
        <v>0.51388888888888884</v>
      </c>
      <c r="G6" s="5">
        <f>IFERROR(
    GETPIVOTDATA(
        "Result",
        'Pivot Table'!$A$3,
        "Player",View_Table[[#This Row],[Player]],
        "Result","Win"
    ),
    0
)</f>
        <v>8</v>
      </c>
      <c r="H6" s="5">
        <f>IFERROR(
    GETPIVOTDATA(
        "Result",
        'Pivot Table'!$A$3,
        "Player",View_Table[[#This Row],[Player]],
        "Result","Loss"
    ),
    0
)</f>
        <v>5</v>
      </c>
      <c r="I6" s="5">
        <f>IFERROR(
    GETPIVOTDATA(
        "Result",
        'Pivot Table'!$A$3,
        "Player",View_Table[[#This Row],[Player]],
        "Result","Draw"
    ),
    0
)</f>
        <v>5</v>
      </c>
      <c r="J6" s="5">
        <f>View_Table[[#This Row],[Wins]]+View_Table[[#This Row],[Losses]]+View_Table[[#This Row],[Draws]]</f>
        <v>18</v>
      </c>
      <c r="K6" s="7">
        <f>IFERROR(
    GETPIVOTDATA(
        "Result",
        'Pivot Table Previous'!$A$3,
        "Player",View_Table[[#This Row],[Player]],
        "Result","Win"
    ),
    0
)</f>
        <v>8</v>
      </c>
      <c r="L6" s="5">
        <f>IFERROR(
    GETPIVOTDATA(
        "Result",
        'Pivot Table Previous'!$A$3,
        "Player",View_Table[[#This Row],[Player]],
        "Result","Loss"
    ),
    0
)</f>
        <v>4</v>
      </c>
      <c r="M6" s="5">
        <f>IFERROR(
    GETPIVOTDATA(
        "Result",
        'Pivot Table Previous'!$A$3,
        "Player",View_Table[[#This Row],[Player]],
        "Result","Draw"
    ),
    0
)</f>
        <v>4</v>
      </c>
      <c r="N6" s="5">
        <f>View_Table[[#This Row],[Wins Previous]]+View_Table[[#This Row],[Losses Previous]]+View_Table[[#This Row],[Draws Previous]]</f>
        <v>16</v>
      </c>
      <c r="O6" s="9">
        <f>_xlfn.LET(_xlpm.g,View_Table[[#This Row],[Games Previous]], _xlpm.w,(View_Table[[#This Row],[Wins Previous]] + View_Table[[#This Row],[Draws Previous]] * 0.25), _xlpm.fake, MAX(0,25-_xlpm.g), IF(_xlpm.g=0,0,(_xlpm.w + _xlpm.fake*0.25)/(_xlpm.g + _xlpm.fake)))</f>
        <v>0.45</v>
      </c>
      <c r="P6" s="7">
        <f>_xlfn.RANK.EQ(View_Table[[#This Row],[Weighted Win% Previous]], View_Table[Weighted Win% Previous], 0)</f>
        <v>2</v>
      </c>
    </row>
    <row r="7" spans="2:16" hidden="1" x14ac:dyDescent="0.45">
      <c r="B7" s="3" t="s">
        <v>434</v>
      </c>
      <c r="C7" s="6">
        <f>View_Table[[#This Row],[Rank Previous]]-View_Table[[#This Row],[Rank]]</f>
        <v>-1</v>
      </c>
      <c r="D7" s="7">
        <f>_xlfn.RANK.EQ(View_Table[[#This Row],[Weighted Win%]], View_Table[Weighted Win%], 0)</f>
        <v>36</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35</v>
      </c>
    </row>
    <row r="8" spans="2:16" x14ac:dyDescent="0.45">
      <c r="B8" s="3" t="s">
        <v>405</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0.37</v>
      </c>
      <c r="F8" s="8">
        <f>IF(View_Table[[#This Row],[Games]]=0,0,(View_Table[[#This Row],[Wins]] + (View_Table[[#This Row],[Draws]] * 0.25))/View_Table[[#This Row],[Games]])</f>
        <v>0.4642857142857143</v>
      </c>
      <c r="G8" s="5">
        <f>IFERROR(
    GETPIVOTDATA(
        "Result",
        'Pivot Table'!$A$3,
        "Player",View_Table[[#This Row],[Player]],
        "Result","Win"
    ),
    0
)</f>
        <v>5</v>
      </c>
      <c r="H8" s="5">
        <f>IFERROR(
    GETPIVOTDATA(
        "Result",
        'Pivot Table'!$A$3,
        "Player",View_Table[[#This Row],[Player]],
        "Result","Loss"
    ),
    0
)</f>
        <v>3</v>
      </c>
      <c r="I8" s="5">
        <f>IFERROR(
    GETPIVOTDATA(
        "Result",
        'Pivot Table'!$A$3,
        "Player",View_Table[[#This Row],[Player]],
        "Result","Draw"
    ),
    0
)</f>
        <v>6</v>
      </c>
      <c r="J8" s="5">
        <f>View_Table[[#This Row],[Wins]]+View_Table[[#This Row],[Losses]]+View_Table[[#This Row],[Draws]]</f>
        <v>14</v>
      </c>
      <c r="K8" s="7">
        <f>IFERROR(
    GETPIVOTDATA(
        "Result",
        'Pivot Table Previous'!$A$3,
        "Player",View_Table[[#This Row],[Player]],
        "Result","Win"
    ),
    0
)</f>
        <v>5</v>
      </c>
      <c r="L8" s="5">
        <f>IFERROR(
    GETPIVOTDATA(
        "Result",
        'Pivot Table Previous'!$A$3,
        "Player",View_Table[[#This Row],[Player]],
        "Result","Loss"
    ),
    0
)</f>
        <v>3</v>
      </c>
      <c r="M8" s="5">
        <f>IFERROR(
    GETPIVOTDATA(
        "Result",
        'Pivot Table Previous'!$A$3,
        "Player",View_Table[[#This Row],[Player]],
        "Result","Draw"
    ),
    0
)</f>
        <v>4</v>
      </c>
      <c r="N8" s="5">
        <f>View_Table[[#This Row],[Wins Previous]]+View_Table[[#This Row],[Losses Previous]]+View_Table[[#This Row],[Draws Previous]]</f>
        <v>12</v>
      </c>
      <c r="O8" s="9">
        <f>_xlfn.LET(_xlpm.g,View_Table[[#This Row],[Games Previous]], _xlpm.w,(View_Table[[#This Row],[Wins Previous]] + View_Table[[#This Row],[Draws Previous]] * 0.25), _xlpm.fake, MAX(0,25-_xlpm.g), IF(_xlpm.g=0,0,(_xlpm.w + _xlpm.fake*0.25)/(_xlpm.g + _xlpm.fake)))</f>
        <v>0.37</v>
      </c>
      <c r="P8" s="7">
        <f>_xlfn.RANK.EQ(View_Table[[#This Row],[Weighted Win% Previous]], View_Table[Weighted Win% Previous], 0)</f>
        <v>3</v>
      </c>
    </row>
    <row r="9" spans="2:16" x14ac:dyDescent="0.45">
      <c r="B9" s="3" t="s">
        <v>7</v>
      </c>
      <c r="C9" s="6">
        <f>View_Table[[#This Row],[Rank Previous]]-View_Table[[#This Row],[Rank]]</f>
        <v>1</v>
      </c>
      <c r="D9" s="7">
        <f>_xlfn.RANK.EQ(View_Table[[#This Row],[Weighted Win%]], View_Table[Weighted Win%], 0)</f>
        <v>4</v>
      </c>
      <c r="E9" s="9">
        <f>_xlfn.LET(_xlpm.g,View_Table[[#This Row],[Games]], _xlpm.w,(View_Table[[#This Row],[Wins]] + View_Table[[#This Row],[Draws]] * 0.25), _xlpm.fake, MAX(0,25-_xlpm.g), IF(_xlpm.g=0,0,(_xlpm.w + _xlpm.fake*0.25)/(_xlpm.g + _xlpm.fake)))</f>
        <v>0.36</v>
      </c>
      <c r="F9" s="8">
        <f>IF(View_Table[[#This Row],[Games]]=0,0,(View_Table[[#This Row],[Wins]] + (View_Table[[#This Row],[Draws]] * 0.25))/View_Table[[#This Row],[Games]])</f>
        <v>0.40277777777777779</v>
      </c>
      <c r="G9" s="5">
        <f>IFERROR(
    GETPIVOTDATA(
        "Result",
        'Pivot Table'!$A$3,
        "Player",View_Table[[#This Row],[Player]],
        "Result","Win"
    ),
    0
)</f>
        <v>6</v>
      </c>
      <c r="H9" s="5">
        <f>IFERROR(
    GETPIVOTDATA(
        "Result",
        'Pivot Table'!$A$3,
        "Player",View_Table[[#This Row],[Player]],
        "Result","Loss"
    ),
    0
)</f>
        <v>7</v>
      </c>
      <c r="I9" s="5">
        <f>IFERROR(
    GETPIVOTDATA(
        "Result",
        'Pivot Table'!$A$3,
        "Player",View_Table[[#This Row],[Player]],
        "Result","Draw"
    ),
    0
)</f>
        <v>5</v>
      </c>
      <c r="J9" s="5">
        <f>View_Table[[#This Row],[Wins]]+View_Table[[#This Row],[Losses]]+View_Table[[#This Row],[Draws]]</f>
        <v>18</v>
      </c>
      <c r="K9" s="5">
        <f>IFERROR(
    GETPIVOTDATA(
        "Result",
        'Pivot Table Previous'!$A$3,
        "Player",View_Table[[#This Row],[Player]],
        "Result","Win"
    ),
    0
)</f>
        <v>5</v>
      </c>
      <c r="L9" s="5">
        <f>IFERROR(
    GETPIVOTDATA(
        "Result",
        'Pivot Table Previous'!$A$3,
        "Player",View_Table[[#This Row],[Player]],
        "Result","Loss"
    ),
    0
)</f>
        <v>7</v>
      </c>
      <c r="M9" s="5">
        <f>IFERROR(
    GETPIVOTDATA(
        "Result",
        'Pivot Table Previous'!$A$3,
        "Player",View_Table[[#This Row],[Player]],
        "Result","Draw"
    ),
    0
)</f>
        <v>4</v>
      </c>
      <c r="N9" s="5">
        <f>View_Table[[#This Row],[Wins Previous]]+View_Table[[#This Row],[Losses Previous]]+View_Table[[#This Row],[Draws Previous]]</f>
        <v>16</v>
      </c>
      <c r="O9" s="9">
        <f>_xlfn.LET(_xlpm.g,View_Table[[#This Row],[Games Previous]], _xlpm.w,(View_Table[[#This Row],[Wins Previous]] + View_Table[[#This Row],[Draws Previous]] * 0.25), _xlpm.fake, MAX(0,25-_xlpm.g), IF(_xlpm.g=0,0,(_xlpm.w + _xlpm.fake*0.25)/(_xlpm.g + _xlpm.fake)))</f>
        <v>0.33</v>
      </c>
      <c r="P9" s="7">
        <f>IF(View_Table[[#This Row],[Games Previous]]=0,
    View_Table[[#This Row],[Rank]],
    _xlfn.RANK.EQ(View_Table[[#This Row],[Weighted Win% Previous]], View_Table[Weighted Win% Previous], 0)
)</f>
        <v>5</v>
      </c>
    </row>
    <row r="10" spans="2:16" x14ac:dyDescent="0.45">
      <c r="B10" s="3" t="s">
        <v>19</v>
      </c>
      <c r="C10" s="6">
        <f>View_Table[[#This Row],[Rank Previous]]-View_Table[[#This Row],[Rank]]</f>
        <v>-1</v>
      </c>
      <c r="D10" s="7">
        <f>_xlfn.RANK.EQ(View_Table[[#This Row],[Weighted Win%]], View_Table[Weighted Win%], 0)</f>
        <v>5</v>
      </c>
      <c r="E10" s="9">
        <f>_xlfn.LET(_xlpm.g,View_Table[[#This Row],[Games]], _xlpm.w,(View_Table[[#This Row],[Wins]] + View_Table[[#This Row],[Draws]] * 0.25), _xlpm.fake, MAX(0,25-_xlpm.g), IF(_xlpm.g=0,0,(_xlpm.w + _xlpm.fake*0.25)/(_xlpm.g + _xlpm.fake)))</f>
        <v>0.35</v>
      </c>
      <c r="F10" s="8">
        <f>IF(View_Table[[#This Row],[Games]]=0,0,(View_Table[[#This Row],[Wins]] + (View_Table[[#This Row],[Draws]] * 0.25))/View_Table[[#This Row],[Games]])</f>
        <v>0.3888888888888889</v>
      </c>
      <c r="G10" s="5">
        <f>IFERROR(
    GETPIVOTDATA(
        "Result",
        'Pivot Table'!$A$3,
        "Player",View_Table[[#This Row],[Player]],
        "Result","Win"
    ),
    0
)</f>
        <v>5</v>
      </c>
      <c r="H10" s="5">
        <f>IFERROR(
    GETPIVOTDATA(
        "Result",
        'Pivot Table'!$A$3,
        "Player",View_Table[[#This Row],[Player]],
        "Result","Loss"
    ),
    0
)</f>
        <v>5</v>
      </c>
      <c r="I10" s="5">
        <f>IFERROR(
    GETPIVOTDATA(
        "Result",
        'Pivot Table'!$A$3,
        "Player",View_Table[[#This Row],[Player]],
        "Result","Draw"
    ),
    0
)</f>
        <v>8</v>
      </c>
      <c r="J10" s="5">
        <f>View_Table[[#This Row],[Wins]]+View_Table[[#This Row],[Losses]]+View_Table[[#This Row],[Draws]]</f>
        <v>18</v>
      </c>
      <c r="K10" s="5">
        <f>IFERROR(
    GETPIVOTDATA(
        "Result",
        'Pivot Table Previous'!$A$3,
        "Player",View_Table[[#This Row],[Player]],
        "Result","Win"
    ),
    0
)</f>
        <v>5</v>
      </c>
      <c r="L10" s="5">
        <f>IFERROR(
    GETPIVOTDATA(
        "Result",
        'Pivot Table Previous'!$A$3,
        "Player",View_Table[[#This Row],[Player]],
        "Result","Loss"
    ),
    0
)</f>
        <v>5</v>
      </c>
      <c r="M10" s="5">
        <f>IFERROR(
    GETPIVOTDATA(
        "Result",
        'Pivot Table Previous'!$A$3,
        "Player",View_Table[[#This Row],[Player]],
        "Result","Draw"
    ),
    0
)</f>
        <v>6</v>
      </c>
      <c r="N10" s="5">
        <f>View_Table[[#This Row],[Wins Previous]]+View_Table[[#This Row],[Losses Previous]]+View_Table[[#This Row],[Draws Previous]]</f>
        <v>16</v>
      </c>
      <c r="O10" s="9">
        <f>_xlfn.LET(_xlpm.g,View_Table[[#This Row],[Games Previous]], _xlpm.w,(View_Table[[#This Row],[Wins Previous]] + View_Table[[#This Row],[Draws Previous]] * 0.25), _xlpm.fake, MAX(0,25-_xlpm.g), IF(_xlpm.g=0,0,(_xlpm.w + _xlpm.fake*0.25)/(_xlpm.g + _xlpm.fake)))</f>
        <v>0.35</v>
      </c>
      <c r="P10" s="7">
        <f>IF(View_Table[[#This Row],[Games Previous]]=0,
    View_Table[[#This Row],[Rank]],
    _xlfn.RANK.EQ(View_Table[[#This Row],[Weighted Win% Previous]], View_Table[Weighted Win% Previous], 0)
)</f>
        <v>4</v>
      </c>
    </row>
    <row r="11" spans="2:16" hidden="1" x14ac:dyDescent="0.45">
      <c r="B11" s="3" t="s">
        <v>322</v>
      </c>
      <c r="C11" s="6">
        <f>View_Table[[#This Row],[Rank Previous]]-View_Table[[#This Row],[Rank]]</f>
        <v>-1</v>
      </c>
      <c r="D11" s="7">
        <f>_xlfn.RANK.EQ(View_Table[[#This Row],[Weighted Win%]], View_Table[Weighted Win%], 0)</f>
        <v>36</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35</v>
      </c>
    </row>
    <row r="12" spans="2:16" x14ac:dyDescent="0.45">
      <c r="B12" s="3" t="s">
        <v>578</v>
      </c>
      <c r="C12" s="6">
        <f>View_Table[[#This Row],[Rank Previous]]-View_Table[[#This Row],[Rank]]</f>
        <v>2</v>
      </c>
      <c r="D12" s="7">
        <f>_xlfn.RANK.EQ(View_Table[[#This Row],[Weighted Win%]], View_Table[Weighted Win%], 0)</f>
        <v>6</v>
      </c>
      <c r="E12" s="9">
        <f>_xlfn.LET(_xlpm.g,View_Table[[#This Row],[Games]], _xlpm.w,(View_Table[[#This Row],[Wins]] + View_Table[[#This Row],[Draws]] * 0.25), _xlpm.fake, MAX(0,25-_xlpm.g), IF(_xlpm.g=0,0,(_xlpm.w + _xlpm.fake*0.25)/(_xlpm.g + _xlpm.fake)))</f>
        <v>0.31</v>
      </c>
      <c r="F12" s="8">
        <f>IF(View_Table[[#This Row],[Games]]=0,0,(View_Table[[#This Row],[Wins]] + (View_Table[[#This Row],[Draws]] * 0.25))/View_Table[[#This Row],[Games]])</f>
        <v>0.33333333333333331</v>
      </c>
      <c r="G12" s="5">
        <f>IFERROR(
    GETPIVOTDATA(
        "Result",
        'Pivot Table'!$A$3,
        "Player",View_Table[[#This Row],[Player]],
        "Result","Win"
    ),
    0
)</f>
        <v>4</v>
      </c>
      <c r="H12" s="5">
        <f>IFERROR(
    GETPIVOTDATA(
        "Result",
        'Pivot Table'!$A$3,
        "Player",View_Table[[#This Row],[Player]],
        "Result","Loss"
    ),
    0
)</f>
        <v>6</v>
      </c>
      <c r="I12" s="5">
        <f>IFERROR(
    GETPIVOTDATA(
        "Result",
        'Pivot Table'!$A$3,
        "Player",View_Table[[#This Row],[Player]],
        "Result","Draw"
    ),
    0
)</f>
        <v>8</v>
      </c>
      <c r="J12" s="5">
        <f>View_Table[[#This Row],[Wins]]+View_Table[[#This Row],[Losses]]+View_Table[[#This Row],[Draws]]</f>
        <v>18</v>
      </c>
      <c r="K12" s="7">
        <f>IFERROR(
    GETPIVOTDATA(
        "Result",
        'Pivot Table Previous'!$A$3,
        "Player",View_Table[[#This Row],[Player]],
        "Result","Win"
    ),
    0
)</f>
        <v>3</v>
      </c>
      <c r="L12" s="5">
        <f>IFERROR(
    GETPIVOTDATA(
        "Result",
        'Pivot Table Previous'!$A$3,
        "Player",View_Table[[#This Row],[Player]],
        "Result","Loss"
    ),
    0
)</f>
        <v>6</v>
      </c>
      <c r="M12" s="5">
        <f>IFERROR(
    GETPIVOTDATA(
        "Result",
        'Pivot Table Previous'!$A$3,
        "Player",View_Table[[#This Row],[Player]],
        "Result","Draw"
    ),
    0
)</f>
        <v>7</v>
      </c>
      <c r="N12" s="5">
        <f>View_Table[[#This Row],[Wins Previous]]+View_Table[[#This Row],[Losses Previous]]+View_Table[[#This Row],[Draws Previous]]</f>
        <v>16</v>
      </c>
      <c r="O12" s="9">
        <f>_xlfn.LET(_xlpm.g,View_Table[[#This Row],[Games Previous]], _xlpm.w,(View_Table[[#This Row],[Wins Previous]] + View_Table[[#This Row],[Draws Previous]] * 0.25), _xlpm.fake, MAX(0,25-_xlpm.g), IF(_xlpm.g=0,0,(_xlpm.w + _xlpm.fake*0.25)/(_xlpm.g + _xlpm.fake)))</f>
        <v>0.28000000000000003</v>
      </c>
      <c r="P12" s="7">
        <f>_xlfn.RANK.EQ(View_Table[[#This Row],[Weighted Win% Previous]], View_Table[Weighted Win% Previous], 0)</f>
        <v>8</v>
      </c>
    </row>
    <row r="13" spans="2:16" x14ac:dyDescent="0.45">
      <c r="B13" s="3" t="s">
        <v>20</v>
      </c>
      <c r="C13" s="6">
        <f>View_Table[[#This Row],[Rank Previous]]-View_Table[[#This Row],[Rank]]</f>
        <v>-1</v>
      </c>
      <c r="D13" s="7">
        <f>_xlfn.RANK.EQ(View_Table[[#This Row],[Weighted Win%]], View_Table[Weighted Win%], 0)</f>
        <v>7</v>
      </c>
      <c r="E13" s="9">
        <f>_xlfn.LET(_xlpm.g,View_Table[[#This Row],[Games]], _xlpm.w,(View_Table[[#This Row],[Wins]] + View_Table[[#This Row],[Draws]] * 0.25), _xlpm.fake, MAX(0,25-_xlpm.g), IF(_xlpm.g=0,0,(_xlpm.w + _xlpm.fake*0.25)/(_xlpm.g + _xlpm.fake)))</f>
        <v>0.3</v>
      </c>
      <c r="F13" s="8">
        <f>IF(View_Table[[#This Row],[Games]]=0,0,(View_Table[[#This Row],[Wins]] + (View_Table[[#This Row],[Draws]] * 0.25))/View_Table[[#This Row],[Games]])</f>
        <v>0.375</v>
      </c>
      <c r="G13" s="5">
        <f>IFERROR(
    GETPIVOTDATA(
        "Result",
        'Pivot Table'!$A$3,
        "Player",View_Table[[#This Row],[Player]],
        "Result","Win"
    ),
    0
)</f>
        <v>3</v>
      </c>
      <c r="H13" s="5">
        <f>IFERROR(
    GETPIVOTDATA(
        "Result",
        'Pivot Table'!$A$3,
        "Player",View_Table[[#This Row],[Player]],
        "Result","Loss"
    ),
    0
)</f>
        <v>4</v>
      </c>
      <c r="I13" s="5">
        <f>IFERROR(
    GETPIVOTDATA(
        "Result",
        'Pivot Table'!$A$3,
        "Player",View_Table[[#This Row],[Player]],
        "Result","Draw"
    ),
    0
)</f>
        <v>3</v>
      </c>
      <c r="J13" s="5">
        <f>View_Table[[#This Row],[Wins]]+View_Table[[#This Row],[Losses]]+View_Table[[#This Row],[Draws]]</f>
        <v>10</v>
      </c>
      <c r="K13" s="7">
        <f>IFERROR(
    GETPIVOTDATA(
        "Result",
        'Pivot Table Previous'!$A$3,
        "Player",View_Table[[#This Row],[Player]],
        "Result","Win"
    ),
    0
)</f>
        <v>3</v>
      </c>
      <c r="L13" s="5">
        <f>IFERROR(
    GETPIVOTDATA(
        "Result",
        'Pivot Table Previous'!$A$3,
        "Player",View_Table[[#This Row],[Player]],
        "Result","Loss"
    ),
    0
)</f>
        <v>4</v>
      </c>
      <c r="M13" s="5">
        <f>IFERROR(
    GETPIVOTDATA(
        "Result",
        'Pivot Table Previous'!$A$3,
        "Player",View_Table[[#This Row],[Player]],
        "Result","Draw"
    ),
    0
)</f>
        <v>3</v>
      </c>
      <c r="N13" s="5">
        <f>View_Table[[#This Row],[Wins Previous]]+View_Table[[#This Row],[Losses Previous]]+View_Table[[#This Row],[Draws Previous]]</f>
        <v>10</v>
      </c>
      <c r="O13" s="9">
        <f>_xlfn.LET(_xlpm.g,View_Table[[#This Row],[Games Previous]], _xlpm.w,(View_Table[[#This Row],[Wins Previous]] + View_Table[[#This Row],[Draws Previous]] * 0.25), _xlpm.fake, MAX(0,25-_xlpm.g), IF(_xlpm.g=0,0,(_xlpm.w + _xlpm.fake*0.25)/(_xlpm.g + _xlpm.fake)))</f>
        <v>0.3</v>
      </c>
      <c r="P13" s="7">
        <f>_xlfn.RANK.EQ(View_Table[[#This Row],[Weighted Win% Previous]], View_Table[Weighted Win% Previous], 0)</f>
        <v>6</v>
      </c>
    </row>
    <row r="14" spans="2:16" x14ac:dyDescent="0.45">
      <c r="B14" s="3" t="s">
        <v>11</v>
      </c>
      <c r="C14" s="6">
        <f>View_Table[[#This Row],[Rank Previous]]-View_Table[[#This Row],[Rank]]</f>
        <v>3</v>
      </c>
      <c r="D14" s="7">
        <f>_xlfn.RANK.EQ(View_Table[[#This Row],[Weighted Win%]], View_Table[Weighted Win%], 0)</f>
        <v>7</v>
      </c>
      <c r="E14" s="9">
        <f>_xlfn.LET(_xlpm.g,View_Table[[#This Row],[Games]], _xlpm.w,(View_Table[[#This Row],[Wins]] + View_Table[[#This Row],[Draws]] * 0.25), _xlpm.fake, MAX(0,25-_xlpm.g), IF(_xlpm.g=0,0,(_xlpm.w + _xlpm.fake*0.25)/(_xlpm.g + _xlpm.fake)))</f>
        <v>0.3</v>
      </c>
      <c r="F14" s="8">
        <f>IF(View_Table[[#This Row],[Games]]=0,0,(View_Table[[#This Row],[Wins]] + (View_Table[[#This Row],[Draws]] * 0.25))/View_Table[[#This Row],[Games]])</f>
        <v>0.375</v>
      </c>
      <c r="G14" s="5">
        <f>IFERROR(
    GETPIVOTDATA(
        "Result",
        'Pivot Table'!$A$3,
        "Player",View_Table[[#This Row],[Player]],
        "Result","Win"
    ),
    0
)</f>
        <v>3</v>
      </c>
      <c r="H14" s="5">
        <f>IFERROR(
    GETPIVOTDATA(
        "Result",
        'Pivot Table'!$A$3,
        "Player",View_Table[[#This Row],[Player]],
        "Result","Loss"
    ),
    0
)</f>
        <v>4</v>
      </c>
      <c r="I14" s="5">
        <f>IFERROR(
    GETPIVOTDATA(
        "Result",
        'Pivot Table'!$A$3,
        "Player",View_Table[[#This Row],[Player]],
        "Result","Draw"
    ),
    0
)</f>
        <v>3</v>
      </c>
      <c r="J14" s="5">
        <f>View_Table[[#This Row],[Wins]]+View_Table[[#This Row],[Losses]]+View_Table[[#This Row],[Draws]]</f>
        <v>10</v>
      </c>
      <c r="K14" s="7">
        <f>IFERROR(
    GETPIVOTDATA(
        "Result",
        'Pivot Table Previous'!$A$3,
        "Player",View_Table[[#This Row],[Player]],
        "Result","Win"
    ),
    0
)</f>
        <v>2</v>
      </c>
      <c r="L14" s="5">
        <f>IFERROR(
    GETPIVOTDATA(
        "Result",
        'Pivot Table Previous'!$A$3,
        "Player",View_Table[[#This Row],[Player]],
        "Result","Loss"
    ),
    0
)</f>
        <v>4</v>
      </c>
      <c r="M14" s="5">
        <f>IFERROR(
    GETPIVOTDATA(
        "Result",
        'Pivot Table Previous'!$A$3,
        "Player",View_Table[[#This Row],[Player]],
        "Result","Draw"
    ),
    0
)</f>
        <v>2</v>
      </c>
      <c r="N14" s="5">
        <f>View_Table[[#This Row],[Wins Previous]]+View_Table[[#This Row],[Losses Previous]]+View_Table[[#This Row],[Draws Previous]]</f>
        <v>8</v>
      </c>
      <c r="O14" s="9">
        <f>_xlfn.LET(_xlpm.g,View_Table[[#This Row],[Games Previous]], _xlpm.w,(View_Table[[#This Row],[Wins Previous]] + View_Table[[#This Row],[Draws Previous]] * 0.25), _xlpm.fake, MAX(0,25-_xlpm.g), IF(_xlpm.g=0,0,(_xlpm.w + _xlpm.fake*0.25)/(_xlpm.g + _xlpm.fake)))</f>
        <v>0.27</v>
      </c>
      <c r="P14" s="7">
        <f>_xlfn.RANK.EQ(View_Table[[#This Row],[Weighted Win% Previous]], View_Table[Weighted Win% Previous], 0)</f>
        <v>10</v>
      </c>
    </row>
    <row r="15" spans="2:16" hidden="1" x14ac:dyDescent="0.45">
      <c r="B15" s="3" t="s">
        <v>421</v>
      </c>
      <c r="C15" s="6">
        <f>View_Table[[#This Row],[Rank Previous]]-View_Table[[#This Row],[Rank]]</f>
        <v>-1</v>
      </c>
      <c r="D15" s="7">
        <f>_xlfn.RANK.EQ(View_Table[[#This Row],[Weighted Win%]], View_Table[Weighted Win%], 0)</f>
        <v>36</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35</v>
      </c>
    </row>
    <row r="16" spans="2:16" x14ac:dyDescent="0.45">
      <c r="B16" s="3" t="s">
        <v>352</v>
      </c>
      <c r="C16" s="6">
        <f>View_Table[[#This Row],[Rank Previous]]-View_Table[[#This Row],[Rank]]</f>
        <v>-2</v>
      </c>
      <c r="D16" s="7">
        <f>_xlfn.RANK.EQ(View_Table[[#This Row],[Weighted Win%]], View_Table[Weighted Win%], 0)</f>
        <v>9</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2</v>
      </c>
      <c r="J16" s="5">
        <f>View_Table[[#This Row],[Wins]]+View_Table[[#This Row],[Losses]]+View_Table[[#This Row],[Draws]]</f>
        <v>10</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2</v>
      </c>
      <c r="N16" s="5">
        <f>View_Table[[#This Row],[Wins Previous]]+View_Table[[#This Row],[Losses Previous]]+View_Table[[#This Row],[Draws Previous]]</f>
        <v>10</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7</v>
      </c>
    </row>
    <row r="17" spans="2:16" x14ac:dyDescent="0.45">
      <c r="B17" s="3" t="s">
        <v>9</v>
      </c>
      <c r="C17" s="6">
        <f>View_Table[[#This Row],[Rank Previous]]-View_Table[[#This Row],[Rank]]</f>
        <v>3</v>
      </c>
      <c r="D17" s="7">
        <f>_xlfn.RANK.EQ(View_Table[[#This Row],[Weighted Win%]], View_Table[Weighted Win%], 0)</f>
        <v>9</v>
      </c>
      <c r="E17" s="9">
        <f>_xlfn.LET(_xlpm.g,View_Table[[#This Row],[Games]], _xlpm.w,(View_Table[[#This Row],[Wins]] + View_Table[[#This Row],[Draws]] * 0.25), _xlpm.fake, MAX(0,25-_xlpm.g), IF(_xlpm.g=0,0,(_xlpm.w + _xlpm.fake*0.25)/(_xlpm.g + _xlpm.fake)))</f>
        <v>0.28999999999999998</v>
      </c>
      <c r="F17" s="8">
        <f>IF(View_Table[[#This Row],[Games]]=0,0,(View_Table[[#This Row],[Wins]] + (View_Table[[#This Row],[Draws]] * 0.25))/View_Table[[#This Row],[Games]])</f>
        <v>0.30555555555555558</v>
      </c>
      <c r="G17" s="5">
        <f>IFERROR(
    GETPIVOTDATA(
        "Result",
        'Pivot Table'!$A$3,
        "Player",View_Table[[#This Row],[Player]],
        "Result","Win"
    ),
    0
)</f>
        <v>3</v>
      </c>
      <c r="H17" s="5">
        <f>IFERROR(
    GETPIVOTDATA(
        "Result",
        'Pivot Table'!$A$3,
        "Player",View_Table[[#This Row],[Player]],
        "Result","Loss"
    ),
    0
)</f>
        <v>5</v>
      </c>
      <c r="I17" s="5">
        <f>IFERROR(
    GETPIVOTDATA(
        "Result",
        'Pivot Table'!$A$3,
        "Player",View_Table[[#This Row],[Player]],
        "Result","Draw"
    ),
    0
)</f>
        <v>10</v>
      </c>
      <c r="J17" s="5">
        <f>View_Table[[#This Row],[Wins]]+View_Table[[#This Row],[Losses]]+View_Table[[#This Row],[Draws]]</f>
        <v>18</v>
      </c>
      <c r="K17" s="7">
        <f>IFERROR(
    GETPIVOTDATA(
        "Result",
        'Pivot Table Previous'!$A$3,
        "Player",View_Table[[#This Row],[Player]],
        "Result","Win"
    ),
    0
)</f>
        <v>2</v>
      </c>
      <c r="L17" s="5">
        <f>IFERROR(
    GETPIVOTDATA(
        "Result",
        'Pivot Table Previous'!$A$3,
        "Player",View_Table[[#This Row],[Player]],
        "Result","Loss"
    ),
    0
)</f>
        <v>5</v>
      </c>
      <c r="M17" s="5">
        <f>IFERROR(
    GETPIVOTDATA(
        "Result",
        'Pivot Table Previous'!$A$3,
        "Player",View_Table[[#This Row],[Player]],
        "Result","Draw"
    ),
    0
)</f>
        <v>9</v>
      </c>
      <c r="N17" s="5">
        <f>View_Table[[#This Row],[Wins Previous]]+View_Table[[#This Row],[Losses Previous]]+View_Table[[#This Row],[Draws Previous]]</f>
        <v>16</v>
      </c>
      <c r="O17" s="9">
        <f>_xlfn.LET(_xlpm.g,View_Table[[#This Row],[Games Previous]], _xlpm.w,(View_Table[[#This Row],[Wins Previous]] + View_Table[[#This Row],[Draws Previous]] * 0.25), _xlpm.fake, MAX(0,25-_xlpm.g), IF(_xlpm.g=0,0,(_xlpm.w + _xlpm.fake*0.25)/(_xlpm.g + _xlpm.fake)))</f>
        <v>0.26</v>
      </c>
      <c r="P17" s="7">
        <f>_xlfn.RANK.EQ(View_Table[[#This Row],[Weighted Win% Previous]], View_Table[Weighted Win% Previous], 0)</f>
        <v>12</v>
      </c>
    </row>
    <row r="18" spans="2:16" x14ac:dyDescent="0.45">
      <c r="B18" s="3" t="s">
        <v>438</v>
      </c>
      <c r="C18" s="6">
        <f>View_Table[[#This Row],[Rank Previous]]-View_Table[[#This Row],[Rank]]</f>
        <v>-3</v>
      </c>
      <c r="D18" s="7">
        <f>_xlfn.RANK.EQ(View_Table[[#This Row],[Weighted Win%]], View_Table[Weighted Win%], 0)</f>
        <v>11</v>
      </c>
      <c r="E18" s="9">
        <f>_xlfn.LET(_xlpm.g,View_Table[[#This Row],[Games]], _xlpm.w,(View_Table[[#This Row],[Wins]] + View_Table[[#This Row],[Draws]] * 0.25), _xlpm.fake, MAX(0,25-_xlpm.g), IF(_xlpm.g=0,0,(_xlpm.w + _xlpm.fake*0.25)/(_xlpm.g + _xlpm.fake)))</f>
        <v>0.28000000000000003</v>
      </c>
      <c r="F18" s="8">
        <f>IF(View_Table[[#This Row],[Games]]=0,0,(View_Table[[#This Row],[Wins]] + (View_Table[[#This Row],[Draws]] * 0.25))/View_Table[[#This Row],[Games]])</f>
        <v>0.625</v>
      </c>
      <c r="G18" s="5">
        <f>IFERROR(
    GETPIVOTDATA(
        "Result",
        'Pivot Table'!$A$3,
        "Player",View_Table[[#This Row],[Player]],
        "Result","Win"
    ),
    0
)</f>
        <v>1</v>
      </c>
      <c r="H18" s="5">
        <f>IFERROR(
    GETPIVOTDATA(
        "Result",
        'Pivot Table'!$A$3,
        "Player",View_Table[[#This Row],[Player]],
        "Result","Loss"
    ),
    0
)</f>
        <v>0</v>
      </c>
      <c r="I18" s="5">
        <f>IFERROR(
    GETPIVOTDATA(
        "Result",
        'Pivot Table'!$A$3,
        "Player",View_Table[[#This Row],[Player]],
        "Result","Draw"
    ),
    0
)</f>
        <v>1</v>
      </c>
      <c r="J18" s="5">
        <f>View_Table[[#This Row],[Wins]]+View_Table[[#This Row],[Losses]]+View_Table[[#This Row],[Draws]]</f>
        <v>2</v>
      </c>
      <c r="K18" s="7">
        <f>IFERROR(
    GETPIVOTDATA(
        "Result",
        'Pivot Table Previous'!$A$3,
        "Player",View_Table[[#This Row],[Player]],
        "Result","Win"
    ),
    0
)</f>
        <v>1</v>
      </c>
      <c r="L18" s="5">
        <f>IFERROR(
    GETPIVOTDATA(
        "Result",
        'Pivot Table Previous'!$A$3,
        "Player",View_Table[[#This Row],[Player]],
        "Result","Loss"
    ),
    0
)</f>
        <v>0</v>
      </c>
      <c r="M18" s="5">
        <f>IFERROR(
    GETPIVOTDATA(
        "Result",
        'Pivot Table Previous'!$A$3,
        "Player",View_Table[[#This Row],[Player]],
        "Result","Draw"
    ),
    0
)</f>
        <v>1</v>
      </c>
      <c r="N18" s="5">
        <f>View_Table[[#This Row],[Wins Previous]]+View_Table[[#This Row],[Losses Previous]]+View_Table[[#This Row],[Draws Previous]]</f>
        <v>2</v>
      </c>
      <c r="O18" s="9">
        <f>_xlfn.LET(_xlpm.g,View_Table[[#This Row],[Games Previous]], _xlpm.w,(View_Table[[#This Row],[Wins Previous]] + View_Table[[#This Row],[Draws Previous]] * 0.25), _xlpm.fake, MAX(0,25-_xlpm.g), IF(_xlpm.g=0,0,(_xlpm.w + _xlpm.fake*0.25)/(_xlpm.g + _xlpm.fake)))</f>
        <v>0.28000000000000003</v>
      </c>
      <c r="P18" s="7">
        <f>_xlfn.RANK.EQ(View_Table[[#This Row],[Weighted Win% Previous]], View_Table[Weighted Win% Previous], 0)</f>
        <v>8</v>
      </c>
    </row>
    <row r="19" spans="2:16" hidden="1" x14ac:dyDescent="0.45">
      <c r="B19" s="3" t="s">
        <v>296</v>
      </c>
      <c r="C19" s="6">
        <f>View_Table[[#This Row],[Rank Previous]]-View_Table[[#This Row],[Rank]]</f>
        <v>-1</v>
      </c>
      <c r="D19" s="7">
        <f>_xlfn.RANK.EQ(View_Table[[#This Row],[Weighted Win%]], View_Table[Weighted Win%], 0)</f>
        <v>36</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35</v>
      </c>
    </row>
    <row r="20" spans="2:16" hidden="1" x14ac:dyDescent="0.45">
      <c r="B20" s="3" t="s">
        <v>607</v>
      </c>
      <c r="C20" s="6">
        <f>View_Table[[#This Row],[Rank Previous]]-View_Table[[#This Row],[Rank]]</f>
        <v>-1</v>
      </c>
      <c r="D20" s="7">
        <f>_xlfn.RANK.EQ(View_Table[[#This Row],[Weighted Win%]], View_Table[Weighted Win%], 0)</f>
        <v>36</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35</v>
      </c>
    </row>
    <row r="21" spans="2:16" hidden="1" x14ac:dyDescent="0.45">
      <c r="B21" s="3" t="s">
        <v>22</v>
      </c>
      <c r="C21" s="6">
        <f>View_Table[[#This Row],[Rank Previous]]-View_Table[[#This Row],[Rank]]</f>
        <v>0</v>
      </c>
      <c r="D21" s="7">
        <f>_xlfn.RANK.EQ(View_Table[[#This Row],[Weighted Win%]], View_Table[Weighted Win%], 0)</f>
        <v>36</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36</v>
      </c>
    </row>
    <row r="22" spans="2:16" x14ac:dyDescent="0.45">
      <c r="B22" s="3" t="s">
        <v>326</v>
      </c>
      <c r="C22" s="6">
        <f>View_Table[[#This Row],[Rank Previous]]-View_Table[[#This Row],[Rank]]</f>
        <v>-2</v>
      </c>
      <c r="D22" s="7">
        <f>_xlfn.RANK.EQ(View_Table[[#This Row],[Weighted Win%]], View_Table[Weighted Win%], 0)</f>
        <v>12</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0.3125</v>
      </c>
      <c r="G22" s="5">
        <f>IFERROR(
    GETPIVOTDATA(
        "Result",
        'Pivot Table'!$A$3,
        "Player",View_Table[[#This Row],[Player]],
        "Result","Win"
    ),
    0
)</f>
        <v>2</v>
      </c>
      <c r="H22" s="5">
        <f>IFERROR(
    GETPIVOTDATA(
        "Result",
        'Pivot Table'!$A$3,
        "Player",View_Table[[#This Row],[Player]],
        "Result","Loss"
    ),
    0
)</f>
        <v>4</v>
      </c>
      <c r="I22" s="5">
        <f>IFERROR(
    GETPIVOTDATA(
        "Result",
        'Pivot Table'!$A$3,
        "Player",View_Table[[#This Row],[Player]],
        "Result","Draw"
    ),
    0
)</f>
        <v>2</v>
      </c>
      <c r="J22" s="5">
        <f>View_Table[[#This Row],[Wins]]+View_Table[[#This Row],[Losses]]+View_Table[[#This Row],[Draws]]</f>
        <v>8</v>
      </c>
      <c r="K22" s="7">
        <f>IFERROR(
    GETPIVOTDATA(
        "Result",
        'Pivot Table Previous'!$A$3,
        "Player",View_Table[[#This Row],[Player]],
        "Result","Win"
    ),
    0
)</f>
        <v>2</v>
      </c>
      <c r="L22" s="5">
        <f>IFERROR(
    GETPIVOTDATA(
        "Result",
        'Pivot Table Previous'!$A$3,
        "Player",View_Table[[#This Row],[Player]],
        "Result","Loss"
    ),
    0
)</f>
        <v>4</v>
      </c>
      <c r="M22" s="5">
        <f>IFERROR(
    GETPIVOTDATA(
        "Result",
        'Pivot Table Previous'!$A$3,
        "Player",View_Table[[#This Row],[Player]],
        "Result","Draw"
    ),
    0
)</f>
        <v>2</v>
      </c>
      <c r="N22" s="5">
        <f>View_Table[[#This Row],[Wins Previous]]+View_Table[[#This Row],[Losses Previous]]+View_Table[[#This Row],[Draws Previous]]</f>
        <v>8</v>
      </c>
      <c r="O22" s="9">
        <f>_xlfn.LET(_xlpm.g,View_Table[[#This Row],[Games Previous]], _xlpm.w,(View_Table[[#This Row],[Wins Previous]] + View_Table[[#This Row],[Draws Previous]] * 0.25), _xlpm.fake, MAX(0,25-_xlpm.g), IF(_xlpm.g=0,0,(_xlpm.w + _xlpm.fake*0.25)/(_xlpm.g + _xlpm.fake)))</f>
        <v>0.27</v>
      </c>
      <c r="P22" s="7">
        <f>_xlfn.RANK.EQ(View_Table[[#This Row],[Weighted Win% Previous]], View_Table[Weighted Win% Previous], 0)</f>
        <v>10</v>
      </c>
    </row>
    <row r="23" spans="2:16" hidden="1" x14ac:dyDescent="0.45">
      <c r="B23" s="3" t="s">
        <v>432</v>
      </c>
      <c r="C23" s="6">
        <f>View_Table[[#This Row],[Rank Previous]]-View_Table[[#This Row],[Rank]]</f>
        <v>-1</v>
      </c>
      <c r="D23" s="7">
        <f>_xlfn.RANK.EQ(View_Table[[#This Row],[Weighted Win%]], View_Table[Weighted Win%], 0)</f>
        <v>36</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35</v>
      </c>
    </row>
    <row r="24" spans="2:16" hidden="1" x14ac:dyDescent="0.45">
      <c r="B24" s="3" t="s">
        <v>400</v>
      </c>
      <c r="C24" s="6">
        <f>View_Table[[#This Row],[Rank Previous]]-View_Table[[#This Row],[Rank]]</f>
        <v>-1</v>
      </c>
      <c r="D24" s="7">
        <f>_xlfn.RANK.EQ(View_Table[[#This Row],[Weighted Win%]], View_Table[Weighted Win%], 0)</f>
        <v>36</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35</v>
      </c>
    </row>
    <row r="25" spans="2:16" hidden="1" x14ac:dyDescent="0.45">
      <c r="B25" s="3" t="s">
        <v>406</v>
      </c>
      <c r="C25" s="6">
        <f>View_Table[[#This Row],[Rank Previous]]-View_Table[[#This Row],[Rank]]</f>
        <v>-1</v>
      </c>
      <c r="D25" s="7">
        <f>_xlfn.RANK.EQ(View_Table[[#This Row],[Weighted Win%]], View_Table[Weighted Win%], 0)</f>
        <v>36</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35</v>
      </c>
    </row>
    <row r="26" spans="2:16" hidden="1" x14ac:dyDescent="0.45">
      <c r="B26" s="3" t="s">
        <v>386</v>
      </c>
      <c r="C26" s="6">
        <f>View_Table[[#This Row],[Rank Previous]]-View_Table[[#This Row],[Rank]]</f>
        <v>-1</v>
      </c>
      <c r="D26" s="7">
        <f>_xlfn.RANK.EQ(View_Table[[#This Row],[Weighted Win%]], View_Table[Weighted Win%], 0)</f>
        <v>36</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35</v>
      </c>
    </row>
    <row r="27" spans="2:16" hidden="1" x14ac:dyDescent="0.45">
      <c r="B27" s="3" t="s">
        <v>43</v>
      </c>
      <c r="C27" s="6">
        <f>View_Table[[#This Row],[Rank Previous]]-View_Table[[#This Row],[Rank]]</f>
        <v>-1</v>
      </c>
      <c r="D27" s="7">
        <f>_xlfn.RANK.EQ(View_Table[[#This Row],[Weighted Win%]], View_Table[Weighted Win%], 0)</f>
        <v>36</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35</v>
      </c>
    </row>
    <row r="28" spans="2:16" hidden="1" x14ac:dyDescent="0.45">
      <c r="B28" s="3" t="s">
        <v>323</v>
      </c>
      <c r="C28" s="6">
        <f>View_Table[[#This Row],[Rank Previous]]-View_Table[[#This Row],[Rank]]</f>
        <v>-1</v>
      </c>
      <c r="D28" s="7">
        <f>_xlfn.RANK.EQ(View_Table[[#This Row],[Weighted Win%]], View_Table[Weighted Win%], 0)</f>
        <v>36</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35</v>
      </c>
    </row>
    <row r="29" spans="2:16" hidden="1" x14ac:dyDescent="0.45">
      <c r="B29" s="3" t="s">
        <v>324</v>
      </c>
      <c r="C29" s="6">
        <f>View_Table[[#This Row],[Rank Previous]]-View_Table[[#This Row],[Rank]]</f>
        <v>-1</v>
      </c>
      <c r="D29" s="7">
        <f>_xlfn.RANK.EQ(View_Table[[#This Row],[Weighted Win%]], View_Table[Weighted Win%], 0)</f>
        <v>36</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35</v>
      </c>
    </row>
    <row r="30" spans="2:16" x14ac:dyDescent="0.45">
      <c r="B30" s="3" t="s">
        <v>622</v>
      </c>
      <c r="C30" s="6">
        <f>View_Table[[#This Row],[Rank Previous]]-View_Table[[#This Row],[Rank]]</f>
        <v>0</v>
      </c>
      <c r="D30" s="7">
        <f>_xlfn.RANK.EQ(View_Table[[#This Row],[Weighted Win%]], View_Table[Weighted Win%], 0)</f>
        <v>13</v>
      </c>
      <c r="E30" s="9">
        <f>_xlfn.LET(_xlpm.g,View_Table[[#This Row],[Games]], _xlpm.w,(View_Table[[#This Row],[Wins]] + View_Table[[#This Row],[Draws]] * 0.25), _xlpm.fake, MAX(0,25-_xlpm.g), IF(_xlpm.g=0,0,(_xlpm.w + _xlpm.fake*0.25)/(_xlpm.g + _xlpm.fake)))</f>
        <v>0.25</v>
      </c>
      <c r="F30" s="8">
        <f>IF(View_Table[[#This Row],[Games]]=0,0,(View_Table[[#This Row],[Wins]] + (View_Table[[#This Row],[Draws]] * 0.25))/View_Table[[#This Row],[Games]])</f>
        <v>0.25</v>
      </c>
      <c r="G30" s="5">
        <f>IFERROR(
    GETPIVOTDATA(
        "Result",
        'Pivot Table'!$A$3,
        "Player",View_Table[[#This Row],[Player]],
        "Result","Win"
    ),
    0
)</f>
        <v>2</v>
      </c>
      <c r="H30" s="5">
        <f>IFERROR(
    GETPIVOTDATA(
        "Result",
        'Pivot Table'!$A$3,
        "Player",View_Table[[#This Row],[Player]],
        "Result","Loss"
    ),
    0
)</f>
        <v>6</v>
      </c>
      <c r="I30" s="5">
        <f>IFERROR(
    GETPIVOTDATA(
        "Result",
        'Pivot Table'!$A$3,
        "Player",View_Table[[#This Row],[Player]],
        "Result","Draw"
    ),
    0
)</f>
        <v>0</v>
      </c>
      <c r="J30" s="5">
        <f>View_Table[[#This Row],[Wins]]+View_Table[[#This Row],[Losses]]+View_Table[[#This Row],[Draws]]</f>
        <v>8</v>
      </c>
      <c r="K30" s="7">
        <f>IFERROR(
    GETPIVOTDATA(
        "Result",
        'Pivot Table Previous'!$A$3,
        "Player",View_Table[[#This Row],[Player]],
        "Result","Win"
    ),
    0
)</f>
        <v>2</v>
      </c>
      <c r="L30" s="5">
        <f>IFERROR(
    GETPIVOTDATA(
        "Result",
        'Pivot Table Previous'!$A$3,
        "Player",View_Table[[#This Row],[Player]],
        "Result","Loss"
    ),
    0
)</f>
        <v>6</v>
      </c>
      <c r="M30" s="5">
        <f>IFERROR(
    GETPIVOTDATA(
        "Result",
        'Pivot Table Previous'!$A$3,
        "Player",View_Table[[#This Row],[Player]],
        "Result","Draw"
    ),
    0
)</f>
        <v>0</v>
      </c>
      <c r="N30" s="5">
        <f>View_Table[[#This Row],[Wins Previous]]+View_Table[[#This Row],[Losses Previous]]+View_Table[[#This Row],[Draws Previous]]</f>
        <v>8</v>
      </c>
      <c r="O30" s="9">
        <f>_xlfn.LET(_xlpm.g,View_Table[[#This Row],[Games Previous]], _xlpm.w,(View_Table[[#This Row],[Wins Previous]] + View_Table[[#This Row],[Draws Previous]] * 0.25), _xlpm.fake, MAX(0,25-_xlpm.g), IF(_xlpm.g=0,0,(_xlpm.w + _xlpm.fake*0.25)/(_xlpm.g + _xlpm.fake)))</f>
        <v>0.25</v>
      </c>
      <c r="P30" s="7">
        <f>_xlfn.RANK.EQ(View_Table[[#This Row],[Weighted Win% Previous]], View_Table[Weighted Win% Previous], 0)</f>
        <v>13</v>
      </c>
    </row>
    <row r="31" spans="2:16" hidden="1" x14ac:dyDescent="0.45">
      <c r="B31" s="3" t="s">
        <v>478</v>
      </c>
      <c r="C31" s="6">
        <f>View_Table[[#This Row],[Rank Previous]]-View_Table[[#This Row],[Rank]]</f>
        <v>-1</v>
      </c>
      <c r="D31" s="7">
        <f>_xlfn.RANK.EQ(View_Table[[#This Row],[Weighted Win%]], View_Table[Weighted Win%], 0)</f>
        <v>36</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35</v>
      </c>
    </row>
    <row r="32" spans="2:16" hidden="1" x14ac:dyDescent="0.45">
      <c r="B32" s="3" t="s">
        <v>401</v>
      </c>
      <c r="C32" s="6">
        <f>View_Table[[#This Row],[Rank Previous]]-View_Table[[#This Row],[Rank]]</f>
        <v>-1</v>
      </c>
      <c r="D32" s="7">
        <f>_xlfn.RANK.EQ(View_Table[[#This Row],[Weighted Win%]], View_Table[Weighted Win%], 0)</f>
        <v>36</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35</v>
      </c>
    </row>
    <row r="33" spans="2:16" hidden="1" x14ac:dyDescent="0.45">
      <c r="B33" s="3" t="s">
        <v>403</v>
      </c>
      <c r="C33" s="6">
        <f>View_Table[[#This Row],[Rank Previous]]-View_Table[[#This Row],[Rank]]</f>
        <v>-1</v>
      </c>
      <c r="D33" s="7">
        <f>_xlfn.RANK.EQ(View_Table[[#This Row],[Weighted Win%]], View_Table[Weighted Win%], 0)</f>
        <v>36</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35</v>
      </c>
    </row>
    <row r="34" spans="2:16" x14ac:dyDescent="0.45">
      <c r="B34" s="3" t="s">
        <v>364</v>
      </c>
      <c r="C34" s="6">
        <f>View_Table[[#This Row],[Rank Previous]]-View_Table[[#This Row],[Rank]]</f>
        <v>0</v>
      </c>
      <c r="D34" s="7">
        <f>_xlfn.RANK.EQ(View_Table[[#This Row],[Weighted Win%]], View_Table[Weighted Win%], 0)</f>
        <v>13</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2</v>
      </c>
      <c r="J34" s="5">
        <f>View_Table[[#This Row],[Wins]]+View_Table[[#This Row],[Losses]]+View_Table[[#This Row],[Draws]]</f>
        <v>2</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2</v>
      </c>
      <c r="N34" s="5">
        <f>View_Table[[#This Row],[Wins Previous]]+View_Table[[#This Row],[Losses Previous]]+View_Table[[#This Row],[Draws Previous]]</f>
        <v>2</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13</v>
      </c>
    </row>
    <row r="35" spans="2:16" x14ac:dyDescent="0.45">
      <c r="B35" s="3" t="s">
        <v>464</v>
      </c>
      <c r="C35" s="6">
        <f>View_Table[[#This Row],[Rank Previous]]-View_Table[[#This Row],[Rank]]</f>
        <v>0</v>
      </c>
      <c r="D35" s="7">
        <f>_xlfn.RANK.EQ(View_Table[[#This Row],[Weighted Win%]], View_Table[Weighted Win%], 0)</f>
        <v>13</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13</v>
      </c>
    </row>
    <row r="36" spans="2:16" hidden="1" x14ac:dyDescent="0.45">
      <c r="B36" s="3" t="s">
        <v>59</v>
      </c>
      <c r="C36" s="6">
        <f>View_Table[[#This Row],[Rank Previous]]-View_Table[[#This Row],[Rank]]</f>
        <v>0</v>
      </c>
      <c r="D36" s="7">
        <f>_xlfn.RANK.EQ(View_Table[[#This Row],[Weighted Win%]], View_Table[Weighted Win%], 0)</f>
        <v>36</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36</v>
      </c>
    </row>
    <row r="37" spans="2:16" hidden="1" x14ac:dyDescent="0.45">
      <c r="B37" s="3" t="s">
        <v>437</v>
      </c>
      <c r="C37" s="6">
        <f>View_Table[[#This Row],[Rank Previous]]-View_Table[[#This Row],[Rank]]</f>
        <v>-1</v>
      </c>
      <c r="D37" s="7">
        <f>_xlfn.RANK.EQ(View_Table[[#This Row],[Weighted Win%]], View_Table[Weighted Win%], 0)</f>
        <v>36</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35</v>
      </c>
    </row>
    <row r="38" spans="2:16" x14ac:dyDescent="0.45">
      <c r="B38" s="3" t="s">
        <v>703</v>
      </c>
      <c r="C38" s="6">
        <f>View_Table[[#This Row],[Rank Previous]]-View_Table[[#This Row],[Rank]]</f>
        <v>0</v>
      </c>
      <c r="D38" s="7">
        <f>_xlfn.RANK.EQ(View_Table[[#This Row],[Weighted Win%]], View_Table[Weighted Win%], 0)</f>
        <v>13</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13</v>
      </c>
    </row>
    <row r="39" spans="2:16" hidden="1" x14ac:dyDescent="0.45">
      <c r="B39" s="3" t="s">
        <v>365</v>
      </c>
      <c r="C39" s="6">
        <f>View_Table[[#This Row],[Rank Previous]]-View_Table[[#This Row],[Rank]]</f>
        <v>-1</v>
      </c>
      <c r="D39" s="7">
        <f>_xlfn.RANK.EQ(View_Table[[#This Row],[Weighted Win%]], View_Table[Weighted Win%], 0)</f>
        <v>36</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35</v>
      </c>
    </row>
    <row r="40" spans="2:16" hidden="1" x14ac:dyDescent="0.45">
      <c r="B40" s="3" t="s">
        <v>463</v>
      </c>
      <c r="C40" s="6">
        <f>View_Table[[#This Row],[Rank Previous]]-View_Table[[#This Row],[Rank]]</f>
        <v>-1</v>
      </c>
      <c r="D40" s="7">
        <f>_xlfn.RANK.EQ(View_Table[[#This Row],[Weighted Win%]], View_Table[Weighted Win%], 0)</f>
        <v>36</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35</v>
      </c>
    </row>
    <row r="41" spans="2:16" hidden="1" x14ac:dyDescent="0.45">
      <c r="B41" s="3" t="s">
        <v>42</v>
      </c>
      <c r="C41" s="6">
        <f>View_Table[[#This Row],[Rank Previous]]-View_Table[[#This Row],[Rank]]</f>
        <v>17</v>
      </c>
      <c r="D41" s="7">
        <f>_xlfn.RANK.EQ(View_Table[[#This Row],[Weighted Win%]], View_Table[Weighted Win%], 0)</f>
        <v>18</v>
      </c>
      <c r="E41" s="9">
        <f>_xlfn.LET(_xlpm.g,View_Table[[#This Row],[Games]], _xlpm.w,(View_Table[[#This Row],[Wins]] + View_Table[[#This Row],[Draws]] * 0.25), _xlpm.fake, MAX(0,25-_xlpm.g), IF(_xlpm.g=0,0,(_xlpm.w + _xlpm.fake*0.25)/(_xlpm.g + _xlpm.fake)))</f>
        <v>0.23</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2</v>
      </c>
      <c r="I41" s="5">
        <f>IFERROR(
    GETPIVOTDATA(
        "Result",
        'Pivot Table'!$A$3,
        "Player",View_Table[[#This Row],[Player]],
        "Result","Draw"
    ),
    0
)</f>
        <v>0</v>
      </c>
      <c r="J41" s="5">
        <f>View_Table[[#This Row],[Wins]]+View_Table[[#This Row],[Losses]]+View_Table[[#This Row],[Draws]]</f>
        <v>2</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35</v>
      </c>
    </row>
    <row r="42" spans="2:16" x14ac:dyDescent="0.45">
      <c r="B42" s="3" t="s">
        <v>404</v>
      </c>
      <c r="C42" s="6">
        <f>View_Table[[#This Row],[Rank Previous]]-View_Table[[#This Row],[Rank]]</f>
        <v>0</v>
      </c>
      <c r="D42" s="7">
        <f>_xlfn.RANK.EQ(View_Table[[#This Row],[Weighted Win%]], View_Table[Weighted Win%], 0)</f>
        <v>17</v>
      </c>
      <c r="E42" s="9">
        <f>_xlfn.LET(_xlpm.g,View_Table[[#This Row],[Games]], _xlpm.w,(View_Table[[#This Row],[Wins]] + View_Table[[#This Row],[Draws]] * 0.25), _xlpm.fake, MAX(0,25-_xlpm.g), IF(_xlpm.g=0,0,(_xlpm.w + _xlpm.fake*0.25)/(_xlpm.g + _xlpm.fake)))</f>
        <v>0.24</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1</v>
      </c>
      <c r="I42" s="5">
        <f>IFERROR(
    GETPIVOTDATA(
        "Result",
        'Pivot Table'!$A$3,
        "Player",View_Table[[#This Row],[Player]],
        "Result","Draw"
    ),
    0
)</f>
        <v>0</v>
      </c>
      <c r="J42" s="5">
        <f>View_Table[[#This Row],[Wins]]+View_Table[[#This Row],[Losses]]+View_Table[[#This Row],[Draws]]</f>
        <v>1</v>
      </c>
      <c r="K42" s="7">
        <f>IFERROR(
    GETPIVOTDATA(
        "Result",
        'Pivot Table Previous'!$A$3,
        "Player",View_Table[[#This Row],[Player]],
        "Result","Win"
    ),
    0
)</f>
        <v>0</v>
      </c>
      <c r="L42" s="5">
        <f>IFERROR(
    GETPIVOTDATA(
        "Result",
        'Pivot Table Previous'!$A$3,
        "Player",View_Table[[#This Row],[Player]],
        "Result","Loss"
    ),
    0
)</f>
        <v>1</v>
      </c>
      <c r="M42" s="5">
        <f>IFERROR(
    GETPIVOTDATA(
        "Result",
        'Pivot Table Previous'!$A$3,
        "Player",View_Table[[#This Row],[Player]],
        "Result","Draw"
    ),
    0
)</f>
        <v>0</v>
      </c>
      <c r="N42" s="5">
        <f>View_Table[[#This Row],[Wins Previous]]+View_Table[[#This Row],[Losses Previous]]+View_Table[[#This Row],[Draws Previous]]</f>
        <v>1</v>
      </c>
      <c r="O42" s="9">
        <f>_xlfn.LET(_xlpm.g,View_Table[[#This Row],[Games Previous]], _xlpm.w,(View_Table[[#This Row],[Wins Previous]] + View_Table[[#This Row],[Draws Previous]] * 0.25), _xlpm.fake, MAX(0,25-_xlpm.g), IF(_xlpm.g=0,0,(_xlpm.w + _xlpm.fake*0.25)/(_xlpm.g + _xlpm.fake)))</f>
        <v>0.24</v>
      </c>
      <c r="P42" s="7">
        <f>_xlfn.RANK.EQ(View_Table[[#This Row],[Weighted Win% Previous]], View_Table[Weighted Win% Previous], 0)</f>
        <v>17</v>
      </c>
    </row>
    <row r="43" spans="2:16" x14ac:dyDescent="0.45">
      <c r="B43" s="3" t="s">
        <v>351</v>
      </c>
      <c r="C43" s="6">
        <f>View_Table[[#This Row],[Rank Previous]]-View_Table[[#This Row],[Rank]]</f>
        <v>-1</v>
      </c>
      <c r="D43" s="7">
        <f>_xlfn.RANK.EQ(View_Table[[#This Row],[Weighted Win%]], View_Table[Weighted Win%], 0)</f>
        <v>18</v>
      </c>
      <c r="E43" s="9">
        <f>_xlfn.LET(_xlpm.g,View_Table[[#This Row],[Games]], _xlpm.w,(View_Table[[#This Row],[Wins]] + View_Table[[#This Row],[Draws]] * 0.25), _xlpm.fake, MAX(0,25-_xlpm.g), IF(_xlpm.g=0,0,(_xlpm.w + _xlpm.fake*0.25)/(_xlpm.g + _xlpm.fake)))</f>
        <v>0.23</v>
      </c>
      <c r="F43" s="8">
        <f>IF(View_Table[[#This Row],[Games]]=0,0,(View_Table[[#This Row],[Wins]] + (View_Table[[#This Row],[Draws]] * 0.25))/View_Table[[#This Row],[Games]])</f>
        <v>0.20833333333333334</v>
      </c>
      <c r="G43" s="5">
        <f>IFERROR(
    GETPIVOTDATA(
        "Result",
        'Pivot Table'!$A$3,
        "Player",View_Table[[#This Row],[Player]],
        "Result","Win"
    ),
    0
)</f>
        <v>1</v>
      </c>
      <c r="H43" s="5">
        <f>IFERROR(
    GETPIVOTDATA(
        "Result",
        'Pivot Table'!$A$3,
        "Player",View_Table[[#This Row],[Player]],
        "Result","Loss"
    ),
    0
)</f>
        <v>5</v>
      </c>
      <c r="I43" s="5">
        <f>IFERROR(
    GETPIVOTDATA(
        "Result",
        'Pivot Table'!$A$3,
        "Player",View_Table[[#This Row],[Player]],
        "Result","Draw"
    ),
    0
)</f>
        <v>6</v>
      </c>
      <c r="J43" s="5">
        <f>View_Table[[#This Row],[Wins]]+View_Table[[#This Row],[Losses]]+View_Table[[#This Row],[Draws]]</f>
        <v>12</v>
      </c>
      <c r="K43" s="7">
        <f>IFERROR(
    GETPIVOTDATA(
        "Result",
        'Pivot Table Previous'!$A$3,
        "Player",View_Table[[#This Row],[Player]],
        "Result","Win"
    ),
    0
)</f>
        <v>1</v>
      </c>
      <c r="L43" s="5">
        <f>IFERROR(
    GETPIVOTDATA(
        "Result",
        'Pivot Table Previous'!$A$3,
        "Player",View_Table[[#This Row],[Player]],
        "Result","Loss"
    ),
    0
)</f>
        <v>4</v>
      </c>
      <c r="M43" s="5">
        <f>IFERROR(
    GETPIVOTDATA(
        "Result",
        'Pivot Table Previous'!$A$3,
        "Player",View_Table[[#This Row],[Player]],
        "Result","Draw"
    ),
    0
)</f>
        <v>5</v>
      </c>
      <c r="N43" s="5">
        <f>View_Table[[#This Row],[Wins Previous]]+View_Table[[#This Row],[Losses Previous]]+View_Table[[#This Row],[Draws Previous]]</f>
        <v>10</v>
      </c>
      <c r="O43" s="9">
        <f>_xlfn.LET(_xlpm.g,View_Table[[#This Row],[Games Previous]], _xlpm.w,(View_Table[[#This Row],[Wins Previous]] + View_Table[[#This Row],[Draws Previous]] * 0.25), _xlpm.fake, MAX(0,25-_xlpm.g), IF(_xlpm.g=0,0,(_xlpm.w + _xlpm.fake*0.25)/(_xlpm.g + _xlpm.fake)))</f>
        <v>0.24</v>
      </c>
      <c r="P43" s="7">
        <f>_xlfn.RANK.EQ(View_Table[[#This Row],[Weighted Win% Previous]], View_Table[Weighted Win% Previous], 0)</f>
        <v>17</v>
      </c>
    </row>
    <row r="44" spans="2:16" x14ac:dyDescent="0.45">
      <c r="B44" s="3" t="s">
        <v>17</v>
      </c>
      <c r="C44" s="6">
        <f>View_Table[[#This Row],[Rank Previous]]-View_Table[[#This Row],[Rank]]</f>
        <v>3</v>
      </c>
      <c r="D44" s="7">
        <f>_xlfn.RANK.EQ(View_Table[[#This Row],[Weighted Win%]], View_Table[Weighted Win%], 0)</f>
        <v>18</v>
      </c>
      <c r="E44" s="9">
        <f>_xlfn.LET(_xlpm.g,View_Table[[#This Row],[Games]], _xlpm.w,(View_Table[[#This Row],[Wins]] + View_Table[[#This Row],[Draws]] * 0.25), _xlpm.fake, MAX(0,25-_xlpm.g), IF(_xlpm.g=0,0,(_xlpm.w + _xlpm.fake*0.25)/(_xlpm.g + _xlpm.fake)))</f>
        <v>0.23</v>
      </c>
      <c r="F44" s="8">
        <f>IF(View_Table[[#This Row],[Games]]=0,0,(View_Table[[#This Row],[Wins]] + (View_Table[[#This Row],[Draws]] * 0.25))/View_Table[[#This Row],[Games]])</f>
        <v>0.21875</v>
      </c>
      <c r="G44" s="5">
        <f>IFERROR(
    GETPIVOTDATA(
        "Result",
        'Pivot Table'!$A$3,
        "Player",View_Table[[#This Row],[Player]],
        "Result","Win"
    ),
    0
)</f>
        <v>2</v>
      </c>
      <c r="H44" s="5">
        <f>IFERROR(
    GETPIVOTDATA(
        "Result",
        'Pivot Table'!$A$3,
        "Player",View_Table[[#This Row],[Player]],
        "Result","Loss"
    ),
    0
)</f>
        <v>8</v>
      </c>
      <c r="I44" s="5">
        <f>IFERROR(
    GETPIVOTDATA(
        "Result",
        'Pivot Table'!$A$3,
        "Player",View_Table[[#This Row],[Player]],
        "Result","Draw"
    ),
    0
)</f>
        <v>6</v>
      </c>
      <c r="J44" s="5">
        <f>View_Table[[#This Row],[Wins]]+View_Table[[#This Row],[Losses]]+View_Table[[#This Row],[Draws]]</f>
        <v>16</v>
      </c>
      <c r="K44" s="5">
        <f>IFERROR(
    GETPIVOTDATA(
        "Result",
        'Pivot Table Previous'!$A$3,
        "Player",View_Table[[#This Row],[Player]],
        "Result","Win"
    ),
    0
)</f>
        <v>2</v>
      </c>
      <c r="L44" s="5">
        <f>IFERROR(
    GETPIVOTDATA(
        "Result",
        'Pivot Table Previous'!$A$3,
        "Player",View_Table[[#This Row],[Player]],
        "Result","Loss"
    ),
    0
)</f>
        <v>8</v>
      </c>
      <c r="M44" s="5">
        <f>IFERROR(
    GETPIVOTDATA(
        "Result",
        'Pivot Table Previous'!$A$3,
        "Player",View_Table[[#This Row],[Player]],
        "Result","Draw"
    ),
    0
)</f>
        <v>6</v>
      </c>
      <c r="N44" s="5">
        <f>View_Table[[#This Row],[Wins Previous]]+View_Table[[#This Row],[Losses Previous]]+View_Table[[#This Row],[Draws Previous]]</f>
        <v>16</v>
      </c>
      <c r="O44" s="9">
        <f>_xlfn.LET(_xlpm.g,View_Table[[#This Row],[Games Previous]], _xlpm.w,(View_Table[[#This Row],[Wins Previous]] + View_Table[[#This Row],[Draws Previous]] * 0.25), _xlpm.fake, MAX(0,25-_xlpm.g), IF(_xlpm.g=0,0,(_xlpm.w + _xlpm.fake*0.25)/(_xlpm.g + _xlpm.fake)))</f>
        <v>0.23</v>
      </c>
      <c r="P44" s="7">
        <f>IF(View_Table[[#This Row],[Games Previous]]=0,
    View_Table[[#This Row],[Rank]],
    _xlfn.RANK.EQ(View_Table[[#This Row],[Weighted Win% Previous]], View_Table[Weighted Win% Previous], 0)
)</f>
        <v>21</v>
      </c>
    </row>
    <row r="45" spans="2:16" x14ac:dyDescent="0.45">
      <c r="B45" s="3" t="s">
        <v>435</v>
      </c>
      <c r="C45" s="6">
        <f>View_Table[[#This Row],[Rank Previous]]-View_Table[[#This Row],[Rank]]</f>
        <v>3</v>
      </c>
      <c r="D45" s="7">
        <f>_xlfn.RANK.EQ(View_Table[[#This Row],[Weighted Win%]], View_Table[Weighted Win%], 0)</f>
        <v>18</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v>
      </c>
      <c r="G45" s="5">
        <f>IFERROR(
    GETPIVOTDATA(
        "Result",
        'Pivot Table'!$A$3,
        "Player",View_Table[[#This Row],[Player]],
        "Result","Win"
    ),
    0
)</f>
        <v>0</v>
      </c>
      <c r="H45" s="5">
        <f>IFERROR(
    GETPIVOTDATA(
        "Result",
        'Pivot Table'!$A$3,
        "Player",View_Table[[#This Row],[Player]],
        "Result","Loss"
    ),
    0
)</f>
        <v>2</v>
      </c>
      <c r="I45" s="5">
        <f>IFERROR(
    GETPIVOTDATA(
        "Result",
        'Pivot Table'!$A$3,
        "Player",View_Table[[#This Row],[Player]],
        "Result","Draw"
    ),
    0
)</f>
        <v>0</v>
      </c>
      <c r="J45" s="5">
        <f>View_Table[[#This Row],[Wins]]+View_Table[[#This Row],[Losses]]+View_Table[[#This Row],[Draws]]</f>
        <v>2</v>
      </c>
      <c r="K45" s="7">
        <f>IFERROR(
    GETPIVOTDATA(
        "Result",
        'Pivot Table Previous'!$A$3,
        "Player",View_Table[[#This Row],[Player]],
        "Result","Win"
    ),
    0
)</f>
        <v>0</v>
      </c>
      <c r="L45" s="5">
        <f>IFERROR(
    GETPIVOTDATA(
        "Result",
        'Pivot Table Previous'!$A$3,
        "Player",View_Table[[#This Row],[Player]],
        "Result","Loss"
    ),
    0
)</f>
        <v>2</v>
      </c>
      <c r="M45" s="5">
        <f>IFERROR(
    GETPIVOTDATA(
        "Result",
        'Pivot Table Previous'!$A$3,
        "Player",View_Table[[#This Row],[Player]],
        "Result","Draw"
    ),
    0
)</f>
        <v>0</v>
      </c>
      <c r="N45" s="5">
        <f>View_Table[[#This Row],[Wins Previous]]+View_Table[[#This Row],[Losses Previous]]+View_Table[[#This Row],[Draws Previous]]</f>
        <v>2</v>
      </c>
      <c r="O45" s="9">
        <f>_xlfn.LET(_xlpm.g,View_Table[[#This Row],[Games Previous]], _xlpm.w,(View_Table[[#This Row],[Wins Previous]] + View_Table[[#This Row],[Draws Previous]] * 0.25), _xlpm.fake, MAX(0,25-_xlpm.g), IF(_xlpm.g=0,0,(_xlpm.w + _xlpm.fake*0.25)/(_xlpm.g + _xlpm.fake)))</f>
        <v>0.23</v>
      </c>
      <c r="P45" s="7">
        <f>_xlfn.RANK.EQ(View_Table[[#This Row],[Weighted Win% Previous]], View_Table[Weighted Win% Previous], 0)</f>
        <v>21</v>
      </c>
    </row>
    <row r="46" spans="2:16" hidden="1" x14ac:dyDescent="0.45">
      <c r="B46" s="3" t="s">
        <v>30</v>
      </c>
      <c r="C46" s="6">
        <f>View_Table[[#This Row],[Rank Previous]]-View_Table[[#This Row],[Rank]]</f>
        <v>-1</v>
      </c>
      <c r="D46" s="7">
        <f>_xlfn.RANK.EQ(View_Table[[#This Row],[Weighted Win%]], View_Table[Weighted Win%], 0)</f>
        <v>36</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35</v>
      </c>
    </row>
    <row r="47" spans="2:16" hidden="1" x14ac:dyDescent="0.45">
      <c r="B47" s="3" t="s">
        <v>541</v>
      </c>
      <c r="C47" s="6">
        <f>View_Table[[#This Row],[Rank Previous]]-View_Table[[#This Row],[Rank]]</f>
        <v>-1</v>
      </c>
      <c r="D47" s="7">
        <f>_xlfn.RANK.EQ(View_Table[[#This Row],[Weighted Win%]], View_Table[Weighted Win%], 0)</f>
        <v>36</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35</v>
      </c>
    </row>
    <row r="48" spans="2:16" hidden="1" x14ac:dyDescent="0.45">
      <c r="B48" s="3" t="s">
        <v>46</v>
      </c>
      <c r="C48" s="6">
        <f>View_Table[[#This Row],[Rank Previous]]-View_Table[[#This Row],[Rank]]</f>
        <v>-1</v>
      </c>
      <c r="D48" s="7">
        <f>_xlfn.RANK.EQ(View_Table[[#This Row],[Weighted Win%]], View_Table[Weighted Win%], 0)</f>
        <v>36</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35</v>
      </c>
    </row>
    <row r="49" spans="2:16" hidden="1" x14ac:dyDescent="0.45">
      <c r="B49" s="3" t="s">
        <v>542</v>
      </c>
      <c r="C49" s="6">
        <f>View_Table[[#This Row],[Rank Previous]]-View_Table[[#This Row],[Rank]]</f>
        <v>-1</v>
      </c>
      <c r="D49" s="7">
        <f>_xlfn.RANK.EQ(View_Table[[#This Row],[Weighted Win%]], View_Table[Weighted Win%], 0)</f>
        <v>36</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35</v>
      </c>
    </row>
    <row r="50" spans="2:16" hidden="1" x14ac:dyDescent="0.45">
      <c r="B50" s="3" t="s">
        <v>57</v>
      </c>
      <c r="C50" s="6">
        <f>View_Table[[#This Row],[Rank Previous]]-View_Table[[#This Row],[Rank]]</f>
        <v>-1</v>
      </c>
      <c r="D50" s="7">
        <f>_xlfn.RANK.EQ(View_Table[[#This Row],[Weighted Win%]], View_Table[Weighted Win%], 0)</f>
        <v>36</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35</v>
      </c>
    </row>
    <row r="51" spans="2:16" hidden="1" x14ac:dyDescent="0.45">
      <c r="B51" s="3" t="s">
        <v>591</v>
      </c>
      <c r="C51" s="6">
        <f>View_Table[[#This Row],[Rank Previous]]-View_Table[[#This Row],[Rank]]</f>
        <v>-1</v>
      </c>
      <c r="D51" s="7">
        <f>_xlfn.RANK.EQ(View_Table[[#This Row],[Weighted Win%]], View_Table[Weighted Win%], 0)</f>
        <v>36</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35</v>
      </c>
    </row>
    <row r="52" spans="2:16" hidden="1" x14ac:dyDescent="0.45">
      <c r="B52" s="3" t="s">
        <v>61</v>
      </c>
      <c r="C52" s="6">
        <f>View_Table[[#This Row],[Rank Previous]]-View_Table[[#This Row],[Rank]]</f>
        <v>-1</v>
      </c>
      <c r="D52" s="7">
        <f>_xlfn.RANK.EQ(View_Table[[#This Row],[Weighted Win%]], View_Table[Weighted Win%], 0)</f>
        <v>36</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35</v>
      </c>
    </row>
    <row r="53" spans="2:16" hidden="1" x14ac:dyDescent="0.45">
      <c r="B53" s="3" t="s">
        <v>321</v>
      </c>
      <c r="C53" s="6">
        <f>View_Table[[#This Row],[Rank Previous]]-View_Table[[#This Row],[Rank]]</f>
        <v>-1</v>
      </c>
      <c r="D53" s="7">
        <f>_xlfn.RANK.EQ(View_Table[[#This Row],[Weighted Win%]], View_Table[Weighted Win%], 0)</f>
        <v>36</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35</v>
      </c>
    </row>
    <row r="54" spans="2:16" hidden="1" x14ac:dyDescent="0.45">
      <c r="B54" s="3" t="s">
        <v>38</v>
      </c>
      <c r="C54" s="6">
        <f>View_Table[[#This Row],[Rank Previous]]-View_Table[[#This Row],[Rank]]</f>
        <v>-1</v>
      </c>
      <c r="D54" s="7">
        <f>_xlfn.RANK.EQ(View_Table[[#This Row],[Weighted Win%]], View_Table[Weighted Win%], 0)</f>
        <v>36</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35</v>
      </c>
    </row>
    <row r="55" spans="2:16" hidden="1" x14ac:dyDescent="0.45">
      <c r="B55" s="3" t="s">
        <v>48</v>
      </c>
      <c r="C55" s="6">
        <f>View_Table[[#This Row],[Rank Previous]]-View_Table[[#This Row],[Rank]]</f>
        <v>-1</v>
      </c>
      <c r="D55" s="7">
        <f>_xlfn.RANK.EQ(View_Table[[#This Row],[Weighted Win%]], View_Table[Weighted Win%], 0)</f>
        <v>36</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35</v>
      </c>
    </row>
    <row r="56" spans="2:16" hidden="1" x14ac:dyDescent="0.45">
      <c r="B56" s="3" t="s">
        <v>608</v>
      </c>
      <c r="C56" s="6">
        <f>View_Table[[#This Row],[Rank Previous]]-View_Table[[#This Row],[Rank]]</f>
        <v>-1</v>
      </c>
      <c r="D56" s="7">
        <f>_xlfn.RANK.EQ(View_Table[[#This Row],[Weighted Win%]], View_Table[Weighted Win%], 0)</f>
        <v>36</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35</v>
      </c>
    </row>
    <row r="57" spans="2:16" hidden="1" x14ac:dyDescent="0.45">
      <c r="B57" s="3" t="s">
        <v>62</v>
      </c>
      <c r="C57" s="6">
        <f>View_Table[[#This Row],[Rank Previous]]-View_Table[[#This Row],[Rank]]</f>
        <v>-1</v>
      </c>
      <c r="D57" s="7">
        <f>_xlfn.RANK.EQ(View_Table[[#This Row],[Weighted Win%]], View_Table[Weighted Win%], 0)</f>
        <v>36</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35</v>
      </c>
    </row>
    <row r="58" spans="2:16" hidden="1" x14ac:dyDescent="0.45">
      <c r="B58" s="3" t="s">
        <v>54</v>
      </c>
      <c r="C58" s="6">
        <f>View_Table[[#This Row],[Rank Previous]]-View_Table[[#This Row],[Rank]]</f>
        <v>-1</v>
      </c>
      <c r="D58" s="7">
        <f>_xlfn.RANK.EQ(View_Table[[#This Row],[Weighted Win%]], View_Table[Weighted Win%], 0)</f>
        <v>36</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35</v>
      </c>
    </row>
    <row r="59" spans="2:16" hidden="1" x14ac:dyDescent="0.45">
      <c r="B59" s="3" t="s">
        <v>60</v>
      </c>
      <c r="C59" s="6">
        <f>View_Table[[#This Row],[Rank Previous]]-View_Table[[#This Row],[Rank]]</f>
        <v>-1</v>
      </c>
      <c r="D59" s="7">
        <f>_xlfn.RANK.EQ(View_Table[[#This Row],[Weighted Win%]], View_Table[Weighted Win%], 0)</f>
        <v>36</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35</v>
      </c>
    </row>
    <row r="60" spans="2:16" hidden="1" x14ac:dyDescent="0.45">
      <c r="B60" s="3" t="s">
        <v>85</v>
      </c>
      <c r="C60" s="6">
        <f>View_Table[[#This Row],[Rank Previous]]-View_Table[[#This Row],[Rank]]</f>
        <v>-1</v>
      </c>
      <c r="D60" s="7">
        <f>_xlfn.RANK.EQ(View_Table[[#This Row],[Weighted Win%]], View_Table[Weighted Win%], 0)</f>
        <v>36</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35</v>
      </c>
    </row>
    <row r="61" spans="2:16" hidden="1" x14ac:dyDescent="0.45">
      <c r="B61" s="3" t="s">
        <v>47</v>
      </c>
      <c r="C61" s="6">
        <f>View_Table[[#This Row],[Rank Previous]]-View_Table[[#This Row],[Rank]]</f>
        <v>-1</v>
      </c>
      <c r="D61" s="7">
        <f>_xlfn.RANK.EQ(View_Table[[#This Row],[Weighted Win%]], View_Table[Weighted Win%], 0)</f>
        <v>36</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35</v>
      </c>
    </row>
    <row r="62" spans="2:16" hidden="1" x14ac:dyDescent="0.45">
      <c r="B62" s="3" t="s">
        <v>50</v>
      </c>
      <c r="C62" s="6">
        <f>View_Table[[#This Row],[Rank Previous]]-View_Table[[#This Row],[Rank]]</f>
        <v>-1</v>
      </c>
      <c r="D62" s="7">
        <f>_xlfn.RANK.EQ(View_Table[[#This Row],[Weighted Win%]], View_Table[Weighted Win%], 0)</f>
        <v>36</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35</v>
      </c>
    </row>
    <row r="63" spans="2:16" hidden="1" x14ac:dyDescent="0.45">
      <c r="B63" s="3" t="s">
        <v>53</v>
      </c>
      <c r="C63" s="6">
        <f>View_Table[[#This Row],[Rank Previous]]-View_Table[[#This Row],[Rank]]</f>
        <v>-1</v>
      </c>
      <c r="D63" s="7">
        <f>_xlfn.RANK.EQ(View_Table[[#This Row],[Weighted Win%]], View_Table[Weighted Win%], 0)</f>
        <v>36</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35</v>
      </c>
    </row>
    <row r="64" spans="2:16" hidden="1" x14ac:dyDescent="0.45">
      <c r="B64" s="3" t="s">
        <v>56</v>
      </c>
      <c r="C64" s="6">
        <f>View_Table[[#This Row],[Rank Previous]]-View_Table[[#This Row],[Rank]]</f>
        <v>-1</v>
      </c>
      <c r="D64" s="7">
        <f>_xlfn.RANK.EQ(View_Table[[#This Row],[Weighted Win%]], View_Table[Weighted Win%], 0)</f>
        <v>36</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35</v>
      </c>
    </row>
    <row r="65" spans="2:16" hidden="1" x14ac:dyDescent="0.45">
      <c r="B65" s="3" t="s">
        <v>58</v>
      </c>
      <c r="C65" s="6">
        <f>View_Table[[#This Row],[Rank Previous]]-View_Table[[#This Row],[Rank]]</f>
        <v>-1</v>
      </c>
      <c r="D65" s="7">
        <f>_xlfn.RANK.EQ(View_Table[[#This Row],[Weighted Win%]], View_Table[Weighted Win%], 0)</f>
        <v>36</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35</v>
      </c>
    </row>
    <row r="66" spans="2:16" x14ac:dyDescent="0.45">
      <c r="B66" s="3" t="s">
        <v>605</v>
      </c>
      <c r="C66" s="6">
        <f>View_Table[[#This Row],[Rank Previous]]-View_Table[[#This Row],[Rank]]</f>
        <v>3</v>
      </c>
      <c r="D66" s="7">
        <f>_xlfn.RANK.EQ(View_Table[[#This Row],[Weighted Win%]], View_Table[Weighted Win%], 0)</f>
        <v>18</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0</v>
      </c>
      <c r="J66" s="5">
        <f>View_Table[[#This Row],[Wins]]+View_Table[[#This Row],[Losses]]+View_Table[[#This Row],[Draws]]</f>
        <v>2</v>
      </c>
      <c r="K66" s="7">
        <f>IFERROR(
    GETPIVOTDATA(
        "Result",
        'Pivot Table Previous'!$A$3,
        "Player",View_Table[[#This Row],[Player]],
        "Result","Win"
    ),
    0
)</f>
        <v>0</v>
      </c>
      <c r="L66" s="5">
        <f>IFERROR(
    GETPIVOTDATA(
        "Result",
        'Pivot Table Previous'!$A$3,
        "Player",View_Table[[#This Row],[Player]],
        "Result","Loss"
    ),
    0
)</f>
        <v>2</v>
      </c>
      <c r="M66" s="5">
        <f>IFERROR(
    GETPIVOTDATA(
        "Result",
        'Pivot Table Previous'!$A$3,
        "Player",View_Table[[#This Row],[Player]],
        "Result","Draw"
    ),
    0
)</f>
        <v>0</v>
      </c>
      <c r="N66" s="5">
        <f>View_Table[[#This Row],[Wins Previous]]+View_Table[[#This Row],[Losses Previous]]+View_Table[[#This Row],[Draws Previous]]</f>
        <v>2</v>
      </c>
      <c r="O66" s="9">
        <f>_xlfn.LET(_xlpm.g,View_Table[[#This Row],[Games Previous]], _xlpm.w,(View_Table[[#This Row],[Wins Previous]] + View_Table[[#This Row],[Draws Previous]] * 0.25), _xlpm.fake, MAX(0,25-_xlpm.g), IF(_xlpm.g=0,0,(_xlpm.w + _xlpm.fake*0.25)/(_xlpm.g + _xlpm.fake)))</f>
        <v>0.23</v>
      </c>
      <c r="P66" s="7">
        <f>_xlfn.RANK.EQ(View_Table[[#This Row],[Weighted Win% Previous]], View_Table[Weighted Win% Previous], 0)</f>
        <v>21</v>
      </c>
    </row>
    <row r="67" spans="2:16" hidden="1" x14ac:dyDescent="0.45">
      <c r="B67" s="3" t="s">
        <v>45</v>
      </c>
      <c r="C67" s="6">
        <f>View_Table[[#This Row],[Rank Previous]]-View_Table[[#This Row],[Rank]]</f>
        <v>-1</v>
      </c>
      <c r="D67" s="7">
        <f>_xlfn.RANK.EQ(View_Table[[#This Row],[Weighted Win%]], View_Table[Weighted Win%], 0)</f>
        <v>36</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35</v>
      </c>
    </row>
    <row r="68" spans="2:16" hidden="1" x14ac:dyDescent="0.45">
      <c r="B68" s="3" t="s">
        <v>40</v>
      </c>
      <c r="C68" s="6">
        <f>View_Table[[#This Row],[Rank Previous]]-View_Table[[#This Row],[Rank]]</f>
        <v>-1</v>
      </c>
      <c r="D68" s="7">
        <f>_xlfn.RANK.EQ(View_Table[[#This Row],[Weighted Win%]], View_Table[Weighted Win%], 0)</f>
        <v>36</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35</v>
      </c>
    </row>
    <row r="69" spans="2:16" hidden="1" x14ac:dyDescent="0.45">
      <c r="B69" s="3" t="s">
        <v>55</v>
      </c>
      <c r="C69" s="6">
        <f>View_Table[[#This Row],[Rank Previous]]-View_Table[[#This Row],[Rank]]</f>
        <v>-1</v>
      </c>
      <c r="D69" s="7">
        <f>_xlfn.RANK.EQ(View_Table[[#This Row],[Weighted Win%]], View_Table[Weighted Win%], 0)</f>
        <v>36</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35</v>
      </c>
    </row>
    <row r="70" spans="2:16" hidden="1" x14ac:dyDescent="0.45">
      <c r="B70" s="3" t="s">
        <v>16</v>
      </c>
      <c r="C70" s="6">
        <f>View_Table[[#This Row],[Rank Previous]]-View_Table[[#This Row],[Rank]]</f>
        <v>-1</v>
      </c>
      <c r="D70" s="7">
        <f>_xlfn.RANK.EQ(View_Table[[#This Row],[Weighted Win%]], View_Table[Weighted Win%], 0)</f>
        <v>36</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35</v>
      </c>
    </row>
    <row r="71" spans="2:16" hidden="1" x14ac:dyDescent="0.45">
      <c r="B71" s="3" t="s">
        <v>21</v>
      </c>
      <c r="C71" s="6">
        <f>View_Table[[#This Row],[Rank Previous]]-View_Table[[#This Row],[Rank]]</f>
        <v>-1</v>
      </c>
      <c r="D71" s="7">
        <f>_xlfn.RANK.EQ(View_Table[[#This Row],[Weighted Win%]], View_Table[Weighted Win%], 0)</f>
        <v>36</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35</v>
      </c>
    </row>
    <row r="72" spans="2:16" hidden="1" x14ac:dyDescent="0.45">
      <c r="B72" s="3" t="s">
        <v>49</v>
      </c>
      <c r="C72" s="6">
        <f>View_Table[[#This Row],[Rank Previous]]-View_Table[[#This Row],[Rank]]</f>
        <v>-1</v>
      </c>
      <c r="D72" s="7">
        <f>_xlfn.RANK.EQ(View_Table[[#This Row],[Weighted Win%]], View_Table[Weighted Win%], 0)</f>
        <v>36</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35</v>
      </c>
    </row>
    <row r="73" spans="2:16" hidden="1" x14ac:dyDescent="0.45">
      <c r="B73" s="3" t="s">
        <v>12</v>
      </c>
      <c r="C73" s="6">
        <f>View_Table[[#This Row],[Rank Previous]]-View_Table[[#This Row],[Rank]]</f>
        <v>-1</v>
      </c>
      <c r="D73" s="7">
        <f>_xlfn.RANK.EQ(View_Table[[#This Row],[Weighted Win%]], View_Table[Weighted Win%], 0)</f>
        <v>36</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35</v>
      </c>
    </row>
    <row r="74" spans="2:16" hidden="1" x14ac:dyDescent="0.45">
      <c r="B74" s="3" t="s">
        <v>44</v>
      </c>
      <c r="C74" s="6">
        <f>View_Table[[#This Row],[Rank Previous]]-View_Table[[#This Row],[Rank]]</f>
        <v>-1</v>
      </c>
      <c r="D74" s="7">
        <f>_xlfn.RANK.EQ(View_Table[[#This Row],[Weighted Win%]], View_Table[Weighted Win%], 0)</f>
        <v>36</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35</v>
      </c>
    </row>
    <row r="75" spans="2:16" hidden="1" x14ac:dyDescent="0.45">
      <c r="B75" s="3" t="s">
        <v>29</v>
      </c>
      <c r="C75" s="6">
        <f>View_Table[[#This Row],[Rank Previous]]-View_Table[[#This Row],[Rank]]</f>
        <v>-1</v>
      </c>
      <c r="D75" s="7">
        <f>_xlfn.RANK.EQ(View_Table[[#This Row],[Weighted Win%]], View_Table[Weighted Win%], 0)</f>
        <v>36</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35</v>
      </c>
    </row>
    <row r="76" spans="2:16" hidden="1" x14ac:dyDescent="0.45">
      <c r="B76" s="3" t="s">
        <v>65</v>
      </c>
      <c r="C76" s="6">
        <f>View_Table[[#This Row],[Rank Previous]]-View_Table[[#This Row],[Rank]]</f>
        <v>-1</v>
      </c>
      <c r="D76" s="7">
        <f>_xlfn.RANK.EQ(View_Table[[#This Row],[Weighted Win%]], View_Table[Weighted Win%], 0)</f>
        <v>36</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35</v>
      </c>
    </row>
    <row r="77" spans="2:16" hidden="1" x14ac:dyDescent="0.45">
      <c r="B77" s="3" t="s">
        <v>76</v>
      </c>
      <c r="C77" s="6">
        <f>View_Table[[#This Row],[Rank Previous]]-View_Table[[#This Row],[Rank]]</f>
        <v>-1</v>
      </c>
      <c r="D77" s="7">
        <f>_xlfn.RANK.EQ(View_Table[[#This Row],[Weighted Win%]], View_Table[Weighted Win%], 0)</f>
        <v>36</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35</v>
      </c>
    </row>
    <row r="78" spans="2:16" hidden="1" x14ac:dyDescent="0.45">
      <c r="B78" s="3" t="s">
        <v>39</v>
      </c>
      <c r="C78" s="6">
        <f>View_Table[[#This Row],[Rank Previous]]-View_Table[[#This Row],[Rank]]</f>
        <v>-1</v>
      </c>
      <c r="D78" s="7">
        <f>_xlfn.RANK.EQ(View_Table[[#This Row],[Weighted Win%]], View_Table[Weighted Win%], 0)</f>
        <v>36</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35</v>
      </c>
    </row>
    <row r="79" spans="2:16" hidden="1" x14ac:dyDescent="0.45">
      <c r="B79" s="3" t="s">
        <v>18</v>
      </c>
      <c r="C79" s="6">
        <f>View_Table[[#This Row],[Rank Previous]]-View_Table[[#This Row],[Rank]]</f>
        <v>-1</v>
      </c>
      <c r="D79" s="7">
        <f>_xlfn.RANK.EQ(View_Table[[#This Row],[Weighted Win%]], View_Table[Weighted Win%], 0)</f>
        <v>36</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35</v>
      </c>
    </row>
    <row r="80" spans="2:16" hidden="1" x14ac:dyDescent="0.45">
      <c r="B80" s="3" t="s">
        <v>592</v>
      </c>
      <c r="C80" s="6">
        <f>View_Table[[#This Row],[Rank Previous]]-View_Table[[#This Row],[Rank]]</f>
        <v>-1</v>
      </c>
      <c r="D80" s="7">
        <f>_xlfn.RANK.EQ(View_Table[[#This Row],[Weighted Win%]], View_Table[Weighted Win%], 0)</f>
        <v>36</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35</v>
      </c>
    </row>
    <row r="81" spans="2:16" hidden="1" x14ac:dyDescent="0.45">
      <c r="B81" s="3" t="s">
        <v>539</v>
      </c>
      <c r="C81" s="6">
        <f>View_Table[[#This Row],[Rank Previous]]-View_Table[[#This Row],[Rank]]</f>
        <v>-1</v>
      </c>
      <c r="D81" s="7">
        <f>_xlfn.RANK.EQ(View_Table[[#This Row],[Weighted Win%]], View_Table[Weighted Win%], 0)</f>
        <v>36</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35</v>
      </c>
    </row>
    <row r="82" spans="2:16" x14ac:dyDescent="0.45">
      <c r="B82" s="3" t="s">
        <v>402</v>
      </c>
      <c r="C82" s="6">
        <f>View_Table[[#This Row],[Rank Previous]]-View_Table[[#This Row],[Rank]]</f>
        <v>-6</v>
      </c>
      <c r="D82" s="7">
        <f>_xlfn.RANK.EQ(View_Table[[#This Row],[Weighted Win%]], View_Table[Weighted Win%], 0)</f>
        <v>23</v>
      </c>
      <c r="E82" s="9">
        <f>_xlfn.LET(_xlpm.g,View_Table[[#This Row],[Games]], _xlpm.w,(View_Table[[#This Row],[Wins]] + View_Table[[#This Row],[Draws]] * 0.25), _xlpm.fake, MAX(0,25-_xlpm.g), IF(_xlpm.g=0,0,(_xlpm.w + _xlpm.fake*0.25)/(_xlpm.g + _xlpm.fake)))</f>
        <v>0.22</v>
      </c>
      <c r="F82" s="8">
        <f>IF(View_Table[[#This Row],[Games]]=0,0,(View_Table[[#This Row],[Wins]] + (View_Table[[#This Row],[Draws]] * 0.25))/View_Table[[#This Row],[Games]])</f>
        <v>6.25E-2</v>
      </c>
      <c r="G82" s="5">
        <f>IFERROR(
    GETPIVOTDATA(
        "Result",
        'Pivot Table'!$A$3,
        "Player",View_Table[[#This Row],[Player]],
        "Result","Win"
    ),
    0
)</f>
        <v>0</v>
      </c>
      <c r="H82" s="5">
        <f>IFERROR(
    GETPIVOTDATA(
        "Result",
        'Pivot Table'!$A$3,
        "Player",View_Table[[#This Row],[Player]],
        "Result","Loss"
    ),
    0
)</f>
        <v>3</v>
      </c>
      <c r="I82" s="5">
        <f>IFERROR(
    GETPIVOTDATA(
        "Result",
        'Pivot Table'!$A$3,
        "Player",View_Table[[#This Row],[Player]],
        "Result","Draw"
    ),
    0
)</f>
        <v>1</v>
      </c>
      <c r="J82" s="5">
        <f>View_Table[[#This Row],[Wins]]+View_Table[[#This Row],[Losses]]+View_Table[[#This Row],[Draws]]</f>
        <v>4</v>
      </c>
      <c r="K82" s="7">
        <f>IFERROR(
    GETPIVOTDATA(
        "Result",
        'Pivot Table Previous'!$A$3,
        "Player",View_Table[[#This Row],[Player]],
        "Result","Win"
    ),
    0
)</f>
        <v>0</v>
      </c>
      <c r="L82" s="5">
        <f>IFERROR(
    GETPIVOTDATA(
        "Result",
        'Pivot Table Previous'!$A$3,
        "Player",View_Table[[#This Row],[Player]],
        "Result","Loss"
    ),
    0
)</f>
        <v>1</v>
      </c>
      <c r="M82" s="5">
        <f>IFERROR(
    GETPIVOTDATA(
        "Result",
        'Pivot Table Previous'!$A$3,
        "Player",View_Table[[#This Row],[Player]],
        "Result","Draw"
    ),
    0
)</f>
        <v>1</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0.24</v>
      </c>
      <c r="P82" s="7">
        <f>_xlfn.RANK.EQ(View_Table[[#This Row],[Weighted Win% Previous]], View_Table[Weighted Win% Previous], 0)</f>
        <v>17</v>
      </c>
    </row>
    <row r="83" spans="2:16" x14ac:dyDescent="0.45">
      <c r="B83" s="3" t="s">
        <v>325</v>
      </c>
      <c r="C83" s="6">
        <f>View_Table[[#This Row],[Rank Previous]]-View_Table[[#This Row],[Rank]]</f>
        <v>-6</v>
      </c>
      <c r="D83" s="7">
        <f>_xlfn.RANK.EQ(View_Table[[#This Row],[Weighted Win%]], View_Table[Weighted Win%], 0)</f>
        <v>23</v>
      </c>
      <c r="E83" s="9">
        <f>_xlfn.LET(_xlpm.g,View_Table[[#This Row],[Games]], _xlpm.w,(View_Table[[#This Row],[Wins]] + View_Table[[#This Row],[Draws]] * 0.25), _xlpm.fake, MAX(0,25-_xlpm.g), IF(_xlpm.g=0,0,(_xlpm.w + _xlpm.fake*0.25)/(_xlpm.g + _xlpm.fake)))</f>
        <v>0.22</v>
      </c>
      <c r="F83" s="8">
        <f>IF(View_Table[[#This Row],[Games]]=0,0,(View_Table[[#This Row],[Wins]] + (View_Table[[#This Row],[Draws]] * 0.25))/View_Table[[#This Row],[Games]])</f>
        <v>0.20833333333333334</v>
      </c>
      <c r="G83" s="5">
        <f>IFERROR(
    GETPIVOTDATA(
        "Result",
        'Pivot Table'!$A$3,
        "Player",View_Table[[#This Row],[Player]],
        "Result","Win"
    ),
    0
)</f>
        <v>3</v>
      </c>
      <c r="H83" s="5">
        <f>IFERROR(
    GETPIVOTDATA(
        "Result",
        'Pivot Table'!$A$3,
        "Player",View_Table[[#This Row],[Player]],
        "Result","Loss"
    ),
    0
)</f>
        <v>12</v>
      </c>
      <c r="I83" s="5">
        <f>IFERROR(
    GETPIVOTDATA(
        "Result",
        'Pivot Table'!$A$3,
        "Player",View_Table[[#This Row],[Player]],
        "Result","Draw"
    ),
    0
)</f>
        <v>3</v>
      </c>
      <c r="J83" s="5">
        <f>View_Table[[#This Row],[Wins]]+View_Table[[#This Row],[Losses]]+View_Table[[#This Row],[Draws]]</f>
        <v>18</v>
      </c>
      <c r="K83" s="7">
        <f>IFERROR(
    GETPIVOTDATA(
        "Result",
        'Pivot Table Previous'!$A$3,
        "Player",View_Table[[#This Row],[Player]],
        "Result","Win"
    ),
    0
)</f>
        <v>3</v>
      </c>
      <c r="L83" s="5">
        <f>IFERROR(
    GETPIVOTDATA(
        "Result",
        'Pivot Table Previous'!$A$3,
        "Player",View_Table[[#This Row],[Player]],
        "Result","Loss"
    ),
    0
)</f>
        <v>10</v>
      </c>
      <c r="M83" s="5">
        <f>IFERROR(
    GETPIVOTDATA(
        "Result",
        'Pivot Table Previous'!$A$3,
        "Player",View_Table[[#This Row],[Player]],
        "Result","Draw"
    ),
    0
)</f>
        <v>3</v>
      </c>
      <c r="N83" s="5">
        <f>View_Table[[#This Row],[Wins Previous]]+View_Table[[#This Row],[Losses Previous]]+View_Table[[#This Row],[Draws Previous]]</f>
        <v>16</v>
      </c>
      <c r="O83" s="9">
        <f>_xlfn.LET(_xlpm.g,View_Table[[#This Row],[Games Previous]], _xlpm.w,(View_Table[[#This Row],[Wins Previous]] + View_Table[[#This Row],[Draws Previous]] * 0.25), _xlpm.fake, MAX(0,25-_xlpm.g), IF(_xlpm.g=0,0,(_xlpm.w + _xlpm.fake*0.25)/(_xlpm.g + _xlpm.fake)))</f>
        <v>0.24</v>
      </c>
      <c r="P83" s="7">
        <f>_xlfn.RANK.EQ(View_Table[[#This Row],[Weighted Win% Previous]], View_Table[Weighted Win% Previous], 0)</f>
        <v>17</v>
      </c>
    </row>
    <row r="84" spans="2:16" hidden="1" x14ac:dyDescent="0.45">
      <c r="B84" s="3" t="s">
        <v>579</v>
      </c>
      <c r="C84" s="6">
        <f>View_Table[[#This Row],[Rank Previous]]-View_Table[[#This Row],[Rank]]</f>
        <v>-1</v>
      </c>
      <c r="D84" s="7">
        <f>_xlfn.RANK.EQ(View_Table[[#This Row],[Weighted Win%]], View_Table[Weighted Win%], 0)</f>
        <v>36</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35</v>
      </c>
    </row>
    <row r="85" spans="2:16" hidden="1" x14ac:dyDescent="0.45">
      <c r="B85" s="3" t="s">
        <v>590</v>
      </c>
      <c r="C85" s="6">
        <f>View_Table[[#This Row],[Rank Previous]]-View_Table[[#This Row],[Rank]]</f>
        <v>-1</v>
      </c>
      <c r="D85" s="7">
        <f>_xlfn.RANK.EQ(View_Table[[#This Row],[Weighted Win%]], View_Table[Weighted Win%], 0)</f>
        <v>36</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35</v>
      </c>
    </row>
    <row r="86" spans="2:16" hidden="1" x14ac:dyDescent="0.45">
      <c r="B86" s="3" t="s">
        <v>551</v>
      </c>
      <c r="C86" s="6">
        <f>View_Table[[#This Row],[Rank Previous]]-View_Table[[#This Row],[Rank]]</f>
        <v>-1</v>
      </c>
      <c r="D86" s="7">
        <f>_xlfn.RANK.EQ(View_Table[[#This Row],[Weighted Win%]], View_Table[Weighted Win%], 0)</f>
        <v>36</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35</v>
      </c>
    </row>
    <row r="87" spans="2:16" hidden="1" x14ac:dyDescent="0.45">
      <c r="B87" s="3" t="s">
        <v>552</v>
      </c>
      <c r="C87" s="6">
        <f>View_Table[[#This Row],[Rank Previous]]-View_Table[[#This Row],[Rank]]</f>
        <v>-1</v>
      </c>
      <c r="D87" s="7">
        <f>_xlfn.RANK.EQ(View_Table[[#This Row],[Weighted Win%]], View_Table[Weighted Win%], 0)</f>
        <v>36</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35</v>
      </c>
    </row>
    <row r="88" spans="2:16" hidden="1" x14ac:dyDescent="0.45">
      <c r="B88" s="3" t="s">
        <v>553</v>
      </c>
      <c r="C88" s="6">
        <f>View_Table[[#This Row],[Rank Previous]]-View_Table[[#This Row],[Rank]]</f>
        <v>-1</v>
      </c>
      <c r="D88" s="7">
        <f>_xlfn.RANK.EQ(View_Table[[#This Row],[Weighted Win%]], View_Table[Weighted Win%], 0)</f>
        <v>36</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35</v>
      </c>
    </row>
    <row r="89" spans="2:16" hidden="1" x14ac:dyDescent="0.45">
      <c r="B89" s="3" t="s">
        <v>554</v>
      </c>
      <c r="C89" s="6">
        <f>View_Table[[#This Row],[Rank Previous]]-View_Table[[#This Row],[Rank]]</f>
        <v>-1</v>
      </c>
      <c r="D89" s="7">
        <f>_xlfn.RANK.EQ(View_Table[[#This Row],[Weighted Win%]], View_Table[Weighted Win%], 0)</f>
        <v>36</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35</v>
      </c>
    </row>
    <row r="90" spans="2:16" x14ac:dyDescent="0.45">
      <c r="B90" s="3" t="s">
        <v>27</v>
      </c>
      <c r="C90" s="6">
        <f>View_Table[[#This Row],[Rank Previous]]-View_Table[[#This Row],[Rank]]</f>
        <v>1</v>
      </c>
      <c r="D90" s="7">
        <f>_xlfn.RANK.EQ(View_Table[[#This Row],[Weighted Win%]], View_Table[Weighted Win%], 0)</f>
        <v>23</v>
      </c>
      <c r="E90" s="9">
        <f>_xlfn.LET(_xlpm.g,View_Table[[#This Row],[Games]], _xlpm.w,(View_Table[[#This Row],[Wins]] + View_Table[[#This Row],[Draws]] * 0.25), _xlpm.fake, MAX(0,25-_xlpm.g), IF(_xlpm.g=0,0,(_xlpm.w + _xlpm.fake*0.25)/(_xlpm.g + _xlpm.fake)))</f>
        <v>0.22</v>
      </c>
      <c r="F90" s="8">
        <f>IF(View_Table[[#This Row],[Games]]=0,0,(View_Table[[#This Row],[Wins]] + (View_Table[[#This Row],[Draws]] * 0.25))/View_Table[[#This Row],[Games]])</f>
        <v>0.1875</v>
      </c>
      <c r="G90" s="5">
        <f>IFERROR(
    GETPIVOTDATA(
        "Result",
        'Pivot Table'!$A$3,
        "Player",View_Table[[#This Row],[Player]],
        "Result","Win"
    ),
    0
)</f>
        <v>2</v>
      </c>
      <c r="H90" s="5">
        <f>IFERROR(
    GETPIVOTDATA(
        "Result",
        'Pivot Table'!$A$3,
        "Player",View_Table[[#This Row],[Player]],
        "Result","Loss"
    ),
    0
)</f>
        <v>9</v>
      </c>
      <c r="I90" s="5">
        <f>IFERROR(
    GETPIVOTDATA(
        "Result",
        'Pivot Table'!$A$3,
        "Player",View_Table[[#This Row],[Player]],
        "Result","Draw"
    ),
    0
)</f>
        <v>1</v>
      </c>
      <c r="J90" s="5">
        <f>View_Table[[#This Row],[Wins]]+View_Table[[#This Row],[Losses]]+View_Table[[#This Row],[Draws]]</f>
        <v>12</v>
      </c>
      <c r="K90" s="7">
        <f>IFERROR(
    GETPIVOTDATA(
        "Result",
        'Pivot Table Previous'!$A$3,
        "Player",View_Table[[#This Row],[Player]],
        "Result","Win"
    ),
    0
)</f>
        <v>2</v>
      </c>
      <c r="L90" s="5">
        <f>IFERROR(
    GETPIVOTDATA(
        "Result",
        'Pivot Table Previous'!$A$3,
        "Player",View_Table[[#This Row],[Player]],
        "Result","Loss"
    ),
    0
)</f>
        <v>9</v>
      </c>
      <c r="M90" s="5">
        <f>IFERROR(
    GETPIVOTDATA(
        "Result",
        'Pivot Table Previous'!$A$3,
        "Player",View_Table[[#This Row],[Player]],
        "Result","Draw"
    ),
    0
)</f>
        <v>1</v>
      </c>
      <c r="N90" s="5">
        <f>View_Table[[#This Row],[Wins Previous]]+View_Table[[#This Row],[Losses Previous]]+View_Table[[#This Row],[Draws Previous]]</f>
        <v>12</v>
      </c>
      <c r="O90" s="9">
        <f>_xlfn.LET(_xlpm.g,View_Table[[#This Row],[Games Previous]], _xlpm.w,(View_Table[[#This Row],[Wins Previous]] + View_Table[[#This Row],[Draws Previous]] * 0.25), _xlpm.fake, MAX(0,25-_xlpm.g), IF(_xlpm.g=0,0,(_xlpm.w + _xlpm.fake*0.25)/(_xlpm.g + _xlpm.fake)))</f>
        <v>0.22</v>
      </c>
      <c r="P90" s="7">
        <f>_xlfn.RANK.EQ(View_Table[[#This Row],[Weighted Win% Previous]], View_Table[Weighted Win% Previous], 0)</f>
        <v>24</v>
      </c>
    </row>
    <row r="91" spans="2:16" x14ac:dyDescent="0.45">
      <c r="B91" s="3" t="s">
        <v>567</v>
      </c>
      <c r="C91" s="6">
        <f>View_Table[[#This Row],[Rank Previous]]-View_Table[[#This Row],[Rank]]</f>
        <v>1</v>
      </c>
      <c r="D91" s="7">
        <f>_xlfn.RANK.EQ(View_Table[[#This Row],[Weighted Win%]], View_Table[Weighted Win%], 0)</f>
        <v>23</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24</v>
      </c>
    </row>
    <row r="92" spans="2:16" x14ac:dyDescent="0.45">
      <c r="B92" s="3" t="s">
        <v>519</v>
      </c>
      <c r="C92" s="6">
        <f>View_Table[[#This Row],[Rank Previous]]-View_Table[[#This Row],[Rank]]</f>
        <v>1</v>
      </c>
      <c r="D92" s="7">
        <f>_xlfn.RANK.EQ(View_Table[[#This Row],[Weighted Win%]], View_Table[Weighted Win%], 0)</f>
        <v>23</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0.15625</v>
      </c>
      <c r="G92" s="5">
        <f>IFERROR(
    GETPIVOTDATA(
        "Result",
        'Pivot Table'!$A$3,
        "Player",View_Table[[#This Row],[Player]],
        "Result","Win"
    ),
    0
)</f>
        <v>1</v>
      </c>
      <c r="H92" s="5">
        <f>IFERROR(
    GETPIVOTDATA(
        "Result",
        'Pivot Table'!$A$3,
        "Player",View_Table[[#This Row],[Player]],
        "Result","Loss"
    ),
    0
)</f>
        <v>6</v>
      </c>
      <c r="I92" s="5">
        <f>IFERROR(
    GETPIVOTDATA(
        "Result",
        'Pivot Table'!$A$3,
        "Player",View_Table[[#This Row],[Player]],
        "Result","Draw"
    ),
    0
)</f>
        <v>1</v>
      </c>
      <c r="J92" s="5">
        <f>View_Table[[#This Row],[Wins]]+View_Table[[#This Row],[Losses]]+View_Table[[#This Row],[Draws]]</f>
        <v>8</v>
      </c>
      <c r="K92" s="7">
        <f>IFERROR(
    GETPIVOTDATA(
        "Result",
        'Pivot Table Previous'!$A$3,
        "Player",View_Table[[#This Row],[Player]],
        "Result","Win"
    ),
    0
)</f>
        <v>1</v>
      </c>
      <c r="L92" s="5">
        <f>IFERROR(
    GETPIVOTDATA(
        "Result",
        'Pivot Table Previous'!$A$3,
        "Player",View_Table[[#This Row],[Player]],
        "Result","Loss"
    ),
    0
)</f>
        <v>6</v>
      </c>
      <c r="M92" s="5">
        <f>IFERROR(
    GETPIVOTDATA(
        "Result",
        'Pivot Table Previous'!$A$3,
        "Player",View_Table[[#This Row],[Player]],
        "Result","Draw"
    ),
    0
)</f>
        <v>1</v>
      </c>
      <c r="N92" s="5">
        <f>View_Table[[#This Row],[Wins Previous]]+View_Table[[#This Row],[Losses Previous]]+View_Table[[#This Row],[Draws Previous]]</f>
        <v>8</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24</v>
      </c>
    </row>
    <row r="93" spans="2:16" x14ac:dyDescent="0.45">
      <c r="B93" s="3" t="s">
        <v>13</v>
      </c>
      <c r="C93" s="6">
        <f>View_Table[[#This Row],[Rank Previous]]-View_Table[[#This Row],[Rank]]</f>
        <v>-4</v>
      </c>
      <c r="D93" s="7">
        <f>_xlfn.RANK.EQ(View_Table[[#This Row],[Weighted Win%]], View_Table[Weighted Win%], 0)</f>
        <v>28</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0.2</v>
      </c>
      <c r="G93" s="5">
        <f>IFERROR(
    GETPIVOTDATA(
        "Result",
        'Pivot Table'!$A$3,
        "Player",View_Table[[#This Row],[Player]],
        "Result","Win"
    ),
    0
)</f>
        <v>2</v>
      </c>
      <c r="H93" s="5">
        <f>IFERROR(
    GETPIVOTDATA(
        "Result",
        'Pivot Table'!$A$3,
        "Player",View_Table[[#This Row],[Player]],
        "Result","Loss"
    ),
    0
)</f>
        <v>10</v>
      </c>
      <c r="I93" s="5">
        <f>IFERROR(
    GETPIVOTDATA(
        "Result",
        'Pivot Table'!$A$3,
        "Player",View_Table[[#This Row],[Player]],
        "Result","Draw"
    ),
    0
)</f>
        <v>8</v>
      </c>
      <c r="J93" s="5">
        <f>View_Table[[#This Row],[Wins]]+View_Table[[#This Row],[Losses]]+View_Table[[#This Row],[Draws]]</f>
        <v>20</v>
      </c>
      <c r="K93" s="5">
        <f>IFERROR(
    GETPIVOTDATA(
        "Result",
        'Pivot Table Previous'!$A$3,
        "Player",View_Table[[#This Row],[Player]],
        "Result","Win"
    ),
    0
)</f>
        <v>2</v>
      </c>
      <c r="L93" s="5">
        <f>IFERROR(
    GETPIVOTDATA(
        "Result",
        'Pivot Table Previous'!$A$3,
        "Player",View_Table[[#This Row],[Player]],
        "Result","Loss"
    ),
    0
)</f>
        <v>9</v>
      </c>
      <c r="M93" s="5">
        <f>IFERROR(
    GETPIVOTDATA(
        "Result",
        'Pivot Table Previous'!$A$3,
        "Player",View_Table[[#This Row],[Player]],
        "Result","Draw"
    ),
    0
)</f>
        <v>7</v>
      </c>
      <c r="N93" s="5">
        <f>View_Table[[#This Row],[Wins Previous]]+View_Table[[#This Row],[Losses Previous]]+View_Table[[#This Row],[Draws Previous]]</f>
        <v>18</v>
      </c>
      <c r="O93" s="9">
        <f>_xlfn.LET(_xlpm.g,View_Table[[#This Row],[Games Previous]], _xlpm.w,(View_Table[[#This Row],[Wins Previous]] + View_Table[[#This Row],[Draws Previous]] * 0.25), _xlpm.fake, MAX(0,25-_xlpm.g), IF(_xlpm.g=0,0,(_xlpm.w + _xlpm.fake*0.25)/(_xlpm.g + _xlpm.fake)))</f>
        <v>0.22</v>
      </c>
      <c r="P93" s="7">
        <f>IF(View_Table[[#This Row],[Games Previous]]=0,
    View_Table[[#This Row],[Rank]],
    _xlfn.RANK.EQ(View_Table[[#This Row],[Weighted Win% Previous]], View_Table[Weighted Win% Previous], 0)
)</f>
        <v>24</v>
      </c>
    </row>
    <row r="94" spans="2:16" hidden="1" x14ac:dyDescent="0.45">
      <c r="B94" s="3" t="s">
        <v>606</v>
      </c>
      <c r="C94" s="6">
        <f>View_Table[[#This Row],[Rank Previous]]-View_Table[[#This Row],[Rank]]</f>
        <v>-1</v>
      </c>
      <c r="D94" s="7">
        <f>_xlfn.RANK.EQ(View_Table[[#This Row],[Weighted Win%]], View_Table[Weighted Win%], 0)</f>
        <v>36</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35</v>
      </c>
    </row>
    <row r="95" spans="2:16" x14ac:dyDescent="0.45">
      <c r="B95" s="3" t="s">
        <v>540</v>
      </c>
      <c r="C95" s="6">
        <f>View_Table[[#This Row],[Rank Previous]]-View_Table[[#This Row],[Rank]]</f>
        <v>0</v>
      </c>
      <c r="D95" s="7">
        <f>_xlfn.RANK.EQ(View_Table[[#This Row],[Weighted Win%]], View_Table[Weighted Win%], 0)</f>
        <v>28</v>
      </c>
      <c r="E95" s="9">
        <f>_xlfn.LET(_xlpm.g,View_Table[[#This Row],[Games]], _xlpm.w,(View_Table[[#This Row],[Wins]] + View_Table[[#This Row],[Draws]] * 0.25), _xlpm.fake, MAX(0,25-_xlpm.g), IF(_xlpm.g=0,0,(_xlpm.w + _xlpm.fake*0.25)/(_xlpm.g + _xlpm.fake)))</f>
        <v>0.21</v>
      </c>
      <c r="F95" s="8">
        <f>IF(View_Table[[#This Row],[Games]]=0,0,(View_Table[[#This Row],[Wins]] + (View_Table[[#This Row],[Draws]] * 0.25))/View_Table[[#This Row],[Games]])</f>
        <v>8.3333333333333329E-2</v>
      </c>
      <c r="G95" s="5">
        <f>IFERROR(
    GETPIVOTDATA(
        "Result",
        'Pivot Table'!$A$3,
        "Player",View_Table[[#This Row],[Player]],
        "Result","Win"
    ),
    0
)</f>
        <v>0</v>
      </c>
      <c r="H95" s="5">
        <f>IFERROR(
    GETPIVOTDATA(
        "Result",
        'Pivot Table'!$A$3,
        "Player",View_Table[[#This Row],[Player]],
        "Result","Loss"
    ),
    0
)</f>
        <v>4</v>
      </c>
      <c r="I95" s="5">
        <f>IFERROR(
    GETPIVOTDATA(
        "Result",
        'Pivot Table'!$A$3,
        "Player",View_Table[[#This Row],[Player]],
        "Result","Draw"
    ),
    0
)</f>
        <v>2</v>
      </c>
      <c r="J95" s="5">
        <f>View_Table[[#This Row],[Wins]]+View_Table[[#This Row],[Losses]]+View_Table[[#This Row],[Draws]]</f>
        <v>6</v>
      </c>
      <c r="K95" s="7">
        <f>IFERROR(
    GETPIVOTDATA(
        "Result",
        'Pivot Table Previous'!$A$3,
        "Player",View_Table[[#This Row],[Player]],
        "Result","Win"
    ),
    0
)</f>
        <v>0</v>
      </c>
      <c r="L95" s="5">
        <f>IFERROR(
    GETPIVOTDATA(
        "Result",
        'Pivot Table Previous'!$A$3,
        "Player",View_Table[[#This Row],[Player]],
        "Result","Loss"
    ),
    0
)</f>
        <v>4</v>
      </c>
      <c r="M95" s="5">
        <f>IFERROR(
    GETPIVOTDATA(
        "Result",
        'Pivot Table Previous'!$A$3,
        "Player",View_Table[[#This Row],[Player]],
        "Result","Draw"
    ),
    0
)</f>
        <v>2</v>
      </c>
      <c r="N95" s="5">
        <f>View_Table[[#This Row],[Wins Previous]]+View_Table[[#This Row],[Losses Previous]]+View_Table[[#This Row],[Draws Previous]]</f>
        <v>6</v>
      </c>
      <c r="O95" s="9">
        <f>_xlfn.LET(_xlpm.g,View_Table[[#This Row],[Games Previous]], _xlpm.w,(View_Table[[#This Row],[Wins Previous]] + View_Table[[#This Row],[Draws Previous]] * 0.25), _xlpm.fake, MAX(0,25-_xlpm.g), IF(_xlpm.g=0,0,(_xlpm.w + _xlpm.fake*0.25)/(_xlpm.g + _xlpm.fake)))</f>
        <v>0.21</v>
      </c>
      <c r="P95" s="7">
        <f>_xlfn.RANK.EQ(View_Table[[#This Row],[Weighted Win% Previous]], View_Table[Weighted Win% Previous], 0)</f>
        <v>28</v>
      </c>
    </row>
    <row r="96" spans="2:16" x14ac:dyDescent="0.45">
      <c r="B96" s="3" t="s">
        <v>41</v>
      </c>
      <c r="C96" s="6">
        <f>View_Table[[#This Row],[Rank Previous]]-View_Table[[#This Row],[Rank]]</f>
        <v>-1</v>
      </c>
      <c r="D96" s="7">
        <f>_xlfn.RANK.EQ(View_Table[[#This Row],[Weighted Win%]], View_Table[Weighted Win%], 0)</f>
        <v>30</v>
      </c>
      <c r="E96" s="9">
        <f>_xlfn.LET(_xlpm.g,View_Table[[#This Row],[Games]], _xlpm.w,(View_Table[[#This Row],[Wins]] + View_Table[[#This Row],[Draws]] * 0.25), _xlpm.fake, MAX(0,25-_xlpm.g), IF(_xlpm.g=0,0,(_xlpm.w + _xlpm.fake*0.25)/(_xlpm.g + _xlpm.fake)))</f>
        <v>0.18</v>
      </c>
      <c r="F96" s="8">
        <f>IF(View_Table[[#This Row],[Games]]=0,0,(View_Table[[#This Row],[Wins]] + (View_Table[[#This Row],[Draws]] * 0.25))/View_Table[[#This Row],[Games]])</f>
        <v>0.10416666666666667</v>
      </c>
      <c r="G96" s="5">
        <f>IFERROR(
    GETPIVOTDATA(
        "Result",
        'Pivot Table'!$A$3,
        "Player",View_Table[[#This Row],[Player]],
        "Result","Win"
    ),
    0
)</f>
        <v>1</v>
      </c>
      <c r="H96" s="5">
        <f>IFERROR(
    GETPIVOTDATA(
        "Result",
        'Pivot Table'!$A$3,
        "Player",View_Table[[#This Row],[Player]],
        "Result","Loss"
    ),
    0
)</f>
        <v>10</v>
      </c>
      <c r="I96" s="5">
        <f>IFERROR(
    GETPIVOTDATA(
        "Result",
        'Pivot Table'!$A$3,
        "Player",View_Table[[#This Row],[Player]],
        "Result","Draw"
    ),
    0
)</f>
        <v>1</v>
      </c>
      <c r="J96" s="5">
        <f>View_Table[[#This Row],[Wins]]+View_Table[[#This Row],[Losses]]+View_Table[[#This Row],[Draws]]</f>
        <v>12</v>
      </c>
      <c r="K96" s="5">
        <f>IFERROR(
    GETPIVOTDATA(
        "Result",
        'Pivot Table Previous'!$A$3,
        "Player",View_Table[[#This Row],[Player]],
        "Result","Win"
    ),
    0
)</f>
        <v>1</v>
      </c>
      <c r="L96" s="5">
        <f>IFERROR(
    GETPIVOTDATA(
        "Result",
        'Pivot Table Previous'!$A$3,
        "Player",View_Table[[#This Row],[Player]],
        "Result","Loss"
    ),
    0
)</f>
        <v>10</v>
      </c>
      <c r="M96" s="5">
        <f>IFERROR(
    GETPIVOTDATA(
        "Result",
        'Pivot Table Previous'!$A$3,
        "Player",View_Table[[#This Row],[Player]],
        "Result","Draw"
    ),
    0
)</f>
        <v>1</v>
      </c>
      <c r="N96" s="5">
        <f>View_Table[[#This Row],[Wins Previous]]+View_Table[[#This Row],[Losses Previous]]+View_Table[[#This Row],[Draws Previous]]</f>
        <v>12</v>
      </c>
      <c r="O96" s="9">
        <f>_xlfn.LET(_xlpm.g,View_Table[[#This Row],[Games Previous]], _xlpm.w,(View_Table[[#This Row],[Wins Previous]] + View_Table[[#This Row],[Draws Previous]] * 0.25), _xlpm.fake, MAX(0,25-_xlpm.g), IF(_xlpm.g=0,0,(_xlpm.w + _xlpm.fake*0.25)/(_xlpm.g + _xlpm.fake)))</f>
        <v>0.18</v>
      </c>
      <c r="P96" s="7">
        <f>IF(View_Table[[#This Row],[Games Previous]]=0,
    View_Table[[#This Row],[Rank]],
    _xlfn.RANK.EQ(View_Table[[#This Row],[Weighted Win% Previous]], View_Table[Weighted Win% Previous], 0)
)</f>
        <v>29</v>
      </c>
    </row>
    <row r="97" spans="2:16" x14ac:dyDescent="0.45">
      <c r="B97" s="3" t="s">
        <v>14</v>
      </c>
      <c r="C97" s="6">
        <f>View_Table[[#This Row],[Rank Previous]]-View_Table[[#This Row],[Rank]]</f>
        <v>-1</v>
      </c>
      <c r="D97" s="7">
        <f>_xlfn.RANK.EQ(View_Table[[#This Row],[Weighted Win%]], View_Table[Weighted Win%], 0)</f>
        <v>30</v>
      </c>
      <c r="E97" s="9">
        <f>_xlfn.LET(_xlpm.g,View_Table[[#This Row],[Games]], _xlpm.w,(View_Table[[#This Row],[Wins]] + View_Table[[#This Row],[Draws]] * 0.25), _xlpm.fake, MAX(0,25-_xlpm.g), IF(_xlpm.g=0,0,(_xlpm.w + _xlpm.fake*0.25)/(_xlpm.g + _xlpm.fake)))</f>
        <v>0.18</v>
      </c>
      <c r="F97" s="8">
        <f>IF(View_Table[[#This Row],[Games]]=0,0,(View_Table[[#This Row],[Wins]] + (View_Table[[#This Row],[Draws]] * 0.25))/View_Table[[#This Row],[Games]])</f>
        <v>0.16250000000000001</v>
      </c>
      <c r="G97" s="5">
        <f>IFERROR(
    GETPIVOTDATA(
        "Result",
        'Pivot Table'!$A$3,
        "Player",View_Table[[#This Row],[Player]],
        "Result","Win"
    ),
    0
)</f>
        <v>1</v>
      </c>
      <c r="H97" s="5">
        <f>IFERROR(
    GETPIVOTDATA(
        "Result",
        'Pivot Table'!$A$3,
        "Player",View_Table[[#This Row],[Player]],
        "Result","Loss"
    ),
    0
)</f>
        <v>10</v>
      </c>
      <c r="I97" s="5">
        <f>IFERROR(
    GETPIVOTDATA(
        "Result",
        'Pivot Table'!$A$3,
        "Player",View_Table[[#This Row],[Player]],
        "Result","Draw"
    ),
    0
)</f>
        <v>9</v>
      </c>
      <c r="J97" s="5">
        <f>View_Table[[#This Row],[Wins]]+View_Table[[#This Row],[Losses]]+View_Table[[#This Row],[Draws]]</f>
        <v>20</v>
      </c>
      <c r="K97" s="5">
        <f>IFERROR(
    GETPIVOTDATA(
        "Result",
        'Pivot Table Previous'!$A$3,
        "Player",View_Table[[#This Row],[Player]],
        "Result","Win"
    ),
    0
)</f>
        <v>1</v>
      </c>
      <c r="L97" s="5">
        <f>IFERROR(
    GETPIVOTDATA(
        "Result",
        'Pivot Table Previous'!$A$3,
        "Player",View_Table[[#This Row],[Player]],
        "Result","Loss"
    ),
    0
)</f>
        <v>10</v>
      </c>
      <c r="M97" s="5">
        <f>IFERROR(
    GETPIVOTDATA(
        "Result",
        'Pivot Table Previous'!$A$3,
        "Player",View_Table[[#This Row],[Player]],
        "Result","Draw"
    ),
    0
)</f>
        <v>7</v>
      </c>
      <c r="N97" s="5">
        <f>View_Table[[#This Row],[Wins Previous]]+View_Table[[#This Row],[Losses Previous]]+View_Table[[#This Row],[Draws Previous]]</f>
        <v>18</v>
      </c>
      <c r="O97" s="9">
        <f>_xlfn.LET(_xlpm.g,View_Table[[#This Row],[Games Previous]], _xlpm.w,(View_Table[[#This Row],[Wins Previous]] + View_Table[[#This Row],[Draws Previous]] * 0.25), _xlpm.fake, MAX(0,25-_xlpm.g), IF(_xlpm.g=0,0,(_xlpm.w + _xlpm.fake*0.25)/(_xlpm.g + _xlpm.fake)))</f>
        <v>0.18</v>
      </c>
      <c r="P97" s="7">
        <f>IF(View_Table[[#This Row],[Games Previous]]=0,
    View_Table[[#This Row],[Rank]],
    _xlfn.RANK.EQ(View_Table[[#This Row],[Weighted Win% Previous]], View_Table[Weighted Win% Previous], 0)
)</f>
        <v>29</v>
      </c>
    </row>
    <row r="98" spans="2:16" x14ac:dyDescent="0.45">
      <c r="B98" s="3" t="s">
        <v>433</v>
      </c>
      <c r="C98" s="6">
        <f>View_Table[[#This Row],[Rank Previous]]-View_Table[[#This Row],[Rank]]</f>
        <v>-1</v>
      </c>
      <c r="D98" s="7">
        <f>_xlfn.RANK.EQ(View_Table[[#This Row],[Weighted Win%]], View_Table[Weighted Win%], 0)</f>
        <v>30</v>
      </c>
      <c r="E98" s="9">
        <f>_xlfn.LET(_xlpm.g,View_Table[[#This Row],[Games]], _xlpm.w,(View_Table[[#This Row],[Wins]] + View_Table[[#This Row],[Draws]] * 0.25), _xlpm.fake, MAX(0,25-_xlpm.g), IF(_xlpm.g=0,0,(_xlpm.w + _xlpm.fake*0.25)/(_xlpm.g + _xlpm.fake)))</f>
        <v>0.18</v>
      </c>
      <c r="F98" s="8">
        <f>IF(View_Table[[#This Row],[Games]]=0,0,(View_Table[[#This Row],[Wins]] + (View_Table[[#This Row],[Draws]] * 0.25))/View_Table[[#This Row],[Games]])</f>
        <v>7.4999999999999997E-2</v>
      </c>
      <c r="G98" s="5">
        <f>IFERROR(
    GETPIVOTDATA(
        "Result",
        'Pivot Table'!$A$3,
        "Player",View_Table[[#This Row],[Player]],
        "Result","Win"
    ),
    0
)</f>
        <v>0</v>
      </c>
      <c r="H98" s="5">
        <f>IFERROR(
    GETPIVOTDATA(
        "Result",
        'Pivot Table'!$A$3,
        "Player",View_Table[[#This Row],[Player]],
        "Result","Loss"
    ),
    0
)</f>
        <v>7</v>
      </c>
      <c r="I98" s="5">
        <f>IFERROR(
    GETPIVOTDATA(
        "Result",
        'Pivot Table'!$A$3,
        "Player",View_Table[[#This Row],[Player]],
        "Result","Draw"
    ),
    0
)</f>
        <v>3</v>
      </c>
      <c r="J98" s="5">
        <f>View_Table[[#This Row],[Wins]]+View_Table[[#This Row],[Losses]]+View_Table[[#This Row],[Draws]]</f>
        <v>10</v>
      </c>
      <c r="K98" s="7">
        <f>IFERROR(
    GETPIVOTDATA(
        "Result",
        'Pivot Table Previous'!$A$3,
        "Player",View_Table[[#This Row],[Player]],
        "Result","Win"
    ),
    0
)</f>
        <v>0</v>
      </c>
      <c r="L98" s="5">
        <f>IFERROR(
    GETPIVOTDATA(
        "Result",
        'Pivot Table Previous'!$A$3,
        "Player",View_Table[[#This Row],[Player]],
        "Result","Loss"
    ),
    0
)</f>
        <v>7</v>
      </c>
      <c r="M98" s="5">
        <f>IFERROR(
    GETPIVOTDATA(
        "Result",
        'Pivot Table Previous'!$A$3,
        "Player",View_Table[[#This Row],[Player]],
        "Result","Draw"
    ),
    0
)</f>
        <v>3</v>
      </c>
      <c r="N98" s="5">
        <f>View_Table[[#This Row],[Wins Previous]]+View_Table[[#This Row],[Losses Previous]]+View_Table[[#This Row],[Draws Previous]]</f>
        <v>10</v>
      </c>
      <c r="O98" s="9">
        <f>_xlfn.LET(_xlpm.g,View_Table[[#This Row],[Games Previous]], _xlpm.w,(View_Table[[#This Row],[Wins Previous]] + View_Table[[#This Row],[Draws Previous]] * 0.25), _xlpm.fake, MAX(0,25-_xlpm.g), IF(_xlpm.g=0,0,(_xlpm.w + _xlpm.fake*0.25)/(_xlpm.g + _xlpm.fake)))</f>
        <v>0.18</v>
      </c>
      <c r="P98" s="7">
        <f>_xlfn.RANK.EQ(View_Table[[#This Row],[Weighted Win% Previous]], View_Table[Weighted Win% Previous], 0)</f>
        <v>29</v>
      </c>
    </row>
    <row r="99" spans="2:16" x14ac:dyDescent="0.45">
      <c r="B99" s="3" t="s">
        <v>609</v>
      </c>
      <c r="C99" s="6">
        <f>View_Table[[#This Row],[Rank Previous]]-View_Table[[#This Row],[Rank]]</f>
        <v>-4</v>
      </c>
      <c r="D99" s="7">
        <f>_xlfn.RANK.EQ(View_Table[[#This Row],[Weighted Win%]], View_Table[Weighted Win%], 0)</f>
        <v>33</v>
      </c>
      <c r="E99" s="9">
        <f>_xlfn.LET(_xlpm.g,View_Table[[#This Row],[Games]], _xlpm.w,(View_Table[[#This Row],[Wins]] + View_Table[[#This Row],[Draws]] * 0.25), _xlpm.fake, MAX(0,25-_xlpm.g), IF(_xlpm.g=0,0,(_xlpm.w + _xlpm.fake*0.25)/(_xlpm.g + _xlpm.fake)))</f>
        <v>0.17</v>
      </c>
      <c r="F99" s="8">
        <f>IF(View_Table[[#This Row],[Games]]=0,0,(View_Table[[#This Row],[Wins]] + (View_Table[[#This Row],[Draws]] * 0.25))/View_Table[[#This Row],[Games]])</f>
        <v>8.3333333333333329E-2</v>
      </c>
      <c r="G99" s="5">
        <f>IFERROR(
    GETPIVOTDATA(
        "Result",
        'Pivot Table'!$A$3,
        "Player",View_Table[[#This Row],[Player]],
        "Result","Win"
    ),
    0
)</f>
        <v>0</v>
      </c>
      <c r="H99" s="5">
        <f>IFERROR(
    GETPIVOTDATA(
        "Result",
        'Pivot Table'!$A$3,
        "Player",View_Table[[#This Row],[Player]],
        "Result","Loss"
    ),
    0
)</f>
        <v>8</v>
      </c>
      <c r="I99" s="5">
        <f>IFERROR(
    GETPIVOTDATA(
        "Result",
        'Pivot Table'!$A$3,
        "Player",View_Table[[#This Row],[Player]],
        "Result","Draw"
    ),
    0
)</f>
        <v>4</v>
      </c>
      <c r="J99" s="5">
        <f>View_Table[[#This Row],[Wins]]+View_Table[[#This Row],[Losses]]+View_Table[[#This Row],[Draws]]</f>
        <v>12</v>
      </c>
      <c r="K99" s="7">
        <f>IFERROR(
    GETPIVOTDATA(
        "Result",
        'Pivot Table Previous'!$A$3,
        "Player",View_Table[[#This Row],[Player]],
        "Result","Win"
    ),
    0
)</f>
        <v>0</v>
      </c>
      <c r="L99" s="5">
        <f>IFERROR(
    GETPIVOTDATA(
        "Result",
        'Pivot Table Previous'!$A$3,
        "Player",View_Table[[#This Row],[Player]],
        "Result","Loss"
    ),
    0
)</f>
        <v>7</v>
      </c>
      <c r="M99" s="5">
        <f>IFERROR(
    GETPIVOTDATA(
        "Result",
        'Pivot Table Previous'!$A$3,
        "Player",View_Table[[#This Row],[Player]],
        "Result","Draw"
    ),
    0
)</f>
        <v>3</v>
      </c>
      <c r="N99" s="5">
        <f>View_Table[[#This Row],[Wins Previous]]+View_Table[[#This Row],[Losses Previous]]+View_Table[[#This Row],[Draws Previous]]</f>
        <v>10</v>
      </c>
      <c r="O99" s="9">
        <f>_xlfn.LET(_xlpm.g,View_Table[[#This Row],[Games Previous]], _xlpm.w,(View_Table[[#This Row],[Wins Previous]] + View_Table[[#This Row],[Draws Previous]] * 0.25), _xlpm.fake, MAX(0,25-_xlpm.g), IF(_xlpm.g=0,0,(_xlpm.w + _xlpm.fake*0.25)/(_xlpm.g + _xlpm.fake)))</f>
        <v>0.18</v>
      </c>
      <c r="P99" s="7">
        <f>_xlfn.RANK.EQ(View_Table[[#This Row],[Weighted Win% Previous]], View_Table[Weighted Win% Previous], 0)</f>
        <v>29</v>
      </c>
    </row>
    <row r="100" spans="2:16" hidden="1" x14ac:dyDescent="0.45">
      <c r="B100" s="3" t="s">
        <v>436</v>
      </c>
      <c r="C100" s="6">
        <f>View_Table[[#This Row],[Rank Previous]]-View_Table[[#This Row],[Rank]]</f>
        <v>-1</v>
      </c>
      <c r="D100" s="7">
        <f>_xlfn.RANK.EQ(View_Table[[#This Row],[Weighted Win%]], View_Table[Weighted Win%], 0)</f>
        <v>36</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35</v>
      </c>
    </row>
    <row r="101" spans="2:16" hidden="1" x14ac:dyDescent="0.45">
      <c r="B101" s="3" t="s">
        <v>363</v>
      </c>
      <c r="C101" s="6">
        <f>View_Table[[#This Row],[Rank Previous]]-View_Table[[#This Row],[Rank]]</f>
        <v>-1</v>
      </c>
      <c r="D101" s="7">
        <f>_xlfn.RANK.EQ(View_Table[[#This Row],[Weighted Win%]], View_Table[Weighted Win%], 0)</f>
        <v>36</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35</v>
      </c>
    </row>
    <row r="102" spans="2:16" hidden="1" x14ac:dyDescent="0.45">
      <c r="B102" s="3" t="s">
        <v>52</v>
      </c>
      <c r="C102" s="6">
        <f>View_Table[[#This Row],[Rank Previous]]-View_Table[[#This Row],[Rank]]</f>
        <v>-1</v>
      </c>
      <c r="D102" s="7">
        <f>_xlfn.RANK.EQ(View_Table[[#This Row],[Weighted Win%]], View_Table[Weighted Win%], 0)</f>
        <v>36</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35</v>
      </c>
    </row>
    <row r="103" spans="2:16" x14ac:dyDescent="0.45">
      <c r="B103" s="3" t="s">
        <v>51</v>
      </c>
      <c r="C103" s="6">
        <f>View_Table[[#This Row],[Rank Previous]]-View_Table[[#This Row],[Rank]]</f>
        <v>-4</v>
      </c>
      <c r="D103" s="7">
        <f>_xlfn.RANK.EQ(View_Table[[#This Row],[Weighted Win%]], View_Table[Weighted Win%], 0)</f>
        <v>33</v>
      </c>
      <c r="E103" s="9">
        <f>_xlfn.LET(_xlpm.g,View_Table[[#This Row],[Games]], _xlpm.w,(View_Table[[#This Row],[Wins]] + View_Table[[#This Row],[Draws]] * 0.25), _xlpm.fake, MAX(0,25-_xlpm.g), IF(_xlpm.g=0,0,(_xlpm.w + _xlpm.fake*0.25)/(_xlpm.g + _xlpm.fake)))</f>
        <v>0.17</v>
      </c>
      <c r="F103" s="8">
        <f>IF(View_Table[[#This Row],[Games]]=0,0,(View_Table[[#This Row],[Wins]] + (View_Table[[#This Row],[Draws]] * 0.25))/View_Table[[#This Row],[Games]])</f>
        <v>0.10714285714285714</v>
      </c>
      <c r="G103" s="5">
        <f>IFERROR(
    GETPIVOTDATA(
        "Result",
        'Pivot Table'!$A$3,
        "Player",View_Table[[#This Row],[Player]],
        "Result","Win"
    ),
    0
)</f>
        <v>0</v>
      </c>
      <c r="H103" s="5">
        <f>IFERROR(
    GETPIVOTDATA(
        "Result",
        'Pivot Table'!$A$3,
        "Player",View_Table[[#This Row],[Player]],
        "Result","Loss"
    ),
    0
)</f>
        <v>8</v>
      </c>
      <c r="I103" s="5">
        <f>IFERROR(
    GETPIVOTDATA(
        "Result",
        'Pivot Table'!$A$3,
        "Player",View_Table[[#This Row],[Player]],
        "Result","Draw"
    ),
    0
)</f>
        <v>6</v>
      </c>
      <c r="J103" s="5">
        <f>View_Table[[#This Row],[Wins]]+View_Table[[#This Row],[Losses]]+View_Table[[#This Row],[Draws]]</f>
        <v>14</v>
      </c>
      <c r="K103" s="7">
        <f>IFERROR(
    GETPIVOTDATA(
        "Result",
        'Pivot Table Previous'!$A$3,
        "Player",View_Table[[#This Row],[Player]],
        "Result","Win"
    ),
    0
)</f>
        <v>0</v>
      </c>
      <c r="L103" s="5">
        <f>IFERROR(
    GETPIVOTDATA(
        "Result",
        'Pivot Table Previous'!$A$3,
        "Player",View_Table[[#This Row],[Player]],
        "Result","Loss"
    ),
    0
)</f>
        <v>7</v>
      </c>
      <c r="M103" s="5">
        <f>IFERROR(
    GETPIVOTDATA(
        "Result",
        'Pivot Table Previous'!$A$3,
        "Player",View_Table[[#This Row],[Player]],
        "Result","Draw"
    ),
    0
)</f>
        <v>5</v>
      </c>
      <c r="N103" s="5">
        <f>View_Table[[#This Row],[Wins Previous]]+View_Table[[#This Row],[Losses Previous]]+View_Table[[#This Row],[Draws Previous]]</f>
        <v>12</v>
      </c>
      <c r="O103" s="9">
        <f>_xlfn.LET(_xlpm.g,View_Table[[#This Row],[Games Previous]], _xlpm.w,(View_Table[[#This Row],[Wins Previous]] + View_Table[[#This Row],[Draws Previous]] * 0.25), _xlpm.fake, MAX(0,25-_xlpm.g), IF(_xlpm.g=0,0,(_xlpm.w + _xlpm.fake*0.25)/(_xlpm.g + _xlpm.fake)))</f>
        <v>0.18</v>
      </c>
      <c r="P103" s="7">
        <f>_xlfn.RANK.EQ(View_Table[[#This Row],[Weighted Win% Previous]], View_Table[Weighted Win% Previous], 0)</f>
        <v>29</v>
      </c>
    </row>
    <row r="104" spans="2:16" hidden="1" x14ac:dyDescent="0.45">
      <c r="B104" s="3" t="s">
        <v>465</v>
      </c>
      <c r="C104" s="6">
        <f>View_Table[[#This Row],[Rank Previous]]-View_Table[[#This Row],[Rank]]</f>
        <v>-1</v>
      </c>
      <c r="D104" s="7">
        <f>_xlfn.RANK.EQ(View_Table[[#This Row],[Weighted Win%]], View_Table[Weighted Win%], 0)</f>
        <v>36</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35</v>
      </c>
    </row>
    <row r="105" spans="2:16" x14ac:dyDescent="0.45">
      <c r="B105" s="3" t="s">
        <v>10</v>
      </c>
      <c r="C105" s="6">
        <f>View_Table[[#This Row],[Rank Previous]]-View_Table[[#This Row],[Rank]]</f>
        <v>-4</v>
      </c>
      <c r="D105" s="7">
        <f>_xlfn.RANK.EQ(View_Table[[#This Row],[Weighted Win%]], View_Table[Weighted Win%], 0)</f>
        <v>33</v>
      </c>
      <c r="E105" s="9">
        <f>_xlfn.LET(_xlpm.g,View_Table[[#This Row],[Games]], _xlpm.w,(View_Table[[#This Row],[Wins]] + View_Table[[#This Row],[Draws]] * 0.25), _xlpm.fake, MAX(0,25-_xlpm.g), IF(_xlpm.g=0,0,(_xlpm.w + _xlpm.fake*0.25)/(_xlpm.g + _xlpm.fake)))</f>
        <v>0.17</v>
      </c>
      <c r="F105" s="8">
        <f>IF(View_Table[[#This Row],[Games]]=0,0,(View_Table[[#This Row],[Wins]] + (View_Table[[#This Row],[Draws]] * 0.25))/View_Table[[#This Row],[Games]])</f>
        <v>0.10714285714285714</v>
      </c>
      <c r="G105" s="5">
        <f>IFERROR(
    GETPIVOTDATA(
        "Result",
        'Pivot Table'!$A$3,
        "Player",View_Table[[#This Row],[Player]],
        "Result","Win"
    ),
    0
)</f>
        <v>0</v>
      </c>
      <c r="H105" s="5">
        <f>IFERROR(
    GETPIVOTDATA(
        "Result",
        'Pivot Table'!$A$3,
        "Player",View_Table[[#This Row],[Player]],
        "Result","Loss"
    ),
    0
)</f>
        <v>8</v>
      </c>
      <c r="I105" s="5">
        <f>IFERROR(
    GETPIVOTDATA(
        "Result",
        'Pivot Table'!$A$3,
        "Player",View_Table[[#This Row],[Player]],
        "Result","Draw"
    ),
    0
)</f>
        <v>6</v>
      </c>
      <c r="J105" s="5">
        <f>View_Table[[#This Row],[Wins]]+View_Table[[#This Row],[Losses]]+View_Table[[#This Row],[Draws]]</f>
        <v>14</v>
      </c>
      <c r="K105" s="7">
        <f>IFERROR(
    GETPIVOTDATA(
        "Result",
        'Pivot Table Previous'!$A$3,
        "Player",View_Table[[#This Row],[Player]],
        "Result","Win"
    ),
    0
)</f>
        <v>0</v>
      </c>
      <c r="L105" s="5">
        <f>IFERROR(
    GETPIVOTDATA(
        "Result",
        'Pivot Table Previous'!$A$3,
        "Player",View_Table[[#This Row],[Player]],
        "Result","Loss"
    ),
    0
)</f>
        <v>7</v>
      </c>
      <c r="M105" s="5">
        <f>IFERROR(
    GETPIVOTDATA(
        "Result",
        'Pivot Table Previous'!$A$3,
        "Player",View_Table[[#This Row],[Player]],
        "Result","Draw"
    ),
    0
)</f>
        <v>5</v>
      </c>
      <c r="N105" s="5">
        <f>View_Table[[#This Row],[Wins Previous]]+View_Table[[#This Row],[Losses Previous]]+View_Table[[#This Row],[Draws Previous]]</f>
        <v>12</v>
      </c>
      <c r="O105" s="9">
        <f>_xlfn.LET(_xlpm.g,View_Table[[#This Row],[Games Previous]], _xlpm.w,(View_Table[[#This Row],[Wins Previous]] + View_Table[[#This Row],[Draws Previous]] * 0.25), _xlpm.fake, MAX(0,25-_xlpm.g), IF(_xlpm.g=0,0,(_xlpm.w + _xlpm.fake*0.25)/(_xlpm.g + _xlpm.fake)))</f>
        <v>0.18</v>
      </c>
      <c r="P105" s="7">
        <f>_xlfn.RANK.EQ(View_Table[[#This Row],[Weighted Win% Previous]], View_Table[Weighted Win% Previous], 0)</f>
        <v>29</v>
      </c>
    </row>
  </sheetData>
  <phoneticPr fontId="4" type="noConversion"/>
  <conditionalFormatting sqref="J5:J105">
    <cfRule type="colorScale" priority="1904">
      <colorScale>
        <cfvo type="min"/>
        <cfvo type="percentile" val="50"/>
        <cfvo type="num" val="25"/>
        <color rgb="FFF8696B"/>
        <color rgb="FFFFEB84"/>
        <color rgb="FF63BE7B"/>
      </colorScale>
    </cfRule>
  </conditionalFormatting>
  <conditionalFormatting sqref="D5:D105">
    <cfRule type="top10" dxfId="11" priority="1905" bottom="1" rank="5"/>
    <cfRule type="cellIs" dxfId="10" priority="1906" operator="between">
      <formula>1</formula>
      <formula>16</formula>
    </cfRule>
    <cfRule type="top10" dxfId="9" priority="1907" bottom="1" rank="1"/>
  </conditionalFormatting>
  <conditionalFormatting sqref="G5:G105">
    <cfRule type="colorScale" priority="1908">
      <colorScale>
        <cfvo type="min"/>
        <cfvo type="percentile" val="70"/>
        <cfvo type="max"/>
        <color rgb="FFFF6600"/>
        <color theme="9" tint="0.59999389629810485"/>
        <color theme="9" tint="0.39997558519241921"/>
      </colorScale>
    </cfRule>
  </conditionalFormatting>
  <conditionalFormatting sqref="H5:H105">
    <cfRule type="colorScale" priority="1909">
      <colorScale>
        <cfvo type="min"/>
        <cfvo type="percentile" val="90"/>
        <cfvo type="max"/>
        <color theme="9" tint="0.59999389629810485"/>
        <color theme="9" tint="0.79998168889431442"/>
        <color rgb="FFFF6600"/>
      </colorScale>
    </cfRule>
  </conditionalFormatting>
  <conditionalFormatting sqref="F5:F105">
    <cfRule type="colorScale" priority="1910">
      <colorScale>
        <cfvo type="min"/>
        <cfvo type="num" val="0.25"/>
        <cfvo type="max"/>
        <color rgb="FFF8696B"/>
        <color theme="9" tint="0.59999389629810485"/>
        <color rgb="FF00B050"/>
      </colorScale>
    </cfRule>
  </conditionalFormatting>
  <conditionalFormatting sqref="I5:I105">
    <cfRule type="colorScale" priority="1911">
      <colorScale>
        <cfvo type="min"/>
        <cfvo type="max"/>
        <color theme="9" tint="0.79998168889431442"/>
        <color rgb="FFBF95DF"/>
      </colorScale>
    </cfRule>
  </conditionalFormatting>
  <conditionalFormatting sqref="N5:N105">
    <cfRule type="colorScale" priority="1912">
      <colorScale>
        <cfvo type="min"/>
        <cfvo type="percentile" val="50"/>
        <cfvo type="num" val="25"/>
        <color rgb="FFF8696B"/>
        <color rgb="FFFFEB84"/>
        <color rgb="FF63BE7B"/>
      </colorScale>
    </cfRule>
  </conditionalFormatting>
  <conditionalFormatting sqref="L5:L105">
    <cfRule type="colorScale" priority="1913">
      <colorScale>
        <cfvo type="min"/>
        <cfvo type="percentile" val="90"/>
        <cfvo type="max"/>
        <color theme="9" tint="0.59999389629810485"/>
        <color theme="9" tint="0.79998168889431442"/>
        <color rgb="FFFF6600"/>
      </colorScale>
    </cfRule>
  </conditionalFormatting>
  <conditionalFormatting sqref="M5:M105">
    <cfRule type="colorScale" priority="1914">
      <colorScale>
        <cfvo type="min"/>
        <cfvo type="max"/>
        <color theme="9" tint="0.79998168889431442"/>
        <color rgb="FFBF95DF"/>
      </colorScale>
    </cfRule>
  </conditionalFormatting>
  <conditionalFormatting sqref="K5:K105">
    <cfRule type="colorScale" priority="1915">
      <colorScale>
        <cfvo type="min"/>
        <cfvo type="percentile" val="70"/>
        <cfvo type="max"/>
        <color rgb="FFFF6600"/>
        <color theme="9" tint="0.59999389629810485"/>
        <color theme="9" tint="0.39997558519241921"/>
      </colorScale>
    </cfRule>
  </conditionalFormatting>
  <conditionalFormatting sqref="P5:P105">
    <cfRule type="top10" dxfId="8" priority="1916" bottom="1" rank="5"/>
    <cfRule type="top10" dxfId="7" priority="1917"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18" id="{00000000-000E-0000-0000-00007B020000}">
            <x14:colorScale>
              <x14:cfvo type="min"/>
              <x14:cfvo type="num">
                <xm:f>'View Seat Breakdown'!$C$3</xm:f>
              </x14:cfvo>
              <x14:cfvo type="max"/>
              <x14:color rgb="FFF8696B"/>
              <x14:color theme="9" tint="0.59999389629810485"/>
              <x14:color rgb="FF00B050"/>
            </x14:colorScale>
          </x14:cfRule>
          <xm:sqref>E5:E105</xm:sqref>
        </x14:conditionalFormatting>
        <x14:conditionalFormatting xmlns:xm="http://schemas.microsoft.com/office/excel/2006/main">
          <x14:cfRule type="iconSet" priority="1919" id="{16A40A27-C7F5-4E84-A0E6-22C4B34B531E}">
            <x14:iconSet iconSet="3Triangles">
              <x14:cfvo type="percent">
                <xm:f>0</xm:f>
              </x14:cfvo>
              <x14:cfvo type="num">
                <xm:f>0</xm:f>
              </x14:cfvo>
              <x14:cfvo type="num" gte="0">
                <xm:f>0</xm:f>
              </x14:cfvo>
            </x14:iconSet>
          </x14:cfRule>
          <xm:sqref>C5:C105</xm:sqref>
        </x14:conditionalFormatting>
        <x14:conditionalFormatting xmlns:xm="http://schemas.microsoft.com/office/excel/2006/main">
          <x14:cfRule type="colorScale" priority="1920" id="{46B5CD88-04B4-4451-8ECD-6B50FDADDCF8}">
            <x14:colorScale>
              <x14:cfvo type="min"/>
              <x14:cfvo type="num">
                <xm:f>'View Seat Breakdown'!$C$3</xm:f>
              </x14:cfvo>
              <x14:cfvo type="max"/>
              <x14:color rgb="FFF8696B"/>
              <x14:color theme="9" tint="0.59999389629810485"/>
              <x14:color rgb="FF00B050"/>
            </x14:colorScale>
          </x14:cfRule>
          <xm:sqref>O5:O105</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s="19">
        <v>63</v>
      </c>
      <c r="C6" s="19">
        <v>89</v>
      </c>
      <c r="D6" s="19">
        <v>5</v>
      </c>
      <c r="E6" s="19">
        <v>157</v>
      </c>
    </row>
    <row r="7" spans="1:5" x14ac:dyDescent="0.45">
      <c r="A7" s="3">
        <v>2</v>
      </c>
      <c r="B7" s="19">
        <v>37</v>
      </c>
      <c r="C7" s="19">
        <v>88</v>
      </c>
      <c r="D7" s="19">
        <v>6</v>
      </c>
      <c r="E7" s="19">
        <v>131</v>
      </c>
    </row>
    <row r="8" spans="1:5" x14ac:dyDescent="0.45">
      <c r="A8" s="3">
        <v>3</v>
      </c>
      <c r="B8" s="19">
        <v>36</v>
      </c>
      <c r="C8" s="19">
        <v>62</v>
      </c>
      <c r="D8" s="19">
        <v>6</v>
      </c>
      <c r="E8" s="19">
        <v>104</v>
      </c>
    </row>
    <row r="9" spans="1:5" x14ac:dyDescent="0.45">
      <c r="A9" s="3">
        <v>4</v>
      </c>
      <c r="B9" s="19"/>
      <c r="C9" s="19">
        <v>59</v>
      </c>
      <c r="D9" s="19">
        <v>6</v>
      </c>
      <c r="E9" s="19">
        <v>65</v>
      </c>
    </row>
    <row r="10" spans="1:5" x14ac:dyDescent="0.45">
      <c r="A10" s="3">
        <v>5</v>
      </c>
      <c r="B10" s="19"/>
      <c r="C10" s="19"/>
      <c r="D10" s="19">
        <v>6</v>
      </c>
      <c r="E10" s="19">
        <v>6</v>
      </c>
    </row>
    <row r="11" spans="1:5" x14ac:dyDescent="0.45">
      <c r="A11" s="3" t="s">
        <v>66</v>
      </c>
      <c r="B11" s="19"/>
      <c r="C11" s="19">
        <v>6</v>
      </c>
      <c r="D11" s="19"/>
      <c r="E11" s="19">
        <v>6</v>
      </c>
    </row>
    <row r="12" spans="1:5" x14ac:dyDescent="0.45">
      <c r="A12" s="3" t="s">
        <v>24</v>
      </c>
      <c r="B12" s="19">
        <v>136</v>
      </c>
      <c r="C12" s="19">
        <v>304</v>
      </c>
      <c r="D12" s="19">
        <v>29</v>
      </c>
      <c r="E12" s="19">
        <v>469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0.26828519855595667</v>
      </c>
    </row>
    <row r="4" spans="2:7" x14ac:dyDescent="0.45">
      <c r="B4" t="s">
        <v>2</v>
      </c>
      <c r="C4" t="s">
        <v>75</v>
      </c>
      <c r="D4" t="s">
        <v>70</v>
      </c>
      <c r="F4" t="s">
        <v>77</v>
      </c>
      <c r="G4" t="s">
        <v>34</v>
      </c>
    </row>
    <row r="5" spans="2:7" x14ac:dyDescent="0.45">
      <c r="B5">
        <v>1</v>
      </c>
      <c r="C5">
        <f>GETPIVOTDATA("Result",Seat_Order_Pivot!$A$3,"Seat",Table3[[#This Row],[Seat]],"Result","Win")</f>
        <v>157</v>
      </c>
      <c r="D5" s="4">
        <f>Table3[[#This Row],[Count Result]]/C13</f>
        <v>0.28339350180505413</v>
      </c>
      <c r="F5">
        <v>1</v>
      </c>
      <c r="G5" s="4">
        <f>GETPIVOTDATA("Result",pivot_seat_New!$A$5,"Seat",Table411[[#This Row],[3 pods]],"Pod Size",3)/C14</f>
        <v>0.4315068493150685</v>
      </c>
    </row>
    <row r="6" spans="2:7" x14ac:dyDescent="0.45">
      <c r="B6">
        <v>2</v>
      </c>
      <c r="C6">
        <f>GETPIVOTDATA("Result",Seat_Order_Pivot!$A$3,"Seat",Table3[[#This Row],[Seat]],"Result","Win")</f>
        <v>131</v>
      </c>
      <c r="D6" s="4">
        <f>Table3[[#This Row],[Count Result]]/C13</f>
        <v>0.23646209386281589</v>
      </c>
      <c r="F6">
        <v>2</v>
      </c>
      <c r="G6" s="4">
        <f>GETPIVOTDATA("Result",pivot_seat_New!$A$5,"Seat",Table411[[#This Row],[3 pods]],"Pod Size",3)/C14</f>
        <v>0.25342465753424659</v>
      </c>
    </row>
    <row r="7" spans="2:7" x14ac:dyDescent="0.45">
      <c r="B7">
        <v>3</v>
      </c>
      <c r="C7">
        <f>GETPIVOTDATA("Result",Seat_Order_Pivot!$A$3,"Seat",Table3[[#This Row],[Seat]],"Result","Win")</f>
        <v>104</v>
      </c>
      <c r="D7" s="4">
        <f>Table3[[#This Row],[Count Result]]/C13</f>
        <v>0.18772563176895307</v>
      </c>
      <c r="F7">
        <v>3</v>
      </c>
      <c r="G7" s="4">
        <f>GETPIVOTDATA("Result",pivot_seat_New!$A$5,"Seat",Table411[[#This Row],[3 pods]],"Pod Size",3)/C14</f>
        <v>0.24657534246575341</v>
      </c>
    </row>
    <row r="8" spans="2:7" x14ac:dyDescent="0.45">
      <c r="B8">
        <v>4</v>
      </c>
      <c r="C8">
        <f>GETPIVOTDATA("Result",Seat_Order_Pivot!$A$3,"Seat",Table3[[#This Row],[Seat]],"Result","Win")</f>
        <v>65</v>
      </c>
      <c r="D8" s="4">
        <f>Table3[[#This Row],[Count Result]]/(C15+C16)</f>
        <v>0.15931372549019607</v>
      </c>
      <c r="F8" t="s">
        <v>63</v>
      </c>
      <c r="G8" s="4">
        <f>1-G5-G6-G7</f>
        <v>6.8493150684931559E-2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91</v>
      </c>
      <c r="D10" s="4">
        <f>Table3[[#This Row],[Count Result]]/C13</f>
        <v>0.16425992779783394</v>
      </c>
      <c r="F10">
        <v>1</v>
      </c>
      <c r="G10" s="4">
        <f>GETPIVOTDATA("Result",pivot_seat_New!$A$5,"Seat",Table41112[[#This Row],[4 pods]],"Pod Size",4)/C15</f>
        <v>0.23607427055702918</v>
      </c>
    </row>
    <row r="11" spans="2:7" x14ac:dyDescent="0.45">
      <c r="F11">
        <v>2</v>
      </c>
      <c r="G11" s="4">
        <f>GETPIVOTDATA("Result",pivot_seat_New!$A$5,"Seat",Table41112[[#This Row],[4 pods]],"Pod Size",4)/C15</f>
        <v>0.23342175066312998</v>
      </c>
    </row>
    <row r="12" spans="2:7" x14ac:dyDescent="0.45">
      <c r="B12" t="s">
        <v>71</v>
      </c>
      <c r="C12" t="s">
        <v>69</v>
      </c>
      <c r="F12">
        <v>3</v>
      </c>
      <c r="G12" s="4">
        <f>GETPIVOTDATA("Result",pivot_seat_New!$A$5,"Seat",Table41112[[#This Row],[4 pods]],"Pod Size",4)/C15</f>
        <v>0.16445623342175067</v>
      </c>
    </row>
    <row r="13" spans="2:7" x14ac:dyDescent="0.45">
      <c r="B13" t="s">
        <v>68</v>
      </c>
      <c r="C13">
        <f>SUM(Table3[Count Result])</f>
        <v>554</v>
      </c>
      <c r="F13">
        <v>4</v>
      </c>
      <c r="G13" s="4">
        <f>GETPIVOTDATA("Result",pivot_seat_New!$A$5,"Seat",Table41112[[#This Row],[4 pods]],"Pod Size",4)/C15</f>
        <v>0.15649867374005305</v>
      </c>
    </row>
    <row r="14" spans="2:7" x14ac:dyDescent="0.45">
      <c r="B14" t="s">
        <v>72</v>
      </c>
      <c r="C14">
        <f>(C13)-((GETPIVOTDATA("Result",Seat_Order_Pivot!$A$3,"Seat",4,"Result","Win")) + (GETPIVOTDATA("Result",Seat_Order_Pivot!$A$3,"Seat",4,"Result","Loss")) + (GETPIVOTDATA("Result",Seat_Order_Pivot!$A$3,"Seat",4,"Result","Draw")))</f>
        <v>146</v>
      </c>
      <c r="F14" t="s">
        <v>63</v>
      </c>
      <c r="G14" s="4">
        <f>1-G11-G12-G13-G10</f>
        <v>0.20954907161803715</v>
      </c>
    </row>
    <row r="15" spans="2:7" x14ac:dyDescent="0.45">
      <c r="B15" t="s">
        <v>73</v>
      </c>
      <c r="C15">
        <f>C13-C14-C16</f>
        <v>377</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s="19">
        <v>91</v>
      </c>
      <c r="C3" s="19">
        <v>306</v>
      </c>
      <c r="D3" s="19">
        <v>157</v>
      </c>
      <c r="E3" s="19">
        <v>554</v>
      </c>
    </row>
    <row r="4" spans="1:5" x14ac:dyDescent="0.45">
      <c r="A4" s="3">
        <v>2</v>
      </c>
      <c r="B4" s="19">
        <v>90</v>
      </c>
      <c r="C4" s="19">
        <v>332</v>
      </c>
      <c r="D4" s="19">
        <v>131</v>
      </c>
      <c r="E4" s="19">
        <v>553</v>
      </c>
    </row>
    <row r="5" spans="1:5" x14ac:dyDescent="0.45">
      <c r="A5" s="3">
        <v>3</v>
      </c>
      <c r="B5" s="19">
        <v>91</v>
      </c>
      <c r="C5" s="19">
        <v>359</v>
      </c>
      <c r="D5" s="19">
        <v>104</v>
      </c>
      <c r="E5" s="19">
        <v>554</v>
      </c>
    </row>
    <row r="6" spans="1:5" x14ac:dyDescent="0.45">
      <c r="A6" s="3">
        <v>4</v>
      </c>
      <c r="B6" s="19">
        <v>81</v>
      </c>
      <c r="C6" s="19">
        <v>262</v>
      </c>
      <c r="D6" s="19">
        <v>65</v>
      </c>
      <c r="E6" s="19">
        <v>408</v>
      </c>
    </row>
    <row r="7" spans="1:5" x14ac:dyDescent="0.45">
      <c r="A7" s="3">
        <v>5</v>
      </c>
      <c r="B7" s="19">
        <v>2</v>
      </c>
      <c r="C7" s="19">
        <v>23</v>
      </c>
      <c r="D7" s="19">
        <v>6</v>
      </c>
      <c r="E7" s="19">
        <v>31</v>
      </c>
    </row>
    <row r="8" spans="1:5" x14ac:dyDescent="0.45">
      <c r="A8" s="3" t="s">
        <v>66</v>
      </c>
      <c r="B8" s="19"/>
      <c r="C8" s="19">
        <v>18</v>
      </c>
      <c r="D8" s="19">
        <v>6</v>
      </c>
      <c r="E8" s="19">
        <v>24</v>
      </c>
    </row>
    <row r="9" spans="1:5" x14ac:dyDescent="0.45">
      <c r="A9" s="3" t="s">
        <v>24</v>
      </c>
      <c r="B9" s="19">
        <v>355</v>
      </c>
      <c r="C9" s="19">
        <v>1300</v>
      </c>
      <c r="D9" s="19">
        <v>469</v>
      </c>
      <c r="E9" s="19">
        <v>2124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2"/>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s="19">
        <v>10</v>
      </c>
      <c r="C7" s="19">
        <v>1</v>
      </c>
      <c r="D7" s="19">
        <v>7</v>
      </c>
    </row>
    <row r="8" spans="1:4" x14ac:dyDescent="0.45">
      <c r="A8" s="3" t="s">
        <v>19</v>
      </c>
      <c r="B8" s="19">
        <v>5</v>
      </c>
      <c r="C8" s="19">
        <v>5</v>
      </c>
      <c r="D8" s="19">
        <v>6</v>
      </c>
    </row>
    <row r="9" spans="1:4" x14ac:dyDescent="0.45">
      <c r="A9" s="3" t="s">
        <v>13</v>
      </c>
      <c r="B9" s="19">
        <v>9</v>
      </c>
      <c r="C9" s="19">
        <v>2</v>
      </c>
      <c r="D9" s="19">
        <v>7</v>
      </c>
    </row>
    <row r="10" spans="1:4" x14ac:dyDescent="0.45">
      <c r="A10" s="3" t="s">
        <v>10</v>
      </c>
      <c r="B10" s="19">
        <v>7</v>
      </c>
      <c r="C10" s="19"/>
      <c r="D10" s="19">
        <v>5</v>
      </c>
    </row>
    <row r="11" spans="1:4" x14ac:dyDescent="0.45">
      <c r="A11" s="3" t="s">
        <v>7</v>
      </c>
      <c r="B11" s="19">
        <v>7</v>
      </c>
      <c r="C11" s="19">
        <v>5</v>
      </c>
      <c r="D11" s="19">
        <v>4</v>
      </c>
    </row>
    <row r="12" spans="1:4" x14ac:dyDescent="0.45">
      <c r="A12" s="3" t="s">
        <v>20</v>
      </c>
      <c r="B12" s="19">
        <v>4</v>
      </c>
      <c r="C12" s="19">
        <v>3</v>
      </c>
      <c r="D12" s="19">
        <v>3</v>
      </c>
    </row>
    <row r="13" spans="1:4" x14ac:dyDescent="0.45">
      <c r="A13" s="3" t="s">
        <v>15</v>
      </c>
      <c r="B13" s="19">
        <v>4</v>
      </c>
      <c r="C13" s="19">
        <v>8</v>
      </c>
      <c r="D13" s="19">
        <v>4</v>
      </c>
    </row>
    <row r="14" spans="1:4" x14ac:dyDescent="0.45">
      <c r="A14" s="3" t="s">
        <v>11</v>
      </c>
      <c r="B14" s="19">
        <v>4</v>
      </c>
      <c r="C14" s="19">
        <v>2</v>
      </c>
      <c r="D14" s="19">
        <v>2</v>
      </c>
    </row>
    <row r="15" spans="1:4" x14ac:dyDescent="0.45">
      <c r="A15" s="3" t="s">
        <v>9</v>
      </c>
      <c r="B15" s="19">
        <v>5</v>
      </c>
      <c r="C15" s="19">
        <v>2</v>
      </c>
      <c r="D15" s="19">
        <v>9</v>
      </c>
    </row>
    <row r="16" spans="1:4" x14ac:dyDescent="0.45">
      <c r="A16" s="3" t="s">
        <v>17</v>
      </c>
      <c r="B16" s="19">
        <v>8</v>
      </c>
      <c r="C16" s="19">
        <v>2</v>
      </c>
      <c r="D16" s="19">
        <v>6</v>
      </c>
    </row>
    <row r="17" spans="1:4" x14ac:dyDescent="0.45">
      <c r="A17" s="3" t="s">
        <v>28</v>
      </c>
      <c r="B17" s="19">
        <v>1</v>
      </c>
      <c r="C17" s="19">
        <v>8</v>
      </c>
      <c r="D17" s="19">
        <v>7</v>
      </c>
    </row>
    <row r="18" spans="1:4" x14ac:dyDescent="0.45">
      <c r="A18" s="3" t="s">
        <v>27</v>
      </c>
      <c r="B18" s="19">
        <v>9</v>
      </c>
      <c r="C18" s="19">
        <v>2</v>
      </c>
      <c r="D18" s="19">
        <v>1</v>
      </c>
    </row>
    <row r="19" spans="1:4" x14ac:dyDescent="0.45">
      <c r="A19" s="3" t="s">
        <v>41</v>
      </c>
      <c r="B19" s="19">
        <v>10</v>
      </c>
      <c r="C19" s="19">
        <v>1</v>
      </c>
      <c r="D19" s="19">
        <v>1</v>
      </c>
    </row>
    <row r="20" spans="1:4" x14ac:dyDescent="0.45">
      <c r="A20" s="3" t="s">
        <v>51</v>
      </c>
      <c r="B20" s="19">
        <v>7</v>
      </c>
      <c r="C20" s="19"/>
      <c r="D20" s="19">
        <v>5</v>
      </c>
    </row>
    <row r="21" spans="1:4" x14ac:dyDescent="0.45">
      <c r="A21" s="3" t="s">
        <v>352</v>
      </c>
      <c r="B21" s="19">
        <v>5</v>
      </c>
      <c r="C21" s="19">
        <v>3</v>
      </c>
      <c r="D21" s="19">
        <v>2</v>
      </c>
    </row>
    <row r="22" spans="1:4" x14ac:dyDescent="0.45">
      <c r="A22" s="3" t="s">
        <v>325</v>
      </c>
      <c r="B22" s="19">
        <v>10</v>
      </c>
      <c r="C22" s="19">
        <v>3</v>
      </c>
      <c r="D22" s="19">
        <v>3</v>
      </c>
    </row>
    <row r="23" spans="1:4" x14ac:dyDescent="0.45">
      <c r="A23" s="3" t="s">
        <v>326</v>
      </c>
      <c r="B23" s="19">
        <v>4</v>
      </c>
      <c r="C23" s="19">
        <v>2</v>
      </c>
      <c r="D23" s="19">
        <v>2</v>
      </c>
    </row>
    <row r="24" spans="1:4" x14ac:dyDescent="0.45">
      <c r="A24" s="3" t="s">
        <v>351</v>
      </c>
      <c r="B24" s="19">
        <v>4</v>
      </c>
      <c r="C24" s="19">
        <v>1</v>
      </c>
      <c r="D24" s="19">
        <v>5</v>
      </c>
    </row>
    <row r="25" spans="1:4" x14ac:dyDescent="0.45">
      <c r="A25" s="3" t="s">
        <v>364</v>
      </c>
      <c r="B25" s="19"/>
      <c r="C25" s="19"/>
      <c r="D25" s="19">
        <v>2</v>
      </c>
    </row>
    <row r="26" spans="1:4" x14ac:dyDescent="0.45">
      <c r="A26" s="3" t="s">
        <v>402</v>
      </c>
      <c r="B26" s="19">
        <v>1</v>
      </c>
      <c r="C26" s="19"/>
      <c r="D26" s="19">
        <v>1</v>
      </c>
    </row>
    <row r="27" spans="1:4" x14ac:dyDescent="0.45">
      <c r="A27" s="3" t="s">
        <v>404</v>
      </c>
      <c r="B27" s="19">
        <v>1</v>
      </c>
      <c r="C27" s="19"/>
      <c r="D27" s="19"/>
    </row>
    <row r="28" spans="1:4" x14ac:dyDescent="0.45">
      <c r="A28" s="3" t="s">
        <v>405</v>
      </c>
      <c r="B28" s="19">
        <v>3</v>
      </c>
      <c r="C28" s="19">
        <v>5</v>
      </c>
      <c r="D28" s="19">
        <v>4</v>
      </c>
    </row>
    <row r="29" spans="1:4" x14ac:dyDescent="0.45">
      <c r="A29" s="3" t="s">
        <v>435</v>
      </c>
      <c r="B29" s="19">
        <v>2</v>
      </c>
      <c r="C29" s="19"/>
      <c r="D29" s="19"/>
    </row>
    <row r="30" spans="1:4" x14ac:dyDescent="0.45">
      <c r="A30" s="3" t="s">
        <v>433</v>
      </c>
      <c r="B30" s="19">
        <v>7</v>
      </c>
      <c r="C30" s="19"/>
      <c r="D30" s="19">
        <v>3</v>
      </c>
    </row>
    <row r="31" spans="1:4" x14ac:dyDescent="0.45">
      <c r="A31" s="3" t="s">
        <v>438</v>
      </c>
      <c r="B31" s="19"/>
      <c r="C31" s="19">
        <v>1</v>
      </c>
      <c r="D31" s="19">
        <v>1</v>
      </c>
    </row>
    <row r="32" spans="1:4" x14ac:dyDescent="0.45">
      <c r="A32" s="3" t="s">
        <v>464</v>
      </c>
      <c r="B32" s="19"/>
      <c r="C32" s="19"/>
      <c r="D32" s="19">
        <v>2</v>
      </c>
    </row>
    <row r="33" spans="1:4" x14ac:dyDescent="0.45">
      <c r="A33" s="3" t="s">
        <v>519</v>
      </c>
      <c r="B33" s="19">
        <v>6</v>
      </c>
      <c r="C33" s="19">
        <v>1</v>
      </c>
      <c r="D33" s="19">
        <v>1</v>
      </c>
    </row>
    <row r="34" spans="1:4" x14ac:dyDescent="0.45">
      <c r="A34" s="3" t="s">
        <v>540</v>
      </c>
      <c r="B34" s="19">
        <v>4</v>
      </c>
      <c r="C34" s="19"/>
      <c r="D34" s="19">
        <v>2</v>
      </c>
    </row>
    <row r="35" spans="1:4" x14ac:dyDescent="0.45">
      <c r="A35" s="3" t="s">
        <v>567</v>
      </c>
      <c r="B35" s="19">
        <v>3</v>
      </c>
      <c r="C35" s="19"/>
      <c r="D35" s="19">
        <v>1</v>
      </c>
    </row>
    <row r="36" spans="1:4" x14ac:dyDescent="0.45">
      <c r="A36" s="3" t="s">
        <v>578</v>
      </c>
      <c r="B36" s="19">
        <v>6</v>
      </c>
      <c r="C36" s="19">
        <v>3</v>
      </c>
      <c r="D36" s="19">
        <v>7</v>
      </c>
    </row>
    <row r="37" spans="1:4" x14ac:dyDescent="0.45">
      <c r="A37" s="3" t="s">
        <v>605</v>
      </c>
      <c r="B37" s="19">
        <v>2</v>
      </c>
      <c r="C37" s="19"/>
      <c r="D37" s="19"/>
    </row>
    <row r="38" spans="1:4" x14ac:dyDescent="0.45">
      <c r="A38" s="3" t="s">
        <v>609</v>
      </c>
      <c r="B38" s="19">
        <v>7</v>
      </c>
      <c r="C38" s="19"/>
      <c r="D38" s="19">
        <v>3</v>
      </c>
    </row>
    <row r="39" spans="1:4" x14ac:dyDescent="0.45">
      <c r="A39" s="3" t="s">
        <v>622</v>
      </c>
      <c r="B39" s="19">
        <v>6</v>
      </c>
      <c r="C39" s="19">
        <v>2</v>
      </c>
      <c r="D39" s="19"/>
    </row>
    <row r="40" spans="1:4" x14ac:dyDescent="0.45">
      <c r="A40" s="3" t="s">
        <v>693</v>
      </c>
      <c r="B40" s="19">
        <v>2</v>
      </c>
      <c r="C40" s="19"/>
      <c r="D40" s="19"/>
    </row>
    <row r="41" spans="1:4" x14ac:dyDescent="0.45">
      <c r="A41" s="3" t="s">
        <v>703</v>
      </c>
      <c r="B41" s="19"/>
      <c r="C41" s="19"/>
      <c r="D41" s="19">
        <v>2</v>
      </c>
    </row>
    <row r="42" spans="1:4" x14ac:dyDescent="0.45">
      <c r="A42" s="3" t="s">
        <v>24</v>
      </c>
      <c r="B42" s="19">
        <v>163</v>
      </c>
      <c r="C42" s="19">
        <v>62</v>
      </c>
      <c r="D42" s="19">
        <v>108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4"/>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s="19">
        <v>22</v>
      </c>
      <c r="C4" s="19">
        <v>10</v>
      </c>
      <c r="D4" s="19">
        <v>2</v>
      </c>
      <c r="E4" s="4">
        <f t="shared" ref="E4:E41" si="0">IFERROR(C4/B4, "")</f>
        <v>0.45454545454545453</v>
      </c>
      <c r="F4" s="4">
        <f t="shared" ref="F4:F41" si="1">IFERROR(D4/B4, "")</f>
        <v>9.0909090909090912E-2</v>
      </c>
      <c r="G4" s="4">
        <f>IFERROR(1-Table5[[#This Row],[Loss % Against]]-Table5[[#This Row],[Win% Against]],"")</f>
        <v>0.45454545454545453</v>
      </c>
      <c r="H4" s="16">
        <f>IFERROR(IF(B4=0,"",
 IF(Table5[[#This Row],[Win% Against]] &gt; Table5[[#This Row],[Loss % Against]], 1,
 IF(Table5[[#This Row],[Win% Against]] &lt; Table5[[#This Row],[Loss % Against]], -1, 0))), "")</f>
        <v>1</v>
      </c>
    </row>
    <row r="5" spans="1:8" x14ac:dyDescent="0.45">
      <c r="A5" s="3" t="s">
        <v>28</v>
      </c>
      <c r="B5" s="19">
        <v>17</v>
      </c>
      <c r="C5" s="19">
        <v>6</v>
      </c>
      <c r="D5" s="19">
        <v>4</v>
      </c>
      <c r="E5" s="4">
        <f t="shared" si="0"/>
        <v>0.35294117647058826</v>
      </c>
      <c r="F5" s="4">
        <f t="shared" si="1"/>
        <v>0.23529411764705882</v>
      </c>
      <c r="G5" s="4">
        <f>IFERROR(1-Table5[[#This Row],[Loss % Against]]-Table5[[#This Row],[Win% Against]],"")</f>
        <v>0.41176470588235287</v>
      </c>
      <c r="H5" s="16">
        <f>IFERROR(IF(B5=0,"",
 IF(Table5[[#This Row],[Win% Against]] &gt; Table5[[#This Row],[Loss % Against]], 1,
 IF(Table5[[#This Row],[Win% Against]] &lt; Table5[[#This Row],[Loss % Against]], -1, 0))), "")</f>
        <v>1</v>
      </c>
    </row>
    <row r="6" spans="1:8" x14ac:dyDescent="0.45">
      <c r="A6" s="3" t="s">
        <v>14</v>
      </c>
      <c r="B6" s="19">
        <v>17</v>
      </c>
      <c r="C6" s="19">
        <v>7</v>
      </c>
      <c r="D6" s="19">
        <v>3</v>
      </c>
      <c r="E6" s="4">
        <f t="shared" si="0"/>
        <v>0.41176470588235292</v>
      </c>
      <c r="F6" s="4">
        <f t="shared" si="1"/>
        <v>0.17647058823529413</v>
      </c>
      <c r="G6" s="4">
        <f>IFERROR(1-Table5[[#This Row],[Loss % Against]]-Table5[[#This Row],[Win% Against]],"")</f>
        <v>0.41176470588235292</v>
      </c>
      <c r="H6" s="16">
        <f>IFERROR(IF(B6=0,"",
 IF(Table5[[#This Row],[Win% Against]] &gt; Table5[[#This Row],[Loss % Against]], 1,
 IF(Table5[[#This Row],[Win% Against]] &lt; Table5[[#This Row],[Loss % Against]], -1, 0))), "")</f>
        <v>1</v>
      </c>
    </row>
    <row r="7" spans="1:8" x14ac:dyDescent="0.45">
      <c r="A7" s="3" t="s">
        <v>352</v>
      </c>
      <c r="B7" s="19">
        <v>17</v>
      </c>
      <c r="C7" s="19">
        <v>5</v>
      </c>
      <c r="D7" s="19">
        <v>7</v>
      </c>
      <c r="E7" s="4">
        <f t="shared" si="0"/>
        <v>0.29411764705882354</v>
      </c>
      <c r="F7" s="4">
        <f t="shared" si="1"/>
        <v>0.41176470588235292</v>
      </c>
      <c r="G7" s="4">
        <f>IFERROR(1-Table5[[#This Row],[Loss % Against]]-Table5[[#This Row],[Win% Against]],"")</f>
        <v>0.29411764705882354</v>
      </c>
      <c r="H7" s="16">
        <f>IFERROR(IF(B7=0,"",
 IF(Table5[[#This Row],[Win% Against]] &gt; Table5[[#This Row],[Loss % Against]], 1,
 IF(Table5[[#This Row],[Win% Against]] &lt; Table5[[#This Row],[Loss % Against]], -1, 0))), "")</f>
        <v>-1</v>
      </c>
    </row>
    <row r="8" spans="1:8" x14ac:dyDescent="0.45">
      <c r="A8" s="3" t="s">
        <v>15</v>
      </c>
      <c r="B8" s="19">
        <v>15</v>
      </c>
      <c r="C8" s="19">
        <v>7</v>
      </c>
      <c r="D8" s="19">
        <v>2</v>
      </c>
      <c r="E8" s="4">
        <f t="shared" si="0"/>
        <v>0.46666666666666667</v>
      </c>
      <c r="F8" s="4">
        <f t="shared" si="1"/>
        <v>0.13333333333333333</v>
      </c>
      <c r="G8" s="4">
        <f>IFERROR(1-Table5[[#This Row],[Loss % Against]]-Table5[[#This Row],[Win% Against]],"")</f>
        <v>0.4</v>
      </c>
      <c r="H8" s="16">
        <f>IFERROR(IF(B8=0,"",
 IF(Table5[[#This Row],[Win% Against]] &gt; Table5[[#This Row],[Loss % Against]], 1,
 IF(Table5[[#This Row],[Win% Against]] &lt; Table5[[#This Row],[Loss % Against]], -1, 0))), "")</f>
        <v>1</v>
      </c>
    </row>
    <row r="9" spans="1:8" x14ac:dyDescent="0.45">
      <c r="A9" s="3" t="s">
        <v>10</v>
      </c>
      <c r="B9" s="19">
        <v>15</v>
      </c>
      <c r="C9" s="19">
        <v>5</v>
      </c>
      <c r="D9" s="19">
        <v>3</v>
      </c>
      <c r="E9" s="4">
        <f t="shared" si="0"/>
        <v>0.33333333333333331</v>
      </c>
      <c r="F9" s="4">
        <f t="shared" si="1"/>
        <v>0.2</v>
      </c>
      <c r="G9" s="4">
        <f>IFERROR(1-Table5[[#This Row],[Loss % Against]]-Table5[[#This Row],[Win% Against]],"")</f>
        <v>0.46666666666666673</v>
      </c>
      <c r="H9" s="16">
        <f>IFERROR(IF(B9=0,"",
 IF(Table5[[#This Row],[Win% Against]] &gt; Table5[[#This Row],[Loss % Against]], 1,
 IF(Table5[[#This Row],[Win% Against]] &lt; Table5[[#This Row],[Loss % Against]], -1, 0))), "")</f>
        <v>1</v>
      </c>
    </row>
    <row r="10" spans="1:8" x14ac:dyDescent="0.45">
      <c r="A10" s="3" t="s">
        <v>13</v>
      </c>
      <c r="B10" s="19">
        <v>14</v>
      </c>
      <c r="C10" s="19">
        <v>3</v>
      </c>
      <c r="D10" s="19">
        <v>1</v>
      </c>
      <c r="E10" s="4">
        <f t="shared" si="0"/>
        <v>0.21428571428571427</v>
      </c>
      <c r="F10" s="4">
        <f t="shared" si="1"/>
        <v>7.1428571428571425E-2</v>
      </c>
      <c r="G10" s="4">
        <f>IFERROR(1-Table5[[#This Row],[Loss % Against]]-Table5[[#This Row],[Win% Against]],"")</f>
        <v>0.7142857142857143</v>
      </c>
      <c r="H10" s="16">
        <f>IFERROR(IF(B10=0,"",
 IF(Table5[[#This Row],[Win% Against]] &gt; Table5[[#This Row],[Loss % Against]], 1,
 IF(Table5[[#This Row],[Win% Against]] &lt; Table5[[#This Row],[Loss % Against]], -1, 0))), "")</f>
        <v>1</v>
      </c>
    </row>
    <row r="11" spans="1:8" x14ac:dyDescent="0.45">
      <c r="A11" s="3" t="s">
        <v>19</v>
      </c>
      <c r="B11" s="19">
        <v>13</v>
      </c>
      <c r="C11" s="19">
        <v>4</v>
      </c>
      <c r="D11" s="19">
        <v>3</v>
      </c>
      <c r="E11" s="4">
        <f t="shared" si="0"/>
        <v>0.30769230769230771</v>
      </c>
      <c r="F11" s="4">
        <f t="shared" si="1"/>
        <v>0.23076923076923078</v>
      </c>
      <c r="G11" s="4">
        <f>IFERROR(1-Table5[[#This Row],[Loss % Against]]-Table5[[#This Row],[Win% Against]],"")</f>
        <v>0.46153846153846145</v>
      </c>
      <c r="H11" s="16">
        <f>IFERROR(IF(B11=0,"",
 IF(Table5[[#This Row],[Win% Against]] &gt; Table5[[#This Row],[Loss % Against]], 1,
 IF(Table5[[#This Row],[Win% Against]] &lt; Table5[[#This Row],[Loss % Against]], -1, 0))), "")</f>
        <v>1</v>
      </c>
    </row>
    <row r="12" spans="1:8" x14ac:dyDescent="0.45">
      <c r="A12" s="3" t="s">
        <v>41</v>
      </c>
      <c r="B12" s="19">
        <v>13</v>
      </c>
      <c r="C12" s="19">
        <v>9</v>
      </c>
      <c r="D12" s="19">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4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45">
      <c r="A15" s="3" t="s">
        <v>351</v>
      </c>
      <c r="B15" s="19">
        <v>10</v>
      </c>
      <c r="C15" s="19">
        <v>4</v>
      </c>
      <c r="D15" s="19">
        <v>1</v>
      </c>
      <c r="E15" s="4">
        <f t="shared" si="0"/>
        <v>0.4</v>
      </c>
      <c r="F15" s="4">
        <f t="shared" si="1"/>
        <v>0.1</v>
      </c>
      <c r="G15" s="4">
        <f>IFERROR(1-Table5[[#This Row],[Loss % Against]]-Table5[[#This Row],[Win% Against]],"")</f>
        <v>0.5</v>
      </c>
      <c r="H15" s="16">
        <f>IFERROR(IF(B15=0,"",
 IF(Table5[[#This Row],[Win% Against]] &gt; Table5[[#This Row],[Loss % Against]], 1,
 IF(Table5[[#This Row],[Win% Against]] &lt; Table5[[#This Row],[Loss % Against]], -1, 0))), "")</f>
        <v>1</v>
      </c>
    </row>
    <row r="16" spans="1:8" x14ac:dyDescent="0.4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45">
      <c r="A18" s="3" t="s">
        <v>27</v>
      </c>
      <c r="B18" s="19">
        <v>8</v>
      </c>
      <c r="C18" s="19">
        <v>3</v>
      </c>
      <c r="D18" s="19">
        <v>0</v>
      </c>
      <c r="E18" s="4">
        <f t="shared" si="0"/>
        <v>0.375</v>
      </c>
      <c r="F18" s="4">
        <f t="shared" si="1"/>
        <v>0</v>
      </c>
      <c r="G18" s="4">
        <f>IFERROR(1-Table5[[#This Row],[Loss % Against]]-Table5[[#This Row],[Win% Against]],"")</f>
        <v>0.625</v>
      </c>
      <c r="H18" s="16">
        <f>IFERROR(IF(B18=0,"",
 IF(Table5[[#This Row],[Win% Against]] &gt; Table5[[#This Row],[Loss % Against]], 1,
 IF(Table5[[#This Row],[Win% Against]] &lt; Table5[[#This Row],[Loss % Against]], -1, 0))), "")</f>
        <v>1</v>
      </c>
    </row>
    <row r="19" spans="1:8" x14ac:dyDescent="0.45">
      <c r="A19" s="3" t="s">
        <v>11</v>
      </c>
      <c r="B19" s="19">
        <v>8</v>
      </c>
      <c r="C19" s="19">
        <v>3</v>
      </c>
      <c r="D19" s="19">
        <v>3</v>
      </c>
      <c r="E19" s="4">
        <f t="shared" si="0"/>
        <v>0.375</v>
      </c>
      <c r="F19" s="4">
        <f t="shared" si="1"/>
        <v>0.375</v>
      </c>
      <c r="G19" s="4">
        <f>IFERROR(1-Table5[[#This Row],[Loss % Against]]-Table5[[#This Row],[Win% Against]],"")</f>
        <v>0.25</v>
      </c>
      <c r="H19" s="16">
        <f>IFERROR(IF(B19=0,"",
 IF(Table5[[#This Row],[Win% Against]] &gt; Table5[[#This Row],[Loss % Against]], 1,
 IF(Table5[[#This Row],[Win% Against]] &lt; Table5[[#This Row],[Loss % Against]], -1, 0))), "")</f>
        <v>0</v>
      </c>
    </row>
    <row r="20" spans="1:8" x14ac:dyDescent="0.45">
      <c r="A20" s="3" t="s">
        <v>51</v>
      </c>
      <c r="B20" s="19">
        <v>8</v>
      </c>
      <c r="C20" s="19">
        <v>4</v>
      </c>
      <c r="D20" s="19">
        <v>0</v>
      </c>
      <c r="E20" s="4">
        <f t="shared" si="0"/>
        <v>0.5</v>
      </c>
      <c r="F20" s="4">
        <f t="shared" si="1"/>
        <v>0</v>
      </c>
      <c r="G20" s="4">
        <f>IFERROR(1-Table5[[#This Row],[Loss % Against]]-Table5[[#This Row],[Win% Against]],"")</f>
        <v>0.5</v>
      </c>
      <c r="H20" s="16">
        <f>IFERROR(IF(B20=0,"",
 IF(Table5[[#This Row],[Win% Against]] &gt; Table5[[#This Row],[Loss % Against]], 1,
 IF(Table5[[#This Row],[Win% Against]] &lt; Table5[[#This Row],[Loss % Against]], -1, 0))), "")</f>
        <v>1</v>
      </c>
    </row>
    <row r="21" spans="1:8" x14ac:dyDescent="0.45">
      <c r="A21" s="3" t="s">
        <v>321</v>
      </c>
      <c r="B21" s="19">
        <v>7</v>
      </c>
      <c r="C21" s="19">
        <v>2</v>
      </c>
      <c r="D21" s="19">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4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4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45">
      <c r="A24" s="3" t="s">
        <v>325</v>
      </c>
      <c r="B24" s="19">
        <v>5</v>
      </c>
      <c r="C24" s="19">
        <v>1</v>
      </c>
      <c r="D24" s="19">
        <v>1</v>
      </c>
      <c r="E24" s="4">
        <f t="shared" si="0"/>
        <v>0.2</v>
      </c>
      <c r="F24" s="4">
        <f t="shared" si="1"/>
        <v>0.2</v>
      </c>
      <c r="G24" s="4">
        <f>IFERROR(1-Table5[[#This Row],[Loss % Against]]-Table5[[#This Row],[Win% Against]],"")</f>
        <v>0.60000000000000009</v>
      </c>
      <c r="H24" s="16">
        <f>IFERROR(IF(B24=0,"",
 IF(Table5[[#This Row],[Win% Against]] &gt; Table5[[#This Row],[Loss % Against]], 1,
 IF(Table5[[#This Row],[Win% Against]] &lt; Table5[[#This Row],[Loss % Against]], -1, 0))), "")</f>
        <v>0</v>
      </c>
    </row>
    <row r="25" spans="1:8" x14ac:dyDescent="0.45">
      <c r="A25" s="3" t="s">
        <v>44</v>
      </c>
      <c r="B25" s="19">
        <v>4</v>
      </c>
      <c r="C25" s="19">
        <v>3</v>
      </c>
      <c r="D25" s="19">
        <v>0</v>
      </c>
      <c r="E25" s="4">
        <f t="shared" si="0"/>
        <v>0.75</v>
      </c>
      <c r="F25" s="4">
        <f t="shared" si="1"/>
        <v>0</v>
      </c>
      <c r="G25" s="4">
        <f>IFERROR(1-Table5[[#This Row],[Loss % Against]]-Table5[[#This Row],[Win% Against]],"")</f>
        <v>0.25</v>
      </c>
      <c r="H25" s="16">
        <f>IFERROR(IF(B25=0,"",
 IF(Table5[[#This Row],[Win% Against]] &gt; Table5[[#This Row],[Loss % Against]], 1,
 IF(Table5[[#This Row],[Win% Against]] &lt; Table5[[#This Row],[Loss % Against]], -1, 0))), "")</f>
        <v>1</v>
      </c>
    </row>
    <row r="26" spans="1:8" x14ac:dyDescent="0.4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45">
      <c r="A27" s="3" t="s">
        <v>433</v>
      </c>
      <c r="B27" s="19">
        <v>4</v>
      </c>
      <c r="C27" s="19">
        <v>3</v>
      </c>
      <c r="D27" s="19">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45">
      <c r="A28" s="3" t="s">
        <v>22</v>
      </c>
      <c r="B28" s="19">
        <v>4</v>
      </c>
      <c r="C28" s="19">
        <v>1</v>
      </c>
      <c r="D28" s="19">
        <v>1</v>
      </c>
      <c r="E28" s="4">
        <f t="shared" si="0"/>
        <v>0.25</v>
      </c>
      <c r="F28" s="4">
        <f t="shared" si="1"/>
        <v>0.25</v>
      </c>
      <c r="G28" s="4">
        <f>IFERROR(1-Table5[[#This Row],[Loss % Against]]-Table5[[#This Row],[Win% Against]],"")</f>
        <v>0.5</v>
      </c>
      <c r="H28" s="16">
        <f>IFERROR(IF(B28=0,"",
 IF(Table5[[#This Row],[Win% Against]] &gt; Table5[[#This Row],[Loss % Against]], 1,
 IF(Table5[[#This Row],[Win% Against]] &lt; Table5[[#This Row],[Loss % Against]], -1, 0))), "")</f>
        <v>0</v>
      </c>
    </row>
    <row r="29" spans="1:8" x14ac:dyDescent="0.45">
      <c r="A29" s="3" t="s">
        <v>76</v>
      </c>
      <c r="B29" s="19">
        <v>4</v>
      </c>
      <c r="C29" s="19">
        <v>2</v>
      </c>
      <c r="D29" s="1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326</v>
      </c>
      <c r="B30" s="19">
        <v>4</v>
      </c>
      <c r="C30" s="19">
        <v>2</v>
      </c>
      <c r="D30" s="19">
        <v>1</v>
      </c>
      <c r="E30" s="4">
        <f t="shared" si="0"/>
        <v>0.5</v>
      </c>
      <c r="F30" s="4">
        <f t="shared" si="1"/>
        <v>0.25</v>
      </c>
      <c r="G30" s="4">
        <f>IFERROR(1-Table5[[#This Row],[Loss % Against]]-Table5[[#This Row],[Win% Against]],"")</f>
        <v>0.25</v>
      </c>
      <c r="H30" s="16">
        <f>IFERROR(IF(B30=0,"",
 IF(Table5[[#This Row],[Win% Against]] &gt; Table5[[#This Row],[Loss % Against]], 1,
 IF(Table5[[#This Row],[Win% Against]] &lt; Table5[[#This Row],[Loss % Against]], -1, 0))), "")</f>
        <v>1</v>
      </c>
    </row>
    <row r="31" spans="1:8" x14ac:dyDescent="0.45">
      <c r="A31" s="3" t="s">
        <v>609</v>
      </c>
      <c r="B31" s="19">
        <v>3</v>
      </c>
      <c r="C31" s="19">
        <v>2</v>
      </c>
      <c r="D31" s="19">
        <v>0</v>
      </c>
      <c r="E31" s="4">
        <f t="shared" si="0"/>
        <v>0.66666666666666663</v>
      </c>
      <c r="F31" s="4">
        <f t="shared" si="1"/>
        <v>0</v>
      </c>
      <c r="G31" s="4">
        <f>IFERROR(1-Table5[[#This Row],[Loss % Against]]-Table5[[#This Row],[Win% Against]],"")</f>
        <v>0.33333333333333337</v>
      </c>
      <c r="H31" s="16">
        <f>IFERROR(IF(B31=0,"",
 IF(Table5[[#This Row],[Win% Against]] &gt; Table5[[#This Row],[Loss % Against]], 1,
 IF(Table5[[#This Row],[Win% Against]] &lt; Table5[[#This Row],[Loss % Against]], -1, 0))), "")</f>
        <v>1</v>
      </c>
    </row>
    <row r="32" spans="1:8" x14ac:dyDescent="0.45">
      <c r="A32" s="3" t="s">
        <v>578</v>
      </c>
      <c r="B32" s="19">
        <v>3</v>
      </c>
      <c r="C32" s="19">
        <v>0</v>
      </c>
      <c r="D32" s="19">
        <v>1</v>
      </c>
      <c r="E32" s="4">
        <f t="shared" si="0"/>
        <v>0</v>
      </c>
      <c r="F32" s="4">
        <f t="shared" si="1"/>
        <v>0.33333333333333331</v>
      </c>
      <c r="G32" s="4">
        <f>IFERROR(1-Table5[[#This Row],[Loss % Against]]-Table5[[#This Row],[Win% Against]],"")</f>
        <v>0.66666666666666674</v>
      </c>
      <c r="H32" s="16">
        <f>IFERROR(IF(B32=0,"",
 IF(Table5[[#This Row],[Win% Against]] &gt; Table5[[#This Row],[Loss % Against]], 1,
 IF(Table5[[#This Row],[Win% Against]] &lt; Table5[[#This Row],[Loss % Against]], -1, 0))), "")</f>
        <v>-1</v>
      </c>
    </row>
    <row r="33" spans="1:8" x14ac:dyDescent="0.45">
      <c r="A33" s="3" t="s">
        <v>519</v>
      </c>
      <c r="B33" s="19">
        <v>3</v>
      </c>
      <c r="C33" s="19">
        <v>2</v>
      </c>
      <c r="D33" s="19">
        <v>0</v>
      </c>
      <c r="E33" s="4">
        <f t="shared" si="0"/>
        <v>0.66666666666666663</v>
      </c>
      <c r="F33" s="4">
        <f t="shared" si="1"/>
        <v>0</v>
      </c>
      <c r="G33" s="4">
        <f>IFERROR(1-Table5[[#This Row],[Loss % Against]]-Table5[[#This Row],[Win% Against]],"")</f>
        <v>0.33333333333333337</v>
      </c>
      <c r="H33" s="16">
        <f>IFERROR(IF(B33=0,"",
 IF(Table5[[#This Row],[Win% Against]] &gt; Table5[[#This Row],[Loss % Against]], 1,
 IF(Table5[[#This Row],[Win% Against]] &lt; Table5[[#This Row],[Loss % Against]], -1, 0))), "")</f>
        <v>1</v>
      </c>
    </row>
    <row r="34" spans="1:8" x14ac:dyDescent="0.45">
      <c r="A34" s="3" t="s">
        <v>30</v>
      </c>
      <c r="B34" s="19">
        <v>3</v>
      </c>
      <c r="C34" s="19">
        <v>1</v>
      </c>
      <c r="D34" s="19">
        <v>1</v>
      </c>
      <c r="E34" s="4">
        <f t="shared" si="0"/>
        <v>0.33333333333333331</v>
      </c>
      <c r="F34" s="4">
        <f t="shared" si="1"/>
        <v>0.33333333333333331</v>
      </c>
      <c r="G34" s="4">
        <f>IFERROR(1-Table5[[#This Row],[Loss % Against]]-Table5[[#This Row],[Win% Against]],"")</f>
        <v>0.33333333333333343</v>
      </c>
      <c r="H34" s="16">
        <f>IFERROR(IF(B34=0,"",
 IF(Table5[[#This Row],[Win% Against]] &gt; Table5[[#This Row],[Loss % Against]], 1,
 IF(Table5[[#This Row],[Win% Against]] &lt; Table5[[#This Row],[Loss % Against]], -1, 0))), "")</f>
        <v>0</v>
      </c>
    </row>
    <row r="35" spans="1:8" x14ac:dyDescent="0.45">
      <c r="A35" s="3" t="s">
        <v>364</v>
      </c>
      <c r="B35" s="19">
        <v>3</v>
      </c>
      <c r="C35" s="19">
        <v>0</v>
      </c>
      <c r="D35" s="19">
        <v>0</v>
      </c>
      <c r="E35" s="4">
        <f t="shared" si="0"/>
        <v>0</v>
      </c>
      <c r="F35" s="4">
        <f t="shared" si="1"/>
        <v>0</v>
      </c>
      <c r="G35" s="4">
        <f>IFERROR(1-Table5[[#This Row],[Loss % Against]]-Table5[[#This Row],[Win% Against]],"")</f>
        <v>1</v>
      </c>
      <c r="H35" s="16">
        <f>IFERROR(IF(B35=0,"",
 IF(Table5[[#This Row],[Win% Against]] &gt; Table5[[#This Row],[Loss % Against]], 1,
 IF(Table5[[#This Row],[Win% Against]] &lt; Table5[[#This Row],[Loss % Against]], -1, 0))), "")</f>
        <v>0</v>
      </c>
    </row>
    <row r="36" spans="1:8" x14ac:dyDescent="0.45">
      <c r="A36" s="3" t="s">
        <v>56</v>
      </c>
      <c r="B36" s="19">
        <v>2</v>
      </c>
      <c r="C36" s="19">
        <v>2</v>
      </c>
      <c r="D36" s="19">
        <v>0</v>
      </c>
      <c r="E36" s="4">
        <f t="shared" si="0"/>
        <v>1</v>
      </c>
      <c r="F36" s="4">
        <f t="shared" si="1"/>
        <v>0</v>
      </c>
      <c r="G36" s="4">
        <f>IFERROR(1-Table5[[#This Row],[Loss % Against]]-Table5[[#This Row],[Win% Against]],"")</f>
        <v>0</v>
      </c>
      <c r="H36" s="16">
        <f>IFERROR(IF(B36=0,"",
 IF(Table5[[#This Row],[Win% Against]] &gt; Table5[[#This Row],[Loss % Against]], 1,
 IF(Table5[[#This Row],[Win% Against]] &lt; Table5[[#This Row],[Loss % Against]], -1, 0))), "")</f>
        <v>1</v>
      </c>
    </row>
    <row r="37" spans="1:8" x14ac:dyDescent="0.45">
      <c r="A37" s="3" t="s">
        <v>18</v>
      </c>
      <c r="B37" s="19">
        <v>2</v>
      </c>
      <c r="C37" s="19">
        <v>0</v>
      </c>
      <c r="D37" s="19">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45">
      <c r="A38" s="3" t="s">
        <v>57</v>
      </c>
      <c r="B38" s="19">
        <v>2</v>
      </c>
      <c r="C38" s="19">
        <v>0</v>
      </c>
      <c r="D38" s="19">
        <v>1</v>
      </c>
      <c r="E38" s="4">
        <f t="shared" si="0"/>
        <v>0</v>
      </c>
      <c r="F38" s="4">
        <f t="shared" si="1"/>
        <v>0.5</v>
      </c>
      <c r="G38" s="4">
        <f>IFERROR(1-Table5[[#This Row],[Loss % Against]]-Table5[[#This Row],[Win% Against]],"")</f>
        <v>0.5</v>
      </c>
      <c r="H38" s="16">
        <f>IFERROR(IF(B38=0,"",
 IF(Table5[[#This Row],[Win% Against]] &gt; Table5[[#This Row],[Loss % Against]], 1,
 IF(Table5[[#This Row],[Win% Against]] &lt; Table5[[#This Row],[Loss % Against]], -1, 0))), "")</f>
        <v>-1</v>
      </c>
    </row>
    <row r="39" spans="1:8" x14ac:dyDescent="0.45">
      <c r="A39" s="3" t="s">
        <v>16</v>
      </c>
      <c r="B39" s="19">
        <v>2</v>
      </c>
      <c r="C39" s="19">
        <v>1</v>
      </c>
      <c r="D39" s="19">
        <v>0</v>
      </c>
      <c r="E39" s="4">
        <f t="shared" si="0"/>
        <v>0.5</v>
      </c>
      <c r="F39" s="4">
        <f t="shared" si="1"/>
        <v>0</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45">
      <c r="A41" s="3" t="s">
        <v>21</v>
      </c>
      <c r="B41" s="19">
        <v>2</v>
      </c>
      <c r="C41" s="19">
        <v>0</v>
      </c>
      <c r="D41" s="19">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45">
      <c r="A42" s="3" t="s">
        <v>567</v>
      </c>
      <c r="B42" s="19">
        <v>2</v>
      </c>
      <c r="C42" s="19">
        <v>1</v>
      </c>
      <c r="D42" s="19">
        <v>1</v>
      </c>
      <c r="E42" s="4">
        <f t="shared" ref="E42:E53" si="2">IFERROR(C42/B42, "")</f>
        <v>0.5</v>
      </c>
      <c r="F42" s="4">
        <f t="shared" ref="F42:F53" si="3">IFERROR(D42/B42, "")</f>
        <v>0.5</v>
      </c>
      <c r="G42" s="4">
        <f>IFERROR(1-Table5[[#This Row],[Loss % Against]]-Table5[[#This Row],[Win% Against]],"")</f>
        <v>0</v>
      </c>
      <c r="H42" s="16">
        <f>IFERROR(IF(B42=0,"",
 IF(Table5[[#This Row],[Win% Against]] &gt; Table5[[#This Row],[Loss % Against]], 1,
 IF(Table5[[#This Row],[Win% Against]] &lt; Table5[[#This Row],[Loss % Against]], -1, 0))), "")</f>
        <v>0</v>
      </c>
    </row>
    <row r="43" spans="1:8" x14ac:dyDescent="0.45">
      <c r="A43" s="3" t="s">
        <v>421</v>
      </c>
      <c r="B43" s="19">
        <v>1</v>
      </c>
      <c r="C43" s="19">
        <v>1</v>
      </c>
      <c r="D43" s="19">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45">
      <c r="A44" s="3" t="s">
        <v>438</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434</v>
      </c>
      <c r="B45" s="19">
        <v>1</v>
      </c>
      <c r="C45" s="19">
        <v>0</v>
      </c>
      <c r="D45" s="19">
        <v>1</v>
      </c>
      <c r="E45" s="4">
        <f t="shared" si="2"/>
        <v>0</v>
      </c>
      <c r="F45" s="4">
        <f t="shared" si="3"/>
        <v>1</v>
      </c>
      <c r="G45" s="4">
        <f>IFERROR(1-Table5[[#This Row],[Loss % Against]]-Table5[[#This Row],[Win% Against]],"")</f>
        <v>0</v>
      </c>
      <c r="H45" s="16">
        <f>IFERROR(IF(B45=0,"",
 IF(Table5[[#This Row],[Win% Against]] &gt; Table5[[#This Row],[Loss % Against]], 1,
 IF(Table5[[#This Row],[Win% Against]] &lt; Table5[[#This Row],[Loss % Against]], -1, 0))), "")</f>
        <v>-1</v>
      </c>
    </row>
    <row r="46" spans="1:8" x14ac:dyDescent="0.45">
      <c r="A46" s="3" t="s">
        <v>47</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45">
      <c r="A47" s="3" t="s">
        <v>55</v>
      </c>
      <c r="B47" s="19">
        <v>1</v>
      </c>
      <c r="C47" s="19">
        <v>1</v>
      </c>
      <c r="D47" s="19">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579</v>
      </c>
      <c r="B48" s="19">
        <v>1</v>
      </c>
      <c r="C48" s="19">
        <v>0</v>
      </c>
      <c r="D48" s="19">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45">
      <c r="A49" s="3" t="s">
        <v>693</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45">
      <c r="A50" s="3" t="s">
        <v>540</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45">
      <c r="A51" s="3" t="s">
        <v>437</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622</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478</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45">
      <c r="A54" s="3" t="s">
        <v>404</v>
      </c>
      <c r="B54" s="19">
        <v>1</v>
      </c>
      <c r="C54" s="19">
        <v>0</v>
      </c>
      <c r="D54" s="19">
        <v>0</v>
      </c>
      <c r="E54" s="4">
        <f t="shared" ref="E54:E56" si="4">IFERROR(C54/B54, "")</f>
        <v>0</v>
      </c>
      <c r="F54" s="4">
        <f t="shared" ref="F54:F56" si="5">IFERROR(D54/B54, "")</f>
        <v>0</v>
      </c>
      <c r="G54" s="4">
        <f>IFERROR(1-Table5[[#This Row],[Loss % Against]]-Table5[[#This Row],[Win% Against]],"")</f>
        <v>1</v>
      </c>
      <c r="H54" s="16">
        <f>IFERROR(IF(B54=0,"",
 IF(Table5[[#This Row],[Win% Against]] &gt; Table5[[#This Row],[Loss % Against]], 1,
 IF(Table5[[#This Row],[Win% Against]] &lt; Table5[[#This Row],[Loss % Against]], -1, 0))), "")</f>
        <v>0</v>
      </c>
    </row>
    <row r="55" spans="1:8" x14ac:dyDescent="0.45">
      <c r="A55" s="3" t="s">
        <v>53</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46</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40</v>
      </c>
      <c r="B57" s="19">
        <v>1</v>
      </c>
      <c r="C57" s="19">
        <v>1</v>
      </c>
      <c r="D57" s="19">
        <v>0</v>
      </c>
    </row>
    <row r="58" spans="1:8" x14ac:dyDescent="0.45">
      <c r="A58" s="3" t="s">
        <v>402</v>
      </c>
      <c r="B58" s="19">
        <v>1</v>
      </c>
      <c r="C58" s="19">
        <v>0</v>
      </c>
      <c r="D58" s="19">
        <v>0</v>
      </c>
    </row>
    <row r="59" spans="1:8" x14ac:dyDescent="0.45">
      <c r="A59" s="3" t="s">
        <v>590</v>
      </c>
      <c r="B59" s="19">
        <v>1</v>
      </c>
      <c r="C59" s="19">
        <v>0</v>
      </c>
      <c r="D59" s="19">
        <v>0</v>
      </c>
    </row>
    <row r="60" spans="1:8" x14ac:dyDescent="0.45">
      <c r="A60" s="3" t="s">
        <v>61</v>
      </c>
      <c r="B60" s="19">
        <v>1</v>
      </c>
      <c r="C60" s="19">
        <v>1</v>
      </c>
      <c r="D60" s="19">
        <v>0</v>
      </c>
    </row>
    <row r="61" spans="1:8" x14ac:dyDescent="0.45">
      <c r="A61" s="3" t="s">
        <v>29</v>
      </c>
      <c r="B61" s="19">
        <v>1</v>
      </c>
      <c r="C61" s="19">
        <v>1</v>
      </c>
      <c r="D61" s="19">
        <v>0</v>
      </c>
    </row>
    <row r="62" spans="1:8" x14ac:dyDescent="0.45">
      <c r="A62" s="3" t="s">
        <v>365</v>
      </c>
      <c r="B62" s="19">
        <v>1</v>
      </c>
      <c r="C62" s="19">
        <v>0</v>
      </c>
      <c r="D62" s="19">
        <v>0</v>
      </c>
    </row>
    <row r="63" spans="1:8" x14ac:dyDescent="0.45">
      <c r="A63" s="3" t="s">
        <v>59</v>
      </c>
      <c r="B63" s="19">
        <v>1</v>
      </c>
      <c r="C63" s="19">
        <v>0</v>
      </c>
      <c r="D63" s="19">
        <v>0</v>
      </c>
    </row>
    <row r="64" spans="1:8" x14ac:dyDescent="0.45">
      <c r="A64" s="3" t="s">
        <v>322</v>
      </c>
      <c r="B64" s="19">
        <v>1</v>
      </c>
      <c r="C64" s="19">
        <v>0</v>
      </c>
      <c r="D64" s="19">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42"/>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s="19">
        <v>10</v>
      </c>
      <c r="C6" s="19">
        <v>1</v>
      </c>
      <c r="D6" s="19">
        <v>9</v>
      </c>
    </row>
    <row r="7" spans="1:4" x14ac:dyDescent="0.45">
      <c r="A7" s="3" t="s">
        <v>19</v>
      </c>
      <c r="B7" s="19">
        <v>5</v>
      </c>
      <c r="C7" s="19">
        <v>5</v>
      </c>
      <c r="D7" s="19">
        <v>8</v>
      </c>
    </row>
    <row r="8" spans="1:4" x14ac:dyDescent="0.45">
      <c r="A8" s="3" t="s">
        <v>13</v>
      </c>
      <c r="B8" s="19">
        <v>10</v>
      </c>
      <c r="C8" s="19">
        <v>2</v>
      </c>
      <c r="D8" s="19">
        <v>8</v>
      </c>
    </row>
    <row r="9" spans="1:4" x14ac:dyDescent="0.45">
      <c r="A9" s="3" t="s">
        <v>10</v>
      </c>
      <c r="B9" s="19">
        <v>8</v>
      </c>
      <c r="C9" s="19"/>
      <c r="D9" s="19">
        <v>6</v>
      </c>
    </row>
    <row r="10" spans="1:4" x14ac:dyDescent="0.45">
      <c r="A10" s="3" t="s">
        <v>7</v>
      </c>
      <c r="B10" s="19">
        <v>7</v>
      </c>
      <c r="C10" s="19">
        <v>6</v>
      </c>
      <c r="D10" s="19">
        <v>5</v>
      </c>
    </row>
    <row r="11" spans="1:4" x14ac:dyDescent="0.45">
      <c r="A11" s="3" t="s">
        <v>20</v>
      </c>
      <c r="B11" s="19">
        <v>4</v>
      </c>
      <c r="C11" s="19">
        <v>3</v>
      </c>
      <c r="D11" s="19">
        <v>3</v>
      </c>
    </row>
    <row r="12" spans="1:4" x14ac:dyDescent="0.45">
      <c r="A12" s="3" t="s">
        <v>15</v>
      </c>
      <c r="B12" s="19">
        <v>5</v>
      </c>
      <c r="C12" s="19">
        <v>8</v>
      </c>
      <c r="D12" s="19">
        <v>5</v>
      </c>
    </row>
    <row r="13" spans="1:4" x14ac:dyDescent="0.45">
      <c r="A13" s="3" t="s">
        <v>11</v>
      </c>
      <c r="B13" s="19">
        <v>4</v>
      </c>
      <c r="C13" s="19">
        <v>3</v>
      </c>
      <c r="D13" s="19">
        <v>3</v>
      </c>
    </row>
    <row r="14" spans="1:4" x14ac:dyDescent="0.45">
      <c r="A14" s="3" t="s">
        <v>9</v>
      </c>
      <c r="B14" s="19">
        <v>5</v>
      </c>
      <c r="C14" s="19">
        <v>3</v>
      </c>
      <c r="D14" s="19">
        <v>10</v>
      </c>
    </row>
    <row r="15" spans="1:4" x14ac:dyDescent="0.45">
      <c r="A15" s="3" t="s">
        <v>17</v>
      </c>
      <c r="B15" s="19">
        <v>8</v>
      </c>
      <c r="C15" s="19">
        <v>2</v>
      </c>
      <c r="D15" s="19">
        <v>6</v>
      </c>
    </row>
    <row r="16" spans="1:4" x14ac:dyDescent="0.45">
      <c r="A16" s="3" t="s">
        <v>28</v>
      </c>
      <c r="B16" s="19">
        <v>1</v>
      </c>
      <c r="C16" s="19">
        <v>8</v>
      </c>
      <c r="D16" s="19">
        <v>7</v>
      </c>
    </row>
    <row r="17" spans="1:4" x14ac:dyDescent="0.45">
      <c r="A17" s="3" t="s">
        <v>27</v>
      </c>
      <c r="B17" s="19">
        <v>9</v>
      </c>
      <c r="C17" s="19">
        <v>2</v>
      </c>
      <c r="D17" s="19">
        <v>1</v>
      </c>
    </row>
    <row r="18" spans="1:4" x14ac:dyDescent="0.45">
      <c r="A18" s="3" t="s">
        <v>41</v>
      </c>
      <c r="B18" s="19">
        <v>10</v>
      </c>
      <c r="C18" s="19">
        <v>1</v>
      </c>
      <c r="D18" s="19">
        <v>1</v>
      </c>
    </row>
    <row r="19" spans="1:4" x14ac:dyDescent="0.45">
      <c r="A19" s="3" t="s">
        <v>42</v>
      </c>
      <c r="B19" s="19">
        <v>2</v>
      </c>
      <c r="C19" s="19"/>
      <c r="D19" s="19"/>
    </row>
    <row r="20" spans="1:4" x14ac:dyDescent="0.45">
      <c r="A20" s="3" t="s">
        <v>51</v>
      </c>
      <c r="B20" s="19">
        <v>8</v>
      </c>
      <c r="C20" s="19"/>
      <c r="D20" s="19">
        <v>6</v>
      </c>
    </row>
    <row r="21" spans="1:4" x14ac:dyDescent="0.45">
      <c r="A21" s="3" t="s">
        <v>352</v>
      </c>
      <c r="B21" s="19">
        <v>5</v>
      </c>
      <c r="C21" s="19">
        <v>3</v>
      </c>
      <c r="D21" s="19">
        <v>2</v>
      </c>
    </row>
    <row r="22" spans="1:4" x14ac:dyDescent="0.45">
      <c r="A22" s="3" t="s">
        <v>325</v>
      </c>
      <c r="B22" s="19">
        <v>12</v>
      </c>
      <c r="C22" s="19">
        <v>3</v>
      </c>
      <c r="D22" s="19">
        <v>3</v>
      </c>
    </row>
    <row r="23" spans="1:4" x14ac:dyDescent="0.45">
      <c r="A23" s="3" t="s">
        <v>326</v>
      </c>
      <c r="B23" s="19">
        <v>4</v>
      </c>
      <c r="C23" s="19">
        <v>2</v>
      </c>
      <c r="D23" s="19">
        <v>2</v>
      </c>
    </row>
    <row r="24" spans="1:4" x14ac:dyDescent="0.45">
      <c r="A24" s="3" t="s">
        <v>351</v>
      </c>
      <c r="B24" s="19">
        <v>5</v>
      </c>
      <c r="C24" s="19">
        <v>1</v>
      </c>
      <c r="D24" s="19">
        <v>6</v>
      </c>
    </row>
    <row r="25" spans="1:4" x14ac:dyDescent="0.45">
      <c r="A25" s="3" t="s">
        <v>364</v>
      </c>
      <c r="B25" s="19"/>
      <c r="C25" s="19"/>
      <c r="D25" s="19">
        <v>2</v>
      </c>
    </row>
    <row r="26" spans="1:4" x14ac:dyDescent="0.45">
      <c r="A26" s="3" t="s">
        <v>402</v>
      </c>
      <c r="B26" s="19">
        <v>3</v>
      </c>
      <c r="C26" s="19"/>
      <c r="D26" s="19">
        <v>1</v>
      </c>
    </row>
    <row r="27" spans="1:4" x14ac:dyDescent="0.45">
      <c r="A27" s="3" t="s">
        <v>404</v>
      </c>
      <c r="B27" s="19">
        <v>1</v>
      </c>
      <c r="C27" s="19"/>
      <c r="D27" s="19"/>
    </row>
    <row r="28" spans="1:4" x14ac:dyDescent="0.45">
      <c r="A28" s="3" t="s">
        <v>405</v>
      </c>
      <c r="B28" s="19">
        <v>3</v>
      </c>
      <c r="C28" s="19">
        <v>5</v>
      </c>
      <c r="D28" s="19">
        <v>6</v>
      </c>
    </row>
    <row r="29" spans="1:4" x14ac:dyDescent="0.45">
      <c r="A29" s="3" t="s">
        <v>435</v>
      </c>
      <c r="B29" s="19">
        <v>2</v>
      </c>
      <c r="C29" s="19"/>
      <c r="D29" s="19"/>
    </row>
    <row r="30" spans="1:4" x14ac:dyDescent="0.45">
      <c r="A30" s="3" t="s">
        <v>433</v>
      </c>
      <c r="B30" s="19">
        <v>7</v>
      </c>
      <c r="C30" s="19"/>
      <c r="D30" s="19">
        <v>3</v>
      </c>
    </row>
    <row r="31" spans="1:4" x14ac:dyDescent="0.45">
      <c r="A31" s="3" t="s">
        <v>438</v>
      </c>
      <c r="B31" s="19"/>
      <c r="C31" s="19">
        <v>1</v>
      </c>
      <c r="D31" s="19">
        <v>1</v>
      </c>
    </row>
    <row r="32" spans="1:4" x14ac:dyDescent="0.45">
      <c r="A32" s="3" t="s">
        <v>464</v>
      </c>
      <c r="B32" s="19"/>
      <c r="C32" s="19"/>
      <c r="D32" s="19">
        <v>2</v>
      </c>
    </row>
    <row r="33" spans="1:4" x14ac:dyDescent="0.45">
      <c r="A33" s="3" t="s">
        <v>519</v>
      </c>
      <c r="B33" s="19">
        <v>6</v>
      </c>
      <c r="C33" s="19">
        <v>1</v>
      </c>
      <c r="D33" s="19">
        <v>1</v>
      </c>
    </row>
    <row r="34" spans="1:4" x14ac:dyDescent="0.45">
      <c r="A34" s="3" t="s">
        <v>540</v>
      </c>
      <c r="B34" s="19">
        <v>4</v>
      </c>
      <c r="C34" s="19"/>
      <c r="D34" s="19">
        <v>2</v>
      </c>
    </row>
    <row r="35" spans="1:4" x14ac:dyDescent="0.45">
      <c r="A35" s="3" t="s">
        <v>567</v>
      </c>
      <c r="B35" s="19">
        <v>3</v>
      </c>
      <c r="C35" s="19"/>
      <c r="D35" s="19">
        <v>1</v>
      </c>
    </row>
    <row r="36" spans="1:4" x14ac:dyDescent="0.45">
      <c r="A36" s="3" t="s">
        <v>578</v>
      </c>
      <c r="B36" s="19">
        <v>6</v>
      </c>
      <c r="C36" s="19">
        <v>4</v>
      </c>
      <c r="D36" s="19">
        <v>8</v>
      </c>
    </row>
    <row r="37" spans="1:4" x14ac:dyDescent="0.45">
      <c r="A37" s="3" t="s">
        <v>605</v>
      </c>
      <c r="B37" s="19">
        <v>2</v>
      </c>
      <c r="C37" s="19"/>
      <c r="D37" s="19"/>
    </row>
    <row r="38" spans="1:4" x14ac:dyDescent="0.45">
      <c r="A38" s="3" t="s">
        <v>609</v>
      </c>
      <c r="B38" s="19">
        <v>8</v>
      </c>
      <c r="C38" s="19"/>
      <c r="D38" s="19">
        <v>4</v>
      </c>
    </row>
    <row r="39" spans="1:4" x14ac:dyDescent="0.45">
      <c r="A39" s="3" t="s">
        <v>622</v>
      </c>
      <c r="B39" s="19">
        <v>6</v>
      </c>
      <c r="C39" s="19">
        <v>2</v>
      </c>
      <c r="D39" s="19"/>
    </row>
    <row r="40" spans="1:4" x14ac:dyDescent="0.45">
      <c r="A40" s="3" t="s">
        <v>693</v>
      </c>
      <c r="B40" s="19">
        <v>2</v>
      </c>
      <c r="C40" s="19"/>
      <c r="D40" s="19"/>
    </row>
    <row r="41" spans="1:4" x14ac:dyDescent="0.45">
      <c r="A41" s="3" t="s">
        <v>703</v>
      </c>
      <c r="B41" s="19"/>
      <c r="C41" s="19"/>
      <c r="D41" s="19">
        <v>2</v>
      </c>
    </row>
    <row r="42" spans="1:4" x14ac:dyDescent="0.45">
      <c r="A42" s="3" t="s">
        <v>24</v>
      </c>
      <c r="B42" s="19">
        <v>175</v>
      </c>
      <c r="C42" s="19">
        <v>66</v>
      </c>
      <c r="D42" s="19">
        <v>124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125"/>
  <sheetViews>
    <sheetView topLeftCell="A2088" workbookViewId="0">
      <selection activeCell="A2124" sqref="A2124"/>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hidden="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4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4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4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4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4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4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4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x14ac:dyDescent="0.45">
      <c r="A2094" t="s">
        <v>325</v>
      </c>
      <c r="B2094" t="s">
        <v>6</v>
      </c>
      <c r="C2094">
        <v>1</v>
      </c>
      <c r="D2094">
        <v>1</v>
      </c>
      <c r="E2094">
        <v>1</v>
      </c>
      <c r="F2094" s="1">
        <v>46272</v>
      </c>
      <c r="G2094" s="11" t="str">
        <f>_xlfn.TEXTJOIN("|",TRUE,D2094,TEXT(INT(E2094),"yyyymmdd"),F2094)</f>
        <v>1|19000101|46272</v>
      </c>
      <c r="H2094" s="19">
        <f>COUNTIF(GameLog[Pod ID],GameLog[[#This Row],[Pod ID]])</f>
        <v>4</v>
      </c>
      <c r="I2094" s="19">
        <f>YEAR(GameLog[[#This Row],[Date]])</f>
        <v>2026</v>
      </c>
      <c r="J2094" s="19">
        <f>MONTH(GameLog[[#This Row],[Date]])</f>
        <v>9</v>
      </c>
      <c r="K2094" s="19" t="str">
        <f>IF(GameLog[[#This Row],[Date]]=MAX(GameLog[Date]),"Current","Previous")</f>
        <v>Current</v>
      </c>
    </row>
    <row r="2095" spans="1:11" x14ac:dyDescent="0.45">
      <c r="A2095" t="s">
        <v>11</v>
      </c>
      <c r="B2095" t="s">
        <v>8</v>
      </c>
      <c r="C2095">
        <v>2</v>
      </c>
      <c r="D2095">
        <v>1</v>
      </c>
      <c r="E2095">
        <v>1</v>
      </c>
      <c r="F2095" s="1">
        <v>46272</v>
      </c>
      <c r="G2095" s="11" t="str">
        <f>_xlfn.TEXTJOIN("|",TRUE,D2095,TEXT(INT(E2095),"yyyymmdd"),F2095)</f>
        <v>1|19000101|46272</v>
      </c>
      <c r="H2095" s="19">
        <f>COUNTIF(GameLog[Pod ID],GameLog[[#This Row],[Pod ID]])</f>
        <v>4</v>
      </c>
      <c r="I2095" s="19">
        <f>YEAR(GameLog[[#This Row],[Date]])</f>
        <v>2026</v>
      </c>
      <c r="J2095" s="19">
        <f>MONTH(GameLog[[#This Row],[Date]])</f>
        <v>9</v>
      </c>
      <c r="K2095" s="19" t="str">
        <f>IF(GameLog[[#This Row],[Date]]=MAX(GameLog[Date]),"Current","Previous")</f>
        <v>Current</v>
      </c>
    </row>
    <row r="2096" spans="1:11" x14ac:dyDescent="0.45">
      <c r="A2096" t="s">
        <v>402</v>
      </c>
      <c r="B2096" t="s">
        <v>6</v>
      </c>
      <c r="C2096">
        <v>3</v>
      </c>
      <c r="D2096">
        <v>1</v>
      </c>
      <c r="E2096">
        <v>1</v>
      </c>
      <c r="F2096" s="1">
        <v>46272</v>
      </c>
      <c r="G2096" s="11" t="str">
        <f>_xlfn.TEXTJOIN("|",TRUE,D2096,TEXT(INT(E2096),"yyyymmdd"),F2096)</f>
        <v>1|19000101|46272</v>
      </c>
      <c r="H2096" s="19">
        <f>COUNTIF(GameLog[Pod ID],GameLog[[#This Row],[Pod ID]])</f>
        <v>4</v>
      </c>
      <c r="I2096" s="19">
        <f>YEAR(GameLog[[#This Row],[Date]])</f>
        <v>2026</v>
      </c>
      <c r="J2096" s="19">
        <f>MONTH(GameLog[[#This Row],[Date]])</f>
        <v>9</v>
      </c>
      <c r="K2096" s="19" t="str">
        <f>IF(GameLog[[#This Row],[Date]]=MAX(GameLog[Date]),"Current","Previous")</f>
        <v>Current</v>
      </c>
    </row>
    <row r="2097" spans="1:11" x14ac:dyDescent="0.45">
      <c r="A2097" t="s">
        <v>42</v>
      </c>
      <c r="B2097" t="s">
        <v>6</v>
      </c>
      <c r="C2097">
        <v>4</v>
      </c>
      <c r="D2097">
        <v>1</v>
      </c>
      <c r="E2097">
        <v>1</v>
      </c>
      <c r="F2097" s="1">
        <v>46272</v>
      </c>
      <c r="G2097" s="11" t="str">
        <f>_xlfn.TEXTJOIN("|",TRUE,D2097,TEXT(INT(E2097),"yyyymmdd"),F2097)</f>
        <v>1|19000101|46272</v>
      </c>
      <c r="H2097" s="19">
        <f>COUNTIF(GameLog[Pod ID],GameLog[[#This Row],[Pod ID]])</f>
        <v>4</v>
      </c>
      <c r="I2097" s="19">
        <f>YEAR(GameLog[[#This Row],[Date]])</f>
        <v>2026</v>
      </c>
      <c r="J2097" s="19">
        <f>MONTH(GameLog[[#This Row],[Date]])</f>
        <v>9</v>
      </c>
      <c r="K2097" s="19" t="str">
        <f>IF(GameLog[[#This Row],[Date]]=MAX(GameLog[Date]),"Current","Previous")</f>
        <v>Current</v>
      </c>
    </row>
    <row r="2098" spans="1:11" x14ac:dyDescent="0.45">
      <c r="A2098" t="s">
        <v>7</v>
      </c>
      <c r="B2098" t="s">
        <v>63</v>
      </c>
      <c r="C2098">
        <v>1</v>
      </c>
      <c r="D2098">
        <v>2</v>
      </c>
      <c r="E2098">
        <v>1</v>
      </c>
      <c r="F2098" s="1">
        <v>46272</v>
      </c>
      <c r="G2098" s="11" t="str">
        <f>_xlfn.TEXTJOIN("|",TRUE,D2098,TEXT(INT(E2098),"yyyymmdd"),F2098)</f>
        <v>2|19000101|46272</v>
      </c>
      <c r="H2098" s="19">
        <f>COUNTIF(GameLog[Pod ID],GameLog[[#This Row],[Pod ID]])</f>
        <v>4</v>
      </c>
      <c r="I2098" s="19">
        <f>YEAR(GameLog[[#This Row],[Date]])</f>
        <v>2026</v>
      </c>
      <c r="J2098" s="19">
        <f>MONTH(GameLog[[#This Row],[Date]])</f>
        <v>9</v>
      </c>
      <c r="K2098" s="19" t="str">
        <f>IF(GameLog[[#This Row],[Date]]=MAX(GameLog[Date]),"Current","Previous")</f>
        <v>Current</v>
      </c>
    </row>
    <row r="2099" spans="1:11" x14ac:dyDescent="0.45">
      <c r="A2099" t="s">
        <v>51</v>
      </c>
      <c r="B2099" t="s">
        <v>63</v>
      </c>
      <c r="C2099">
        <v>2</v>
      </c>
      <c r="D2099">
        <v>2</v>
      </c>
      <c r="E2099">
        <v>1</v>
      </c>
      <c r="F2099" s="1">
        <v>46272</v>
      </c>
      <c r="G2099" s="11" t="str">
        <f>_xlfn.TEXTJOIN("|",TRUE,D2099,TEXT(INT(E2099),"yyyymmdd"),F2099)</f>
        <v>2|19000101|46272</v>
      </c>
      <c r="H2099" s="19">
        <f>COUNTIF(GameLog[Pod ID],GameLog[[#This Row],[Pod ID]])</f>
        <v>4</v>
      </c>
      <c r="I2099" s="19">
        <f>YEAR(GameLog[[#This Row],[Date]])</f>
        <v>2026</v>
      </c>
      <c r="J2099" s="19">
        <f>MONTH(GameLog[[#This Row],[Date]])</f>
        <v>9</v>
      </c>
      <c r="K2099" s="19" t="str">
        <f>IF(GameLog[[#This Row],[Date]]=MAX(GameLog[Date]),"Current","Previous")</f>
        <v>Current</v>
      </c>
    </row>
    <row r="2100" spans="1:11" x14ac:dyDescent="0.45">
      <c r="A2100" t="s">
        <v>10</v>
      </c>
      <c r="B2100" t="s">
        <v>63</v>
      </c>
      <c r="C2100">
        <v>3</v>
      </c>
      <c r="D2100">
        <v>2</v>
      </c>
      <c r="E2100">
        <v>1</v>
      </c>
      <c r="F2100" s="1">
        <v>46272</v>
      </c>
      <c r="G2100" s="11" t="str">
        <f>_xlfn.TEXTJOIN("|",TRUE,D2100,TEXT(INT(E2100),"yyyymmdd"),F2100)</f>
        <v>2|19000101|46272</v>
      </c>
      <c r="H2100" s="19">
        <f>COUNTIF(GameLog[Pod ID],GameLog[[#This Row],[Pod ID]])</f>
        <v>4</v>
      </c>
      <c r="I2100" s="19">
        <f>YEAR(GameLog[[#This Row],[Date]])</f>
        <v>2026</v>
      </c>
      <c r="J2100" s="19">
        <f>MONTH(GameLog[[#This Row],[Date]])</f>
        <v>9</v>
      </c>
      <c r="K2100" s="19" t="str">
        <f>IF(GameLog[[#This Row],[Date]]=MAX(GameLog[Date]),"Current","Previous")</f>
        <v>Current</v>
      </c>
    </row>
    <row r="2101" spans="1:11" x14ac:dyDescent="0.45">
      <c r="A2101" t="s">
        <v>19</v>
      </c>
      <c r="B2101" t="s">
        <v>63</v>
      </c>
      <c r="C2101">
        <v>4</v>
      </c>
      <c r="D2101">
        <v>2</v>
      </c>
      <c r="E2101">
        <v>1</v>
      </c>
      <c r="F2101" s="1">
        <v>46272</v>
      </c>
      <c r="G2101" s="11" t="str">
        <f>_xlfn.TEXTJOIN("|",TRUE,D2101,TEXT(INT(E2101),"yyyymmdd"),F2101)</f>
        <v>2|19000101|46272</v>
      </c>
      <c r="H2101" s="19">
        <f>COUNTIF(GameLog[Pod ID],GameLog[[#This Row],[Pod ID]])</f>
        <v>4</v>
      </c>
      <c r="I2101" s="19">
        <f>YEAR(GameLog[[#This Row],[Date]])</f>
        <v>2026</v>
      </c>
      <c r="J2101" s="19">
        <f>MONTH(GameLog[[#This Row],[Date]])</f>
        <v>9</v>
      </c>
      <c r="K2101" s="19" t="str">
        <f>IF(GameLog[[#This Row],[Date]]=MAX(GameLog[Date]),"Current","Previous")</f>
        <v>Current</v>
      </c>
    </row>
    <row r="2102" spans="1:11" x14ac:dyDescent="0.45">
      <c r="A2102" t="s">
        <v>578</v>
      </c>
      <c r="B2102" t="s">
        <v>63</v>
      </c>
      <c r="C2102">
        <v>1</v>
      </c>
      <c r="D2102">
        <v>3</v>
      </c>
      <c r="E2102">
        <v>1</v>
      </c>
      <c r="F2102" s="1">
        <v>46272</v>
      </c>
      <c r="G2102" s="11" t="str">
        <f>_xlfn.TEXTJOIN("|",TRUE,D2102,TEXT(INT(E2102),"yyyymmdd"),F2102)</f>
        <v>3|19000101|46272</v>
      </c>
      <c r="H2102" s="19">
        <f>COUNTIF(GameLog[Pod ID],GameLog[[#This Row],[Pod ID]])</f>
        <v>4</v>
      </c>
      <c r="I2102" s="19">
        <f>YEAR(GameLog[[#This Row],[Date]])</f>
        <v>2026</v>
      </c>
      <c r="J2102" s="19">
        <f>MONTH(GameLog[[#This Row],[Date]])</f>
        <v>9</v>
      </c>
      <c r="K2102" s="19" t="str">
        <f>IF(GameLog[[#This Row],[Date]]=MAX(GameLog[Date]),"Current","Previous")</f>
        <v>Current</v>
      </c>
    </row>
    <row r="2103" spans="1:11" x14ac:dyDescent="0.45">
      <c r="A2103" t="s">
        <v>15</v>
      </c>
      <c r="B2103" t="s">
        <v>63</v>
      </c>
      <c r="C2103">
        <v>2</v>
      </c>
      <c r="D2103">
        <v>3</v>
      </c>
      <c r="E2103">
        <v>1</v>
      </c>
      <c r="F2103" s="1">
        <v>46272</v>
      </c>
      <c r="G2103" s="11" t="str">
        <f>_xlfn.TEXTJOIN("|",TRUE,D2103,TEXT(INT(E2103),"yyyymmdd"),F2103)</f>
        <v>3|19000101|46272</v>
      </c>
      <c r="H2103" s="19">
        <f>COUNTIF(GameLog[Pod ID],GameLog[[#This Row],[Pod ID]])</f>
        <v>4</v>
      </c>
      <c r="I2103" s="19">
        <f>YEAR(GameLog[[#This Row],[Date]])</f>
        <v>2026</v>
      </c>
      <c r="J2103" s="19">
        <f>MONTH(GameLog[[#This Row],[Date]])</f>
        <v>9</v>
      </c>
      <c r="K2103" s="19" t="str">
        <f>IF(GameLog[[#This Row],[Date]]=MAX(GameLog[Date]),"Current","Previous")</f>
        <v>Current</v>
      </c>
    </row>
    <row r="2104" spans="1:11" x14ac:dyDescent="0.45">
      <c r="A2104" t="s">
        <v>351</v>
      </c>
      <c r="B2104" t="s">
        <v>63</v>
      </c>
      <c r="C2104">
        <v>3</v>
      </c>
      <c r="D2104">
        <v>3</v>
      </c>
      <c r="E2104">
        <v>1</v>
      </c>
      <c r="F2104" s="1">
        <v>46272</v>
      </c>
      <c r="G2104" s="11" t="str">
        <f>_xlfn.TEXTJOIN("|",TRUE,D2104,TEXT(INT(E2104),"yyyymmdd"),F2104)</f>
        <v>3|19000101|46272</v>
      </c>
      <c r="H2104" s="19">
        <f>COUNTIF(GameLog[Pod ID],GameLog[[#This Row],[Pod ID]])</f>
        <v>4</v>
      </c>
      <c r="I2104" s="19">
        <f>YEAR(GameLog[[#This Row],[Date]])</f>
        <v>2026</v>
      </c>
      <c r="J2104" s="19">
        <f>MONTH(GameLog[[#This Row],[Date]])</f>
        <v>9</v>
      </c>
      <c r="K2104" s="19" t="str">
        <f>IF(GameLog[[#This Row],[Date]]=MAX(GameLog[Date]),"Current","Previous")</f>
        <v>Current</v>
      </c>
    </row>
    <row r="2105" spans="1:11" x14ac:dyDescent="0.45">
      <c r="A2105" t="s">
        <v>405</v>
      </c>
      <c r="B2105" t="s">
        <v>63</v>
      </c>
      <c r="C2105">
        <v>4</v>
      </c>
      <c r="D2105">
        <v>3</v>
      </c>
      <c r="E2105">
        <v>1</v>
      </c>
      <c r="F2105" s="1">
        <v>46272</v>
      </c>
      <c r="G2105" s="11" t="str">
        <f>_xlfn.TEXTJOIN("|",TRUE,D2105,TEXT(INT(E2105),"yyyymmdd"),F2105)</f>
        <v>3|19000101|46272</v>
      </c>
      <c r="H2105" s="19">
        <f>COUNTIF(GameLog[Pod ID],GameLog[[#This Row],[Pod ID]])</f>
        <v>4</v>
      </c>
      <c r="I2105" s="19">
        <f>YEAR(GameLog[[#This Row],[Date]])</f>
        <v>2026</v>
      </c>
      <c r="J2105" s="19">
        <f>MONTH(GameLog[[#This Row],[Date]])</f>
        <v>9</v>
      </c>
      <c r="K2105" s="19" t="str">
        <f>IF(GameLog[[#This Row],[Date]]=MAX(GameLog[Date]),"Current","Previous")</f>
        <v>Current</v>
      </c>
    </row>
    <row r="2106" spans="1:11" x14ac:dyDescent="0.45">
      <c r="A2106" t="s">
        <v>9</v>
      </c>
      <c r="B2106" t="s">
        <v>63</v>
      </c>
      <c r="C2106">
        <v>1</v>
      </c>
      <c r="D2106">
        <v>4</v>
      </c>
      <c r="E2106">
        <v>1</v>
      </c>
      <c r="F2106" s="1">
        <v>46272</v>
      </c>
      <c r="G2106" s="11" t="str">
        <f>_xlfn.TEXTJOIN("|",TRUE,D2106,TEXT(INT(E2106),"yyyymmdd"),F2106)</f>
        <v>4|19000101|46272</v>
      </c>
      <c r="H2106" s="19">
        <f>COUNTIF(GameLog[Pod ID],GameLog[[#This Row],[Pod ID]])</f>
        <v>4</v>
      </c>
      <c r="I2106" s="19">
        <f>YEAR(GameLog[[#This Row],[Date]])</f>
        <v>2026</v>
      </c>
      <c r="J2106" s="19">
        <f>MONTH(GameLog[[#This Row],[Date]])</f>
        <v>9</v>
      </c>
      <c r="K2106" s="19" t="str">
        <f>IF(GameLog[[#This Row],[Date]]=MAX(GameLog[Date]),"Current","Previous")</f>
        <v>Current</v>
      </c>
    </row>
    <row r="2107" spans="1:11" x14ac:dyDescent="0.45">
      <c r="A2107" t="s">
        <v>13</v>
      </c>
      <c r="B2107" t="s">
        <v>63</v>
      </c>
      <c r="C2107">
        <v>2</v>
      </c>
      <c r="D2107">
        <v>4</v>
      </c>
      <c r="E2107">
        <v>1</v>
      </c>
      <c r="F2107" s="1">
        <v>46272</v>
      </c>
      <c r="G2107" s="11" t="str">
        <f>_xlfn.TEXTJOIN("|",TRUE,D2107,TEXT(INT(E2107),"yyyymmdd"),F2107)</f>
        <v>4|19000101|46272</v>
      </c>
      <c r="H2107" s="19">
        <f>COUNTIF(GameLog[Pod ID],GameLog[[#This Row],[Pod ID]])</f>
        <v>4</v>
      </c>
      <c r="I2107" s="19">
        <f>YEAR(GameLog[[#This Row],[Date]])</f>
        <v>2026</v>
      </c>
      <c r="J2107" s="19">
        <f>MONTH(GameLog[[#This Row],[Date]])</f>
        <v>9</v>
      </c>
      <c r="K2107" s="19" t="str">
        <f>IF(GameLog[[#This Row],[Date]]=MAX(GameLog[Date]),"Current","Previous")</f>
        <v>Current</v>
      </c>
    </row>
    <row r="2108" spans="1:11" x14ac:dyDescent="0.45">
      <c r="A2108" t="s">
        <v>609</v>
      </c>
      <c r="B2108" t="s">
        <v>63</v>
      </c>
      <c r="C2108">
        <v>3</v>
      </c>
      <c r="D2108">
        <v>4</v>
      </c>
      <c r="E2108">
        <v>1</v>
      </c>
      <c r="F2108" s="1">
        <v>46272</v>
      </c>
      <c r="G2108" s="11" t="str">
        <f>_xlfn.TEXTJOIN("|",TRUE,D2108,TEXT(INT(E2108),"yyyymmdd"),F2108)</f>
        <v>4|19000101|46272</v>
      </c>
      <c r="H2108" s="19">
        <f>COUNTIF(GameLog[Pod ID],GameLog[[#This Row],[Pod ID]])</f>
        <v>4</v>
      </c>
      <c r="I2108" s="19">
        <f>YEAR(GameLog[[#This Row],[Date]])</f>
        <v>2026</v>
      </c>
      <c r="J2108" s="19">
        <f>MONTH(GameLog[[#This Row],[Date]])</f>
        <v>9</v>
      </c>
      <c r="K2108" s="19" t="str">
        <f>IF(GameLog[[#This Row],[Date]]=MAX(GameLog[Date]),"Current","Previous")</f>
        <v>Current</v>
      </c>
    </row>
    <row r="2109" spans="1:11" x14ac:dyDescent="0.45">
      <c r="A2109" t="s">
        <v>14</v>
      </c>
      <c r="B2109" t="s">
        <v>63</v>
      </c>
      <c r="C2109">
        <v>4</v>
      </c>
      <c r="D2109">
        <v>4</v>
      </c>
      <c r="E2109">
        <v>1</v>
      </c>
      <c r="F2109" s="1">
        <v>46272</v>
      </c>
      <c r="G2109" s="11" t="str">
        <f>_xlfn.TEXTJOIN("|",TRUE,D2109,TEXT(INT(E2109),"yyyymmdd"),F2109)</f>
        <v>4|19000101|46272</v>
      </c>
      <c r="H2109" s="19">
        <f>COUNTIF(GameLog[Pod ID],GameLog[[#This Row],[Pod ID]])</f>
        <v>4</v>
      </c>
      <c r="I2109" s="19">
        <f>YEAR(GameLog[[#This Row],[Date]])</f>
        <v>2026</v>
      </c>
      <c r="J2109" s="19">
        <f>MONTH(GameLog[[#This Row],[Date]])</f>
        <v>9</v>
      </c>
      <c r="K2109" s="19" t="str">
        <f>IF(GameLog[[#This Row],[Date]]=MAX(GameLog[Date]),"Current","Previous")</f>
        <v>Current</v>
      </c>
    </row>
    <row r="2110" spans="1:11" x14ac:dyDescent="0.45">
      <c r="A2110" t="s">
        <v>14</v>
      </c>
      <c r="B2110" t="s">
        <v>63</v>
      </c>
      <c r="C2110">
        <v>1</v>
      </c>
      <c r="D2110">
        <v>1</v>
      </c>
      <c r="E2110">
        <v>2</v>
      </c>
      <c r="F2110" s="1">
        <v>46272</v>
      </c>
      <c r="G2110" s="11" t="str">
        <f>_xlfn.TEXTJOIN("|",TRUE,D2110,TEXT(INT(E2110),"yyyymmdd"),F2110)</f>
        <v>1|19000102|46272</v>
      </c>
      <c r="H2110" s="19">
        <f>COUNTIF(GameLog[Pod ID],GameLog[[#This Row],[Pod ID]])</f>
        <v>4</v>
      </c>
      <c r="I2110" s="19">
        <f>YEAR(GameLog[[#This Row],[Date]])</f>
        <v>2026</v>
      </c>
      <c r="J2110" s="19">
        <f>MONTH(GameLog[[#This Row],[Date]])</f>
        <v>9</v>
      </c>
      <c r="K2110" s="19" t="str">
        <f>IF(GameLog[[#This Row],[Date]]=MAX(GameLog[Date]),"Current","Previous")</f>
        <v>Current</v>
      </c>
    </row>
    <row r="2111" spans="1:11" x14ac:dyDescent="0.45">
      <c r="A2111" t="s">
        <v>19</v>
      </c>
      <c r="B2111" t="s">
        <v>63</v>
      </c>
      <c r="C2111">
        <v>2</v>
      </c>
      <c r="D2111">
        <v>1</v>
      </c>
      <c r="E2111">
        <v>2</v>
      </c>
      <c r="F2111" s="1">
        <v>46272</v>
      </c>
      <c r="G2111" s="11" t="str">
        <f>_xlfn.TEXTJOIN("|",TRUE,D2111,TEXT(INT(E2111),"yyyymmdd"),F2111)</f>
        <v>1|19000102|46272</v>
      </c>
      <c r="H2111" s="19">
        <f>COUNTIF(GameLog[Pod ID],GameLog[[#This Row],[Pod ID]])</f>
        <v>4</v>
      </c>
      <c r="I2111" s="19">
        <f>YEAR(GameLog[[#This Row],[Date]])</f>
        <v>2026</v>
      </c>
      <c r="J2111" s="19">
        <f>MONTH(GameLog[[#This Row],[Date]])</f>
        <v>9</v>
      </c>
      <c r="K2111" s="19" t="str">
        <f>IF(GameLog[[#This Row],[Date]]=MAX(GameLog[Date]),"Current","Previous")</f>
        <v>Current</v>
      </c>
    </row>
    <row r="2112" spans="1:11" x14ac:dyDescent="0.45">
      <c r="A2112" t="s">
        <v>405</v>
      </c>
      <c r="B2112" t="s">
        <v>63</v>
      </c>
      <c r="C2112">
        <v>3</v>
      </c>
      <c r="D2112">
        <v>1</v>
      </c>
      <c r="E2112">
        <v>2</v>
      </c>
      <c r="F2112" s="1">
        <v>46272</v>
      </c>
      <c r="G2112" s="11" t="str">
        <f>_xlfn.TEXTJOIN("|",TRUE,D2112,TEXT(INT(E2112),"yyyymmdd"),F2112)</f>
        <v>1|19000102|46272</v>
      </c>
      <c r="H2112" s="19">
        <f>COUNTIF(GameLog[Pod ID],GameLog[[#This Row],[Pod ID]])</f>
        <v>4</v>
      </c>
      <c r="I2112" s="19">
        <f>YEAR(GameLog[[#This Row],[Date]])</f>
        <v>2026</v>
      </c>
      <c r="J2112" s="19">
        <f>MONTH(GameLog[[#This Row],[Date]])</f>
        <v>9</v>
      </c>
      <c r="K2112" s="19" t="str">
        <f>IF(GameLog[[#This Row],[Date]]=MAX(GameLog[Date]),"Current","Previous")</f>
        <v>Current</v>
      </c>
    </row>
    <row r="2113" spans="1:11" x14ac:dyDescent="0.45">
      <c r="A2113" t="s">
        <v>11</v>
      </c>
      <c r="B2113" t="s">
        <v>63</v>
      </c>
      <c r="C2113">
        <v>4</v>
      </c>
      <c r="D2113">
        <v>1</v>
      </c>
      <c r="E2113">
        <v>2</v>
      </c>
      <c r="F2113" s="1">
        <v>46272</v>
      </c>
      <c r="G2113" s="11" t="str">
        <f>_xlfn.TEXTJOIN("|",TRUE,D2113,TEXT(INT(E2113),"yyyymmdd"),F2113)</f>
        <v>1|19000102|46272</v>
      </c>
      <c r="H2113" s="19">
        <f>COUNTIF(GameLog[Pod ID],GameLog[[#This Row],[Pod ID]])</f>
        <v>4</v>
      </c>
      <c r="I2113" s="19">
        <f>YEAR(GameLog[[#This Row],[Date]])</f>
        <v>2026</v>
      </c>
      <c r="J2113" s="19">
        <f>MONTH(GameLog[[#This Row],[Date]])</f>
        <v>9</v>
      </c>
      <c r="K2113" s="19" t="str">
        <f>IF(GameLog[[#This Row],[Date]]=MAX(GameLog[Date]),"Current","Previous")</f>
        <v>Current</v>
      </c>
    </row>
    <row r="2114" spans="1:11" x14ac:dyDescent="0.45">
      <c r="A2114" t="s">
        <v>13</v>
      </c>
      <c r="B2114" t="s">
        <v>6</v>
      </c>
      <c r="C2114">
        <v>1</v>
      </c>
      <c r="D2114">
        <v>2</v>
      </c>
      <c r="E2114">
        <v>2</v>
      </c>
      <c r="F2114" s="1">
        <v>46272</v>
      </c>
      <c r="G2114" s="11" t="str">
        <f>_xlfn.TEXTJOIN("|",TRUE,D2114,TEXT(INT(E2114),"yyyymmdd"),F2114)</f>
        <v>2|19000102|46272</v>
      </c>
      <c r="H2114" s="19">
        <f>COUNTIF(GameLog[Pod ID],GameLog[[#This Row],[Pod ID]])</f>
        <v>4</v>
      </c>
      <c r="I2114" s="19">
        <f>YEAR(GameLog[[#This Row],[Date]])</f>
        <v>2026</v>
      </c>
      <c r="J2114" s="19">
        <f>MONTH(GameLog[[#This Row],[Date]])</f>
        <v>9</v>
      </c>
      <c r="K2114" s="19" t="str">
        <f>IF(GameLog[[#This Row],[Date]]=MAX(GameLog[Date]),"Current","Previous")</f>
        <v>Current</v>
      </c>
    </row>
    <row r="2115" spans="1:11" x14ac:dyDescent="0.45">
      <c r="A2115" t="s">
        <v>402</v>
      </c>
      <c r="B2115" t="s">
        <v>6</v>
      </c>
      <c r="C2115">
        <v>2</v>
      </c>
      <c r="D2115">
        <v>2</v>
      </c>
      <c r="E2115">
        <v>2</v>
      </c>
      <c r="F2115" s="1">
        <v>46272</v>
      </c>
      <c r="G2115" s="11" t="str">
        <f>_xlfn.TEXTJOIN("|",TRUE,D2115,TEXT(INT(E2115),"yyyymmdd"),F2115)</f>
        <v>2|19000102|46272</v>
      </c>
      <c r="H2115" s="19">
        <f>COUNTIF(GameLog[Pod ID],GameLog[[#This Row],[Pod ID]])</f>
        <v>4</v>
      </c>
      <c r="I2115" s="19">
        <f>YEAR(GameLog[[#This Row],[Date]])</f>
        <v>2026</v>
      </c>
      <c r="J2115" s="19">
        <f>MONTH(GameLog[[#This Row],[Date]])</f>
        <v>9</v>
      </c>
      <c r="K2115" s="19" t="str">
        <f>IF(GameLog[[#This Row],[Date]]=MAX(GameLog[Date]),"Current","Previous")</f>
        <v>Current</v>
      </c>
    </row>
    <row r="2116" spans="1:11" x14ac:dyDescent="0.45">
      <c r="A2116" t="s">
        <v>51</v>
      </c>
      <c r="B2116" t="s">
        <v>6</v>
      </c>
      <c r="C2116">
        <v>3</v>
      </c>
      <c r="D2116">
        <v>2</v>
      </c>
      <c r="E2116">
        <v>2</v>
      </c>
      <c r="F2116" s="1">
        <v>46272</v>
      </c>
      <c r="G2116" s="11" t="str">
        <f>_xlfn.TEXTJOIN("|",TRUE,D2116,TEXT(INT(E2116),"yyyymmdd"),F2116)</f>
        <v>2|19000102|46272</v>
      </c>
      <c r="H2116" s="19">
        <f>COUNTIF(GameLog[Pod ID],GameLog[[#This Row],[Pod ID]])</f>
        <v>4</v>
      </c>
      <c r="I2116" s="19">
        <f>YEAR(GameLog[[#This Row],[Date]])</f>
        <v>2026</v>
      </c>
      <c r="J2116" s="19">
        <f>MONTH(GameLog[[#This Row],[Date]])</f>
        <v>9</v>
      </c>
      <c r="K2116" s="19" t="str">
        <f>IF(GameLog[[#This Row],[Date]]=MAX(GameLog[Date]),"Current","Previous")</f>
        <v>Current</v>
      </c>
    </row>
    <row r="2117" spans="1:11" x14ac:dyDescent="0.45">
      <c r="A2117" t="s">
        <v>578</v>
      </c>
      <c r="B2117" t="s">
        <v>8</v>
      </c>
      <c r="C2117">
        <v>4</v>
      </c>
      <c r="D2117">
        <v>2</v>
      </c>
      <c r="E2117">
        <v>2</v>
      </c>
      <c r="F2117" s="1">
        <v>46272</v>
      </c>
      <c r="G2117" s="11" t="str">
        <f>_xlfn.TEXTJOIN("|",TRUE,D2117,TEXT(INT(E2117),"yyyymmdd"),F2117)</f>
        <v>2|19000102|46272</v>
      </c>
      <c r="H2117" s="19">
        <f>COUNTIF(GameLog[Pod ID],GameLog[[#This Row],[Pod ID]])</f>
        <v>4</v>
      </c>
      <c r="I2117" s="19">
        <f>YEAR(GameLog[[#This Row],[Date]])</f>
        <v>2026</v>
      </c>
      <c r="J2117" s="19">
        <f>MONTH(GameLog[[#This Row],[Date]])</f>
        <v>9</v>
      </c>
      <c r="K2117" s="19" t="str">
        <f>IF(GameLog[[#This Row],[Date]]=MAX(GameLog[Date]),"Current","Previous")</f>
        <v>Current</v>
      </c>
    </row>
    <row r="2118" spans="1:11" x14ac:dyDescent="0.45">
      <c r="A2118" t="s">
        <v>42</v>
      </c>
      <c r="B2118" t="s">
        <v>6</v>
      </c>
      <c r="C2118">
        <v>1</v>
      </c>
      <c r="D2118">
        <v>3</v>
      </c>
      <c r="E2118">
        <v>2</v>
      </c>
      <c r="F2118" s="1">
        <v>46272</v>
      </c>
      <c r="G2118" s="11" t="str">
        <f>_xlfn.TEXTJOIN("|",TRUE,D2118,TEXT(INT(E2118),"yyyymmdd"),F2118)</f>
        <v>3|19000102|46272</v>
      </c>
      <c r="H2118" s="19">
        <f>COUNTIF(GameLog[Pod ID],GameLog[[#This Row],[Pod ID]])</f>
        <v>4</v>
      </c>
      <c r="I2118" s="19">
        <f>YEAR(GameLog[[#This Row],[Date]])</f>
        <v>2026</v>
      </c>
      <c r="J2118" s="19">
        <f>MONTH(GameLog[[#This Row],[Date]])</f>
        <v>9</v>
      </c>
      <c r="K2118" s="19" t="str">
        <f>IF(GameLog[[#This Row],[Date]]=MAX(GameLog[Date]),"Current","Previous")</f>
        <v>Current</v>
      </c>
    </row>
    <row r="2119" spans="1:11" x14ac:dyDescent="0.45">
      <c r="A2119" t="s">
        <v>10</v>
      </c>
      <c r="B2119" t="s">
        <v>6</v>
      </c>
      <c r="C2119">
        <v>2</v>
      </c>
      <c r="D2119">
        <v>3</v>
      </c>
      <c r="E2119">
        <v>2</v>
      </c>
      <c r="F2119" s="1">
        <v>46272</v>
      </c>
      <c r="G2119" s="11" t="str">
        <f>_xlfn.TEXTJOIN("|",TRUE,D2119,TEXT(INT(E2119),"yyyymmdd"),F2119)</f>
        <v>3|19000102|46272</v>
      </c>
      <c r="H2119" s="19">
        <f>COUNTIF(GameLog[Pod ID],GameLog[[#This Row],[Pod ID]])</f>
        <v>4</v>
      </c>
      <c r="I2119" s="19">
        <f>YEAR(GameLog[[#This Row],[Date]])</f>
        <v>2026</v>
      </c>
      <c r="J2119" s="19">
        <f>MONTH(GameLog[[#This Row],[Date]])</f>
        <v>9</v>
      </c>
      <c r="K2119" s="19" t="str">
        <f>IF(GameLog[[#This Row],[Date]]=MAX(GameLog[Date]),"Current","Previous")</f>
        <v>Current</v>
      </c>
    </row>
    <row r="2120" spans="1:11" x14ac:dyDescent="0.45">
      <c r="A2120" t="s">
        <v>351</v>
      </c>
      <c r="B2120" t="s">
        <v>6</v>
      </c>
      <c r="C2120">
        <v>3</v>
      </c>
      <c r="D2120">
        <v>3</v>
      </c>
      <c r="E2120">
        <v>2</v>
      </c>
      <c r="F2120" s="1">
        <v>46272</v>
      </c>
      <c r="G2120" s="11" t="str">
        <f>_xlfn.TEXTJOIN("|",TRUE,D2120,TEXT(INT(E2120),"yyyymmdd"),F2120)</f>
        <v>3|19000102|46272</v>
      </c>
      <c r="H2120" s="19">
        <f>COUNTIF(GameLog[Pod ID],GameLog[[#This Row],[Pod ID]])</f>
        <v>4</v>
      </c>
      <c r="I2120" s="19">
        <f>YEAR(GameLog[[#This Row],[Date]])</f>
        <v>2026</v>
      </c>
      <c r="J2120" s="19">
        <f>MONTH(GameLog[[#This Row],[Date]])</f>
        <v>9</v>
      </c>
      <c r="K2120" s="19" t="str">
        <f>IF(GameLog[[#This Row],[Date]]=MAX(GameLog[Date]),"Current","Previous")</f>
        <v>Current</v>
      </c>
    </row>
    <row r="2121" spans="1:11" x14ac:dyDescent="0.45">
      <c r="A2121" t="s">
        <v>9</v>
      </c>
      <c r="B2121" t="s">
        <v>8</v>
      </c>
      <c r="C2121">
        <v>4</v>
      </c>
      <c r="D2121">
        <v>3</v>
      </c>
      <c r="E2121">
        <v>2</v>
      </c>
      <c r="F2121" s="1">
        <v>46272</v>
      </c>
      <c r="G2121" s="11" t="str">
        <f>_xlfn.TEXTJOIN("|",TRUE,D2121,TEXT(INT(E2121),"yyyymmdd"),F2121)</f>
        <v>3|19000102|46272</v>
      </c>
      <c r="H2121" s="19">
        <f>COUNTIF(GameLog[Pod ID],GameLog[[#This Row],[Pod ID]])</f>
        <v>4</v>
      </c>
      <c r="I2121" s="19">
        <f>YEAR(GameLog[[#This Row],[Date]])</f>
        <v>2026</v>
      </c>
      <c r="J2121" s="19">
        <f>MONTH(GameLog[[#This Row],[Date]])</f>
        <v>9</v>
      </c>
      <c r="K2121" s="19" t="str">
        <f>IF(GameLog[[#This Row],[Date]]=MAX(GameLog[Date]),"Current","Previous")</f>
        <v>Current</v>
      </c>
    </row>
    <row r="2122" spans="1:11" x14ac:dyDescent="0.45">
      <c r="A2122" t="s">
        <v>609</v>
      </c>
      <c r="B2122" t="s">
        <v>6</v>
      </c>
      <c r="C2122">
        <v>1</v>
      </c>
      <c r="D2122">
        <v>4</v>
      </c>
      <c r="E2122">
        <v>2</v>
      </c>
      <c r="F2122" s="1">
        <v>46272</v>
      </c>
      <c r="G2122" s="11" t="str">
        <f>_xlfn.TEXTJOIN("|",TRUE,D2122,TEXT(INT(E2122),"yyyymmdd"),F2122)</f>
        <v>4|19000102|46272</v>
      </c>
      <c r="H2122" s="19">
        <f>COUNTIF(GameLog[Pod ID],GameLog[[#This Row],[Pod ID]])</f>
        <v>4</v>
      </c>
      <c r="I2122" s="19">
        <f>YEAR(GameLog[[#This Row],[Date]])</f>
        <v>2026</v>
      </c>
      <c r="J2122" s="19">
        <f>MONTH(GameLog[[#This Row],[Date]])</f>
        <v>9</v>
      </c>
      <c r="K2122" s="19" t="str">
        <f>IF(GameLog[[#This Row],[Date]]=MAX(GameLog[Date]),"Current","Previous")</f>
        <v>Current</v>
      </c>
    </row>
    <row r="2123" spans="1:11" x14ac:dyDescent="0.45">
      <c r="A2123" t="s">
        <v>15</v>
      </c>
      <c r="B2123" t="s">
        <v>6</v>
      </c>
      <c r="C2123">
        <v>2</v>
      </c>
      <c r="D2123">
        <v>4</v>
      </c>
      <c r="E2123">
        <v>2</v>
      </c>
      <c r="F2123" s="1">
        <v>46272</v>
      </c>
      <c r="G2123" s="11" t="str">
        <f>_xlfn.TEXTJOIN("|",TRUE,D2123,TEXT(INT(E2123),"yyyymmdd"),F2123)</f>
        <v>4|19000102|46272</v>
      </c>
      <c r="H2123" s="19">
        <f>COUNTIF(GameLog[Pod ID],GameLog[[#This Row],[Pod ID]])</f>
        <v>4</v>
      </c>
      <c r="I2123" s="19">
        <f>YEAR(GameLog[[#This Row],[Date]])</f>
        <v>2026</v>
      </c>
      <c r="J2123" s="19">
        <f>MONTH(GameLog[[#This Row],[Date]])</f>
        <v>9</v>
      </c>
      <c r="K2123" s="19" t="str">
        <f>IF(GameLog[[#This Row],[Date]]=MAX(GameLog[Date]),"Current","Previous")</f>
        <v>Current</v>
      </c>
    </row>
    <row r="2124" spans="1:11" x14ac:dyDescent="0.45">
      <c r="A2124" t="s">
        <v>7</v>
      </c>
      <c r="B2124" t="s">
        <v>8</v>
      </c>
      <c r="C2124">
        <v>3</v>
      </c>
      <c r="D2124">
        <v>4</v>
      </c>
      <c r="E2124">
        <v>2</v>
      </c>
      <c r="F2124" s="1">
        <v>46272</v>
      </c>
      <c r="G2124" s="11" t="str">
        <f>_xlfn.TEXTJOIN("|",TRUE,D2124,TEXT(INT(E2124),"yyyymmdd"),F2124)</f>
        <v>4|19000102|46272</v>
      </c>
      <c r="H2124" s="19">
        <f>COUNTIF(GameLog[Pod ID],GameLog[[#This Row],[Pod ID]])</f>
        <v>4</v>
      </c>
      <c r="I2124" s="19">
        <f>YEAR(GameLog[[#This Row],[Date]])</f>
        <v>2026</v>
      </c>
      <c r="J2124" s="19">
        <f>MONTH(GameLog[[#This Row],[Date]])</f>
        <v>9</v>
      </c>
      <c r="K2124" s="19" t="str">
        <f>IF(GameLog[[#This Row],[Date]]=MAX(GameLog[Date]),"Current","Previous")</f>
        <v>Current</v>
      </c>
    </row>
    <row r="2125" spans="1:11" x14ac:dyDescent="0.45">
      <c r="A2125" t="s">
        <v>325</v>
      </c>
      <c r="B2125" t="s">
        <v>6</v>
      </c>
      <c r="C2125">
        <v>4</v>
      </c>
      <c r="D2125">
        <v>4</v>
      </c>
      <c r="E2125">
        <v>2</v>
      </c>
      <c r="F2125" s="1">
        <v>46272</v>
      </c>
      <c r="G2125" s="11" t="str">
        <f>_xlfn.TEXTJOIN("|",TRUE,D2125,TEXT(INT(E2125),"yyyymmdd"),F2125)</f>
        <v>4|19000102|46272</v>
      </c>
      <c r="H2125" s="19">
        <f>COUNTIF(GameLog[Pod ID],GameLog[[#This Row],[Pod ID]])</f>
        <v>4</v>
      </c>
      <c r="I2125" s="19">
        <f>YEAR(GameLog[[#This Row],[Date]])</f>
        <v>2026</v>
      </c>
      <c r="J2125" s="19">
        <f>MONTH(GameLog[[#This Row],[Date]])</f>
        <v>9</v>
      </c>
      <c r="K2125"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067"/>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4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4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4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4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4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4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4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4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4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4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4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4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4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4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4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4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4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4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4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4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4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4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4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4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4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4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4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4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4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4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4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4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4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4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4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4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4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4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4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4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4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4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4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4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4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4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4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4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4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4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4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4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4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4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4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4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4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4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4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4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4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4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4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4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4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4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4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4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4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4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4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4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4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4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4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4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4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4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4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4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4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4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4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4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4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4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4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4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4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4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4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4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4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4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4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4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4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4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4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4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4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4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4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4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4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4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4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4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4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4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4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4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4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4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4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4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4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4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4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4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4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4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4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4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4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4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4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4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4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4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4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4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4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4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4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4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4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4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4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4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4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4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4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4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4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4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4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4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4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4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4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4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4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4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4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4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4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4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4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4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4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4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4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4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4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4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4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4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4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4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4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4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4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4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4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4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4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4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4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4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4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4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4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4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4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4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4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4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4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4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4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4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4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4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4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4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4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4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4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4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4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4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4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4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4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4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4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4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4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4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4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4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4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4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4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4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4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4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4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4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4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4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4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4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4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4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4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4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4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4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4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4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4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4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4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4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4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4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4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4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4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4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4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4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4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4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4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4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4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4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4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4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4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4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4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4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4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4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4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4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4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4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4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4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4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4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4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4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4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4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4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4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4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4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4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4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4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4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4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4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4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4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4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4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4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4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4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4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4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4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4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4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4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4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4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4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4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4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4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4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4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4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4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4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4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4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4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4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4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4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4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4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4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4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4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4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4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4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4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4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4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4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4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4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4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4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4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4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4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4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4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4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4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4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4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4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4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4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4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4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4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4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4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4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4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4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4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4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4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4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4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4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4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4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4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4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4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4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4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4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4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4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4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4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4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4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4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4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4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4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4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4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4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4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4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4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4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4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4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4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4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4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4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4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4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4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4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4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4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4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4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4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4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4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4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4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4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4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4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4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4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4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4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4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4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4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4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4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4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4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4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4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4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4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4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4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4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4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4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4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4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4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4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4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4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4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4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4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4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4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4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4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4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4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4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4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4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4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4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4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4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4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4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4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4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4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4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4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4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4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4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4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4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4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4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4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4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4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4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4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4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4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4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4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4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4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4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4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4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4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4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4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4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4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4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4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4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4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4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4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4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4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4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4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4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4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4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4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4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4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4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4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4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4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4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4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4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4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4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4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4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4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4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4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4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4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4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4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4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4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4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4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4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4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4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4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4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4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4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4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4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4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4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4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4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4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4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4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4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4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4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4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4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4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4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4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4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4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4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4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4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4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4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4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4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4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4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4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4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4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4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4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4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4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4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4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4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4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4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4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4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4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4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4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4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4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4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4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4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4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4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4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4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4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4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4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4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4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4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4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4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4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4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4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4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4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4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4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4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4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4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4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4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4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4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4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4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4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4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4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4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4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4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4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4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4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4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4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4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4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4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4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4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4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4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4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4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4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4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4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4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4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4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4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4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4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4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4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4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4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4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4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4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4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4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4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4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4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4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4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4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4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4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4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4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4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4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4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4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4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4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4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4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4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4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4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4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4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4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4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4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4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4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4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4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4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4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4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4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4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4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4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4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4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4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4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4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4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4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4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4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4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4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4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4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4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4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4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4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4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4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4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4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4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4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4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4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4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4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4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4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4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4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4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4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4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4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4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4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4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4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4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4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4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4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4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4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4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4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4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4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4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4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4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4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4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4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4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4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4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4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4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4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4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4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4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4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4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4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4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4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4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4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4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4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4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4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4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4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4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4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4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4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4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4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4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4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4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4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4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4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4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4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4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4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4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4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4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4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4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4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4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4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4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4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4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4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4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4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4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4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4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4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4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4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4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4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4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4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4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4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4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4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4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4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4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4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4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4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4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4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4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4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4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4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4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4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4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4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4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4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4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4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4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4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4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4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4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4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4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4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4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4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4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4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4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4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4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4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4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4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4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4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4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4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4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4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4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4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4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4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4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4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4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4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4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4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4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4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4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4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4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4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4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4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4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4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4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4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4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4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4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4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4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4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4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4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4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4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4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4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4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4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4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4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4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4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4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4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4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4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4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4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4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4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4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4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4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4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4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4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4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4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4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4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4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4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4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4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4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4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4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4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4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4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4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4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4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4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4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4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4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4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4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4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4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4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4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4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4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4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4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4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4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4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4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4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4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4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4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4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4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4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4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4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4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4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4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4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4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4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4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4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4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4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4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4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4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4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4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4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4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4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4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4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4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4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4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4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4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4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4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4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4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4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4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4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4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4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4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4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4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4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4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4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4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4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4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4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4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4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4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4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4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4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4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4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4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4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4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4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4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4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4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4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4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4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4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4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4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4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4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4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4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4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4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4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4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4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4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4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4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4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4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4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4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4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4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4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4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4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4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4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4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4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4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4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4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4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4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4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4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4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4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4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4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4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4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4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4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4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4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4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4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4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4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4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4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4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4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4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4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4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4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4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4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4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4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4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4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4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4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4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4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4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4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4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4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4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4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4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4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4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4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4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4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4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4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4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4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4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4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4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4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4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4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4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4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4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4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4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4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4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4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4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4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4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4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4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4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4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4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4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4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4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4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4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4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4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4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4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4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4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4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4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4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4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4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4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4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4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4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4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4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4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4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4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4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4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4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4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4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4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4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4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4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4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4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4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4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4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4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4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4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4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4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4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4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4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4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4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4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4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4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4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4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4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4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4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4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4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4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4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4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4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4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4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4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4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4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4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4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4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4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4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4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4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4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4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4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4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4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4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4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4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4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4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4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4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4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4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4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4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4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4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4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4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4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4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4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4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4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4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4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4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4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4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4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4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4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4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4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4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4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4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4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4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4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4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4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4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4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4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4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4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4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4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4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4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4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4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4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4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4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4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4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4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4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4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4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4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4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4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4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4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4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4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4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4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4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4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4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4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4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4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4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4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4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4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4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4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4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4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4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4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4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4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4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4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4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4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4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4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4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4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4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4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4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4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4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4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4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4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4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4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4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4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4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4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4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4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4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4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4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4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4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4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4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4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4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4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4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4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4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4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4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4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4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4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4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4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4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4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4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4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4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4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4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4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4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4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4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4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4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4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4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4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4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4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4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4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4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4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4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4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4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4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4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4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4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4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4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4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4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4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4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4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4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4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4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4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4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4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4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4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4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4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4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4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4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4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4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4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4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4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4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4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4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4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4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4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4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4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4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4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4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4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4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4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4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4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4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4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4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4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4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4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4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4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4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4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4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4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4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4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4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4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4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4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4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4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4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4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4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4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4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4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4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4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4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4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4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4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4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4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4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4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4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4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4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4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4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4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4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4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4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4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4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4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4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4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4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4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4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4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4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4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4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4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4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4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4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4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4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4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4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4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4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4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4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4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4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4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4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4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4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4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4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4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4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4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4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4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4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4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4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4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4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4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4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4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4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4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4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4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4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4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4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4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4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4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4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4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4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4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4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4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4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4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4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4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4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4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4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4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4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4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4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4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4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4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4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4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4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4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4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4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4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4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4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4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4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4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4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4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4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4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4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4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4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4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4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4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4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4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4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4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4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4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4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4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4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4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4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4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4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4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4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4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4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4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4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4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4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4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4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4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4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4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4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4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4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4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4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4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4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4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4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4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4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4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4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4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4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4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4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4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4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4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4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4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4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4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4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4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4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4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4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4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4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4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4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4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4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4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4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4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4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4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4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4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4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4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4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4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4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4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4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4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4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4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4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4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4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4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4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4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4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4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4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4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4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4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4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4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4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4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4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4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4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4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4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4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4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4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4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4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4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4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4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4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4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4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4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4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4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4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4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4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4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4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4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4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4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4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4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4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4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4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4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4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4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4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4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4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4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4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4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4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4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4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4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4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4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4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4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4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4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4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4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4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4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4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4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4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4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4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4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4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4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4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4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4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4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4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4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4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4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4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4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4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4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4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4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4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4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4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4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4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4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4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4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4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4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4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4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4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4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4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4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4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4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4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4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4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4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4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4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4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4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4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4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4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4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4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4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4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4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4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4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4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4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4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4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4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4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4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4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4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4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4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4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4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4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4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4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4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4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4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4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4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4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4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4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4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4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4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4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4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4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4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4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4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4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4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4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4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4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4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4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4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4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4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4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4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4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4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4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4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4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4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4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4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4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4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4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4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4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4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4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4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4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4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4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4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4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4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4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4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4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4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4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4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4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4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4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4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4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4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4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4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4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4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4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4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4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4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4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4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4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4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4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4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4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4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4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4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4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4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4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4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4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4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4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4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4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4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4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4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4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4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4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4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4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4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4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4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4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4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4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4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4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4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4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4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4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4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4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4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4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4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4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4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4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4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4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4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4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4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4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4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4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4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4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4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4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4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4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4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4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4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4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4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4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4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4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4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4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4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4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4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4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4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4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4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4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4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4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4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4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4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4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4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4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4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4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4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4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4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4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4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4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4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4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4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4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4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4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4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4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4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4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4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4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4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4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4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4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4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4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4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4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4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4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4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4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4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4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4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4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4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4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4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4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4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4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4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4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4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4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4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4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4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4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4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4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4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4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4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4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4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4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4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4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4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4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4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4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4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4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4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4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4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4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4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4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4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4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4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4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4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4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4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4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4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4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4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4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4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4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4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4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4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4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4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4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4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4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4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4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4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4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4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4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4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4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4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4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4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4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4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4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4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4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4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4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4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4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4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4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4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4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4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4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4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4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4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4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4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4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4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4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4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4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4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4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4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4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4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4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4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4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4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4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4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4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4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4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4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4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4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4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4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4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4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4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4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4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4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4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4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4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4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4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4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4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4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4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4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4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4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4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4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4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4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4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4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4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4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4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4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4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4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4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4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4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4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4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4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4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4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4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4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4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4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4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4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4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4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4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4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4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4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4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4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4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4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4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4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4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4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4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4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4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4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4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4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4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4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4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4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4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4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4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4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4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4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4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4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4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4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4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4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4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4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4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4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4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4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4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4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4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4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4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4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4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4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4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4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4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4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4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4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4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4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4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4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4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4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4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4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4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4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4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4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4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4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4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4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4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4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4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4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4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4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4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4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4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4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4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4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4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4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4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4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4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4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4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4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4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4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4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4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4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4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4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4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4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4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4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4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4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4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4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4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4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4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4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4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4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4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4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4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4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4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4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4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4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4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4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4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4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4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4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4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4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4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4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4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4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4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4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4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4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4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4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4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4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4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4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4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4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4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4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4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4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4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4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4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4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4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4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4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4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4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4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4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4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4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4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4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4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4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4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4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4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4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4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4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4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4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4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4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4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4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4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4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4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4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4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4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4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4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4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4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4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4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4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4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4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4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4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4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4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4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4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4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4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4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4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4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4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4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4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4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4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4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4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4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4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4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4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4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4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4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4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4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4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4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4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4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4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4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4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4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4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4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4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4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4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4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4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4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4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4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4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4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4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4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4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4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4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4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4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4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4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4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4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4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4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4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4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4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4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4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4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4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4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4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4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4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4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4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4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4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4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4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4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4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4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4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4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4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4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4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4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4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4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4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4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4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4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4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4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4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4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4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4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4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4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4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4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4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4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4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4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4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4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4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4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4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4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4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4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4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4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4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4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4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4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4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4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4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4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4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4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4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4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4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4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4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4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4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4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4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4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4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4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4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4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4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4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4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4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4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4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4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4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4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4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4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4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4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4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4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4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4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4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4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4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4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4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4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4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4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4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4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4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4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4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4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4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4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4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4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4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4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4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4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4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4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4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4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4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4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4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4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4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4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4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4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4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4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4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4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4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4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4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4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4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4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4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4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4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4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4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4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4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4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4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4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4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4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4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4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4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4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4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4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4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4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4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4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4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4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4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4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4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4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4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4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4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4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4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4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4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4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4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4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4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4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4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4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4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4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4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4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4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4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4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4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4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4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4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4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4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4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4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4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4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4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4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4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4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4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4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4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4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4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4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4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4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4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4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4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4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4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4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4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4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4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4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4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4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4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4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4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4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4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4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4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4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4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4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4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4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4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4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4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4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4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4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4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4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4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4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4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4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4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4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4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4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4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4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4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4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4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4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4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4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4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4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4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4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4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4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4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4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4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4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4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4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4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4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4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4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4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4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4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4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4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4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4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4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4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4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4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4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4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4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4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4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4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4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4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4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4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4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4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4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4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4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4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4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4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4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4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4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4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4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4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4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4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4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4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4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4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4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4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4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4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4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4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4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4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4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4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4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4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4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4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4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4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4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4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4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4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4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4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4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4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4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4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4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4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4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4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4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4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4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4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4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4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4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4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4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4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4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4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4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4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4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4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4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4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4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4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4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4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4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4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4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4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4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4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4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4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4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4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4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4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4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4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4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4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4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4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4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4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4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4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4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4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4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4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4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4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4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4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4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4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4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4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4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4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4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4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4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4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4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4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4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4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4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4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4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4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4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4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4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4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4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4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4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4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4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4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4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4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4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4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4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4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4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4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4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4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4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4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4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4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4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4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4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4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4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4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4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4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4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4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4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4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4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4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4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4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4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4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4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4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4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4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4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4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4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4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4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4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4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4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4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4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4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4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4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4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4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4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4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4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4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4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4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4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4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4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4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4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4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4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4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4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4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4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4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4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4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4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4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4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4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4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4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4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4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4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4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4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4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4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4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4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4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4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4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4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4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4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4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4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4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4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4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4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4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4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4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4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4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4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4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4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4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4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4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4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4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4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4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4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4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4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4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4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4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4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4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4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4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4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4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4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4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4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4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4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4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4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4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4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4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4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4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4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4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4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4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4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4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4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4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4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4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4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4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4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4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4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4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4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4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4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4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4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4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4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4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4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4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4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4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4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4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4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4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4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4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4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4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4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4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4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4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4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4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4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4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4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4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4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4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4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4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4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4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4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4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4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4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4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4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4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4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4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4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4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4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4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4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4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4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4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4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4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4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4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4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4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4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4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4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4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4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4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4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4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4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4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4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4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4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4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4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4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4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4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4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4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4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4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4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4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4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4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4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4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4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4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4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4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4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4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4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4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4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4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4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4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4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4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4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4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4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4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4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4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4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4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4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4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4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4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4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4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4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4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4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4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4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4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4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4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4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4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4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4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4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4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4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4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4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4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4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4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4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4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4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4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4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4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4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4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4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4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4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4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4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4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4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4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4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4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4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4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4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4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4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4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4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4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4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4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4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4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4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4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4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4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4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4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4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4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4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4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4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4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4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4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4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4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4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4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4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4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4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4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4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4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4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4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4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4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4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4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4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4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4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4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4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4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4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4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4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4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4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4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4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4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4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4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4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4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4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4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4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4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4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4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4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4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4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4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4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4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4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4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4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4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4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4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4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4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4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4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4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4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4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4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4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4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4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4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4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4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4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4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4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4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4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4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4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4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4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4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4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4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4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4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4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4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4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4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4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4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4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4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4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4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4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4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4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4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4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4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4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4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4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4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4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4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4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4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4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4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4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4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4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4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4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4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4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4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4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4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4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4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4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4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4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4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4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4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4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4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4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4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4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4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4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4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4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4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4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4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4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4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4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4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4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4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4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4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4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4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4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4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4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4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4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4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4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4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4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4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4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4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4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4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4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4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4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4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4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4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4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4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4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4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4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4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4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4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4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4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4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4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4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4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4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4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4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4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4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4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4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4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4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4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4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4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4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4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4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4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4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4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4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4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4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4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4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4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4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4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4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4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4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4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4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4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4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4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4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4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4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4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4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4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4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4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4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4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4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4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4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4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4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4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4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4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4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4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4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4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4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4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4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4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4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4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4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4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4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4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4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4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4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4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4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4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4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4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4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4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4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4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4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4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4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4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4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4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4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4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4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4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4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4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4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4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4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4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4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4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4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4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4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4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4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4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4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4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4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4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4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4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4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4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4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4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4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4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4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4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4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4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4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4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4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4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4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4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4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4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4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4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4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4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4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4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4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4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4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4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4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4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4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4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4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4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4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4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4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4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4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4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4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4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4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4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4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4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4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4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4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4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4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4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4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4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4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4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4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4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4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4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4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4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4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4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4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4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4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4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4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4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4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4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4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4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4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4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4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4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4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4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4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4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4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4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4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4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4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4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4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4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4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4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4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4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4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4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4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4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4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4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4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4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4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4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4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4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4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4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4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4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4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4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4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4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4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4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4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4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4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4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4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4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4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4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4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4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4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4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4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4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4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4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4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4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4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4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4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4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4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4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4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4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4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4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4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4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4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4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4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4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4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4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4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4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4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4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4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4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4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4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4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4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4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4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4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4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4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4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4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4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4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4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4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4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4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4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4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4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4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4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4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4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4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4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4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4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4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4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4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4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4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4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4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4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4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4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4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4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4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4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4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4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4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4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4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4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4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4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4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4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4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4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4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4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4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4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4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4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4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4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4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4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4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4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4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4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4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4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4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4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4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4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4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4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4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4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4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4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4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4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4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4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4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4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4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4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4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4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4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4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4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4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4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4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4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4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4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4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4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4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4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4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4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4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4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4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4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4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4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4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4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4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4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4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4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4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4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4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4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4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4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4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4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4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4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4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4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4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4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4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4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4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4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4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4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4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4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4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4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4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4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4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4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4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4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4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4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4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4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4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4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4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4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4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4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4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4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4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4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4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4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4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4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4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4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4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4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4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4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4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4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4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4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4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4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4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4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4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4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4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4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4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4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4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4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4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4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4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4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4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4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4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4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4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4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4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4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4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4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4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4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4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4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4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4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4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4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4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4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4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4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4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4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4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4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4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4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4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4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4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4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4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4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4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4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4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4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4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4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4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4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4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4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4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4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4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4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4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4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4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4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4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4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4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4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4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4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4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4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4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4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4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4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4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4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4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4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4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4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4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4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4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4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4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4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4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4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4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4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4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4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4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4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4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4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4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4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4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4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4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4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4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4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4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4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4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4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4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4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4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4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4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4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4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4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4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4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4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4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4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4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4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4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4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4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4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4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4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4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4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4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4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4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4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4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4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4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4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4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4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4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4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4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4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4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4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4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4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4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4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4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4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4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4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4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4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4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4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4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4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4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4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4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4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4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4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4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4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4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4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4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4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4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4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4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4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4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4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4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4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4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4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4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4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4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4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4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4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4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4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4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4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4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4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4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4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4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4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4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4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4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4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4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4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4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4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4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4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4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4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4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4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4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4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4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4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4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4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4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4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4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4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4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4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4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4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4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4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4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4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4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4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4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4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4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4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4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4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4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4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4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4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4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4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4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4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4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4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4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4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4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4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4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4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4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4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4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4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4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4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4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4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4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4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4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4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4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4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4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4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4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4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4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4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4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4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4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4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4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4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4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4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4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4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4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4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4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4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4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4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4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4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4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4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4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4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4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4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4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4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4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4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4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4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4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4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4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4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4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4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4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4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4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4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4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4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4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4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4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4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4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4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4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4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4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4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4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4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4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4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4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4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4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4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4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4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4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4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4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4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4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4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4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4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4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4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4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4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4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4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4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4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4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4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4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4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4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4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4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4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4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4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4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4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4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4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4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4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4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4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4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4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4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4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4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4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4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4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4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4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4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4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4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4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4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4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4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4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4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4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4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4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4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4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4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4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4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4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4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4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4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4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4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4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4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4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4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4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4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4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4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4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4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4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4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4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4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4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4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4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4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4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4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4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4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4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4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4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4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4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4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4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4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4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4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4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4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4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4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4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4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4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4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4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4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4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4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4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4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4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4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4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4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4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4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4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4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4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4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4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4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4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4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4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4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4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4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4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4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4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4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4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4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4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4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4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4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4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4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4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4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4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4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4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4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4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4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4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4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4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4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4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4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4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4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4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4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4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4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4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4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4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4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4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4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4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4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4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4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4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4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4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4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4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4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4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4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4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4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4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4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4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4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4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4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4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4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4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4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4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4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4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4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4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4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4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4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4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4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4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4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4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4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4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4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4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4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4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4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4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4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4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4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4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4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4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4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4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4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4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4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4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4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4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4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4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4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4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4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4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4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4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4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4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4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4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4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4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4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4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4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4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4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4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4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4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4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4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4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4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4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4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4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4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4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4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4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4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4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4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4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4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4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4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4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4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4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4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4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4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4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4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4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4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4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4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4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4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4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4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4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4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4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4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4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4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4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4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4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4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4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4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4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4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4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4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4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4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4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4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4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4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4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4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4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4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4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4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4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4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4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4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4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4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4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4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4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4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4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4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4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4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4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4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4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4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4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4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4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4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4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4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4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4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4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4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4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4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4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4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4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4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4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4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4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4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4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4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4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4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4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4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4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4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4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4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4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4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4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4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4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4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4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4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4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4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4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4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4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4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4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4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4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4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4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4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4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4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4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4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4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4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4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4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4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4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4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4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4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4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4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4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4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4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4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4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4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4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4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4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4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4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4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4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4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4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4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4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4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4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4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4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4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4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4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4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4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4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4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4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4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4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4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4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4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4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4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4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4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4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4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4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4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4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4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4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4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4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4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4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4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4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4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4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4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4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4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4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4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4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4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4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4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4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4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4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4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4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4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4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4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4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4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4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4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4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4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4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4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4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4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4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4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4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4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4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4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4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4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4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4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4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4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4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4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4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4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4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4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4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4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4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4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4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4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4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4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4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4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4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4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4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4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4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4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4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4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4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4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4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4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4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4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4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4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4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4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4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4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4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4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4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4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4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4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4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4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4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4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4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4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4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4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4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4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4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4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4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4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4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4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4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4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4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4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4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4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4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4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4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4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4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4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4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4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4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4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4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4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4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4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4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4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4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4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4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4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4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4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4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4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4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4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4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4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4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4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4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4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4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4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4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4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4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4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4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4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4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4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4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4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4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4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4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4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4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4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4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4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4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4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4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4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4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4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4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4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4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4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4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4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4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4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4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4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4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4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4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4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4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4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4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4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4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4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4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4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4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4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4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4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4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4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4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4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4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4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4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4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4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4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4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4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4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4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4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4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4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4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4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4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4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4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4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4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4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4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4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4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4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4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4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4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4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4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4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4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4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4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4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4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4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4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4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4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4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4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4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4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4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4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4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4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4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4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4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4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4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4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4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4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4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4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4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4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4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4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4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4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4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4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4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4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4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4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4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4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4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4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4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4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4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4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4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4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4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4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4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4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4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4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4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4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4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4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4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4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4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4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4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4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4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4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4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4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4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4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4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4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4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4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4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4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4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4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4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4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4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4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4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4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4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4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4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4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4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4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4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4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4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4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4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4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4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4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4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4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4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4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4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4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4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4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4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4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4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4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4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4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4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4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4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4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4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4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4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4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4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4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4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4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4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4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4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4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4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4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4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4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4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4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4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4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4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4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4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4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4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4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4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4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4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4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4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4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4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4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4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4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4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4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4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4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4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4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4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4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4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4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4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4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4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4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4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4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4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4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4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4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4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4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4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4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4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4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4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4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4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4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4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4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4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4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4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4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4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4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4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4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4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4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4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4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4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4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4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4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4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4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4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4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4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4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4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4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4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4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4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4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4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4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4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4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4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4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4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4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4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4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4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4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4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4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4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4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4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4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4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4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4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4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4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4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4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4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4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4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4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4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4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4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4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4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4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4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4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4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4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4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4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4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4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4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4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4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4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4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4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4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4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4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4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4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4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4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4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4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4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4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4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4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4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4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4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4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4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4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4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4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4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4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4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4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4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4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4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4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4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4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4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4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4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4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4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4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4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4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4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4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4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4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4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4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4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4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4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4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4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4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4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4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4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4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4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4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4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4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4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4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4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4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4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4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4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4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4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4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4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4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4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4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4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4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4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4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4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4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4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4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4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4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4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4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4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4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4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4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4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4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4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4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4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4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4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4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4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4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4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4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4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4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4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4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4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4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4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4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4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4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4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4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4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4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4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4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4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4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4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4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4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4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4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4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4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4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4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4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4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4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4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4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4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4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4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4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4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4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4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4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4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4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4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4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4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4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4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4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4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4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4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4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4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4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4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4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4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4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4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4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4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4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4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4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4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4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4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4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4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4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4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4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4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4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4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4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4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4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4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4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4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4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4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4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4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4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4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4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4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4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4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4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4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4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4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4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4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4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4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4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4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4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4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4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4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4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4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4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4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4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4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4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4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4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4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4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4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4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4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4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4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4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4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4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4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4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4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4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4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4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4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4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4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4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4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4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4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4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4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4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4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4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4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4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4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4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4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4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4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4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4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4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4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4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4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4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4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4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4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4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4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4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4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4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4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4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4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4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4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4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4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4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4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4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4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4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4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4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4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4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4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4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4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4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4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4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4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4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4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4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4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4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4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4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4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4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4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4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4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4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4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4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4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4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4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4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4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4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4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4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4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4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4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4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4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4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4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4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4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4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4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4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4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4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4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4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4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4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4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4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4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4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4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4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4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4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4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4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4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4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4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4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4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4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4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4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4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4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4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4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4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4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4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4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4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4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4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4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4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4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4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4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4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4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4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4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4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4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4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4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4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4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4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4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4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4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4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4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4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4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4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4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4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4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4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4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4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4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4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4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4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4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4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4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4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4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4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4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4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4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4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4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4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4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4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4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4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4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4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4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4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4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4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4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4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4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4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4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4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4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4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4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4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4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4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4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4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4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4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4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4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4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4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4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4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4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4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4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4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4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4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4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4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4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4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4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4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4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4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4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4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4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4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4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4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4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4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4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4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4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4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4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4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4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4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4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4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4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4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4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4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4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4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4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4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4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4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4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4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4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4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4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4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4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4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4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4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4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4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4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4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4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4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4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4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4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4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4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4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4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4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4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4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4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4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4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4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4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4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4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4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4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4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4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4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4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4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4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4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4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4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4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4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4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4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4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4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4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4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4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4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4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4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4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4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4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4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4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4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4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4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4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4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4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4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4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4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4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4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45">
      <c r="A5558" s="19" t="s">
        <v>438</v>
      </c>
      <c r="B5558" s="19" t="s">
        <v>63</v>
      </c>
      <c r="C5558">
        <v>1</v>
      </c>
      <c r="D5558">
        <v>1</v>
      </c>
      <c r="E5558">
        <v>1</v>
      </c>
      <c r="F5558" s="15">
        <v>46245</v>
      </c>
      <c r="G5558" s="19" t="s">
        <v>671</v>
      </c>
      <c r="H5558">
        <v>4</v>
      </c>
      <c r="I5558">
        <v>2026</v>
      </c>
      <c r="J5558">
        <v>8</v>
      </c>
      <c r="K5558" s="19" t="s">
        <v>87</v>
      </c>
      <c r="L5558" s="19" t="s">
        <v>7</v>
      </c>
      <c r="M5558" s="19" t="s">
        <v>63</v>
      </c>
      <c r="N5558" t="b">
        <v>0</v>
      </c>
      <c r="O5558">
        <v>0</v>
      </c>
      <c r="P5558">
        <v>0</v>
      </c>
      <c r="Q5558">
        <v>1</v>
      </c>
      <c r="R5558">
        <v>0</v>
      </c>
    </row>
    <row r="5559" spans="1:18" x14ac:dyDescent="0.45">
      <c r="A5559" s="19" t="s">
        <v>438</v>
      </c>
      <c r="B5559" s="19" t="s">
        <v>63</v>
      </c>
      <c r="C5559">
        <v>1</v>
      </c>
      <c r="D5559">
        <v>1</v>
      </c>
      <c r="E5559">
        <v>1</v>
      </c>
      <c r="F5559" s="15">
        <v>46245</v>
      </c>
      <c r="G5559" s="19" t="s">
        <v>671</v>
      </c>
      <c r="H5559">
        <v>4</v>
      </c>
      <c r="I5559">
        <v>2026</v>
      </c>
      <c r="J5559">
        <v>8</v>
      </c>
      <c r="K5559" s="19" t="s">
        <v>87</v>
      </c>
      <c r="L5559" s="19" t="s">
        <v>9</v>
      </c>
      <c r="M5559" s="19" t="s">
        <v>63</v>
      </c>
      <c r="N5559" t="b">
        <v>0</v>
      </c>
      <c r="O5559">
        <v>0</v>
      </c>
      <c r="P5559">
        <v>0</v>
      </c>
      <c r="Q5559">
        <v>1</v>
      </c>
      <c r="R5559">
        <v>0</v>
      </c>
    </row>
    <row r="5560" spans="1:18" x14ac:dyDescent="0.45">
      <c r="A5560" s="19" t="s">
        <v>438</v>
      </c>
      <c r="B5560" s="19" t="s">
        <v>63</v>
      </c>
      <c r="C5560">
        <v>1</v>
      </c>
      <c r="D5560">
        <v>1</v>
      </c>
      <c r="E5560">
        <v>1</v>
      </c>
      <c r="F5560" s="15">
        <v>46245</v>
      </c>
      <c r="G5560" s="19" t="s">
        <v>671</v>
      </c>
      <c r="H5560">
        <v>4</v>
      </c>
      <c r="I5560">
        <v>2026</v>
      </c>
      <c r="J5560">
        <v>8</v>
      </c>
      <c r="K5560" s="19" t="s">
        <v>87</v>
      </c>
      <c r="L5560" s="19" t="s">
        <v>351</v>
      </c>
      <c r="M5560" s="19" t="s">
        <v>63</v>
      </c>
      <c r="N5560" t="b">
        <v>0</v>
      </c>
      <c r="O5560">
        <v>0</v>
      </c>
      <c r="P5560">
        <v>0</v>
      </c>
      <c r="Q5560">
        <v>1</v>
      </c>
      <c r="R5560">
        <v>0</v>
      </c>
    </row>
    <row r="5561" spans="1:18" x14ac:dyDescent="0.45">
      <c r="A5561" s="19" t="s">
        <v>7</v>
      </c>
      <c r="B5561" s="19" t="s">
        <v>63</v>
      </c>
      <c r="C5561">
        <v>2</v>
      </c>
      <c r="D5561">
        <v>1</v>
      </c>
      <c r="E5561">
        <v>1</v>
      </c>
      <c r="F5561" s="15">
        <v>46245</v>
      </c>
      <c r="G5561" s="19" t="s">
        <v>671</v>
      </c>
      <c r="H5561">
        <v>4</v>
      </c>
      <c r="I5561">
        <v>2026</v>
      </c>
      <c r="J5561">
        <v>8</v>
      </c>
      <c r="K5561" s="19" t="s">
        <v>87</v>
      </c>
      <c r="L5561" s="19" t="s">
        <v>438</v>
      </c>
      <c r="M5561" s="19" t="s">
        <v>63</v>
      </c>
      <c r="N5561" t="b">
        <v>0</v>
      </c>
      <c r="O5561">
        <v>0</v>
      </c>
      <c r="P5561">
        <v>0</v>
      </c>
      <c r="Q5561">
        <v>1</v>
      </c>
      <c r="R5561">
        <v>0</v>
      </c>
    </row>
    <row r="5562" spans="1:18" x14ac:dyDescent="0.45">
      <c r="A5562" s="19" t="s">
        <v>7</v>
      </c>
      <c r="B5562" s="19" t="s">
        <v>63</v>
      </c>
      <c r="C5562">
        <v>2</v>
      </c>
      <c r="D5562">
        <v>1</v>
      </c>
      <c r="E5562">
        <v>1</v>
      </c>
      <c r="F5562" s="15">
        <v>46245</v>
      </c>
      <c r="G5562" s="19" t="s">
        <v>671</v>
      </c>
      <c r="H5562">
        <v>4</v>
      </c>
      <c r="I5562">
        <v>2026</v>
      </c>
      <c r="J5562">
        <v>8</v>
      </c>
      <c r="K5562" s="19" t="s">
        <v>87</v>
      </c>
      <c r="L5562" s="19" t="s">
        <v>9</v>
      </c>
      <c r="M5562" s="19" t="s">
        <v>63</v>
      </c>
      <c r="N5562" t="b">
        <v>0</v>
      </c>
      <c r="O5562">
        <v>0</v>
      </c>
      <c r="P5562">
        <v>0</v>
      </c>
      <c r="Q5562">
        <v>1</v>
      </c>
      <c r="R5562">
        <v>0</v>
      </c>
    </row>
    <row r="5563" spans="1:18" x14ac:dyDescent="0.45">
      <c r="A5563" s="19" t="s">
        <v>7</v>
      </c>
      <c r="B5563" s="19" t="s">
        <v>63</v>
      </c>
      <c r="C5563">
        <v>2</v>
      </c>
      <c r="D5563">
        <v>1</v>
      </c>
      <c r="E5563">
        <v>1</v>
      </c>
      <c r="F5563" s="15">
        <v>46245</v>
      </c>
      <c r="G5563" s="19" t="s">
        <v>671</v>
      </c>
      <c r="H5563">
        <v>4</v>
      </c>
      <c r="I5563">
        <v>2026</v>
      </c>
      <c r="J5563">
        <v>8</v>
      </c>
      <c r="K5563" s="19" t="s">
        <v>87</v>
      </c>
      <c r="L5563" s="19" t="s">
        <v>351</v>
      </c>
      <c r="M5563" s="19" t="s">
        <v>63</v>
      </c>
      <c r="N5563" t="b">
        <v>0</v>
      </c>
      <c r="O5563">
        <v>0</v>
      </c>
      <c r="P5563">
        <v>0</v>
      </c>
      <c r="Q5563">
        <v>1</v>
      </c>
      <c r="R5563">
        <v>0</v>
      </c>
    </row>
    <row r="5564" spans="1:18" x14ac:dyDescent="0.45">
      <c r="A5564" s="19" t="s">
        <v>9</v>
      </c>
      <c r="B5564" s="19" t="s">
        <v>63</v>
      </c>
      <c r="C5564">
        <v>3</v>
      </c>
      <c r="D5564">
        <v>1</v>
      </c>
      <c r="E5564">
        <v>1</v>
      </c>
      <c r="F5564" s="15">
        <v>46245</v>
      </c>
      <c r="G5564" s="19" t="s">
        <v>671</v>
      </c>
      <c r="H5564">
        <v>4</v>
      </c>
      <c r="I5564">
        <v>2026</v>
      </c>
      <c r="J5564">
        <v>8</v>
      </c>
      <c r="K5564" s="19" t="s">
        <v>87</v>
      </c>
      <c r="L5564" s="19" t="s">
        <v>438</v>
      </c>
      <c r="M5564" s="19" t="s">
        <v>63</v>
      </c>
      <c r="N5564" t="b">
        <v>0</v>
      </c>
      <c r="O5564">
        <v>0</v>
      </c>
      <c r="P5564">
        <v>0</v>
      </c>
      <c r="Q5564">
        <v>1</v>
      </c>
      <c r="R5564">
        <v>0</v>
      </c>
    </row>
    <row r="5565" spans="1:18" x14ac:dyDescent="0.45">
      <c r="A5565" s="19" t="s">
        <v>9</v>
      </c>
      <c r="B5565" s="19" t="s">
        <v>63</v>
      </c>
      <c r="C5565">
        <v>3</v>
      </c>
      <c r="D5565">
        <v>1</v>
      </c>
      <c r="E5565">
        <v>1</v>
      </c>
      <c r="F5565" s="15">
        <v>46245</v>
      </c>
      <c r="G5565" s="19" t="s">
        <v>671</v>
      </c>
      <c r="H5565">
        <v>4</v>
      </c>
      <c r="I5565">
        <v>2026</v>
      </c>
      <c r="J5565">
        <v>8</v>
      </c>
      <c r="K5565" s="19" t="s">
        <v>87</v>
      </c>
      <c r="L5565" s="19" t="s">
        <v>7</v>
      </c>
      <c r="M5565" s="19" t="s">
        <v>63</v>
      </c>
      <c r="N5565" t="b">
        <v>0</v>
      </c>
      <c r="O5565">
        <v>0</v>
      </c>
      <c r="P5565">
        <v>0</v>
      </c>
      <c r="Q5565">
        <v>1</v>
      </c>
      <c r="R5565">
        <v>0</v>
      </c>
    </row>
    <row r="5566" spans="1:18" x14ac:dyDescent="0.45">
      <c r="A5566" s="19" t="s">
        <v>9</v>
      </c>
      <c r="B5566" s="19" t="s">
        <v>63</v>
      </c>
      <c r="C5566">
        <v>3</v>
      </c>
      <c r="D5566">
        <v>1</v>
      </c>
      <c r="E5566">
        <v>1</v>
      </c>
      <c r="F5566" s="15">
        <v>46245</v>
      </c>
      <c r="G5566" s="19" t="s">
        <v>671</v>
      </c>
      <c r="H5566">
        <v>4</v>
      </c>
      <c r="I5566">
        <v>2026</v>
      </c>
      <c r="J5566">
        <v>8</v>
      </c>
      <c r="K5566" s="19" t="s">
        <v>87</v>
      </c>
      <c r="L5566" s="19" t="s">
        <v>351</v>
      </c>
      <c r="M5566" s="19" t="s">
        <v>63</v>
      </c>
      <c r="N5566" t="b">
        <v>0</v>
      </c>
      <c r="O5566">
        <v>0</v>
      </c>
      <c r="P5566">
        <v>0</v>
      </c>
      <c r="Q5566">
        <v>1</v>
      </c>
      <c r="R5566">
        <v>0</v>
      </c>
    </row>
    <row r="5567" spans="1:18" x14ac:dyDescent="0.45">
      <c r="A5567" s="19" t="s">
        <v>351</v>
      </c>
      <c r="B5567" s="19" t="s">
        <v>63</v>
      </c>
      <c r="C5567">
        <v>4</v>
      </c>
      <c r="D5567">
        <v>1</v>
      </c>
      <c r="E5567">
        <v>1</v>
      </c>
      <c r="F5567" s="15">
        <v>46245</v>
      </c>
      <c r="G5567" s="19" t="s">
        <v>671</v>
      </c>
      <c r="H5567">
        <v>4</v>
      </c>
      <c r="I5567">
        <v>2026</v>
      </c>
      <c r="J5567">
        <v>8</v>
      </c>
      <c r="K5567" s="19" t="s">
        <v>87</v>
      </c>
      <c r="L5567" s="19" t="s">
        <v>438</v>
      </c>
      <c r="M5567" s="19" t="s">
        <v>63</v>
      </c>
      <c r="N5567" t="b">
        <v>0</v>
      </c>
      <c r="O5567">
        <v>0</v>
      </c>
      <c r="P5567">
        <v>0</v>
      </c>
      <c r="Q5567">
        <v>1</v>
      </c>
      <c r="R5567">
        <v>0</v>
      </c>
    </row>
    <row r="5568" spans="1:18" x14ac:dyDescent="0.45">
      <c r="A5568" s="19" t="s">
        <v>351</v>
      </c>
      <c r="B5568" s="19" t="s">
        <v>63</v>
      </c>
      <c r="C5568">
        <v>4</v>
      </c>
      <c r="D5568">
        <v>1</v>
      </c>
      <c r="E5568">
        <v>1</v>
      </c>
      <c r="F5568" s="15">
        <v>46245</v>
      </c>
      <c r="G5568" s="19" t="s">
        <v>671</v>
      </c>
      <c r="H5568">
        <v>4</v>
      </c>
      <c r="I5568">
        <v>2026</v>
      </c>
      <c r="J5568">
        <v>8</v>
      </c>
      <c r="K5568" s="19" t="s">
        <v>87</v>
      </c>
      <c r="L5568" s="19" t="s">
        <v>7</v>
      </c>
      <c r="M5568" s="19" t="s">
        <v>63</v>
      </c>
      <c r="N5568" t="b">
        <v>0</v>
      </c>
      <c r="O5568">
        <v>0</v>
      </c>
      <c r="P5568">
        <v>0</v>
      </c>
      <c r="Q5568">
        <v>1</v>
      </c>
      <c r="R5568">
        <v>0</v>
      </c>
    </row>
    <row r="5569" spans="1:18" x14ac:dyDescent="0.45">
      <c r="A5569" s="19" t="s">
        <v>351</v>
      </c>
      <c r="B5569" s="19" t="s">
        <v>63</v>
      </c>
      <c r="C5569">
        <v>4</v>
      </c>
      <c r="D5569">
        <v>1</v>
      </c>
      <c r="E5569">
        <v>1</v>
      </c>
      <c r="F5569" s="15">
        <v>46245</v>
      </c>
      <c r="G5569" s="19" t="s">
        <v>671</v>
      </c>
      <c r="H5569">
        <v>4</v>
      </c>
      <c r="I5569">
        <v>2026</v>
      </c>
      <c r="J5569">
        <v>8</v>
      </c>
      <c r="K5569" s="19" t="s">
        <v>87</v>
      </c>
      <c r="L5569" s="19" t="s">
        <v>9</v>
      </c>
      <c r="M5569" s="19" t="s">
        <v>63</v>
      </c>
      <c r="N5569" t="b">
        <v>0</v>
      </c>
      <c r="O5569">
        <v>0</v>
      </c>
      <c r="P5569">
        <v>0</v>
      </c>
      <c r="Q5569">
        <v>1</v>
      </c>
      <c r="R5569">
        <v>0</v>
      </c>
    </row>
    <row r="5570" spans="1:18" x14ac:dyDescent="0.45">
      <c r="A5570" s="19" t="s">
        <v>364</v>
      </c>
      <c r="B5570" s="19" t="s">
        <v>63</v>
      </c>
      <c r="C5570">
        <v>1</v>
      </c>
      <c r="D5570">
        <v>2</v>
      </c>
      <c r="E5570">
        <v>1</v>
      </c>
      <c r="F5570" s="15">
        <v>46245</v>
      </c>
      <c r="G5570" s="19" t="s">
        <v>672</v>
      </c>
      <c r="H5570">
        <v>4</v>
      </c>
      <c r="I5570">
        <v>2026</v>
      </c>
      <c r="J5570">
        <v>8</v>
      </c>
      <c r="K5570" s="19" t="s">
        <v>87</v>
      </c>
      <c r="L5570" s="19" t="s">
        <v>578</v>
      </c>
      <c r="M5570" s="19" t="s">
        <v>63</v>
      </c>
      <c r="N5570" t="b">
        <v>0</v>
      </c>
      <c r="O5570">
        <v>0</v>
      </c>
      <c r="P5570">
        <v>0</v>
      </c>
      <c r="Q5570">
        <v>1</v>
      </c>
      <c r="R5570">
        <v>0</v>
      </c>
    </row>
    <row r="5571" spans="1:18" x14ac:dyDescent="0.45">
      <c r="A5571" s="19" t="s">
        <v>364</v>
      </c>
      <c r="B5571" s="19" t="s">
        <v>63</v>
      </c>
      <c r="C5571">
        <v>1</v>
      </c>
      <c r="D5571">
        <v>2</v>
      </c>
      <c r="E5571">
        <v>1</v>
      </c>
      <c r="F5571" s="15">
        <v>46245</v>
      </c>
      <c r="G5571" s="19" t="s">
        <v>672</v>
      </c>
      <c r="H5571">
        <v>4</v>
      </c>
      <c r="I5571">
        <v>2026</v>
      </c>
      <c r="J5571">
        <v>8</v>
      </c>
      <c r="K5571" s="19" t="s">
        <v>87</v>
      </c>
      <c r="L5571" s="19" t="s">
        <v>11</v>
      </c>
      <c r="M5571" s="19" t="s">
        <v>63</v>
      </c>
      <c r="N5571" t="b">
        <v>0</v>
      </c>
      <c r="O5571">
        <v>0</v>
      </c>
      <c r="P5571">
        <v>0</v>
      </c>
      <c r="Q5571">
        <v>1</v>
      </c>
      <c r="R5571">
        <v>0</v>
      </c>
    </row>
    <row r="5572" spans="1:18" x14ac:dyDescent="0.45">
      <c r="A5572" s="19" t="s">
        <v>364</v>
      </c>
      <c r="B5572" s="19" t="s">
        <v>63</v>
      </c>
      <c r="C5572">
        <v>1</v>
      </c>
      <c r="D5572">
        <v>2</v>
      </c>
      <c r="E5572">
        <v>1</v>
      </c>
      <c r="F5572" s="15">
        <v>46245</v>
      </c>
      <c r="G5572" s="19" t="s">
        <v>672</v>
      </c>
      <c r="H5572">
        <v>4</v>
      </c>
      <c r="I5572">
        <v>2026</v>
      </c>
      <c r="J5572">
        <v>8</v>
      </c>
      <c r="K5572" s="19" t="s">
        <v>87</v>
      </c>
      <c r="L5572" s="19" t="s">
        <v>14</v>
      </c>
      <c r="M5572" s="19" t="s">
        <v>63</v>
      </c>
      <c r="N5572" t="b">
        <v>0</v>
      </c>
      <c r="O5572">
        <v>0</v>
      </c>
      <c r="P5572">
        <v>0</v>
      </c>
      <c r="Q5572">
        <v>1</v>
      </c>
      <c r="R5572">
        <v>0</v>
      </c>
    </row>
    <row r="5573" spans="1:18" x14ac:dyDescent="0.45">
      <c r="A5573" s="19" t="s">
        <v>578</v>
      </c>
      <c r="B5573" s="19" t="s">
        <v>63</v>
      </c>
      <c r="C5573">
        <v>2</v>
      </c>
      <c r="D5573">
        <v>2</v>
      </c>
      <c r="E5573">
        <v>1</v>
      </c>
      <c r="F5573" s="15">
        <v>46245</v>
      </c>
      <c r="G5573" s="19" t="s">
        <v>672</v>
      </c>
      <c r="H5573">
        <v>4</v>
      </c>
      <c r="I5573">
        <v>2026</v>
      </c>
      <c r="J5573">
        <v>8</v>
      </c>
      <c r="K5573" s="19" t="s">
        <v>87</v>
      </c>
      <c r="L5573" s="19" t="s">
        <v>364</v>
      </c>
      <c r="M5573" s="19" t="s">
        <v>63</v>
      </c>
      <c r="N5573" t="b">
        <v>0</v>
      </c>
      <c r="O5573">
        <v>0</v>
      </c>
      <c r="P5573">
        <v>0</v>
      </c>
      <c r="Q5573">
        <v>1</v>
      </c>
      <c r="R5573">
        <v>0</v>
      </c>
    </row>
    <row r="5574" spans="1:18" x14ac:dyDescent="0.45">
      <c r="A5574" s="19" t="s">
        <v>578</v>
      </c>
      <c r="B5574" s="19" t="s">
        <v>63</v>
      </c>
      <c r="C5574">
        <v>2</v>
      </c>
      <c r="D5574">
        <v>2</v>
      </c>
      <c r="E5574">
        <v>1</v>
      </c>
      <c r="F5574" s="15">
        <v>46245</v>
      </c>
      <c r="G5574" s="19" t="s">
        <v>672</v>
      </c>
      <c r="H5574">
        <v>4</v>
      </c>
      <c r="I5574">
        <v>2026</v>
      </c>
      <c r="J5574">
        <v>8</v>
      </c>
      <c r="K5574" s="19" t="s">
        <v>87</v>
      </c>
      <c r="L5574" s="19" t="s">
        <v>11</v>
      </c>
      <c r="M5574" s="19" t="s">
        <v>63</v>
      </c>
      <c r="N5574" t="b">
        <v>0</v>
      </c>
      <c r="O5574">
        <v>0</v>
      </c>
      <c r="P5574">
        <v>0</v>
      </c>
      <c r="Q5574">
        <v>1</v>
      </c>
      <c r="R5574">
        <v>0</v>
      </c>
    </row>
    <row r="5575" spans="1:18" x14ac:dyDescent="0.45">
      <c r="A5575" s="19" t="s">
        <v>578</v>
      </c>
      <c r="B5575" s="19" t="s">
        <v>63</v>
      </c>
      <c r="C5575">
        <v>2</v>
      </c>
      <c r="D5575">
        <v>2</v>
      </c>
      <c r="E5575">
        <v>1</v>
      </c>
      <c r="F5575" s="15">
        <v>46245</v>
      </c>
      <c r="G5575" s="19" t="s">
        <v>672</v>
      </c>
      <c r="H5575">
        <v>4</v>
      </c>
      <c r="I5575">
        <v>2026</v>
      </c>
      <c r="J5575">
        <v>8</v>
      </c>
      <c r="K5575" s="19" t="s">
        <v>87</v>
      </c>
      <c r="L5575" s="19" t="s">
        <v>14</v>
      </c>
      <c r="M5575" s="19" t="s">
        <v>63</v>
      </c>
      <c r="N5575" t="b">
        <v>0</v>
      </c>
      <c r="O5575">
        <v>0</v>
      </c>
      <c r="P5575">
        <v>0</v>
      </c>
      <c r="Q5575">
        <v>1</v>
      </c>
      <c r="R5575">
        <v>0</v>
      </c>
    </row>
    <row r="5576" spans="1:18" x14ac:dyDescent="0.45">
      <c r="A5576" s="19" t="s">
        <v>11</v>
      </c>
      <c r="B5576" s="19" t="s">
        <v>63</v>
      </c>
      <c r="C5576">
        <v>3</v>
      </c>
      <c r="D5576">
        <v>2</v>
      </c>
      <c r="E5576">
        <v>1</v>
      </c>
      <c r="F5576" s="15">
        <v>46245</v>
      </c>
      <c r="G5576" s="19" t="s">
        <v>672</v>
      </c>
      <c r="H5576">
        <v>4</v>
      </c>
      <c r="I5576">
        <v>2026</v>
      </c>
      <c r="J5576">
        <v>8</v>
      </c>
      <c r="K5576" s="19" t="s">
        <v>87</v>
      </c>
      <c r="L5576" s="19" t="s">
        <v>364</v>
      </c>
      <c r="M5576" s="19" t="s">
        <v>63</v>
      </c>
      <c r="N5576" t="b">
        <v>0</v>
      </c>
      <c r="O5576">
        <v>0</v>
      </c>
      <c r="P5576">
        <v>0</v>
      </c>
      <c r="Q5576">
        <v>1</v>
      </c>
      <c r="R5576">
        <v>0</v>
      </c>
    </row>
    <row r="5577" spans="1:18" x14ac:dyDescent="0.45">
      <c r="A5577" s="19" t="s">
        <v>11</v>
      </c>
      <c r="B5577" s="19" t="s">
        <v>63</v>
      </c>
      <c r="C5577">
        <v>3</v>
      </c>
      <c r="D5577">
        <v>2</v>
      </c>
      <c r="E5577">
        <v>1</v>
      </c>
      <c r="F5577" s="15">
        <v>46245</v>
      </c>
      <c r="G5577" s="19" t="s">
        <v>672</v>
      </c>
      <c r="H5577">
        <v>4</v>
      </c>
      <c r="I5577">
        <v>2026</v>
      </c>
      <c r="J5577">
        <v>8</v>
      </c>
      <c r="K5577" s="19" t="s">
        <v>87</v>
      </c>
      <c r="L5577" s="19" t="s">
        <v>578</v>
      </c>
      <c r="M5577" s="19" t="s">
        <v>63</v>
      </c>
      <c r="N5577" t="b">
        <v>0</v>
      </c>
      <c r="O5577">
        <v>0</v>
      </c>
      <c r="P5577">
        <v>0</v>
      </c>
      <c r="Q5577">
        <v>1</v>
      </c>
      <c r="R5577">
        <v>0</v>
      </c>
    </row>
    <row r="5578" spans="1:18" x14ac:dyDescent="0.45">
      <c r="A5578" s="19" t="s">
        <v>11</v>
      </c>
      <c r="B5578" s="19" t="s">
        <v>63</v>
      </c>
      <c r="C5578">
        <v>3</v>
      </c>
      <c r="D5578">
        <v>2</v>
      </c>
      <c r="E5578">
        <v>1</v>
      </c>
      <c r="F5578" s="15">
        <v>46245</v>
      </c>
      <c r="G5578" s="19" t="s">
        <v>672</v>
      </c>
      <c r="H5578">
        <v>4</v>
      </c>
      <c r="I5578">
        <v>2026</v>
      </c>
      <c r="J5578">
        <v>8</v>
      </c>
      <c r="K5578" s="19" t="s">
        <v>87</v>
      </c>
      <c r="L5578" s="19" t="s">
        <v>14</v>
      </c>
      <c r="M5578" s="19" t="s">
        <v>63</v>
      </c>
      <c r="N5578" t="b">
        <v>0</v>
      </c>
      <c r="O5578">
        <v>0</v>
      </c>
      <c r="P5578">
        <v>0</v>
      </c>
      <c r="Q5578">
        <v>1</v>
      </c>
      <c r="R5578">
        <v>0</v>
      </c>
    </row>
    <row r="5579" spans="1:18" x14ac:dyDescent="0.45">
      <c r="A5579" s="19" t="s">
        <v>14</v>
      </c>
      <c r="B5579" s="19" t="s">
        <v>63</v>
      </c>
      <c r="C5579">
        <v>4</v>
      </c>
      <c r="D5579">
        <v>2</v>
      </c>
      <c r="E5579">
        <v>1</v>
      </c>
      <c r="F5579" s="15">
        <v>46245</v>
      </c>
      <c r="G5579" s="19" t="s">
        <v>672</v>
      </c>
      <c r="H5579">
        <v>4</v>
      </c>
      <c r="I5579">
        <v>2026</v>
      </c>
      <c r="J5579">
        <v>8</v>
      </c>
      <c r="K5579" s="19" t="s">
        <v>87</v>
      </c>
      <c r="L5579" s="19" t="s">
        <v>364</v>
      </c>
      <c r="M5579" s="19" t="s">
        <v>63</v>
      </c>
      <c r="N5579" t="b">
        <v>0</v>
      </c>
      <c r="O5579">
        <v>0</v>
      </c>
      <c r="P5579">
        <v>0</v>
      </c>
      <c r="Q5579">
        <v>1</v>
      </c>
      <c r="R5579">
        <v>0</v>
      </c>
    </row>
    <row r="5580" spans="1:18" x14ac:dyDescent="0.45">
      <c r="A5580" s="19" t="s">
        <v>14</v>
      </c>
      <c r="B5580" s="19" t="s">
        <v>63</v>
      </c>
      <c r="C5580">
        <v>4</v>
      </c>
      <c r="D5580">
        <v>2</v>
      </c>
      <c r="E5580">
        <v>1</v>
      </c>
      <c r="F5580" s="15">
        <v>46245</v>
      </c>
      <c r="G5580" s="19" t="s">
        <v>672</v>
      </c>
      <c r="H5580">
        <v>4</v>
      </c>
      <c r="I5580">
        <v>2026</v>
      </c>
      <c r="J5580">
        <v>8</v>
      </c>
      <c r="K5580" s="19" t="s">
        <v>87</v>
      </c>
      <c r="L5580" s="19" t="s">
        <v>578</v>
      </c>
      <c r="M5580" s="19" t="s">
        <v>63</v>
      </c>
      <c r="N5580" t="b">
        <v>0</v>
      </c>
      <c r="O5580">
        <v>0</v>
      </c>
      <c r="P5580">
        <v>0</v>
      </c>
      <c r="Q5580">
        <v>1</v>
      </c>
      <c r="R5580">
        <v>0</v>
      </c>
    </row>
    <row r="5581" spans="1:18" x14ac:dyDescent="0.45">
      <c r="A5581" s="19" t="s">
        <v>14</v>
      </c>
      <c r="B5581" s="19" t="s">
        <v>63</v>
      </c>
      <c r="C5581">
        <v>4</v>
      </c>
      <c r="D5581">
        <v>2</v>
      </c>
      <c r="E5581">
        <v>1</v>
      </c>
      <c r="F5581" s="15">
        <v>46245</v>
      </c>
      <c r="G5581" s="19" t="s">
        <v>672</v>
      </c>
      <c r="H5581">
        <v>4</v>
      </c>
      <c r="I5581">
        <v>2026</v>
      </c>
      <c r="J5581">
        <v>8</v>
      </c>
      <c r="K5581" s="19" t="s">
        <v>87</v>
      </c>
      <c r="L5581" s="19" t="s">
        <v>11</v>
      </c>
      <c r="M5581" s="19" t="s">
        <v>63</v>
      </c>
      <c r="N5581" t="b">
        <v>0</v>
      </c>
      <c r="O5581">
        <v>0</v>
      </c>
      <c r="P5581">
        <v>0</v>
      </c>
      <c r="Q5581">
        <v>1</v>
      </c>
      <c r="R5581">
        <v>0</v>
      </c>
    </row>
    <row r="5582" spans="1:18" x14ac:dyDescent="0.45">
      <c r="A5582" s="19" t="s">
        <v>13</v>
      </c>
      <c r="B5582" s="19" t="s">
        <v>6</v>
      </c>
      <c r="C5582">
        <v>1</v>
      </c>
      <c r="D5582">
        <v>3</v>
      </c>
      <c r="E5582">
        <v>1</v>
      </c>
      <c r="F5582" s="15">
        <v>46245</v>
      </c>
      <c r="G5582" s="19" t="s">
        <v>673</v>
      </c>
      <c r="H5582">
        <v>4</v>
      </c>
      <c r="I5582">
        <v>2026</v>
      </c>
      <c r="J5582">
        <v>8</v>
      </c>
      <c r="K5582" s="19" t="s">
        <v>87</v>
      </c>
      <c r="L5582" s="19" t="s">
        <v>15</v>
      </c>
      <c r="M5582" s="19" t="s">
        <v>8</v>
      </c>
      <c r="N5582" t="b">
        <v>0</v>
      </c>
      <c r="O5582">
        <v>0</v>
      </c>
      <c r="P5582">
        <v>1</v>
      </c>
      <c r="Q5582">
        <v>0</v>
      </c>
      <c r="R5582">
        <v>1</v>
      </c>
    </row>
    <row r="5583" spans="1:18" x14ac:dyDescent="0.45">
      <c r="A5583" s="19" t="s">
        <v>13</v>
      </c>
      <c r="B5583" s="19" t="s">
        <v>6</v>
      </c>
      <c r="C5583">
        <v>1</v>
      </c>
      <c r="D5583">
        <v>3</v>
      </c>
      <c r="E5583">
        <v>1</v>
      </c>
      <c r="F5583" s="15">
        <v>46245</v>
      </c>
      <c r="G5583" s="19" t="s">
        <v>673</v>
      </c>
      <c r="H5583">
        <v>4</v>
      </c>
      <c r="I5583">
        <v>2026</v>
      </c>
      <c r="J5583">
        <v>8</v>
      </c>
      <c r="K5583" s="19" t="s">
        <v>87</v>
      </c>
      <c r="L5583" s="19" t="s">
        <v>17</v>
      </c>
      <c r="M5583" s="19" t="s">
        <v>6</v>
      </c>
      <c r="N5583" t="b">
        <v>0</v>
      </c>
      <c r="O5583">
        <v>0</v>
      </c>
      <c r="P5583">
        <v>1</v>
      </c>
      <c r="Q5583">
        <v>0</v>
      </c>
      <c r="R5583">
        <v>0</v>
      </c>
    </row>
    <row r="5584" spans="1:18" x14ac:dyDescent="0.45">
      <c r="A5584" s="19" t="s">
        <v>13</v>
      </c>
      <c r="B5584" s="19" t="s">
        <v>6</v>
      </c>
      <c r="C5584">
        <v>1</v>
      </c>
      <c r="D5584">
        <v>3</v>
      </c>
      <c r="E5584">
        <v>1</v>
      </c>
      <c r="F5584" s="15">
        <v>46245</v>
      </c>
      <c r="G5584" s="19" t="s">
        <v>673</v>
      </c>
      <c r="H5584">
        <v>4</v>
      </c>
      <c r="I5584">
        <v>2026</v>
      </c>
      <c r="J5584">
        <v>8</v>
      </c>
      <c r="K5584" s="19" t="s">
        <v>87</v>
      </c>
      <c r="L5584" s="19" t="s">
        <v>41</v>
      </c>
      <c r="M5584" s="19" t="s">
        <v>6</v>
      </c>
      <c r="N5584" t="b">
        <v>0</v>
      </c>
      <c r="O5584">
        <v>0</v>
      </c>
      <c r="P5584">
        <v>1</v>
      </c>
      <c r="Q5584">
        <v>0</v>
      </c>
      <c r="R5584">
        <v>0</v>
      </c>
    </row>
    <row r="5585" spans="1:18" x14ac:dyDescent="0.45">
      <c r="A5585" s="19" t="s">
        <v>15</v>
      </c>
      <c r="B5585" s="19" t="s">
        <v>8</v>
      </c>
      <c r="C5585">
        <v>2</v>
      </c>
      <c r="D5585">
        <v>3</v>
      </c>
      <c r="E5585">
        <v>1</v>
      </c>
      <c r="F5585" s="15">
        <v>46245</v>
      </c>
      <c r="G5585" s="19" t="s">
        <v>673</v>
      </c>
      <c r="H5585">
        <v>4</v>
      </c>
      <c r="I5585">
        <v>2026</v>
      </c>
      <c r="J5585">
        <v>8</v>
      </c>
      <c r="K5585" s="19" t="s">
        <v>87</v>
      </c>
      <c r="L5585" s="19" t="s">
        <v>13</v>
      </c>
      <c r="M5585" s="19" t="s">
        <v>6</v>
      </c>
      <c r="N5585" t="b">
        <v>0</v>
      </c>
      <c r="O5585">
        <v>1</v>
      </c>
      <c r="P5585">
        <v>0</v>
      </c>
      <c r="Q5585">
        <v>0</v>
      </c>
      <c r="R5585">
        <v>0</v>
      </c>
    </row>
    <row r="5586" spans="1:18" x14ac:dyDescent="0.45">
      <c r="A5586" s="19" t="s">
        <v>15</v>
      </c>
      <c r="B5586" s="19" t="s">
        <v>8</v>
      </c>
      <c r="C5586">
        <v>2</v>
      </c>
      <c r="D5586">
        <v>3</v>
      </c>
      <c r="E5586">
        <v>1</v>
      </c>
      <c r="F5586" s="15">
        <v>46245</v>
      </c>
      <c r="G5586" s="19" t="s">
        <v>673</v>
      </c>
      <c r="H5586">
        <v>4</v>
      </c>
      <c r="I5586">
        <v>2026</v>
      </c>
      <c r="J5586">
        <v>8</v>
      </c>
      <c r="K5586" s="19" t="s">
        <v>87</v>
      </c>
      <c r="L5586" s="19" t="s">
        <v>17</v>
      </c>
      <c r="M5586" s="19" t="s">
        <v>6</v>
      </c>
      <c r="N5586" t="b">
        <v>0</v>
      </c>
      <c r="O5586">
        <v>1</v>
      </c>
      <c r="P5586">
        <v>0</v>
      </c>
      <c r="Q5586">
        <v>0</v>
      </c>
      <c r="R5586">
        <v>0</v>
      </c>
    </row>
    <row r="5587" spans="1:18" x14ac:dyDescent="0.45">
      <c r="A5587" s="19" t="s">
        <v>15</v>
      </c>
      <c r="B5587" s="19" t="s">
        <v>8</v>
      </c>
      <c r="C5587">
        <v>2</v>
      </c>
      <c r="D5587">
        <v>3</v>
      </c>
      <c r="E5587">
        <v>1</v>
      </c>
      <c r="F5587" s="15">
        <v>46245</v>
      </c>
      <c r="G5587" s="19" t="s">
        <v>673</v>
      </c>
      <c r="H5587">
        <v>4</v>
      </c>
      <c r="I5587">
        <v>2026</v>
      </c>
      <c r="J5587">
        <v>8</v>
      </c>
      <c r="K5587" s="19" t="s">
        <v>87</v>
      </c>
      <c r="L5587" s="19" t="s">
        <v>41</v>
      </c>
      <c r="M5587" s="19" t="s">
        <v>6</v>
      </c>
      <c r="N5587" t="b">
        <v>0</v>
      </c>
      <c r="O5587">
        <v>1</v>
      </c>
      <c r="P5587">
        <v>0</v>
      </c>
      <c r="Q5587">
        <v>0</v>
      </c>
      <c r="R5587">
        <v>0</v>
      </c>
    </row>
    <row r="5588" spans="1:18" x14ac:dyDescent="0.45">
      <c r="A5588" s="19" t="s">
        <v>17</v>
      </c>
      <c r="B5588" s="19" t="s">
        <v>6</v>
      </c>
      <c r="C5588">
        <v>3</v>
      </c>
      <c r="D5588">
        <v>3</v>
      </c>
      <c r="E5588">
        <v>1</v>
      </c>
      <c r="F5588" s="15">
        <v>46245</v>
      </c>
      <c r="G5588" s="19" t="s">
        <v>673</v>
      </c>
      <c r="H5588">
        <v>4</v>
      </c>
      <c r="I5588">
        <v>2026</v>
      </c>
      <c r="J5588">
        <v>8</v>
      </c>
      <c r="K5588" s="19" t="s">
        <v>87</v>
      </c>
      <c r="L5588" s="19" t="s">
        <v>13</v>
      </c>
      <c r="M5588" s="19" t="s">
        <v>6</v>
      </c>
      <c r="N5588" t="b">
        <v>0</v>
      </c>
      <c r="O5588">
        <v>0</v>
      </c>
      <c r="P5588">
        <v>1</v>
      </c>
      <c r="Q5588">
        <v>0</v>
      </c>
      <c r="R5588">
        <v>0</v>
      </c>
    </row>
    <row r="5589" spans="1:18" x14ac:dyDescent="0.45">
      <c r="A5589" s="19" t="s">
        <v>17</v>
      </c>
      <c r="B5589" s="19" t="s">
        <v>6</v>
      </c>
      <c r="C5589">
        <v>3</v>
      </c>
      <c r="D5589">
        <v>3</v>
      </c>
      <c r="E5589">
        <v>1</v>
      </c>
      <c r="F5589" s="15">
        <v>46245</v>
      </c>
      <c r="G5589" s="19" t="s">
        <v>673</v>
      </c>
      <c r="H5589">
        <v>4</v>
      </c>
      <c r="I5589">
        <v>2026</v>
      </c>
      <c r="J5589">
        <v>8</v>
      </c>
      <c r="K5589" s="19" t="s">
        <v>87</v>
      </c>
      <c r="L5589" s="19" t="s">
        <v>15</v>
      </c>
      <c r="M5589" s="19" t="s">
        <v>8</v>
      </c>
      <c r="N5589" t="b">
        <v>0</v>
      </c>
      <c r="O5589">
        <v>0</v>
      </c>
      <c r="P5589">
        <v>1</v>
      </c>
      <c r="Q5589">
        <v>0</v>
      </c>
      <c r="R5589">
        <v>1</v>
      </c>
    </row>
    <row r="5590" spans="1:18" x14ac:dyDescent="0.45">
      <c r="A5590" s="19" t="s">
        <v>17</v>
      </c>
      <c r="B5590" s="19" t="s">
        <v>6</v>
      </c>
      <c r="C5590">
        <v>3</v>
      </c>
      <c r="D5590">
        <v>3</v>
      </c>
      <c r="E5590">
        <v>1</v>
      </c>
      <c r="F5590" s="15">
        <v>46245</v>
      </c>
      <c r="G5590" s="19" t="s">
        <v>673</v>
      </c>
      <c r="H5590">
        <v>4</v>
      </c>
      <c r="I5590">
        <v>2026</v>
      </c>
      <c r="J5590">
        <v>8</v>
      </c>
      <c r="K5590" s="19" t="s">
        <v>87</v>
      </c>
      <c r="L5590" s="19" t="s">
        <v>41</v>
      </c>
      <c r="M5590" s="19" t="s">
        <v>6</v>
      </c>
      <c r="N5590" t="b">
        <v>0</v>
      </c>
      <c r="O5590">
        <v>0</v>
      </c>
      <c r="P5590">
        <v>1</v>
      </c>
      <c r="Q5590">
        <v>0</v>
      </c>
      <c r="R5590">
        <v>0</v>
      </c>
    </row>
    <row r="5591" spans="1:18" x14ac:dyDescent="0.45">
      <c r="A5591" s="19" t="s">
        <v>41</v>
      </c>
      <c r="B5591" s="19" t="s">
        <v>6</v>
      </c>
      <c r="C5591">
        <v>4</v>
      </c>
      <c r="D5591">
        <v>3</v>
      </c>
      <c r="E5591">
        <v>1</v>
      </c>
      <c r="F5591" s="15">
        <v>46245</v>
      </c>
      <c r="G5591" s="19" t="s">
        <v>673</v>
      </c>
      <c r="H5591">
        <v>4</v>
      </c>
      <c r="I5591">
        <v>2026</v>
      </c>
      <c r="J5591">
        <v>8</v>
      </c>
      <c r="K5591" s="19" t="s">
        <v>87</v>
      </c>
      <c r="L5591" s="19" t="s">
        <v>13</v>
      </c>
      <c r="M5591" s="19" t="s">
        <v>6</v>
      </c>
      <c r="N5591" t="b">
        <v>0</v>
      </c>
      <c r="O5591">
        <v>0</v>
      </c>
      <c r="P5591">
        <v>1</v>
      </c>
      <c r="Q5591">
        <v>0</v>
      </c>
      <c r="R5591">
        <v>0</v>
      </c>
    </row>
    <row r="5592" spans="1:18" x14ac:dyDescent="0.45">
      <c r="A5592" s="19" t="s">
        <v>41</v>
      </c>
      <c r="B5592" s="19" t="s">
        <v>6</v>
      </c>
      <c r="C5592">
        <v>4</v>
      </c>
      <c r="D5592">
        <v>3</v>
      </c>
      <c r="E5592">
        <v>1</v>
      </c>
      <c r="F5592" s="15">
        <v>46245</v>
      </c>
      <c r="G5592" s="19" t="s">
        <v>673</v>
      </c>
      <c r="H5592">
        <v>4</v>
      </c>
      <c r="I5592">
        <v>2026</v>
      </c>
      <c r="J5592">
        <v>8</v>
      </c>
      <c r="K5592" s="19" t="s">
        <v>87</v>
      </c>
      <c r="L5592" s="19" t="s">
        <v>15</v>
      </c>
      <c r="M5592" s="19" t="s">
        <v>8</v>
      </c>
      <c r="N5592" t="b">
        <v>0</v>
      </c>
      <c r="O5592">
        <v>0</v>
      </c>
      <c r="P5592">
        <v>1</v>
      </c>
      <c r="Q5592">
        <v>0</v>
      </c>
      <c r="R5592">
        <v>1</v>
      </c>
    </row>
    <row r="5593" spans="1:18" x14ac:dyDescent="0.45">
      <c r="A5593" s="19" t="s">
        <v>41</v>
      </c>
      <c r="B5593" s="19" t="s">
        <v>6</v>
      </c>
      <c r="C5593">
        <v>4</v>
      </c>
      <c r="D5593">
        <v>3</v>
      </c>
      <c r="E5593">
        <v>1</v>
      </c>
      <c r="F5593" s="15">
        <v>46245</v>
      </c>
      <c r="G5593" s="19" t="s">
        <v>673</v>
      </c>
      <c r="H5593">
        <v>4</v>
      </c>
      <c r="I5593">
        <v>2026</v>
      </c>
      <c r="J5593">
        <v>8</v>
      </c>
      <c r="K5593" s="19" t="s">
        <v>87</v>
      </c>
      <c r="L5593" s="19" t="s">
        <v>17</v>
      </c>
      <c r="M5593" s="19" t="s">
        <v>6</v>
      </c>
      <c r="N5593" t="b">
        <v>0</v>
      </c>
      <c r="O5593">
        <v>0</v>
      </c>
      <c r="P5593">
        <v>1</v>
      </c>
      <c r="Q5593">
        <v>0</v>
      </c>
      <c r="R5593">
        <v>0</v>
      </c>
    </row>
    <row r="5594" spans="1:18" x14ac:dyDescent="0.45">
      <c r="A5594" s="19" t="s">
        <v>567</v>
      </c>
      <c r="B5594" s="19" t="s">
        <v>63</v>
      </c>
      <c r="C5594">
        <v>1</v>
      </c>
      <c r="D5594">
        <v>4</v>
      </c>
      <c r="E5594">
        <v>1</v>
      </c>
      <c r="F5594" s="15">
        <v>46245</v>
      </c>
      <c r="G5594" s="19" t="s">
        <v>674</v>
      </c>
      <c r="H5594">
        <v>4</v>
      </c>
      <c r="I5594">
        <v>2026</v>
      </c>
      <c r="J5594">
        <v>8</v>
      </c>
      <c r="K5594" s="19" t="s">
        <v>87</v>
      </c>
      <c r="L5594" s="19" t="s">
        <v>464</v>
      </c>
      <c r="M5594" s="19" t="s">
        <v>63</v>
      </c>
      <c r="N5594" t="b">
        <v>0</v>
      </c>
      <c r="O5594">
        <v>0</v>
      </c>
      <c r="P5594">
        <v>0</v>
      </c>
      <c r="Q5594">
        <v>1</v>
      </c>
      <c r="R5594">
        <v>0</v>
      </c>
    </row>
    <row r="5595" spans="1:18" x14ac:dyDescent="0.45">
      <c r="A5595" s="19" t="s">
        <v>567</v>
      </c>
      <c r="B5595" s="19" t="s">
        <v>63</v>
      </c>
      <c r="C5595">
        <v>1</v>
      </c>
      <c r="D5595">
        <v>4</v>
      </c>
      <c r="E5595">
        <v>1</v>
      </c>
      <c r="F5595" s="15">
        <v>46245</v>
      </c>
      <c r="G5595" s="19" t="s">
        <v>674</v>
      </c>
      <c r="H5595">
        <v>4</v>
      </c>
      <c r="I5595">
        <v>2026</v>
      </c>
      <c r="J5595">
        <v>8</v>
      </c>
      <c r="K5595" s="19" t="s">
        <v>87</v>
      </c>
      <c r="L5595" s="19" t="s">
        <v>20</v>
      </c>
      <c r="M5595" s="19" t="s">
        <v>63</v>
      </c>
      <c r="N5595" t="b">
        <v>0</v>
      </c>
      <c r="O5595">
        <v>0</v>
      </c>
      <c r="P5595">
        <v>0</v>
      </c>
      <c r="Q5595">
        <v>1</v>
      </c>
      <c r="R5595">
        <v>0</v>
      </c>
    </row>
    <row r="5596" spans="1:18" x14ac:dyDescent="0.45">
      <c r="A5596" s="19" t="s">
        <v>567</v>
      </c>
      <c r="B5596" s="19" t="s">
        <v>63</v>
      </c>
      <c r="C5596">
        <v>1</v>
      </c>
      <c r="D5596">
        <v>4</v>
      </c>
      <c r="E5596">
        <v>1</v>
      </c>
      <c r="F5596" s="15">
        <v>46245</v>
      </c>
      <c r="G5596" s="19" t="s">
        <v>674</v>
      </c>
      <c r="H5596">
        <v>4</v>
      </c>
      <c r="I5596">
        <v>2026</v>
      </c>
      <c r="J5596">
        <v>8</v>
      </c>
      <c r="K5596" s="19" t="s">
        <v>87</v>
      </c>
      <c r="L5596" s="19" t="s">
        <v>51</v>
      </c>
      <c r="M5596" s="19" t="s">
        <v>63</v>
      </c>
      <c r="N5596" t="b">
        <v>0</v>
      </c>
      <c r="O5596">
        <v>0</v>
      </c>
      <c r="P5596">
        <v>0</v>
      </c>
      <c r="Q5596">
        <v>1</v>
      </c>
      <c r="R5596">
        <v>0</v>
      </c>
    </row>
    <row r="5597" spans="1:18" x14ac:dyDescent="0.45">
      <c r="A5597" s="19" t="s">
        <v>464</v>
      </c>
      <c r="B5597" s="19" t="s">
        <v>63</v>
      </c>
      <c r="C5597">
        <v>2</v>
      </c>
      <c r="D5597">
        <v>4</v>
      </c>
      <c r="E5597">
        <v>1</v>
      </c>
      <c r="F5597" s="15">
        <v>46245</v>
      </c>
      <c r="G5597" s="19" t="s">
        <v>674</v>
      </c>
      <c r="H5597">
        <v>4</v>
      </c>
      <c r="I5597">
        <v>2026</v>
      </c>
      <c r="J5597">
        <v>8</v>
      </c>
      <c r="K5597" s="19" t="s">
        <v>87</v>
      </c>
      <c r="L5597" s="19" t="s">
        <v>567</v>
      </c>
      <c r="M5597" s="19" t="s">
        <v>63</v>
      </c>
      <c r="N5597" t="b">
        <v>0</v>
      </c>
      <c r="O5597">
        <v>0</v>
      </c>
      <c r="P5597">
        <v>0</v>
      </c>
      <c r="Q5597">
        <v>1</v>
      </c>
      <c r="R5597">
        <v>0</v>
      </c>
    </row>
    <row r="5598" spans="1:18" x14ac:dyDescent="0.45">
      <c r="A5598" s="19" t="s">
        <v>464</v>
      </c>
      <c r="B5598" s="19" t="s">
        <v>63</v>
      </c>
      <c r="C5598">
        <v>2</v>
      </c>
      <c r="D5598">
        <v>4</v>
      </c>
      <c r="E5598">
        <v>1</v>
      </c>
      <c r="F5598" s="15">
        <v>46245</v>
      </c>
      <c r="G5598" s="19" t="s">
        <v>674</v>
      </c>
      <c r="H5598">
        <v>4</v>
      </c>
      <c r="I5598">
        <v>2026</v>
      </c>
      <c r="J5598">
        <v>8</v>
      </c>
      <c r="K5598" s="19" t="s">
        <v>87</v>
      </c>
      <c r="L5598" s="19" t="s">
        <v>20</v>
      </c>
      <c r="M5598" s="19" t="s">
        <v>63</v>
      </c>
      <c r="N5598" t="b">
        <v>0</v>
      </c>
      <c r="O5598">
        <v>0</v>
      </c>
      <c r="P5598">
        <v>0</v>
      </c>
      <c r="Q5598">
        <v>1</v>
      </c>
      <c r="R5598">
        <v>0</v>
      </c>
    </row>
    <row r="5599" spans="1:18" x14ac:dyDescent="0.45">
      <c r="A5599" s="19" t="s">
        <v>464</v>
      </c>
      <c r="B5599" s="19" t="s">
        <v>63</v>
      </c>
      <c r="C5599">
        <v>2</v>
      </c>
      <c r="D5599">
        <v>4</v>
      </c>
      <c r="E5599">
        <v>1</v>
      </c>
      <c r="F5599" s="15">
        <v>46245</v>
      </c>
      <c r="G5599" s="19" t="s">
        <v>674</v>
      </c>
      <c r="H5599">
        <v>4</v>
      </c>
      <c r="I5599">
        <v>2026</v>
      </c>
      <c r="J5599">
        <v>8</v>
      </c>
      <c r="K5599" s="19" t="s">
        <v>87</v>
      </c>
      <c r="L5599" s="19" t="s">
        <v>51</v>
      </c>
      <c r="M5599" s="19" t="s">
        <v>63</v>
      </c>
      <c r="N5599" t="b">
        <v>0</v>
      </c>
      <c r="O5599">
        <v>0</v>
      </c>
      <c r="P5599">
        <v>0</v>
      </c>
      <c r="Q5599">
        <v>1</v>
      </c>
      <c r="R5599">
        <v>0</v>
      </c>
    </row>
    <row r="5600" spans="1:18" x14ac:dyDescent="0.45">
      <c r="A5600" s="19" t="s">
        <v>20</v>
      </c>
      <c r="B5600" s="19" t="s">
        <v>63</v>
      </c>
      <c r="C5600">
        <v>3</v>
      </c>
      <c r="D5600">
        <v>4</v>
      </c>
      <c r="E5600">
        <v>1</v>
      </c>
      <c r="F5600" s="15">
        <v>46245</v>
      </c>
      <c r="G5600" s="19" t="s">
        <v>674</v>
      </c>
      <c r="H5600">
        <v>4</v>
      </c>
      <c r="I5600">
        <v>2026</v>
      </c>
      <c r="J5600">
        <v>8</v>
      </c>
      <c r="K5600" s="19" t="s">
        <v>87</v>
      </c>
      <c r="L5600" s="19" t="s">
        <v>567</v>
      </c>
      <c r="M5600" s="19" t="s">
        <v>63</v>
      </c>
      <c r="N5600" t="b">
        <v>0</v>
      </c>
      <c r="O5600">
        <v>0</v>
      </c>
      <c r="P5600">
        <v>0</v>
      </c>
      <c r="Q5600">
        <v>1</v>
      </c>
      <c r="R5600">
        <v>0</v>
      </c>
    </row>
    <row r="5601" spans="1:18" x14ac:dyDescent="0.45">
      <c r="A5601" s="19" t="s">
        <v>20</v>
      </c>
      <c r="B5601" s="19" t="s">
        <v>63</v>
      </c>
      <c r="C5601">
        <v>3</v>
      </c>
      <c r="D5601">
        <v>4</v>
      </c>
      <c r="E5601">
        <v>1</v>
      </c>
      <c r="F5601" s="15">
        <v>46245</v>
      </c>
      <c r="G5601" s="19" t="s">
        <v>674</v>
      </c>
      <c r="H5601">
        <v>4</v>
      </c>
      <c r="I5601">
        <v>2026</v>
      </c>
      <c r="J5601">
        <v>8</v>
      </c>
      <c r="K5601" s="19" t="s">
        <v>87</v>
      </c>
      <c r="L5601" s="19" t="s">
        <v>464</v>
      </c>
      <c r="M5601" s="19" t="s">
        <v>63</v>
      </c>
      <c r="N5601" t="b">
        <v>0</v>
      </c>
      <c r="O5601">
        <v>0</v>
      </c>
      <c r="P5601">
        <v>0</v>
      </c>
      <c r="Q5601">
        <v>1</v>
      </c>
      <c r="R5601">
        <v>0</v>
      </c>
    </row>
    <row r="5602" spans="1:18" x14ac:dyDescent="0.45">
      <c r="A5602" s="19" t="s">
        <v>20</v>
      </c>
      <c r="B5602" s="19" t="s">
        <v>63</v>
      </c>
      <c r="C5602">
        <v>3</v>
      </c>
      <c r="D5602">
        <v>4</v>
      </c>
      <c r="E5602">
        <v>1</v>
      </c>
      <c r="F5602" s="15">
        <v>46245</v>
      </c>
      <c r="G5602" s="19" t="s">
        <v>674</v>
      </c>
      <c r="H5602">
        <v>4</v>
      </c>
      <c r="I5602">
        <v>2026</v>
      </c>
      <c r="J5602">
        <v>8</v>
      </c>
      <c r="K5602" s="19" t="s">
        <v>87</v>
      </c>
      <c r="L5602" s="19" t="s">
        <v>51</v>
      </c>
      <c r="M5602" s="19" t="s">
        <v>63</v>
      </c>
      <c r="N5602" t="b">
        <v>0</v>
      </c>
      <c r="O5602">
        <v>0</v>
      </c>
      <c r="P5602">
        <v>0</v>
      </c>
      <c r="Q5602">
        <v>1</v>
      </c>
      <c r="R5602">
        <v>0</v>
      </c>
    </row>
    <row r="5603" spans="1:18" x14ac:dyDescent="0.45">
      <c r="A5603" s="19" t="s">
        <v>51</v>
      </c>
      <c r="B5603" s="19" t="s">
        <v>63</v>
      </c>
      <c r="C5603">
        <v>4</v>
      </c>
      <c r="D5603">
        <v>4</v>
      </c>
      <c r="E5603">
        <v>1</v>
      </c>
      <c r="F5603" s="15">
        <v>46245</v>
      </c>
      <c r="G5603" s="19" t="s">
        <v>674</v>
      </c>
      <c r="H5603">
        <v>4</v>
      </c>
      <c r="I5603">
        <v>2026</v>
      </c>
      <c r="J5603">
        <v>8</v>
      </c>
      <c r="K5603" s="19" t="s">
        <v>87</v>
      </c>
      <c r="L5603" s="19" t="s">
        <v>567</v>
      </c>
      <c r="M5603" s="19" t="s">
        <v>63</v>
      </c>
      <c r="N5603" t="b">
        <v>0</v>
      </c>
      <c r="O5603">
        <v>0</v>
      </c>
      <c r="P5603">
        <v>0</v>
      </c>
      <c r="Q5603">
        <v>1</v>
      </c>
      <c r="R5603">
        <v>0</v>
      </c>
    </row>
    <row r="5604" spans="1:18" x14ac:dyDescent="0.45">
      <c r="A5604" s="19" t="s">
        <v>51</v>
      </c>
      <c r="B5604" s="19" t="s">
        <v>63</v>
      </c>
      <c r="C5604">
        <v>4</v>
      </c>
      <c r="D5604">
        <v>4</v>
      </c>
      <c r="E5604">
        <v>1</v>
      </c>
      <c r="F5604" s="15">
        <v>46245</v>
      </c>
      <c r="G5604" s="19" t="s">
        <v>674</v>
      </c>
      <c r="H5604">
        <v>4</v>
      </c>
      <c r="I5604">
        <v>2026</v>
      </c>
      <c r="J5604">
        <v>8</v>
      </c>
      <c r="K5604" s="19" t="s">
        <v>87</v>
      </c>
      <c r="L5604" s="19" t="s">
        <v>464</v>
      </c>
      <c r="M5604" s="19" t="s">
        <v>63</v>
      </c>
      <c r="N5604" t="b">
        <v>0</v>
      </c>
      <c r="O5604">
        <v>0</v>
      </c>
      <c r="P5604">
        <v>0</v>
      </c>
      <c r="Q5604">
        <v>1</v>
      </c>
      <c r="R5604">
        <v>0</v>
      </c>
    </row>
    <row r="5605" spans="1:18" x14ac:dyDescent="0.45">
      <c r="A5605" s="19" t="s">
        <v>51</v>
      </c>
      <c r="B5605" s="19" t="s">
        <v>63</v>
      </c>
      <c r="C5605">
        <v>4</v>
      </c>
      <c r="D5605">
        <v>4</v>
      </c>
      <c r="E5605">
        <v>1</v>
      </c>
      <c r="F5605" s="15">
        <v>46245</v>
      </c>
      <c r="G5605" s="19" t="s">
        <v>674</v>
      </c>
      <c r="H5605">
        <v>4</v>
      </c>
      <c r="I5605">
        <v>2026</v>
      </c>
      <c r="J5605">
        <v>8</v>
      </c>
      <c r="K5605" s="19" t="s">
        <v>87</v>
      </c>
      <c r="L5605" s="19" t="s">
        <v>20</v>
      </c>
      <c r="M5605" s="19" t="s">
        <v>63</v>
      </c>
      <c r="N5605" t="b">
        <v>0</v>
      </c>
      <c r="O5605">
        <v>0</v>
      </c>
      <c r="P5605">
        <v>0</v>
      </c>
      <c r="Q5605">
        <v>1</v>
      </c>
      <c r="R5605">
        <v>0</v>
      </c>
    </row>
    <row r="5606" spans="1:18" x14ac:dyDescent="0.45">
      <c r="A5606" s="19" t="s">
        <v>19</v>
      </c>
      <c r="B5606" s="19" t="s">
        <v>63</v>
      </c>
      <c r="C5606">
        <v>1</v>
      </c>
      <c r="D5606">
        <v>5</v>
      </c>
      <c r="E5606">
        <v>1</v>
      </c>
      <c r="F5606" s="15">
        <v>46245</v>
      </c>
      <c r="G5606" s="19" t="s">
        <v>675</v>
      </c>
      <c r="H5606">
        <v>3</v>
      </c>
      <c r="I5606">
        <v>2026</v>
      </c>
      <c r="J5606">
        <v>8</v>
      </c>
      <c r="K5606" s="19" t="s">
        <v>87</v>
      </c>
      <c r="L5606" s="19" t="s">
        <v>28</v>
      </c>
      <c r="M5606" s="19" t="s">
        <v>63</v>
      </c>
      <c r="N5606" t="b">
        <v>0</v>
      </c>
      <c r="O5606">
        <v>0</v>
      </c>
      <c r="P5606">
        <v>0</v>
      </c>
      <c r="Q5606">
        <v>1</v>
      </c>
      <c r="R5606">
        <v>0</v>
      </c>
    </row>
    <row r="5607" spans="1:18" x14ac:dyDescent="0.45">
      <c r="A5607" s="19" t="s">
        <v>19</v>
      </c>
      <c r="B5607" s="19" t="s">
        <v>63</v>
      </c>
      <c r="C5607">
        <v>1</v>
      </c>
      <c r="D5607">
        <v>5</v>
      </c>
      <c r="E5607">
        <v>1</v>
      </c>
      <c r="F5607" s="15">
        <v>46245</v>
      </c>
      <c r="G5607" s="19" t="s">
        <v>675</v>
      </c>
      <c r="H5607">
        <v>3</v>
      </c>
      <c r="I5607">
        <v>2026</v>
      </c>
      <c r="J5607">
        <v>8</v>
      </c>
      <c r="K5607" s="19" t="s">
        <v>87</v>
      </c>
      <c r="L5607" s="19" t="s">
        <v>405</v>
      </c>
      <c r="M5607" s="19" t="s">
        <v>63</v>
      </c>
      <c r="N5607" t="b">
        <v>0</v>
      </c>
      <c r="O5607">
        <v>0</v>
      </c>
      <c r="P5607">
        <v>0</v>
      </c>
      <c r="Q5607">
        <v>1</v>
      </c>
      <c r="R5607">
        <v>0</v>
      </c>
    </row>
    <row r="5608" spans="1:18" x14ac:dyDescent="0.45">
      <c r="A5608" s="19" t="s">
        <v>28</v>
      </c>
      <c r="B5608" s="19" t="s">
        <v>63</v>
      </c>
      <c r="C5608">
        <v>2</v>
      </c>
      <c r="D5608">
        <v>5</v>
      </c>
      <c r="E5608">
        <v>1</v>
      </c>
      <c r="F5608" s="15">
        <v>46245</v>
      </c>
      <c r="G5608" s="19" t="s">
        <v>675</v>
      </c>
      <c r="H5608">
        <v>3</v>
      </c>
      <c r="I5608">
        <v>2026</v>
      </c>
      <c r="J5608">
        <v>8</v>
      </c>
      <c r="K5608" s="19" t="s">
        <v>87</v>
      </c>
      <c r="L5608" s="19" t="s">
        <v>19</v>
      </c>
      <c r="M5608" s="19" t="s">
        <v>63</v>
      </c>
      <c r="N5608" t="b">
        <v>0</v>
      </c>
      <c r="O5608">
        <v>0</v>
      </c>
      <c r="P5608">
        <v>0</v>
      </c>
      <c r="Q5608">
        <v>1</v>
      </c>
      <c r="R5608">
        <v>0</v>
      </c>
    </row>
    <row r="5609" spans="1:18" x14ac:dyDescent="0.45">
      <c r="A5609" s="19" t="s">
        <v>28</v>
      </c>
      <c r="B5609" s="19" t="s">
        <v>63</v>
      </c>
      <c r="C5609">
        <v>2</v>
      </c>
      <c r="D5609">
        <v>5</v>
      </c>
      <c r="E5609">
        <v>1</v>
      </c>
      <c r="F5609" s="15">
        <v>46245</v>
      </c>
      <c r="G5609" s="19" t="s">
        <v>675</v>
      </c>
      <c r="H5609">
        <v>3</v>
      </c>
      <c r="I5609">
        <v>2026</v>
      </c>
      <c r="J5609">
        <v>8</v>
      </c>
      <c r="K5609" s="19" t="s">
        <v>87</v>
      </c>
      <c r="L5609" s="19" t="s">
        <v>405</v>
      </c>
      <c r="M5609" s="19" t="s">
        <v>63</v>
      </c>
      <c r="N5609" t="b">
        <v>0</v>
      </c>
      <c r="O5609">
        <v>0</v>
      </c>
      <c r="P5609">
        <v>0</v>
      </c>
      <c r="Q5609">
        <v>1</v>
      </c>
      <c r="R5609">
        <v>0</v>
      </c>
    </row>
    <row r="5610" spans="1:18" x14ac:dyDescent="0.45">
      <c r="A5610" s="19" t="s">
        <v>405</v>
      </c>
      <c r="B5610" s="19" t="s">
        <v>63</v>
      </c>
      <c r="C5610">
        <v>3</v>
      </c>
      <c r="D5610">
        <v>5</v>
      </c>
      <c r="E5610">
        <v>1</v>
      </c>
      <c r="F5610" s="15">
        <v>46245</v>
      </c>
      <c r="G5610" s="19" t="s">
        <v>675</v>
      </c>
      <c r="H5610">
        <v>3</v>
      </c>
      <c r="I5610">
        <v>2026</v>
      </c>
      <c r="J5610">
        <v>8</v>
      </c>
      <c r="K5610" s="19" t="s">
        <v>87</v>
      </c>
      <c r="L5610" s="19" t="s">
        <v>19</v>
      </c>
      <c r="M5610" s="19" t="s">
        <v>63</v>
      </c>
      <c r="N5610" t="b">
        <v>0</v>
      </c>
      <c r="O5610">
        <v>0</v>
      </c>
      <c r="P5610">
        <v>0</v>
      </c>
      <c r="Q5610">
        <v>1</v>
      </c>
      <c r="R5610">
        <v>0</v>
      </c>
    </row>
    <row r="5611" spans="1:18" x14ac:dyDescent="0.45">
      <c r="A5611" s="19" t="s">
        <v>405</v>
      </c>
      <c r="B5611" s="19" t="s">
        <v>63</v>
      </c>
      <c r="C5611">
        <v>3</v>
      </c>
      <c r="D5611">
        <v>5</v>
      </c>
      <c r="E5611">
        <v>1</v>
      </c>
      <c r="F5611" s="15">
        <v>46245</v>
      </c>
      <c r="G5611" s="19" t="s">
        <v>675</v>
      </c>
      <c r="H5611">
        <v>3</v>
      </c>
      <c r="I5611">
        <v>2026</v>
      </c>
      <c r="J5611">
        <v>8</v>
      </c>
      <c r="K5611" s="19" t="s">
        <v>87</v>
      </c>
      <c r="L5611" s="19" t="s">
        <v>28</v>
      </c>
      <c r="M5611" s="19" t="s">
        <v>63</v>
      </c>
      <c r="N5611" t="b">
        <v>0</v>
      </c>
      <c r="O5611">
        <v>0</v>
      </c>
      <c r="P5611">
        <v>0</v>
      </c>
      <c r="Q5611">
        <v>1</v>
      </c>
      <c r="R5611">
        <v>0</v>
      </c>
    </row>
    <row r="5612" spans="1:18" x14ac:dyDescent="0.45">
      <c r="A5612" s="19" t="s">
        <v>325</v>
      </c>
      <c r="B5612" s="19" t="s">
        <v>8</v>
      </c>
      <c r="C5612">
        <v>1</v>
      </c>
      <c r="D5612">
        <v>6</v>
      </c>
      <c r="E5612">
        <v>1</v>
      </c>
      <c r="F5612" s="15">
        <v>46245</v>
      </c>
      <c r="G5612" s="19" t="s">
        <v>676</v>
      </c>
      <c r="H5612">
        <v>3</v>
      </c>
      <c r="I5612">
        <v>2026</v>
      </c>
      <c r="J5612">
        <v>8</v>
      </c>
      <c r="K5612" s="19" t="s">
        <v>87</v>
      </c>
      <c r="L5612" s="19" t="s">
        <v>609</v>
      </c>
      <c r="M5612" s="19" t="s">
        <v>6</v>
      </c>
      <c r="N5612" t="b">
        <v>0</v>
      </c>
      <c r="O5612">
        <v>1</v>
      </c>
      <c r="P5612">
        <v>0</v>
      </c>
      <c r="Q5612">
        <v>0</v>
      </c>
      <c r="R5612">
        <v>0</v>
      </c>
    </row>
    <row r="5613" spans="1:18" x14ac:dyDescent="0.45">
      <c r="A5613" s="19" t="s">
        <v>325</v>
      </c>
      <c r="B5613" s="19" t="s">
        <v>8</v>
      </c>
      <c r="C5613">
        <v>1</v>
      </c>
      <c r="D5613">
        <v>6</v>
      </c>
      <c r="E5613">
        <v>1</v>
      </c>
      <c r="F5613" s="15">
        <v>46245</v>
      </c>
      <c r="G5613" s="19" t="s">
        <v>676</v>
      </c>
      <c r="H5613">
        <v>3</v>
      </c>
      <c r="I5613">
        <v>2026</v>
      </c>
      <c r="J5613">
        <v>8</v>
      </c>
      <c r="K5613" s="19" t="s">
        <v>87</v>
      </c>
      <c r="L5613" s="19" t="s">
        <v>433</v>
      </c>
      <c r="M5613" s="19" t="s">
        <v>6</v>
      </c>
      <c r="N5613" t="b">
        <v>0</v>
      </c>
      <c r="O5613">
        <v>1</v>
      </c>
      <c r="P5613">
        <v>0</v>
      </c>
      <c r="Q5613">
        <v>0</v>
      </c>
      <c r="R5613">
        <v>0</v>
      </c>
    </row>
    <row r="5614" spans="1:18" x14ac:dyDescent="0.45">
      <c r="A5614" s="19" t="s">
        <v>609</v>
      </c>
      <c r="B5614" s="19" t="s">
        <v>6</v>
      </c>
      <c r="C5614">
        <v>2</v>
      </c>
      <c r="D5614">
        <v>6</v>
      </c>
      <c r="E5614">
        <v>1</v>
      </c>
      <c r="F5614" s="15">
        <v>46245</v>
      </c>
      <c r="G5614" s="19" t="s">
        <v>676</v>
      </c>
      <c r="H5614">
        <v>3</v>
      </c>
      <c r="I5614">
        <v>2026</v>
      </c>
      <c r="J5614">
        <v>8</v>
      </c>
      <c r="K5614" s="19" t="s">
        <v>87</v>
      </c>
      <c r="L5614" s="19" t="s">
        <v>325</v>
      </c>
      <c r="M5614" s="19" t="s">
        <v>8</v>
      </c>
      <c r="N5614" t="b">
        <v>0</v>
      </c>
      <c r="O5614">
        <v>0</v>
      </c>
      <c r="P5614">
        <v>1</v>
      </c>
      <c r="Q5614">
        <v>0</v>
      </c>
      <c r="R5614">
        <v>1</v>
      </c>
    </row>
    <row r="5615" spans="1:18" x14ac:dyDescent="0.45">
      <c r="A5615" s="19" t="s">
        <v>609</v>
      </c>
      <c r="B5615" s="19" t="s">
        <v>6</v>
      </c>
      <c r="C5615">
        <v>2</v>
      </c>
      <c r="D5615">
        <v>6</v>
      </c>
      <c r="E5615">
        <v>1</v>
      </c>
      <c r="F5615" s="15">
        <v>46245</v>
      </c>
      <c r="G5615" s="19" t="s">
        <v>676</v>
      </c>
      <c r="H5615">
        <v>3</v>
      </c>
      <c r="I5615">
        <v>2026</v>
      </c>
      <c r="J5615">
        <v>8</v>
      </c>
      <c r="K5615" s="19" t="s">
        <v>87</v>
      </c>
      <c r="L5615" s="19" t="s">
        <v>433</v>
      </c>
      <c r="M5615" s="19" t="s">
        <v>6</v>
      </c>
      <c r="N5615" t="b">
        <v>0</v>
      </c>
      <c r="O5615">
        <v>0</v>
      </c>
      <c r="P5615">
        <v>1</v>
      </c>
      <c r="Q5615">
        <v>0</v>
      </c>
      <c r="R5615">
        <v>0</v>
      </c>
    </row>
    <row r="5616" spans="1:18" x14ac:dyDescent="0.45">
      <c r="A5616" s="19" t="s">
        <v>433</v>
      </c>
      <c r="B5616" s="19" t="s">
        <v>6</v>
      </c>
      <c r="C5616">
        <v>3</v>
      </c>
      <c r="D5616">
        <v>6</v>
      </c>
      <c r="E5616">
        <v>1</v>
      </c>
      <c r="F5616" s="15">
        <v>46245</v>
      </c>
      <c r="G5616" s="19" t="s">
        <v>676</v>
      </c>
      <c r="H5616">
        <v>3</v>
      </c>
      <c r="I5616">
        <v>2026</v>
      </c>
      <c r="J5616">
        <v>8</v>
      </c>
      <c r="K5616" s="19" t="s">
        <v>87</v>
      </c>
      <c r="L5616" s="19" t="s">
        <v>325</v>
      </c>
      <c r="M5616" s="19" t="s">
        <v>8</v>
      </c>
      <c r="N5616" t="b">
        <v>0</v>
      </c>
      <c r="O5616">
        <v>0</v>
      </c>
      <c r="P5616">
        <v>1</v>
      </c>
      <c r="Q5616">
        <v>0</v>
      </c>
      <c r="R5616">
        <v>1</v>
      </c>
    </row>
    <row r="5617" spans="1:18" x14ac:dyDescent="0.45">
      <c r="A5617" s="19" t="s">
        <v>433</v>
      </c>
      <c r="B5617" s="19" t="s">
        <v>6</v>
      </c>
      <c r="C5617">
        <v>3</v>
      </c>
      <c r="D5617">
        <v>6</v>
      </c>
      <c r="E5617">
        <v>1</v>
      </c>
      <c r="F5617" s="15">
        <v>46245</v>
      </c>
      <c r="G5617" s="19" t="s">
        <v>676</v>
      </c>
      <c r="H5617">
        <v>3</v>
      </c>
      <c r="I5617">
        <v>2026</v>
      </c>
      <c r="J5617">
        <v>8</v>
      </c>
      <c r="K5617" s="19" t="s">
        <v>87</v>
      </c>
      <c r="L5617" s="19" t="s">
        <v>609</v>
      </c>
      <c r="M5617" s="19" t="s">
        <v>6</v>
      </c>
      <c r="N5617" t="b">
        <v>0</v>
      </c>
      <c r="O5617">
        <v>0</v>
      </c>
      <c r="P5617">
        <v>1</v>
      </c>
      <c r="Q5617">
        <v>0</v>
      </c>
      <c r="R5617">
        <v>0</v>
      </c>
    </row>
    <row r="5618" spans="1:18" x14ac:dyDescent="0.45">
      <c r="A5618" s="19" t="s">
        <v>325</v>
      </c>
      <c r="B5618" s="19" t="s">
        <v>6</v>
      </c>
      <c r="C5618">
        <v>1</v>
      </c>
      <c r="D5618">
        <v>1</v>
      </c>
      <c r="E5618">
        <v>2</v>
      </c>
      <c r="F5618" s="15">
        <v>46245</v>
      </c>
      <c r="G5618" s="19" t="s">
        <v>677</v>
      </c>
      <c r="H5618">
        <v>4</v>
      </c>
      <c r="I5618">
        <v>2026</v>
      </c>
      <c r="J5618">
        <v>8</v>
      </c>
      <c r="K5618" s="19" t="s">
        <v>87</v>
      </c>
      <c r="L5618" s="19" t="s">
        <v>405</v>
      </c>
      <c r="M5618" s="19" t="s">
        <v>6</v>
      </c>
      <c r="N5618" t="b">
        <v>0</v>
      </c>
      <c r="O5618">
        <v>0</v>
      </c>
      <c r="P5618">
        <v>1</v>
      </c>
      <c r="Q5618">
        <v>0</v>
      </c>
      <c r="R5618">
        <v>0</v>
      </c>
    </row>
    <row r="5619" spans="1:18" x14ac:dyDescent="0.45">
      <c r="A5619" s="19" t="s">
        <v>325</v>
      </c>
      <c r="B5619" s="19" t="s">
        <v>6</v>
      </c>
      <c r="C5619">
        <v>1</v>
      </c>
      <c r="D5619">
        <v>1</v>
      </c>
      <c r="E5619">
        <v>2</v>
      </c>
      <c r="F5619" s="15">
        <v>46245</v>
      </c>
      <c r="G5619" s="19" t="s">
        <v>677</v>
      </c>
      <c r="H5619">
        <v>4</v>
      </c>
      <c r="I5619">
        <v>2026</v>
      </c>
      <c r="J5619">
        <v>8</v>
      </c>
      <c r="K5619" s="19" t="s">
        <v>87</v>
      </c>
      <c r="L5619" s="19" t="s">
        <v>567</v>
      </c>
      <c r="M5619" s="19" t="s">
        <v>6</v>
      </c>
      <c r="N5619" t="b">
        <v>0</v>
      </c>
      <c r="O5619">
        <v>0</v>
      </c>
      <c r="P5619">
        <v>1</v>
      </c>
      <c r="Q5619">
        <v>0</v>
      </c>
      <c r="R5619">
        <v>0</v>
      </c>
    </row>
    <row r="5620" spans="1:18" x14ac:dyDescent="0.45">
      <c r="A5620" s="19" t="s">
        <v>325</v>
      </c>
      <c r="B5620" s="19" t="s">
        <v>6</v>
      </c>
      <c r="C5620">
        <v>1</v>
      </c>
      <c r="D5620">
        <v>1</v>
      </c>
      <c r="E5620">
        <v>2</v>
      </c>
      <c r="F5620" s="15">
        <v>46245</v>
      </c>
      <c r="G5620" s="19" t="s">
        <v>677</v>
      </c>
      <c r="H5620">
        <v>4</v>
      </c>
      <c r="I5620">
        <v>2026</v>
      </c>
      <c r="J5620">
        <v>8</v>
      </c>
      <c r="K5620" s="19" t="s">
        <v>87</v>
      </c>
      <c r="L5620" s="19" t="s">
        <v>11</v>
      </c>
      <c r="M5620" s="19" t="s">
        <v>8</v>
      </c>
      <c r="N5620" t="b">
        <v>0</v>
      </c>
      <c r="O5620">
        <v>0</v>
      </c>
      <c r="P5620">
        <v>1</v>
      </c>
      <c r="Q5620">
        <v>0</v>
      </c>
      <c r="R5620">
        <v>1</v>
      </c>
    </row>
    <row r="5621" spans="1:18" x14ac:dyDescent="0.45">
      <c r="A5621" s="19" t="s">
        <v>405</v>
      </c>
      <c r="B5621" s="19" t="s">
        <v>6</v>
      </c>
      <c r="C5621">
        <v>2</v>
      </c>
      <c r="D5621">
        <v>1</v>
      </c>
      <c r="E5621">
        <v>2</v>
      </c>
      <c r="F5621" s="15">
        <v>46245</v>
      </c>
      <c r="G5621" s="19" t="s">
        <v>677</v>
      </c>
      <c r="H5621">
        <v>4</v>
      </c>
      <c r="I5621">
        <v>2026</v>
      </c>
      <c r="J5621">
        <v>8</v>
      </c>
      <c r="K5621" s="19" t="s">
        <v>87</v>
      </c>
      <c r="L5621" s="19" t="s">
        <v>325</v>
      </c>
      <c r="M5621" s="19" t="s">
        <v>6</v>
      </c>
      <c r="N5621" t="b">
        <v>0</v>
      </c>
      <c r="O5621">
        <v>0</v>
      </c>
      <c r="P5621">
        <v>1</v>
      </c>
      <c r="Q5621">
        <v>0</v>
      </c>
      <c r="R5621">
        <v>0</v>
      </c>
    </row>
    <row r="5622" spans="1:18" x14ac:dyDescent="0.45">
      <c r="A5622" s="19" t="s">
        <v>405</v>
      </c>
      <c r="B5622" s="19" t="s">
        <v>6</v>
      </c>
      <c r="C5622">
        <v>2</v>
      </c>
      <c r="D5622">
        <v>1</v>
      </c>
      <c r="E5622">
        <v>2</v>
      </c>
      <c r="F5622" s="15">
        <v>46245</v>
      </c>
      <c r="G5622" s="19" t="s">
        <v>677</v>
      </c>
      <c r="H5622">
        <v>4</v>
      </c>
      <c r="I5622">
        <v>2026</v>
      </c>
      <c r="J5622">
        <v>8</v>
      </c>
      <c r="K5622" s="19" t="s">
        <v>87</v>
      </c>
      <c r="L5622" s="19" t="s">
        <v>567</v>
      </c>
      <c r="M5622" s="19" t="s">
        <v>6</v>
      </c>
      <c r="N5622" t="b">
        <v>0</v>
      </c>
      <c r="O5622">
        <v>0</v>
      </c>
      <c r="P5622">
        <v>1</v>
      </c>
      <c r="Q5622">
        <v>0</v>
      </c>
      <c r="R5622">
        <v>0</v>
      </c>
    </row>
    <row r="5623" spans="1:18" x14ac:dyDescent="0.45">
      <c r="A5623" s="19" t="s">
        <v>405</v>
      </c>
      <c r="B5623" s="19" t="s">
        <v>6</v>
      </c>
      <c r="C5623">
        <v>2</v>
      </c>
      <c r="D5623">
        <v>1</v>
      </c>
      <c r="E5623">
        <v>2</v>
      </c>
      <c r="F5623" s="15">
        <v>46245</v>
      </c>
      <c r="G5623" s="19" t="s">
        <v>677</v>
      </c>
      <c r="H5623">
        <v>4</v>
      </c>
      <c r="I5623">
        <v>2026</v>
      </c>
      <c r="J5623">
        <v>8</v>
      </c>
      <c r="K5623" s="19" t="s">
        <v>87</v>
      </c>
      <c r="L5623" s="19" t="s">
        <v>11</v>
      </c>
      <c r="M5623" s="19" t="s">
        <v>8</v>
      </c>
      <c r="N5623" t="b">
        <v>0</v>
      </c>
      <c r="O5623">
        <v>0</v>
      </c>
      <c r="P5623">
        <v>1</v>
      </c>
      <c r="Q5623">
        <v>0</v>
      </c>
      <c r="R5623">
        <v>1</v>
      </c>
    </row>
    <row r="5624" spans="1:18" x14ac:dyDescent="0.45">
      <c r="A5624" s="19" t="s">
        <v>567</v>
      </c>
      <c r="B5624" s="19" t="s">
        <v>6</v>
      </c>
      <c r="C5624">
        <v>3</v>
      </c>
      <c r="D5624">
        <v>1</v>
      </c>
      <c r="E5624">
        <v>2</v>
      </c>
      <c r="F5624" s="15">
        <v>46245</v>
      </c>
      <c r="G5624" s="19" t="s">
        <v>677</v>
      </c>
      <c r="H5624">
        <v>4</v>
      </c>
      <c r="I5624">
        <v>2026</v>
      </c>
      <c r="J5624">
        <v>8</v>
      </c>
      <c r="K5624" s="19" t="s">
        <v>87</v>
      </c>
      <c r="L5624" s="19" t="s">
        <v>325</v>
      </c>
      <c r="M5624" s="19" t="s">
        <v>6</v>
      </c>
      <c r="N5624" t="b">
        <v>0</v>
      </c>
      <c r="O5624">
        <v>0</v>
      </c>
      <c r="P5624">
        <v>1</v>
      </c>
      <c r="Q5624">
        <v>0</v>
      </c>
      <c r="R5624">
        <v>0</v>
      </c>
    </row>
    <row r="5625" spans="1:18" x14ac:dyDescent="0.45">
      <c r="A5625" s="19" t="s">
        <v>567</v>
      </c>
      <c r="B5625" s="19" t="s">
        <v>6</v>
      </c>
      <c r="C5625">
        <v>3</v>
      </c>
      <c r="D5625">
        <v>1</v>
      </c>
      <c r="E5625">
        <v>2</v>
      </c>
      <c r="F5625" s="15">
        <v>46245</v>
      </c>
      <c r="G5625" s="19" t="s">
        <v>677</v>
      </c>
      <c r="H5625">
        <v>4</v>
      </c>
      <c r="I5625">
        <v>2026</v>
      </c>
      <c r="J5625">
        <v>8</v>
      </c>
      <c r="K5625" s="19" t="s">
        <v>87</v>
      </c>
      <c r="L5625" s="19" t="s">
        <v>405</v>
      </c>
      <c r="M5625" s="19" t="s">
        <v>6</v>
      </c>
      <c r="N5625" t="b">
        <v>0</v>
      </c>
      <c r="O5625">
        <v>0</v>
      </c>
      <c r="P5625">
        <v>1</v>
      </c>
      <c r="Q5625">
        <v>0</v>
      </c>
      <c r="R5625">
        <v>0</v>
      </c>
    </row>
    <row r="5626" spans="1:18" x14ac:dyDescent="0.45">
      <c r="A5626" s="19" t="s">
        <v>567</v>
      </c>
      <c r="B5626" s="19" t="s">
        <v>6</v>
      </c>
      <c r="C5626">
        <v>3</v>
      </c>
      <c r="D5626">
        <v>1</v>
      </c>
      <c r="E5626">
        <v>2</v>
      </c>
      <c r="F5626" s="15">
        <v>46245</v>
      </c>
      <c r="G5626" s="19" t="s">
        <v>677</v>
      </c>
      <c r="H5626">
        <v>4</v>
      </c>
      <c r="I5626">
        <v>2026</v>
      </c>
      <c r="J5626">
        <v>8</v>
      </c>
      <c r="K5626" s="19" t="s">
        <v>87</v>
      </c>
      <c r="L5626" s="19" t="s">
        <v>11</v>
      </c>
      <c r="M5626" s="19" t="s">
        <v>8</v>
      </c>
      <c r="N5626" t="b">
        <v>0</v>
      </c>
      <c r="O5626">
        <v>0</v>
      </c>
      <c r="P5626">
        <v>1</v>
      </c>
      <c r="Q5626">
        <v>0</v>
      </c>
      <c r="R5626">
        <v>1</v>
      </c>
    </row>
    <row r="5627" spans="1:18" x14ac:dyDescent="0.45">
      <c r="A5627" s="19" t="s">
        <v>11</v>
      </c>
      <c r="B5627" s="19" t="s">
        <v>8</v>
      </c>
      <c r="C5627">
        <v>4</v>
      </c>
      <c r="D5627">
        <v>1</v>
      </c>
      <c r="E5627">
        <v>2</v>
      </c>
      <c r="F5627" s="15">
        <v>46245</v>
      </c>
      <c r="G5627" s="19" t="s">
        <v>677</v>
      </c>
      <c r="H5627">
        <v>4</v>
      </c>
      <c r="I5627">
        <v>2026</v>
      </c>
      <c r="J5627">
        <v>8</v>
      </c>
      <c r="K5627" s="19" t="s">
        <v>87</v>
      </c>
      <c r="L5627" s="19" t="s">
        <v>325</v>
      </c>
      <c r="M5627" s="19" t="s">
        <v>6</v>
      </c>
      <c r="N5627" t="b">
        <v>0</v>
      </c>
      <c r="O5627">
        <v>1</v>
      </c>
      <c r="P5627">
        <v>0</v>
      </c>
      <c r="Q5627">
        <v>0</v>
      </c>
      <c r="R5627">
        <v>0</v>
      </c>
    </row>
    <row r="5628" spans="1:18" x14ac:dyDescent="0.45">
      <c r="A5628" s="19" t="s">
        <v>11</v>
      </c>
      <c r="B5628" s="19" t="s">
        <v>8</v>
      </c>
      <c r="C5628">
        <v>4</v>
      </c>
      <c r="D5628">
        <v>1</v>
      </c>
      <c r="E5628">
        <v>2</v>
      </c>
      <c r="F5628" s="15">
        <v>46245</v>
      </c>
      <c r="G5628" s="19" t="s">
        <v>677</v>
      </c>
      <c r="H5628">
        <v>4</v>
      </c>
      <c r="I5628">
        <v>2026</v>
      </c>
      <c r="J5628">
        <v>8</v>
      </c>
      <c r="K5628" s="19" t="s">
        <v>87</v>
      </c>
      <c r="L5628" s="19" t="s">
        <v>405</v>
      </c>
      <c r="M5628" s="19" t="s">
        <v>6</v>
      </c>
      <c r="N5628" t="b">
        <v>0</v>
      </c>
      <c r="O5628">
        <v>1</v>
      </c>
      <c r="P5628">
        <v>0</v>
      </c>
      <c r="Q5628">
        <v>0</v>
      </c>
      <c r="R5628">
        <v>0</v>
      </c>
    </row>
    <row r="5629" spans="1:18" x14ac:dyDescent="0.45">
      <c r="A5629" s="19" t="s">
        <v>11</v>
      </c>
      <c r="B5629" s="19" t="s">
        <v>8</v>
      </c>
      <c r="C5629">
        <v>4</v>
      </c>
      <c r="D5629">
        <v>1</v>
      </c>
      <c r="E5629">
        <v>2</v>
      </c>
      <c r="F5629" s="15">
        <v>46245</v>
      </c>
      <c r="G5629" s="19" t="s">
        <v>677</v>
      </c>
      <c r="H5629">
        <v>4</v>
      </c>
      <c r="I5629">
        <v>2026</v>
      </c>
      <c r="J5629">
        <v>8</v>
      </c>
      <c r="K5629" s="19" t="s">
        <v>87</v>
      </c>
      <c r="L5629" s="19" t="s">
        <v>567</v>
      </c>
      <c r="M5629" s="19" t="s">
        <v>6</v>
      </c>
      <c r="N5629" t="b">
        <v>0</v>
      </c>
      <c r="O5629">
        <v>1</v>
      </c>
      <c r="P5629">
        <v>0</v>
      </c>
      <c r="Q5629">
        <v>0</v>
      </c>
      <c r="R5629">
        <v>0</v>
      </c>
    </row>
    <row r="5630" spans="1:18" x14ac:dyDescent="0.45">
      <c r="A5630" s="19" t="s">
        <v>19</v>
      </c>
      <c r="B5630" s="19" t="s">
        <v>63</v>
      </c>
      <c r="C5630">
        <v>1</v>
      </c>
      <c r="D5630">
        <v>2</v>
      </c>
      <c r="E5630">
        <v>2</v>
      </c>
      <c r="F5630" s="15">
        <v>46245</v>
      </c>
      <c r="G5630" s="19" t="s">
        <v>678</v>
      </c>
      <c r="H5630">
        <v>4</v>
      </c>
      <c r="I5630">
        <v>2026</v>
      </c>
      <c r="J5630">
        <v>8</v>
      </c>
      <c r="K5630" s="19" t="s">
        <v>87</v>
      </c>
      <c r="L5630" s="19" t="s">
        <v>578</v>
      </c>
      <c r="M5630" s="19" t="s">
        <v>63</v>
      </c>
      <c r="N5630" t="b">
        <v>0</v>
      </c>
      <c r="O5630">
        <v>0</v>
      </c>
      <c r="P5630">
        <v>0</v>
      </c>
      <c r="Q5630">
        <v>1</v>
      </c>
      <c r="R5630">
        <v>0</v>
      </c>
    </row>
    <row r="5631" spans="1:18" x14ac:dyDescent="0.45">
      <c r="A5631" s="19" t="s">
        <v>19</v>
      </c>
      <c r="B5631" s="19" t="s">
        <v>63</v>
      </c>
      <c r="C5631">
        <v>1</v>
      </c>
      <c r="D5631">
        <v>2</v>
      </c>
      <c r="E5631">
        <v>2</v>
      </c>
      <c r="F5631" s="15">
        <v>46245</v>
      </c>
      <c r="G5631" s="19" t="s">
        <v>678</v>
      </c>
      <c r="H5631">
        <v>4</v>
      </c>
      <c r="I5631">
        <v>2026</v>
      </c>
      <c r="J5631">
        <v>8</v>
      </c>
      <c r="K5631" s="19" t="s">
        <v>87</v>
      </c>
      <c r="L5631" s="19" t="s">
        <v>51</v>
      </c>
      <c r="M5631" s="19" t="s">
        <v>63</v>
      </c>
      <c r="N5631" t="b">
        <v>0</v>
      </c>
      <c r="O5631">
        <v>0</v>
      </c>
      <c r="P5631">
        <v>0</v>
      </c>
      <c r="Q5631">
        <v>1</v>
      </c>
      <c r="R5631">
        <v>0</v>
      </c>
    </row>
    <row r="5632" spans="1:18" x14ac:dyDescent="0.45">
      <c r="A5632" s="19" t="s">
        <v>19</v>
      </c>
      <c r="B5632" s="19" t="s">
        <v>63</v>
      </c>
      <c r="C5632">
        <v>1</v>
      </c>
      <c r="D5632">
        <v>2</v>
      </c>
      <c r="E5632">
        <v>2</v>
      </c>
      <c r="F5632" s="15">
        <v>46245</v>
      </c>
      <c r="G5632" s="19" t="s">
        <v>678</v>
      </c>
      <c r="H5632">
        <v>4</v>
      </c>
      <c r="I5632">
        <v>2026</v>
      </c>
      <c r="J5632">
        <v>8</v>
      </c>
      <c r="K5632" s="19" t="s">
        <v>87</v>
      </c>
      <c r="L5632" s="19" t="s">
        <v>15</v>
      </c>
      <c r="M5632" s="19" t="s">
        <v>63</v>
      </c>
      <c r="N5632" t="b">
        <v>0</v>
      </c>
      <c r="O5632">
        <v>0</v>
      </c>
      <c r="P5632">
        <v>0</v>
      </c>
      <c r="Q5632">
        <v>1</v>
      </c>
      <c r="R5632">
        <v>0</v>
      </c>
    </row>
    <row r="5633" spans="1:18" x14ac:dyDescent="0.45">
      <c r="A5633" s="19" t="s">
        <v>578</v>
      </c>
      <c r="B5633" s="19" t="s">
        <v>63</v>
      </c>
      <c r="C5633">
        <v>2</v>
      </c>
      <c r="D5633">
        <v>2</v>
      </c>
      <c r="E5633">
        <v>2</v>
      </c>
      <c r="F5633" s="15">
        <v>46245</v>
      </c>
      <c r="G5633" s="19" t="s">
        <v>678</v>
      </c>
      <c r="H5633">
        <v>4</v>
      </c>
      <c r="I5633">
        <v>2026</v>
      </c>
      <c r="J5633">
        <v>8</v>
      </c>
      <c r="K5633" s="19" t="s">
        <v>87</v>
      </c>
      <c r="L5633" s="19" t="s">
        <v>19</v>
      </c>
      <c r="M5633" s="19" t="s">
        <v>63</v>
      </c>
      <c r="N5633" t="b">
        <v>0</v>
      </c>
      <c r="O5633">
        <v>0</v>
      </c>
      <c r="P5633">
        <v>0</v>
      </c>
      <c r="Q5633">
        <v>1</v>
      </c>
      <c r="R5633">
        <v>0</v>
      </c>
    </row>
    <row r="5634" spans="1:18" x14ac:dyDescent="0.45">
      <c r="A5634" s="19" t="s">
        <v>578</v>
      </c>
      <c r="B5634" s="19" t="s">
        <v>63</v>
      </c>
      <c r="C5634">
        <v>2</v>
      </c>
      <c r="D5634">
        <v>2</v>
      </c>
      <c r="E5634">
        <v>2</v>
      </c>
      <c r="F5634" s="15">
        <v>46245</v>
      </c>
      <c r="G5634" s="19" t="s">
        <v>678</v>
      </c>
      <c r="H5634">
        <v>4</v>
      </c>
      <c r="I5634">
        <v>2026</v>
      </c>
      <c r="J5634">
        <v>8</v>
      </c>
      <c r="K5634" s="19" t="s">
        <v>87</v>
      </c>
      <c r="L5634" s="19" t="s">
        <v>51</v>
      </c>
      <c r="M5634" s="19" t="s">
        <v>63</v>
      </c>
      <c r="N5634" t="b">
        <v>0</v>
      </c>
      <c r="O5634">
        <v>0</v>
      </c>
      <c r="P5634">
        <v>0</v>
      </c>
      <c r="Q5634">
        <v>1</v>
      </c>
      <c r="R5634">
        <v>0</v>
      </c>
    </row>
    <row r="5635" spans="1:18" x14ac:dyDescent="0.45">
      <c r="A5635" s="19" t="s">
        <v>578</v>
      </c>
      <c r="B5635" s="19" t="s">
        <v>63</v>
      </c>
      <c r="C5635">
        <v>2</v>
      </c>
      <c r="D5635">
        <v>2</v>
      </c>
      <c r="E5635">
        <v>2</v>
      </c>
      <c r="F5635" s="15">
        <v>46245</v>
      </c>
      <c r="G5635" s="19" t="s">
        <v>678</v>
      </c>
      <c r="H5635">
        <v>4</v>
      </c>
      <c r="I5635">
        <v>2026</v>
      </c>
      <c r="J5635">
        <v>8</v>
      </c>
      <c r="K5635" s="19" t="s">
        <v>87</v>
      </c>
      <c r="L5635" s="19" t="s">
        <v>15</v>
      </c>
      <c r="M5635" s="19" t="s">
        <v>63</v>
      </c>
      <c r="N5635" t="b">
        <v>0</v>
      </c>
      <c r="O5635">
        <v>0</v>
      </c>
      <c r="P5635">
        <v>0</v>
      </c>
      <c r="Q5635">
        <v>1</v>
      </c>
      <c r="R5635">
        <v>0</v>
      </c>
    </row>
    <row r="5636" spans="1:18" x14ac:dyDescent="0.45">
      <c r="A5636" s="19" t="s">
        <v>51</v>
      </c>
      <c r="B5636" s="19" t="s">
        <v>63</v>
      </c>
      <c r="C5636">
        <v>3</v>
      </c>
      <c r="D5636">
        <v>2</v>
      </c>
      <c r="E5636">
        <v>2</v>
      </c>
      <c r="F5636" s="15">
        <v>46245</v>
      </c>
      <c r="G5636" s="19" t="s">
        <v>678</v>
      </c>
      <c r="H5636">
        <v>4</v>
      </c>
      <c r="I5636">
        <v>2026</v>
      </c>
      <c r="J5636">
        <v>8</v>
      </c>
      <c r="K5636" s="19" t="s">
        <v>87</v>
      </c>
      <c r="L5636" s="19" t="s">
        <v>19</v>
      </c>
      <c r="M5636" s="19" t="s">
        <v>63</v>
      </c>
      <c r="N5636" t="b">
        <v>0</v>
      </c>
      <c r="O5636">
        <v>0</v>
      </c>
      <c r="P5636">
        <v>0</v>
      </c>
      <c r="Q5636">
        <v>1</v>
      </c>
      <c r="R5636">
        <v>0</v>
      </c>
    </row>
    <row r="5637" spans="1:18" x14ac:dyDescent="0.45">
      <c r="A5637" s="19" t="s">
        <v>51</v>
      </c>
      <c r="B5637" s="19" t="s">
        <v>63</v>
      </c>
      <c r="C5637">
        <v>3</v>
      </c>
      <c r="D5637">
        <v>2</v>
      </c>
      <c r="E5637">
        <v>2</v>
      </c>
      <c r="F5637" s="15">
        <v>46245</v>
      </c>
      <c r="G5637" s="19" t="s">
        <v>678</v>
      </c>
      <c r="H5637">
        <v>4</v>
      </c>
      <c r="I5637">
        <v>2026</v>
      </c>
      <c r="J5637">
        <v>8</v>
      </c>
      <c r="K5637" s="19" t="s">
        <v>87</v>
      </c>
      <c r="L5637" s="19" t="s">
        <v>578</v>
      </c>
      <c r="M5637" s="19" t="s">
        <v>63</v>
      </c>
      <c r="N5637" t="b">
        <v>0</v>
      </c>
      <c r="O5637">
        <v>0</v>
      </c>
      <c r="P5637">
        <v>0</v>
      </c>
      <c r="Q5637">
        <v>1</v>
      </c>
      <c r="R5637">
        <v>0</v>
      </c>
    </row>
    <row r="5638" spans="1:18" x14ac:dyDescent="0.45">
      <c r="A5638" s="19" t="s">
        <v>51</v>
      </c>
      <c r="B5638" s="19" t="s">
        <v>63</v>
      </c>
      <c r="C5638">
        <v>3</v>
      </c>
      <c r="D5638">
        <v>2</v>
      </c>
      <c r="E5638">
        <v>2</v>
      </c>
      <c r="F5638" s="15">
        <v>46245</v>
      </c>
      <c r="G5638" s="19" t="s">
        <v>678</v>
      </c>
      <c r="H5638">
        <v>4</v>
      </c>
      <c r="I5638">
        <v>2026</v>
      </c>
      <c r="J5638">
        <v>8</v>
      </c>
      <c r="K5638" s="19" t="s">
        <v>87</v>
      </c>
      <c r="L5638" s="19" t="s">
        <v>15</v>
      </c>
      <c r="M5638" s="19" t="s">
        <v>63</v>
      </c>
      <c r="N5638" t="b">
        <v>0</v>
      </c>
      <c r="O5638">
        <v>0</v>
      </c>
      <c r="P5638">
        <v>0</v>
      </c>
      <c r="Q5638">
        <v>1</v>
      </c>
      <c r="R5638">
        <v>0</v>
      </c>
    </row>
    <row r="5639" spans="1:18" x14ac:dyDescent="0.45">
      <c r="A5639" s="19" t="s">
        <v>15</v>
      </c>
      <c r="B5639" s="19" t="s">
        <v>63</v>
      </c>
      <c r="C5639">
        <v>4</v>
      </c>
      <c r="D5639">
        <v>2</v>
      </c>
      <c r="E5639">
        <v>2</v>
      </c>
      <c r="F5639" s="15">
        <v>46245</v>
      </c>
      <c r="G5639" s="19" t="s">
        <v>678</v>
      </c>
      <c r="H5639">
        <v>4</v>
      </c>
      <c r="I5639">
        <v>2026</v>
      </c>
      <c r="J5639">
        <v>8</v>
      </c>
      <c r="K5639" s="19" t="s">
        <v>87</v>
      </c>
      <c r="L5639" s="19" t="s">
        <v>19</v>
      </c>
      <c r="M5639" s="19" t="s">
        <v>63</v>
      </c>
      <c r="N5639" t="b">
        <v>0</v>
      </c>
      <c r="O5639">
        <v>0</v>
      </c>
      <c r="P5639">
        <v>0</v>
      </c>
      <c r="Q5639">
        <v>1</v>
      </c>
      <c r="R5639">
        <v>0</v>
      </c>
    </row>
    <row r="5640" spans="1:18" x14ac:dyDescent="0.45">
      <c r="A5640" s="19" t="s">
        <v>15</v>
      </c>
      <c r="B5640" s="19" t="s">
        <v>63</v>
      </c>
      <c r="C5640">
        <v>4</v>
      </c>
      <c r="D5640">
        <v>2</v>
      </c>
      <c r="E5640">
        <v>2</v>
      </c>
      <c r="F5640" s="15">
        <v>46245</v>
      </c>
      <c r="G5640" s="19" t="s">
        <v>678</v>
      </c>
      <c r="H5640">
        <v>4</v>
      </c>
      <c r="I5640">
        <v>2026</v>
      </c>
      <c r="J5640">
        <v>8</v>
      </c>
      <c r="K5640" s="19" t="s">
        <v>87</v>
      </c>
      <c r="L5640" s="19" t="s">
        <v>578</v>
      </c>
      <c r="M5640" s="19" t="s">
        <v>63</v>
      </c>
      <c r="N5640" t="b">
        <v>0</v>
      </c>
      <c r="O5640">
        <v>0</v>
      </c>
      <c r="P5640">
        <v>0</v>
      </c>
      <c r="Q5640">
        <v>1</v>
      </c>
      <c r="R5640">
        <v>0</v>
      </c>
    </row>
    <row r="5641" spans="1:18" x14ac:dyDescent="0.45">
      <c r="A5641" s="19" t="s">
        <v>15</v>
      </c>
      <c r="B5641" s="19" t="s">
        <v>63</v>
      </c>
      <c r="C5641">
        <v>4</v>
      </c>
      <c r="D5641">
        <v>2</v>
      </c>
      <c r="E5641">
        <v>2</v>
      </c>
      <c r="F5641" s="15">
        <v>46245</v>
      </c>
      <c r="G5641" s="19" t="s">
        <v>678</v>
      </c>
      <c r="H5641">
        <v>4</v>
      </c>
      <c r="I5641">
        <v>2026</v>
      </c>
      <c r="J5641">
        <v>8</v>
      </c>
      <c r="K5641" s="19" t="s">
        <v>87</v>
      </c>
      <c r="L5641" s="19" t="s">
        <v>51</v>
      </c>
      <c r="M5641" s="19" t="s">
        <v>63</v>
      </c>
      <c r="N5641" t="b">
        <v>0</v>
      </c>
      <c r="O5641">
        <v>0</v>
      </c>
      <c r="P5641">
        <v>0</v>
      </c>
      <c r="Q5641">
        <v>1</v>
      </c>
      <c r="R5641">
        <v>0</v>
      </c>
    </row>
    <row r="5642" spans="1:18" x14ac:dyDescent="0.45">
      <c r="A5642" s="19" t="s">
        <v>351</v>
      </c>
      <c r="B5642" s="19" t="s">
        <v>63</v>
      </c>
      <c r="C5642">
        <v>1</v>
      </c>
      <c r="D5642">
        <v>3</v>
      </c>
      <c r="E5642">
        <v>2</v>
      </c>
      <c r="F5642" s="15">
        <v>46245</v>
      </c>
      <c r="G5642" s="19" t="s">
        <v>679</v>
      </c>
      <c r="H5642">
        <v>4</v>
      </c>
      <c r="I5642">
        <v>2026</v>
      </c>
      <c r="J5642">
        <v>8</v>
      </c>
      <c r="K5642" s="19" t="s">
        <v>87</v>
      </c>
      <c r="L5642" s="19" t="s">
        <v>28</v>
      </c>
      <c r="M5642" s="19" t="s">
        <v>63</v>
      </c>
      <c r="N5642" t="b">
        <v>0</v>
      </c>
      <c r="O5642">
        <v>0</v>
      </c>
      <c r="P5642">
        <v>0</v>
      </c>
      <c r="Q5642">
        <v>1</v>
      </c>
      <c r="R5642">
        <v>0</v>
      </c>
    </row>
    <row r="5643" spans="1:18" x14ac:dyDescent="0.45">
      <c r="A5643" s="19" t="s">
        <v>351</v>
      </c>
      <c r="B5643" s="19" t="s">
        <v>63</v>
      </c>
      <c r="C5643">
        <v>1</v>
      </c>
      <c r="D5643">
        <v>3</v>
      </c>
      <c r="E5643">
        <v>2</v>
      </c>
      <c r="F5643" s="15">
        <v>46245</v>
      </c>
      <c r="G5643" s="19" t="s">
        <v>679</v>
      </c>
      <c r="H5643">
        <v>4</v>
      </c>
      <c r="I5643">
        <v>2026</v>
      </c>
      <c r="J5643">
        <v>8</v>
      </c>
      <c r="K5643" s="19" t="s">
        <v>87</v>
      </c>
      <c r="L5643" s="19" t="s">
        <v>20</v>
      </c>
      <c r="M5643" s="19" t="s">
        <v>63</v>
      </c>
      <c r="N5643" t="b">
        <v>0</v>
      </c>
      <c r="O5643">
        <v>0</v>
      </c>
      <c r="P5643">
        <v>0</v>
      </c>
      <c r="Q5643">
        <v>1</v>
      </c>
      <c r="R5643">
        <v>0</v>
      </c>
    </row>
    <row r="5644" spans="1:18" x14ac:dyDescent="0.45">
      <c r="A5644" s="19" t="s">
        <v>351</v>
      </c>
      <c r="B5644" s="19" t="s">
        <v>63</v>
      </c>
      <c r="C5644">
        <v>1</v>
      </c>
      <c r="D5644">
        <v>3</v>
      </c>
      <c r="E5644">
        <v>2</v>
      </c>
      <c r="F5644" s="15">
        <v>46245</v>
      </c>
      <c r="G5644" s="19" t="s">
        <v>679</v>
      </c>
      <c r="H5644">
        <v>4</v>
      </c>
      <c r="I5644">
        <v>2026</v>
      </c>
      <c r="J5644">
        <v>8</v>
      </c>
      <c r="K5644" s="19" t="s">
        <v>87</v>
      </c>
      <c r="L5644" s="19" t="s">
        <v>364</v>
      </c>
      <c r="M5644" s="19" t="s">
        <v>63</v>
      </c>
      <c r="N5644" t="b">
        <v>0</v>
      </c>
      <c r="O5644">
        <v>0</v>
      </c>
      <c r="P5644">
        <v>0</v>
      </c>
      <c r="Q5644">
        <v>1</v>
      </c>
      <c r="R5644">
        <v>0</v>
      </c>
    </row>
    <row r="5645" spans="1:18" x14ac:dyDescent="0.45">
      <c r="A5645" s="19" t="s">
        <v>28</v>
      </c>
      <c r="B5645" s="19" t="s">
        <v>63</v>
      </c>
      <c r="C5645">
        <v>2</v>
      </c>
      <c r="D5645">
        <v>3</v>
      </c>
      <c r="E5645">
        <v>2</v>
      </c>
      <c r="F5645" s="15">
        <v>46245</v>
      </c>
      <c r="G5645" s="19" t="s">
        <v>679</v>
      </c>
      <c r="H5645">
        <v>4</v>
      </c>
      <c r="I5645">
        <v>2026</v>
      </c>
      <c r="J5645">
        <v>8</v>
      </c>
      <c r="K5645" s="19" t="s">
        <v>87</v>
      </c>
      <c r="L5645" s="19" t="s">
        <v>351</v>
      </c>
      <c r="M5645" s="19" t="s">
        <v>63</v>
      </c>
      <c r="N5645" t="b">
        <v>0</v>
      </c>
      <c r="O5645">
        <v>0</v>
      </c>
      <c r="P5645">
        <v>0</v>
      </c>
      <c r="Q5645">
        <v>1</v>
      </c>
      <c r="R5645">
        <v>0</v>
      </c>
    </row>
    <row r="5646" spans="1:18" x14ac:dyDescent="0.45">
      <c r="A5646" s="19" t="s">
        <v>28</v>
      </c>
      <c r="B5646" s="19" t="s">
        <v>63</v>
      </c>
      <c r="C5646">
        <v>2</v>
      </c>
      <c r="D5646">
        <v>3</v>
      </c>
      <c r="E5646">
        <v>2</v>
      </c>
      <c r="F5646" s="15">
        <v>46245</v>
      </c>
      <c r="G5646" s="19" t="s">
        <v>679</v>
      </c>
      <c r="H5646">
        <v>4</v>
      </c>
      <c r="I5646">
        <v>2026</v>
      </c>
      <c r="J5646">
        <v>8</v>
      </c>
      <c r="K5646" s="19" t="s">
        <v>87</v>
      </c>
      <c r="L5646" s="19" t="s">
        <v>20</v>
      </c>
      <c r="M5646" s="19" t="s">
        <v>63</v>
      </c>
      <c r="N5646" t="b">
        <v>0</v>
      </c>
      <c r="O5646">
        <v>0</v>
      </c>
      <c r="P5646">
        <v>0</v>
      </c>
      <c r="Q5646">
        <v>1</v>
      </c>
      <c r="R5646">
        <v>0</v>
      </c>
    </row>
    <row r="5647" spans="1:18" x14ac:dyDescent="0.45">
      <c r="A5647" s="19" t="s">
        <v>28</v>
      </c>
      <c r="B5647" s="19" t="s">
        <v>63</v>
      </c>
      <c r="C5647">
        <v>2</v>
      </c>
      <c r="D5647">
        <v>3</v>
      </c>
      <c r="E5647">
        <v>2</v>
      </c>
      <c r="F5647" s="15">
        <v>46245</v>
      </c>
      <c r="G5647" s="19" t="s">
        <v>679</v>
      </c>
      <c r="H5647">
        <v>4</v>
      </c>
      <c r="I5647">
        <v>2026</v>
      </c>
      <c r="J5647">
        <v>8</v>
      </c>
      <c r="K5647" s="19" t="s">
        <v>87</v>
      </c>
      <c r="L5647" s="19" t="s">
        <v>364</v>
      </c>
      <c r="M5647" s="19" t="s">
        <v>63</v>
      </c>
      <c r="N5647" t="b">
        <v>0</v>
      </c>
      <c r="O5647">
        <v>0</v>
      </c>
      <c r="P5647">
        <v>0</v>
      </c>
      <c r="Q5647">
        <v>1</v>
      </c>
      <c r="R5647">
        <v>0</v>
      </c>
    </row>
    <row r="5648" spans="1:18" x14ac:dyDescent="0.45">
      <c r="A5648" s="19" t="s">
        <v>20</v>
      </c>
      <c r="B5648" s="19" t="s">
        <v>63</v>
      </c>
      <c r="C5648">
        <v>3</v>
      </c>
      <c r="D5648">
        <v>3</v>
      </c>
      <c r="E5648">
        <v>2</v>
      </c>
      <c r="F5648" s="15">
        <v>46245</v>
      </c>
      <c r="G5648" s="19" t="s">
        <v>679</v>
      </c>
      <c r="H5648">
        <v>4</v>
      </c>
      <c r="I5648">
        <v>2026</v>
      </c>
      <c r="J5648">
        <v>8</v>
      </c>
      <c r="K5648" s="19" t="s">
        <v>87</v>
      </c>
      <c r="L5648" s="19" t="s">
        <v>351</v>
      </c>
      <c r="M5648" s="19" t="s">
        <v>63</v>
      </c>
      <c r="N5648" t="b">
        <v>0</v>
      </c>
      <c r="O5648">
        <v>0</v>
      </c>
      <c r="P5648">
        <v>0</v>
      </c>
      <c r="Q5648">
        <v>1</v>
      </c>
      <c r="R5648">
        <v>0</v>
      </c>
    </row>
    <row r="5649" spans="1:18" x14ac:dyDescent="0.45">
      <c r="A5649" s="19" t="s">
        <v>20</v>
      </c>
      <c r="B5649" s="19" t="s">
        <v>63</v>
      </c>
      <c r="C5649">
        <v>3</v>
      </c>
      <c r="D5649">
        <v>3</v>
      </c>
      <c r="E5649">
        <v>2</v>
      </c>
      <c r="F5649" s="15">
        <v>46245</v>
      </c>
      <c r="G5649" s="19" t="s">
        <v>679</v>
      </c>
      <c r="H5649">
        <v>4</v>
      </c>
      <c r="I5649">
        <v>2026</v>
      </c>
      <c r="J5649">
        <v>8</v>
      </c>
      <c r="K5649" s="19" t="s">
        <v>87</v>
      </c>
      <c r="L5649" s="19" t="s">
        <v>28</v>
      </c>
      <c r="M5649" s="19" t="s">
        <v>63</v>
      </c>
      <c r="N5649" t="b">
        <v>0</v>
      </c>
      <c r="O5649">
        <v>0</v>
      </c>
      <c r="P5649">
        <v>0</v>
      </c>
      <c r="Q5649">
        <v>1</v>
      </c>
      <c r="R5649">
        <v>0</v>
      </c>
    </row>
    <row r="5650" spans="1:18" x14ac:dyDescent="0.45">
      <c r="A5650" s="19" t="s">
        <v>20</v>
      </c>
      <c r="B5650" s="19" t="s">
        <v>63</v>
      </c>
      <c r="C5650">
        <v>3</v>
      </c>
      <c r="D5650">
        <v>3</v>
      </c>
      <c r="E5650">
        <v>2</v>
      </c>
      <c r="F5650" s="15">
        <v>46245</v>
      </c>
      <c r="G5650" s="19" t="s">
        <v>679</v>
      </c>
      <c r="H5650">
        <v>4</v>
      </c>
      <c r="I5650">
        <v>2026</v>
      </c>
      <c r="J5650">
        <v>8</v>
      </c>
      <c r="K5650" s="19" t="s">
        <v>87</v>
      </c>
      <c r="L5650" s="19" t="s">
        <v>364</v>
      </c>
      <c r="M5650" s="19" t="s">
        <v>63</v>
      </c>
      <c r="N5650" t="b">
        <v>0</v>
      </c>
      <c r="O5650">
        <v>0</v>
      </c>
      <c r="P5650">
        <v>0</v>
      </c>
      <c r="Q5650">
        <v>1</v>
      </c>
      <c r="R5650">
        <v>0</v>
      </c>
    </row>
    <row r="5651" spans="1:18" x14ac:dyDescent="0.45">
      <c r="A5651" s="19" t="s">
        <v>364</v>
      </c>
      <c r="B5651" s="19" t="s">
        <v>63</v>
      </c>
      <c r="C5651">
        <v>4</v>
      </c>
      <c r="D5651">
        <v>3</v>
      </c>
      <c r="E5651">
        <v>2</v>
      </c>
      <c r="F5651" s="15">
        <v>46245</v>
      </c>
      <c r="G5651" s="19" t="s">
        <v>679</v>
      </c>
      <c r="H5651">
        <v>4</v>
      </c>
      <c r="I5651">
        <v>2026</v>
      </c>
      <c r="J5651">
        <v>8</v>
      </c>
      <c r="K5651" s="19" t="s">
        <v>87</v>
      </c>
      <c r="L5651" s="19" t="s">
        <v>351</v>
      </c>
      <c r="M5651" s="19" t="s">
        <v>63</v>
      </c>
      <c r="N5651" t="b">
        <v>0</v>
      </c>
      <c r="O5651">
        <v>0</v>
      </c>
      <c r="P5651">
        <v>0</v>
      </c>
      <c r="Q5651">
        <v>1</v>
      </c>
      <c r="R5651">
        <v>0</v>
      </c>
    </row>
    <row r="5652" spans="1:18" x14ac:dyDescent="0.45">
      <c r="A5652" s="19" t="s">
        <v>364</v>
      </c>
      <c r="B5652" s="19" t="s">
        <v>63</v>
      </c>
      <c r="C5652">
        <v>4</v>
      </c>
      <c r="D5652">
        <v>3</v>
      </c>
      <c r="E5652">
        <v>2</v>
      </c>
      <c r="F5652" s="15">
        <v>46245</v>
      </c>
      <c r="G5652" s="19" t="s">
        <v>679</v>
      </c>
      <c r="H5652">
        <v>4</v>
      </c>
      <c r="I5652">
        <v>2026</v>
      </c>
      <c r="J5652">
        <v>8</v>
      </c>
      <c r="K5652" s="19" t="s">
        <v>87</v>
      </c>
      <c r="L5652" s="19" t="s">
        <v>28</v>
      </c>
      <c r="M5652" s="19" t="s">
        <v>63</v>
      </c>
      <c r="N5652" t="b">
        <v>0</v>
      </c>
      <c r="O5652">
        <v>0</v>
      </c>
      <c r="P5652">
        <v>0</v>
      </c>
      <c r="Q5652">
        <v>1</v>
      </c>
      <c r="R5652">
        <v>0</v>
      </c>
    </row>
    <row r="5653" spans="1:18" x14ac:dyDescent="0.45">
      <c r="A5653" s="19" t="s">
        <v>364</v>
      </c>
      <c r="B5653" s="19" t="s">
        <v>63</v>
      </c>
      <c r="C5653">
        <v>4</v>
      </c>
      <c r="D5653">
        <v>3</v>
      </c>
      <c r="E5653">
        <v>2</v>
      </c>
      <c r="F5653" s="15">
        <v>46245</v>
      </c>
      <c r="G5653" s="19" t="s">
        <v>679</v>
      </c>
      <c r="H5653">
        <v>4</v>
      </c>
      <c r="I5653">
        <v>2026</v>
      </c>
      <c r="J5653">
        <v>8</v>
      </c>
      <c r="K5653" s="19" t="s">
        <v>87</v>
      </c>
      <c r="L5653" s="19" t="s">
        <v>20</v>
      </c>
      <c r="M5653" s="19" t="s">
        <v>63</v>
      </c>
      <c r="N5653" t="b">
        <v>0</v>
      </c>
      <c r="O5653">
        <v>0</v>
      </c>
      <c r="P5653">
        <v>0</v>
      </c>
      <c r="Q5653">
        <v>1</v>
      </c>
      <c r="R5653">
        <v>0</v>
      </c>
    </row>
    <row r="5654" spans="1:18" x14ac:dyDescent="0.45">
      <c r="A5654" s="19" t="s">
        <v>14</v>
      </c>
      <c r="B5654" s="19" t="s">
        <v>63</v>
      </c>
      <c r="C5654">
        <v>1</v>
      </c>
      <c r="D5654">
        <v>4</v>
      </c>
      <c r="E5654">
        <v>2</v>
      </c>
      <c r="F5654" s="15">
        <v>46245</v>
      </c>
      <c r="G5654" s="19" t="s">
        <v>680</v>
      </c>
      <c r="H5654">
        <v>4</v>
      </c>
      <c r="I5654">
        <v>2026</v>
      </c>
      <c r="J5654">
        <v>8</v>
      </c>
      <c r="K5654" s="19" t="s">
        <v>87</v>
      </c>
      <c r="L5654" s="19" t="s">
        <v>433</v>
      </c>
      <c r="M5654" s="19" t="s">
        <v>63</v>
      </c>
      <c r="N5654" t="b">
        <v>0</v>
      </c>
      <c r="O5654">
        <v>0</v>
      </c>
      <c r="P5654">
        <v>0</v>
      </c>
      <c r="Q5654">
        <v>1</v>
      </c>
      <c r="R5654">
        <v>0</v>
      </c>
    </row>
    <row r="5655" spans="1:18" x14ac:dyDescent="0.45">
      <c r="A5655" s="19" t="s">
        <v>14</v>
      </c>
      <c r="B5655" s="19" t="s">
        <v>63</v>
      </c>
      <c r="C5655">
        <v>1</v>
      </c>
      <c r="D5655">
        <v>4</v>
      </c>
      <c r="E5655">
        <v>2</v>
      </c>
      <c r="F5655" s="15">
        <v>46245</v>
      </c>
      <c r="G5655" s="19" t="s">
        <v>680</v>
      </c>
      <c r="H5655">
        <v>4</v>
      </c>
      <c r="I5655">
        <v>2026</v>
      </c>
      <c r="J5655">
        <v>8</v>
      </c>
      <c r="K5655" s="19" t="s">
        <v>87</v>
      </c>
      <c r="L5655" s="19" t="s">
        <v>9</v>
      </c>
      <c r="M5655" s="19" t="s">
        <v>63</v>
      </c>
      <c r="N5655" t="b">
        <v>0</v>
      </c>
      <c r="O5655">
        <v>0</v>
      </c>
      <c r="P5655">
        <v>0</v>
      </c>
      <c r="Q5655">
        <v>1</v>
      </c>
      <c r="R5655">
        <v>0</v>
      </c>
    </row>
    <row r="5656" spans="1:18" x14ac:dyDescent="0.45">
      <c r="A5656" s="19" t="s">
        <v>14</v>
      </c>
      <c r="B5656" s="19" t="s">
        <v>63</v>
      </c>
      <c r="C5656">
        <v>1</v>
      </c>
      <c r="D5656">
        <v>4</v>
      </c>
      <c r="E5656">
        <v>2</v>
      </c>
      <c r="F5656" s="15">
        <v>46245</v>
      </c>
      <c r="G5656" s="19" t="s">
        <v>680</v>
      </c>
      <c r="H5656">
        <v>4</v>
      </c>
      <c r="I5656">
        <v>2026</v>
      </c>
      <c r="J5656">
        <v>8</v>
      </c>
      <c r="K5656" s="19" t="s">
        <v>87</v>
      </c>
      <c r="L5656" s="19" t="s">
        <v>464</v>
      </c>
      <c r="M5656" s="19" t="s">
        <v>63</v>
      </c>
      <c r="N5656" t="b">
        <v>0</v>
      </c>
      <c r="O5656">
        <v>0</v>
      </c>
      <c r="P5656">
        <v>0</v>
      </c>
      <c r="Q5656">
        <v>1</v>
      </c>
      <c r="R5656">
        <v>0</v>
      </c>
    </row>
    <row r="5657" spans="1:18" x14ac:dyDescent="0.45">
      <c r="A5657" s="19" t="s">
        <v>433</v>
      </c>
      <c r="B5657" s="19" t="s">
        <v>63</v>
      </c>
      <c r="C5657">
        <v>2</v>
      </c>
      <c r="D5657">
        <v>4</v>
      </c>
      <c r="E5657">
        <v>2</v>
      </c>
      <c r="F5657" s="15">
        <v>46245</v>
      </c>
      <c r="G5657" s="19" t="s">
        <v>680</v>
      </c>
      <c r="H5657">
        <v>4</v>
      </c>
      <c r="I5657">
        <v>2026</v>
      </c>
      <c r="J5657">
        <v>8</v>
      </c>
      <c r="K5657" s="19" t="s">
        <v>87</v>
      </c>
      <c r="L5657" s="19" t="s">
        <v>14</v>
      </c>
      <c r="M5657" s="19" t="s">
        <v>63</v>
      </c>
      <c r="N5657" t="b">
        <v>0</v>
      </c>
      <c r="O5657">
        <v>0</v>
      </c>
      <c r="P5657">
        <v>0</v>
      </c>
      <c r="Q5657">
        <v>1</v>
      </c>
      <c r="R5657">
        <v>0</v>
      </c>
    </row>
    <row r="5658" spans="1:18" x14ac:dyDescent="0.45">
      <c r="A5658" s="19" t="s">
        <v>433</v>
      </c>
      <c r="B5658" s="19" t="s">
        <v>63</v>
      </c>
      <c r="C5658">
        <v>2</v>
      </c>
      <c r="D5658">
        <v>4</v>
      </c>
      <c r="E5658">
        <v>2</v>
      </c>
      <c r="F5658" s="15">
        <v>46245</v>
      </c>
      <c r="G5658" s="19" t="s">
        <v>680</v>
      </c>
      <c r="H5658">
        <v>4</v>
      </c>
      <c r="I5658">
        <v>2026</v>
      </c>
      <c r="J5658">
        <v>8</v>
      </c>
      <c r="K5658" s="19" t="s">
        <v>87</v>
      </c>
      <c r="L5658" s="19" t="s">
        <v>9</v>
      </c>
      <c r="M5658" s="19" t="s">
        <v>63</v>
      </c>
      <c r="N5658" t="b">
        <v>0</v>
      </c>
      <c r="O5658">
        <v>0</v>
      </c>
      <c r="P5658">
        <v>0</v>
      </c>
      <c r="Q5658">
        <v>1</v>
      </c>
      <c r="R5658">
        <v>0</v>
      </c>
    </row>
    <row r="5659" spans="1:18" x14ac:dyDescent="0.45">
      <c r="A5659" s="19" t="s">
        <v>433</v>
      </c>
      <c r="B5659" s="19" t="s">
        <v>63</v>
      </c>
      <c r="C5659">
        <v>2</v>
      </c>
      <c r="D5659">
        <v>4</v>
      </c>
      <c r="E5659">
        <v>2</v>
      </c>
      <c r="F5659" s="15">
        <v>46245</v>
      </c>
      <c r="G5659" s="19" t="s">
        <v>680</v>
      </c>
      <c r="H5659">
        <v>4</v>
      </c>
      <c r="I5659">
        <v>2026</v>
      </c>
      <c r="J5659">
        <v>8</v>
      </c>
      <c r="K5659" s="19" t="s">
        <v>87</v>
      </c>
      <c r="L5659" s="19" t="s">
        <v>464</v>
      </c>
      <c r="M5659" s="19" t="s">
        <v>63</v>
      </c>
      <c r="N5659" t="b">
        <v>0</v>
      </c>
      <c r="O5659">
        <v>0</v>
      </c>
      <c r="P5659">
        <v>0</v>
      </c>
      <c r="Q5659">
        <v>1</v>
      </c>
      <c r="R5659">
        <v>0</v>
      </c>
    </row>
    <row r="5660" spans="1:18" x14ac:dyDescent="0.45">
      <c r="A5660" s="19" t="s">
        <v>9</v>
      </c>
      <c r="B5660" s="19" t="s">
        <v>63</v>
      </c>
      <c r="C5660">
        <v>3</v>
      </c>
      <c r="D5660">
        <v>4</v>
      </c>
      <c r="E5660">
        <v>2</v>
      </c>
      <c r="F5660" s="15">
        <v>46245</v>
      </c>
      <c r="G5660" s="19" t="s">
        <v>680</v>
      </c>
      <c r="H5660">
        <v>4</v>
      </c>
      <c r="I5660">
        <v>2026</v>
      </c>
      <c r="J5660">
        <v>8</v>
      </c>
      <c r="K5660" s="19" t="s">
        <v>87</v>
      </c>
      <c r="L5660" s="19" t="s">
        <v>14</v>
      </c>
      <c r="M5660" s="19" t="s">
        <v>63</v>
      </c>
      <c r="N5660" t="b">
        <v>0</v>
      </c>
      <c r="O5660">
        <v>0</v>
      </c>
      <c r="P5660">
        <v>0</v>
      </c>
      <c r="Q5660">
        <v>1</v>
      </c>
      <c r="R5660">
        <v>0</v>
      </c>
    </row>
    <row r="5661" spans="1:18" x14ac:dyDescent="0.45">
      <c r="A5661" s="19" t="s">
        <v>9</v>
      </c>
      <c r="B5661" s="19" t="s">
        <v>63</v>
      </c>
      <c r="C5661">
        <v>3</v>
      </c>
      <c r="D5661">
        <v>4</v>
      </c>
      <c r="E5661">
        <v>2</v>
      </c>
      <c r="F5661" s="15">
        <v>46245</v>
      </c>
      <c r="G5661" s="19" t="s">
        <v>680</v>
      </c>
      <c r="H5661">
        <v>4</v>
      </c>
      <c r="I5661">
        <v>2026</v>
      </c>
      <c r="J5661">
        <v>8</v>
      </c>
      <c r="K5661" s="19" t="s">
        <v>87</v>
      </c>
      <c r="L5661" s="19" t="s">
        <v>433</v>
      </c>
      <c r="M5661" s="19" t="s">
        <v>63</v>
      </c>
      <c r="N5661" t="b">
        <v>0</v>
      </c>
      <c r="O5661">
        <v>0</v>
      </c>
      <c r="P5661">
        <v>0</v>
      </c>
      <c r="Q5661">
        <v>1</v>
      </c>
      <c r="R5661">
        <v>0</v>
      </c>
    </row>
    <row r="5662" spans="1:18" x14ac:dyDescent="0.45">
      <c r="A5662" s="19" t="s">
        <v>9</v>
      </c>
      <c r="B5662" s="19" t="s">
        <v>63</v>
      </c>
      <c r="C5662">
        <v>3</v>
      </c>
      <c r="D5662">
        <v>4</v>
      </c>
      <c r="E5662">
        <v>2</v>
      </c>
      <c r="F5662" s="15">
        <v>46245</v>
      </c>
      <c r="G5662" s="19" t="s">
        <v>680</v>
      </c>
      <c r="H5662">
        <v>4</v>
      </c>
      <c r="I5662">
        <v>2026</v>
      </c>
      <c r="J5662">
        <v>8</v>
      </c>
      <c r="K5662" s="19" t="s">
        <v>87</v>
      </c>
      <c r="L5662" s="19" t="s">
        <v>464</v>
      </c>
      <c r="M5662" s="19" t="s">
        <v>63</v>
      </c>
      <c r="N5662" t="b">
        <v>0</v>
      </c>
      <c r="O5662">
        <v>0</v>
      </c>
      <c r="P5662">
        <v>0</v>
      </c>
      <c r="Q5662">
        <v>1</v>
      </c>
      <c r="R5662">
        <v>0</v>
      </c>
    </row>
    <row r="5663" spans="1:18" x14ac:dyDescent="0.45">
      <c r="A5663" s="19" t="s">
        <v>464</v>
      </c>
      <c r="B5663" s="19" t="s">
        <v>63</v>
      </c>
      <c r="C5663">
        <v>4</v>
      </c>
      <c r="D5663">
        <v>4</v>
      </c>
      <c r="E5663">
        <v>2</v>
      </c>
      <c r="F5663" s="15">
        <v>46245</v>
      </c>
      <c r="G5663" s="19" t="s">
        <v>680</v>
      </c>
      <c r="H5663">
        <v>4</v>
      </c>
      <c r="I5663">
        <v>2026</v>
      </c>
      <c r="J5663">
        <v>8</v>
      </c>
      <c r="K5663" s="19" t="s">
        <v>87</v>
      </c>
      <c r="L5663" s="19" t="s">
        <v>14</v>
      </c>
      <c r="M5663" s="19" t="s">
        <v>63</v>
      </c>
      <c r="N5663" t="b">
        <v>0</v>
      </c>
      <c r="O5663">
        <v>0</v>
      </c>
      <c r="P5663">
        <v>0</v>
      </c>
      <c r="Q5663">
        <v>1</v>
      </c>
      <c r="R5663">
        <v>0</v>
      </c>
    </row>
    <row r="5664" spans="1:18" x14ac:dyDescent="0.45">
      <c r="A5664" s="19" t="s">
        <v>464</v>
      </c>
      <c r="B5664" s="19" t="s">
        <v>63</v>
      </c>
      <c r="C5664">
        <v>4</v>
      </c>
      <c r="D5664">
        <v>4</v>
      </c>
      <c r="E5664">
        <v>2</v>
      </c>
      <c r="F5664" s="15">
        <v>46245</v>
      </c>
      <c r="G5664" s="19" t="s">
        <v>680</v>
      </c>
      <c r="H5664">
        <v>4</v>
      </c>
      <c r="I5664">
        <v>2026</v>
      </c>
      <c r="J5664">
        <v>8</v>
      </c>
      <c r="K5664" s="19" t="s">
        <v>87</v>
      </c>
      <c r="L5664" s="19" t="s">
        <v>433</v>
      </c>
      <c r="M5664" s="19" t="s">
        <v>63</v>
      </c>
      <c r="N5664" t="b">
        <v>0</v>
      </c>
      <c r="O5664">
        <v>0</v>
      </c>
      <c r="P5664">
        <v>0</v>
      </c>
      <c r="Q5664">
        <v>1</v>
      </c>
      <c r="R5664">
        <v>0</v>
      </c>
    </row>
    <row r="5665" spans="1:18" x14ac:dyDescent="0.45">
      <c r="A5665" s="19" t="s">
        <v>464</v>
      </c>
      <c r="B5665" s="19" t="s">
        <v>63</v>
      </c>
      <c r="C5665">
        <v>4</v>
      </c>
      <c r="D5665">
        <v>4</v>
      </c>
      <c r="E5665">
        <v>2</v>
      </c>
      <c r="F5665" s="15">
        <v>46245</v>
      </c>
      <c r="G5665" s="19" t="s">
        <v>680</v>
      </c>
      <c r="H5665">
        <v>4</v>
      </c>
      <c r="I5665">
        <v>2026</v>
      </c>
      <c r="J5665">
        <v>8</v>
      </c>
      <c r="K5665" s="19" t="s">
        <v>87</v>
      </c>
      <c r="L5665" s="19" t="s">
        <v>9</v>
      </c>
      <c r="M5665" s="19" t="s">
        <v>63</v>
      </c>
      <c r="N5665" t="b">
        <v>0</v>
      </c>
      <c r="O5665">
        <v>0</v>
      </c>
      <c r="P5665">
        <v>0</v>
      </c>
      <c r="Q5665">
        <v>1</v>
      </c>
      <c r="R5665">
        <v>0</v>
      </c>
    </row>
    <row r="5666" spans="1:18" x14ac:dyDescent="0.45">
      <c r="A5666" s="19" t="s">
        <v>41</v>
      </c>
      <c r="B5666" s="19" t="s">
        <v>6</v>
      </c>
      <c r="C5666">
        <v>1</v>
      </c>
      <c r="D5666">
        <v>5</v>
      </c>
      <c r="E5666">
        <v>2</v>
      </c>
      <c r="F5666" s="15">
        <v>46245</v>
      </c>
      <c r="G5666" s="19" t="s">
        <v>681</v>
      </c>
      <c r="H5666">
        <v>3</v>
      </c>
      <c r="I5666">
        <v>2026</v>
      </c>
      <c r="J5666">
        <v>8</v>
      </c>
      <c r="K5666" s="19" t="s">
        <v>87</v>
      </c>
      <c r="L5666" s="19" t="s">
        <v>609</v>
      </c>
      <c r="M5666" s="19" t="s">
        <v>6</v>
      </c>
      <c r="N5666" t="b">
        <v>0</v>
      </c>
      <c r="O5666">
        <v>0</v>
      </c>
      <c r="P5666">
        <v>1</v>
      </c>
      <c r="Q5666">
        <v>0</v>
      </c>
      <c r="R5666">
        <v>0</v>
      </c>
    </row>
    <row r="5667" spans="1:18" x14ac:dyDescent="0.45">
      <c r="A5667" s="19" t="s">
        <v>41</v>
      </c>
      <c r="B5667" s="19" t="s">
        <v>6</v>
      </c>
      <c r="C5667">
        <v>1</v>
      </c>
      <c r="D5667">
        <v>5</v>
      </c>
      <c r="E5667">
        <v>2</v>
      </c>
      <c r="F5667" s="15">
        <v>46245</v>
      </c>
      <c r="G5667" s="19" t="s">
        <v>681</v>
      </c>
      <c r="H5667">
        <v>3</v>
      </c>
      <c r="I5667">
        <v>2026</v>
      </c>
      <c r="J5667">
        <v>8</v>
      </c>
      <c r="K5667" s="19" t="s">
        <v>87</v>
      </c>
      <c r="L5667" s="19" t="s">
        <v>7</v>
      </c>
      <c r="M5667" s="19" t="s">
        <v>8</v>
      </c>
      <c r="N5667" t="b">
        <v>0</v>
      </c>
      <c r="O5667">
        <v>0</v>
      </c>
      <c r="P5667">
        <v>1</v>
      </c>
      <c r="Q5667">
        <v>0</v>
      </c>
      <c r="R5667">
        <v>1</v>
      </c>
    </row>
    <row r="5668" spans="1:18" x14ac:dyDescent="0.45">
      <c r="A5668" s="19" t="s">
        <v>609</v>
      </c>
      <c r="B5668" s="19" t="s">
        <v>6</v>
      </c>
      <c r="C5668">
        <v>2</v>
      </c>
      <c r="D5668">
        <v>5</v>
      </c>
      <c r="E5668">
        <v>2</v>
      </c>
      <c r="F5668" s="15">
        <v>46245</v>
      </c>
      <c r="G5668" s="19" t="s">
        <v>681</v>
      </c>
      <c r="H5668">
        <v>3</v>
      </c>
      <c r="I5668">
        <v>2026</v>
      </c>
      <c r="J5668">
        <v>8</v>
      </c>
      <c r="K5668" s="19" t="s">
        <v>87</v>
      </c>
      <c r="L5668" s="19" t="s">
        <v>41</v>
      </c>
      <c r="M5668" s="19" t="s">
        <v>6</v>
      </c>
      <c r="N5668" t="b">
        <v>0</v>
      </c>
      <c r="O5668">
        <v>0</v>
      </c>
      <c r="P5668">
        <v>1</v>
      </c>
      <c r="Q5668">
        <v>0</v>
      </c>
      <c r="R5668">
        <v>0</v>
      </c>
    </row>
    <row r="5669" spans="1:18" x14ac:dyDescent="0.45">
      <c r="A5669" s="19" t="s">
        <v>609</v>
      </c>
      <c r="B5669" s="19" t="s">
        <v>6</v>
      </c>
      <c r="C5669">
        <v>2</v>
      </c>
      <c r="D5669">
        <v>5</v>
      </c>
      <c r="E5669">
        <v>2</v>
      </c>
      <c r="F5669" s="15">
        <v>46245</v>
      </c>
      <c r="G5669" s="19" t="s">
        <v>681</v>
      </c>
      <c r="H5669">
        <v>3</v>
      </c>
      <c r="I5669">
        <v>2026</v>
      </c>
      <c r="J5669">
        <v>8</v>
      </c>
      <c r="K5669" s="19" t="s">
        <v>87</v>
      </c>
      <c r="L5669" s="19" t="s">
        <v>7</v>
      </c>
      <c r="M5669" s="19" t="s">
        <v>8</v>
      </c>
      <c r="N5669" t="b">
        <v>0</v>
      </c>
      <c r="O5669">
        <v>0</v>
      </c>
      <c r="P5669">
        <v>1</v>
      </c>
      <c r="Q5669">
        <v>0</v>
      </c>
      <c r="R5669">
        <v>1</v>
      </c>
    </row>
    <row r="5670" spans="1:18" x14ac:dyDescent="0.45">
      <c r="A5670" s="19" t="s">
        <v>7</v>
      </c>
      <c r="B5670" s="19" t="s">
        <v>8</v>
      </c>
      <c r="C5670">
        <v>3</v>
      </c>
      <c r="D5670">
        <v>5</v>
      </c>
      <c r="E5670">
        <v>2</v>
      </c>
      <c r="F5670" s="15">
        <v>46245</v>
      </c>
      <c r="G5670" s="19" t="s">
        <v>681</v>
      </c>
      <c r="H5670">
        <v>3</v>
      </c>
      <c r="I5670">
        <v>2026</v>
      </c>
      <c r="J5670">
        <v>8</v>
      </c>
      <c r="K5670" s="19" t="s">
        <v>87</v>
      </c>
      <c r="L5670" s="19" t="s">
        <v>41</v>
      </c>
      <c r="M5670" s="19" t="s">
        <v>6</v>
      </c>
      <c r="N5670" t="b">
        <v>0</v>
      </c>
      <c r="O5670">
        <v>1</v>
      </c>
      <c r="P5670">
        <v>0</v>
      </c>
      <c r="Q5670">
        <v>0</v>
      </c>
      <c r="R5670">
        <v>0</v>
      </c>
    </row>
    <row r="5671" spans="1:18" x14ac:dyDescent="0.45">
      <c r="A5671" s="19" t="s">
        <v>7</v>
      </c>
      <c r="B5671" s="19" t="s">
        <v>8</v>
      </c>
      <c r="C5671">
        <v>3</v>
      </c>
      <c r="D5671">
        <v>5</v>
      </c>
      <c r="E5671">
        <v>2</v>
      </c>
      <c r="F5671" s="15">
        <v>46245</v>
      </c>
      <c r="G5671" s="19" t="s">
        <v>681</v>
      </c>
      <c r="H5671">
        <v>3</v>
      </c>
      <c r="I5671">
        <v>2026</v>
      </c>
      <c r="J5671">
        <v>8</v>
      </c>
      <c r="K5671" s="19" t="s">
        <v>87</v>
      </c>
      <c r="L5671" s="19" t="s">
        <v>609</v>
      </c>
      <c r="M5671" s="19" t="s">
        <v>6</v>
      </c>
      <c r="N5671" t="b">
        <v>0</v>
      </c>
      <c r="O5671">
        <v>1</v>
      </c>
      <c r="P5671">
        <v>0</v>
      </c>
      <c r="Q5671">
        <v>0</v>
      </c>
      <c r="R5671">
        <v>0</v>
      </c>
    </row>
    <row r="5672" spans="1:18" x14ac:dyDescent="0.45">
      <c r="A5672" s="19" t="s">
        <v>438</v>
      </c>
      <c r="B5672" s="19" t="s">
        <v>8</v>
      </c>
      <c r="C5672">
        <v>1</v>
      </c>
      <c r="D5672">
        <v>6</v>
      </c>
      <c r="E5672">
        <v>2</v>
      </c>
      <c r="F5672" s="15">
        <v>46245</v>
      </c>
      <c r="G5672" s="19" t="s">
        <v>682</v>
      </c>
      <c r="H5672">
        <v>3</v>
      </c>
      <c r="I5672">
        <v>2026</v>
      </c>
      <c r="J5672">
        <v>8</v>
      </c>
      <c r="K5672" s="19" t="s">
        <v>87</v>
      </c>
      <c r="L5672" s="19" t="s">
        <v>17</v>
      </c>
      <c r="M5672" s="19" t="s">
        <v>6</v>
      </c>
      <c r="N5672" t="b">
        <v>0</v>
      </c>
      <c r="O5672">
        <v>1</v>
      </c>
      <c r="P5672">
        <v>0</v>
      </c>
      <c r="Q5672">
        <v>0</v>
      </c>
      <c r="R5672">
        <v>0</v>
      </c>
    </row>
    <row r="5673" spans="1:18" x14ac:dyDescent="0.45">
      <c r="A5673" s="19" t="s">
        <v>438</v>
      </c>
      <c r="B5673" s="19" t="s">
        <v>8</v>
      </c>
      <c r="C5673">
        <v>1</v>
      </c>
      <c r="D5673">
        <v>6</v>
      </c>
      <c r="E5673">
        <v>2</v>
      </c>
      <c r="F5673" s="15">
        <v>46245</v>
      </c>
      <c r="G5673" s="19" t="s">
        <v>682</v>
      </c>
      <c r="H5673">
        <v>3</v>
      </c>
      <c r="I5673">
        <v>2026</v>
      </c>
      <c r="J5673">
        <v>8</v>
      </c>
      <c r="K5673" s="19" t="s">
        <v>87</v>
      </c>
      <c r="L5673" s="19" t="s">
        <v>13</v>
      </c>
      <c r="M5673" s="19" t="s">
        <v>6</v>
      </c>
      <c r="N5673" t="b">
        <v>0</v>
      </c>
      <c r="O5673">
        <v>1</v>
      </c>
      <c r="P5673">
        <v>0</v>
      </c>
      <c r="Q5673">
        <v>0</v>
      </c>
      <c r="R5673">
        <v>0</v>
      </c>
    </row>
    <row r="5674" spans="1:18" x14ac:dyDescent="0.45">
      <c r="A5674" s="19" t="s">
        <v>17</v>
      </c>
      <c r="B5674" s="19" t="s">
        <v>6</v>
      </c>
      <c r="C5674">
        <v>2</v>
      </c>
      <c r="D5674">
        <v>6</v>
      </c>
      <c r="E5674">
        <v>2</v>
      </c>
      <c r="F5674" s="15">
        <v>46245</v>
      </c>
      <c r="G5674" s="19" t="s">
        <v>682</v>
      </c>
      <c r="H5674">
        <v>3</v>
      </c>
      <c r="I5674">
        <v>2026</v>
      </c>
      <c r="J5674">
        <v>8</v>
      </c>
      <c r="K5674" s="19" t="s">
        <v>87</v>
      </c>
      <c r="L5674" s="19" t="s">
        <v>438</v>
      </c>
      <c r="M5674" s="19" t="s">
        <v>8</v>
      </c>
      <c r="N5674" t="b">
        <v>0</v>
      </c>
      <c r="O5674">
        <v>0</v>
      </c>
      <c r="P5674">
        <v>1</v>
      </c>
      <c r="Q5674">
        <v>0</v>
      </c>
      <c r="R5674">
        <v>1</v>
      </c>
    </row>
    <row r="5675" spans="1:18" x14ac:dyDescent="0.45">
      <c r="A5675" s="19" t="s">
        <v>17</v>
      </c>
      <c r="B5675" s="19" t="s">
        <v>6</v>
      </c>
      <c r="C5675">
        <v>2</v>
      </c>
      <c r="D5675">
        <v>6</v>
      </c>
      <c r="E5675">
        <v>2</v>
      </c>
      <c r="F5675" s="15">
        <v>46245</v>
      </c>
      <c r="G5675" s="19" t="s">
        <v>682</v>
      </c>
      <c r="H5675">
        <v>3</v>
      </c>
      <c r="I5675">
        <v>2026</v>
      </c>
      <c r="J5675">
        <v>8</v>
      </c>
      <c r="K5675" s="19" t="s">
        <v>87</v>
      </c>
      <c r="L5675" s="19" t="s">
        <v>13</v>
      </c>
      <c r="M5675" s="19" t="s">
        <v>6</v>
      </c>
      <c r="N5675" t="b">
        <v>0</v>
      </c>
      <c r="O5675">
        <v>0</v>
      </c>
      <c r="P5675">
        <v>1</v>
      </c>
      <c r="Q5675">
        <v>0</v>
      </c>
      <c r="R5675">
        <v>0</v>
      </c>
    </row>
    <row r="5676" spans="1:18" x14ac:dyDescent="0.45">
      <c r="A5676" s="19" t="s">
        <v>13</v>
      </c>
      <c r="B5676" s="19" t="s">
        <v>6</v>
      </c>
      <c r="C5676">
        <v>3</v>
      </c>
      <c r="D5676">
        <v>6</v>
      </c>
      <c r="E5676">
        <v>2</v>
      </c>
      <c r="F5676" s="15">
        <v>46245</v>
      </c>
      <c r="G5676" s="19" t="s">
        <v>682</v>
      </c>
      <c r="H5676">
        <v>3</v>
      </c>
      <c r="I5676">
        <v>2026</v>
      </c>
      <c r="J5676">
        <v>8</v>
      </c>
      <c r="K5676" s="19" t="s">
        <v>87</v>
      </c>
      <c r="L5676" s="19" t="s">
        <v>438</v>
      </c>
      <c r="M5676" s="19" t="s">
        <v>8</v>
      </c>
      <c r="N5676" t="b">
        <v>0</v>
      </c>
      <c r="O5676">
        <v>0</v>
      </c>
      <c r="P5676">
        <v>1</v>
      </c>
      <c r="Q5676">
        <v>0</v>
      </c>
      <c r="R5676">
        <v>1</v>
      </c>
    </row>
    <row r="5677" spans="1:18" x14ac:dyDescent="0.45">
      <c r="A5677" s="19" t="s">
        <v>13</v>
      </c>
      <c r="B5677" s="19" t="s">
        <v>6</v>
      </c>
      <c r="C5677">
        <v>3</v>
      </c>
      <c r="D5677">
        <v>6</v>
      </c>
      <c r="E5677">
        <v>2</v>
      </c>
      <c r="F5677" s="15">
        <v>46245</v>
      </c>
      <c r="G5677" s="19" t="s">
        <v>682</v>
      </c>
      <c r="H5677">
        <v>3</v>
      </c>
      <c r="I5677">
        <v>2026</v>
      </c>
      <c r="J5677">
        <v>8</v>
      </c>
      <c r="K5677" s="19" t="s">
        <v>87</v>
      </c>
      <c r="L5677" s="19" t="s">
        <v>17</v>
      </c>
      <c r="M5677" s="19" t="s">
        <v>6</v>
      </c>
      <c r="N5677" t="b">
        <v>0</v>
      </c>
      <c r="O5677">
        <v>0</v>
      </c>
      <c r="P5677">
        <v>1</v>
      </c>
      <c r="Q5677">
        <v>0</v>
      </c>
      <c r="R5677">
        <v>0</v>
      </c>
    </row>
    <row r="5678" spans="1:18" x14ac:dyDescent="0.45">
      <c r="A5678" s="19" t="s">
        <v>352</v>
      </c>
      <c r="B5678" s="19" t="s">
        <v>6</v>
      </c>
      <c r="C5678">
        <v>1</v>
      </c>
      <c r="D5678">
        <v>1</v>
      </c>
      <c r="E5678">
        <v>1</v>
      </c>
      <c r="F5678" s="15">
        <v>46251</v>
      </c>
      <c r="G5678" s="19" t="s">
        <v>683</v>
      </c>
      <c r="H5678">
        <v>4</v>
      </c>
      <c r="I5678">
        <v>2026</v>
      </c>
      <c r="J5678">
        <v>8</v>
      </c>
      <c r="K5678" s="19" t="s">
        <v>87</v>
      </c>
      <c r="L5678" s="19" t="s">
        <v>578</v>
      </c>
      <c r="M5678" s="19" t="s">
        <v>8</v>
      </c>
      <c r="N5678" t="b">
        <v>0</v>
      </c>
      <c r="O5678">
        <v>0</v>
      </c>
      <c r="P5678">
        <v>1</v>
      </c>
      <c r="Q5678">
        <v>0</v>
      </c>
      <c r="R5678">
        <v>1</v>
      </c>
    </row>
    <row r="5679" spans="1:18" x14ac:dyDescent="0.45">
      <c r="A5679" s="19" t="s">
        <v>352</v>
      </c>
      <c r="B5679" s="19" t="s">
        <v>6</v>
      </c>
      <c r="C5679">
        <v>1</v>
      </c>
      <c r="D5679">
        <v>1</v>
      </c>
      <c r="E5679">
        <v>1</v>
      </c>
      <c r="F5679" s="15">
        <v>46251</v>
      </c>
      <c r="G5679" s="19" t="s">
        <v>683</v>
      </c>
      <c r="H5679">
        <v>4</v>
      </c>
      <c r="I5679">
        <v>2026</v>
      </c>
      <c r="J5679">
        <v>8</v>
      </c>
      <c r="K5679" s="19" t="s">
        <v>87</v>
      </c>
      <c r="L5679" s="19" t="s">
        <v>693</v>
      </c>
      <c r="M5679" s="19" t="s">
        <v>6</v>
      </c>
      <c r="N5679" t="b">
        <v>0</v>
      </c>
      <c r="O5679">
        <v>0</v>
      </c>
      <c r="P5679">
        <v>1</v>
      </c>
      <c r="Q5679">
        <v>0</v>
      </c>
      <c r="R5679">
        <v>0</v>
      </c>
    </row>
    <row r="5680" spans="1:18" x14ac:dyDescent="0.45">
      <c r="A5680" s="19" t="s">
        <v>352</v>
      </c>
      <c r="B5680" s="19" t="s">
        <v>6</v>
      </c>
      <c r="C5680">
        <v>1</v>
      </c>
      <c r="D5680">
        <v>1</v>
      </c>
      <c r="E5680">
        <v>1</v>
      </c>
      <c r="F5680" s="15">
        <v>46251</v>
      </c>
      <c r="G5680" s="19" t="s">
        <v>683</v>
      </c>
      <c r="H5680">
        <v>4</v>
      </c>
      <c r="I5680">
        <v>2026</v>
      </c>
      <c r="J5680">
        <v>8</v>
      </c>
      <c r="K5680" s="19" t="s">
        <v>87</v>
      </c>
      <c r="L5680" s="19" t="s">
        <v>9</v>
      </c>
      <c r="M5680" s="19" t="s">
        <v>6</v>
      </c>
      <c r="N5680" t="b">
        <v>0</v>
      </c>
      <c r="O5680">
        <v>0</v>
      </c>
      <c r="P5680">
        <v>1</v>
      </c>
      <c r="Q5680">
        <v>0</v>
      </c>
      <c r="R5680">
        <v>0</v>
      </c>
    </row>
    <row r="5681" spans="1:18" x14ac:dyDescent="0.45">
      <c r="A5681" s="19" t="s">
        <v>578</v>
      </c>
      <c r="B5681" s="19" t="s">
        <v>8</v>
      </c>
      <c r="C5681">
        <v>2</v>
      </c>
      <c r="D5681">
        <v>1</v>
      </c>
      <c r="E5681">
        <v>1</v>
      </c>
      <c r="F5681" s="15">
        <v>46251</v>
      </c>
      <c r="G5681" s="19" t="s">
        <v>683</v>
      </c>
      <c r="H5681">
        <v>4</v>
      </c>
      <c r="I5681">
        <v>2026</v>
      </c>
      <c r="J5681">
        <v>8</v>
      </c>
      <c r="K5681" s="19" t="s">
        <v>87</v>
      </c>
      <c r="L5681" s="19" t="s">
        <v>352</v>
      </c>
      <c r="M5681" s="19" t="s">
        <v>6</v>
      </c>
      <c r="N5681" t="b">
        <v>0</v>
      </c>
      <c r="O5681">
        <v>1</v>
      </c>
      <c r="P5681">
        <v>0</v>
      </c>
      <c r="Q5681">
        <v>0</v>
      </c>
      <c r="R5681">
        <v>0</v>
      </c>
    </row>
    <row r="5682" spans="1:18" x14ac:dyDescent="0.45">
      <c r="A5682" s="19" t="s">
        <v>578</v>
      </c>
      <c r="B5682" s="19" t="s">
        <v>8</v>
      </c>
      <c r="C5682">
        <v>2</v>
      </c>
      <c r="D5682">
        <v>1</v>
      </c>
      <c r="E5682">
        <v>1</v>
      </c>
      <c r="F5682" s="15">
        <v>46251</v>
      </c>
      <c r="G5682" s="19" t="s">
        <v>683</v>
      </c>
      <c r="H5682">
        <v>4</v>
      </c>
      <c r="I5682">
        <v>2026</v>
      </c>
      <c r="J5682">
        <v>8</v>
      </c>
      <c r="K5682" s="19" t="s">
        <v>87</v>
      </c>
      <c r="L5682" s="19" t="s">
        <v>693</v>
      </c>
      <c r="M5682" s="19" t="s">
        <v>6</v>
      </c>
      <c r="N5682" t="b">
        <v>0</v>
      </c>
      <c r="O5682">
        <v>1</v>
      </c>
      <c r="P5682">
        <v>0</v>
      </c>
      <c r="Q5682">
        <v>0</v>
      </c>
      <c r="R5682">
        <v>0</v>
      </c>
    </row>
    <row r="5683" spans="1:18" x14ac:dyDescent="0.45">
      <c r="A5683" s="19" t="s">
        <v>578</v>
      </c>
      <c r="B5683" s="19" t="s">
        <v>8</v>
      </c>
      <c r="C5683">
        <v>2</v>
      </c>
      <c r="D5683">
        <v>1</v>
      </c>
      <c r="E5683">
        <v>1</v>
      </c>
      <c r="F5683" s="15">
        <v>46251</v>
      </c>
      <c r="G5683" s="19" t="s">
        <v>683</v>
      </c>
      <c r="H5683">
        <v>4</v>
      </c>
      <c r="I5683">
        <v>2026</v>
      </c>
      <c r="J5683">
        <v>8</v>
      </c>
      <c r="K5683" s="19" t="s">
        <v>87</v>
      </c>
      <c r="L5683" s="19" t="s">
        <v>9</v>
      </c>
      <c r="M5683" s="19" t="s">
        <v>6</v>
      </c>
      <c r="N5683" t="b">
        <v>0</v>
      </c>
      <c r="O5683">
        <v>1</v>
      </c>
      <c r="P5683">
        <v>0</v>
      </c>
      <c r="Q5683">
        <v>0</v>
      </c>
      <c r="R5683">
        <v>0</v>
      </c>
    </row>
    <row r="5684" spans="1:18" x14ac:dyDescent="0.45">
      <c r="A5684" s="19" t="s">
        <v>693</v>
      </c>
      <c r="B5684" s="19" t="s">
        <v>6</v>
      </c>
      <c r="C5684">
        <v>3</v>
      </c>
      <c r="D5684">
        <v>1</v>
      </c>
      <c r="E5684">
        <v>1</v>
      </c>
      <c r="F5684" s="15">
        <v>46251</v>
      </c>
      <c r="G5684" s="19" t="s">
        <v>683</v>
      </c>
      <c r="H5684">
        <v>4</v>
      </c>
      <c r="I5684">
        <v>2026</v>
      </c>
      <c r="J5684">
        <v>8</v>
      </c>
      <c r="K5684" s="19" t="s">
        <v>87</v>
      </c>
      <c r="L5684" s="19" t="s">
        <v>352</v>
      </c>
      <c r="M5684" s="19" t="s">
        <v>6</v>
      </c>
      <c r="N5684" t="b">
        <v>0</v>
      </c>
      <c r="O5684">
        <v>0</v>
      </c>
      <c r="P5684">
        <v>1</v>
      </c>
      <c r="Q5684">
        <v>0</v>
      </c>
      <c r="R5684">
        <v>0</v>
      </c>
    </row>
    <row r="5685" spans="1:18" x14ac:dyDescent="0.45">
      <c r="A5685" s="19" t="s">
        <v>693</v>
      </c>
      <c r="B5685" s="19" t="s">
        <v>6</v>
      </c>
      <c r="C5685">
        <v>3</v>
      </c>
      <c r="D5685">
        <v>1</v>
      </c>
      <c r="E5685">
        <v>1</v>
      </c>
      <c r="F5685" s="15">
        <v>46251</v>
      </c>
      <c r="G5685" s="19" t="s">
        <v>683</v>
      </c>
      <c r="H5685">
        <v>4</v>
      </c>
      <c r="I5685">
        <v>2026</v>
      </c>
      <c r="J5685">
        <v>8</v>
      </c>
      <c r="K5685" s="19" t="s">
        <v>87</v>
      </c>
      <c r="L5685" s="19" t="s">
        <v>578</v>
      </c>
      <c r="M5685" s="19" t="s">
        <v>8</v>
      </c>
      <c r="N5685" t="b">
        <v>0</v>
      </c>
      <c r="O5685">
        <v>0</v>
      </c>
      <c r="P5685">
        <v>1</v>
      </c>
      <c r="Q5685">
        <v>0</v>
      </c>
      <c r="R5685">
        <v>1</v>
      </c>
    </row>
    <row r="5686" spans="1:18" x14ac:dyDescent="0.45">
      <c r="A5686" s="19" t="s">
        <v>693</v>
      </c>
      <c r="B5686" s="19" t="s">
        <v>6</v>
      </c>
      <c r="C5686">
        <v>3</v>
      </c>
      <c r="D5686">
        <v>1</v>
      </c>
      <c r="E5686">
        <v>1</v>
      </c>
      <c r="F5686" s="15">
        <v>46251</v>
      </c>
      <c r="G5686" s="19" t="s">
        <v>683</v>
      </c>
      <c r="H5686">
        <v>4</v>
      </c>
      <c r="I5686">
        <v>2026</v>
      </c>
      <c r="J5686">
        <v>8</v>
      </c>
      <c r="K5686" s="19" t="s">
        <v>87</v>
      </c>
      <c r="L5686" s="19" t="s">
        <v>9</v>
      </c>
      <c r="M5686" s="19" t="s">
        <v>6</v>
      </c>
      <c r="N5686" t="b">
        <v>0</v>
      </c>
      <c r="O5686">
        <v>0</v>
      </c>
      <c r="P5686">
        <v>1</v>
      </c>
      <c r="Q5686">
        <v>0</v>
      </c>
      <c r="R5686">
        <v>0</v>
      </c>
    </row>
    <row r="5687" spans="1:18" x14ac:dyDescent="0.45">
      <c r="A5687" s="19" t="s">
        <v>9</v>
      </c>
      <c r="B5687" s="19" t="s">
        <v>6</v>
      </c>
      <c r="C5687">
        <v>4</v>
      </c>
      <c r="D5687">
        <v>1</v>
      </c>
      <c r="E5687">
        <v>1</v>
      </c>
      <c r="F5687" s="15">
        <v>46251</v>
      </c>
      <c r="G5687" s="19" t="s">
        <v>683</v>
      </c>
      <c r="H5687">
        <v>4</v>
      </c>
      <c r="I5687">
        <v>2026</v>
      </c>
      <c r="J5687">
        <v>8</v>
      </c>
      <c r="K5687" s="19" t="s">
        <v>87</v>
      </c>
      <c r="L5687" s="19" t="s">
        <v>352</v>
      </c>
      <c r="M5687" s="19" t="s">
        <v>6</v>
      </c>
      <c r="N5687" t="b">
        <v>0</v>
      </c>
      <c r="O5687">
        <v>0</v>
      </c>
      <c r="P5687">
        <v>1</v>
      </c>
      <c r="Q5687">
        <v>0</v>
      </c>
      <c r="R5687">
        <v>0</v>
      </c>
    </row>
    <row r="5688" spans="1:18" x14ac:dyDescent="0.45">
      <c r="A5688" s="19" t="s">
        <v>9</v>
      </c>
      <c r="B5688" s="19" t="s">
        <v>6</v>
      </c>
      <c r="C5688">
        <v>4</v>
      </c>
      <c r="D5688">
        <v>1</v>
      </c>
      <c r="E5688">
        <v>1</v>
      </c>
      <c r="F5688" s="15">
        <v>46251</v>
      </c>
      <c r="G5688" s="19" t="s">
        <v>683</v>
      </c>
      <c r="H5688">
        <v>4</v>
      </c>
      <c r="I5688">
        <v>2026</v>
      </c>
      <c r="J5688">
        <v>8</v>
      </c>
      <c r="K5688" s="19" t="s">
        <v>87</v>
      </c>
      <c r="L5688" s="19" t="s">
        <v>578</v>
      </c>
      <c r="M5688" s="19" t="s">
        <v>8</v>
      </c>
      <c r="N5688" t="b">
        <v>0</v>
      </c>
      <c r="O5688">
        <v>0</v>
      </c>
      <c r="P5688">
        <v>1</v>
      </c>
      <c r="Q5688">
        <v>0</v>
      </c>
      <c r="R5688">
        <v>1</v>
      </c>
    </row>
    <row r="5689" spans="1:18" x14ac:dyDescent="0.45">
      <c r="A5689" s="19" t="s">
        <v>9</v>
      </c>
      <c r="B5689" s="19" t="s">
        <v>6</v>
      </c>
      <c r="C5689">
        <v>4</v>
      </c>
      <c r="D5689">
        <v>1</v>
      </c>
      <c r="E5689">
        <v>1</v>
      </c>
      <c r="F5689" s="15">
        <v>46251</v>
      </c>
      <c r="G5689" s="19" t="s">
        <v>683</v>
      </c>
      <c r="H5689">
        <v>4</v>
      </c>
      <c r="I5689">
        <v>2026</v>
      </c>
      <c r="J5689">
        <v>8</v>
      </c>
      <c r="K5689" s="19" t="s">
        <v>87</v>
      </c>
      <c r="L5689" s="19" t="s">
        <v>693</v>
      </c>
      <c r="M5689" s="19" t="s">
        <v>6</v>
      </c>
      <c r="N5689" t="b">
        <v>0</v>
      </c>
      <c r="O5689">
        <v>0</v>
      </c>
      <c r="P5689">
        <v>1</v>
      </c>
      <c r="Q5689">
        <v>0</v>
      </c>
      <c r="R5689">
        <v>0</v>
      </c>
    </row>
    <row r="5690" spans="1:18" x14ac:dyDescent="0.45">
      <c r="A5690" s="19" t="s">
        <v>19</v>
      </c>
      <c r="B5690" s="19" t="s">
        <v>63</v>
      </c>
      <c r="C5690">
        <v>1</v>
      </c>
      <c r="D5690">
        <v>2</v>
      </c>
      <c r="E5690">
        <v>1</v>
      </c>
      <c r="F5690" s="15">
        <v>46251</v>
      </c>
      <c r="G5690" s="19" t="s">
        <v>684</v>
      </c>
      <c r="H5690">
        <v>4</v>
      </c>
      <c r="I5690">
        <v>2026</v>
      </c>
      <c r="J5690">
        <v>8</v>
      </c>
      <c r="K5690" s="19" t="s">
        <v>87</v>
      </c>
      <c r="L5690" s="19" t="s">
        <v>540</v>
      </c>
      <c r="M5690" s="19" t="s">
        <v>63</v>
      </c>
      <c r="N5690" t="b">
        <v>0</v>
      </c>
      <c r="O5690">
        <v>0</v>
      </c>
      <c r="P5690">
        <v>0</v>
      </c>
      <c r="Q5690">
        <v>1</v>
      </c>
      <c r="R5690">
        <v>0</v>
      </c>
    </row>
    <row r="5691" spans="1:18" x14ac:dyDescent="0.45">
      <c r="A5691" s="19" t="s">
        <v>19</v>
      </c>
      <c r="B5691" s="19" t="s">
        <v>63</v>
      </c>
      <c r="C5691">
        <v>1</v>
      </c>
      <c r="D5691">
        <v>2</v>
      </c>
      <c r="E5691">
        <v>1</v>
      </c>
      <c r="F5691" s="15">
        <v>46251</v>
      </c>
      <c r="G5691" s="19" t="s">
        <v>684</v>
      </c>
      <c r="H5691">
        <v>4</v>
      </c>
      <c r="I5691">
        <v>2026</v>
      </c>
      <c r="J5691">
        <v>8</v>
      </c>
      <c r="K5691" s="19" t="s">
        <v>87</v>
      </c>
      <c r="L5691" s="19" t="s">
        <v>10</v>
      </c>
      <c r="M5691" s="19" t="s">
        <v>63</v>
      </c>
      <c r="N5691" t="b">
        <v>0</v>
      </c>
      <c r="O5691">
        <v>0</v>
      </c>
      <c r="P5691">
        <v>0</v>
      </c>
      <c r="Q5691">
        <v>1</v>
      </c>
      <c r="R5691">
        <v>0</v>
      </c>
    </row>
    <row r="5692" spans="1:18" x14ac:dyDescent="0.45">
      <c r="A5692" s="19" t="s">
        <v>19</v>
      </c>
      <c r="B5692" s="19" t="s">
        <v>63</v>
      </c>
      <c r="C5692">
        <v>1</v>
      </c>
      <c r="D5692">
        <v>2</v>
      </c>
      <c r="E5692">
        <v>1</v>
      </c>
      <c r="F5692" s="15">
        <v>46251</v>
      </c>
      <c r="G5692" s="19" t="s">
        <v>684</v>
      </c>
      <c r="H5692">
        <v>4</v>
      </c>
      <c r="I5692">
        <v>2026</v>
      </c>
      <c r="J5692">
        <v>8</v>
      </c>
      <c r="K5692" s="19" t="s">
        <v>87</v>
      </c>
      <c r="L5692" s="19" t="s">
        <v>326</v>
      </c>
      <c r="M5692" s="19" t="s">
        <v>63</v>
      </c>
      <c r="N5692" t="b">
        <v>0</v>
      </c>
      <c r="O5692">
        <v>0</v>
      </c>
      <c r="P5692">
        <v>0</v>
      </c>
      <c r="Q5692">
        <v>1</v>
      </c>
      <c r="R5692">
        <v>0</v>
      </c>
    </row>
    <row r="5693" spans="1:18" x14ac:dyDescent="0.45">
      <c r="A5693" s="19" t="s">
        <v>540</v>
      </c>
      <c r="B5693" s="19" t="s">
        <v>63</v>
      </c>
      <c r="C5693">
        <v>2</v>
      </c>
      <c r="D5693">
        <v>2</v>
      </c>
      <c r="E5693">
        <v>1</v>
      </c>
      <c r="F5693" s="15">
        <v>46251</v>
      </c>
      <c r="G5693" s="19" t="s">
        <v>684</v>
      </c>
      <c r="H5693">
        <v>4</v>
      </c>
      <c r="I5693">
        <v>2026</v>
      </c>
      <c r="J5693">
        <v>8</v>
      </c>
      <c r="K5693" s="19" t="s">
        <v>87</v>
      </c>
      <c r="L5693" s="19" t="s">
        <v>19</v>
      </c>
      <c r="M5693" s="19" t="s">
        <v>63</v>
      </c>
      <c r="N5693" t="b">
        <v>0</v>
      </c>
      <c r="O5693">
        <v>0</v>
      </c>
      <c r="P5693">
        <v>0</v>
      </c>
      <c r="Q5693">
        <v>1</v>
      </c>
      <c r="R5693">
        <v>0</v>
      </c>
    </row>
    <row r="5694" spans="1:18" x14ac:dyDescent="0.45">
      <c r="A5694" s="19" t="s">
        <v>540</v>
      </c>
      <c r="B5694" s="19" t="s">
        <v>63</v>
      </c>
      <c r="C5694">
        <v>2</v>
      </c>
      <c r="D5694">
        <v>2</v>
      </c>
      <c r="E5694">
        <v>1</v>
      </c>
      <c r="F5694" s="15">
        <v>46251</v>
      </c>
      <c r="G5694" s="19" t="s">
        <v>684</v>
      </c>
      <c r="H5694">
        <v>4</v>
      </c>
      <c r="I5694">
        <v>2026</v>
      </c>
      <c r="J5694">
        <v>8</v>
      </c>
      <c r="K5694" s="19" t="s">
        <v>87</v>
      </c>
      <c r="L5694" s="19" t="s">
        <v>10</v>
      </c>
      <c r="M5694" s="19" t="s">
        <v>63</v>
      </c>
      <c r="N5694" t="b">
        <v>0</v>
      </c>
      <c r="O5694">
        <v>0</v>
      </c>
      <c r="P5694">
        <v>0</v>
      </c>
      <c r="Q5694">
        <v>1</v>
      </c>
      <c r="R5694">
        <v>0</v>
      </c>
    </row>
    <row r="5695" spans="1:18" x14ac:dyDescent="0.45">
      <c r="A5695" s="19" t="s">
        <v>540</v>
      </c>
      <c r="B5695" s="19" t="s">
        <v>63</v>
      </c>
      <c r="C5695">
        <v>2</v>
      </c>
      <c r="D5695">
        <v>2</v>
      </c>
      <c r="E5695">
        <v>1</v>
      </c>
      <c r="F5695" s="15">
        <v>46251</v>
      </c>
      <c r="G5695" s="19" t="s">
        <v>684</v>
      </c>
      <c r="H5695">
        <v>4</v>
      </c>
      <c r="I5695">
        <v>2026</v>
      </c>
      <c r="J5695">
        <v>8</v>
      </c>
      <c r="K5695" s="19" t="s">
        <v>87</v>
      </c>
      <c r="L5695" s="19" t="s">
        <v>326</v>
      </c>
      <c r="M5695" s="19" t="s">
        <v>63</v>
      </c>
      <c r="N5695" t="b">
        <v>0</v>
      </c>
      <c r="O5695">
        <v>0</v>
      </c>
      <c r="P5695">
        <v>0</v>
      </c>
      <c r="Q5695">
        <v>1</v>
      </c>
      <c r="R5695">
        <v>0</v>
      </c>
    </row>
    <row r="5696" spans="1:18" x14ac:dyDescent="0.45">
      <c r="A5696" s="19" t="s">
        <v>10</v>
      </c>
      <c r="B5696" s="19" t="s">
        <v>63</v>
      </c>
      <c r="C5696">
        <v>3</v>
      </c>
      <c r="D5696">
        <v>2</v>
      </c>
      <c r="E5696">
        <v>1</v>
      </c>
      <c r="F5696" s="15">
        <v>46251</v>
      </c>
      <c r="G5696" s="19" t="s">
        <v>684</v>
      </c>
      <c r="H5696">
        <v>4</v>
      </c>
      <c r="I5696">
        <v>2026</v>
      </c>
      <c r="J5696">
        <v>8</v>
      </c>
      <c r="K5696" s="19" t="s">
        <v>87</v>
      </c>
      <c r="L5696" s="19" t="s">
        <v>19</v>
      </c>
      <c r="M5696" s="19" t="s">
        <v>63</v>
      </c>
      <c r="N5696" t="b">
        <v>0</v>
      </c>
      <c r="O5696">
        <v>0</v>
      </c>
      <c r="P5696">
        <v>0</v>
      </c>
      <c r="Q5696">
        <v>1</v>
      </c>
      <c r="R5696">
        <v>0</v>
      </c>
    </row>
    <row r="5697" spans="1:18" x14ac:dyDescent="0.45">
      <c r="A5697" s="19" t="s">
        <v>10</v>
      </c>
      <c r="B5697" s="19" t="s">
        <v>63</v>
      </c>
      <c r="C5697">
        <v>3</v>
      </c>
      <c r="D5697">
        <v>2</v>
      </c>
      <c r="E5697">
        <v>1</v>
      </c>
      <c r="F5697" s="15">
        <v>46251</v>
      </c>
      <c r="G5697" s="19" t="s">
        <v>684</v>
      </c>
      <c r="H5697">
        <v>4</v>
      </c>
      <c r="I5697">
        <v>2026</v>
      </c>
      <c r="J5697">
        <v>8</v>
      </c>
      <c r="K5697" s="19" t="s">
        <v>87</v>
      </c>
      <c r="L5697" s="19" t="s">
        <v>540</v>
      </c>
      <c r="M5697" s="19" t="s">
        <v>63</v>
      </c>
      <c r="N5697" t="b">
        <v>0</v>
      </c>
      <c r="O5697">
        <v>0</v>
      </c>
      <c r="P5697">
        <v>0</v>
      </c>
      <c r="Q5697">
        <v>1</v>
      </c>
      <c r="R5697">
        <v>0</v>
      </c>
    </row>
    <row r="5698" spans="1:18" x14ac:dyDescent="0.45">
      <c r="A5698" s="19" t="s">
        <v>10</v>
      </c>
      <c r="B5698" s="19" t="s">
        <v>63</v>
      </c>
      <c r="C5698">
        <v>3</v>
      </c>
      <c r="D5698">
        <v>2</v>
      </c>
      <c r="E5698">
        <v>1</v>
      </c>
      <c r="F5698" s="15">
        <v>46251</v>
      </c>
      <c r="G5698" s="19" t="s">
        <v>684</v>
      </c>
      <c r="H5698">
        <v>4</v>
      </c>
      <c r="I5698">
        <v>2026</v>
      </c>
      <c r="J5698">
        <v>8</v>
      </c>
      <c r="K5698" s="19" t="s">
        <v>87</v>
      </c>
      <c r="L5698" s="19" t="s">
        <v>326</v>
      </c>
      <c r="M5698" s="19" t="s">
        <v>63</v>
      </c>
      <c r="N5698" t="b">
        <v>0</v>
      </c>
      <c r="O5698">
        <v>0</v>
      </c>
      <c r="P5698">
        <v>0</v>
      </c>
      <c r="Q5698">
        <v>1</v>
      </c>
      <c r="R5698">
        <v>0</v>
      </c>
    </row>
    <row r="5699" spans="1:18" x14ac:dyDescent="0.45">
      <c r="A5699" s="19" t="s">
        <v>326</v>
      </c>
      <c r="B5699" s="19" t="s">
        <v>63</v>
      </c>
      <c r="C5699">
        <v>4</v>
      </c>
      <c r="D5699">
        <v>2</v>
      </c>
      <c r="E5699">
        <v>1</v>
      </c>
      <c r="F5699" s="15">
        <v>46251</v>
      </c>
      <c r="G5699" s="19" t="s">
        <v>684</v>
      </c>
      <c r="H5699">
        <v>4</v>
      </c>
      <c r="I5699">
        <v>2026</v>
      </c>
      <c r="J5699">
        <v>8</v>
      </c>
      <c r="K5699" s="19" t="s">
        <v>87</v>
      </c>
      <c r="L5699" s="19" t="s">
        <v>19</v>
      </c>
      <c r="M5699" s="19" t="s">
        <v>63</v>
      </c>
      <c r="N5699" t="b">
        <v>0</v>
      </c>
      <c r="O5699">
        <v>0</v>
      </c>
      <c r="P5699">
        <v>0</v>
      </c>
      <c r="Q5699">
        <v>1</v>
      </c>
      <c r="R5699">
        <v>0</v>
      </c>
    </row>
    <row r="5700" spans="1:18" x14ac:dyDescent="0.45">
      <c r="A5700" s="19" t="s">
        <v>326</v>
      </c>
      <c r="B5700" s="19" t="s">
        <v>63</v>
      </c>
      <c r="C5700">
        <v>4</v>
      </c>
      <c r="D5700">
        <v>2</v>
      </c>
      <c r="E5700">
        <v>1</v>
      </c>
      <c r="F5700" s="15">
        <v>46251</v>
      </c>
      <c r="G5700" s="19" t="s">
        <v>684</v>
      </c>
      <c r="H5700">
        <v>4</v>
      </c>
      <c r="I5700">
        <v>2026</v>
      </c>
      <c r="J5700">
        <v>8</v>
      </c>
      <c r="K5700" s="19" t="s">
        <v>87</v>
      </c>
      <c r="L5700" s="19" t="s">
        <v>540</v>
      </c>
      <c r="M5700" s="19" t="s">
        <v>63</v>
      </c>
      <c r="N5700" t="b">
        <v>0</v>
      </c>
      <c r="O5700">
        <v>0</v>
      </c>
      <c r="P5700">
        <v>0</v>
      </c>
      <c r="Q5700">
        <v>1</v>
      </c>
      <c r="R5700">
        <v>0</v>
      </c>
    </row>
    <row r="5701" spans="1:18" x14ac:dyDescent="0.45">
      <c r="A5701" s="19" t="s">
        <v>326</v>
      </c>
      <c r="B5701" s="19" t="s">
        <v>63</v>
      </c>
      <c r="C5701">
        <v>4</v>
      </c>
      <c r="D5701">
        <v>2</v>
      </c>
      <c r="E5701">
        <v>1</v>
      </c>
      <c r="F5701" s="15">
        <v>46251</v>
      </c>
      <c r="G5701" s="19" t="s">
        <v>684</v>
      </c>
      <c r="H5701">
        <v>4</v>
      </c>
      <c r="I5701">
        <v>2026</v>
      </c>
      <c r="J5701">
        <v>8</v>
      </c>
      <c r="K5701" s="19" t="s">
        <v>87</v>
      </c>
      <c r="L5701" s="19" t="s">
        <v>10</v>
      </c>
      <c r="M5701" s="19" t="s">
        <v>63</v>
      </c>
      <c r="N5701" t="b">
        <v>0</v>
      </c>
      <c r="O5701">
        <v>0</v>
      </c>
      <c r="P5701">
        <v>0</v>
      </c>
      <c r="Q5701">
        <v>1</v>
      </c>
      <c r="R5701">
        <v>0</v>
      </c>
    </row>
    <row r="5702" spans="1:18" x14ac:dyDescent="0.45">
      <c r="A5702" s="19" t="s">
        <v>15</v>
      </c>
      <c r="B5702" s="19" t="s">
        <v>63</v>
      </c>
      <c r="C5702">
        <v>1</v>
      </c>
      <c r="D5702">
        <v>3</v>
      </c>
      <c r="E5702">
        <v>1</v>
      </c>
      <c r="F5702" s="15">
        <v>46251</v>
      </c>
      <c r="G5702" s="19" t="s">
        <v>685</v>
      </c>
      <c r="H5702">
        <v>4</v>
      </c>
      <c r="I5702">
        <v>2026</v>
      </c>
      <c r="J5702">
        <v>8</v>
      </c>
      <c r="K5702" s="19" t="s">
        <v>87</v>
      </c>
      <c r="L5702" s="19" t="s">
        <v>28</v>
      </c>
      <c r="M5702" s="19" t="s">
        <v>63</v>
      </c>
      <c r="N5702" t="b">
        <v>0</v>
      </c>
      <c r="O5702">
        <v>0</v>
      </c>
      <c r="P5702">
        <v>0</v>
      </c>
      <c r="Q5702">
        <v>1</v>
      </c>
      <c r="R5702">
        <v>0</v>
      </c>
    </row>
    <row r="5703" spans="1:18" x14ac:dyDescent="0.45">
      <c r="A5703" s="19" t="s">
        <v>15</v>
      </c>
      <c r="B5703" s="19" t="s">
        <v>63</v>
      </c>
      <c r="C5703">
        <v>1</v>
      </c>
      <c r="D5703">
        <v>3</v>
      </c>
      <c r="E5703">
        <v>1</v>
      </c>
      <c r="F5703" s="15">
        <v>46251</v>
      </c>
      <c r="G5703" s="19" t="s">
        <v>685</v>
      </c>
      <c r="H5703">
        <v>4</v>
      </c>
      <c r="I5703">
        <v>2026</v>
      </c>
      <c r="J5703">
        <v>8</v>
      </c>
      <c r="K5703" s="19" t="s">
        <v>87</v>
      </c>
      <c r="L5703" s="19" t="s">
        <v>7</v>
      </c>
      <c r="M5703" s="19" t="s">
        <v>63</v>
      </c>
      <c r="N5703" t="b">
        <v>0</v>
      </c>
      <c r="O5703">
        <v>0</v>
      </c>
      <c r="P5703">
        <v>0</v>
      </c>
      <c r="Q5703">
        <v>1</v>
      </c>
      <c r="R5703">
        <v>0</v>
      </c>
    </row>
    <row r="5704" spans="1:18" x14ac:dyDescent="0.45">
      <c r="A5704" s="19" t="s">
        <v>15</v>
      </c>
      <c r="B5704" s="19" t="s">
        <v>63</v>
      </c>
      <c r="C5704">
        <v>1</v>
      </c>
      <c r="D5704">
        <v>3</v>
      </c>
      <c r="E5704">
        <v>1</v>
      </c>
      <c r="F5704" s="15">
        <v>46251</v>
      </c>
      <c r="G5704" s="19" t="s">
        <v>685</v>
      </c>
      <c r="H5704">
        <v>4</v>
      </c>
      <c r="I5704">
        <v>2026</v>
      </c>
      <c r="J5704">
        <v>8</v>
      </c>
      <c r="K5704" s="19" t="s">
        <v>87</v>
      </c>
      <c r="L5704" s="19" t="s">
        <v>433</v>
      </c>
      <c r="M5704" s="19" t="s">
        <v>63</v>
      </c>
      <c r="N5704" t="b">
        <v>0</v>
      </c>
      <c r="O5704">
        <v>0</v>
      </c>
      <c r="P5704">
        <v>0</v>
      </c>
      <c r="Q5704">
        <v>1</v>
      </c>
      <c r="R5704">
        <v>0</v>
      </c>
    </row>
    <row r="5705" spans="1:18" x14ac:dyDescent="0.45">
      <c r="A5705" s="19" t="s">
        <v>28</v>
      </c>
      <c r="B5705" s="19" t="s">
        <v>63</v>
      </c>
      <c r="C5705">
        <v>2</v>
      </c>
      <c r="D5705">
        <v>3</v>
      </c>
      <c r="E5705">
        <v>1</v>
      </c>
      <c r="F5705" s="15">
        <v>46251</v>
      </c>
      <c r="G5705" s="19" t="s">
        <v>685</v>
      </c>
      <c r="H5705">
        <v>4</v>
      </c>
      <c r="I5705">
        <v>2026</v>
      </c>
      <c r="J5705">
        <v>8</v>
      </c>
      <c r="K5705" s="19" t="s">
        <v>87</v>
      </c>
      <c r="L5705" s="19" t="s">
        <v>15</v>
      </c>
      <c r="M5705" s="19" t="s">
        <v>63</v>
      </c>
      <c r="N5705" t="b">
        <v>0</v>
      </c>
      <c r="O5705">
        <v>0</v>
      </c>
      <c r="P5705">
        <v>0</v>
      </c>
      <c r="Q5705">
        <v>1</v>
      </c>
      <c r="R5705">
        <v>0</v>
      </c>
    </row>
    <row r="5706" spans="1:18" x14ac:dyDescent="0.45">
      <c r="A5706" s="19" t="s">
        <v>28</v>
      </c>
      <c r="B5706" s="19" t="s">
        <v>63</v>
      </c>
      <c r="C5706">
        <v>2</v>
      </c>
      <c r="D5706">
        <v>3</v>
      </c>
      <c r="E5706">
        <v>1</v>
      </c>
      <c r="F5706" s="15">
        <v>46251</v>
      </c>
      <c r="G5706" s="19" t="s">
        <v>685</v>
      </c>
      <c r="H5706">
        <v>4</v>
      </c>
      <c r="I5706">
        <v>2026</v>
      </c>
      <c r="J5706">
        <v>8</v>
      </c>
      <c r="K5706" s="19" t="s">
        <v>87</v>
      </c>
      <c r="L5706" s="19" t="s">
        <v>7</v>
      </c>
      <c r="M5706" s="19" t="s">
        <v>63</v>
      </c>
      <c r="N5706" t="b">
        <v>0</v>
      </c>
      <c r="O5706">
        <v>0</v>
      </c>
      <c r="P5706">
        <v>0</v>
      </c>
      <c r="Q5706">
        <v>1</v>
      </c>
      <c r="R5706">
        <v>0</v>
      </c>
    </row>
    <row r="5707" spans="1:18" x14ac:dyDescent="0.45">
      <c r="A5707" s="19" t="s">
        <v>28</v>
      </c>
      <c r="B5707" s="19" t="s">
        <v>63</v>
      </c>
      <c r="C5707">
        <v>2</v>
      </c>
      <c r="D5707">
        <v>3</v>
      </c>
      <c r="E5707">
        <v>1</v>
      </c>
      <c r="F5707" s="15">
        <v>46251</v>
      </c>
      <c r="G5707" s="19" t="s">
        <v>685</v>
      </c>
      <c r="H5707">
        <v>4</v>
      </c>
      <c r="I5707">
        <v>2026</v>
      </c>
      <c r="J5707">
        <v>8</v>
      </c>
      <c r="K5707" s="19" t="s">
        <v>87</v>
      </c>
      <c r="L5707" s="19" t="s">
        <v>433</v>
      </c>
      <c r="M5707" s="19" t="s">
        <v>63</v>
      </c>
      <c r="N5707" t="b">
        <v>0</v>
      </c>
      <c r="O5707">
        <v>0</v>
      </c>
      <c r="P5707">
        <v>0</v>
      </c>
      <c r="Q5707">
        <v>1</v>
      </c>
      <c r="R5707">
        <v>0</v>
      </c>
    </row>
    <row r="5708" spans="1:18" x14ac:dyDescent="0.45">
      <c r="A5708" s="19" t="s">
        <v>7</v>
      </c>
      <c r="B5708" s="19" t="s">
        <v>63</v>
      </c>
      <c r="C5708">
        <v>3</v>
      </c>
      <c r="D5708">
        <v>3</v>
      </c>
      <c r="E5708">
        <v>1</v>
      </c>
      <c r="F5708" s="15">
        <v>46251</v>
      </c>
      <c r="G5708" s="19" t="s">
        <v>685</v>
      </c>
      <c r="H5708">
        <v>4</v>
      </c>
      <c r="I5708">
        <v>2026</v>
      </c>
      <c r="J5708">
        <v>8</v>
      </c>
      <c r="K5708" s="19" t="s">
        <v>87</v>
      </c>
      <c r="L5708" s="19" t="s">
        <v>15</v>
      </c>
      <c r="M5708" s="19" t="s">
        <v>63</v>
      </c>
      <c r="N5708" t="b">
        <v>0</v>
      </c>
      <c r="O5708">
        <v>0</v>
      </c>
      <c r="P5708">
        <v>0</v>
      </c>
      <c r="Q5708">
        <v>1</v>
      </c>
      <c r="R5708">
        <v>0</v>
      </c>
    </row>
    <row r="5709" spans="1:18" x14ac:dyDescent="0.45">
      <c r="A5709" s="19" t="s">
        <v>7</v>
      </c>
      <c r="B5709" s="19" t="s">
        <v>63</v>
      </c>
      <c r="C5709">
        <v>3</v>
      </c>
      <c r="D5709">
        <v>3</v>
      </c>
      <c r="E5709">
        <v>1</v>
      </c>
      <c r="F5709" s="15">
        <v>46251</v>
      </c>
      <c r="G5709" s="19" t="s">
        <v>685</v>
      </c>
      <c r="H5709">
        <v>4</v>
      </c>
      <c r="I5709">
        <v>2026</v>
      </c>
      <c r="J5709">
        <v>8</v>
      </c>
      <c r="K5709" s="19" t="s">
        <v>87</v>
      </c>
      <c r="L5709" s="19" t="s">
        <v>28</v>
      </c>
      <c r="M5709" s="19" t="s">
        <v>63</v>
      </c>
      <c r="N5709" t="b">
        <v>0</v>
      </c>
      <c r="O5709">
        <v>0</v>
      </c>
      <c r="P5709">
        <v>0</v>
      </c>
      <c r="Q5709">
        <v>1</v>
      </c>
      <c r="R5709">
        <v>0</v>
      </c>
    </row>
    <row r="5710" spans="1:18" x14ac:dyDescent="0.45">
      <c r="A5710" s="19" t="s">
        <v>7</v>
      </c>
      <c r="B5710" s="19" t="s">
        <v>63</v>
      </c>
      <c r="C5710">
        <v>3</v>
      </c>
      <c r="D5710">
        <v>3</v>
      </c>
      <c r="E5710">
        <v>1</v>
      </c>
      <c r="F5710" s="15">
        <v>46251</v>
      </c>
      <c r="G5710" s="19" t="s">
        <v>685</v>
      </c>
      <c r="H5710">
        <v>4</v>
      </c>
      <c r="I5710">
        <v>2026</v>
      </c>
      <c r="J5710">
        <v>8</v>
      </c>
      <c r="K5710" s="19" t="s">
        <v>87</v>
      </c>
      <c r="L5710" s="19" t="s">
        <v>433</v>
      </c>
      <c r="M5710" s="19" t="s">
        <v>63</v>
      </c>
      <c r="N5710" t="b">
        <v>0</v>
      </c>
      <c r="O5710">
        <v>0</v>
      </c>
      <c r="P5710">
        <v>0</v>
      </c>
      <c r="Q5710">
        <v>1</v>
      </c>
      <c r="R5710">
        <v>0</v>
      </c>
    </row>
    <row r="5711" spans="1:18" x14ac:dyDescent="0.45">
      <c r="A5711" s="19" t="s">
        <v>433</v>
      </c>
      <c r="B5711" s="19" t="s">
        <v>63</v>
      </c>
      <c r="C5711">
        <v>4</v>
      </c>
      <c r="D5711">
        <v>3</v>
      </c>
      <c r="E5711">
        <v>1</v>
      </c>
      <c r="F5711" s="15">
        <v>46251</v>
      </c>
      <c r="G5711" s="19" t="s">
        <v>685</v>
      </c>
      <c r="H5711">
        <v>4</v>
      </c>
      <c r="I5711">
        <v>2026</v>
      </c>
      <c r="J5711">
        <v>8</v>
      </c>
      <c r="K5711" s="19" t="s">
        <v>87</v>
      </c>
      <c r="L5711" s="19" t="s">
        <v>15</v>
      </c>
      <c r="M5711" s="19" t="s">
        <v>63</v>
      </c>
      <c r="N5711" t="b">
        <v>0</v>
      </c>
      <c r="O5711">
        <v>0</v>
      </c>
      <c r="P5711">
        <v>0</v>
      </c>
      <c r="Q5711">
        <v>1</v>
      </c>
      <c r="R5711">
        <v>0</v>
      </c>
    </row>
    <row r="5712" spans="1:18" x14ac:dyDescent="0.45">
      <c r="A5712" s="19" t="s">
        <v>433</v>
      </c>
      <c r="B5712" s="19" t="s">
        <v>63</v>
      </c>
      <c r="C5712">
        <v>4</v>
      </c>
      <c r="D5712">
        <v>3</v>
      </c>
      <c r="E5712">
        <v>1</v>
      </c>
      <c r="F5712" s="15">
        <v>46251</v>
      </c>
      <c r="G5712" s="19" t="s">
        <v>685</v>
      </c>
      <c r="H5712">
        <v>4</v>
      </c>
      <c r="I5712">
        <v>2026</v>
      </c>
      <c r="J5712">
        <v>8</v>
      </c>
      <c r="K5712" s="19" t="s">
        <v>87</v>
      </c>
      <c r="L5712" s="19" t="s">
        <v>28</v>
      </c>
      <c r="M5712" s="19" t="s">
        <v>63</v>
      </c>
      <c r="N5712" t="b">
        <v>0</v>
      </c>
      <c r="O5712">
        <v>0</v>
      </c>
      <c r="P5712">
        <v>0</v>
      </c>
      <c r="Q5712">
        <v>1</v>
      </c>
      <c r="R5712">
        <v>0</v>
      </c>
    </row>
    <row r="5713" spans="1:18" x14ac:dyDescent="0.45">
      <c r="A5713" s="19" t="s">
        <v>433</v>
      </c>
      <c r="B5713" s="19" t="s">
        <v>63</v>
      </c>
      <c r="C5713">
        <v>4</v>
      </c>
      <c r="D5713">
        <v>3</v>
      </c>
      <c r="E5713">
        <v>1</v>
      </c>
      <c r="F5713" s="15">
        <v>46251</v>
      </c>
      <c r="G5713" s="19" t="s">
        <v>685</v>
      </c>
      <c r="H5713">
        <v>4</v>
      </c>
      <c r="I5713">
        <v>2026</v>
      </c>
      <c r="J5713">
        <v>8</v>
      </c>
      <c r="K5713" s="19" t="s">
        <v>87</v>
      </c>
      <c r="L5713" s="19" t="s">
        <v>7</v>
      </c>
      <c r="M5713" s="19" t="s">
        <v>63</v>
      </c>
      <c r="N5713" t="b">
        <v>0</v>
      </c>
      <c r="O5713">
        <v>0</v>
      </c>
      <c r="P5713">
        <v>0</v>
      </c>
      <c r="Q5713">
        <v>1</v>
      </c>
      <c r="R5713">
        <v>0</v>
      </c>
    </row>
    <row r="5714" spans="1:18" x14ac:dyDescent="0.45">
      <c r="A5714" s="19" t="s">
        <v>11</v>
      </c>
      <c r="B5714" s="19" t="s">
        <v>6</v>
      </c>
      <c r="C5714">
        <v>1</v>
      </c>
      <c r="D5714">
        <v>4</v>
      </c>
      <c r="E5714">
        <v>1</v>
      </c>
      <c r="F5714" s="15">
        <v>46251</v>
      </c>
      <c r="G5714" s="19" t="s">
        <v>686</v>
      </c>
      <c r="H5714">
        <v>4</v>
      </c>
      <c r="I5714">
        <v>2026</v>
      </c>
      <c r="J5714">
        <v>8</v>
      </c>
      <c r="K5714" s="19" t="s">
        <v>87</v>
      </c>
      <c r="L5714" s="19" t="s">
        <v>404</v>
      </c>
      <c r="M5714" s="19" t="s">
        <v>6</v>
      </c>
      <c r="N5714" t="b">
        <v>0</v>
      </c>
      <c r="O5714">
        <v>0</v>
      </c>
      <c r="P5714">
        <v>1</v>
      </c>
      <c r="Q5714">
        <v>0</v>
      </c>
      <c r="R5714">
        <v>0</v>
      </c>
    </row>
    <row r="5715" spans="1:18" x14ac:dyDescent="0.45">
      <c r="A5715" s="19" t="s">
        <v>11</v>
      </c>
      <c r="B5715" s="19" t="s">
        <v>6</v>
      </c>
      <c r="C5715">
        <v>1</v>
      </c>
      <c r="D5715">
        <v>4</v>
      </c>
      <c r="E5715">
        <v>1</v>
      </c>
      <c r="F5715" s="15">
        <v>46251</v>
      </c>
      <c r="G5715" s="19" t="s">
        <v>686</v>
      </c>
      <c r="H5715">
        <v>4</v>
      </c>
      <c r="I5715">
        <v>2026</v>
      </c>
      <c r="J5715">
        <v>8</v>
      </c>
      <c r="K5715" s="19" t="s">
        <v>87</v>
      </c>
      <c r="L5715" s="19" t="s">
        <v>27</v>
      </c>
      <c r="M5715" s="19" t="s">
        <v>8</v>
      </c>
      <c r="N5715" t="b">
        <v>0</v>
      </c>
      <c r="O5715">
        <v>0</v>
      </c>
      <c r="P5715">
        <v>1</v>
      </c>
      <c r="Q5715">
        <v>0</v>
      </c>
      <c r="R5715">
        <v>1</v>
      </c>
    </row>
    <row r="5716" spans="1:18" x14ac:dyDescent="0.45">
      <c r="A5716" s="19" t="s">
        <v>11</v>
      </c>
      <c r="B5716" s="19" t="s">
        <v>6</v>
      </c>
      <c r="C5716">
        <v>1</v>
      </c>
      <c r="D5716">
        <v>4</v>
      </c>
      <c r="E5716">
        <v>1</v>
      </c>
      <c r="F5716" s="15">
        <v>46251</v>
      </c>
      <c r="G5716" s="19" t="s">
        <v>686</v>
      </c>
      <c r="H5716">
        <v>4</v>
      </c>
      <c r="I5716">
        <v>2026</v>
      </c>
      <c r="J5716">
        <v>8</v>
      </c>
      <c r="K5716" s="19" t="s">
        <v>87</v>
      </c>
      <c r="L5716" s="19" t="s">
        <v>14</v>
      </c>
      <c r="M5716" s="19" t="s">
        <v>6</v>
      </c>
      <c r="N5716" t="b">
        <v>0</v>
      </c>
      <c r="O5716">
        <v>0</v>
      </c>
      <c r="P5716">
        <v>1</v>
      </c>
      <c r="Q5716">
        <v>0</v>
      </c>
      <c r="R5716">
        <v>0</v>
      </c>
    </row>
    <row r="5717" spans="1:18" x14ac:dyDescent="0.45">
      <c r="A5717" s="19" t="s">
        <v>404</v>
      </c>
      <c r="B5717" s="19" t="s">
        <v>6</v>
      </c>
      <c r="C5717">
        <v>2</v>
      </c>
      <c r="D5717">
        <v>4</v>
      </c>
      <c r="E5717">
        <v>1</v>
      </c>
      <c r="F5717" s="15">
        <v>46251</v>
      </c>
      <c r="G5717" s="19" t="s">
        <v>686</v>
      </c>
      <c r="H5717">
        <v>4</v>
      </c>
      <c r="I5717">
        <v>2026</v>
      </c>
      <c r="J5717">
        <v>8</v>
      </c>
      <c r="K5717" s="19" t="s">
        <v>87</v>
      </c>
      <c r="L5717" s="19" t="s">
        <v>11</v>
      </c>
      <c r="M5717" s="19" t="s">
        <v>6</v>
      </c>
      <c r="N5717" t="b">
        <v>0</v>
      </c>
      <c r="O5717">
        <v>0</v>
      </c>
      <c r="P5717">
        <v>1</v>
      </c>
      <c r="Q5717">
        <v>0</v>
      </c>
      <c r="R5717">
        <v>0</v>
      </c>
    </row>
    <row r="5718" spans="1:18" x14ac:dyDescent="0.45">
      <c r="A5718" s="19" t="s">
        <v>404</v>
      </c>
      <c r="B5718" s="19" t="s">
        <v>6</v>
      </c>
      <c r="C5718">
        <v>2</v>
      </c>
      <c r="D5718">
        <v>4</v>
      </c>
      <c r="E5718">
        <v>1</v>
      </c>
      <c r="F5718" s="15">
        <v>46251</v>
      </c>
      <c r="G5718" s="19" t="s">
        <v>686</v>
      </c>
      <c r="H5718">
        <v>4</v>
      </c>
      <c r="I5718">
        <v>2026</v>
      </c>
      <c r="J5718">
        <v>8</v>
      </c>
      <c r="K5718" s="19" t="s">
        <v>87</v>
      </c>
      <c r="L5718" s="19" t="s">
        <v>27</v>
      </c>
      <c r="M5718" s="19" t="s">
        <v>8</v>
      </c>
      <c r="N5718" t="b">
        <v>0</v>
      </c>
      <c r="O5718">
        <v>0</v>
      </c>
      <c r="P5718">
        <v>1</v>
      </c>
      <c r="Q5718">
        <v>0</v>
      </c>
      <c r="R5718">
        <v>1</v>
      </c>
    </row>
    <row r="5719" spans="1:18" x14ac:dyDescent="0.45">
      <c r="A5719" s="19" t="s">
        <v>404</v>
      </c>
      <c r="B5719" s="19" t="s">
        <v>6</v>
      </c>
      <c r="C5719">
        <v>2</v>
      </c>
      <c r="D5719">
        <v>4</v>
      </c>
      <c r="E5719">
        <v>1</v>
      </c>
      <c r="F5719" s="15">
        <v>46251</v>
      </c>
      <c r="G5719" s="19" t="s">
        <v>686</v>
      </c>
      <c r="H5719">
        <v>4</v>
      </c>
      <c r="I5719">
        <v>2026</v>
      </c>
      <c r="J5719">
        <v>8</v>
      </c>
      <c r="K5719" s="19" t="s">
        <v>87</v>
      </c>
      <c r="L5719" s="19" t="s">
        <v>14</v>
      </c>
      <c r="M5719" s="19" t="s">
        <v>6</v>
      </c>
      <c r="N5719" t="b">
        <v>0</v>
      </c>
      <c r="O5719">
        <v>0</v>
      </c>
      <c r="P5719">
        <v>1</v>
      </c>
      <c r="Q5719">
        <v>0</v>
      </c>
      <c r="R5719">
        <v>0</v>
      </c>
    </row>
    <row r="5720" spans="1:18" x14ac:dyDescent="0.45">
      <c r="A5720" s="19" t="s">
        <v>27</v>
      </c>
      <c r="B5720" s="19" t="s">
        <v>8</v>
      </c>
      <c r="C5720">
        <v>3</v>
      </c>
      <c r="D5720">
        <v>4</v>
      </c>
      <c r="E5720">
        <v>1</v>
      </c>
      <c r="F5720" s="15">
        <v>46251</v>
      </c>
      <c r="G5720" s="19" t="s">
        <v>686</v>
      </c>
      <c r="H5720">
        <v>4</v>
      </c>
      <c r="I5720">
        <v>2026</v>
      </c>
      <c r="J5720">
        <v>8</v>
      </c>
      <c r="K5720" s="19" t="s">
        <v>87</v>
      </c>
      <c r="L5720" s="19" t="s">
        <v>11</v>
      </c>
      <c r="M5720" s="19" t="s">
        <v>6</v>
      </c>
      <c r="N5720" t="b">
        <v>0</v>
      </c>
      <c r="O5720">
        <v>1</v>
      </c>
      <c r="P5720">
        <v>0</v>
      </c>
      <c r="Q5720">
        <v>0</v>
      </c>
      <c r="R5720">
        <v>0</v>
      </c>
    </row>
    <row r="5721" spans="1:18" x14ac:dyDescent="0.45">
      <c r="A5721" s="19" t="s">
        <v>27</v>
      </c>
      <c r="B5721" s="19" t="s">
        <v>8</v>
      </c>
      <c r="C5721">
        <v>3</v>
      </c>
      <c r="D5721">
        <v>4</v>
      </c>
      <c r="E5721">
        <v>1</v>
      </c>
      <c r="F5721" s="15">
        <v>46251</v>
      </c>
      <c r="G5721" s="19" t="s">
        <v>686</v>
      </c>
      <c r="H5721">
        <v>4</v>
      </c>
      <c r="I5721">
        <v>2026</v>
      </c>
      <c r="J5721">
        <v>8</v>
      </c>
      <c r="K5721" s="19" t="s">
        <v>87</v>
      </c>
      <c r="L5721" s="19" t="s">
        <v>404</v>
      </c>
      <c r="M5721" s="19" t="s">
        <v>6</v>
      </c>
      <c r="N5721" t="b">
        <v>0</v>
      </c>
      <c r="O5721">
        <v>1</v>
      </c>
      <c r="P5721">
        <v>0</v>
      </c>
      <c r="Q5721">
        <v>0</v>
      </c>
      <c r="R5721">
        <v>0</v>
      </c>
    </row>
    <row r="5722" spans="1:18" x14ac:dyDescent="0.45">
      <c r="A5722" s="19" t="s">
        <v>27</v>
      </c>
      <c r="B5722" s="19" t="s">
        <v>8</v>
      </c>
      <c r="C5722">
        <v>3</v>
      </c>
      <c r="D5722">
        <v>4</v>
      </c>
      <c r="E5722">
        <v>1</v>
      </c>
      <c r="F5722" s="15">
        <v>46251</v>
      </c>
      <c r="G5722" s="19" t="s">
        <v>686</v>
      </c>
      <c r="H5722">
        <v>4</v>
      </c>
      <c r="I5722">
        <v>2026</v>
      </c>
      <c r="J5722">
        <v>8</v>
      </c>
      <c r="K5722" s="19" t="s">
        <v>87</v>
      </c>
      <c r="L5722" s="19" t="s">
        <v>14</v>
      </c>
      <c r="M5722" s="19" t="s">
        <v>6</v>
      </c>
      <c r="N5722" t="b">
        <v>0</v>
      </c>
      <c r="O5722">
        <v>1</v>
      </c>
      <c r="P5722">
        <v>0</v>
      </c>
      <c r="Q5722">
        <v>0</v>
      </c>
      <c r="R5722">
        <v>0</v>
      </c>
    </row>
    <row r="5723" spans="1:18" x14ac:dyDescent="0.45">
      <c r="A5723" s="19" t="s">
        <v>14</v>
      </c>
      <c r="B5723" s="19" t="s">
        <v>6</v>
      </c>
      <c r="C5723">
        <v>4</v>
      </c>
      <c r="D5723">
        <v>4</v>
      </c>
      <c r="E5723">
        <v>1</v>
      </c>
      <c r="F5723" s="15">
        <v>46251</v>
      </c>
      <c r="G5723" s="19" t="s">
        <v>686</v>
      </c>
      <c r="H5723">
        <v>4</v>
      </c>
      <c r="I5723">
        <v>2026</v>
      </c>
      <c r="J5723">
        <v>8</v>
      </c>
      <c r="K5723" s="19" t="s">
        <v>87</v>
      </c>
      <c r="L5723" s="19" t="s">
        <v>11</v>
      </c>
      <c r="M5723" s="19" t="s">
        <v>6</v>
      </c>
      <c r="N5723" t="b">
        <v>0</v>
      </c>
      <c r="O5723">
        <v>0</v>
      </c>
      <c r="P5723">
        <v>1</v>
      </c>
      <c r="Q5723">
        <v>0</v>
      </c>
      <c r="R5723">
        <v>0</v>
      </c>
    </row>
    <row r="5724" spans="1:18" x14ac:dyDescent="0.45">
      <c r="A5724" s="19" t="s">
        <v>14</v>
      </c>
      <c r="B5724" s="19" t="s">
        <v>6</v>
      </c>
      <c r="C5724">
        <v>4</v>
      </c>
      <c r="D5724">
        <v>4</v>
      </c>
      <c r="E5724">
        <v>1</v>
      </c>
      <c r="F5724" s="15">
        <v>46251</v>
      </c>
      <c r="G5724" s="19" t="s">
        <v>686</v>
      </c>
      <c r="H5724">
        <v>4</v>
      </c>
      <c r="I5724">
        <v>2026</v>
      </c>
      <c r="J5724">
        <v>8</v>
      </c>
      <c r="K5724" s="19" t="s">
        <v>87</v>
      </c>
      <c r="L5724" s="19" t="s">
        <v>404</v>
      </c>
      <c r="M5724" s="19" t="s">
        <v>6</v>
      </c>
      <c r="N5724" t="b">
        <v>0</v>
      </c>
      <c r="O5724">
        <v>0</v>
      </c>
      <c r="P5724">
        <v>1</v>
      </c>
      <c r="Q5724">
        <v>0</v>
      </c>
      <c r="R5724">
        <v>0</v>
      </c>
    </row>
    <row r="5725" spans="1:18" x14ac:dyDescent="0.45">
      <c r="A5725" s="19" t="s">
        <v>14</v>
      </c>
      <c r="B5725" s="19" t="s">
        <v>6</v>
      </c>
      <c r="C5725">
        <v>4</v>
      </c>
      <c r="D5725">
        <v>4</v>
      </c>
      <c r="E5725">
        <v>1</v>
      </c>
      <c r="F5725" s="15">
        <v>46251</v>
      </c>
      <c r="G5725" s="19" t="s">
        <v>686</v>
      </c>
      <c r="H5725">
        <v>4</v>
      </c>
      <c r="I5725">
        <v>2026</v>
      </c>
      <c r="J5725">
        <v>8</v>
      </c>
      <c r="K5725" s="19" t="s">
        <v>87</v>
      </c>
      <c r="L5725" s="19" t="s">
        <v>27</v>
      </c>
      <c r="M5725" s="19" t="s">
        <v>8</v>
      </c>
      <c r="N5725" t="b">
        <v>0</v>
      </c>
      <c r="O5725">
        <v>0</v>
      </c>
      <c r="P5725">
        <v>1</v>
      </c>
      <c r="Q5725">
        <v>0</v>
      </c>
      <c r="R5725">
        <v>1</v>
      </c>
    </row>
    <row r="5726" spans="1:18" x14ac:dyDescent="0.45">
      <c r="A5726" s="19" t="s">
        <v>405</v>
      </c>
      <c r="B5726" s="19" t="s">
        <v>8</v>
      </c>
      <c r="C5726">
        <v>1</v>
      </c>
      <c r="D5726">
        <v>5</v>
      </c>
      <c r="E5726">
        <v>1</v>
      </c>
      <c r="F5726" s="15">
        <v>46251</v>
      </c>
      <c r="G5726" s="19" t="s">
        <v>687</v>
      </c>
      <c r="H5726">
        <v>3</v>
      </c>
      <c r="I5726">
        <v>2026</v>
      </c>
      <c r="J5726">
        <v>8</v>
      </c>
      <c r="K5726" s="19" t="s">
        <v>87</v>
      </c>
      <c r="L5726" s="19" t="s">
        <v>13</v>
      </c>
      <c r="M5726" s="19" t="s">
        <v>6</v>
      </c>
      <c r="N5726" t="b">
        <v>0</v>
      </c>
      <c r="O5726">
        <v>1</v>
      </c>
      <c r="P5726">
        <v>0</v>
      </c>
      <c r="Q5726">
        <v>0</v>
      </c>
      <c r="R5726">
        <v>0</v>
      </c>
    </row>
    <row r="5727" spans="1:18" x14ac:dyDescent="0.45">
      <c r="A5727" s="19" t="s">
        <v>405</v>
      </c>
      <c r="B5727" s="19" t="s">
        <v>8</v>
      </c>
      <c r="C5727">
        <v>1</v>
      </c>
      <c r="D5727">
        <v>5</v>
      </c>
      <c r="E5727">
        <v>1</v>
      </c>
      <c r="F5727" s="15">
        <v>46251</v>
      </c>
      <c r="G5727" s="19" t="s">
        <v>687</v>
      </c>
      <c r="H5727">
        <v>3</v>
      </c>
      <c r="I5727">
        <v>2026</v>
      </c>
      <c r="J5727">
        <v>8</v>
      </c>
      <c r="K5727" s="19" t="s">
        <v>87</v>
      </c>
      <c r="L5727" s="19" t="s">
        <v>622</v>
      </c>
      <c r="M5727" s="19" t="s">
        <v>6</v>
      </c>
      <c r="N5727" t="b">
        <v>0</v>
      </c>
      <c r="O5727">
        <v>1</v>
      </c>
      <c r="P5727">
        <v>0</v>
      </c>
      <c r="Q5727">
        <v>0</v>
      </c>
      <c r="R5727">
        <v>0</v>
      </c>
    </row>
    <row r="5728" spans="1:18" x14ac:dyDescent="0.45">
      <c r="A5728" s="19" t="s">
        <v>13</v>
      </c>
      <c r="B5728" s="19" t="s">
        <v>6</v>
      </c>
      <c r="C5728">
        <v>2</v>
      </c>
      <c r="D5728">
        <v>5</v>
      </c>
      <c r="E5728">
        <v>1</v>
      </c>
      <c r="F5728" s="15">
        <v>46251</v>
      </c>
      <c r="G5728" s="19" t="s">
        <v>687</v>
      </c>
      <c r="H5728">
        <v>3</v>
      </c>
      <c r="I5728">
        <v>2026</v>
      </c>
      <c r="J5728">
        <v>8</v>
      </c>
      <c r="K5728" s="19" t="s">
        <v>87</v>
      </c>
      <c r="L5728" s="19" t="s">
        <v>405</v>
      </c>
      <c r="M5728" s="19" t="s">
        <v>8</v>
      </c>
      <c r="N5728" t="b">
        <v>0</v>
      </c>
      <c r="O5728">
        <v>0</v>
      </c>
      <c r="P5728">
        <v>1</v>
      </c>
      <c r="Q5728">
        <v>0</v>
      </c>
      <c r="R5728">
        <v>1</v>
      </c>
    </row>
    <row r="5729" spans="1:18" x14ac:dyDescent="0.45">
      <c r="A5729" s="19" t="s">
        <v>13</v>
      </c>
      <c r="B5729" s="19" t="s">
        <v>6</v>
      </c>
      <c r="C5729">
        <v>2</v>
      </c>
      <c r="D5729">
        <v>5</v>
      </c>
      <c r="E5729">
        <v>1</v>
      </c>
      <c r="F5729" s="15">
        <v>46251</v>
      </c>
      <c r="G5729" s="19" t="s">
        <v>687</v>
      </c>
      <c r="H5729">
        <v>3</v>
      </c>
      <c r="I5729">
        <v>2026</v>
      </c>
      <c r="J5729">
        <v>8</v>
      </c>
      <c r="K5729" s="19" t="s">
        <v>87</v>
      </c>
      <c r="L5729" s="19" t="s">
        <v>622</v>
      </c>
      <c r="M5729" s="19" t="s">
        <v>6</v>
      </c>
      <c r="N5729" t="b">
        <v>0</v>
      </c>
      <c r="O5729">
        <v>0</v>
      </c>
      <c r="P5729">
        <v>1</v>
      </c>
      <c r="Q5729">
        <v>0</v>
      </c>
      <c r="R5729">
        <v>0</v>
      </c>
    </row>
    <row r="5730" spans="1:18" x14ac:dyDescent="0.45">
      <c r="A5730" s="19" t="s">
        <v>622</v>
      </c>
      <c r="B5730" s="19" t="s">
        <v>6</v>
      </c>
      <c r="C5730">
        <v>3</v>
      </c>
      <c r="D5730">
        <v>5</v>
      </c>
      <c r="E5730">
        <v>1</v>
      </c>
      <c r="F5730" s="15">
        <v>46251</v>
      </c>
      <c r="G5730" s="19" t="s">
        <v>687</v>
      </c>
      <c r="H5730">
        <v>3</v>
      </c>
      <c r="I5730">
        <v>2026</v>
      </c>
      <c r="J5730">
        <v>8</v>
      </c>
      <c r="K5730" s="19" t="s">
        <v>87</v>
      </c>
      <c r="L5730" s="19" t="s">
        <v>405</v>
      </c>
      <c r="M5730" s="19" t="s">
        <v>8</v>
      </c>
      <c r="N5730" t="b">
        <v>0</v>
      </c>
      <c r="O5730">
        <v>0</v>
      </c>
      <c r="P5730">
        <v>1</v>
      </c>
      <c r="Q5730">
        <v>0</v>
      </c>
      <c r="R5730">
        <v>1</v>
      </c>
    </row>
    <row r="5731" spans="1:18" x14ac:dyDescent="0.45">
      <c r="A5731" s="19" t="s">
        <v>622</v>
      </c>
      <c r="B5731" s="19" t="s">
        <v>6</v>
      </c>
      <c r="C5731">
        <v>3</v>
      </c>
      <c r="D5731">
        <v>5</v>
      </c>
      <c r="E5731">
        <v>1</v>
      </c>
      <c r="F5731" s="15">
        <v>46251</v>
      </c>
      <c r="G5731" s="19" t="s">
        <v>687</v>
      </c>
      <c r="H5731">
        <v>3</v>
      </c>
      <c r="I5731">
        <v>2026</v>
      </c>
      <c r="J5731">
        <v>8</v>
      </c>
      <c r="K5731" s="19" t="s">
        <v>87</v>
      </c>
      <c r="L5731" s="19" t="s">
        <v>13</v>
      </c>
      <c r="M5731" s="19" t="s">
        <v>6</v>
      </c>
      <c r="N5731" t="b">
        <v>0</v>
      </c>
      <c r="O5731">
        <v>0</v>
      </c>
      <c r="P5731">
        <v>1</v>
      </c>
      <c r="Q5731">
        <v>0</v>
      </c>
      <c r="R5731">
        <v>0</v>
      </c>
    </row>
    <row r="5732" spans="1:18" x14ac:dyDescent="0.45">
      <c r="A5732" s="19" t="s">
        <v>7</v>
      </c>
      <c r="B5732" s="19" t="s">
        <v>8</v>
      </c>
      <c r="C5732">
        <v>1</v>
      </c>
      <c r="D5732">
        <v>1</v>
      </c>
      <c r="E5732">
        <v>2</v>
      </c>
      <c r="F5732" s="15">
        <v>46251</v>
      </c>
      <c r="G5732" s="19" t="s">
        <v>688</v>
      </c>
      <c r="H5732">
        <v>3</v>
      </c>
      <c r="I5732">
        <v>2026</v>
      </c>
      <c r="J5732">
        <v>8</v>
      </c>
      <c r="K5732" s="19" t="s">
        <v>87</v>
      </c>
      <c r="L5732" s="19" t="s">
        <v>9</v>
      </c>
      <c r="M5732" s="19" t="s">
        <v>6</v>
      </c>
      <c r="N5732" t="b">
        <v>0</v>
      </c>
      <c r="O5732">
        <v>1</v>
      </c>
      <c r="P5732">
        <v>0</v>
      </c>
      <c r="Q5732">
        <v>0</v>
      </c>
      <c r="R5732">
        <v>0</v>
      </c>
    </row>
    <row r="5733" spans="1:18" x14ac:dyDescent="0.45">
      <c r="A5733" s="19" t="s">
        <v>7</v>
      </c>
      <c r="B5733" s="19" t="s">
        <v>8</v>
      </c>
      <c r="C5733">
        <v>1</v>
      </c>
      <c r="D5733">
        <v>1</v>
      </c>
      <c r="E5733">
        <v>2</v>
      </c>
      <c r="F5733" s="15">
        <v>46251</v>
      </c>
      <c r="G5733" s="19" t="s">
        <v>688</v>
      </c>
      <c r="H5733">
        <v>3</v>
      </c>
      <c r="I5733">
        <v>2026</v>
      </c>
      <c r="J5733">
        <v>8</v>
      </c>
      <c r="K5733" s="19" t="s">
        <v>87</v>
      </c>
      <c r="L5733" s="19" t="s">
        <v>693</v>
      </c>
      <c r="M5733" s="19" t="s">
        <v>6</v>
      </c>
      <c r="N5733" t="b">
        <v>0</v>
      </c>
      <c r="O5733">
        <v>1</v>
      </c>
      <c r="P5733">
        <v>0</v>
      </c>
      <c r="Q5733">
        <v>0</v>
      </c>
      <c r="R5733">
        <v>0</v>
      </c>
    </row>
    <row r="5734" spans="1:18" x14ac:dyDescent="0.45">
      <c r="A5734" s="19" t="s">
        <v>9</v>
      </c>
      <c r="B5734" s="19" t="s">
        <v>6</v>
      </c>
      <c r="C5734">
        <v>2</v>
      </c>
      <c r="D5734">
        <v>1</v>
      </c>
      <c r="E5734">
        <v>2</v>
      </c>
      <c r="F5734" s="15">
        <v>46251</v>
      </c>
      <c r="G5734" s="19" t="s">
        <v>688</v>
      </c>
      <c r="H5734">
        <v>3</v>
      </c>
      <c r="I5734">
        <v>2026</v>
      </c>
      <c r="J5734">
        <v>8</v>
      </c>
      <c r="K5734" s="19" t="s">
        <v>87</v>
      </c>
      <c r="L5734" s="19" t="s">
        <v>7</v>
      </c>
      <c r="M5734" s="19" t="s">
        <v>8</v>
      </c>
      <c r="N5734" t="b">
        <v>0</v>
      </c>
      <c r="O5734">
        <v>0</v>
      </c>
      <c r="P5734">
        <v>1</v>
      </c>
      <c r="Q5734">
        <v>0</v>
      </c>
      <c r="R5734">
        <v>1</v>
      </c>
    </row>
    <row r="5735" spans="1:18" x14ac:dyDescent="0.45">
      <c r="A5735" s="19" t="s">
        <v>9</v>
      </c>
      <c r="B5735" s="19" t="s">
        <v>6</v>
      </c>
      <c r="C5735">
        <v>2</v>
      </c>
      <c r="D5735">
        <v>1</v>
      </c>
      <c r="E5735">
        <v>2</v>
      </c>
      <c r="F5735" s="15">
        <v>46251</v>
      </c>
      <c r="G5735" s="19" t="s">
        <v>688</v>
      </c>
      <c r="H5735">
        <v>3</v>
      </c>
      <c r="I5735">
        <v>2026</v>
      </c>
      <c r="J5735">
        <v>8</v>
      </c>
      <c r="K5735" s="19" t="s">
        <v>87</v>
      </c>
      <c r="L5735" s="19" t="s">
        <v>693</v>
      </c>
      <c r="M5735" s="19" t="s">
        <v>6</v>
      </c>
      <c r="N5735" t="b">
        <v>0</v>
      </c>
      <c r="O5735">
        <v>0</v>
      </c>
      <c r="P5735">
        <v>1</v>
      </c>
      <c r="Q5735">
        <v>0</v>
      </c>
      <c r="R5735">
        <v>0</v>
      </c>
    </row>
    <row r="5736" spans="1:18" x14ac:dyDescent="0.45">
      <c r="A5736" s="19" t="s">
        <v>693</v>
      </c>
      <c r="B5736" s="19" t="s">
        <v>6</v>
      </c>
      <c r="C5736">
        <v>3</v>
      </c>
      <c r="D5736">
        <v>1</v>
      </c>
      <c r="E5736">
        <v>2</v>
      </c>
      <c r="F5736" s="15">
        <v>46251</v>
      </c>
      <c r="G5736" s="19" t="s">
        <v>688</v>
      </c>
      <c r="H5736">
        <v>3</v>
      </c>
      <c r="I5736">
        <v>2026</v>
      </c>
      <c r="J5736">
        <v>8</v>
      </c>
      <c r="K5736" s="19" t="s">
        <v>87</v>
      </c>
      <c r="L5736" s="19" t="s">
        <v>7</v>
      </c>
      <c r="M5736" s="19" t="s">
        <v>8</v>
      </c>
      <c r="N5736" t="b">
        <v>0</v>
      </c>
      <c r="O5736">
        <v>0</v>
      </c>
      <c r="P5736">
        <v>1</v>
      </c>
      <c r="Q5736">
        <v>0</v>
      </c>
      <c r="R5736">
        <v>1</v>
      </c>
    </row>
    <row r="5737" spans="1:18" x14ac:dyDescent="0.45">
      <c r="A5737" s="19" t="s">
        <v>693</v>
      </c>
      <c r="B5737" s="19" t="s">
        <v>6</v>
      </c>
      <c r="C5737">
        <v>3</v>
      </c>
      <c r="D5737">
        <v>1</v>
      </c>
      <c r="E5737">
        <v>2</v>
      </c>
      <c r="F5737" s="15">
        <v>46251</v>
      </c>
      <c r="G5737" s="19" t="s">
        <v>688</v>
      </c>
      <c r="H5737">
        <v>3</v>
      </c>
      <c r="I5737">
        <v>2026</v>
      </c>
      <c r="J5737">
        <v>8</v>
      </c>
      <c r="K5737" s="19" t="s">
        <v>87</v>
      </c>
      <c r="L5737" s="19" t="s">
        <v>9</v>
      </c>
      <c r="M5737" s="19" t="s">
        <v>6</v>
      </c>
      <c r="N5737" t="b">
        <v>0</v>
      </c>
      <c r="O5737">
        <v>0</v>
      </c>
      <c r="P5737">
        <v>1</v>
      </c>
      <c r="Q5737">
        <v>0</v>
      </c>
      <c r="R5737">
        <v>0</v>
      </c>
    </row>
    <row r="5738" spans="1:18" x14ac:dyDescent="0.45">
      <c r="A5738" s="19" t="s">
        <v>27</v>
      </c>
      <c r="B5738" s="19" t="s">
        <v>6</v>
      </c>
      <c r="C5738">
        <v>1</v>
      </c>
      <c r="D5738">
        <v>2</v>
      </c>
      <c r="E5738">
        <v>2</v>
      </c>
      <c r="F5738" s="15">
        <v>46251</v>
      </c>
      <c r="G5738" s="19" t="s">
        <v>689</v>
      </c>
      <c r="H5738">
        <v>4</v>
      </c>
      <c r="I5738">
        <v>2026</v>
      </c>
      <c r="J5738">
        <v>8</v>
      </c>
      <c r="K5738" s="19" t="s">
        <v>87</v>
      </c>
      <c r="L5738" s="19" t="s">
        <v>622</v>
      </c>
      <c r="M5738" s="19" t="s">
        <v>6</v>
      </c>
      <c r="N5738" t="b">
        <v>0</v>
      </c>
      <c r="O5738">
        <v>0</v>
      </c>
      <c r="P5738">
        <v>1</v>
      </c>
      <c r="Q5738">
        <v>0</v>
      </c>
      <c r="R5738">
        <v>0</v>
      </c>
    </row>
    <row r="5739" spans="1:18" x14ac:dyDescent="0.45">
      <c r="A5739" s="19" t="s">
        <v>27</v>
      </c>
      <c r="B5739" s="19" t="s">
        <v>6</v>
      </c>
      <c r="C5739">
        <v>1</v>
      </c>
      <c r="D5739">
        <v>2</v>
      </c>
      <c r="E5739">
        <v>2</v>
      </c>
      <c r="F5739" s="15">
        <v>46251</v>
      </c>
      <c r="G5739" s="19" t="s">
        <v>689</v>
      </c>
      <c r="H5739">
        <v>4</v>
      </c>
      <c r="I5739">
        <v>2026</v>
      </c>
      <c r="J5739">
        <v>8</v>
      </c>
      <c r="K5739" s="19" t="s">
        <v>87</v>
      </c>
      <c r="L5739" s="19" t="s">
        <v>578</v>
      </c>
      <c r="M5739" s="19" t="s">
        <v>8</v>
      </c>
      <c r="N5739" t="b">
        <v>0</v>
      </c>
      <c r="O5739">
        <v>0</v>
      </c>
      <c r="P5739">
        <v>1</v>
      </c>
      <c r="Q5739">
        <v>0</v>
      </c>
      <c r="R5739">
        <v>1</v>
      </c>
    </row>
    <row r="5740" spans="1:18" x14ac:dyDescent="0.45">
      <c r="A5740" s="19" t="s">
        <v>27</v>
      </c>
      <c r="B5740" s="19" t="s">
        <v>6</v>
      </c>
      <c r="C5740">
        <v>1</v>
      </c>
      <c r="D5740">
        <v>2</v>
      </c>
      <c r="E5740">
        <v>2</v>
      </c>
      <c r="F5740" s="15">
        <v>46251</v>
      </c>
      <c r="G5740" s="19" t="s">
        <v>689</v>
      </c>
      <c r="H5740">
        <v>4</v>
      </c>
      <c r="I5740">
        <v>2026</v>
      </c>
      <c r="J5740">
        <v>8</v>
      </c>
      <c r="K5740" s="19" t="s">
        <v>87</v>
      </c>
      <c r="L5740" s="19" t="s">
        <v>19</v>
      </c>
      <c r="M5740" s="19" t="s">
        <v>6</v>
      </c>
      <c r="N5740" t="b">
        <v>0</v>
      </c>
      <c r="O5740">
        <v>0</v>
      </c>
      <c r="P5740">
        <v>1</v>
      </c>
      <c r="Q5740">
        <v>0</v>
      </c>
      <c r="R5740">
        <v>0</v>
      </c>
    </row>
    <row r="5741" spans="1:18" x14ac:dyDescent="0.45">
      <c r="A5741" s="19" t="s">
        <v>622</v>
      </c>
      <c r="B5741" s="19" t="s">
        <v>6</v>
      </c>
      <c r="C5741">
        <v>2</v>
      </c>
      <c r="D5741">
        <v>2</v>
      </c>
      <c r="E5741">
        <v>2</v>
      </c>
      <c r="F5741" s="15">
        <v>46251</v>
      </c>
      <c r="G5741" s="19" t="s">
        <v>689</v>
      </c>
      <c r="H5741">
        <v>4</v>
      </c>
      <c r="I5741">
        <v>2026</v>
      </c>
      <c r="J5741">
        <v>8</v>
      </c>
      <c r="K5741" s="19" t="s">
        <v>87</v>
      </c>
      <c r="L5741" s="19" t="s">
        <v>27</v>
      </c>
      <c r="M5741" s="19" t="s">
        <v>6</v>
      </c>
      <c r="N5741" t="b">
        <v>0</v>
      </c>
      <c r="O5741">
        <v>0</v>
      </c>
      <c r="P5741">
        <v>1</v>
      </c>
      <c r="Q5741">
        <v>0</v>
      </c>
      <c r="R5741">
        <v>0</v>
      </c>
    </row>
    <row r="5742" spans="1:18" x14ac:dyDescent="0.45">
      <c r="A5742" s="19" t="s">
        <v>622</v>
      </c>
      <c r="B5742" s="19" t="s">
        <v>6</v>
      </c>
      <c r="C5742">
        <v>2</v>
      </c>
      <c r="D5742">
        <v>2</v>
      </c>
      <c r="E5742">
        <v>2</v>
      </c>
      <c r="F5742" s="15">
        <v>46251</v>
      </c>
      <c r="G5742" s="19" t="s">
        <v>689</v>
      </c>
      <c r="H5742">
        <v>4</v>
      </c>
      <c r="I5742">
        <v>2026</v>
      </c>
      <c r="J5742">
        <v>8</v>
      </c>
      <c r="K5742" s="19" t="s">
        <v>87</v>
      </c>
      <c r="L5742" s="19" t="s">
        <v>578</v>
      </c>
      <c r="M5742" s="19" t="s">
        <v>8</v>
      </c>
      <c r="N5742" t="b">
        <v>0</v>
      </c>
      <c r="O5742">
        <v>0</v>
      </c>
      <c r="P5742">
        <v>1</v>
      </c>
      <c r="Q5742">
        <v>0</v>
      </c>
      <c r="R5742">
        <v>1</v>
      </c>
    </row>
    <row r="5743" spans="1:18" x14ac:dyDescent="0.45">
      <c r="A5743" s="19" t="s">
        <v>622</v>
      </c>
      <c r="B5743" s="19" t="s">
        <v>6</v>
      </c>
      <c r="C5743">
        <v>2</v>
      </c>
      <c r="D5743">
        <v>2</v>
      </c>
      <c r="E5743">
        <v>2</v>
      </c>
      <c r="F5743" s="15">
        <v>46251</v>
      </c>
      <c r="G5743" s="19" t="s">
        <v>689</v>
      </c>
      <c r="H5743">
        <v>4</v>
      </c>
      <c r="I5743">
        <v>2026</v>
      </c>
      <c r="J5743">
        <v>8</v>
      </c>
      <c r="K5743" s="19" t="s">
        <v>87</v>
      </c>
      <c r="L5743" s="19" t="s">
        <v>19</v>
      </c>
      <c r="M5743" s="19" t="s">
        <v>6</v>
      </c>
      <c r="N5743" t="b">
        <v>0</v>
      </c>
      <c r="O5743">
        <v>0</v>
      </c>
      <c r="P5743">
        <v>1</v>
      </c>
      <c r="Q5743">
        <v>0</v>
      </c>
      <c r="R5743">
        <v>0</v>
      </c>
    </row>
    <row r="5744" spans="1:18" x14ac:dyDescent="0.45">
      <c r="A5744" s="19" t="s">
        <v>578</v>
      </c>
      <c r="B5744" s="19" t="s">
        <v>8</v>
      </c>
      <c r="C5744">
        <v>3</v>
      </c>
      <c r="D5744">
        <v>2</v>
      </c>
      <c r="E5744">
        <v>2</v>
      </c>
      <c r="F5744" s="15">
        <v>46251</v>
      </c>
      <c r="G5744" s="19" t="s">
        <v>689</v>
      </c>
      <c r="H5744">
        <v>4</v>
      </c>
      <c r="I5744">
        <v>2026</v>
      </c>
      <c r="J5744">
        <v>8</v>
      </c>
      <c r="K5744" s="19" t="s">
        <v>87</v>
      </c>
      <c r="L5744" s="19" t="s">
        <v>27</v>
      </c>
      <c r="M5744" s="19" t="s">
        <v>6</v>
      </c>
      <c r="N5744" t="b">
        <v>0</v>
      </c>
      <c r="O5744">
        <v>1</v>
      </c>
      <c r="P5744">
        <v>0</v>
      </c>
      <c r="Q5744">
        <v>0</v>
      </c>
      <c r="R5744">
        <v>0</v>
      </c>
    </row>
    <row r="5745" spans="1:18" x14ac:dyDescent="0.45">
      <c r="A5745" s="19" t="s">
        <v>578</v>
      </c>
      <c r="B5745" s="19" t="s">
        <v>8</v>
      </c>
      <c r="C5745">
        <v>3</v>
      </c>
      <c r="D5745">
        <v>2</v>
      </c>
      <c r="E5745">
        <v>2</v>
      </c>
      <c r="F5745" s="15">
        <v>46251</v>
      </c>
      <c r="G5745" s="19" t="s">
        <v>689</v>
      </c>
      <c r="H5745">
        <v>4</v>
      </c>
      <c r="I5745">
        <v>2026</v>
      </c>
      <c r="J5745">
        <v>8</v>
      </c>
      <c r="K5745" s="19" t="s">
        <v>87</v>
      </c>
      <c r="L5745" s="19" t="s">
        <v>622</v>
      </c>
      <c r="M5745" s="19" t="s">
        <v>6</v>
      </c>
      <c r="N5745" t="b">
        <v>0</v>
      </c>
      <c r="O5745">
        <v>1</v>
      </c>
      <c r="P5745">
        <v>0</v>
      </c>
      <c r="Q5745">
        <v>0</v>
      </c>
      <c r="R5745">
        <v>0</v>
      </c>
    </row>
    <row r="5746" spans="1:18" x14ac:dyDescent="0.45">
      <c r="A5746" s="19" t="s">
        <v>578</v>
      </c>
      <c r="B5746" s="19" t="s">
        <v>8</v>
      </c>
      <c r="C5746">
        <v>3</v>
      </c>
      <c r="D5746">
        <v>2</v>
      </c>
      <c r="E5746">
        <v>2</v>
      </c>
      <c r="F5746" s="15">
        <v>46251</v>
      </c>
      <c r="G5746" s="19" t="s">
        <v>689</v>
      </c>
      <c r="H5746">
        <v>4</v>
      </c>
      <c r="I5746">
        <v>2026</v>
      </c>
      <c r="J5746">
        <v>8</v>
      </c>
      <c r="K5746" s="19" t="s">
        <v>87</v>
      </c>
      <c r="L5746" s="19" t="s">
        <v>19</v>
      </c>
      <c r="M5746" s="19" t="s">
        <v>6</v>
      </c>
      <c r="N5746" t="b">
        <v>0</v>
      </c>
      <c r="O5746">
        <v>1</v>
      </c>
      <c r="P5746">
        <v>0</v>
      </c>
      <c r="Q5746">
        <v>0</v>
      </c>
      <c r="R5746">
        <v>0</v>
      </c>
    </row>
    <row r="5747" spans="1:18" x14ac:dyDescent="0.45">
      <c r="A5747" s="19" t="s">
        <v>19</v>
      </c>
      <c r="B5747" s="19" t="s">
        <v>6</v>
      </c>
      <c r="C5747">
        <v>4</v>
      </c>
      <c r="D5747">
        <v>2</v>
      </c>
      <c r="E5747">
        <v>2</v>
      </c>
      <c r="F5747" s="15">
        <v>46251</v>
      </c>
      <c r="G5747" s="19" t="s">
        <v>689</v>
      </c>
      <c r="H5747">
        <v>4</v>
      </c>
      <c r="I5747">
        <v>2026</v>
      </c>
      <c r="J5747">
        <v>8</v>
      </c>
      <c r="K5747" s="19" t="s">
        <v>87</v>
      </c>
      <c r="L5747" s="19" t="s">
        <v>27</v>
      </c>
      <c r="M5747" s="19" t="s">
        <v>6</v>
      </c>
      <c r="N5747" t="b">
        <v>0</v>
      </c>
      <c r="O5747">
        <v>0</v>
      </c>
      <c r="P5747">
        <v>1</v>
      </c>
      <c r="Q5747">
        <v>0</v>
      </c>
      <c r="R5747">
        <v>0</v>
      </c>
    </row>
    <row r="5748" spans="1:18" x14ac:dyDescent="0.45">
      <c r="A5748" s="19" t="s">
        <v>19</v>
      </c>
      <c r="B5748" s="19" t="s">
        <v>6</v>
      </c>
      <c r="C5748">
        <v>4</v>
      </c>
      <c r="D5748">
        <v>2</v>
      </c>
      <c r="E5748">
        <v>2</v>
      </c>
      <c r="F5748" s="15">
        <v>46251</v>
      </c>
      <c r="G5748" s="19" t="s">
        <v>689</v>
      </c>
      <c r="H5748">
        <v>4</v>
      </c>
      <c r="I5748">
        <v>2026</v>
      </c>
      <c r="J5748">
        <v>8</v>
      </c>
      <c r="K5748" s="19" t="s">
        <v>87</v>
      </c>
      <c r="L5748" s="19" t="s">
        <v>622</v>
      </c>
      <c r="M5748" s="19" t="s">
        <v>6</v>
      </c>
      <c r="N5748" t="b">
        <v>0</v>
      </c>
      <c r="O5748">
        <v>0</v>
      </c>
      <c r="P5748">
        <v>1</v>
      </c>
      <c r="Q5748">
        <v>0</v>
      </c>
      <c r="R5748">
        <v>0</v>
      </c>
    </row>
    <row r="5749" spans="1:18" x14ac:dyDescent="0.45">
      <c r="A5749" s="19" t="s">
        <v>19</v>
      </c>
      <c r="B5749" s="19" t="s">
        <v>6</v>
      </c>
      <c r="C5749">
        <v>4</v>
      </c>
      <c r="D5749">
        <v>2</v>
      </c>
      <c r="E5749">
        <v>2</v>
      </c>
      <c r="F5749" s="15">
        <v>46251</v>
      </c>
      <c r="G5749" s="19" t="s">
        <v>689</v>
      </c>
      <c r="H5749">
        <v>4</v>
      </c>
      <c r="I5749">
        <v>2026</v>
      </c>
      <c r="J5749">
        <v>8</v>
      </c>
      <c r="K5749" s="19" t="s">
        <v>87</v>
      </c>
      <c r="L5749" s="19" t="s">
        <v>578</v>
      </c>
      <c r="M5749" s="19" t="s">
        <v>8</v>
      </c>
      <c r="N5749" t="b">
        <v>0</v>
      </c>
      <c r="O5749">
        <v>0</v>
      </c>
      <c r="P5749">
        <v>1</v>
      </c>
      <c r="Q5749">
        <v>0</v>
      </c>
      <c r="R5749">
        <v>1</v>
      </c>
    </row>
    <row r="5750" spans="1:18" x14ac:dyDescent="0.45">
      <c r="A5750" s="19" t="s">
        <v>352</v>
      </c>
      <c r="B5750" s="19" t="s">
        <v>6</v>
      </c>
      <c r="C5750">
        <v>1</v>
      </c>
      <c r="D5750">
        <v>3</v>
      </c>
      <c r="E5750">
        <v>2</v>
      </c>
      <c r="F5750" s="15">
        <v>46251</v>
      </c>
      <c r="G5750" s="19" t="s">
        <v>690</v>
      </c>
      <c r="H5750">
        <v>4</v>
      </c>
      <c r="I5750">
        <v>2026</v>
      </c>
      <c r="J5750">
        <v>8</v>
      </c>
      <c r="K5750" s="19" t="s">
        <v>87</v>
      </c>
      <c r="L5750" s="19" t="s">
        <v>14</v>
      </c>
      <c r="M5750" s="19" t="s">
        <v>6</v>
      </c>
      <c r="N5750" t="b">
        <v>0</v>
      </c>
      <c r="O5750">
        <v>0</v>
      </c>
      <c r="P5750">
        <v>1</v>
      </c>
      <c r="Q5750">
        <v>0</v>
      </c>
      <c r="R5750">
        <v>0</v>
      </c>
    </row>
    <row r="5751" spans="1:18" x14ac:dyDescent="0.45">
      <c r="A5751" s="19" t="s">
        <v>352</v>
      </c>
      <c r="B5751" s="19" t="s">
        <v>6</v>
      </c>
      <c r="C5751">
        <v>1</v>
      </c>
      <c r="D5751">
        <v>3</v>
      </c>
      <c r="E5751">
        <v>2</v>
      </c>
      <c r="F5751" s="15">
        <v>46251</v>
      </c>
      <c r="G5751" s="19" t="s">
        <v>690</v>
      </c>
      <c r="H5751">
        <v>4</v>
      </c>
      <c r="I5751">
        <v>2026</v>
      </c>
      <c r="J5751">
        <v>8</v>
      </c>
      <c r="K5751" s="19" t="s">
        <v>87</v>
      </c>
      <c r="L5751" s="19" t="s">
        <v>13</v>
      </c>
      <c r="M5751" s="19" t="s">
        <v>6</v>
      </c>
      <c r="N5751" t="b">
        <v>0</v>
      </c>
      <c r="O5751">
        <v>0</v>
      </c>
      <c r="P5751">
        <v>1</v>
      </c>
      <c r="Q5751">
        <v>0</v>
      </c>
      <c r="R5751">
        <v>0</v>
      </c>
    </row>
    <row r="5752" spans="1:18" x14ac:dyDescent="0.45">
      <c r="A5752" s="19" t="s">
        <v>352</v>
      </c>
      <c r="B5752" s="19" t="s">
        <v>6</v>
      </c>
      <c r="C5752">
        <v>1</v>
      </c>
      <c r="D5752">
        <v>3</v>
      </c>
      <c r="E5752">
        <v>2</v>
      </c>
      <c r="F5752" s="15">
        <v>46251</v>
      </c>
      <c r="G5752" s="19" t="s">
        <v>690</v>
      </c>
      <c r="H5752">
        <v>4</v>
      </c>
      <c r="I5752">
        <v>2026</v>
      </c>
      <c r="J5752">
        <v>8</v>
      </c>
      <c r="K5752" s="19" t="s">
        <v>87</v>
      </c>
      <c r="L5752" s="19" t="s">
        <v>405</v>
      </c>
      <c r="M5752" s="19" t="s">
        <v>8</v>
      </c>
      <c r="N5752" t="b">
        <v>0</v>
      </c>
      <c r="O5752">
        <v>0</v>
      </c>
      <c r="P5752">
        <v>1</v>
      </c>
      <c r="Q5752">
        <v>0</v>
      </c>
      <c r="R5752">
        <v>1</v>
      </c>
    </row>
    <row r="5753" spans="1:18" x14ac:dyDescent="0.45">
      <c r="A5753" s="19" t="s">
        <v>14</v>
      </c>
      <c r="B5753" s="19" t="s">
        <v>6</v>
      </c>
      <c r="C5753">
        <v>2</v>
      </c>
      <c r="D5753">
        <v>3</v>
      </c>
      <c r="E5753">
        <v>2</v>
      </c>
      <c r="F5753" s="15">
        <v>46251</v>
      </c>
      <c r="G5753" s="19" t="s">
        <v>690</v>
      </c>
      <c r="H5753">
        <v>4</v>
      </c>
      <c r="I5753">
        <v>2026</v>
      </c>
      <c r="J5753">
        <v>8</v>
      </c>
      <c r="K5753" s="19" t="s">
        <v>87</v>
      </c>
      <c r="L5753" s="19" t="s">
        <v>352</v>
      </c>
      <c r="M5753" s="19" t="s">
        <v>6</v>
      </c>
      <c r="N5753" t="b">
        <v>0</v>
      </c>
      <c r="O5753">
        <v>0</v>
      </c>
      <c r="P5753">
        <v>1</v>
      </c>
      <c r="Q5753">
        <v>0</v>
      </c>
      <c r="R5753">
        <v>0</v>
      </c>
    </row>
    <row r="5754" spans="1:18" x14ac:dyDescent="0.45">
      <c r="A5754" s="19" t="s">
        <v>14</v>
      </c>
      <c r="B5754" s="19" t="s">
        <v>6</v>
      </c>
      <c r="C5754">
        <v>2</v>
      </c>
      <c r="D5754">
        <v>3</v>
      </c>
      <c r="E5754">
        <v>2</v>
      </c>
      <c r="F5754" s="15">
        <v>46251</v>
      </c>
      <c r="G5754" s="19" t="s">
        <v>690</v>
      </c>
      <c r="H5754">
        <v>4</v>
      </c>
      <c r="I5754">
        <v>2026</v>
      </c>
      <c r="J5754">
        <v>8</v>
      </c>
      <c r="K5754" s="19" t="s">
        <v>87</v>
      </c>
      <c r="L5754" s="19" t="s">
        <v>13</v>
      </c>
      <c r="M5754" s="19" t="s">
        <v>6</v>
      </c>
      <c r="N5754" t="b">
        <v>0</v>
      </c>
      <c r="O5754">
        <v>0</v>
      </c>
      <c r="P5754">
        <v>1</v>
      </c>
      <c r="Q5754">
        <v>0</v>
      </c>
      <c r="R5754">
        <v>0</v>
      </c>
    </row>
    <row r="5755" spans="1:18" x14ac:dyDescent="0.45">
      <c r="A5755" s="19" t="s">
        <v>14</v>
      </c>
      <c r="B5755" s="19" t="s">
        <v>6</v>
      </c>
      <c r="C5755">
        <v>2</v>
      </c>
      <c r="D5755">
        <v>3</v>
      </c>
      <c r="E5755">
        <v>2</v>
      </c>
      <c r="F5755" s="15">
        <v>46251</v>
      </c>
      <c r="G5755" s="19" t="s">
        <v>690</v>
      </c>
      <c r="H5755">
        <v>4</v>
      </c>
      <c r="I5755">
        <v>2026</v>
      </c>
      <c r="J5755">
        <v>8</v>
      </c>
      <c r="K5755" s="19" t="s">
        <v>87</v>
      </c>
      <c r="L5755" s="19" t="s">
        <v>405</v>
      </c>
      <c r="M5755" s="19" t="s">
        <v>8</v>
      </c>
      <c r="N5755" t="b">
        <v>0</v>
      </c>
      <c r="O5755">
        <v>0</v>
      </c>
      <c r="P5755">
        <v>1</v>
      </c>
      <c r="Q5755">
        <v>0</v>
      </c>
      <c r="R5755">
        <v>1</v>
      </c>
    </row>
    <row r="5756" spans="1:18" x14ac:dyDescent="0.45">
      <c r="A5756" s="19" t="s">
        <v>13</v>
      </c>
      <c r="B5756" s="19" t="s">
        <v>6</v>
      </c>
      <c r="C5756">
        <v>3</v>
      </c>
      <c r="D5756">
        <v>3</v>
      </c>
      <c r="E5756">
        <v>2</v>
      </c>
      <c r="F5756" s="15">
        <v>46251</v>
      </c>
      <c r="G5756" s="19" t="s">
        <v>690</v>
      </c>
      <c r="H5756">
        <v>4</v>
      </c>
      <c r="I5756">
        <v>2026</v>
      </c>
      <c r="J5756">
        <v>8</v>
      </c>
      <c r="K5756" s="19" t="s">
        <v>87</v>
      </c>
      <c r="L5756" s="19" t="s">
        <v>352</v>
      </c>
      <c r="M5756" s="19" t="s">
        <v>6</v>
      </c>
      <c r="N5756" t="b">
        <v>0</v>
      </c>
      <c r="O5756">
        <v>0</v>
      </c>
      <c r="P5756">
        <v>1</v>
      </c>
      <c r="Q5756">
        <v>0</v>
      </c>
      <c r="R5756">
        <v>0</v>
      </c>
    </row>
    <row r="5757" spans="1:18" x14ac:dyDescent="0.45">
      <c r="A5757" s="19" t="s">
        <v>13</v>
      </c>
      <c r="B5757" s="19" t="s">
        <v>6</v>
      </c>
      <c r="C5757">
        <v>3</v>
      </c>
      <c r="D5757">
        <v>3</v>
      </c>
      <c r="E5757">
        <v>2</v>
      </c>
      <c r="F5757" s="15">
        <v>46251</v>
      </c>
      <c r="G5757" s="19" t="s">
        <v>690</v>
      </c>
      <c r="H5757">
        <v>4</v>
      </c>
      <c r="I5757">
        <v>2026</v>
      </c>
      <c r="J5757">
        <v>8</v>
      </c>
      <c r="K5757" s="19" t="s">
        <v>87</v>
      </c>
      <c r="L5757" s="19" t="s">
        <v>14</v>
      </c>
      <c r="M5757" s="19" t="s">
        <v>6</v>
      </c>
      <c r="N5757" t="b">
        <v>0</v>
      </c>
      <c r="O5757">
        <v>0</v>
      </c>
      <c r="P5757">
        <v>1</v>
      </c>
      <c r="Q5757">
        <v>0</v>
      </c>
      <c r="R5757">
        <v>0</v>
      </c>
    </row>
    <row r="5758" spans="1:18" x14ac:dyDescent="0.45">
      <c r="A5758" s="19" t="s">
        <v>13</v>
      </c>
      <c r="B5758" s="19" t="s">
        <v>6</v>
      </c>
      <c r="C5758">
        <v>3</v>
      </c>
      <c r="D5758">
        <v>3</v>
      </c>
      <c r="E5758">
        <v>2</v>
      </c>
      <c r="F5758" s="15">
        <v>46251</v>
      </c>
      <c r="G5758" s="19" t="s">
        <v>690</v>
      </c>
      <c r="H5758">
        <v>4</v>
      </c>
      <c r="I5758">
        <v>2026</v>
      </c>
      <c r="J5758">
        <v>8</v>
      </c>
      <c r="K5758" s="19" t="s">
        <v>87</v>
      </c>
      <c r="L5758" s="19" t="s">
        <v>405</v>
      </c>
      <c r="M5758" s="19" t="s">
        <v>8</v>
      </c>
      <c r="N5758" t="b">
        <v>0</v>
      </c>
      <c r="O5758">
        <v>0</v>
      </c>
      <c r="P5758">
        <v>1</v>
      </c>
      <c r="Q5758">
        <v>0</v>
      </c>
      <c r="R5758">
        <v>1</v>
      </c>
    </row>
    <row r="5759" spans="1:18" x14ac:dyDescent="0.45">
      <c r="A5759" s="19" t="s">
        <v>405</v>
      </c>
      <c r="B5759" s="19" t="s">
        <v>8</v>
      </c>
      <c r="C5759">
        <v>4</v>
      </c>
      <c r="D5759">
        <v>3</v>
      </c>
      <c r="E5759">
        <v>2</v>
      </c>
      <c r="F5759" s="15">
        <v>46251</v>
      </c>
      <c r="G5759" s="19" t="s">
        <v>690</v>
      </c>
      <c r="H5759">
        <v>4</v>
      </c>
      <c r="I5759">
        <v>2026</v>
      </c>
      <c r="J5759">
        <v>8</v>
      </c>
      <c r="K5759" s="19" t="s">
        <v>87</v>
      </c>
      <c r="L5759" s="19" t="s">
        <v>352</v>
      </c>
      <c r="M5759" s="19" t="s">
        <v>6</v>
      </c>
      <c r="N5759" t="b">
        <v>0</v>
      </c>
      <c r="O5759">
        <v>1</v>
      </c>
      <c r="P5759">
        <v>0</v>
      </c>
      <c r="Q5759">
        <v>0</v>
      </c>
      <c r="R5759">
        <v>0</v>
      </c>
    </row>
    <row r="5760" spans="1:18" x14ac:dyDescent="0.45">
      <c r="A5760" s="19" t="s">
        <v>405</v>
      </c>
      <c r="B5760" s="19" t="s">
        <v>8</v>
      </c>
      <c r="C5760">
        <v>4</v>
      </c>
      <c r="D5760">
        <v>3</v>
      </c>
      <c r="E5760">
        <v>2</v>
      </c>
      <c r="F5760" s="15">
        <v>46251</v>
      </c>
      <c r="G5760" s="19" t="s">
        <v>690</v>
      </c>
      <c r="H5760">
        <v>4</v>
      </c>
      <c r="I5760">
        <v>2026</v>
      </c>
      <c r="J5760">
        <v>8</v>
      </c>
      <c r="K5760" s="19" t="s">
        <v>87</v>
      </c>
      <c r="L5760" s="19" t="s">
        <v>14</v>
      </c>
      <c r="M5760" s="19" t="s">
        <v>6</v>
      </c>
      <c r="N5760" t="b">
        <v>0</v>
      </c>
      <c r="O5760">
        <v>1</v>
      </c>
      <c r="P5760">
        <v>0</v>
      </c>
      <c r="Q5760">
        <v>0</v>
      </c>
      <c r="R5760">
        <v>0</v>
      </c>
    </row>
    <row r="5761" spans="1:18" x14ac:dyDescent="0.45">
      <c r="A5761" s="19" t="s">
        <v>405</v>
      </c>
      <c r="B5761" s="19" t="s">
        <v>8</v>
      </c>
      <c r="C5761">
        <v>4</v>
      </c>
      <c r="D5761">
        <v>3</v>
      </c>
      <c r="E5761">
        <v>2</v>
      </c>
      <c r="F5761" s="15">
        <v>46251</v>
      </c>
      <c r="G5761" s="19" t="s">
        <v>690</v>
      </c>
      <c r="H5761">
        <v>4</v>
      </c>
      <c r="I5761">
        <v>2026</v>
      </c>
      <c r="J5761">
        <v>8</v>
      </c>
      <c r="K5761" s="19" t="s">
        <v>87</v>
      </c>
      <c r="L5761" s="19" t="s">
        <v>13</v>
      </c>
      <c r="M5761" s="19" t="s">
        <v>6</v>
      </c>
      <c r="N5761" t="b">
        <v>0</v>
      </c>
      <c r="O5761">
        <v>1</v>
      </c>
      <c r="P5761">
        <v>0</v>
      </c>
      <c r="Q5761">
        <v>0</v>
      </c>
      <c r="R5761">
        <v>0</v>
      </c>
    </row>
    <row r="5762" spans="1:18" x14ac:dyDescent="0.45">
      <c r="A5762" s="19" t="s">
        <v>15</v>
      </c>
      <c r="B5762" s="19" t="s">
        <v>6</v>
      </c>
      <c r="C5762">
        <v>1</v>
      </c>
      <c r="D5762">
        <v>4</v>
      </c>
      <c r="E5762">
        <v>2</v>
      </c>
      <c r="F5762" s="15">
        <v>46251</v>
      </c>
      <c r="G5762" s="19" t="s">
        <v>691</v>
      </c>
      <c r="H5762">
        <v>4</v>
      </c>
      <c r="I5762">
        <v>2026</v>
      </c>
      <c r="J5762">
        <v>8</v>
      </c>
      <c r="K5762" s="19" t="s">
        <v>87</v>
      </c>
      <c r="L5762" s="19" t="s">
        <v>11</v>
      </c>
      <c r="M5762" s="19" t="s">
        <v>6</v>
      </c>
      <c r="N5762" t="b">
        <v>0</v>
      </c>
      <c r="O5762">
        <v>0</v>
      </c>
      <c r="P5762">
        <v>1</v>
      </c>
      <c r="Q5762">
        <v>0</v>
      </c>
      <c r="R5762">
        <v>0</v>
      </c>
    </row>
    <row r="5763" spans="1:18" x14ac:dyDescent="0.45">
      <c r="A5763" s="19" t="s">
        <v>15</v>
      </c>
      <c r="B5763" s="19" t="s">
        <v>6</v>
      </c>
      <c r="C5763">
        <v>1</v>
      </c>
      <c r="D5763">
        <v>4</v>
      </c>
      <c r="E5763">
        <v>2</v>
      </c>
      <c r="F5763" s="15">
        <v>46251</v>
      </c>
      <c r="G5763" s="19" t="s">
        <v>691</v>
      </c>
      <c r="H5763">
        <v>4</v>
      </c>
      <c r="I5763">
        <v>2026</v>
      </c>
      <c r="J5763">
        <v>8</v>
      </c>
      <c r="K5763" s="19" t="s">
        <v>87</v>
      </c>
      <c r="L5763" s="19" t="s">
        <v>540</v>
      </c>
      <c r="M5763" s="19" t="s">
        <v>6</v>
      </c>
      <c r="N5763" t="b">
        <v>0</v>
      </c>
      <c r="O5763">
        <v>0</v>
      </c>
      <c r="P5763">
        <v>1</v>
      </c>
      <c r="Q5763">
        <v>0</v>
      </c>
      <c r="R5763">
        <v>0</v>
      </c>
    </row>
    <row r="5764" spans="1:18" x14ac:dyDescent="0.45">
      <c r="A5764" s="19" t="s">
        <v>15</v>
      </c>
      <c r="B5764" s="19" t="s">
        <v>6</v>
      </c>
      <c r="C5764">
        <v>1</v>
      </c>
      <c r="D5764">
        <v>4</v>
      </c>
      <c r="E5764">
        <v>2</v>
      </c>
      <c r="F5764" s="15">
        <v>46251</v>
      </c>
      <c r="G5764" s="19" t="s">
        <v>691</v>
      </c>
      <c r="H5764">
        <v>4</v>
      </c>
      <c r="I5764">
        <v>2026</v>
      </c>
      <c r="J5764">
        <v>8</v>
      </c>
      <c r="K5764" s="19" t="s">
        <v>87</v>
      </c>
      <c r="L5764" s="19" t="s">
        <v>326</v>
      </c>
      <c r="M5764" s="19" t="s">
        <v>8</v>
      </c>
      <c r="N5764" t="b">
        <v>0</v>
      </c>
      <c r="O5764">
        <v>0</v>
      </c>
      <c r="P5764">
        <v>1</v>
      </c>
      <c r="Q5764">
        <v>0</v>
      </c>
      <c r="R5764">
        <v>1</v>
      </c>
    </row>
    <row r="5765" spans="1:18" x14ac:dyDescent="0.45">
      <c r="A5765" s="19" t="s">
        <v>11</v>
      </c>
      <c r="B5765" s="19" t="s">
        <v>6</v>
      </c>
      <c r="C5765">
        <v>2</v>
      </c>
      <c r="D5765">
        <v>4</v>
      </c>
      <c r="E5765">
        <v>2</v>
      </c>
      <c r="F5765" s="15">
        <v>46251</v>
      </c>
      <c r="G5765" s="19" t="s">
        <v>691</v>
      </c>
      <c r="H5765">
        <v>4</v>
      </c>
      <c r="I5765">
        <v>2026</v>
      </c>
      <c r="J5765">
        <v>8</v>
      </c>
      <c r="K5765" s="19" t="s">
        <v>87</v>
      </c>
      <c r="L5765" s="19" t="s">
        <v>15</v>
      </c>
      <c r="M5765" s="19" t="s">
        <v>6</v>
      </c>
      <c r="N5765" t="b">
        <v>0</v>
      </c>
      <c r="O5765">
        <v>0</v>
      </c>
      <c r="P5765">
        <v>1</v>
      </c>
      <c r="Q5765">
        <v>0</v>
      </c>
      <c r="R5765">
        <v>0</v>
      </c>
    </row>
    <row r="5766" spans="1:18" x14ac:dyDescent="0.45">
      <c r="A5766" s="19" t="s">
        <v>11</v>
      </c>
      <c r="B5766" s="19" t="s">
        <v>6</v>
      </c>
      <c r="C5766">
        <v>2</v>
      </c>
      <c r="D5766">
        <v>4</v>
      </c>
      <c r="E5766">
        <v>2</v>
      </c>
      <c r="F5766" s="15">
        <v>46251</v>
      </c>
      <c r="G5766" s="19" t="s">
        <v>691</v>
      </c>
      <c r="H5766">
        <v>4</v>
      </c>
      <c r="I5766">
        <v>2026</v>
      </c>
      <c r="J5766">
        <v>8</v>
      </c>
      <c r="K5766" s="19" t="s">
        <v>87</v>
      </c>
      <c r="L5766" s="19" t="s">
        <v>540</v>
      </c>
      <c r="M5766" s="19" t="s">
        <v>6</v>
      </c>
      <c r="N5766" t="b">
        <v>0</v>
      </c>
      <c r="O5766">
        <v>0</v>
      </c>
      <c r="P5766">
        <v>1</v>
      </c>
      <c r="Q5766">
        <v>0</v>
      </c>
      <c r="R5766">
        <v>0</v>
      </c>
    </row>
    <row r="5767" spans="1:18" x14ac:dyDescent="0.45">
      <c r="A5767" s="19" t="s">
        <v>11</v>
      </c>
      <c r="B5767" s="19" t="s">
        <v>6</v>
      </c>
      <c r="C5767">
        <v>2</v>
      </c>
      <c r="D5767">
        <v>4</v>
      </c>
      <c r="E5767">
        <v>2</v>
      </c>
      <c r="F5767" s="15">
        <v>46251</v>
      </c>
      <c r="G5767" s="19" t="s">
        <v>691</v>
      </c>
      <c r="H5767">
        <v>4</v>
      </c>
      <c r="I5767">
        <v>2026</v>
      </c>
      <c r="J5767">
        <v>8</v>
      </c>
      <c r="K5767" s="19" t="s">
        <v>87</v>
      </c>
      <c r="L5767" s="19" t="s">
        <v>326</v>
      </c>
      <c r="M5767" s="19" t="s">
        <v>8</v>
      </c>
      <c r="N5767" t="b">
        <v>0</v>
      </c>
      <c r="O5767">
        <v>0</v>
      </c>
      <c r="P5767">
        <v>1</v>
      </c>
      <c r="Q5767">
        <v>0</v>
      </c>
      <c r="R5767">
        <v>1</v>
      </c>
    </row>
    <row r="5768" spans="1:18" x14ac:dyDescent="0.45">
      <c r="A5768" s="19" t="s">
        <v>540</v>
      </c>
      <c r="B5768" s="19" t="s">
        <v>6</v>
      </c>
      <c r="C5768">
        <v>3</v>
      </c>
      <c r="D5768">
        <v>4</v>
      </c>
      <c r="E5768">
        <v>2</v>
      </c>
      <c r="F5768" s="15">
        <v>46251</v>
      </c>
      <c r="G5768" s="19" t="s">
        <v>691</v>
      </c>
      <c r="H5768">
        <v>4</v>
      </c>
      <c r="I5768">
        <v>2026</v>
      </c>
      <c r="J5768">
        <v>8</v>
      </c>
      <c r="K5768" s="19" t="s">
        <v>87</v>
      </c>
      <c r="L5768" s="19" t="s">
        <v>15</v>
      </c>
      <c r="M5768" s="19" t="s">
        <v>6</v>
      </c>
      <c r="N5768" t="b">
        <v>0</v>
      </c>
      <c r="O5768">
        <v>0</v>
      </c>
      <c r="P5768">
        <v>1</v>
      </c>
      <c r="Q5768">
        <v>0</v>
      </c>
      <c r="R5768">
        <v>0</v>
      </c>
    </row>
    <row r="5769" spans="1:18" x14ac:dyDescent="0.45">
      <c r="A5769" s="19" t="s">
        <v>540</v>
      </c>
      <c r="B5769" s="19" t="s">
        <v>6</v>
      </c>
      <c r="C5769">
        <v>3</v>
      </c>
      <c r="D5769">
        <v>4</v>
      </c>
      <c r="E5769">
        <v>2</v>
      </c>
      <c r="F5769" s="15">
        <v>46251</v>
      </c>
      <c r="G5769" s="19" t="s">
        <v>691</v>
      </c>
      <c r="H5769">
        <v>4</v>
      </c>
      <c r="I5769">
        <v>2026</v>
      </c>
      <c r="J5769">
        <v>8</v>
      </c>
      <c r="K5769" s="19" t="s">
        <v>87</v>
      </c>
      <c r="L5769" s="19" t="s">
        <v>11</v>
      </c>
      <c r="M5769" s="19" t="s">
        <v>6</v>
      </c>
      <c r="N5769" t="b">
        <v>0</v>
      </c>
      <c r="O5769">
        <v>0</v>
      </c>
      <c r="P5769">
        <v>1</v>
      </c>
      <c r="Q5769">
        <v>0</v>
      </c>
      <c r="R5769">
        <v>0</v>
      </c>
    </row>
    <row r="5770" spans="1:18" x14ac:dyDescent="0.45">
      <c r="A5770" s="19" t="s">
        <v>540</v>
      </c>
      <c r="B5770" s="19" t="s">
        <v>6</v>
      </c>
      <c r="C5770">
        <v>3</v>
      </c>
      <c r="D5770">
        <v>4</v>
      </c>
      <c r="E5770">
        <v>2</v>
      </c>
      <c r="F5770" s="15">
        <v>46251</v>
      </c>
      <c r="G5770" s="19" t="s">
        <v>691</v>
      </c>
      <c r="H5770">
        <v>4</v>
      </c>
      <c r="I5770">
        <v>2026</v>
      </c>
      <c r="J5770">
        <v>8</v>
      </c>
      <c r="K5770" s="19" t="s">
        <v>87</v>
      </c>
      <c r="L5770" s="19" t="s">
        <v>326</v>
      </c>
      <c r="M5770" s="19" t="s">
        <v>8</v>
      </c>
      <c r="N5770" t="b">
        <v>0</v>
      </c>
      <c r="O5770">
        <v>0</v>
      </c>
      <c r="P5770">
        <v>1</v>
      </c>
      <c r="Q5770">
        <v>0</v>
      </c>
      <c r="R5770">
        <v>1</v>
      </c>
    </row>
    <row r="5771" spans="1:18" x14ac:dyDescent="0.45">
      <c r="A5771" s="19" t="s">
        <v>326</v>
      </c>
      <c r="B5771" s="19" t="s">
        <v>8</v>
      </c>
      <c r="C5771">
        <v>4</v>
      </c>
      <c r="D5771">
        <v>4</v>
      </c>
      <c r="E5771">
        <v>2</v>
      </c>
      <c r="F5771" s="15">
        <v>46251</v>
      </c>
      <c r="G5771" s="19" t="s">
        <v>691</v>
      </c>
      <c r="H5771">
        <v>4</v>
      </c>
      <c r="I5771">
        <v>2026</v>
      </c>
      <c r="J5771">
        <v>8</v>
      </c>
      <c r="K5771" s="19" t="s">
        <v>87</v>
      </c>
      <c r="L5771" s="19" t="s">
        <v>15</v>
      </c>
      <c r="M5771" s="19" t="s">
        <v>6</v>
      </c>
      <c r="N5771" t="b">
        <v>0</v>
      </c>
      <c r="O5771">
        <v>1</v>
      </c>
      <c r="P5771">
        <v>0</v>
      </c>
      <c r="Q5771">
        <v>0</v>
      </c>
      <c r="R5771">
        <v>0</v>
      </c>
    </row>
    <row r="5772" spans="1:18" x14ac:dyDescent="0.45">
      <c r="A5772" s="19" t="s">
        <v>326</v>
      </c>
      <c r="B5772" s="19" t="s">
        <v>8</v>
      </c>
      <c r="C5772">
        <v>4</v>
      </c>
      <c r="D5772">
        <v>4</v>
      </c>
      <c r="E5772">
        <v>2</v>
      </c>
      <c r="F5772" s="15">
        <v>46251</v>
      </c>
      <c r="G5772" s="19" t="s">
        <v>691</v>
      </c>
      <c r="H5772">
        <v>4</v>
      </c>
      <c r="I5772">
        <v>2026</v>
      </c>
      <c r="J5772">
        <v>8</v>
      </c>
      <c r="K5772" s="19" t="s">
        <v>87</v>
      </c>
      <c r="L5772" s="19" t="s">
        <v>11</v>
      </c>
      <c r="M5772" s="19" t="s">
        <v>6</v>
      </c>
      <c r="N5772" t="b">
        <v>0</v>
      </c>
      <c r="O5772">
        <v>1</v>
      </c>
      <c r="P5772">
        <v>0</v>
      </c>
      <c r="Q5772">
        <v>0</v>
      </c>
      <c r="R5772">
        <v>0</v>
      </c>
    </row>
    <row r="5773" spans="1:18" x14ac:dyDescent="0.45">
      <c r="A5773" s="19" t="s">
        <v>326</v>
      </c>
      <c r="B5773" s="19" t="s">
        <v>8</v>
      </c>
      <c r="C5773">
        <v>4</v>
      </c>
      <c r="D5773">
        <v>4</v>
      </c>
      <c r="E5773">
        <v>2</v>
      </c>
      <c r="F5773" s="15">
        <v>46251</v>
      </c>
      <c r="G5773" s="19" t="s">
        <v>691</v>
      </c>
      <c r="H5773">
        <v>4</v>
      </c>
      <c r="I5773">
        <v>2026</v>
      </c>
      <c r="J5773">
        <v>8</v>
      </c>
      <c r="K5773" s="19" t="s">
        <v>87</v>
      </c>
      <c r="L5773" s="19" t="s">
        <v>540</v>
      </c>
      <c r="M5773" s="19" t="s">
        <v>6</v>
      </c>
      <c r="N5773" t="b">
        <v>0</v>
      </c>
      <c r="O5773">
        <v>1</v>
      </c>
      <c r="P5773">
        <v>0</v>
      </c>
      <c r="Q5773">
        <v>0</v>
      </c>
      <c r="R5773">
        <v>0</v>
      </c>
    </row>
    <row r="5774" spans="1:18" x14ac:dyDescent="0.45">
      <c r="A5774" s="19" t="s">
        <v>10</v>
      </c>
      <c r="B5774" s="19" t="s">
        <v>6</v>
      </c>
      <c r="C5774">
        <v>1</v>
      </c>
      <c r="D5774">
        <v>5</v>
      </c>
      <c r="E5774">
        <v>2</v>
      </c>
      <c r="F5774" s="15">
        <v>46251</v>
      </c>
      <c r="G5774" s="19" t="s">
        <v>692</v>
      </c>
      <c r="H5774">
        <v>3</v>
      </c>
      <c r="I5774">
        <v>2026</v>
      </c>
      <c r="J5774">
        <v>8</v>
      </c>
      <c r="K5774" s="19" t="s">
        <v>87</v>
      </c>
      <c r="L5774" s="19" t="s">
        <v>433</v>
      </c>
      <c r="M5774" s="19" t="s">
        <v>6</v>
      </c>
      <c r="N5774" t="b">
        <v>0</v>
      </c>
      <c r="O5774">
        <v>0</v>
      </c>
      <c r="P5774">
        <v>1</v>
      </c>
      <c r="Q5774">
        <v>0</v>
      </c>
      <c r="R5774">
        <v>0</v>
      </c>
    </row>
    <row r="5775" spans="1:18" x14ac:dyDescent="0.45">
      <c r="A5775" s="19" t="s">
        <v>10</v>
      </c>
      <c r="B5775" s="19" t="s">
        <v>6</v>
      </c>
      <c r="C5775">
        <v>1</v>
      </c>
      <c r="D5775">
        <v>5</v>
      </c>
      <c r="E5775">
        <v>2</v>
      </c>
      <c r="F5775" s="15">
        <v>46251</v>
      </c>
      <c r="G5775" s="19" t="s">
        <v>692</v>
      </c>
      <c r="H5775">
        <v>3</v>
      </c>
      <c r="I5775">
        <v>2026</v>
      </c>
      <c r="J5775">
        <v>8</v>
      </c>
      <c r="K5775" s="19" t="s">
        <v>87</v>
      </c>
      <c r="L5775" s="19" t="s">
        <v>28</v>
      </c>
      <c r="M5775" s="19" t="s">
        <v>8</v>
      </c>
      <c r="N5775" t="b">
        <v>0</v>
      </c>
      <c r="O5775">
        <v>0</v>
      </c>
      <c r="P5775">
        <v>1</v>
      </c>
      <c r="Q5775">
        <v>0</v>
      </c>
      <c r="R5775">
        <v>1</v>
      </c>
    </row>
    <row r="5776" spans="1:18" x14ac:dyDescent="0.45">
      <c r="A5776" s="19" t="s">
        <v>433</v>
      </c>
      <c r="B5776" s="19" t="s">
        <v>6</v>
      </c>
      <c r="C5776">
        <v>2</v>
      </c>
      <c r="D5776">
        <v>5</v>
      </c>
      <c r="E5776">
        <v>2</v>
      </c>
      <c r="F5776" s="15">
        <v>46251</v>
      </c>
      <c r="G5776" s="19" t="s">
        <v>692</v>
      </c>
      <c r="H5776">
        <v>3</v>
      </c>
      <c r="I5776">
        <v>2026</v>
      </c>
      <c r="J5776">
        <v>8</v>
      </c>
      <c r="K5776" s="19" t="s">
        <v>87</v>
      </c>
      <c r="L5776" s="19" t="s">
        <v>10</v>
      </c>
      <c r="M5776" s="19" t="s">
        <v>6</v>
      </c>
      <c r="N5776" t="b">
        <v>0</v>
      </c>
      <c r="O5776">
        <v>0</v>
      </c>
      <c r="P5776">
        <v>1</v>
      </c>
      <c r="Q5776">
        <v>0</v>
      </c>
      <c r="R5776">
        <v>0</v>
      </c>
    </row>
    <row r="5777" spans="1:18" x14ac:dyDescent="0.45">
      <c r="A5777" s="19" t="s">
        <v>433</v>
      </c>
      <c r="B5777" s="19" t="s">
        <v>6</v>
      </c>
      <c r="C5777">
        <v>2</v>
      </c>
      <c r="D5777">
        <v>5</v>
      </c>
      <c r="E5777">
        <v>2</v>
      </c>
      <c r="F5777" s="15">
        <v>46251</v>
      </c>
      <c r="G5777" s="19" t="s">
        <v>692</v>
      </c>
      <c r="H5777">
        <v>3</v>
      </c>
      <c r="I5777">
        <v>2026</v>
      </c>
      <c r="J5777">
        <v>8</v>
      </c>
      <c r="K5777" s="19" t="s">
        <v>87</v>
      </c>
      <c r="L5777" s="19" t="s">
        <v>28</v>
      </c>
      <c r="M5777" s="19" t="s">
        <v>8</v>
      </c>
      <c r="N5777" t="b">
        <v>0</v>
      </c>
      <c r="O5777">
        <v>0</v>
      </c>
      <c r="P5777">
        <v>1</v>
      </c>
      <c r="Q5777">
        <v>0</v>
      </c>
      <c r="R5777">
        <v>1</v>
      </c>
    </row>
    <row r="5778" spans="1:18" x14ac:dyDescent="0.45">
      <c r="A5778" s="19" t="s">
        <v>28</v>
      </c>
      <c r="B5778" s="19" t="s">
        <v>8</v>
      </c>
      <c r="C5778">
        <v>3</v>
      </c>
      <c r="D5778">
        <v>5</v>
      </c>
      <c r="E5778">
        <v>2</v>
      </c>
      <c r="F5778" s="15">
        <v>46251</v>
      </c>
      <c r="G5778" s="19" t="s">
        <v>692</v>
      </c>
      <c r="H5778">
        <v>3</v>
      </c>
      <c r="I5778">
        <v>2026</v>
      </c>
      <c r="J5778">
        <v>8</v>
      </c>
      <c r="K5778" s="19" t="s">
        <v>87</v>
      </c>
      <c r="L5778" s="19" t="s">
        <v>10</v>
      </c>
      <c r="M5778" s="19" t="s">
        <v>6</v>
      </c>
      <c r="N5778" t="b">
        <v>0</v>
      </c>
      <c r="O5778">
        <v>1</v>
      </c>
      <c r="P5778">
        <v>0</v>
      </c>
      <c r="Q5778">
        <v>0</v>
      </c>
      <c r="R5778">
        <v>0</v>
      </c>
    </row>
    <row r="5779" spans="1:18" x14ac:dyDescent="0.45">
      <c r="A5779" s="19" t="s">
        <v>28</v>
      </c>
      <c r="B5779" s="19" t="s">
        <v>8</v>
      </c>
      <c r="C5779">
        <v>3</v>
      </c>
      <c r="D5779">
        <v>5</v>
      </c>
      <c r="E5779">
        <v>2</v>
      </c>
      <c r="F5779" s="15">
        <v>46251</v>
      </c>
      <c r="G5779" s="19" t="s">
        <v>692</v>
      </c>
      <c r="H5779">
        <v>3</v>
      </c>
      <c r="I5779">
        <v>2026</v>
      </c>
      <c r="J5779">
        <v>8</v>
      </c>
      <c r="K5779" s="19" t="s">
        <v>87</v>
      </c>
      <c r="L5779" s="19" t="s">
        <v>433</v>
      </c>
      <c r="M5779" s="19" t="s">
        <v>6</v>
      </c>
      <c r="N5779" t="b">
        <v>0</v>
      </c>
      <c r="O5779">
        <v>1</v>
      </c>
      <c r="P5779">
        <v>0</v>
      </c>
      <c r="Q5779">
        <v>0</v>
      </c>
      <c r="R5779">
        <v>0</v>
      </c>
    </row>
    <row r="5780" spans="1:18" x14ac:dyDescent="0.45">
      <c r="A5780" s="19" t="s">
        <v>351</v>
      </c>
      <c r="B5780" s="19" t="s">
        <v>63</v>
      </c>
      <c r="C5780">
        <v>1</v>
      </c>
      <c r="D5780">
        <v>1</v>
      </c>
      <c r="E5780">
        <v>1</v>
      </c>
      <c r="F5780" s="15">
        <v>46258</v>
      </c>
      <c r="G5780" s="19" t="s">
        <v>694</v>
      </c>
      <c r="H5780">
        <v>4</v>
      </c>
      <c r="I5780">
        <v>2026</v>
      </c>
      <c r="J5780">
        <v>8</v>
      </c>
      <c r="K5780" s="19" t="s">
        <v>87</v>
      </c>
      <c r="L5780" s="19" t="s">
        <v>14</v>
      </c>
      <c r="M5780" s="19" t="s">
        <v>63</v>
      </c>
      <c r="N5780" t="b">
        <v>0</v>
      </c>
      <c r="O5780">
        <v>0</v>
      </c>
      <c r="P5780">
        <v>0</v>
      </c>
      <c r="Q5780">
        <v>1</v>
      </c>
      <c r="R5780">
        <v>0</v>
      </c>
    </row>
    <row r="5781" spans="1:18" x14ac:dyDescent="0.45">
      <c r="A5781" s="19" t="s">
        <v>351</v>
      </c>
      <c r="B5781" s="19" t="s">
        <v>63</v>
      </c>
      <c r="C5781">
        <v>1</v>
      </c>
      <c r="D5781">
        <v>1</v>
      </c>
      <c r="E5781">
        <v>1</v>
      </c>
      <c r="F5781" s="15">
        <v>46258</v>
      </c>
      <c r="G5781" s="19" t="s">
        <v>694</v>
      </c>
      <c r="H5781">
        <v>4</v>
      </c>
      <c r="I5781">
        <v>2026</v>
      </c>
      <c r="J5781">
        <v>8</v>
      </c>
      <c r="K5781" s="19" t="s">
        <v>87</v>
      </c>
      <c r="L5781" s="19" t="s">
        <v>405</v>
      </c>
      <c r="M5781" s="19" t="s">
        <v>63</v>
      </c>
      <c r="N5781" t="b">
        <v>0</v>
      </c>
      <c r="O5781">
        <v>0</v>
      </c>
      <c r="P5781">
        <v>0</v>
      </c>
      <c r="Q5781">
        <v>1</v>
      </c>
      <c r="R5781">
        <v>0</v>
      </c>
    </row>
    <row r="5782" spans="1:18" x14ac:dyDescent="0.45">
      <c r="A5782" s="19" t="s">
        <v>351</v>
      </c>
      <c r="B5782" s="19" t="s">
        <v>63</v>
      </c>
      <c r="C5782">
        <v>1</v>
      </c>
      <c r="D5782">
        <v>1</v>
      </c>
      <c r="E5782">
        <v>1</v>
      </c>
      <c r="F5782" s="15">
        <v>46258</v>
      </c>
      <c r="G5782" s="19" t="s">
        <v>694</v>
      </c>
      <c r="H5782">
        <v>4</v>
      </c>
      <c r="I5782">
        <v>2026</v>
      </c>
      <c r="J5782">
        <v>8</v>
      </c>
      <c r="K5782" s="19" t="s">
        <v>87</v>
      </c>
      <c r="L5782" s="19" t="s">
        <v>9</v>
      </c>
      <c r="M5782" s="19" t="s">
        <v>63</v>
      </c>
      <c r="N5782" t="b">
        <v>0</v>
      </c>
      <c r="O5782">
        <v>0</v>
      </c>
      <c r="P5782">
        <v>0</v>
      </c>
      <c r="Q5782">
        <v>1</v>
      </c>
      <c r="R5782">
        <v>0</v>
      </c>
    </row>
    <row r="5783" spans="1:18" x14ac:dyDescent="0.45">
      <c r="A5783" s="19" t="s">
        <v>14</v>
      </c>
      <c r="B5783" s="19" t="s">
        <v>63</v>
      </c>
      <c r="C5783">
        <v>2</v>
      </c>
      <c r="D5783">
        <v>1</v>
      </c>
      <c r="E5783">
        <v>1</v>
      </c>
      <c r="F5783" s="15">
        <v>46258</v>
      </c>
      <c r="G5783" s="19" t="s">
        <v>694</v>
      </c>
      <c r="H5783">
        <v>4</v>
      </c>
      <c r="I5783">
        <v>2026</v>
      </c>
      <c r="J5783">
        <v>8</v>
      </c>
      <c r="K5783" s="19" t="s">
        <v>87</v>
      </c>
      <c r="L5783" s="19" t="s">
        <v>351</v>
      </c>
      <c r="M5783" s="19" t="s">
        <v>63</v>
      </c>
      <c r="N5783" t="b">
        <v>0</v>
      </c>
      <c r="O5783">
        <v>0</v>
      </c>
      <c r="P5783">
        <v>0</v>
      </c>
      <c r="Q5783">
        <v>1</v>
      </c>
      <c r="R5783">
        <v>0</v>
      </c>
    </row>
    <row r="5784" spans="1:18" x14ac:dyDescent="0.45">
      <c r="A5784" s="19" t="s">
        <v>14</v>
      </c>
      <c r="B5784" s="19" t="s">
        <v>63</v>
      </c>
      <c r="C5784">
        <v>2</v>
      </c>
      <c r="D5784">
        <v>1</v>
      </c>
      <c r="E5784">
        <v>1</v>
      </c>
      <c r="F5784" s="15">
        <v>46258</v>
      </c>
      <c r="G5784" s="19" t="s">
        <v>694</v>
      </c>
      <c r="H5784">
        <v>4</v>
      </c>
      <c r="I5784">
        <v>2026</v>
      </c>
      <c r="J5784">
        <v>8</v>
      </c>
      <c r="K5784" s="19" t="s">
        <v>87</v>
      </c>
      <c r="L5784" s="19" t="s">
        <v>405</v>
      </c>
      <c r="M5784" s="19" t="s">
        <v>63</v>
      </c>
      <c r="N5784" t="b">
        <v>0</v>
      </c>
      <c r="O5784">
        <v>0</v>
      </c>
      <c r="P5784">
        <v>0</v>
      </c>
      <c r="Q5784">
        <v>1</v>
      </c>
      <c r="R5784">
        <v>0</v>
      </c>
    </row>
    <row r="5785" spans="1:18" x14ac:dyDescent="0.45">
      <c r="A5785" s="19" t="s">
        <v>14</v>
      </c>
      <c r="B5785" s="19" t="s">
        <v>63</v>
      </c>
      <c r="C5785">
        <v>2</v>
      </c>
      <c r="D5785">
        <v>1</v>
      </c>
      <c r="E5785">
        <v>1</v>
      </c>
      <c r="F5785" s="15">
        <v>46258</v>
      </c>
      <c r="G5785" s="19" t="s">
        <v>694</v>
      </c>
      <c r="H5785">
        <v>4</v>
      </c>
      <c r="I5785">
        <v>2026</v>
      </c>
      <c r="J5785">
        <v>8</v>
      </c>
      <c r="K5785" s="19" t="s">
        <v>87</v>
      </c>
      <c r="L5785" s="19" t="s">
        <v>9</v>
      </c>
      <c r="M5785" s="19" t="s">
        <v>63</v>
      </c>
      <c r="N5785" t="b">
        <v>0</v>
      </c>
      <c r="O5785">
        <v>0</v>
      </c>
      <c r="P5785">
        <v>0</v>
      </c>
      <c r="Q5785">
        <v>1</v>
      </c>
      <c r="R5785">
        <v>0</v>
      </c>
    </row>
    <row r="5786" spans="1:18" x14ac:dyDescent="0.45">
      <c r="A5786" s="19" t="s">
        <v>405</v>
      </c>
      <c r="B5786" s="19" t="s">
        <v>63</v>
      </c>
      <c r="C5786">
        <v>3</v>
      </c>
      <c r="D5786">
        <v>1</v>
      </c>
      <c r="E5786">
        <v>1</v>
      </c>
      <c r="F5786" s="15">
        <v>46258</v>
      </c>
      <c r="G5786" s="19" t="s">
        <v>694</v>
      </c>
      <c r="H5786">
        <v>4</v>
      </c>
      <c r="I5786">
        <v>2026</v>
      </c>
      <c r="J5786">
        <v>8</v>
      </c>
      <c r="K5786" s="19" t="s">
        <v>87</v>
      </c>
      <c r="L5786" s="19" t="s">
        <v>351</v>
      </c>
      <c r="M5786" s="19" t="s">
        <v>63</v>
      </c>
      <c r="N5786" t="b">
        <v>0</v>
      </c>
      <c r="O5786">
        <v>0</v>
      </c>
      <c r="P5786">
        <v>0</v>
      </c>
      <c r="Q5786">
        <v>1</v>
      </c>
      <c r="R5786">
        <v>0</v>
      </c>
    </row>
    <row r="5787" spans="1:18" x14ac:dyDescent="0.45">
      <c r="A5787" s="19" t="s">
        <v>405</v>
      </c>
      <c r="B5787" s="19" t="s">
        <v>63</v>
      </c>
      <c r="C5787">
        <v>3</v>
      </c>
      <c r="D5787">
        <v>1</v>
      </c>
      <c r="E5787">
        <v>1</v>
      </c>
      <c r="F5787" s="15">
        <v>46258</v>
      </c>
      <c r="G5787" s="19" t="s">
        <v>694</v>
      </c>
      <c r="H5787">
        <v>4</v>
      </c>
      <c r="I5787">
        <v>2026</v>
      </c>
      <c r="J5787">
        <v>8</v>
      </c>
      <c r="K5787" s="19" t="s">
        <v>87</v>
      </c>
      <c r="L5787" s="19" t="s">
        <v>14</v>
      </c>
      <c r="M5787" s="19" t="s">
        <v>63</v>
      </c>
      <c r="N5787" t="b">
        <v>0</v>
      </c>
      <c r="O5787">
        <v>0</v>
      </c>
      <c r="P5787">
        <v>0</v>
      </c>
      <c r="Q5787">
        <v>1</v>
      </c>
      <c r="R5787">
        <v>0</v>
      </c>
    </row>
    <row r="5788" spans="1:18" x14ac:dyDescent="0.45">
      <c r="A5788" s="19" t="s">
        <v>405</v>
      </c>
      <c r="B5788" s="19" t="s">
        <v>63</v>
      </c>
      <c r="C5788">
        <v>3</v>
      </c>
      <c r="D5788">
        <v>1</v>
      </c>
      <c r="E5788">
        <v>1</v>
      </c>
      <c r="F5788" s="15">
        <v>46258</v>
      </c>
      <c r="G5788" s="19" t="s">
        <v>694</v>
      </c>
      <c r="H5788">
        <v>4</v>
      </c>
      <c r="I5788">
        <v>2026</v>
      </c>
      <c r="J5788">
        <v>8</v>
      </c>
      <c r="K5788" s="19" t="s">
        <v>87</v>
      </c>
      <c r="L5788" s="19" t="s">
        <v>9</v>
      </c>
      <c r="M5788" s="19" t="s">
        <v>63</v>
      </c>
      <c r="N5788" t="b">
        <v>0</v>
      </c>
      <c r="O5788">
        <v>0</v>
      </c>
      <c r="P5788">
        <v>0</v>
      </c>
      <c r="Q5788">
        <v>1</v>
      </c>
      <c r="R5788">
        <v>0</v>
      </c>
    </row>
    <row r="5789" spans="1:18" x14ac:dyDescent="0.45">
      <c r="A5789" s="19" t="s">
        <v>9</v>
      </c>
      <c r="B5789" s="19" t="s">
        <v>63</v>
      </c>
      <c r="C5789">
        <v>4</v>
      </c>
      <c r="D5789">
        <v>1</v>
      </c>
      <c r="E5789">
        <v>1</v>
      </c>
      <c r="F5789" s="15">
        <v>46258</v>
      </c>
      <c r="G5789" s="19" t="s">
        <v>694</v>
      </c>
      <c r="H5789">
        <v>4</v>
      </c>
      <c r="I5789">
        <v>2026</v>
      </c>
      <c r="J5789">
        <v>8</v>
      </c>
      <c r="K5789" s="19" t="s">
        <v>87</v>
      </c>
      <c r="L5789" s="19" t="s">
        <v>351</v>
      </c>
      <c r="M5789" s="19" t="s">
        <v>63</v>
      </c>
      <c r="N5789" t="b">
        <v>0</v>
      </c>
      <c r="O5789">
        <v>0</v>
      </c>
      <c r="P5789">
        <v>0</v>
      </c>
      <c r="Q5789">
        <v>1</v>
      </c>
      <c r="R5789">
        <v>0</v>
      </c>
    </row>
    <row r="5790" spans="1:18" x14ac:dyDescent="0.45">
      <c r="A5790" s="19" t="s">
        <v>9</v>
      </c>
      <c r="B5790" s="19" t="s">
        <v>63</v>
      </c>
      <c r="C5790">
        <v>4</v>
      </c>
      <c r="D5790">
        <v>1</v>
      </c>
      <c r="E5790">
        <v>1</v>
      </c>
      <c r="F5790" s="15">
        <v>46258</v>
      </c>
      <c r="G5790" s="19" t="s">
        <v>694</v>
      </c>
      <c r="H5790">
        <v>4</v>
      </c>
      <c r="I5790">
        <v>2026</v>
      </c>
      <c r="J5790">
        <v>8</v>
      </c>
      <c r="K5790" s="19" t="s">
        <v>87</v>
      </c>
      <c r="L5790" s="19" t="s">
        <v>14</v>
      </c>
      <c r="M5790" s="19" t="s">
        <v>63</v>
      </c>
      <c r="N5790" t="b">
        <v>0</v>
      </c>
      <c r="O5790">
        <v>0</v>
      </c>
      <c r="P5790">
        <v>0</v>
      </c>
      <c r="Q5790">
        <v>1</v>
      </c>
      <c r="R5790">
        <v>0</v>
      </c>
    </row>
    <row r="5791" spans="1:18" x14ac:dyDescent="0.45">
      <c r="A5791" s="19" t="s">
        <v>9</v>
      </c>
      <c r="B5791" s="19" t="s">
        <v>63</v>
      </c>
      <c r="C5791">
        <v>4</v>
      </c>
      <c r="D5791">
        <v>1</v>
      </c>
      <c r="E5791">
        <v>1</v>
      </c>
      <c r="F5791" s="15">
        <v>46258</v>
      </c>
      <c r="G5791" s="19" t="s">
        <v>694</v>
      </c>
      <c r="H5791">
        <v>4</v>
      </c>
      <c r="I5791">
        <v>2026</v>
      </c>
      <c r="J5791">
        <v>8</v>
      </c>
      <c r="K5791" s="19" t="s">
        <v>87</v>
      </c>
      <c r="L5791" s="19" t="s">
        <v>405</v>
      </c>
      <c r="M5791" s="19" t="s">
        <v>63</v>
      </c>
      <c r="N5791" t="b">
        <v>0</v>
      </c>
      <c r="O5791">
        <v>0</v>
      </c>
      <c r="P5791">
        <v>0</v>
      </c>
      <c r="Q5791">
        <v>1</v>
      </c>
      <c r="R5791">
        <v>0</v>
      </c>
    </row>
    <row r="5792" spans="1:18" x14ac:dyDescent="0.45">
      <c r="A5792" s="19" t="s">
        <v>325</v>
      </c>
      <c r="B5792" s="19" t="s">
        <v>63</v>
      </c>
      <c r="C5792">
        <v>1</v>
      </c>
      <c r="D5792">
        <v>2</v>
      </c>
      <c r="E5792">
        <v>1</v>
      </c>
      <c r="F5792" s="15">
        <v>46258</v>
      </c>
      <c r="G5792" s="19" t="s">
        <v>695</v>
      </c>
      <c r="H5792">
        <v>3</v>
      </c>
      <c r="I5792">
        <v>2026</v>
      </c>
      <c r="J5792">
        <v>8</v>
      </c>
      <c r="K5792" s="19" t="s">
        <v>87</v>
      </c>
      <c r="L5792" s="19" t="s">
        <v>13</v>
      </c>
      <c r="M5792" s="19" t="s">
        <v>63</v>
      </c>
      <c r="N5792" t="b">
        <v>0</v>
      </c>
      <c r="O5792">
        <v>0</v>
      </c>
      <c r="P5792">
        <v>0</v>
      </c>
      <c r="Q5792">
        <v>1</v>
      </c>
      <c r="R5792">
        <v>0</v>
      </c>
    </row>
    <row r="5793" spans="1:18" x14ac:dyDescent="0.45">
      <c r="A5793" s="19" t="s">
        <v>325</v>
      </c>
      <c r="B5793" s="19" t="s">
        <v>63</v>
      </c>
      <c r="C5793">
        <v>1</v>
      </c>
      <c r="D5793">
        <v>2</v>
      </c>
      <c r="E5793">
        <v>1</v>
      </c>
      <c r="F5793" s="15">
        <v>46258</v>
      </c>
      <c r="G5793" s="19" t="s">
        <v>695</v>
      </c>
      <c r="H5793">
        <v>3</v>
      </c>
      <c r="I5793">
        <v>2026</v>
      </c>
      <c r="J5793">
        <v>8</v>
      </c>
      <c r="K5793" s="19" t="s">
        <v>87</v>
      </c>
      <c r="L5793" s="19" t="s">
        <v>578</v>
      </c>
      <c r="M5793" s="19" t="s">
        <v>63</v>
      </c>
      <c r="N5793" t="b">
        <v>0</v>
      </c>
      <c r="O5793">
        <v>0</v>
      </c>
      <c r="P5793">
        <v>0</v>
      </c>
      <c r="Q5793">
        <v>1</v>
      </c>
      <c r="R5793">
        <v>0</v>
      </c>
    </row>
    <row r="5794" spans="1:18" x14ac:dyDescent="0.45">
      <c r="A5794" s="19" t="s">
        <v>13</v>
      </c>
      <c r="B5794" s="19" t="s">
        <v>63</v>
      </c>
      <c r="C5794">
        <v>2</v>
      </c>
      <c r="D5794">
        <v>2</v>
      </c>
      <c r="E5794">
        <v>1</v>
      </c>
      <c r="F5794" s="15">
        <v>46258</v>
      </c>
      <c r="G5794" s="19" t="s">
        <v>695</v>
      </c>
      <c r="H5794">
        <v>3</v>
      </c>
      <c r="I5794">
        <v>2026</v>
      </c>
      <c r="J5794">
        <v>8</v>
      </c>
      <c r="K5794" s="19" t="s">
        <v>87</v>
      </c>
      <c r="L5794" s="19" t="s">
        <v>325</v>
      </c>
      <c r="M5794" s="19" t="s">
        <v>63</v>
      </c>
      <c r="N5794" t="b">
        <v>0</v>
      </c>
      <c r="O5794">
        <v>0</v>
      </c>
      <c r="P5794">
        <v>0</v>
      </c>
      <c r="Q5794">
        <v>1</v>
      </c>
      <c r="R5794">
        <v>0</v>
      </c>
    </row>
    <row r="5795" spans="1:18" x14ac:dyDescent="0.45">
      <c r="A5795" s="19" t="s">
        <v>13</v>
      </c>
      <c r="B5795" s="19" t="s">
        <v>63</v>
      </c>
      <c r="C5795">
        <v>2</v>
      </c>
      <c r="D5795">
        <v>2</v>
      </c>
      <c r="E5795">
        <v>1</v>
      </c>
      <c r="F5795" s="15">
        <v>46258</v>
      </c>
      <c r="G5795" s="19" t="s">
        <v>695</v>
      </c>
      <c r="H5795">
        <v>3</v>
      </c>
      <c r="I5795">
        <v>2026</v>
      </c>
      <c r="J5795">
        <v>8</v>
      </c>
      <c r="K5795" s="19" t="s">
        <v>87</v>
      </c>
      <c r="L5795" s="19" t="s">
        <v>578</v>
      </c>
      <c r="M5795" s="19" t="s">
        <v>63</v>
      </c>
      <c r="N5795" t="b">
        <v>0</v>
      </c>
      <c r="O5795">
        <v>0</v>
      </c>
      <c r="P5795">
        <v>0</v>
      </c>
      <c r="Q5795">
        <v>1</v>
      </c>
      <c r="R5795">
        <v>0</v>
      </c>
    </row>
    <row r="5796" spans="1:18" x14ac:dyDescent="0.45">
      <c r="A5796" s="19" t="s">
        <v>578</v>
      </c>
      <c r="B5796" s="19" t="s">
        <v>63</v>
      </c>
      <c r="C5796">
        <v>3</v>
      </c>
      <c r="D5796">
        <v>2</v>
      </c>
      <c r="E5796">
        <v>1</v>
      </c>
      <c r="F5796" s="15">
        <v>46258</v>
      </c>
      <c r="G5796" s="19" t="s">
        <v>695</v>
      </c>
      <c r="H5796">
        <v>3</v>
      </c>
      <c r="I5796">
        <v>2026</v>
      </c>
      <c r="J5796">
        <v>8</v>
      </c>
      <c r="K5796" s="19" t="s">
        <v>87</v>
      </c>
      <c r="L5796" s="19" t="s">
        <v>325</v>
      </c>
      <c r="M5796" s="19" t="s">
        <v>63</v>
      </c>
      <c r="N5796" t="b">
        <v>0</v>
      </c>
      <c r="O5796">
        <v>0</v>
      </c>
      <c r="P5796">
        <v>0</v>
      </c>
      <c r="Q5796">
        <v>1</v>
      </c>
      <c r="R5796">
        <v>0</v>
      </c>
    </row>
    <row r="5797" spans="1:18" x14ac:dyDescent="0.45">
      <c r="A5797" s="19" t="s">
        <v>578</v>
      </c>
      <c r="B5797" s="19" t="s">
        <v>63</v>
      </c>
      <c r="C5797">
        <v>3</v>
      </c>
      <c r="D5797">
        <v>2</v>
      </c>
      <c r="E5797">
        <v>1</v>
      </c>
      <c r="F5797" s="15">
        <v>46258</v>
      </c>
      <c r="G5797" s="19" t="s">
        <v>695</v>
      </c>
      <c r="H5797">
        <v>3</v>
      </c>
      <c r="I5797">
        <v>2026</v>
      </c>
      <c r="J5797">
        <v>8</v>
      </c>
      <c r="K5797" s="19" t="s">
        <v>87</v>
      </c>
      <c r="L5797" s="19" t="s">
        <v>13</v>
      </c>
      <c r="M5797" s="19" t="s">
        <v>63</v>
      </c>
      <c r="N5797" t="b">
        <v>0</v>
      </c>
      <c r="O5797">
        <v>0</v>
      </c>
      <c r="P5797">
        <v>0</v>
      </c>
      <c r="Q5797">
        <v>1</v>
      </c>
      <c r="R5797">
        <v>0</v>
      </c>
    </row>
    <row r="5798" spans="1:18" x14ac:dyDescent="0.45">
      <c r="A5798" s="19" t="s">
        <v>15</v>
      </c>
      <c r="B5798" s="19" t="s">
        <v>8</v>
      </c>
      <c r="C5798">
        <v>1</v>
      </c>
      <c r="D5798">
        <v>3</v>
      </c>
      <c r="E5798">
        <v>1</v>
      </c>
      <c r="F5798" s="15">
        <v>46258</v>
      </c>
      <c r="G5798" s="19" t="s">
        <v>696</v>
      </c>
      <c r="H5798">
        <v>4</v>
      </c>
      <c r="I5798">
        <v>2026</v>
      </c>
      <c r="J5798">
        <v>8</v>
      </c>
      <c r="K5798" s="19" t="s">
        <v>87</v>
      </c>
      <c r="L5798" s="19" t="s">
        <v>326</v>
      </c>
      <c r="M5798" s="19" t="s">
        <v>6</v>
      </c>
      <c r="N5798" t="b">
        <v>0</v>
      </c>
      <c r="O5798">
        <v>1</v>
      </c>
      <c r="P5798">
        <v>0</v>
      </c>
      <c r="Q5798">
        <v>0</v>
      </c>
      <c r="R5798">
        <v>0</v>
      </c>
    </row>
    <row r="5799" spans="1:18" x14ac:dyDescent="0.45">
      <c r="A5799" s="19" t="s">
        <v>15</v>
      </c>
      <c r="B5799" s="19" t="s">
        <v>8</v>
      </c>
      <c r="C5799">
        <v>1</v>
      </c>
      <c r="D5799">
        <v>3</v>
      </c>
      <c r="E5799">
        <v>1</v>
      </c>
      <c r="F5799" s="15">
        <v>46258</v>
      </c>
      <c r="G5799" s="19" t="s">
        <v>696</v>
      </c>
      <c r="H5799">
        <v>4</v>
      </c>
      <c r="I5799">
        <v>2026</v>
      </c>
      <c r="J5799">
        <v>8</v>
      </c>
      <c r="K5799" s="19" t="s">
        <v>87</v>
      </c>
      <c r="L5799" s="19" t="s">
        <v>41</v>
      </c>
      <c r="M5799" s="19" t="s">
        <v>6</v>
      </c>
      <c r="N5799" t="b">
        <v>0</v>
      </c>
      <c r="O5799">
        <v>1</v>
      </c>
      <c r="P5799">
        <v>0</v>
      </c>
      <c r="Q5799">
        <v>0</v>
      </c>
      <c r="R5799">
        <v>0</v>
      </c>
    </row>
    <row r="5800" spans="1:18" x14ac:dyDescent="0.45">
      <c r="A5800" s="19" t="s">
        <v>15</v>
      </c>
      <c r="B5800" s="19" t="s">
        <v>8</v>
      </c>
      <c r="C5800">
        <v>1</v>
      </c>
      <c r="D5800">
        <v>3</v>
      </c>
      <c r="E5800">
        <v>1</v>
      </c>
      <c r="F5800" s="15">
        <v>46258</v>
      </c>
      <c r="G5800" s="19" t="s">
        <v>696</v>
      </c>
      <c r="H5800">
        <v>4</v>
      </c>
      <c r="I5800">
        <v>2026</v>
      </c>
      <c r="J5800">
        <v>8</v>
      </c>
      <c r="K5800" s="19" t="s">
        <v>87</v>
      </c>
      <c r="L5800" s="19" t="s">
        <v>28</v>
      </c>
      <c r="M5800" s="19" t="s">
        <v>6</v>
      </c>
      <c r="N5800" t="b">
        <v>0</v>
      </c>
      <c r="O5800">
        <v>1</v>
      </c>
      <c r="P5800">
        <v>0</v>
      </c>
      <c r="Q5800">
        <v>0</v>
      </c>
      <c r="R5800">
        <v>0</v>
      </c>
    </row>
    <row r="5801" spans="1:18" x14ac:dyDescent="0.45">
      <c r="A5801" s="19" t="s">
        <v>326</v>
      </c>
      <c r="B5801" s="19" t="s">
        <v>6</v>
      </c>
      <c r="C5801">
        <v>2</v>
      </c>
      <c r="D5801">
        <v>3</v>
      </c>
      <c r="E5801">
        <v>1</v>
      </c>
      <c r="F5801" s="15">
        <v>46258</v>
      </c>
      <c r="G5801" s="19" t="s">
        <v>696</v>
      </c>
      <c r="H5801">
        <v>4</v>
      </c>
      <c r="I5801">
        <v>2026</v>
      </c>
      <c r="J5801">
        <v>8</v>
      </c>
      <c r="K5801" s="19" t="s">
        <v>87</v>
      </c>
      <c r="L5801" s="19" t="s">
        <v>15</v>
      </c>
      <c r="M5801" s="19" t="s">
        <v>8</v>
      </c>
      <c r="N5801" t="b">
        <v>0</v>
      </c>
      <c r="O5801">
        <v>0</v>
      </c>
      <c r="P5801">
        <v>1</v>
      </c>
      <c r="Q5801">
        <v>0</v>
      </c>
      <c r="R5801">
        <v>1</v>
      </c>
    </row>
    <row r="5802" spans="1:18" x14ac:dyDescent="0.45">
      <c r="A5802" s="19" t="s">
        <v>326</v>
      </c>
      <c r="B5802" s="19" t="s">
        <v>6</v>
      </c>
      <c r="C5802">
        <v>2</v>
      </c>
      <c r="D5802">
        <v>3</v>
      </c>
      <c r="E5802">
        <v>1</v>
      </c>
      <c r="F5802" s="15">
        <v>46258</v>
      </c>
      <c r="G5802" s="19" t="s">
        <v>696</v>
      </c>
      <c r="H5802">
        <v>4</v>
      </c>
      <c r="I5802">
        <v>2026</v>
      </c>
      <c r="J5802">
        <v>8</v>
      </c>
      <c r="K5802" s="19" t="s">
        <v>87</v>
      </c>
      <c r="L5802" s="19" t="s">
        <v>41</v>
      </c>
      <c r="M5802" s="19" t="s">
        <v>6</v>
      </c>
      <c r="N5802" t="b">
        <v>0</v>
      </c>
      <c r="O5802">
        <v>0</v>
      </c>
      <c r="P5802">
        <v>1</v>
      </c>
      <c r="Q5802">
        <v>0</v>
      </c>
      <c r="R5802">
        <v>0</v>
      </c>
    </row>
    <row r="5803" spans="1:18" x14ac:dyDescent="0.45">
      <c r="A5803" s="19" t="s">
        <v>326</v>
      </c>
      <c r="B5803" s="19" t="s">
        <v>6</v>
      </c>
      <c r="C5803">
        <v>2</v>
      </c>
      <c r="D5803">
        <v>3</v>
      </c>
      <c r="E5803">
        <v>1</v>
      </c>
      <c r="F5803" s="15">
        <v>46258</v>
      </c>
      <c r="G5803" s="19" t="s">
        <v>696</v>
      </c>
      <c r="H5803">
        <v>4</v>
      </c>
      <c r="I5803">
        <v>2026</v>
      </c>
      <c r="J5803">
        <v>8</v>
      </c>
      <c r="K5803" s="19" t="s">
        <v>87</v>
      </c>
      <c r="L5803" s="19" t="s">
        <v>28</v>
      </c>
      <c r="M5803" s="19" t="s">
        <v>6</v>
      </c>
      <c r="N5803" t="b">
        <v>0</v>
      </c>
      <c r="O5803">
        <v>0</v>
      </c>
      <c r="P5803">
        <v>1</v>
      </c>
      <c r="Q5803">
        <v>0</v>
      </c>
      <c r="R5803">
        <v>0</v>
      </c>
    </row>
    <row r="5804" spans="1:18" x14ac:dyDescent="0.45">
      <c r="A5804" s="19" t="s">
        <v>41</v>
      </c>
      <c r="B5804" s="19" t="s">
        <v>6</v>
      </c>
      <c r="C5804">
        <v>3</v>
      </c>
      <c r="D5804">
        <v>3</v>
      </c>
      <c r="E5804">
        <v>1</v>
      </c>
      <c r="F5804" s="15">
        <v>46258</v>
      </c>
      <c r="G5804" s="19" t="s">
        <v>696</v>
      </c>
      <c r="H5804">
        <v>4</v>
      </c>
      <c r="I5804">
        <v>2026</v>
      </c>
      <c r="J5804">
        <v>8</v>
      </c>
      <c r="K5804" s="19" t="s">
        <v>87</v>
      </c>
      <c r="L5804" s="19" t="s">
        <v>15</v>
      </c>
      <c r="M5804" s="19" t="s">
        <v>8</v>
      </c>
      <c r="N5804" t="b">
        <v>0</v>
      </c>
      <c r="O5804">
        <v>0</v>
      </c>
      <c r="P5804">
        <v>1</v>
      </c>
      <c r="Q5804">
        <v>0</v>
      </c>
      <c r="R5804">
        <v>1</v>
      </c>
    </row>
    <row r="5805" spans="1:18" x14ac:dyDescent="0.45">
      <c r="A5805" s="19" t="s">
        <v>41</v>
      </c>
      <c r="B5805" s="19" t="s">
        <v>6</v>
      </c>
      <c r="C5805">
        <v>3</v>
      </c>
      <c r="D5805">
        <v>3</v>
      </c>
      <c r="E5805">
        <v>1</v>
      </c>
      <c r="F5805" s="15">
        <v>46258</v>
      </c>
      <c r="G5805" s="19" t="s">
        <v>696</v>
      </c>
      <c r="H5805">
        <v>4</v>
      </c>
      <c r="I5805">
        <v>2026</v>
      </c>
      <c r="J5805">
        <v>8</v>
      </c>
      <c r="K5805" s="19" t="s">
        <v>87</v>
      </c>
      <c r="L5805" s="19" t="s">
        <v>326</v>
      </c>
      <c r="M5805" s="19" t="s">
        <v>6</v>
      </c>
      <c r="N5805" t="b">
        <v>0</v>
      </c>
      <c r="O5805">
        <v>0</v>
      </c>
      <c r="P5805">
        <v>1</v>
      </c>
      <c r="Q5805">
        <v>0</v>
      </c>
      <c r="R5805">
        <v>0</v>
      </c>
    </row>
    <row r="5806" spans="1:18" x14ac:dyDescent="0.45">
      <c r="A5806" s="19" t="s">
        <v>41</v>
      </c>
      <c r="B5806" s="19" t="s">
        <v>6</v>
      </c>
      <c r="C5806">
        <v>3</v>
      </c>
      <c r="D5806">
        <v>3</v>
      </c>
      <c r="E5806">
        <v>1</v>
      </c>
      <c r="F5806" s="15">
        <v>46258</v>
      </c>
      <c r="G5806" s="19" t="s">
        <v>696</v>
      </c>
      <c r="H5806">
        <v>4</v>
      </c>
      <c r="I5806">
        <v>2026</v>
      </c>
      <c r="J5806">
        <v>8</v>
      </c>
      <c r="K5806" s="19" t="s">
        <v>87</v>
      </c>
      <c r="L5806" s="19" t="s">
        <v>28</v>
      </c>
      <c r="M5806" s="19" t="s">
        <v>6</v>
      </c>
      <c r="N5806" t="b">
        <v>0</v>
      </c>
      <c r="O5806">
        <v>0</v>
      </c>
      <c r="P5806">
        <v>1</v>
      </c>
      <c r="Q5806">
        <v>0</v>
      </c>
      <c r="R5806">
        <v>0</v>
      </c>
    </row>
    <row r="5807" spans="1:18" x14ac:dyDescent="0.45">
      <c r="A5807" s="19" t="s">
        <v>28</v>
      </c>
      <c r="B5807" s="19" t="s">
        <v>6</v>
      </c>
      <c r="C5807">
        <v>4</v>
      </c>
      <c r="D5807">
        <v>3</v>
      </c>
      <c r="E5807">
        <v>1</v>
      </c>
      <c r="F5807" s="15">
        <v>46258</v>
      </c>
      <c r="G5807" s="19" t="s">
        <v>696</v>
      </c>
      <c r="H5807">
        <v>4</v>
      </c>
      <c r="I5807">
        <v>2026</v>
      </c>
      <c r="J5807">
        <v>8</v>
      </c>
      <c r="K5807" s="19" t="s">
        <v>87</v>
      </c>
      <c r="L5807" s="19" t="s">
        <v>15</v>
      </c>
      <c r="M5807" s="19" t="s">
        <v>8</v>
      </c>
      <c r="N5807" t="b">
        <v>0</v>
      </c>
      <c r="O5807">
        <v>0</v>
      </c>
      <c r="P5807">
        <v>1</v>
      </c>
      <c r="Q5807">
        <v>0</v>
      </c>
      <c r="R5807">
        <v>1</v>
      </c>
    </row>
    <row r="5808" spans="1:18" x14ac:dyDescent="0.45">
      <c r="A5808" s="19" t="s">
        <v>28</v>
      </c>
      <c r="B5808" s="19" t="s">
        <v>6</v>
      </c>
      <c r="C5808">
        <v>4</v>
      </c>
      <c r="D5808">
        <v>3</v>
      </c>
      <c r="E5808">
        <v>1</v>
      </c>
      <c r="F5808" s="15">
        <v>46258</v>
      </c>
      <c r="G5808" s="19" t="s">
        <v>696</v>
      </c>
      <c r="H5808">
        <v>4</v>
      </c>
      <c r="I5808">
        <v>2026</v>
      </c>
      <c r="J5808">
        <v>8</v>
      </c>
      <c r="K5808" s="19" t="s">
        <v>87</v>
      </c>
      <c r="L5808" s="19" t="s">
        <v>326</v>
      </c>
      <c r="M5808" s="19" t="s">
        <v>6</v>
      </c>
      <c r="N5808" t="b">
        <v>0</v>
      </c>
      <c r="O5808">
        <v>0</v>
      </c>
      <c r="P5808">
        <v>1</v>
      </c>
      <c r="Q5808">
        <v>0</v>
      </c>
      <c r="R5808">
        <v>0</v>
      </c>
    </row>
    <row r="5809" spans="1:18" x14ac:dyDescent="0.45">
      <c r="A5809" s="19" t="s">
        <v>28</v>
      </c>
      <c r="B5809" s="19" t="s">
        <v>6</v>
      </c>
      <c r="C5809">
        <v>4</v>
      </c>
      <c r="D5809">
        <v>3</v>
      </c>
      <c r="E5809">
        <v>1</v>
      </c>
      <c r="F5809" s="15">
        <v>46258</v>
      </c>
      <c r="G5809" s="19" t="s">
        <v>696</v>
      </c>
      <c r="H5809">
        <v>4</v>
      </c>
      <c r="I5809">
        <v>2026</v>
      </c>
      <c r="J5809">
        <v>8</v>
      </c>
      <c r="K5809" s="19" t="s">
        <v>87</v>
      </c>
      <c r="L5809" s="19" t="s">
        <v>41</v>
      </c>
      <c r="M5809" s="19" t="s">
        <v>6</v>
      </c>
      <c r="N5809" t="b">
        <v>0</v>
      </c>
      <c r="O5809">
        <v>0</v>
      </c>
      <c r="P5809">
        <v>1</v>
      </c>
      <c r="Q5809">
        <v>0</v>
      </c>
      <c r="R5809">
        <v>0</v>
      </c>
    </row>
    <row r="5810" spans="1:18" x14ac:dyDescent="0.45">
      <c r="A5810" s="19" t="s">
        <v>17</v>
      </c>
      <c r="B5810" s="19" t="s">
        <v>6</v>
      </c>
      <c r="C5810">
        <v>1</v>
      </c>
      <c r="D5810">
        <v>4</v>
      </c>
      <c r="E5810">
        <v>1</v>
      </c>
      <c r="F5810" s="15">
        <v>46258</v>
      </c>
      <c r="G5810" s="19" t="s">
        <v>697</v>
      </c>
      <c r="H5810">
        <v>3</v>
      </c>
      <c r="I5810">
        <v>2026</v>
      </c>
      <c r="J5810">
        <v>8</v>
      </c>
      <c r="K5810" s="19" t="s">
        <v>87</v>
      </c>
      <c r="L5810" s="19" t="s">
        <v>10</v>
      </c>
      <c r="M5810" s="19" t="s">
        <v>6</v>
      </c>
      <c r="N5810" t="b">
        <v>0</v>
      </c>
      <c r="O5810">
        <v>0</v>
      </c>
      <c r="P5810">
        <v>1</v>
      </c>
      <c r="Q5810">
        <v>0</v>
      </c>
      <c r="R5810">
        <v>0</v>
      </c>
    </row>
    <row r="5811" spans="1:18" x14ac:dyDescent="0.45">
      <c r="A5811" s="19" t="s">
        <v>17</v>
      </c>
      <c r="B5811" s="19" t="s">
        <v>6</v>
      </c>
      <c r="C5811">
        <v>1</v>
      </c>
      <c r="D5811">
        <v>4</v>
      </c>
      <c r="E5811">
        <v>1</v>
      </c>
      <c r="F5811" s="15">
        <v>46258</v>
      </c>
      <c r="G5811" s="19" t="s">
        <v>697</v>
      </c>
      <c r="H5811">
        <v>3</v>
      </c>
      <c r="I5811">
        <v>2026</v>
      </c>
      <c r="J5811">
        <v>8</v>
      </c>
      <c r="K5811" s="19" t="s">
        <v>87</v>
      </c>
      <c r="L5811" s="19" t="s">
        <v>19</v>
      </c>
      <c r="M5811" s="19" t="s">
        <v>8</v>
      </c>
      <c r="N5811" t="b">
        <v>0</v>
      </c>
      <c r="O5811">
        <v>0</v>
      </c>
      <c r="P5811">
        <v>1</v>
      </c>
      <c r="Q5811">
        <v>0</v>
      </c>
      <c r="R5811">
        <v>1</v>
      </c>
    </row>
    <row r="5812" spans="1:18" x14ac:dyDescent="0.45">
      <c r="A5812" s="19" t="s">
        <v>10</v>
      </c>
      <c r="B5812" s="19" t="s">
        <v>6</v>
      </c>
      <c r="C5812">
        <v>2</v>
      </c>
      <c r="D5812">
        <v>4</v>
      </c>
      <c r="E5812">
        <v>1</v>
      </c>
      <c r="F5812" s="15">
        <v>46258</v>
      </c>
      <c r="G5812" s="19" t="s">
        <v>697</v>
      </c>
      <c r="H5812">
        <v>3</v>
      </c>
      <c r="I5812">
        <v>2026</v>
      </c>
      <c r="J5812">
        <v>8</v>
      </c>
      <c r="K5812" s="19" t="s">
        <v>87</v>
      </c>
      <c r="L5812" s="19" t="s">
        <v>17</v>
      </c>
      <c r="M5812" s="19" t="s">
        <v>6</v>
      </c>
      <c r="N5812" t="b">
        <v>0</v>
      </c>
      <c r="O5812">
        <v>0</v>
      </c>
      <c r="P5812">
        <v>1</v>
      </c>
      <c r="Q5812">
        <v>0</v>
      </c>
      <c r="R5812">
        <v>0</v>
      </c>
    </row>
    <row r="5813" spans="1:18" x14ac:dyDescent="0.45">
      <c r="A5813" s="19" t="s">
        <v>10</v>
      </c>
      <c r="B5813" s="19" t="s">
        <v>6</v>
      </c>
      <c r="C5813">
        <v>2</v>
      </c>
      <c r="D5813">
        <v>4</v>
      </c>
      <c r="E5813">
        <v>1</v>
      </c>
      <c r="F5813" s="15">
        <v>46258</v>
      </c>
      <c r="G5813" s="19" t="s">
        <v>697</v>
      </c>
      <c r="H5813">
        <v>3</v>
      </c>
      <c r="I5813">
        <v>2026</v>
      </c>
      <c r="J5813">
        <v>8</v>
      </c>
      <c r="K5813" s="19" t="s">
        <v>87</v>
      </c>
      <c r="L5813" s="19" t="s">
        <v>19</v>
      </c>
      <c r="M5813" s="19" t="s">
        <v>8</v>
      </c>
      <c r="N5813" t="b">
        <v>0</v>
      </c>
      <c r="O5813">
        <v>0</v>
      </c>
      <c r="P5813">
        <v>1</v>
      </c>
      <c r="Q5813">
        <v>0</v>
      </c>
      <c r="R5813">
        <v>1</v>
      </c>
    </row>
    <row r="5814" spans="1:18" x14ac:dyDescent="0.45">
      <c r="A5814" s="19" t="s">
        <v>19</v>
      </c>
      <c r="B5814" s="19" t="s">
        <v>8</v>
      </c>
      <c r="C5814">
        <v>3</v>
      </c>
      <c r="D5814">
        <v>4</v>
      </c>
      <c r="E5814">
        <v>1</v>
      </c>
      <c r="F5814" s="15">
        <v>46258</v>
      </c>
      <c r="G5814" s="19" t="s">
        <v>697</v>
      </c>
      <c r="H5814">
        <v>3</v>
      </c>
      <c r="I5814">
        <v>2026</v>
      </c>
      <c r="J5814">
        <v>8</v>
      </c>
      <c r="K5814" s="19" t="s">
        <v>87</v>
      </c>
      <c r="L5814" s="19" t="s">
        <v>17</v>
      </c>
      <c r="M5814" s="19" t="s">
        <v>6</v>
      </c>
      <c r="N5814" t="b">
        <v>0</v>
      </c>
      <c r="O5814">
        <v>1</v>
      </c>
      <c r="P5814">
        <v>0</v>
      </c>
      <c r="Q5814">
        <v>0</v>
      </c>
      <c r="R5814">
        <v>0</v>
      </c>
    </row>
    <row r="5815" spans="1:18" x14ac:dyDescent="0.45">
      <c r="A5815" s="19" t="s">
        <v>19</v>
      </c>
      <c r="B5815" s="19" t="s">
        <v>8</v>
      </c>
      <c r="C5815">
        <v>3</v>
      </c>
      <c r="D5815">
        <v>4</v>
      </c>
      <c r="E5815">
        <v>1</v>
      </c>
      <c r="F5815" s="15">
        <v>46258</v>
      </c>
      <c r="G5815" s="19" t="s">
        <v>697</v>
      </c>
      <c r="H5815">
        <v>3</v>
      </c>
      <c r="I5815">
        <v>2026</v>
      </c>
      <c r="J5815">
        <v>8</v>
      </c>
      <c r="K5815" s="19" t="s">
        <v>87</v>
      </c>
      <c r="L5815" s="19" t="s">
        <v>10</v>
      </c>
      <c r="M5815" s="19" t="s">
        <v>6</v>
      </c>
      <c r="N5815" t="b">
        <v>0</v>
      </c>
      <c r="O5815">
        <v>1</v>
      </c>
      <c r="P5815">
        <v>0</v>
      </c>
      <c r="Q5815">
        <v>0</v>
      </c>
      <c r="R5815">
        <v>0</v>
      </c>
    </row>
    <row r="5816" spans="1:18" x14ac:dyDescent="0.45">
      <c r="A5816" s="19" t="s">
        <v>433</v>
      </c>
      <c r="B5816" s="19" t="s">
        <v>6</v>
      </c>
      <c r="C5816">
        <v>1</v>
      </c>
      <c r="D5816">
        <v>5</v>
      </c>
      <c r="E5816">
        <v>1</v>
      </c>
      <c r="F5816" s="15">
        <v>46258</v>
      </c>
      <c r="G5816" s="19" t="s">
        <v>698</v>
      </c>
      <c r="H5816">
        <v>3</v>
      </c>
      <c r="I5816">
        <v>2026</v>
      </c>
      <c r="J5816">
        <v>8</v>
      </c>
      <c r="K5816" s="19" t="s">
        <v>87</v>
      </c>
      <c r="L5816" s="19" t="s">
        <v>20</v>
      </c>
      <c r="M5816" s="19" t="s">
        <v>8</v>
      </c>
      <c r="N5816" t="b">
        <v>0</v>
      </c>
      <c r="O5816">
        <v>0</v>
      </c>
      <c r="P5816">
        <v>1</v>
      </c>
      <c r="Q5816">
        <v>0</v>
      </c>
      <c r="R5816">
        <v>1</v>
      </c>
    </row>
    <row r="5817" spans="1:18" x14ac:dyDescent="0.45">
      <c r="A5817" s="19" t="s">
        <v>433</v>
      </c>
      <c r="B5817" s="19" t="s">
        <v>6</v>
      </c>
      <c r="C5817">
        <v>1</v>
      </c>
      <c r="D5817">
        <v>5</v>
      </c>
      <c r="E5817">
        <v>1</v>
      </c>
      <c r="F5817" s="15">
        <v>46258</v>
      </c>
      <c r="G5817" s="19" t="s">
        <v>698</v>
      </c>
      <c r="H5817">
        <v>3</v>
      </c>
      <c r="I5817">
        <v>2026</v>
      </c>
      <c r="J5817">
        <v>8</v>
      </c>
      <c r="K5817" s="19" t="s">
        <v>87</v>
      </c>
      <c r="L5817" s="19" t="s">
        <v>609</v>
      </c>
      <c r="M5817" s="19" t="s">
        <v>6</v>
      </c>
      <c r="N5817" t="b">
        <v>0</v>
      </c>
      <c r="O5817">
        <v>0</v>
      </c>
      <c r="P5817">
        <v>1</v>
      </c>
      <c r="Q5817">
        <v>0</v>
      </c>
      <c r="R5817">
        <v>0</v>
      </c>
    </row>
    <row r="5818" spans="1:18" x14ac:dyDescent="0.45">
      <c r="A5818" s="19" t="s">
        <v>20</v>
      </c>
      <c r="B5818" s="19" t="s">
        <v>8</v>
      </c>
      <c r="C5818">
        <v>2</v>
      </c>
      <c r="D5818">
        <v>5</v>
      </c>
      <c r="E5818">
        <v>1</v>
      </c>
      <c r="F5818" s="15">
        <v>46258</v>
      </c>
      <c r="G5818" s="19" t="s">
        <v>698</v>
      </c>
      <c r="H5818">
        <v>3</v>
      </c>
      <c r="I5818">
        <v>2026</v>
      </c>
      <c r="J5818">
        <v>8</v>
      </c>
      <c r="K5818" s="19" t="s">
        <v>87</v>
      </c>
      <c r="L5818" s="19" t="s">
        <v>433</v>
      </c>
      <c r="M5818" s="19" t="s">
        <v>6</v>
      </c>
      <c r="N5818" t="b">
        <v>0</v>
      </c>
      <c r="O5818">
        <v>1</v>
      </c>
      <c r="P5818">
        <v>0</v>
      </c>
      <c r="Q5818">
        <v>0</v>
      </c>
      <c r="R5818">
        <v>0</v>
      </c>
    </row>
    <row r="5819" spans="1:18" x14ac:dyDescent="0.45">
      <c r="A5819" s="19" t="s">
        <v>20</v>
      </c>
      <c r="B5819" s="19" t="s">
        <v>8</v>
      </c>
      <c r="C5819">
        <v>2</v>
      </c>
      <c r="D5819">
        <v>5</v>
      </c>
      <c r="E5819">
        <v>1</v>
      </c>
      <c r="F5819" s="15">
        <v>46258</v>
      </c>
      <c r="G5819" s="19" t="s">
        <v>698</v>
      </c>
      <c r="H5819">
        <v>3</v>
      </c>
      <c r="I5819">
        <v>2026</v>
      </c>
      <c r="J5819">
        <v>8</v>
      </c>
      <c r="K5819" s="19" t="s">
        <v>87</v>
      </c>
      <c r="L5819" s="19" t="s">
        <v>609</v>
      </c>
      <c r="M5819" s="19" t="s">
        <v>6</v>
      </c>
      <c r="N5819" t="b">
        <v>0</v>
      </c>
      <c r="O5819">
        <v>1</v>
      </c>
      <c r="P5819">
        <v>0</v>
      </c>
      <c r="Q5819">
        <v>0</v>
      </c>
      <c r="R5819">
        <v>0</v>
      </c>
    </row>
    <row r="5820" spans="1:18" x14ac:dyDescent="0.45">
      <c r="A5820" s="19" t="s">
        <v>609</v>
      </c>
      <c r="B5820" s="19" t="s">
        <v>6</v>
      </c>
      <c r="C5820">
        <v>3</v>
      </c>
      <c r="D5820">
        <v>5</v>
      </c>
      <c r="E5820">
        <v>1</v>
      </c>
      <c r="F5820" s="15">
        <v>46258</v>
      </c>
      <c r="G5820" s="19" t="s">
        <v>698</v>
      </c>
      <c r="H5820">
        <v>3</v>
      </c>
      <c r="I5820">
        <v>2026</v>
      </c>
      <c r="J5820">
        <v>8</v>
      </c>
      <c r="K5820" s="19" t="s">
        <v>87</v>
      </c>
      <c r="L5820" s="19" t="s">
        <v>433</v>
      </c>
      <c r="M5820" s="19" t="s">
        <v>6</v>
      </c>
      <c r="N5820" t="b">
        <v>0</v>
      </c>
      <c r="O5820">
        <v>0</v>
      </c>
      <c r="P5820">
        <v>1</v>
      </c>
      <c r="Q5820">
        <v>0</v>
      </c>
      <c r="R5820">
        <v>0</v>
      </c>
    </row>
    <row r="5821" spans="1:18" x14ac:dyDescent="0.45">
      <c r="A5821" s="19" t="s">
        <v>609</v>
      </c>
      <c r="B5821" s="19" t="s">
        <v>6</v>
      </c>
      <c r="C5821">
        <v>3</v>
      </c>
      <c r="D5821">
        <v>5</v>
      </c>
      <c r="E5821">
        <v>1</v>
      </c>
      <c r="F5821" s="15">
        <v>46258</v>
      </c>
      <c r="G5821" s="19" t="s">
        <v>698</v>
      </c>
      <c r="H5821">
        <v>3</v>
      </c>
      <c r="I5821">
        <v>2026</v>
      </c>
      <c r="J5821">
        <v>8</v>
      </c>
      <c r="K5821" s="19" t="s">
        <v>87</v>
      </c>
      <c r="L5821" s="19" t="s">
        <v>20</v>
      </c>
      <c r="M5821" s="19" t="s">
        <v>8</v>
      </c>
      <c r="N5821" t="b">
        <v>0</v>
      </c>
      <c r="O5821">
        <v>0</v>
      </c>
      <c r="P5821">
        <v>1</v>
      </c>
      <c r="Q5821">
        <v>0</v>
      </c>
      <c r="R5821">
        <v>1</v>
      </c>
    </row>
    <row r="5822" spans="1:18" x14ac:dyDescent="0.45">
      <c r="A5822" s="19" t="s">
        <v>13</v>
      </c>
      <c r="B5822" s="19" t="s">
        <v>63</v>
      </c>
      <c r="C5822">
        <v>1</v>
      </c>
      <c r="D5822">
        <v>1</v>
      </c>
      <c r="E5822">
        <v>2</v>
      </c>
      <c r="F5822" s="15">
        <v>46258</v>
      </c>
      <c r="G5822" s="19" t="s">
        <v>699</v>
      </c>
      <c r="H5822">
        <v>4</v>
      </c>
      <c r="I5822">
        <v>2026</v>
      </c>
      <c r="J5822">
        <v>8</v>
      </c>
      <c r="K5822" s="19" t="s">
        <v>87</v>
      </c>
      <c r="L5822" s="19" t="s">
        <v>19</v>
      </c>
      <c r="M5822" s="19" t="s">
        <v>63</v>
      </c>
      <c r="N5822" t="b">
        <v>0</v>
      </c>
      <c r="O5822">
        <v>0</v>
      </c>
      <c r="P5822">
        <v>0</v>
      </c>
      <c r="Q5822">
        <v>1</v>
      </c>
      <c r="R5822">
        <v>0</v>
      </c>
    </row>
    <row r="5823" spans="1:18" x14ac:dyDescent="0.45">
      <c r="A5823" s="19" t="s">
        <v>13</v>
      </c>
      <c r="B5823" s="19" t="s">
        <v>63</v>
      </c>
      <c r="C5823">
        <v>1</v>
      </c>
      <c r="D5823">
        <v>1</v>
      </c>
      <c r="E5823">
        <v>2</v>
      </c>
      <c r="F5823" s="15">
        <v>46258</v>
      </c>
      <c r="G5823" s="19" t="s">
        <v>699</v>
      </c>
      <c r="H5823">
        <v>4</v>
      </c>
      <c r="I5823">
        <v>2026</v>
      </c>
      <c r="J5823">
        <v>8</v>
      </c>
      <c r="K5823" s="19" t="s">
        <v>87</v>
      </c>
      <c r="L5823" s="19" t="s">
        <v>20</v>
      </c>
      <c r="M5823" s="19" t="s">
        <v>63</v>
      </c>
      <c r="N5823" t="b">
        <v>0</v>
      </c>
      <c r="O5823">
        <v>0</v>
      </c>
      <c r="P5823">
        <v>0</v>
      </c>
      <c r="Q5823">
        <v>1</v>
      </c>
      <c r="R5823">
        <v>0</v>
      </c>
    </row>
    <row r="5824" spans="1:18" x14ac:dyDescent="0.45">
      <c r="A5824" s="19" t="s">
        <v>13</v>
      </c>
      <c r="B5824" s="19" t="s">
        <v>63</v>
      </c>
      <c r="C5824">
        <v>1</v>
      </c>
      <c r="D5824">
        <v>1</v>
      </c>
      <c r="E5824">
        <v>2</v>
      </c>
      <c r="F5824" s="15">
        <v>46258</v>
      </c>
      <c r="G5824" s="19" t="s">
        <v>699</v>
      </c>
      <c r="H5824">
        <v>4</v>
      </c>
      <c r="I5824">
        <v>2026</v>
      </c>
      <c r="J5824">
        <v>8</v>
      </c>
      <c r="K5824" s="19" t="s">
        <v>87</v>
      </c>
      <c r="L5824" s="19" t="s">
        <v>15</v>
      </c>
      <c r="M5824" s="19" t="s">
        <v>63</v>
      </c>
      <c r="N5824" t="b">
        <v>0</v>
      </c>
      <c r="O5824">
        <v>0</v>
      </c>
      <c r="P5824">
        <v>0</v>
      </c>
      <c r="Q5824">
        <v>1</v>
      </c>
      <c r="R5824">
        <v>0</v>
      </c>
    </row>
    <row r="5825" spans="1:18" x14ac:dyDescent="0.45">
      <c r="A5825" s="19" t="s">
        <v>19</v>
      </c>
      <c r="B5825" s="19" t="s">
        <v>63</v>
      </c>
      <c r="C5825">
        <v>2</v>
      </c>
      <c r="D5825">
        <v>1</v>
      </c>
      <c r="E5825">
        <v>2</v>
      </c>
      <c r="F5825" s="15">
        <v>46258</v>
      </c>
      <c r="G5825" s="19" t="s">
        <v>699</v>
      </c>
      <c r="H5825">
        <v>4</v>
      </c>
      <c r="I5825">
        <v>2026</v>
      </c>
      <c r="J5825">
        <v>8</v>
      </c>
      <c r="K5825" s="19" t="s">
        <v>87</v>
      </c>
      <c r="L5825" s="19" t="s">
        <v>13</v>
      </c>
      <c r="M5825" s="19" t="s">
        <v>63</v>
      </c>
      <c r="N5825" t="b">
        <v>0</v>
      </c>
      <c r="O5825">
        <v>0</v>
      </c>
      <c r="P5825">
        <v>0</v>
      </c>
      <c r="Q5825">
        <v>1</v>
      </c>
      <c r="R5825">
        <v>0</v>
      </c>
    </row>
    <row r="5826" spans="1:18" x14ac:dyDescent="0.45">
      <c r="A5826" s="19" t="s">
        <v>19</v>
      </c>
      <c r="B5826" s="19" t="s">
        <v>63</v>
      </c>
      <c r="C5826">
        <v>2</v>
      </c>
      <c r="D5826">
        <v>1</v>
      </c>
      <c r="E5826">
        <v>2</v>
      </c>
      <c r="F5826" s="15">
        <v>46258</v>
      </c>
      <c r="G5826" s="19" t="s">
        <v>699</v>
      </c>
      <c r="H5826">
        <v>4</v>
      </c>
      <c r="I5826">
        <v>2026</v>
      </c>
      <c r="J5826">
        <v>8</v>
      </c>
      <c r="K5826" s="19" t="s">
        <v>87</v>
      </c>
      <c r="L5826" s="19" t="s">
        <v>20</v>
      </c>
      <c r="M5826" s="19" t="s">
        <v>63</v>
      </c>
      <c r="N5826" t="b">
        <v>0</v>
      </c>
      <c r="O5826">
        <v>0</v>
      </c>
      <c r="P5826">
        <v>0</v>
      </c>
      <c r="Q5826">
        <v>1</v>
      </c>
      <c r="R5826">
        <v>0</v>
      </c>
    </row>
    <row r="5827" spans="1:18" x14ac:dyDescent="0.45">
      <c r="A5827" s="19" t="s">
        <v>19</v>
      </c>
      <c r="B5827" s="19" t="s">
        <v>63</v>
      </c>
      <c r="C5827">
        <v>2</v>
      </c>
      <c r="D5827">
        <v>1</v>
      </c>
      <c r="E5827">
        <v>2</v>
      </c>
      <c r="F5827" s="15">
        <v>46258</v>
      </c>
      <c r="G5827" s="19" t="s">
        <v>699</v>
      </c>
      <c r="H5827">
        <v>4</v>
      </c>
      <c r="I5827">
        <v>2026</v>
      </c>
      <c r="J5827">
        <v>8</v>
      </c>
      <c r="K5827" s="19" t="s">
        <v>87</v>
      </c>
      <c r="L5827" s="19" t="s">
        <v>15</v>
      </c>
      <c r="M5827" s="19" t="s">
        <v>63</v>
      </c>
      <c r="N5827" t="b">
        <v>0</v>
      </c>
      <c r="O5827">
        <v>0</v>
      </c>
      <c r="P5827">
        <v>0</v>
      </c>
      <c r="Q5827">
        <v>1</v>
      </c>
      <c r="R5827">
        <v>0</v>
      </c>
    </row>
    <row r="5828" spans="1:18" x14ac:dyDescent="0.45">
      <c r="A5828" s="19" t="s">
        <v>20</v>
      </c>
      <c r="B5828" s="19" t="s">
        <v>63</v>
      </c>
      <c r="C5828">
        <v>3</v>
      </c>
      <c r="D5828">
        <v>1</v>
      </c>
      <c r="E5828">
        <v>2</v>
      </c>
      <c r="F5828" s="15">
        <v>46258</v>
      </c>
      <c r="G5828" s="19" t="s">
        <v>699</v>
      </c>
      <c r="H5828">
        <v>4</v>
      </c>
      <c r="I5828">
        <v>2026</v>
      </c>
      <c r="J5828">
        <v>8</v>
      </c>
      <c r="K5828" s="19" t="s">
        <v>87</v>
      </c>
      <c r="L5828" s="19" t="s">
        <v>13</v>
      </c>
      <c r="M5828" s="19" t="s">
        <v>63</v>
      </c>
      <c r="N5828" t="b">
        <v>0</v>
      </c>
      <c r="O5828">
        <v>0</v>
      </c>
      <c r="P5828">
        <v>0</v>
      </c>
      <c r="Q5828">
        <v>1</v>
      </c>
      <c r="R5828">
        <v>0</v>
      </c>
    </row>
    <row r="5829" spans="1:18" x14ac:dyDescent="0.45">
      <c r="A5829" s="19" t="s">
        <v>20</v>
      </c>
      <c r="B5829" s="19" t="s">
        <v>63</v>
      </c>
      <c r="C5829">
        <v>3</v>
      </c>
      <c r="D5829">
        <v>1</v>
      </c>
      <c r="E5829">
        <v>2</v>
      </c>
      <c r="F5829" s="15">
        <v>46258</v>
      </c>
      <c r="G5829" s="19" t="s">
        <v>699</v>
      </c>
      <c r="H5829">
        <v>4</v>
      </c>
      <c r="I5829">
        <v>2026</v>
      </c>
      <c r="J5829">
        <v>8</v>
      </c>
      <c r="K5829" s="19" t="s">
        <v>87</v>
      </c>
      <c r="L5829" s="19" t="s">
        <v>19</v>
      </c>
      <c r="M5829" s="19" t="s">
        <v>63</v>
      </c>
      <c r="N5829" t="b">
        <v>0</v>
      </c>
      <c r="O5829">
        <v>0</v>
      </c>
      <c r="P5829">
        <v>0</v>
      </c>
      <c r="Q5829">
        <v>1</v>
      </c>
      <c r="R5829">
        <v>0</v>
      </c>
    </row>
    <row r="5830" spans="1:18" x14ac:dyDescent="0.45">
      <c r="A5830" s="19" t="s">
        <v>20</v>
      </c>
      <c r="B5830" s="19" t="s">
        <v>63</v>
      </c>
      <c r="C5830">
        <v>3</v>
      </c>
      <c r="D5830">
        <v>1</v>
      </c>
      <c r="E5830">
        <v>2</v>
      </c>
      <c r="F5830" s="15">
        <v>46258</v>
      </c>
      <c r="G5830" s="19" t="s">
        <v>699</v>
      </c>
      <c r="H5830">
        <v>4</v>
      </c>
      <c r="I5830">
        <v>2026</v>
      </c>
      <c r="J5830">
        <v>8</v>
      </c>
      <c r="K5830" s="19" t="s">
        <v>87</v>
      </c>
      <c r="L5830" s="19" t="s">
        <v>15</v>
      </c>
      <c r="M5830" s="19" t="s">
        <v>63</v>
      </c>
      <c r="N5830" t="b">
        <v>0</v>
      </c>
      <c r="O5830">
        <v>0</v>
      </c>
      <c r="P5830">
        <v>0</v>
      </c>
      <c r="Q5830">
        <v>1</v>
      </c>
      <c r="R5830">
        <v>0</v>
      </c>
    </row>
    <row r="5831" spans="1:18" x14ac:dyDescent="0.45">
      <c r="A5831" s="19" t="s">
        <v>15</v>
      </c>
      <c r="B5831" s="19" t="s">
        <v>63</v>
      </c>
      <c r="C5831">
        <v>4</v>
      </c>
      <c r="D5831">
        <v>1</v>
      </c>
      <c r="E5831">
        <v>2</v>
      </c>
      <c r="F5831" s="15">
        <v>46258</v>
      </c>
      <c r="G5831" s="19" t="s">
        <v>699</v>
      </c>
      <c r="H5831">
        <v>4</v>
      </c>
      <c r="I5831">
        <v>2026</v>
      </c>
      <c r="J5831">
        <v>8</v>
      </c>
      <c r="K5831" s="19" t="s">
        <v>87</v>
      </c>
      <c r="L5831" s="19" t="s">
        <v>13</v>
      </c>
      <c r="M5831" s="19" t="s">
        <v>63</v>
      </c>
      <c r="N5831" t="b">
        <v>0</v>
      </c>
      <c r="O5831">
        <v>0</v>
      </c>
      <c r="P5831">
        <v>0</v>
      </c>
      <c r="Q5831">
        <v>1</v>
      </c>
      <c r="R5831">
        <v>0</v>
      </c>
    </row>
    <row r="5832" spans="1:18" x14ac:dyDescent="0.45">
      <c r="A5832" s="19" t="s">
        <v>15</v>
      </c>
      <c r="B5832" s="19" t="s">
        <v>63</v>
      </c>
      <c r="C5832">
        <v>4</v>
      </c>
      <c r="D5832">
        <v>1</v>
      </c>
      <c r="E5832">
        <v>2</v>
      </c>
      <c r="F5832" s="15">
        <v>46258</v>
      </c>
      <c r="G5832" s="19" t="s">
        <v>699</v>
      </c>
      <c r="H5832">
        <v>4</v>
      </c>
      <c r="I5832">
        <v>2026</v>
      </c>
      <c r="J5832">
        <v>8</v>
      </c>
      <c r="K5832" s="19" t="s">
        <v>87</v>
      </c>
      <c r="L5832" s="19" t="s">
        <v>19</v>
      </c>
      <c r="M5832" s="19" t="s">
        <v>63</v>
      </c>
      <c r="N5832" t="b">
        <v>0</v>
      </c>
      <c r="O5832">
        <v>0</v>
      </c>
      <c r="P5832">
        <v>0</v>
      </c>
      <c r="Q5832">
        <v>1</v>
      </c>
      <c r="R5832">
        <v>0</v>
      </c>
    </row>
    <row r="5833" spans="1:18" x14ac:dyDescent="0.45">
      <c r="A5833" s="19" t="s">
        <v>15</v>
      </c>
      <c r="B5833" s="19" t="s">
        <v>63</v>
      </c>
      <c r="C5833">
        <v>4</v>
      </c>
      <c r="D5833">
        <v>1</v>
      </c>
      <c r="E5833">
        <v>2</v>
      </c>
      <c r="F5833" s="15">
        <v>46258</v>
      </c>
      <c r="G5833" s="19" t="s">
        <v>699</v>
      </c>
      <c r="H5833">
        <v>4</v>
      </c>
      <c r="I5833">
        <v>2026</v>
      </c>
      <c r="J5833">
        <v>8</v>
      </c>
      <c r="K5833" s="19" t="s">
        <v>87</v>
      </c>
      <c r="L5833" s="19" t="s">
        <v>20</v>
      </c>
      <c r="M5833" s="19" t="s">
        <v>63</v>
      </c>
      <c r="N5833" t="b">
        <v>0</v>
      </c>
      <c r="O5833">
        <v>0</v>
      </c>
      <c r="P5833">
        <v>0</v>
      </c>
      <c r="Q5833">
        <v>1</v>
      </c>
      <c r="R5833">
        <v>0</v>
      </c>
    </row>
    <row r="5834" spans="1:18" x14ac:dyDescent="0.45">
      <c r="A5834" s="19" t="s">
        <v>578</v>
      </c>
      <c r="B5834" s="19" t="s">
        <v>63</v>
      </c>
      <c r="C5834">
        <v>1</v>
      </c>
      <c r="D5834">
        <v>2</v>
      </c>
      <c r="E5834">
        <v>2</v>
      </c>
      <c r="F5834" s="15">
        <v>46258</v>
      </c>
      <c r="G5834" s="19" t="s">
        <v>700</v>
      </c>
      <c r="H5834">
        <v>4</v>
      </c>
      <c r="I5834">
        <v>2026</v>
      </c>
      <c r="J5834">
        <v>8</v>
      </c>
      <c r="K5834" s="19" t="s">
        <v>87</v>
      </c>
      <c r="L5834" s="19" t="s">
        <v>14</v>
      </c>
      <c r="M5834" s="19" t="s">
        <v>63</v>
      </c>
      <c r="N5834" t="b">
        <v>0</v>
      </c>
      <c r="O5834">
        <v>0</v>
      </c>
      <c r="P5834">
        <v>0</v>
      </c>
      <c r="Q5834">
        <v>1</v>
      </c>
      <c r="R5834">
        <v>0</v>
      </c>
    </row>
    <row r="5835" spans="1:18" x14ac:dyDescent="0.45">
      <c r="A5835" s="19" t="s">
        <v>578</v>
      </c>
      <c r="B5835" s="19" t="s">
        <v>63</v>
      </c>
      <c r="C5835">
        <v>1</v>
      </c>
      <c r="D5835">
        <v>2</v>
      </c>
      <c r="E5835">
        <v>2</v>
      </c>
      <c r="F5835" s="15">
        <v>46258</v>
      </c>
      <c r="G5835" s="19" t="s">
        <v>700</v>
      </c>
      <c r="H5835">
        <v>4</v>
      </c>
      <c r="I5835">
        <v>2026</v>
      </c>
      <c r="J5835">
        <v>8</v>
      </c>
      <c r="K5835" s="19" t="s">
        <v>87</v>
      </c>
      <c r="L5835" s="19" t="s">
        <v>10</v>
      </c>
      <c r="M5835" s="19" t="s">
        <v>63</v>
      </c>
      <c r="N5835" t="b">
        <v>0</v>
      </c>
      <c r="O5835">
        <v>0</v>
      </c>
      <c r="P5835">
        <v>0</v>
      </c>
      <c r="Q5835">
        <v>1</v>
      </c>
      <c r="R5835">
        <v>0</v>
      </c>
    </row>
    <row r="5836" spans="1:18" x14ac:dyDescent="0.45">
      <c r="A5836" s="19" t="s">
        <v>578</v>
      </c>
      <c r="B5836" s="19" t="s">
        <v>63</v>
      </c>
      <c r="C5836">
        <v>1</v>
      </c>
      <c r="D5836">
        <v>2</v>
      </c>
      <c r="E5836">
        <v>2</v>
      </c>
      <c r="F5836" s="15">
        <v>46258</v>
      </c>
      <c r="G5836" s="19" t="s">
        <v>700</v>
      </c>
      <c r="H5836">
        <v>4</v>
      </c>
      <c r="I5836">
        <v>2026</v>
      </c>
      <c r="J5836">
        <v>8</v>
      </c>
      <c r="K5836" s="19" t="s">
        <v>87</v>
      </c>
      <c r="L5836" s="19" t="s">
        <v>41</v>
      </c>
      <c r="M5836" s="19" t="s">
        <v>63</v>
      </c>
      <c r="N5836" t="b">
        <v>0</v>
      </c>
      <c r="O5836">
        <v>0</v>
      </c>
      <c r="P5836">
        <v>0</v>
      </c>
      <c r="Q5836">
        <v>1</v>
      </c>
      <c r="R5836">
        <v>0</v>
      </c>
    </row>
    <row r="5837" spans="1:18" x14ac:dyDescent="0.45">
      <c r="A5837" s="19" t="s">
        <v>14</v>
      </c>
      <c r="B5837" s="19" t="s">
        <v>63</v>
      </c>
      <c r="C5837">
        <v>2</v>
      </c>
      <c r="D5837">
        <v>2</v>
      </c>
      <c r="E5837">
        <v>2</v>
      </c>
      <c r="F5837" s="15">
        <v>46258</v>
      </c>
      <c r="G5837" s="19" t="s">
        <v>700</v>
      </c>
      <c r="H5837">
        <v>4</v>
      </c>
      <c r="I5837">
        <v>2026</v>
      </c>
      <c r="J5837">
        <v>8</v>
      </c>
      <c r="K5837" s="19" t="s">
        <v>87</v>
      </c>
      <c r="L5837" s="19" t="s">
        <v>578</v>
      </c>
      <c r="M5837" s="19" t="s">
        <v>63</v>
      </c>
      <c r="N5837" t="b">
        <v>0</v>
      </c>
      <c r="O5837">
        <v>0</v>
      </c>
      <c r="P5837">
        <v>0</v>
      </c>
      <c r="Q5837">
        <v>1</v>
      </c>
      <c r="R5837">
        <v>0</v>
      </c>
    </row>
    <row r="5838" spans="1:18" x14ac:dyDescent="0.45">
      <c r="A5838" s="19" t="s">
        <v>14</v>
      </c>
      <c r="B5838" s="19" t="s">
        <v>63</v>
      </c>
      <c r="C5838">
        <v>2</v>
      </c>
      <c r="D5838">
        <v>2</v>
      </c>
      <c r="E5838">
        <v>2</v>
      </c>
      <c r="F5838" s="15">
        <v>46258</v>
      </c>
      <c r="G5838" s="19" t="s">
        <v>700</v>
      </c>
      <c r="H5838">
        <v>4</v>
      </c>
      <c r="I5838">
        <v>2026</v>
      </c>
      <c r="J5838">
        <v>8</v>
      </c>
      <c r="K5838" s="19" t="s">
        <v>87</v>
      </c>
      <c r="L5838" s="19" t="s">
        <v>10</v>
      </c>
      <c r="M5838" s="19" t="s">
        <v>63</v>
      </c>
      <c r="N5838" t="b">
        <v>0</v>
      </c>
      <c r="O5838">
        <v>0</v>
      </c>
      <c r="P5838">
        <v>0</v>
      </c>
      <c r="Q5838">
        <v>1</v>
      </c>
      <c r="R5838">
        <v>0</v>
      </c>
    </row>
    <row r="5839" spans="1:18" x14ac:dyDescent="0.45">
      <c r="A5839" s="19" t="s">
        <v>14</v>
      </c>
      <c r="B5839" s="19" t="s">
        <v>63</v>
      </c>
      <c r="C5839">
        <v>2</v>
      </c>
      <c r="D5839">
        <v>2</v>
      </c>
      <c r="E5839">
        <v>2</v>
      </c>
      <c r="F5839" s="15">
        <v>46258</v>
      </c>
      <c r="G5839" s="19" t="s">
        <v>700</v>
      </c>
      <c r="H5839">
        <v>4</v>
      </c>
      <c r="I5839">
        <v>2026</v>
      </c>
      <c r="J5839">
        <v>8</v>
      </c>
      <c r="K5839" s="19" t="s">
        <v>87</v>
      </c>
      <c r="L5839" s="19" t="s">
        <v>41</v>
      </c>
      <c r="M5839" s="19" t="s">
        <v>63</v>
      </c>
      <c r="N5839" t="b">
        <v>0</v>
      </c>
      <c r="O5839">
        <v>0</v>
      </c>
      <c r="P5839">
        <v>0</v>
      </c>
      <c r="Q5839">
        <v>1</v>
      </c>
      <c r="R5839">
        <v>0</v>
      </c>
    </row>
    <row r="5840" spans="1:18" x14ac:dyDescent="0.45">
      <c r="A5840" s="19" t="s">
        <v>10</v>
      </c>
      <c r="B5840" s="19" t="s">
        <v>63</v>
      </c>
      <c r="C5840">
        <v>3</v>
      </c>
      <c r="D5840">
        <v>2</v>
      </c>
      <c r="E5840">
        <v>2</v>
      </c>
      <c r="F5840" s="15">
        <v>46258</v>
      </c>
      <c r="G5840" s="19" t="s">
        <v>700</v>
      </c>
      <c r="H5840">
        <v>4</v>
      </c>
      <c r="I5840">
        <v>2026</v>
      </c>
      <c r="J5840">
        <v>8</v>
      </c>
      <c r="K5840" s="19" t="s">
        <v>87</v>
      </c>
      <c r="L5840" s="19" t="s">
        <v>578</v>
      </c>
      <c r="M5840" s="19" t="s">
        <v>63</v>
      </c>
      <c r="N5840" t="b">
        <v>0</v>
      </c>
      <c r="O5840">
        <v>0</v>
      </c>
      <c r="P5840">
        <v>0</v>
      </c>
      <c r="Q5840">
        <v>1</v>
      </c>
      <c r="R5840">
        <v>0</v>
      </c>
    </row>
    <row r="5841" spans="1:18" x14ac:dyDescent="0.45">
      <c r="A5841" s="19" t="s">
        <v>10</v>
      </c>
      <c r="B5841" s="19" t="s">
        <v>63</v>
      </c>
      <c r="C5841">
        <v>3</v>
      </c>
      <c r="D5841">
        <v>2</v>
      </c>
      <c r="E5841">
        <v>2</v>
      </c>
      <c r="F5841" s="15">
        <v>46258</v>
      </c>
      <c r="G5841" s="19" t="s">
        <v>700</v>
      </c>
      <c r="H5841">
        <v>4</v>
      </c>
      <c r="I5841">
        <v>2026</v>
      </c>
      <c r="J5841">
        <v>8</v>
      </c>
      <c r="K5841" s="19" t="s">
        <v>87</v>
      </c>
      <c r="L5841" s="19" t="s">
        <v>14</v>
      </c>
      <c r="M5841" s="19" t="s">
        <v>63</v>
      </c>
      <c r="N5841" t="b">
        <v>0</v>
      </c>
      <c r="O5841">
        <v>0</v>
      </c>
      <c r="P5841">
        <v>0</v>
      </c>
      <c r="Q5841">
        <v>1</v>
      </c>
      <c r="R5841">
        <v>0</v>
      </c>
    </row>
    <row r="5842" spans="1:18" x14ac:dyDescent="0.45">
      <c r="A5842" s="19" t="s">
        <v>10</v>
      </c>
      <c r="B5842" s="19" t="s">
        <v>63</v>
      </c>
      <c r="C5842">
        <v>3</v>
      </c>
      <c r="D5842">
        <v>2</v>
      </c>
      <c r="E5842">
        <v>2</v>
      </c>
      <c r="F5842" s="15">
        <v>46258</v>
      </c>
      <c r="G5842" s="19" t="s">
        <v>700</v>
      </c>
      <c r="H5842">
        <v>4</v>
      </c>
      <c r="I5842">
        <v>2026</v>
      </c>
      <c r="J5842">
        <v>8</v>
      </c>
      <c r="K5842" s="19" t="s">
        <v>87</v>
      </c>
      <c r="L5842" s="19" t="s">
        <v>41</v>
      </c>
      <c r="M5842" s="19" t="s">
        <v>63</v>
      </c>
      <c r="N5842" t="b">
        <v>0</v>
      </c>
      <c r="O5842">
        <v>0</v>
      </c>
      <c r="P5842">
        <v>0</v>
      </c>
      <c r="Q5842">
        <v>1</v>
      </c>
      <c r="R5842">
        <v>0</v>
      </c>
    </row>
    <row r="5843" spans="1:18" x14ac:dyDescent="0.45">
      <c r="A5843" s="19" t="s">
        <v>41</v>
      </c>
      <c r="B5843" s="19" t="s">
        <v>63</v>
      </c>
      <c r="C5843">
        <v>4</v>
      </c>
      <c r="D5843">
        <v>2</v>
      </c>
      <c r="E5843">
        <v>2</v>
      </c>
      <c r="F5843" s="15">
        <v>46258</v>
      </c>
      <c r="G5843" s="19" t="s">
        <v>700</v>
      </c>
      <c r="H5843">
        <v>4</v>
      </c>
      <c r="I5843">
        <v>2026</v>
      </c>
      <c r="J5843">
        <v>8</v>
      </c>
      <c r="K5843" s="19" t="s">
        <v>87</v>
      </c>
      <c r="L5843" s="19" t="s">
        <v>578</v>
      </c>
      <c r="M5843" s="19" t="s">
        <v>63</v>
      </c>
      <c r="N5843" t="b">
        <v>0</v>
      </c>
      <c r="O5843">
        <v>0</v>
      </c>
      <c r="P5843">
        <v>0</v>
      </c>
      <c r="Q5843">
        <v>1</v>
      </c>
      <c r="R5843">
        <v>0</v>
      </c>
    </row>
    <row r="5844" spans="1:18" x14ac:dyDescent="0.45">
      <c r="A5844" s="19" t="s">
        <v>41</v>
      </c>
      <c r="B5844" s="19" t="s">
        <v>63</v>
      </c>
      <c r="C5844">
        <v>4</v>
      </c>
      <c r="D5844">
        <v>2</v>
      </c>
      <c r="E5844">
        <v>2</v>
      </c>
      <c r="F5844" s="15">
        <v>46258</v>
      </c>
      <c r="G5844" s="19" t="s">
        <v>700</v>
      </c>
      <c r="H5844">
        <v>4</v>
      </c>
      <c r="I5844">
        <v>2026</v>
      </c>
      <c r="J5844">
        <v>8</v>
      </c>
      <c r="K5844" s="19" t="s">
        <v>87</v>
      </c>
      <c r="L5844" s="19" t="s">
        <v>14</v>
      </c>
      <c r="M5844" s="19" t="s">
        <v>63</v>
      </c>
      <c r="N5844" t="b">
        <v>0</v>
      </c>
      <c r="O5844">
        <v>0</v>
      </c>
      <c r="P5844">
        <v>0</v>
      </c>
      <c r="Q5844">
        <v>1</v>
      </c>
      <c r="R5844">
        <v>0</v>
      </c>
    </row>
    <row r="5845" spans="1:18" x14ac:dyDescent="0.45">
      <c r="A5845" s="19" t="s">
        <v>41</v>
      </c>
      <c r="B5845" s="19" t="s">
        <v>63</v>
      </c>
      <c r="C5845">
        <v>4</v>
      </c>
      <c r="D5845">
        <v>2</v>
      </c>
      <c r="E5845">
        <v>2</v>
      </c>
      <c r="F5845" s="15">
        <v>46258</v>
      </c>
      <c r="G5845" s="19" t="s">
        <v>700</v>
      </c>
      <c r="H5845">
        <v>4</v>
      </c>
      <c r="I5845">
        <v>2026</v>
      </c>
      <c r="J5845">
        <v>8</v>
      </c>
      <c r="K5845" s="19" t="s">
        <v>87</v>
      </c>
      <c r="L5845" s="19" t="s">
        <v>10</v>
      </c>
      <c r="M5845" s="19" t="s">
        <v>63</v>
      </c>
      <c r="N5845" t="b">
        <v>0</v>
      </c>
      <c r="O5845">
        <v>0</v>
      </c>
      <c r="P5845">
        <v>0</v>
      </c>
      <c r="Q5845">
        <v>1</v>
      </c>
      <c r="R5845">
        <v>0</v>
      </c>
    </row>
    <row r="5846" spans="1:18" x14ac:dyDescent="0.45">
      <c r="A5846" s="19" t="s">
        <v>325</v>
      </c>
      <c r="B5846" s="19" t="s">
        <v>63</v>
      </c>
      <c r="C5846">
        <v>1</v>
      </c>
      <c r="D5846">
        <v>3</v>
      </c>
      <c r="E5846">
        <v>2</v>
      </c>
      <c r="F5846" s="15">
        <v>46258</v>
      </c>
      <c r="G5846" s="19" t="s">
        <v>701</v>
      </c>
      <c r="H5846">
        <v>3</v>
      </c>
      <c r="I5846">
        <v>2026</v>
      </c>
      <c r="J5846">
        <v>8</v>
      </c>
      <c r="K5846" s="19" t="s">
        <v>87</v>
      </c>
      <c r="L5846" s="19" t="s">
        <v>9</v>
      </c>
      <c r="M5846" s="19" t="s">
        <v>63</v>
      </c>
      <c r="N5846" t="b">
        <v>0</v>
      </c>
      <c r="O5846">
        <v>0</v>
      </c>
      <c r="P5846">
        <v>0</v>
      </c>
      <c r="Q5846">
        <v>1</v>
      </c>
      <c r="R5846">
        <v>0</v>
      </c>
    </row>
    <row r="5847" spans="1:18" x14ac:dyDescent="0.45">
      <c r="A5847" s="19" t="s">
        <v>325</v>
      </c>
      <c r="B5847" s="19" t="s">
        <v>63</v>
      </c>
      <c r="C5847">
        <v>1</v>
      </c>
      <c r="D5847">
        <v>3</v>
      </c>
      <c r="E5847">
        <v>2</v>
      </c>
      <c r="F5847" s="15">
        <v>46258</v>
      </c>
      <c r="G5847" s="19" t="s">
        <v>701</v>
      </c>
      <c r="H5847">
        <v>3</v>
      </c>
      <c r="I5847">
        <v>2026</v>
      </c>
      <c r="J5847">
        <v>8</v>
      </c>
      <c r="K5847" s="19" t="s">
        <v>87</v>
      </c>
      <c r="L5847" s="19" t="s">
        <v>17</v>
      </c>
      <c r="M5847" s="19" t="s">
        <v>63</v>
      </c>
      <c r="N5847" t="b">
        <v>0</v>
      </c>
      <c r="O5847">
        <v>0</v>
      </c>
      <c r="P5847">
        <v>0</v>
      </c>
      <c r="Q5847">
        <v>1</v>
      </c>
      <c r="R5847">
        <v>0</v>
      </c>
    </row>
    <row r="5848" spans="1:18" x14ac:dyDescent="0.45">
      <c r="A5848" s="19" t="s">
        <v>9</v>
      </c>
      <c r="B5848" s="19" t="s">
        <v>63</v>
      </c>
      <c r="C5848">
        <v>2</v>
      </c>
      <c r="D5848">
        <v>3</v>
      </c>
      <c r="E5848">
        <v>2</v>
      </c>
      <c r="F5848" s="15">
        <v>46258</v>
      </c>
      <c r="G5848" s="19" t="s">
        <v>701</v>
      </c>
      <c r="H5848">
        <v>3</v>
      </c>
      <c r="I5848">
        <v>2026</v>
      </c>
      <c r="J5848">
        <v>8</v>
      </c>
      <c r="K5848" s="19" t="s">
        <v>87</v>
      </c>
      <c r="L5848" s="19" t="s">
        <v>325</v>
      </c>
      <c r="M5848" s="19" t="s">
        <v>63</v>
      </c>
      <c r="N5848" t="b">
        <v>0</v>
      </c>
      <c r="O5848">
        <v>0</v>
      </c>
      <c r="P5848">
        <v>0</v>
      </c>
      <c r="Q5848">
        <v>1</v>
      </c>
      <c r="R5848">
        <v>0</v>
      </c>
    </row>
    <row r="5849" spans="1:18" x14ac:dyDescent="0.45">
      <c r="A5849" s="19" t="s">
        <v>9</v>
      </c>
      <c r="B5849" s="19" t="s">
        <v>63</v>
      </c>
      <c r="C5849">
        <v>2</v>
      </c>
      <c r="D5849">
        <v>3</v>
      </c>
      <c r="E5849">
        <v>2</v>
      </c>
      <c r="F5849" s="15">
        <v>46258</v>
      </c>
      <c r="G5849" s="19" t="s">
        <v>701</v>
      </c>
      <c r="H5849">
        <v>3</v>
      </c>
      <c r="I5849">
        <v>2026</v>
      </c>
      <c r="J5849">
        <v>8</v>
      </c>
      <c r="K5849" s="19" t="s">
        <v>87</v>
      </c>
      <c r="L5849" s="19" t="s">
        <v>17</v>
      </c>
      <c r="M5849" s="19" t="s">
        <v>63</v>
      </c>
      <c r="N5849" t="b">
        <v>0</v>
      </c>
      <c r="O5849">
        <v>0</v>
      </c>
      <c r="P5849">
        <v>0</v>
      </c>
      <c r="Q5849">
        <v>1</v>
      </c>
      <c r="R5849">
        <v>0</v>
      </c>
    </row>
    <row r="5850" spans="1:18" x14ac:dyDescent="0.45">
      <c r="A5850" s="19" t="s">
        <v>17</v>
      </c>
      <c r="B5850" s="19" t="s">
        <v>63</v>
      </c>
      <c r="C5850">
        <v>3</v>
      </c>
      <c r="D5850">
        <v>3</v>
      </c>
      <c r="E5850">
        <v>2</v>
      </c>
      <c r="F5850" s="15">
        <v>46258</v>
      </c>
      <c r="G5850" s="19" t="s">
        <v>701</v>
      </c>
      <c r="H5850">
        <v>3</v>
      </c>
      <c r="I5850">
        <v>2026</v>
      </c>
      <c r="J5850">
        <v>8</v>
      </c>
      <c r="K5850" s="19" t="s">
        <v>87</v>
      </c>
      <c r="L5850" s="19" t="s">
        <v>325</v>
      </c>
      <c r="M5850" s="19" t="s">
        <v>63</v>
      </c>
      <c r="N5850" t="b">
        <v>0</v>
      </c>
      <c r="O5850">
        <v>0</v>
      </c>
      <c r="P5850">
        <v>0</v>
      </c>
      <c r="Q5850">
        <v>1</v>
      </c>
      <c r="R5850">
        <v>0</v>
      </c>
    </row>
    <row r="5851" spans="1:18" x14ac:dyDescent="0.45">
      <c r="A5851" s="19" t="s">
        <v>17</v>
      </c>
      <c r="B5851" s="19" t="s">
        <v>63</v>
      </c>
      <c r="C5851">
        <v>3</v>
      </c>
      <c r="D5851">
        <v>3</v>
      </c>
      <c r="E5851">
        <v>2</v>
      </c>
      <c r="F5851" s="15">
        <v>46258</v>
      </c>
      <c r="G5851" s="19" t="s">
        <v>701</v>
      </c>
      <c r="H5851">
        <v>3</v>
      </c>
      <c r="I5851">
        <v>2026</v>
      </c>
      <c r="J5851">
        <v>8</v>
      </c>
      <c r="K5851" s="19" t="s">
        <v>87</v>
      </c>
      <c r="L5851" s="19" t="s">
        <v>9</v>
      </c>
      <c r="M5851" s="19" t="s">
        <v>63</v>
      </c>
      <c r="N5851" t="b">
        <v>0</v>
      </c>
      <c r="O5851">
        <v>0</v>
      </c>
      <c r="P5851">
        <v>0</v>
      </c>
      <c r="Q5851">
        <v>1</v>
      </c>
      <c r="R5851">
        <v>0</v>
      </c>
    </row>
    <row r="5852" spans="1:18" x14ac:dyDescent="0.45">
      <c r="A5852" s="19" t="s">
        <v>351</v>
      </c>
      <c r="B5852" s="19" t="s">
        <v>63</v>
      </c>
      <c r="C5852">
        <v>1</v>
      </c>
      <c r="D5852">
        <v>4</v>
      </c>
      <c r="E5852">
        <v>2</v>
      </c>
      <c r="F5852" s="15">
        <v>46258</v>
      </c>
      <c r="G5852" s="19" t="s">
        <v>702</v>
      </c>
      <c r="H5852">
        <v>3</v>
      </c>
      <c r="I5852">
        <v>2026</v>
      </c>
      <c r="J5852">
        <v>8</v>
      </c>
      <c r="K5852" s="19" t="s">
        <v>87</v>
      </c>
      <c r="L5852" s="19" t="s">
        <v>28</v>
      </c>
      <c r="M5852" s="19" t="s">
        <v>63</v>
      </c>
      <c r="N5852" t="b">
        <v>0</v>
      </c>
      <c r="O5852">
        <v>0</v>
      </c>
      <c r="P5852">
        <v>0</v>
      </c>
      <c r="Q5852">
        <v>1</v>
      </c>
      <c r="R5852">
        <v>0</v>
      </c>
    </row>
    <row r="5853" spans="1:18" x14ac:dyDescent="0.45">
      <c r="A5853" s="19" t="s">
        <v>351</v>
      </c>
      <c r="B5853" s="19" t="s">
        <v>63</v>
      </c>
      <c r="C5853">
        <v>1</v>
      </c>
      <c r="D5853">
        <v>4</v>
      </c>
      <c r="E5853">
        <v>2</v>
      </c>
      <c r="F5853" s="15">
        <v>46258</v>
      </c>
      <c r="G5853" s="19" t="s">
        <v>702</v>
      </c>
      <c r="H5853">
        <v>3</v>
      </c>
      <c r="I5853">
        <v>2026</v>
      </c>
      <c r="J5853">
        <v>8</v>
      </c>
      <c r="K5853" s="19" t="s">
        <v>87</v>
      </c>
      <c r="L5853" s="19" t="s">
        <v>433</v>
      </c>
      <c r="M5853" s="19" t="s">
        <v>63</v>
      </c>
      <c r="N5853" t="b">
        <v>0</v>
      </c>
      <c r="O5853">
        <v>0</v>
      </c>
      <c r="P5853">
        <v>0</v>
      </c>
      <c r="Q5853">
        <v>1</v>
      </c>
      <c r="R5853">
        <v>0</v>
      </c>
    </row>
    <row r="5854" spans="1:18" x14ac:dyDescent="0.45">
      <c r="A5854" s="19" t="s">
        <v>28</v>
      </c>
      <c r="B5854" s="19" t="s">
        <v>63</v>
      </c>
      <c r="C5854">
        <v>2</v>
      </c>
      <c r="D5854">
        <v>4</v>
      </c>
      <c r="E5854">
        <v>2</v>
      </c>
      <c r="F5854" s="15">
        <v>46258</v>
      </c>
      <c r="G5854" s="19" t="s">
        <v>702</v>
      </c>
      <c r="H5854">
        <v>3</v>
      </c>
      <c r="I5854">
        <v>2026</v>
      </c>
      <c r="J5854">
        <v>8</v>
      </c>
      <c r="K5854" s="19" t="s">
        <v>87</v>
      </c>
      <c r="L5854" s="19" t="s">
        <v>351</v>
      </c>
      <c r="M5854" s="19" t="s">
        <v>63</v>
      </c>
      <c r="N5854" t="b">
        <v>0</v>
      </c>
      <c r="O5854">
        <v>0</v>
      </c>
      <c r="P5854">
        <v>0</v>
      </c>
      <c r="Q5854">
        <v>1</v>
      </c>
      <c r="R5854">
        <v>0</v>
      </c>
    </row>
    <row r="5855" spans="1:18" x14ac:dyDescent="0.45">
      <c r="A5855" s="19" t="s">
        <v>28</v>
      </c>
      <c r="B5855" s="19" t="s">
        <v>63</v>
      </c>
      <c r="C5855">
        <v>2</v>
      </c>
      <c r="D5855">
        <v>4</v>
      </c>
      <c r="E5855">
        <v>2</v>
      </c>
      <c r="F5855" s="15">
        <v>46258</v>
      </c>
      <c r="G5855" s="19" t="s">
        <v>702</v>
      </c>
      <c r="H5855">
        <v>3</v>
      </c>
      <c r="I5855">
        <v>2026</v>
      </c>
      <c r="J5855">
        <v>8</v>
      </c>
      <c r="K5855" s="19" t="s">
        <v>87</v>
      </c>
      <c r="L5855" s="19" t="s">
        <v>433</v>
      </c>
      <c r="M5855" s="19" t="s">
        <v>63</v>
      </c>
      <c r="N5855" t="b">
        <v>0</v>
      </c>
      <c r="O5855">
        <v>0</v>
      </c>
      <c r="P5855">
        <v>0</v>
      </c>
      <c r="Q5855">
        <v>1</v>
      </c>
      <c r="R5855">
        <v>0</v>
      </c>
    </row>
    <row r="5856" spans="1:18" x14ac:dyDescent="0.45">
      <c r="A5856" s="19" t="s">
        <v>433</v>
      </c>
      <c r="B5856" s="19" t="s">
        <v>63</v>
      </c>
      <c r="C5856">
        <v>3</v>
      </c>
      <c r="D5856">
        <v>4</v>
      </c>
      <c r="E5856">
        <v>2</v>
      </c>
      <c r="F5856" s="15">
        <v>46258</v>
      </c>
      <c r="G5856" s="19" t="s">
        <v>702</v>
      </c>
      <c r="H5856">
        <v>3</v>
      </c>
      <c r="I5856">
        <v>2026</v>
      </c>
      <c r="J5856">
        <v>8</v>
      </c>
      <c r="K5856" s="19" t="s">
        <v>87</v>
      </c>
      <c r="L5856" s="19" t="s">
        <v>351</v>
      </c>
      <c r="M5856" s="19" t="s">
        <v>63</v>
      </c>
      <c r="N5856" t="b">
        <v>0</v>
      </c>
      <c r="O5856">
        <v>0</v>
      </c>
      <c r="P5856">
        <v>0</v>
      </c>
      <c r="Q5856">
        <v>1</v>
      </c>
      <c r="R5856">
        <v>0</v>
      </c>
    </row>
    <row r="5857" spans="1:18" x14ac:dyDescent="0.45">
      <c r="A5857" s="19" t="s">
        <v>433</v>
      </c>
      <c r="B5857" s="19" t="s">
        <v>63</v>
      </c>
      <c r="C5857">
        <v>3</v>
      </c>
      <c r="D5857">
        <v>4</v>
      </c>
      <c r="E5857">
        <v>2</v>
      </c>
      <c r="F5857" s="15">
        <v>46258</v>
      </c>
      <c r="G5857" s="19" t="s">
        <v>702</v>
      </c>
      <c r="H5857">
        <v>3</v>
      </c>
      <c r="I5857">
        <v>2026</v>
      </c>
      <c r="J5857">
        <v>8</v>
      </c>
      <c r="K5857" s="19" t="s">
        <v>87</v>
      </c>
      <c r="L5857" s="19" t="s">
        <v>28</v>
      </c>
      <c r="M5857" s="19" t="s">
        <v>63</v>
      </c>
      <c r="N5857" t="b">
        <v>0</v>
      </c>
      <c r="O5857">
        <v>0</v>
      </c>
      <c r="P5857">
        <v>0</v>
      </c>
      <c r="Q5857">
        <v>1</v>
      </c>
      <c r="R5857">
        <v>0</v>
      </c>
    </row>
    <row r="5858" spans="1:18" x14ac:dyDescent="0.45">
      <c r="A5858" s="19" t="s">
        <v>405</v>
      </c>
      <c r="B5858" s="19" t="s">
        <v>8</v>
      </c>
      <c r="C5858">
        <v>1</v>
      </c>
      <c r="D5858">
        <v>5</v>
      </c>
      <c r="E5858">
        <v>2</v>
      </c>
      <c r="F5858" s="15">
        <v>46258</v>
      </c>
      <c r="G5858" s="19" t="s">
        <v>704</v>
      </c>
      <c r="H5858">
        <v>3</v>
      </c>
      <c r="I5858">
        <v>2026</v>
      </c>
      <c r="J5858">
        <v>8</v>
      </c>
      <c r="K5858" s="19" t="s">
        <v>87</v>
      </c>
      <c r="L5858" s="19" t="s">
        <v>609</v>
      </c>
      <c r="M5858" s="19" t="s">
        <v>6</v>
      </c>
      <c r="N5858" t="b">
        <v>0</v>
      </c>
      <c r="O5858">
        <v>1</v>
      </c>
      <c r="P5858">
        <v>0</v>
      </c>
      <c r="Q5858">
        <v>0</v>
      </c>
      <c r="R5858">
        <v>0</v>
      </c>
    </row>
    <row r="5859" spans="1:18" x14ac:dyDescent="0.45">
      <c r="A5859" s="19" t="s">
        <v>405</v>
      </c>
      <c r="B5859" s="19" t="s">
        <v>8</v>
      </c>
      <c r="C5859">
        <v>1</v>
      </c>
      <c r="D5859">
        <v>5</v>
      </c>
      <c r="E5859">
        <v>2</v>
      </c>
      <c r="F5859" s="15">
        <v>46258</v>
      </c>
      <c r="G5859" s="19" t="s">
        <v>704</v>
      </c>
      <c r="H5859">
        <v>3</v>
      </c>
      <c r="I5859">
        <v>2026</v>
      </c>
      <c r="J5859">
        <v>8</v>
      </c>
      <c r="K5859" s="19" t="s">
        <v>87</v>
      </c>
      <c r="L5859" s="19" t="s">
        <v>326</v>
      </c>
      <c r="M5859" s="19" t="s">
        <v>6</v>
      </c>
      <c r="N5859" t="b">
        <v>0</v>
      </c>
      <c r="O5859">
        <v>1</v>
      </c>
      <c r="P5859">
        <v>0</v>
      </c>
      <c r="Q5859">
        <v>0</v>
      </c>
      <c r="R5859">
        <v>0</v>
      </c>
    </row>
    <row r="5860" spans="1:18" x14ac:dyDescent="0.45">
      <c r="A5860" s="19" t="s">
        <v>609</v>
      </c>
      <c r="B5860" s="19" t="s">
        <v>6</v>
      </c>
      <c r="C5860">
        <v>2</v>
      </c>
      <c r="D5860">
        <v>5</v>
      </c>
      <c r="E5860">
        <v>2</v>
      </c>
      <c r="F5860" s="15">
        <v>46258</v>
      </c>
      <c r="G5860" s="19" t="s">
        <v>704</v>
      </c>
      <c r="H5860">
        <v>3</v>
      </c>
      <c r="I5860">
        <v>2026</v>
      </c>
      <c r="J5860">
        <v>8</v>
      </c>
      <c r="K5860" s="19" t="s">
        <v>87</v>
      </c>
      <c r="L5860" s="19" t="s">
        <v>405</v>
      </c>
      <c r="M5860" s="19" t="s">
        <v>8</v>
      </c>
      <c r="N5860" t="b">
        <v>0</v>
      </c>
      <c r="O5860">
        <v>0</v>
      </c>
      <c r="P5860">
        <v>1</v>
      </c>
      <c r="Q5860">
        <v>0</v>
      </c>
      <c r="R5860">
        <v>1</v>
      </c>
    </row>
    <row r="5861" spans="1:18" x14ac:dyDescent="0.45">
      <c r="A5861" s="19" t="s">
        <v>609</v>
      </c>
      <c r="B5861" s="19" t="s">
        <v>6</v>
      </c>
      <c r="C5861">
        <v>2</v>
      </c>
      <c r="D5861">
        <v>5</v>
      </c>
      <c r="E5861">
        <v>2</v>
      </c>
      <c r="F5861" s="15">
        <v>46258</v>
      </c>
      <c r="G5861" s="19" t="s">
        <v>704</v>
      </c>
      <c r="H5861">
        <v>3</v>
      </c>
      <c r="I5861">
        <v>2026</v>
      </c>
      <c r="J5861">
        <v>8</v>
      </c>
      <c r="K5861" s="19" t="s">
        <v>87</v>
      </c>
      <c r="L5861" s="19" t="s">
        <v>326</v>
      </c>
      <c r="M5861" s="19" t="s">
        <v>6</v>
      </c>
      <c r="N5861" t="b">
        <v>0</v>
      </c>
      <c r="O5861">
        <v>0</v>
      </c>
      <c r="P5861">
        <v>1</v>
      </c>
      <c r="Q5861">
        <v>0</v>
      </c>
      <c r="R5861">
        <v>0</v>
      </c>
    </row>
    <row r="5862" spans="1:18" x14ac:dyDescent="0.45">
      <c r="A5862" s="19" t="s">
        <v>326</v>
      </c>
      <c r="B5862" s="19" t="s">
        <v>6</v>
      </c>
      <c r="C5862">
        <v>3</v>
      </c>
      <c r="D5862">
        <v>5</v>
      </c>
      <c r="E5862">
        <v>2</v>
      </c>
      <c r="F5862" s="15">
        <v>46258</v>
      </c>
      <c r="G5862" s="19" t="s">
        <v>704</v>
      </c>
      <c r="H5862">
        <v>3</v>
      </c>
      <c r="I5862">
        <v>2026</v>
      </c>
      <c r="J5862">
        <v>8</v>
      </c>
      <c r="K5862" s="19" t="s">
        <v>87</v>
      </c>
      <c r="L5862" s="19" t="s">
        <v>405</v>
      </c>
      <c r="M5862" s="19" t="s">
        <v>8</v>
      </c>
      <c r="N5862" t="b">
        <v>0</v>
      </c>
      <c r="O5862">
        <v>0</v>
      </c>
      <c r="P5862">
        <v>1</v>
      </c>
      <c r="Q5862">
        <v>0</v>
      </c>
      <c r="R5862">
        <v>1</v>
      </c>
    </row>
    <row r="5863" spans="1:18" x14ac:dyDescent="0.45">
      <c r="A5863" s="19" t="s">
        <v>326</v>
      </c>
      <c r="B5863" s="19" t="s">
        <v>6</v>
      </c>
      <c r="C5863">
        <v>3</v>
      </c>
      <c r="D5863">
        <v>5</v>
      </c>
      <c r="E5863">
        <v>2</v>
      </c>
      <c r="F5863" s="15">
        <v>46258</v>
      </c>
      <c r="G5863" s="19" t="s">
        <v>704</v>
      </c>
      <c r="H5863">
        <v>3</v>
      </c>
      <c r="I5863">
        <v>2026</v>
      </c>
      <c r="J5863">
        <v>8</v>
      </c>
      <c r="K5863" s="19" t="s">
        <v>87</v>
      </c>
      <c r="L5863" s="19" t="s">
        <v>609</v>
      </c>
      <c r="M5863" s="19" t="s">
        <v>6</v>
      </c>
      <c r="N5863" t="b">
        <v>0</v>
      </c>
      <c r="O5863">
        <v>0</v>
      </c>
      <c r="P5863">
        <v>1</v>
      </c>
      <c r="Q5863">
        <v>0</v>
      </c>
      <c r="R5863">
        <v>0</v>
      </c>
    </row>
    <row r="5864" spans="1:18" x14ac:dyDescent="0.45">
      <c r="A5864" s="19" t="s">
        <v>14</v>
      </c>
      <c r="B5864" s="19" t="s">
        <v>63</v>
      </c>
      <c r="C5864">
        <v>1</v>
      </c>
      <c r="D5864">
        <v>1</v>
      </c>
      <c r="E5864">
        <v>1</v>
      </c>
      <c r="F5864" s="15">
        <v>46265</v>
      </c>
      <c r="G5864" s="19" t="s">
        <v>705</v>
      </c>
      <c r="H5864">
        <v>4</v>
      </c>
      <c r="I5864">
        <v>2026</v>
      </c>
      <c r="J5864">
        <v>8</v>
      </c>
      <c r="K5864" s="19" t="s">
        <v>87</v>
      </c>
      <c r="L5864" s="19" t="s">
        <v>703</v>
      </c>
      <c r="M5864" s="19" t="s">
        <v>63</v>
      </c>
      <c r="N5864" t="b">
        <v>0</v>
      </c>
      <c r="O5864">
        <v>0</v>
      </c>
      <c r="P5864">
        <v>0</v>
      </c>
      <c r="Q5864">
        <v>1</v>
      </c>
      <c r="R5864">
        <v>0</v>
      </c>
    </row>
    <row r="5865" spans="1:18" x14ac:dyDescent="0.45">
      <c r="A5865" s="19" t="s">
        <v>14</v>
      </c>
      <c r="B5865" s="19" t="s">
        <v>63</v>
      </c>
      <c r="C5865">
        <v>1</v>
      </c>
      <c r="D5865">
        <v>1</v>
      </c>
      <c r="E5865">
        <v>1</v>
      </c>
      <c r="F5865" s="15">
        <v>46265</v>
      </c>
      <c r="G5865" s="19" t="s">
        <v>705</v>
      </c>
      <c r="H5865">
        <v>4</v>
      </c>
      <c r="I5865">
        <v>2026</v>
      </c>
      <c r="J5865">
        <v>8</v>
      </c>
      <c r="K5865" s="19" t="s">
        <v>87</v>
      </c>
      <c r="L5865" s="19" t="s">
        <v>28</v>
      </c>
      <c r="M5865" s="19" t="s">
        <v>63</v>
      </c>
      <c r="N5865" t="b">
        <v>0</v>
      </c>
      <c r="O5865">
        <v>0</v>
      </c>
      <c r="P5865">
        <v>0</v>
      </c>
      <c r="Q5865">
        <v>1</v>
      </c>
      <c r="R5865">
        <v>0</v>
      </c>
    </row>
    <row r="5866" spans="1:18" x14ac:dyDescent="0.45">
      <c r="A5866" s="19" t="s">
        <v>14</v>
      </c>
      <c r="B5866" s="19" t="s">
        <v>63</v>
      </c>
      <c r="C5866">
        <v>1</v>
      </c>
      <c r="D5866">
        <v>1</v>
      </c>
      <c r="E5866">
        <v>1</v>
      </c>
      <c r="F5866" s="15">
        <v>46265</v>
      </c>
      <c r="G5866" s="19" t="s">
        <v>705</v>
      </c>
      <c r="H5866">
        <v>4</v>
      </c>
      <c r="I5866">
        <v>2026</v>
      </c>
      <c r="J5866">
        <v>8</v>
      </c>
      <c r="K5866" s="19" t="s">
        <v>87</v>
      </c>
      <c r="L5866" s="19" t="s">
        <v>609</v>
      </c>
      <c r="M5866" s="19" t="s">
        <v>63</v>
      </c>
      <c r="N5866" t="b">
        <v>0</v>
      </c>
      <c r="O5866">
        <v>0</v>
      </c>
      <c r="P5866">
        <v>0</v>
      </c>
      <c r="Q5866">
        <v>1</v>
      </c>
      <c r="R5866">
        <v>0</v>
      </c>
    </row>
    <row r="5867" spans="1:18" x14ac:dyDescent="0.45">
      <c r="A5867" s="19" t="s">
        <v>703</v>
      </c>
      <c r="B5867" s="19" t="s">
        <v>63</v>
      </c>
      <c r="C5867">
        <v>2</v>
      </c>
      <c r="D5867">
        <v>1</v>
      </c>
      <c r="E5867">
        <v>1</v>
      </c>
      <c r="F5867" s="15">
        <v>46265</v>
      </c>
      <c r="G5867" s="19" t="s">
        <v>705</v>
      </c>
      <c r="H5867">
        <v>4</v>
      </c>
      <c r="I5867">
        <v>2026</v>
      </c>
      <c r="J5867">
        <v>8</v>
      </c>
      <c r="K5867" s="19" t="s">
        <v>87</v>
      </c>
      <c r="L5867" s="19" t="s">
        <v>14</v>
      </c>
      <c r="M5867" s="19" t="s">
        <v>63</v>
      </c>
      <c r="N5867" t="b">
        <v>0</v>
      </c>
      <c r="O5867">
        <v>0</v>
      </c>
      <c r="P5867">
        <v>0</v>
      </c>
      <c r="Q5867">
        <v>1</v>
      </c>
      <c r="R5867">
        <v>0</v>
      </c>
    </row>
    <row r="5868" spans="1:18" x14ac:dyDescent="0.45">
      <c r="A5868" s="19" t="s">
        <v>703</v>
      </c>
      <c r="B5868" s="19" t="s">
        <v>63</v>
      </c>
      <c r="C5868">
        <v>2</v>
      </c>
      <c r="D5868">
        <v>1</v>
      </c>
      <c r="E5868">
        <v>1</v>
      </c>
      <c r="F5868" s="15">
        <v>46265</v>
      </c>
      <c r="G5868" s="19" t="s">
        <v>705</v>
      </c>
      <c r="H5868">
        <v>4</v>
      </c>
      <c r="I5868">
        <v>2026</v>
      </c>
      <c r="J5868">
        <v>8</v>
      </c>
      <c r="K5868" s="19" t="s">
        <v>87</v>
      </c>
      <c r="L5868" s="19" t="s">
        <v>28</v>
      </c>
      <c r="M5868" s="19" t="s">
        <v>63</v>
      </c>
      <c r="N5868" t="b">
        <v>0</v>
      </c>
      <c r="O5868">
        <v>0</v>
      </c>
      <c r="P5868">
        <v>0</v>
      </c>
      <c r="Q5868">
        <v>1</v>
      </c>
      <c r="R5868">
        <v>0</v>
      </c>
    </row>
    <row r="5869" spans="1:18" x14ac:dyDescent="0.45">
      <c r="A5869" s="19" t="s">
        <v>703</v>
      </c>
      <c r="B5869" s="19" t="s">
        <v>63</v>
      </c>
      <c r="C5869">
        <v>2</v>
      </c>
      <c r="D5869">
        <v>1</v>
      </c>
      <c r="E5869">
        <v>1</v>
      </c>
      <c r="F5869" s="15">
        <v>46265</v>
      </c>
      <c r="G5869" s="19" t="s">
        <v>705</v>
      </c>
      <c r="H5869">
        <v>4</v>
      </c>
      <c r="I5869">
        <v>2026</v>
      </c>
      <c r="J5869">
        <v>8</v>
      </c>
      <c r="K5869" s="19" t="s">
        <v>87</v>
      </c>
      <c r="L5869" s="19" t="s">
        <v>609</v>
      </c>
      <c r="M5869" s="19" t="s">
        <v>63</v>
      </c>
      <c r="N5869" t="b">
        <v>0</v>
      </c>
      <c r="O5869">
        <v>0</v>
      </c>
      <c r="P5869">
        <v>0</v>
      </c>
      <c r="Q5869">
        <v>1</v>
      </c>
      <c r="R5869">
        <v>0</v>
      </c>
    </row>
    <row r="5870" spans="1:18" x14ac:dyDescent="0.45">
      <c r="A5870" s="19" t="s">
        <v>28</v>
      </c>
      <c r="B5870" s="19" t="s">
        <v>63</v>
      </c>
      <c r="C5870">
        <v>3</v>
      </c>
      <c r="D5870">
        <v>1</v>
      </c>
      <c r="E5870">
        <v>1</v>
      </c>
      <c r="F5870" s="15">
        <v>46265</v>
      </c>
      <c r="G5870" s="19" t="s">
        <v>705</v>
      </c>
      <c r="H5870">
        <v>4</v>
      </c>
      <c r="I5870">
        <v>2026</v>
      </c>
      <c r="J5870">
        <v>8</v>
      </c>
      <c r="K5870" s="19" t="s">
        <v>87</v>
      </c>
      <c r="L5870" s="19" t="s">
        <v>14</v>
      </c>
      <c r="M5870" s="19" t="s">
        <v>63</v>
      </c>
      <c r="N5870" t="b">
        <v>0</v>
      </c>
      <c r="O5870">
        <v>0</v>
      </c>
      <c r="P5870">
        <v>0</v>
      </c>
      <c r="Q5870">
        <v>1</v>
      </c>
      <c r="R5870">
        <v>0</v>
      </c>
    </row>
    <row r="5871" spans="1:18" x14ac:dyDescent="0.45">
      <c r="A5871" s="19" t="s">
        <v>28</v>
      </c>
      <c r="B5871" s="19" t="s">
        <v>63</v>
      </c>
      <c r="C5871">
        <v>3</v>
      </c>
      <c r="D5871">
        <v>1</v>
      </c>
      <c r="E5871">
        <v>1</v>
      </c>
      <c r="F5871" s="15">
        <v>46265</v>
      </c>
      <c r="G5871" s="19" t="s">
        <v>705</v>
      </c>
      <c r="H5871">
        <v>4</v>
      </c>
      <c r="I5871">
        <v>2026</v>
      </c>
      <c r="J5871">
        <v>8</v>
      </c>
      <c r="K5871" s="19" t="s">
        <v>87</v>
      </c>
      <c r="L5871" s="19" t="s">
        <v>703</v>
      </c>
      <c r="M5871" s="19" t="s">
        <v>63</v>
      </c>
      <c r="N5871" t="b">
        <v>0</v>
      </c>
      <c r="O5871">
        <v>0</v>
      </c>
      <c r="P5871">
        <v>0</v>
      </c>
      <c r="Q5871">
        <v>1</v>
      </c>
      <c r="R5871">
        <v>0</v>
      </c>
    </row>
    <row r="5872" spans="1:18" x14ac:dyDescent="0.45">
      <c r="A5872" s="19" t="s">
        <v>28</v>
      </c>
      <c r="B5872" s="19" t="s">
        <v>63</v>
      </c>
      <c r="C5872">
        <v>3</v>
      </c>
      <c r="D5872">
        <v>1</v>
      </c>
      <c r="E5872">
        <v>1</v>
      </c>
      <c r="F5872" s="15">
        <v>46265</v>
      </c>
      <c r="G5872" s="19" t="s">
        <v>705</v>
      </c>
      <c r="H5872">
        <v>4</v>
      </c>
      <c r="I5872">
        <v>2026</v>
      </c>
      <c r="J5872">
        <v>8</v>
      </c>
      <c r="K5872" s="19" t="s">
        <v>87</v>
      </c>
      <c r="L5872" s="19" t="s">
        <v>609</v>
      </c>
      <c r="M5872" s="19" t="s">
        <v>63</v>
      </c>
      <c r="N5872" t="b">
        <v>0</v>
      </c>
      <c r="O5872">
        <v>0</v>
      </c>
      <c r="P5872">
        <v>0</v>
      </c>
      <c r="Q5872">
        <v>1</v>
      </c>
      <c r="R5872">
        <v>0</v>
      </c>
    </row>
    <row r="5873" spans="1:18" x14ac:dyDescent="0.45">
      <c r="A5873" s="19" t="s">
        <v>609</v>
      </c>
      <c r="B5873" s="19" t="s">
        <v>63</v>
      </c>
      <c r="C5873">
        <v>4</v>
      </c>
      <c r="D5873">
        <v>1</v>
      </c>
      <c r="E5873">
        <v>1</v>
      </c>
      <c r="F5873" s="15">
        <v>46265</v>
      </c>
      <c r="G5873" s="19" t="s">
        <v>705</v>
      </c>
      <c r="H5873">
        <v>4</v>
      </c>
      <c r="I5873">
        <v>2026</v>
      </c>
      <c r="J5873">
        <v>8</v>
      </c>
      <c r="K5873" s="19" t="s">
        <v>87</v>
      </c>
      <c r="L5873" s="19" t="s">
        <v>14</v>
      </c>
      <c r="M5873" s="19" t="s">
        <v>63</v>
      </c>
      <c r="N5873" t="b">
        <v>0</v>
      </c>
      <c r="O5873">
        <v>0</v>
      </c>
      <c r="P5873">
        <v>0</v>
      </c>
      <c r="Q5873">
        <v>1</v>
      </c>
      <c r="R5873">
        <v>0</v>
      </c>
    </row>
    <row r="5874" spans="1:18" x14ac:dyDescent="0.45">
      <c r="A5874" s="19" t="s">
        <v>609</v>
      </c>
      <c r="B5874" s="19" t="s">
        <v>63</v>
      </c>
      <c r="C5874">
        <v>4</v>
      </c>
      <c r="D5874">
        <v>1</v>
      </c>
      <c r="E5874">
        <v>1</v>
      </c>
      <c r="F5874" s="15">
        <v>46265</v>
      </c>
      <c r="G5874" s="19" t="s">
        <v>705</v>
      </c>
      <c r="H5874">
        <v>4</v>
      </c>
      <c r="I5874">
        <v>2026</v>
      </c>
      <c r="J5874">
        <v>8</v>
      </c>
      <c r="K5874" s="19" t="s">
        <v>87</v>
      </c>
      <c r="L5874" s="19" t="s">
        <v>703</v>
      </c>
      <c r="M5874" s="19" t="s">
        <v>63</v>
      </c>
      <c r="N5874" t="b">
        <v>0</v>
      </c>
      <c r="O5874">
        <v>0</v>
      </c>
      <c r="P5874">
        <v>0</v>
      </c>
      <c r="Q5874">
        <v>1</v>
      </c>
      <c r="R5874">
        <v>0</v>
      </c>
    </row>
    <row r="5875" spans="1:18" x14ac:dyDescent="0.45">
      <c r="A5875" s="19" t="s">
        <v>609</v>
      </c>
      <c r="B5875" s="19" t="s">
        <v>63</v>
      </c>
      <c r="C5875">
        <v>4</v>
      </c>
      <c r="D5875">
        <v>1</v>
      </c>
      <c r="E5875">
        <v>1</v>
      </c>
      <c r="F5875" s="15">
        <v>46265</v>
      </c>
      <c r="G5875" s="19" t="s">
        <v>705</v>
      </c>
      <c r="H5875">
        <v>4</v>
      </c>
      <c r="I5875">
        <v>2026</v>
      </c>
      <c r="J5875">
        <v>8</v>
      </c>
      <c r="K5875" s="19" t="s">
        <v>87</v>
      </c>
      <c r="L5875" s="19" t="s">
        <v>28</v>
      </c>
      <c r="M5875" s="19" t="s">
        <v>63</v>
      </c>
      <c r="N5875" t="b">
        <v>0</v>
      </c>
      <c r="O5875">
        <v>0</v>
      </c>
      <c r="P5875">
        <v>0</v>
      </c>
      <c r="Q5875">
        <v>1</v>
      </c>
      <c r="R5875">
        <v>0</v>
      </c>
    </row>
    <row r="5876" spans="1:18" x14ac:dyDescent="0.45">
      <c r="A5876" s="19" t="s">
        <v>15</v>
      </c>
      <c r="B5876" s="19" t="s">
        <v>8</v>
      </c>
      <c r="C5876">
        <v>1</v>
      </c>
      <c r="D5876">
        <v>2</v>
      </c>
      <c r="E5876">
        <v>1</v>
      </c>
      <c r="F5876" s="15">
        <v>46265</v>
      </c>
      <c r="G5876" s="19" t="s">
        <v>706</v>
      </c>
      <c r="H5876">
        <v>4</v>
      </c>
      <c r="I5876">
        <v>2026</v>
      </c>
      <c r="J5876">
        <v>8</v>
      </c>
      <c r="K5876" s="19" t="s">
        <v>87</v>
      </c>
      <c r="L5876" s="19" t="s">
        <v>41</v>
      </c>
      <c r="M5876" s="19" t="s">
        <v>6</v>
      </c>
      <c r="N5876" t="b">
        <v>0</v>
      </c>
      <c r="O5876">
        <v>1</v>
      </c>
      <c r="P5876">
        <v>0</v>
      </c>
      <c r="Q5876">
        <v>0</v>
      </c>
      <c r="R5876">
        <v>0</v>
      </c>
    </row>
    <row r="5877" spans="1:18" x14ac:dyDescent="0.45">
      <c r="A5877" s="19" t="s">
        <v>15</v>
      </c>
      <c r="B5877" s="19" t="s">
        <v>8</v>
      </c>
      <c r="C5877">
        <v>1</v>
      </c>
      <c r="D5877">
        <v>2</v>
      </c>
      <c r="E5877">
        <v>1</v>
      </c>
      <c r="F5877" s="15">
        <v>46265</v>
      </c>
      <c r="G5877" s="19" t="s">
        <v>706</v>
      </c>
      <c r="H5877">
        <v>4</v>
      </c>
      <c r="I5877">
        <v>2026</v>
      </c>
      <c r="J5877">
        <v>8</v>
      </c>
      <c r="K5877" s="19" t="s">
        <v>87</v>
      </c>
      <c r="L5877" s="19" t="s">
        <v>17</v>
      </c>
      <c r="M5877" s="19" t="s">
        <v>6</v>
      </c>
      <c r="N5877" t="b">
        <v>0</v>
      </c>
      <c r="O5877">
        <v>1</v>
      </c>
      <c r="P5877">
        <v>0</v>
      </c>
      <c r="Q5877">
        <v>0</v>
      </c>
      <c r="R5877">
        <v>0</v>
      </c>
    </row>
    <row r="5878" spans="1:18" x14ac:dyDescent="0.45">
      <c r="A5878" s="19" t="s">
        <v>15</v>
      </c>
      <c r="B5878" s="19" t="s">
        <v>8</v>
      </c>
      <c r="C5878">
        <v>1</v>
      </c>
      <c r="D5878">
        <v>2</v>
      </c>
      <c r="E5878">
        <v>1</v>
      </c>
      <c r="F5878" s="15">
        <v>46265</v>
      </c>
      <c r="G5878" s="19" t="s">
        <v>706</v>
      </c>
      <c r="H5878">
        <v>4</v>
      </c>
      <c r="I5878">
        <v>2026</v>
      </c>
      <c r="J5878">
        <v>8</v>
      </c>
      <c r="K5878" s="19" t="s">
        <v>87</v>
      </c>
      <c r="L5878" s="19" t="s">
        <v>27</v>
      </c>
      <c r="M5878" s="19" t="s">
        <v>6</v>
      </c>
      <c r="N5878" t="b">
        <v>0</v>
      </c>
      <c r="O5878">
        <v>1</v>
      </c>
      <c r="P5878">
        <v>0</v>
      </c>
      <c r="Q5878">
        <v>0</v>
      </c>
      <c r="R5878">
        <v>0</v>
      </c>
    </row>
    <row r="5879" spans="1:18" x14ac:dyDescent="0.45">
      <c r="A5879" s="19" t="s">
        <v>41</v>
      </c>
      <c r="B5879" s="19" t="s">
        <v>6</v>
      </c>
      <c r="C5879">
        <v>2</v>
      </c>
      <c r="D5879">
        <v>2</v>
      </c>
      <c r="E5879">
        <v>1</v>
      </c>
      <c r="F5879" s="15">
        <v>46265</v>
      </c>
      <c r="G5879" s="19" t="s">
        <v>706</v>
      </c>
      <c r="H5879">
        <v>4</v>
      </c>
      <c r="I5879">
        <v>2026</v>
      </c>
      <c r="J5879">
        <v>8</v>
      </c>
      <c r="K5879" s="19" t="s">
        <v>87</v>
      </c>
      <c r="L5879" s="19" t="s">
        <v>15</v>
      </c>
      <c r="M5879" s="19" t="s">
        <v>8</v>
      </c>
      <c r="N5879" t="b">
        <v>0</v>
      </c>
      <c r="O5879">
        <v>0</v>
      </c>
      <c r="P5879">
        <v>1</v>
      </c>
      <c r="Q5879">
        <v>0</v>
      </c>
      <c r="R5879">
        <v>1</v>
      </c>
    </row>
    <row r="5880" spans="1:18" x14ac:dyDescent="0.45">
      <c r="A5880" s="19" t="s">
        <v>41</v>
      </c>
      <c r="B5880" s="19" t="s">
        <v>6</v>
      </c>
      <c r="C5880">
        <v>2</v>
      </c>
      <c r="D5880">
        <v>2</v>
      </c>
      <c r="E5880">
        <v>1</v>
      </c>
      <c r="F5880" s="15">
        <v>46265</v>
      </c>
      <c r="G5880" s="19" t="s">
        <v>706</v>
      </c>
      <c r="H5880">
        <v>4</v>
      </c>
      <c r="I5880">
        <v>2026</v>
      </c>
      <c r="J5880">
        <v>8</v>
      </c>
      <c r="K5880" s="19" t="s">
        <v>87</v>
      </c>
      <c r="L5880" s="19" t="s">
        <v>17</v>
      </c>
      <c r="M5880" s="19" t="s">
        <v>6</v>
      </c>
      <c r="N5880" t="b">
        <v>0</v>
      </c>
      <c r="O5880">
        <v>0</v>
      </c>
      <c r="P5880">
        <v>1</v>
      </c>
      <c r="Q5880">
        <v>0</v>
      </c>
      <c r="R5880">
        <v>0</v>
      </c>
    </row>
    <row r="5881" spans="1:18" x14ac:dyDescent="0.45">
      <c r="A5881" s="19" t="s">
        <v>41</v>
      </c>
      <c r="B5881" s="19" t="s">
        <v>6</v>
      </c>
      <c r="C5881">
        <v>2</v>
      </c>
      <c r="D5881">
        <v>2</v>
      </c>
      <c r="E5881">
        <v>1</v>
      </c>
      <c r="F5881" s="15">
        <v>46265</v>
      </c>
      <c r="G5881" s="19" t="s">
        <v>706</v>
      </c>
      <c r="H5881">
        <v>4</v>
      </c>
      <c r="I5881">
        <v>2026</v>
      </c>
      <c r="J5881">
        <v>8</v>
      </c>
      <c r="K5881" s="19" t="s">
        <v>87</v>
      </c>
      <c r="L5881" s="19" t="s">
        <v>27</v>
      </c>
      <c r="M5881" s="19" t="s">
        <v>6</v>
      </c>
      <c r="N5881" t="b">
        <v>0</v>
      </c>
      <c r="O5881">
        <v>0</v>
      </c>
      <c r="P5881">
        <v>1</v>
      </c>
      <c r="Q5881">
        <v>0</v>
      </c>
      <c r="R5881">
        <v>0</v>
      </c>
    </row>
    <row r="5882" spans="1:18" x14ac:dyDescent="0.45">
      <c r="A5882" s="19" t="s">
        <v>17</v>
      </c>
      <c r="B5882" s="19" t="s">
        <v>6</v>
      </c>
      <c r="C5882">
        <v>3</v>
      </c>
      <c r="D5882">
        <v>2</v>
      </c>
      <c r="E5882">
        <v>1</v>
      </c>
      <c r="F5882" s="15">
        <v>46265</v>
      </c>
      <c r="G5882" s="19" t="s">
        <v>706</v>
      </c>
      <c r="H5882">
        <v>4</v>
      </c>
      <c r="I5882">
        <v>2026</v>
      </c>
      <c r="J5882">
        <v>8</v>
      </c>
      <c r="K5882" s="19" t="s">
        <v>87</v>
      </c>
      <c r="L5882" s="19" t="s">
        <v>15</v>
      </c>
      <c r="M5882" s="19" t="s">
        <v>8</v>
      </c>
      <c r="N5882" t="b">
        <v>0</v>
      </c>
      <c r="O5882">
        <v>0</v>
      </c>
      <c r="P5882">
        <v>1</v>
      </c>
      <c r="Q5882">
        <v>0</v>
      </c>
      <c r="R5882">
        <v>1</v>
      </c>
    </row>
    <row r="5883" spans="1:18" x14ac:dyDescent="0.45">
      <c r="A5883" s="19" t="s">
        <v>17</v>
      </c>
      <c r="B5883" s="19" t="s">
        <v>6</v>
      </c>
      <c r="C5883">
        <v>3</v>
      </c>
      <c r="D5883">
        <v>2</v>
      </c>
      <c r="E5883">
        <v>1</v>
      </c>
      <c r="F5883" s="15">
        <v>46265</v>
      </c>
      <c r="G5883" s="19" t="s">
        <v>706</v>
      </c>
      <c r="H5883">
        <v>4</v>
      </c>
      <c r="I5883">
        <v>2026</v>
      </c>
      <c r="J5883">
        <v>8</v>
      </c>
      <c r="K5883" s="19" t="s">
        <v>87</v>
      </c>
      <c r="L5883" s="19" t="s">
        <v>41</v>
      </c>
      <c r="M5883" s="19" t="s">
        <v>6</v>
      </c>
      <c r="N5883" t="b">
        <v>0</v>
      </c>
      <c r="O5883">
        <v>0</v>
      </c>
      <c r="P5883">
        <v>1</v>
      </c>
      <c r="Q5883">
        <v>0</v>
      </c>
      <c r="R5883">
        <v>0</v>
      </c>
    </row>
    <row r="5884" spans="1:18" x14ac:dyDescent="0.45">
      <c r="A5884" s="19" t="s">
        <v>17</v>
      </c>
      <c r="B5884" s="19" t="s">
        <v>6</v>
      </c>
      <c r="C5884">
        <v>3</v>
      </c>
      <c r="D5884">
        <v>2</v>
      </c>
      <c r="E5884">
        <v>1</v>
      </c>
      <c r="F5884" s="15">
        <v>46265</v>
      </c>
      <c r="G5884" s="19" t="s">
        <v>706</v>
      </c>
      <c r="H5884">
        <v>4</v>
      </c>
      <c r="I5884">
        <v>2026</v>
      </c>
      <c r="J5884">
        <v>8</v>
      </c>
      <c r="K5884" s="19" t="s">
        <v>87</v>
      </c>
      <c r="L5884" s="19" t="s">
        <v>27</v>
      </c>
      <c r="M5884" s="19" t="s">
        <v>6</v>
      </c>
      <c r="N5884" t="b">
        <v>0</v>
      </c>
      <c r="O5884">
        <v>0</v>
      </c>
      <c r="P5884">
        <v>1</v>
      </c>
      <c r="Q5884">
        <v>0</v>
      </c>
      <c r="R5884">
        <v>0</v>
      </c>
    </row>
    <row r="5885" spans="1:18" x14ac:dyDescent="0.45">
      <c r="A5885" s="19" t="s">
        <v>27</v>
      </c>
      <c r="B5885" s="19" t="s">
        <v>6</v>
      </c>
      <c r="C5885">
        <v>4</v>
      </c>
      <c r="D5885">
        <v>2</v>
      </c>
      <c r="E5885">
        <v>1</v>
      </c>
      <c r="F5885" s="15">
        <v>46265</v>
      </c>
      <c r="G5885" s="19" t="s">
        <v>706</v>
      </c>
      <c r="H5885">
        <v>4</v>
      </c>
      <c r="I5885">
        <v>2026</v>
      </c>
      <c r="J5885">
        <v>8</v>
      </c>
      <c r="K5885" s="19" t="s">
        <v>87</v>
      </c>
      <c r="L5885" s="19" t="s">
        <v>15</v>
      </c>
      <c r="M5885" s="19" t="s">
        <v>8</v>
      </c>
      <c r="N5885" t="b">
        <v>0</v>
      </c>
      <c r="O5885">
        <v>0</v>
      </c>
      <c r="P5885">
        <v>1</v>
      </c>
      <c r="Q5885">
        <v>0</v>
      </c>
      <c r="R5885">
        <v>1</v>
      </c>
    </row>
    <row r="5886" spans="1:18" x14ac:dyDescent="0.45">
      <c r="A5886" s="19" t="s">
        <v>27</v>
      </c>
      <c r="B5886" s="19" t="s">
        <v>6</v>
      </c>
      <c r="C5886">
        <v>4</v>
      </c>
      <c r="D5886">
        <v>2</v>
      </c>
      <c r="E5886">
        <v>1</v>
      </c>
      <c r="F5886" s="15">
        <v>46265</v>
      </c>
      <c r="G5886" s="19" t="s">
        <v>706</v>
      </c>
      <c r="H5886">
        <v>4</v>
      </c>
      <c r="I5886">
        <v>2026</v>
      </c>
      <c r="J5886">
        <v>8</v>
      </c>
      <c r="K5886" s="19" t="s">
        <v>87</v>
      </c>
      <c r="L5886" s="19" t="s">
        <v>41</v>
      </c>
      <c r="M5886" s="19" t="s">
        <v>6</v>
      </c>
      <c r="N5886" t="b">
        <v>0</v>
      </c>
      <c r="O5886">
        <v>0</v>
      </c>
      <c r="P5886">
        <v>1</v>
      </c>
      <c r="Q5886">
        <v>0</v>
      </c>
      <c r="R5886">
        <v>0</v>
      </c>
    </row>
    <row r="5887" spans="1:18" x14ac:dyDescent="0.45">
      <c r="A5887" s="19" t="s">
        <v>27</v>
      </c>
      <c r="B5887" s="19" t="s">
        <v>6</v>
      </c>
      <c r="C5887">
        <v>4</v>
      </c>
      <c r="D5887">
        <v>2</v>
      </c>
      <c r="E5887">
        <v>1</v>
      </c>
      <c r="F5887" s="15">
        <v>46265</v>
      </c>
      <c r="G5887" s="19" t="s">
        <v>706</v>
      </c>
      <c r="H5887">
        <v>4</v>
      </c>
      <c r="I5887">
        <v>2026</v>
      </c>
      <c r="J5887">
        <v>8</v>
      </c>
      <c r="K5887" s="19" t="s">
        <v>87</v>
      </c>
      <c r="L5887" s="19" t="s">
        <v>17</v>
      </c>
      <c r="M5887" s="19" t="s">
        <v>6</v>
      </c>
      <c r="N5887" t="b">
        <v>0</v>
      </c>
      <c r="O5887">
        <v>0</v>
      </c>
      <c r="P5887">
        <v>1</v>
      </c>
      <c r="Q5887">
        <v>0</v>
      </c>
      <c r="R5887">
        <v>0</v>
      </c>
    </row>
    <row r="5888" spans="1:18" x14ac:dyDescent="0.45">
      <c r="A5888" s="19" t="s">
        <v>402</v>
      </c>
      <c r="B5888" s="19" t="s">
        <v>63</v>
      </c>
      <c r="C5888">
        <v>1</v>
      </c>
      <c r="D5888">
        <v>3</v>
      </c>
      <c r="E5888">
        <v>1</v>
      </c>
      <c r="F5888" s="15">
        <v>46265</v>
      </c>
      <c r="G5888" s="19" t="s">
        <v>707</v>
      </c>
      <c r="H5888">
        <v>4</v>
      </c>
      <c r="I5888">
        <v>2026</v>
      </c>
      <c r="J5888">
        <v>8</v>
      </c>
      <c r="K5888" s="19" t="s">
        <v>87</v>
      </c>
      <c r="L5888" s="19" t="s">
        <v>7</v>
      </c>
      <c r="M5888" s="19" t="s">
        <v>63</v>
      </c>
      <c r="N5888" t="b">
        <v>0</v>
      </c>
      <c r="O5888">
        <v>0</v>
      </c>
      <c r="P5888">
        <v>0</v>
      </c>
      <c r="Q5888">
        <v>1</v>
      </c>
      <c r="R5888">
        <v>0</v>
      </c>
    </row>
    <row r="5889" spans="1:18" x14ac:dyDescent="0.45">
      <c r="A5889" s="19" t="s">
        <v>402</v>
      </c>
      <c r="B5889" s="19" t="s">
        <v>63</v>
      </c>
      <c r="C5889">
        <v>1</v>
      </c>
      <c r="D5889">
        <v>3</v>
      </c>
      <c r="E5889">
        <v>1</v>
      </c>
      <c r="F5889" s="15">
        <v>46265</v>
      </c>
      <c r="G5889" s="19" t="s">
        <v>707</v>
      </c>
      <c r="H5889">
        <v>4</v>
      </c>
      <c r="I5889">
        <v>2026</v>
      </c>
      <c r="J5889">
        <v>8</v>
      </c>
      <c r="K5889" s="19" t="s">
        <v>87</v>
      </c>
      <c r="L5889" s="19" t="s">
        <v>10</v>
      </c>
      <c r="M5889" s="19" t="s">
        <v>63</v>
      </c>
      <c r="N5889" t="b">
        <v>0</v>
      </c>
      <c r="O5889">
        <v>0</v>
      </c>
      <c r="P5889">
        <v>0</v>
      </c>
      <c r="Q5889">
        <v>1</v>
      </c>
      <c r="R5889">
        <v>0</v>
      </c>
    </row>
    <row r="5890" spans="1:18" x14ac:dyDescent="0.45">
      <c r="A5890" s="19" t="s">
        <v>402</v>
      </c>
      <c r="B5890" s="19" t="s">
        <v>63</v>
      </c>
      <c r="C5890">
        <v>1</v>
      </c>
      <c r="D5890">
        <v>3</v>
      </c>
      <c r="E5890">
        <v>1</v>
      </c>
      <c r="F5890" s="15">
        <v>46265</v>
      </c>
      <c r="G5890" s="19" t="s">
        <v>707</v>
      </c>
      <c r="H5890">
        <v>4</v>
      </c>
      <c r="I5890">
        <v>2026</v>
      </c>
      <c r="J5890">
        <v>8</v>
      </c>
      <c r="K5890" s="19" t="s">
        <v>87</v>
      </c>
      <c r="L5890" s="19" t="s">
        <v>13</v>
      </c>
      <c r="M5890" s="19" t="s">
        <v>63</v>
      </c>
      <c r="N5890" t="b">
        <v>0</v>
      </c>
      <c r="O5890">
        <v>0</v>
      </c>
      <c r="P5890">
        <v>0</v>
      </c>
      <c r="Q5890">
        <v>1</v>
      </c>
      <c r="R5890">
        <v>0</v>
      </c>
    </row>
    <row r="5891" spans="1:18" x14ac:dyDescent="0.45">
      <c r="A5891" s="19" t="s">
        <v>7</v>
      </c>
      <c r="B5891" s="19" t="s">
        <v>63</v>
      </c>
      <c r="C5891">
        <v>2</v>
      </c>
      <c r="D5891">
        <v>3</v>
      </c>
      <c r="E5891">
        <v>1</v>
      </c>
      <c r="F5891" s="15">
        <v>46265</v>
      </c>
      <c r="G5891" s="19" t="s">
        <v>707</v>
      </c>
      <c r="H5891">
        <v>4</v>
      </c>
      <c r="I5891">
        <v>2026</v>
      </c>
      <c r="J5891">
        <v>8</v>
      </c>
      <c r="K5891" s="19" t="s">
        <v>87</v>
      </c>
      <c r="L5891" s="19" t="s">
        <v>402</v>
      </c>
      <c r="M5891" s="19" t="s">
        <v>63</v>
      </c>
      <c r="N5891" t="b">
        <v>0</v>
      </c>
      <c r="O5891">
        <v>0</v>
      </c>
      <c r="P5891">
        <v>0</v>
      </c>
      <c r="Q5891">
        <v>1</v>
      </c>
      <c r="R5891">
        <v>0</v>
      </c>
    </row>
    <row r="5892" spans="1:18" x14ac:dyDescent="0.45">
      <c r="A5892" s="19" t="s">
        <v>7</v>
      </c>
      <c r="B5892" s="19" t="s">
        <v>63</v>
      </c>
      <c r="C5892">
        <v>2</v>
      </c>
      <c r="D5892">
        <v>3</v>
      </c>
      <c r="E5892">
        <v>1</v>
      </c>
      <c r="F5892" s="15">
        <v>46265</v>
      </c>
      <c r="G5892" s="19" t="s">
        <v>707</v>
      </c>
      <c r="H5892">
        <v>4</v>
      </c>
      <c r="I5892">
        <v>2026</v>
      </c>
      <c r="J5892">
        <v>8</v>
      </c>
      <c r="K5892" s="19" t="s">
        <v>87</v>
      </c>
      <c r="L5892" s="19" t="s">
        <v>10</v>
      </c>
      <c r="M5892" s="19" t="s">
        <v>63</v>
      </c>
      <c r="N5892" t="b">
        <v>0</v>
      </c>
      <c r="O5892">
        <v>0</v>
      </c>
      <c r="P5892">
        <v>0</v>
      </c>
      <c r="Q5892">
        <v>1</v>
      </c>
      <c r="R5892">
        <v>0</v>
      </c>
    </row>
    <row r="5893" spans="1:18" x14ac:dyDescent="0.45">
      <c r="A5893" s="19" t="s">
        <v>7</v>
      </c>
      <c r="B5893" s="19" t="s">
        <v>63</v>
      </c>
      <c r="C5893">
        <v>2</v>
      </c>
      <c r="D5893">
        <v>3</v>
      </c>
      <c r="E5893">
        <v>1</v>
      </c>
      <c r="F5893" s="15">
        <v>46265</v>
      </c>
      <c r="G5893" s="19" t="s">
        <v>707</v>
      </c>
      <c r="H5893">
        <v>4</v>
      </c>
      <c r="I5893">
        <v>2026</v>
      </c>
      <c r="J5893">
        <v>8</v>
      </c>
      <c r="K5893" s="19" t="s">
        <v>87</v>
      </c>
      <c r="L5893" s="19" t="s">
        <v>13</v>
      </c>
      <c r="M5893" s="19" t="s">
        <v>63</v>
      </c>
      <c r="N5893" t="b">
        <v>0</v>
      </c>
      <c r="O5893">
        <v>0</v>
      </c>
      <c r="P5893">
        <v>0</v>
      </c>
      <c r="Q5893">
        <v>1</v>
      </c>
      <c r="R5893">
        <v>0</v>
      </c>
    </row>
    <row r="5894" spans="1:18" x14ac:dyDescent="0.45">
      <c r="A5894" s="19" t="s">
        <v>10</v>
      </c>
      <c r="B5894" s="19" t="s">
        <v>63</v>
      </c>
      <c r="C5894">
        <v>3</v>
      </c>
      <c r="D5894">
        <v>3</v>
      </c>
      <c r="E5894">
        <v>1</v>
      </c>
      <c r="F5894" s="15">
        <v>46265</v>
      </c>
      <c r="G5894" s="19" t="s">
        <v>707</v>
      </c>
      <c r="H5894">
        <v>4</v>
      </c>
      <c r="I5894">
        <v>2026</v>
      </c>
      <c r="J5894">
        <v>8</v>
      </c>
      <c r="K5894" s="19" t="s">
        <v>87</v>
      </c>
      <c r="L5894" s="19" t="s">
        <v>402</v>
      </c>
      <c r="M5894" s="19" t="s">
        <v>63</v>
      </c>
      <c r="N5894" t="b">
        <v>0</v>
      </c>
      <c r="O5894">
        <v>0</v>
      </c>
      <c r="P5894">
        <v>0</v>
      </c>
      <c r="Q5894">
        <v>1</v>
      </c>
      <c r="R5894">
        <v>0</v>
      </c>
    </row>
    <row r="5895" spans="1:18" x14ac:dyDescent="0.45">
      <c r="A5895" s="19" t="s">
        <v>10</v>
      </c>
      <c r="B5895" s="19" t="s">
        <v>63</v>
      </c>
      <c r="C5895">
        <v>3</v>
      </c>
      <c r="D5895">
        <v>3</v>
      </c>
      <c r="E5895">
        <v>1</v>
      </c>
      <c r="F5895" s="15">
        <v>46265</v>
      </c>
      <c r="G5895" s="19" t="s">
        <v>707</v>
      </c>
      <c r="H5895">
        <v>4</v>
      </c>
      <c r="I5895">
        <v>2026</v>
      </c>
      <c r="J5895">
        <v>8</v>
      </c>
      <c r="K5895" s="19" t="s">
        <v>87</v>
      </c>
      <c r="L5895" s="19" t="s">
        <v>7</v>
      </c>
      <c r="M5895" s="19" t="s">
        <v>63</v>
      </c>
      <c r="N5895" t="b">
        <v>0</v>
      </c>
      <c r="O5895">
        <v>0</v>
      </c>
      <c r="P5895">
        <v>0</v>
      </c>
      <c r="Q5895">
        <v>1</v>
      </c>
      <c r="R5895">
        <v>0</v>
      </c>
    </row>
    <row r="5896" spans="1:18" x14ac:dyDescent="0.45">
      <c r="A5896" s="19" t="s">
        <v>10</v>
      </c>
      <c r="B5896" s="19" t="s">
        <v>63</v>
      </c>
      <c r="C5896">
        <v>3</v>
      </c>
      <c r="D5896">
        <v>3</v>
      </c>
      <c r="E5896">
        <v>1</v>
      </c>
      <c r="F5896" s="15">
        <v>46265</v>
      </c>
      <c r="G5896" s="19" t="s">
        <v>707</v>
      </c>
      <c r="H5896">
        <v>4</v>
      </c>
      <c r="I5896">
        <v>2026</v>
      </c>
      <c r="J5896">
        <v>8</v>
      </c>
      <c r="K5896" s="19" t="s">
        <v>87</v>
      </c>
      <c r="L5896" s="19" t="s">
        <v>13</v>
      </c>
      <c r="M5896" s="19" t="s">
        <v>63</v>
      </c>
      <c r="N5896" t="b">
        <v>0</v>
      </c>
      <c r="O5896">
        <v>0</v>
      </c>
      <c r="P5896">
        <v>0</v>
      </c>
      <c r="Q5896">
        <v>1</v>
      </c>
      <c r="R5896">
        <v>0</v>
      </c>
    </row>
    <row r="5897" spans="1:18" x14ac:dyDescent="0.45">
      <c r="A5897" s="19" t="s">
        <v>13</v>
      </c>
      <c r="B5897" s="19" t="s">
        <v>63</v>
      </c>
      <c r="C5897">
        <v>4</v>
      </c>
      <c r="D5897">
        <v>3</v>
      </c>
      <c r="E5897">
        <v>1</v>
      </c>
      <c r="F5897" s="15">
        <v>46265</v>
      </c>
      <c r="G5897" s="19" t="s">
        <v>707</v>
      </c>
      <c r="H5897">
        <v>4</v>
      </c>
      <c r="I5897">
        <v>2026</v>
      </c>
      <c r="J5897">
        <v>8</v>
      </c>
      <c r="K5897" s="19" t="s">
        <v>87</v>
      </c>
      <c r="L5897" s="19" t="s">
        <v>402</v>
      </c>
      <c r="M5897" s="19" t="s">
        <v>63</v>
      </c>
      <c r="N5897" t="b">
        <v>0</v>
      </c>
      <c r="O5897">
        <v>0</v>
      </c>
      <c r="P5897">
        <v>0</v>
      </c>
      <c r="Q5897">
        <v>1</v>
      </c>
      <c r="R5897">
        <v>0</v>
      </c>
    </row>
    <row r="5898" spans="1:18" x14ac:dyDescent="0.45">
      <c r="A5898" s="19" t="s">
        <v>13</v>
      </c>
      <c r="B5898" s="19" t="s">
        <v>63</v>
      </c>
      <c r="C5898">
        <v>4</v>
      </c>
      <c r="D5898">
        <v>3</v>
      </c>
      <c r="E5898">
        <v>1</v>
      </c>
      <c r="F5898" s="15">
        <v>46265</v>
      </c>
      <c r="G5898" s="19" t="s">
        <v>707</v>
      </c>
      <c r="H5898">
        <v>4</v>
      </c>
      <c r="I5898">
        <v>2026</v>
      </c>
      <c r="J5898">
        <v>8</v>
      </c>
      <c r="K5898" s="19" t="s">
        <v>87</v>
      </c>
      <c r="L5898" s="19" t="s">
        <v>7</v>
      </c>
      <c r="M5898" s="19" t="s">
        <v>63</v>
      </c>
      <c r="N5898" t="b">
        <v>0</v>
      </c>
      <c r="O5898">
        <v>0</v>
      </c>
      <c r="P5898">
        <v>0</v>
      </c>
      <c r="Q5898">
        <v>1</v>
      </c>
      <c r="R5898">
        <v>0</v>
      </c>
    </row>
    <row r="5899" spans="1:18" x14ac:dyDescent="0.45">
      <c r="A5899" s="19" t="s">
        <v>13</v>
      </c>
      <c r="B5899" s="19" t="s">
        <v>63</v>
      </c>
      <c r="C5899">
        <v>4</v>
      </c>
      <c r="D5899">
        <v>3</v>
      </c>
      <c r="E5899">
        <v>1</v>
      </c>
      <c r="F5899" s="15">
        <v>46265</v>
      </c>
      <c r="G5899" s="19" t="s">
        <v>707</v>
      </c>
      <c r="H5899">
        <v>4</v>
      </c>
      <c r="I5899">
        <v>2026</v>
      </c>
      <c r="J5899">
        <v>8</v>
      </c>
      <c r="K5899" s="19" t="s">
        <v>87</v>
      </c>
      <c r="L5899" s="19" t="s">
        <v>10</v>
      </c>
      <c r="M5899" s="19" t="s">
        <v>63</v>
      </c>
      <c r="N5899" t="b">
        <v>0</v>
      </c>
      <c r="O5899">
        <v>0</v>
      </c>
      <c r="P5899">
        <v>0</v>
      </c>
      <c r="Q5899">
        <v>1</v>
      </c>
      <c r="R5899">
        <v>0</v>
      </c>
    </row>
    <row r="5900" spans="1:18" x14ac:dyDescent="0.45">
      <c r="A5900" s="19" t="s">
        <v>51</v>
      </c>
      <c r="B5900" s="19" t="s">
        <v>63</v>
      </c>
      <c r="C5900">
        <v>1</v>
      </c>
      <c r="D5900">
        <v>4</v>
      </c>
      <c r="E5900">
        <v>1</v>
      </c>
      <c r="F5900" s="15">
        <v>46265</v>
      </c>
      <c r="G5900" s="19" t="s">
        <v>708</v>
      </c>
      <c r="H5900">
        <v>4</v>
      </c>
      <c r="I5900">
        <v>2026</v>
      </c>
      <c r="J5900">
        <v>8</v>
      </c>
      <c r="K5900" s="19" t="s">
        <v>87</v>
      </c>
      <c r="L5900" s="19" t="s">
        <v>325</v>
      </c>
      <c r="M5900" s="19" t="s">
        <v>63</v>
      </c>
      <c r="N5900" t="b">
        <v>0</v>
      </c>
      <c r="O5900">
        <v>0</v>
      </c>
      <c r="P5900">
        <v>0</v>
      </c>
      <c r="Q5900">
        <v>1</v>
      </c>
      <c r="R5900">
        <v>0</v>
      </c>
    </row>
    <row r="5901" spans="1:18" x14ac:dyDescent="0.45">
      <c r="A5901" s="19" t="s">
        <v>51</v>
      </c>
      <c r="B5901" s="19" t="s">
        <v>63</v>
      </c>
      <c r="C5901">
        <v>1</v>
      </c>
      <c r="D5901">
        <v>4</v>
      </c>
      <c r="E5901">
        <v>1</v>
      </c>
      <c r="F5901" s="15">
        <v>46265</v>
      </c>
      <c r="G5901" s="19" t="s">
        <v>708</v>
      </c>
      <c r="H5901">
        <v>4</v>
      </c>
      <c r="I5901">
        <v>2026</v>
      </c>
      <c r="J5901">
        <v>8</v>
      </c>
      <c r="K5901" s="19" t="s">
        <v>87</v>
      </c>
      <c r="L5901" s="19" t="s">
        <v>578</v>
      </c>
      <c r="M5901" s="19" t="s">
        <v>63</v>
      </c>
      <c r="N5901" t="b">
        <v>0</v>
      </c>
      <c r="O5901">
        <v>0</v>
      </c>
      <c r="P5901">
        <v>0</v>
      </c>
      <c r="Q5901">
        <v>1</v>
      </c>
      <c r="R5901">
        <v>0</v>
      </c>
    </row>
    <row r="5902" spans="1:18" x14ac:dyDescent="0.45">
      <c r="A5902" s="19" t="s">
        <v>51</v>
      </c>
      <c r="B5902" s="19" t="s">
        <v>63</v>
      </c>
      <c r="C5902">
        <v>1</v>
      </c>
      <c r="D5902">
        <v>4</v>
      </c>
      <c r="E5902">
        <v>1</v>
      </c>
      <c r="F5902" s="15">
        <v>46265</v>
      </c>
      <c r="G5902" s="19" t="s">
        <v>708</v>
      </c>
      <c r="H5902">
        <v>4</v>
      </c>
      <c r="I5902">
        <v>2026</v>
      </c>
      <c r="J5902">
        <v>8</v>
      </c>
      <c r="K5902" s="19" t="s">
        <v>87</v>
      </c>
      <c r="L5902" s="19" t="s">
        <v>9</v>
      </c>
      <c r="M5902" s="19" t="s">
        <v>63</v>
      </c>
      <c r="N5902" t="b">
        <v>0</v>
      </c>
      <c r="O5902">
        <v>0</v>
      </c>
      <c r="P5902">
        <v>0</v>
      </c>
      <c r="Q5902">
        <v>1</v>
      </c>
      <c r="R5902">
        <v>0</v>
      </c>
    </row>
    <row r="5903" spans="1:18" x14ac:dyDescent="0.45">
      <c r="A5903" s="19" t="s">
        <v>325</v>
      </c>
      <c r="B5903" s="19" t="s">
        <v>63</v>
      </c>
      <c r="C5903">
        <v>2</v>
      </c>
      <c r="D5903">
        <v>4</v>
      </c>
      <c r="E5903">
        <v>1</v>
      </c>
      <c r="F5903" s="15">
        <v>46265</v>
      </c>
      <c r="G5903" s="19" t="s">
        <v>708</v>
      </c>
      <c r="H5903">
        <v>4</v>
      </c>
      <c r="I5903">
        <v>2026</v>
      </c>
      <c r="J5903">
        <v>8</v>
      </c>
      <c r="K5903" s="19" t="s">
        <v>87</v>
      </c>
      <c r="L5903" s="19" t="s">
        <v>51</v>
      </c>
      <c r="M5903" s="19" t="s">
        <v>63</v>
      </c>
      <c r="N5903" t="b">
        <v>0</v>
      </c>
      <c r="O5903">
        <v>0</v>
      </c>
      <c r="P5903">
        <v>0</v>
      </c>
      <c r="Q5903">
        <v>1</v>
      </c>
      <c r="R5903">
        <v>0</v>
      </c>
    </row>
    <row r="5904" spans="1:18" x14ac:dyDescent="0.45">
      <c r="A5904" s="19" t="s">
        <v>325</v>
      </c>
      <c r="B5904" s="19" t="s">
        <v>63</v>
      </c>
      <c r="C5904">
        <v>2</v>
      </c>
      <c r="D5904">
        <v>4</v>
      </c>
      <c r="E5904">
        <v>1</v>
      </c>
      <c r="F5904" s="15">
        <v>46265</v>
      </c>
      <c r="G5904" s="19" t="s">
        <v>708</v>
      </c>
      <c r="H5904">
        <v>4</v>
      </c>
      <c r="I5904">
        <v>2026</v>
      </c>
      <c r="J5904">
        <v>8</v>
      </c>
      <c r="K5904" s="19" t="s">
        <v>87</v>
      </c>
      <c r="L5904" s="19" t="s">
        <v>578</v>
      </c>
      <c r="M5904" s="19" t="s">
        <v>63</v>
      </c>
      <c r="N5904" t="b">
        <v>0</v>
      </c>
      <c r="O5904">
        <v>0</v>
      </c>
      <c r="P5904">
        <v>0</v>
      </c>
      <c r="Q5904">
        <v>1</v>
      </c>
      <c r="R5904">
        <v>0</v>
      </c>
    </row>
    <row r="5905" spans="1:18" x14ac:dyDescent="0.45">
      <c r="A5905" s="19" t="s">
        <v>325</v>
      </c>
      <c r="B5905" s="19" t="s">
        <v>63</v>
      </c>
      <c r="C5905">
        <v>2</v>
      </c>
      <c r="D5905">
        <v>4</v>
      </c>
      <c r="E5905">
        <v>1</v>
      </c>
      <c r="F5905" s="15">
        <v>46265</v>
      </c>
      <c r="G5905" s="19" t="s">
        <v>708</v>
      </c>
      <c r="H5905">
        <v>4</v>
      </c>
      <c r="I5905">
        <v>2026</v>
      </c>
      <c r="J5905">
        <v>8</v>
      </c>
      <c r="K5905" s="19" t="s">
        <v>87</v>
      </c>
      <c r="L5905" s="19" t="s">
        <v>9</v>
      </c>
      <c r="M5905" s="19" t="s">
        <v>63</v>
      </c>
      <c r="N5905" t="b">
        <v>0</v>
      </c>
      <c r="O5905">
        <v>0</v>
      </c>
      <c r="P5905">
        <v>0</v>
      </c>
      <c r="Q5905">
        <v>1</v>
      </c>
      <c r="R5905">
        <v>0</v>
      </c>
    </row>
    <row r="5906" spans="1:18" x14ac:dyDescent="0.45">
      <c r="A5906" s="19" t="s">
        <v>578</v>
      </c>
      <c r="B5906" s="19" t="s">
        <v>63</v>
      </c>
      <c r="C5906">
        <v>3</v>
      </c>
      <c r="D5906">
        <v>4</v>
      </c>
      <c r="E5906">
        <v>1</v>
      </c>
      <c r="F5906" s="15">
        <v>46265</v>
      </c>
      <c r="G5906" s="19" t="s">
        <v>708</v>
      </c>
      <c r="H5906">
        <v>4</v>
      </c>
      <c r="I5906">
        <v>2026</v>
      </c>
      <c r="J5906">
        <v>8</v>
      </c>
      <c r="K5906" s="19" t="s">
        <v>87</v>
      </c>
      <c r="L5906" s="19" t="s">
        <v>51</v>
      </c>
      <c r="M5906" s="19" t="s">
        <v>63</v>
      </c>
      <c r="N5906" t="b">
        <v>0</v>
      </c>
      <c r="O5906">
        <v>0</v>
      </c>
      <c r="P5906">
        <v>0</v>
      </c>
      <c r="Q5906">
        <v>1</v>
      </c>
      <c r="R5906">
        <v>0</v>
      </c>
    </row>
    <row r="5907" spans="1:18" x14ac:dyDescent="0.45">
      <c r="A5907" s="19" t="s">
        <v>578</v>
      </c>
      <c r="B5907" s="19" t="s">
        <v>63</v>
      </c>
      <c r="C5907">
        <v>3</v>
      </c>
      <c r="D5907">
        <v>4</v>
      </c>
      <c r="E5907">
        <v>1</v>
      </c>
      <c r="F5907" s="15">
        <v>46265</v>
      </c>
      <c r="G5907" s="19" t="s">
        <v>708</v>
      </c>
      <c r="H5907">
        <v>4</v>
      </c>
      <c r="I5907">
        <v>2026</v>
      </c>
      <c r="J5907">
        <v>8</v>
      </c>
      <c r="K5907" s="19" t="s">
        <v>87</v>
      </c>
      <c r="L5907" s="19" t="s">
        <v>325</v>
      </c>
      <c r="M5907" s="19" t="s">
        <v>63</v>
      </c>
      <c r="N5907" t="b">
        <v>0</v>
      </c>
      <c r="O5907">
        <v>0</v>
      </c>
      <c r="P5907">
        <v>0</v>
      </c>
      <c r="Q5907">
        <v>1</v>
      </c>
      <c r="R5907">
        <v>0</v>
      </c>
    </row>
    <row r="5908" spans="1:18" x14ac:dyDescent="0.45">
      <c r="A5908" s="19" t="s">
        <v>578</v>
      </c>
      <c r="B5908" s="19" t="s">
        <v>63</v>
      </c>
      <c r="C5908">
        <v>3</v>
      </c>
      <c r="D5908">
        <v>4</v>
      </c>
      <c r="E5908">
        <v>1</v>
      </c>
      <c r="F5908" s="15">
        <v>46265</v>
      </c>
      <c r="G5908" s="19" t="s">
        <v>708</v>
      </c>
      <c r="H5908">
        <v>4</v>
      </c>
      <c r="I5908">
        <v>2026</v>
      </c>
      <c r="J5908">
        <v>8</v>
      </c>
      <c r="K5908" s="19" t="s">
        <v>87</v>
      </c>
      <c r="L5908" s="19" t="s">
        <v>9</v>
      </c>
      <c r="M5908" s="19" t="s">
        <v>63</v>
      </c>
      <c r="N5908" t="b">
        <v>0</v>
      </c>
      <c r="O5908">
        <v>0</v>
      </c>
      <c r="P5908">
        <v>0</v>
      </c>
      <c r="Q5908">
        <v>1</v>
      </c>
      <c r="R5908">
        <v>0</v>
      </c>
    </row>
    <row r="5909" spans="1:18" x14ac:dyDescent="0.45">
      <c r="A5909" s="19" t="s">
        <v>9</v>
      </c>
      <c r="B5909" s="19" t="s">
        <v>63</v>
      </c>
      <c r="C5909">
        <v>4</v>
      </c>
      <c r="D5909">
        <v>4</v>
      </c>
      <c r="E5909">
        <v>1</v>
      </c>
      <c r="F5909" s="15">
        <v>46265</v>
      </c>
      <c r="G5909" s="19" t="s">
        <v>708</v>
      </c>
      <c r="H5909">
        <v>4</v>
      </c>
      <c r="I5909">
        <v>2026</v>
      </c>
      <c r="J5909">
        <v>8</v>
      </c>
      <c r="K5909" s="19" t="s">
        <v>87</v>
      </c>
      <c r="L5909" s="19" t="s">
        <v>51</v>
      </c>
      <c r="M5909" s="19" t="s">
        <v>63</v>
      </c>
      <c r="N5909" t="b">
        <v>0</v>
      </c>
      <c r="O5909">
        <v>0</v>
      </c>
      <c r="P5909">
        <v>0</v>
      </c>
      <c r="Q5909">
        <v>1</v>
      </c>
      <c r="R5909">
        <v>0</v>
      </c>
    </row>
    <row r="5910" spans="1:18" x14ac:dyDescent="0.45">
      <c r="A5910" s="19" t="s">
        <v>9</v>
      </c>
      <c r="B5910" s="19" t="s">
        <v>63</v>
      </c>
      <c r="C5910">
        <v>4</v>
      </c>
      <c r="D5910">
        <v>4</v>
      </c>
      <c r="E5910">
        <v>1</v>
      </c>
      <c r="F5910" s="15">
        <v>46265</v>
      </c>
      <c r="G5910" s="19" t="s">
        <v>708</v>
      </c>
      <c r="H5910">
        <v>4</v>
      </c>
      <c r="I5910">
        <v>2026</v>
      </c>
      <c r="J5910">
        <v>8</v>
      </c>
      <c r="K5910" s="19" t="s">
        <v>87</v>
      </c>
      <c r="L5910" s="19" t="s">
        <v>325</v>
      </c>
      <c r="M5910" s="19" t="s">
        <v>63</v>
      </c>
      <c r="N5910" t="b">
        <v>0</v>
      </c>
      <c r="O5910">
        <v>0</v>
      </c>
      <c r="P5910">
        <v>0</v>
      </c>
      <c r="Q5910">
        <v>1</v>
      </c>
      <c r="R5910">
        <v>0</v>
      </c>
    </row>
    <row r="5911" spans="1:18" x14ac:dyDescent="0.45">
      <c r="A5911" s="19" t="s">
        <v>9</v>
      </c>
      <c r="B5911" s="19" t="s">
        <v>63</v>
      </c>
      <c r="C5911">
        <v>4</v>
      </c>
      <c r="D5911">
        <v>4</v>
      </c>
      <c r="E5911">
        <v>1</v>
      </c>
      <c r="F5911" s="15">
        <v>46265</v>
      </c>
      <c r="G5911" s="19" t="s">
        <v>708</v>
      </c>
      <c r="H5911">
        <v>4</v>
      </c>
      <c r="I5911">
        <v>2026</v>
      </c>
      <c r="J5911">
        <v>8</v>
      </c>
      <c r="K5911" s="19" t="s">
        <v>87</v>
      </c>
      <c r="L5911" s="19" t="s">
        <v>578</v>
      </c>
      <c r="M5911" s="19" t="s">
        <v>63</v>
      </c>
      <c r="N5911" t="b">
        <v>0</v>
      </c>
      <c r="O5911">
        <v>0</v>
      </c>
      <c r="P5911">
        <v>0</v>
      </c>
      <c r="Q5911">
        <v>1</v>
      </c>
      <c r="R5911">
        <v>0</v>
      </c>
    </row>
    <row r="5912" spans="1:18" x14ac:dyDescent="0.45">
      <c r="A5912" s="19" t="s">
        <v>19</v>
      </c>
      <c r="B5912" s="19" t="s">
        <v>6</v>
      </c>
      <c r="C5912">
        <v>1</v>
      </c>
      <c r="D5912">
        <v>5</v>
      </c>
      <c r="E5912">
        <v>1</v>
      </c>
      <c r="F5912" s="15">
        <v>46265</v>
      </c>
      <c r="G5912" s="19" t="s">
        <v>709</v>
      </c>
      <c r="H5912">
        <v>3</v>
      </c>
      <c r="I5912">
        <v>2026</v>
      </c>
      <c r="J5912">
        <v>8</v>
      </c>
      <c r="K5912" s="19" t="s">
        <v>87</v>
      </c>
      <c r="L5912" s="19" t="s">
        <v>20</v>
      </c>
      <c r="M5912" s="19" t="s">
        <v>8</v>
      </c>
      <c r="N5912" t="b">
        <v>0</v>
      </c>
      <c r="O5912">
        <v>0</v>
      </c>
      <c r="P5912">
        <v>1</v>
      </c>
      <c r="Q5912">
        <v>0</v>
      </c>
      <c r="R5912">
        <v>1</v>
      </c>
    </row>
    <row r="5913" spans="1:18" x14ac:dyDescent="0.45">
      <c r="A5913" s="19" t="s">
        <v>19</v>
      </c>
      <c r="B5913" s="19" t="s">
        <v>6</v>
      </c>
      <c r="C5913">
        <v>1</v>
      </c>
      <c r="D5913">
        <v>5</v>
      </c>
      <c r="E5913">
        <v>1</v>
      </c>
      <c r="F5913" s="15">
        <v>46265</v>
      </c>
      <c r="G5913" s="19" t="s">
        <v>709</v>
      </c>
      <c r="H5913">
        <v>3</v>
      </c>
      <c r="I5913">
        <v>2026</v>
      </c>
      <c r="J5913">
        <v>8</v>
      </c>
      <c r="K5913" s="19" t="s">
        <v>87</v>
      </c>
      <c r="L5913" s="19" t="s">
        <v>11</v>
      </c>
      <c r="M5913" s="19" t="s">
        <v>6</v>
      </c>
      <c r="N5913" t="b">
        <v>0</v>
      </c>
      <c r="O5913">
        <v>0</v>
      </c>
      <c r="P5913">
        <v>1</v>
      </c>
      <c r="Q5913">
        <v>0</v>
      </c>
      <c r="R5913">
        <v>0</v>
      </c>
    </row>
    <row r="5914" spans="1:18" x14ac:dyDescent="0.45">
      <c r="A5914" s="19" t="s">
        <v>20</v>
      </c>
      <c r="B5914" s="19" t="s">
        <v>8</v>
      </c>
      <c r="C5914">
        <v>2</v>
      </c>
      <c r="D5914">
        <v>5</v>
      </c>
      <c r="E5914">
        <v>1</v>
      </c>
      <c r="F5914" s="15">
        <v>46265</v>
      </c>
      <c r="G5914" s="19" t="s">
        <v>709</v>
      </c>
      <c r="H5914">
        <v>3</v>
      </c>
      <c r="I5914">
        <v>2026</v>
      </c>
      <c r="J5914">
        <v>8</v>
      </c>
      <c r="K5914" s="19" t="s">
        <v>87</v>
      </c>
      <c r="L5914" s="19" t="s">
        <v>19</v>
      </c>
      <c r="M5914" s="19" t="s">
        <v>6</v>
      </c>
      <c r="N5914" t="b">
        <v>0</v>
      </c>
      <c r="O5914">
        <v>1</v>
      </c>
      <c r="P5914">
        <v>0</v>
      </c>
      <c r="Q5914">
        <v>0</v>
      </c>
      <c r="R5914">
        <v>0</v>
      </c>
    </row>
    <row r="5915" spans="1:18" x14ac:dyDescent="0.45">
      <c r="A5915" s="19" t="s">
        <v>20</v>
      </c>
      <c r="B5915" s="19" t="s">
        <v>8</v>
      </c>
      <c r="C5915">
        <v>2</v>
      </c>
      <c r="D5915">
        <v>5</v>
      </c>
      <c r="E5915">
        <v>1</v>
      </c>
      <c r="F5915" s="15">
        <v>46265</v>
      </c>
      <c r="G5915" s="19" t="s">
        <v>709</v>
      </c>
      <c r="H5915">
        <v>3</v>
      </c>
      <c r="I5915">
        <v>2026</v>
      </c>
      <c r="J5915">
        <v>8</v>
      </c>
      <c r="K5915" s="19" t="s">
        <v>87</v>
      </c>
      <c r="L5915" s="19" t="s">
        <v>11</v>
      </c>
      <c r="M5915" s="19" t="s">
        <v>6</v>
      </c>
      <c r="N5915" t="b">
        <v>0</v>
      </c>
      <c r="O5915">
        <v>1</v>
      </c>
      <c r="P5915">
        <v>0</v>
      </c>
      <c r="Q5915">
        <v>0</v>
      </c>
      <c r="R5915">
        <v>0</v>
      </c>
    </row>
    <row r="5916" spans="1:18" x14ac:dyDescent="0.45">
      <c r="A5916" s="19" t="s">
        <v>11</v>
      </c>
      <c r="B5916" s="19" t="s">
        <v>6</v>
      </c>
      <c r="C5916">
        <v>3</v>
      </c>
      <c r="D5916">
        <v>5</v>
      </c>
      <c r="E5916">
        <v>1</v>
      </c>
      <c r="F5916" s="15">
        <v>46265</v>
      </c>
      <c r="G5916" s="19" t="s">
        <v>709</v>
      </c>
      <c r="H5916">
        <v>3</v>
      </c>
      <c r="I5916">
        <v>2026</v>
      </c>
      <c r="J5916">
        <v>8</v>
      </c>
      <c r="K5916" s="19" t="s">
        <v>87</v>
      </c>
      <c r="L5916" s="19" t="s">
        <v>19</v>
      </c>
      <c r="M5916" s="19" t="s">
        <v>6</v>
      </c>
      <c r="N5916" t="b">
        <v>0</v>
      </c>
      <c r="O5916">
        <v>0</v>
      </c>
      <c r="P5916">
        <v>1</v>
      </c>
      <c r="Q5916">
        <v>0</v>
      </c>
      <c r="R5916">
        <v>0</v>
      </c>
    </row>
    <row r="5917" spans="1:18" x14ac:dyDescent="0.45">
      <c r="A5917" s="19" t="s">
        <v>11</v>
      </c>
      <c r="B5917" s="19" t="s">
        <v>6</v>
      </c>
      <c r="C5917">
        <v>3</v>
      </c>
      <c r="D5917">
        <v>5</v>
      </c>
      <c r="E5917">
        <v>1</v>
      </c>
      <c r="F5917" s="15">
        <v>46265</v>
      </c>
      <c r="G5917" s="19" t="s">
        <v>709</v>
      </c>
      <c r="H5917">
        <v>3</v>
      </c>
      <c r="I5917">
        <v>2026</v>
      </c>
      <c r="J5917">
        <v>8</v>
      </c>
      <c r="K5917" s="19" t="s">
        <v>87</v>
      </c>
      <c r="L5917" s="19" t="s">
        <v>20</v>
      </c>
      <c r="M5917" s="19" t="s">
        <v>8</v>
      </c>
      <c r="N5917" t="b">
        <v>0</v>
      </c>
      <c r="O5917">
        <v>0</v>
      </c>
      <c r="P5917">
        <v>1</v>
      </c>
      <c r="Q5917">
        <v>0</v>
      </c>
      <c r="R5917">
        <v>1</v>
      </c>
    </row>
    <row r="5918" spans="1:18" x14ac:dyDescent="0.45">
      <c r="A5918" s="19" t="s">
        <v>609</v>
      </c>
      <c r="B5918" s="19" t="s">
        <v>6</v>
      </c>
      <c r="C5918">
        <v>1</v>
      </c>
      <c r="D5918">
        <v>1</v>
      </c>
      <c r="E5918">
        <v>2</v>
      </c>
      <c r="F5918" s="15">
        <v>46265</v>
      </c>
      <c r="G5918" s="19" t="s">
        <v>710</v>
      </c>
      <c r="H5918">
        <v>4</v>
      </c>
      <c r="I5918">
        <v>2026</v>
      </c>
      <c r="J5918">
        <v>8</v>
      </c>
      <c r="K5918" s="19" t="s">
        <v>87</v>
      </c>
      <c r="L5918" s="19" t="s">
        <v>13</v>
      </c>
      <c r="M5918" s="19" t="s">
        <v>6</v>
      </c>
      <c r="N5918" t="b">
        <v>0</v>
      </c>
      <c r="O5918">
        <v>0</v>
      </c>
      <c r="P5918">
        <v>1</v>
      </c>
      <c r="Q5918">
        <v>0</v>
      </c>
      <c r="R5918">
        <v>0</v>
      </c>
    </row>
    <row r="5919" spans="1:18" x14ac:dyDescent="0.45">
      <c r="A5919" s="19" t="s">
        <v>609</v>
      </c>
      <c r="B5919" s="19" t="s">
        <v>6</v>
      </c>
      <c r="C5919">
        <v>1</v>
      </c>
      <c r="D5919">
        <v>1</v>
      </c>
      <c r="E5919">
        <v>2</v>
      </c>
      <c r="F5919" s="15">
        <v>46265</v>
      </c>
      <c r="G5919" s="19" t="s">
        <v>710</v>
      </c>
      <c r="H5919">
        <v>4</v>
      </c>
      <c r="I5919">
        <v>2026</v>
      </c>
      <c r="J5919">
        <v>8</v>
      </c>
      <c r="K5919" s="19" t="s">
        <v>87</v>
      </c>
      <c r="L5919" s="19" t="s">
        <v>20</v>
      </c>
      <c r="M5919" s="19" t="s">
        <v>6</v>
      </c>
      <c r="N5919" t="b">
        <v>0</v>
      </c>
      <c r="O5919">
        <v>0</v>
      </c>
      <c r="P5919">
        <v>1</v>
      </c>
      <c r="Q5919">
        <v>0</v>
      </c>
      <c r="R5919">
        <v>0</v>
      </c>
    </row>
    <row r="5920" spans="1:18" x14ac:dyDescent="0.45">
      <c r="A5920" s="19" t="s">
        <v>609</v>
      </c>
      <c r="B5920" s="19" t="s">
        <v>6</v>
      </c>
      <c r="C5920">
        <v>1</v>
      </c>
      <c r="D5920">
        <v>1</v>
      </c>
      <c r="E5920">
        <v>2</v>
      </c>
      <c r="F5920" s="15">
        <v>46265</v>
      </c>
      <c r="G5920" s="19" t="s">
        <v>710</v>
      </c>
      <c r="H5920">
        <v>4</v>
      </c>
      <c r="I5920">
        <v>2026</v>
      </c>
      <c r="J5920">
        <v>8</v>
      </c>
      <c r="K5920" s="19" t="s">
        <v>87</v>
      </c>
      <c r="L5920" s="19" t="s">
        <v>15</v>
      </c>
      <c r="M5920" s="19" t="s">
        <v>8</v>
      </c>
      <c r="N5920" t="b">
        <v>0</v>
      </c>
      <c r="O5920">
        <v>0</v>
      </c>
      <c r="P5920">
        <v>1</v>
      </c>
      <c r="Q5920">
        <v>0</v>
      </c>
      <c r="R5920">
        <v>1</v>
      </c>
    </row>
    <row r="5921" spans="1:18" x14ac:dyDescent="0.45">
      <c r="A5921" s="19" t="s">
        <v>13</v>
      </c>
      <c r="B5921" s="19" t="s">
        <v>6</v>
      </c>
      <c r="C5921">
        <v>2</v>
      </c>
      <c r="D5921">
        <v>1</v>
      </c>
      <c r="E5921">
        <v>2</v>
      </c>
      <c r="F5921" s="15">
        <v>46265</v>
      </c>
      <c r="G5921" s="19" t="s">
        <v>710</v>
      </c>
      <c r="H5921">
        <v>4</v>
      </c>
      <c r="I5921">
        <v>2026</v>
      </c>
      <c r="J5921">
        <v>8</v>
      </c>
      <c r="K5921" s="19" t="s">
        <v>87</v>
      </c>
      <c r="L5921" s="19" t="s">
        <v>609</v>
      </c>
      <c r="M5921" s="19" t="s">
        <v>6</v>
      </c>
      <c r="N5921" t="b">
        <v>0</v>
      </c>
      <c r="O5921">
        <v>0</v>
      </c>
      <c r="P5921">
        <v>1</v>
      </c>
      <c r="Q5921">
        <v>0</v>
      </c>
      <c r="R5921">
        <v>0</v>
      </c>
    </row>
    <row r="5922" spans="1:18" x14ac:dyDescent="0.45">
      <c r="A5922" s="19" t="s">
        <v>13</v>
      </c>
      <c r="B5922" s="19" t="s">
        <v>6</v>
      </c>
      <c r="C5922">
        <v>2</v>
      </c>
      <c r="D5922">
        <v>1</v>
      </c>
      <c r="E5922">
        <v>2</v>
      </c>
      <c r="F5922" s="15">
        <v>46265</v>
      </c>
      <c r="G5922" s="19" t="s">
        <v>710</v>
      </c>
      <c r="H5922">
        <v>4</v>
      </c>
      <c r="I5922">
        <v>2026</v>
      </c>
      <c r="J5922">
        <v>8</v>
      </c>
      <c r="K5922" s="19" t="s">
        <v>87</v>
      </c>
      <c r="L5922" s="19" t="s">
        <v>20</v>
      </c>
      <c r="M5922" s="19" t="s">
        <v>6</v>
      </c>
      <c r="N5922" t="b">
        <v>0</v>
      </c>
      <c r="O5922">
        <v>0</v>
      </c>
      <c r="P5922">
        <v>1</v>
      </c>
      <c r="Q5922">
        <v>0</v>
      </c>
      <c r="R5922">
        <v>0</v>
      </c>
    </row>
    <row r="5923" spans="1:18" x14ac:dyDescent="0.45">
      <c r="A5923" s="19" t="s">
        <v>13</v>
      </c>
      <c r="B5923" s="19" t="s">
        <v>6</v>
      </c>
      <c r="C5923">
        <v>2</v>
      </c>
      <c r="D5923">
        <v>1</v>
      </c>
      <c r="E5923">
        <v>2</v>
      </c>
      <c r="F5923" s="15">
        <v>46265</v>
      </c>
      <c r="G5923" s="19" t="s">
        <v>710</v>
      </c>
      <c r="H5923">
        <v>4</v>
      </c>
      <c r="I5923">
        <v>2026</v>
      </c>
      <c r="J5923">
        <v>8</v>
      </c>
      <c r="K5923" s="19" t="s">
        <v>87</v>
      </c>
      <c r="L5923" s="19" t="s">
        <v>15</v>
      </c>
      <c r="M5923" s="19" t="s">
        <v>8</v>
      </c>
      <c r="N5923" t="b">
        <v>0</v>
      </c>
      <c r="O5923">
        <v>0</v>
      </c>
      <c r="P5923">
        <v>1</v>
      </c>
      <c r="Q5923">
        <v>0</v>
      </c>
      <c r="R5923">
        <v>1</v>
      </c>
    </row>
    <row r="5924" spans="1:18" x14ac:dyDescent="0.45">
      <c r="A5924" s="19" t="s">
        <v>20</v>
      </c>
      <c r="B5924" s="19" t="s">
        <v>6</v>
      </c>
      <c r="C5924">
        <v>3</v>
      </c>
      <c r="D5924">
        <v>1</v>
      </c>
      <c r="E5924">
        <v>2</v>
      </c>
      <c r="F5924" s="15">
        <v>46265</v>
      </c>
      <c r="G5924" s="19" t="s">
        <v>710</v>
      </c>
      <c r="H5924">
        <v>4</v>
      </c>
      <c r="I5924">
        <v>2026</v>
      </c>
      <c r="J5924">
        <v>8</v>
      </c>
      <c r="K5924" s="19" t="s">
        <v>87</v>
      </c>
      <c r="L5924" s="19" t="s">
        <v>609</v>
      </c>
      <c r="M5924" s="19" t="s">
        <v>6</v>
      </c>
      <c r="N5924" t="b">
        <v>0</v>
      </c>
      <c r="O5924">
        <v>0</v>
      </c>
      <c r="P5924">
        <v>1</v>
      </c>
      <c r="Q5924">
        <v>0</v>
      </c>
      <c r="R5924">
        <v>0</v>
      </c>
    </row>
    <row r="5925" spans="1:18" x14ac:dyDescent="0.45">
      <c r="A5925" s="19" t="s">
        <v>20</v>
      </c>
      <c r="B5925" s="19" t="s">
        <v>6</v>
      </c>
      <c r="C5925">
        <v>3</v>
      </c>
      <c r="D5925">
        <v>1</v>
      </c>
      <c r="E5925">
        <v>2</v>
      </c>
      <c r="F5925" s="15">
        <v>46265</v>
      </c>
      <c r="G5925" s="19" t="s">
        <v>710</v>
      </c>
      <c r="H5925">
        <v>4</v>
      </c>
      <c r="I5925">
        <v>2026</v>
      </c>
      <c r="J5925">
        <v>8</v>
      </c>
      <c r="K5925" s="19" t="s">
        <v>87</v>
      </c>
      <c r="L5925" s="19" t="s">
        <v>13</v>
      </c>
      <c r="M5925" s="19" t="s">
        <v>6</v>
      </c>
      <c r="N5925" t="b">
        <v>0</v>
      </c>
      <c r="O5925">
        <v>0</v>
      </c>
      <c r="P5925">
        <v>1</v>
      </c>
      <c r="Q5925">
        <v>0</v>
      </c>
      <c r="R5925">
        <v>0</v>
      </c>
    </row>
    <row r="5926" spans="1:18" x14ac:dyDescent="0.45">
      <c r="A5926" s="19" t="s">
        <v>20</v>
      </c>
      <c r="B5926" s="19" t="s">
        <v>6</v>
      </c>
      <c r="C5926">
        <v>3</v>
      </c>
      <c r="D5926">
        <v>1</v>
      </c>
      <c r="E5926">
        <v>2</v>
      </c>
      <c r="F5926" s="15">
        <v>46265</v>
      </c>
      <c r="G5926" s="19" t="s">
        <v>710</v>
      </c>
      <c r="H5926">
        <v>4</v>
      </c>
      <c r="I5926">
        <v>2026</v>
      </c>
      <c r="J5926">
        <v>8</v>
      </c>
      <c r="K5926" s="19" t="s">
        <v>87</v>
      </c>
      <c r="L5926" s="19" t="s">
        <v>15</v>
      </c>
      <c r="M5926" s="19" t="s">
        <v>8</v>
      </c>
      <c r="N5926" t="b">
        <v>0</v>
      </c>
      <c r="O5926">
        <v>0</v>
      </c>
      <c r="P5926">
        <v>1</v>
      </c>
      <c r="Q5926">
        <v>0</v>
      </c>
      <c r="R5926">
        <v>1</v>
      </c>
    </row>
    <row r="5927" spans="1:18" x14ac:dyDescent="0.45">
      <c r="A5927" s="19" t="s">
        <v>15</v>
      </c>
      <c r="B5927" s="19" t="s">
        <v>8</v>
      </c>
      <c r="C5927">
        <v>4</v>
      </c>
      <c r="D5927">
        <v>1</v>
      </c>
      <c r="E5927">
        <v>2</v>
      </c>
      <c r="F5927" s="15">
        <v>46265</v>
      </c>
      <c r="G5927" s="19" t="s">
        <v>710</v>
      </c>
      <c r="H5927">
        <v>4</v>
      </c>
      <c r="I5927">
        <v>2026</v>
      </c>
      <c r="J5927">
        <v>8</v>
      </c>
      <c r="K5927" s="19" t="s">
        <v>87</v>
      </c>
      <c r="L5927" s="19" t="s">
        <v>609</v>
      </c>
      <c r="M5927" s="19" t="s">
        <v>6</v>
      </c>
      <c r="N5927" t="b">
        <v>0</v>
      </c>
      <c r="O5927">
        <v>1</v>
      </c>
      <c r="P5927">
        <v>0</v>
      </c>
      <c r="Q5927">
        <v>0</v>
      </c>
      <c r="R5927">
        <v>0</v>
      </c>
    </row>
    <row r="5928" spans="1:18" x14ac:dyDescent="0.45">
      <c r="A5928" s="19" t="s">
        <v>15</v>
      </c>
      <c r="B5928" s="19" t="s">
        <v>8</v>
      </c>
      <c r="C5928">
        <v>4</v>
      </c>
      <c r="D5928">
        <v>1</v>
      </c>
      <c r="E5928">
        <v>2</v>
      </c>
      <c r="F5928" s="15">
        <v>46265</v>
      </c>
      <c r="G5928" s="19" t="s">
        <v>710</v>
      </c>
      <c r="H5928">
        <v>4</v>
      </c>
      <c r="I5928">
        <v>2026</v>
      </c>
      <c r="J5928">
        <v>8</v>
      </c>
      <c r="K5928" s="19" t="s">
        <v>87</v>
      </c>
      <c r="L5928" s="19" t="s">
        <v>13</v>
      </c>
      <c r="M5928" s="19" t="s">
        <v>6</v>
      </c>
      <c r="N5928" t="b">
        <v>0</v>
      </c>
      <c r="O5928">
        <v>1</v>
      </c>
      <c r="P5928">
        <v>0</v>
      </c>
      <c r="Q5928">
        <v>0</v>
      </c>
      <c r="R5928">
        <v>0</v>
      </c>
    </row>
    <row r="5929" spans="1:18" x14ac:dyDescent="0.45">
      <c r="A5929" s="19" t="s">
        <v>15</v>
      </c>
      <c r="B5929" s="19" t="s">
        <v>8</v>
      </c>
      <c r="C5929">
        <v>4</v>
      </c>
      <c r="D5929">
        <v>1</v>
      </c>
      <c r="E5929">
        <v>2</v>
      </c>
      <c r="F5929" s="15">
        <v>46265</v>
      </c>
      <c r="G5929" s="19" t="s">
        <v>710</v>
      </c>
      <c r="H5929">
        <v>4</v>
      </c>
      <c r="I5929">
        <v>2026</v>
      </c>
      <c r="J5929">
        <v>8</v>
      </c>
      <c r="K5929" s="19" t="s">
        <v>87</v>
      </c>
      <c r="L5929" s="19" t="s">
        <v>20</v>
      </c>
      <c r="M5929" s="19" t="s">
        <v>6</v>
      </c>
      <c r="N5929" t="b">
        <v>0</v>
      </c>
      <c r="O5929">
        <v>1</v>
      </c>
      <c r="P5929">
        <v>0</v>
      </c>
      <c r="Q5929">
        <v>0</v>
      </c>
      <c r="R5929">
        <v>0</v>
      </c>
    </row>
    <row r="5930" spans="1:18" x14ac:dyDescent="0.45">
      <c r="A5930" s="19" t="s">
        <v>28</v>
      </c>
      <c r="B5930" s="19" t="s">
        <v>8</v>
      </c>
      <c r="C5930">
        <v>1</v>
      </c>
      <c r="D5930">
        <v>2</v>
      </c>
      <c r="E5930">
        <v>2</v>
      </c>
      <c r="F5930" s="15">
        <v>46265</v>
      </c>
      <c r="G5930" s="19" t="s">
        <v>711</v>
      </c>
      <c r="H5930">
        <v>4</v>
      </c>
      <c r="I5930">
        <v>2026</v>
      </c>
      <c r="J5930">
        <v>8</v>
      </c>
      <c r="K5930" s="19" t="s">
        <v>87</v>
      </c>
      <c r="L5930" s="19" t="s">
        <v>41</v>
      </c>
      <c r="M5930" s="19" t="s">
        <v>6</v>
      </c>
      <c r="N5930" t="b">
        <v>0</v>
      </c>
      <c r="O5930">
        <v>1</v>
      </c>
      <c r="P5930">
        <v>0</v>
      </c>
      <c r="Q5930">
        <v>0</v>
      </c>
      <c r="R5930">
        <v>0</v>
      </c>
    </row>
    <row r="5931" spans="1:18" x14ac:dyDescent="0.45">
      <c r="A5931" s="19" t="s">
        <v>28</v>
      </c>
      <c r="B5931" s="19" t="s">
        <v>8</v>
      </c>
      <c r="C5931">
        <v>1</v>
      </c>
      <c r="D5931">
        <v>2</v>
      </c>
      <c r="E5931">
        <v>2</v>
      </c>
      <c r="F5931" s="15">
        <v>46265</v>
      </c>
      <c r="G5931" s="19" t="s">
        <v>711</v>
      </c>
      <c r="H5931">
        <v>4</v>
      </c>
      <c r="I5931">
        <v>2026</v>
      </c>
      <c r="J5931">
        <v>8</v>
      </c>
      <c r="K5931" s="19" t="s">
        <v>87</v>
      </c>
      <c r="L5931" s="19" t="s">
        <v>402</v>
      </c>
      <c r="M5931" s="19" t="s">
        <v>6</v>
      </c>
      <c r="N5931" t="b">
        <v>0</v>
      </c>
      <c r="O5931">
        <v>1</v>
      </c>
      <c r="P5931">
        <v>0</v>
      </c>
      <c r="Q5931">
        <v>0</v>
      </c>
      <c r="R5931">
        <v>0</v>
      </c>
    </row>
    <row r="5932" spans="1:18" x14ac:dyDescent="0.45">
      <c r="A5932" s="19" t="s">
        <v>28</v>
      </c>
      <c r="B5932" s="19" t="s">
        <v>8</v>
      </c>
      <c r="C5932">
        <v>1</v>
      </c>
      <c r="D5932">
        <v>2</v>
      </c>
      <c r="E5932">
        <v>2</v>
      </c>
      <c r="F5932" s="15">
        <v>46265</v>
      </c>
      <c r="G5932" s="19" t="s">
        <v>711</v>
      </c>
      <c r="H5932">
        <v>4</v>
      </c>
      <c r="I5932">
        <v>2026</v>
      </c>
      <c r="J5932">
        <v>8</v>
      </c>
      <c r="K5932" s="19" t="s">
        <v>87</v>
      </c>
      <c r="L5932" s="19" t="s">
        <v>325</v>
      </c>
      <c r="M5932" s="19" t="s">
        <v>6</v>
      </c>
      <c r="N5932" t="b">
        <v>0</v>
      </c>
      <c r="O5932">
        <v>1</v>
      </c>
      <c r="P5932">
        <v>0</v>
      </c>
      <c r="Q5932">
        <v>0</v>
      </c>
      <c r="R5932">
        <v>0</v>
      </c>
    </row>
    <row r="5933" spans="1:18" x14ac:dyDescent="0.45">
      <c r="A5933" s="19" t="s">
        <v>41</v>
      </c>
      <c r="B5933" s="19" t="s">
        <v>6</v>
      </c>
      <c r="C5933">
        <v>2</v>
      </c>
      <c r="D5933">
        <v>2</v>
      </c>
      <c r="E5933">
        <v>2</v>
      </c>
      <c r="F5933" s="15">
        <v>46265</v>
      </c>
      <c r="G5933" s="19" t="s">
        <v>711</v>
      </c>
      <c r="H5933">
        <v>4</v>
      </c>
      <c r="I5933">
        <v>2026</v>
      </c>
      <c r="J5933">
        <v>8</v>
      </c>
      <c r="K5933" s="19" t="s">
        <v>87</v>
      </c>
      <c r="L5933" s="19" t="s">
        <v>28</v>
      </c>
      <c r="M5933" s="19" t="s">
        <v>8</v>
      </c>
      <c r="N5933" t="b">
        <v>0</v>
      </c>
      <c r="O5933">
        <v>0</v>
      </c>
      <c r="P5933">
        <v>1</v>
      </c>
      <c r="Q5933">
        <v>0</v>
      </c>
      <c r="R5933">
        <v>1</v>
      </c>
    </row>
    <row r="5934" spans="1:18" x14ac:dyDescent="0.45">
      <c r="A5934" s="19" t="s">
        <v>41</v>
      </c>
      <c r="B5934" s="19" t="s">
        <v>6</v>
      </c>
      <c r="C5934">
        <v>2</v>
      </c>
      <c r="D5934">
        <v>2</v>
      </c>
      <c r="E5934">
        <v>2</v>
      </c>
      <c r="F5934" s="15">
        <v>46265</v>
      </c>
      <c r="G5934" s="19" t="s">
        <v>711</v>
      </c>
      <c r="H5934">
        <v>4</v>
      </c>
      <c r="I5934">
        <v>2026</v>
      </c>
      <c r="J5934">
        <v>8</v>
      </c>
      <c r="K5934" s="19" t="s">
        <v>87</v>
      </c>
      <c r="L5934" s="19" t="s">
        <v>402</v>
      </c>
      <c r="M5934" s="19" t="s">
        <v>6</v>
      </c>
      <c r="N5934" t="b">
        <v>0</v>
      </c>
      <c r="O5934">
        <v>0</v>
      </c>
      <c r="P5934">
        <v>1</v>
      </c>
      <c r="Q5934">
        <v>0</v>
      </c>
      <c r="R5934">
        <v>0</v>
      </c>
    </row>
    <row r="5935" spans="1:18" x14ac:dyDescent="0.45">
      <c r="A5935" s="19" t="s">
        <v>41</v>
      </c>
      <c r="B5935" s="19" t="s">
        <v>6</v>
      </c>
      <c r="C5935">
        <v>2</v>
      </c>
      <c r="D5935">
        <v>2</v>
      </c>
      <c r="E5935">
        <v>2</v>
      </c>
      <c r="F5935" s="15">
        <v>46265</v>
      </c>
      <c r="G5935" s="19" t="s">
        <v>711</v>
      </c>
      <c r="H5935">
        <v>4</v>
      </c>
      <c r="I5935">
        <v>2026</v>
      </c>
      <c r="J5935">
        <v>8</v>
      </c>
      <c r="K5935" s="19" t="s">
        <v>87</v>
      </c>
      <c r="L5935" s="19" t="s">
        <v>325</v>
      </c>
      <c r="M5935" s="19" t="s">
        <v>6</v>
      </c>
      <c r="N5935" t="b">
        <v>0</v>
      </c>
      <c r="O5935">
        <v>0</v>
      </c>
      <c r="P5935">
        <v>1</v>
      </c>
      <c r="Q5935">
        <v>0</v>
      </c>
      <c r="R5935">
        <v>0</v>
      </c>
    </row>
    <row r="5936" spans="1:18" x14ac:dyDescent="0.45">
      <c r="A5936" s="19" t="s">
        <v>402</v>
      </c>
      <c r="B5936" s="19" t="s">
        <v>6</v>
      </c>
      <c r="C5936">
        <v>3</v>
      </c>
      <c r="D5936">
        <v>2</v>
      </c>
      <c r="E5936">
        <v>2</v>
      </c>
      <c r="F5936" s="15">
        <v>46265</v>
      </c>
      <c r="G5936" s="19" t="s">
        <v>711</v>
      </c>
      <c r="H5936">
        <v>4</v>
      </c>
      <c r="I5936">
        <v>2026</v>
      </c>
      <c r="J5936">
        <v>8</v>
      </c>
      <c r="K5936" s="19" t="s">
        <v>87</v>
      </c>
      <c r="L5936" s="19" t="s">
        <v>28</v>
      </c>
      <c r="M5936" s="19" t="s">
        <v>8</v>
      </c>
      <c r="N5936" t="b">
        <v>0</v>
      </c>
      <c r="O5936">
        <v>0</v>
      </c>
      <c r="P5936">
        <v>1</v>
      </c>
      <c r="Q5936">
        <v>0</v>
      </c>
      <c r="R5936">
        <v>1</v>
      </c>
    </row>
    <row r="5937" spans="1:18" x14ac:dyDescent="0.45">
      <c r="A5937" s="19" t="s">
        <v>402</v>
      </c>
      <c r="B5937" s="19" t="s">
        <v>6</v>
      </c>
      <c r="C5937">
        <v>3</v>
      </c>
      <c r="D5937">
        <v>2</v>
      </c>
      <c r="E5937">
        <v>2</v>
      </c>
      <c r="F5937" s="15">
        <v>46265</v>
      </c>
      <c r="G5937" s="19" t="s">
        <v>711</v>
      </c>
      <c r="H5937">
        <v>4</v>
      </c>
      <c r="I5937">
        <v>2026</v>
      </c>
      <c r="J5937">
        <v>8</v>
      </c>
      <c r="K5937" s="19" t="s">
        <v>87</v>
      </c>
      <c r="L5937" s="19" t="s">
        <v>41</v>
      </c>
      <c r="M5937" s="19" t="s">
        <v>6</v>
      </c>
      <c r="N5937" t="b">
        <v>0</v>
      </c>
      <c r="O5937">
        <v>0</v>
      </c>
      <c r="P5937">
        <v>1</v>
      </c>
      <c r="Q5937">
        <v>0</v>
      </c>
      <c r="R5937">
        <v>0</v>
      </c>
    </row>
    <row r="5938" spans="1:18" x14ac:dyDescent="0.45">
      <c r="A5938" s="19" t="s">
        <v>402</v>
      </c>
      <c r="B5938" s="19" t="s">
        <v>6</v>
      </c>
      <c r="C5938">
        <v>3</v>
      </c>
      <c r="D5938">
        <v>2</v>
      </c>
      <c r="E5938">
        <v>2</v>
      </c>
      <c r="F5938" s="15">
        <v>46265</v>
      </c>
      <c r="G5938" s="19" t="s">
        <v>711</v>
      </c>
      <c r="H5938">
        <v>4</v>
      </c>
      <c r="I5938">
        <v>2026</v>
      </c>
      <c r="J5938">
        <v>8</v>
      </c>
      <c r="K5938" s="19" t="s">
        <v>87</v>
      </c>
      <c r="L5938" s="19" t="s">
        <v>325</v>
      </c>
      <c r="M5938" s="19" t="s">
        <v>6</v>
      </c>
      <c r="N5938" t="b">
        <v>0</v>
      </c>
      <c r="O5938">
        <v>0</v>
      </c>
      <c r="P5938">
        <v>1</v>
      </c>
      <c r="Q5938">
        <v>0</v>
      </c>
      <c r="R5938">
        <v>0</v>
      </c>
    </row>
    <row r="5939" spans="1:18" x14ac:dyDescent="0.45">
      <c r="A5939" s="19" t="s">
        <v>325</v>
      </c>
      <c r="B5939" s="19" t="s">
        <v>6</v>
      </c>
      <c r="C5939">
        <v>4</v>
      </c>
      <c r="D5939">
        <v>2</v>
      </c>
      <c r="E5939">
        <v>2</v>
      </c>
      <c r="F5939" s="15">
        <v>46265</v>
      </c>
      <c r="G5939" s="19" t="s">
        <v>711</v>
      </c>
      <c r="H5939">
        <v>4</v>
      </c>
      <c r="I5939">
        <v>2026</v>
      </c>
      <c r="J5939">
        <v>8</v>
      </c>
      <c r="K5939" s="19" t="s">
        <v>87</v>
      </c>
      <c r="L5939" s="19" t="s">
        <v>28</v>
      </c>
      <c r="M5939" s="19" t="s">
        <v>8</v>
      </c>
      <c r="N5939" t="b">
        <v>0</v>
      </c>
      <c r="O5939">
        <v>0</v>
      </c>
      <c r="P5939">
        <v>1</v>
      </c>
      <c r="Q5939">
        <v>0</v>
      </c>
      <c r="R5939">
        <v>1</v>
      </c>
    </row>
    <row r="5940" spans="1:18" x14ac:dyDescent="0.45">
      <c r="A5940" s="19" t="s">
        <v>325</v>
      </c>
      <c r="B5940" s="19" t="s">
        <v>6</v>
      </c>
      <c r="C5940">
        <v>4</v>
      </c>
      <c r="D5940">
        <v>2</v>
      </c>
      <c r="E5940">
        <v>2</v>
      </c>
      <c r="F5940" s="15">
        <v>46265</v>
      </c>
      <c r="G5940" s="19" t="s">
        <v>711</v>
      </c>
      <c r="H5940">
        <v>4</v>
      </c>
      <c r="I5940">
        <v>2026</v>
      </c>
      <c r="J5940">
        <v>8</v>
      </c>
      <c r="K5940" s="19" t="s">
        <v>87</v>
      </c>
      <c r="L5940" s="19" t="s">
        <v>41</v>
      </c>
      <c r="M5940" s="19" t="s">
        <v>6</v>
      </c>
      <c r="N5940" t="b">
        <v>0</v>
      </c>
      <c r="O5940">
        <v>0</v>
      </c>
      <c r="P5940">
        <v>1</v>
      </c>
      <c r="Q5940">
        <v>0</v>
      </c>
      <c r="R5940">
        <v>0</v>
      </c>
    </row>
    <row r="5941" spans="1:18" x14ac:dyDescent="0.45">
      <c r="A5941" s="19" t="s">
        <v>325</v>
      </c>
      <c r="B5941" s="19" t="s">
        <v>6</v>
      </c>
      <c r="C5941">
        <v>4</v>
      </c>
      <c r="D5941">
        <v>2</v>
      </c>
      <c r="E5941">
        <v>2</v>
      </c>
      <c r="F5941" s="15">
        <v>46265</v>
      </c>
      <c r="G5941" s="19" t="s">
        <v>711</v>
      </c>
      <c r="H5941">
        <v>4</v>
      </c>
      <c r="I5941">
        <v>2026</v>
      </c>
      <c r="J5941">
        <v>8</v>
      </c>
      <c r="K5941" s="19" t="s">
        <v>87</v>
      </c>
      <c r="L5941" s="19" t="s">
        <v>402</v>
      </c>
      <c r="M5941" s="19" t="s">
        <v>6</v>
      </c>
      <c r="N5941" t="b">
        <v>0</v>
      </c>
      <c r="O5941">
        <v>0</v>
      </c>
      <c r="P5941">
        <v>1</v>
      </c>
      <c r="Q5941">
        <v>0</v>
      </c>
      <c r="R5941">
        <v>0</v>
      </c>
    </row>
    <row r="5942" spans="1:18" x14ac:dyDescent="0.45">
      <c r="A5942" s="19" t="s">
        <v>11</v>
      </c>
      <c r="B5942" s="19" t="s">
        <v>63</v>
      </c>
      <c r="C5942">
        <v>1</v>
      </c>
      <c r="D5942">
        <v>3</v>
      </c>
      <c r="E5942">
        <v>2</v>
      </c>
      <c r="F5942" s="15">
        <v>46265</v>
      </c>
      <c r="G5942" s="19" t="s">
        <v>712</v>
      </c>
      <c r="H5942">
        <v>4</v>
      </c>
      <c r="I5942">
        <v>2026</v>
      </c>
      <c r="J5942">
        <v>8</v>
      </c>
      <c r="K5942" s="19" t="s">
        <v>87</v>
      </c>
      <c r="L5942" s="19" t="s">
        <v>578</v>
      </c>
      <c r="M5942" s="19" t="s">
        <v>63</v>
      </c>
      <c r="N5942" t="b">
        <v>0</v>
      </c>
      <c r="O5942">
        <v>0</v>
      </c>
      <c r="P5942">
        <v>0</v>
      </c>
      <c r="Q5942">
        <v>1</v>
      </c>
      <c r="R5942">
        <v>0</v>
      </c>
    </row>
    <row r="5943" spans="1:18" x14ac:dyDescent="0.45">
      <c r="A5943" s="19" t="s">
        <v>11</v>
      </c>
      <c r="B5943" s="19" t="s">
        <v>63</v>
      </c>
      <c r="C5943">
        <v>1</v>
      </c>
      <c r="D5943">
        <v>3</v>
      </c>
      <c r="E5943">
        <v>2</v>
      </c>
      <c r="F5943" s="15">
        <v>46265</v>
      </c>
      <c r="G5943" s="19" t="s">
        <v>712</v>
      </c>
      <c r="H5943">
        <v>4</v>
      </c>
      <c r="I5943">
        <v>2026</v>
      </c>
      <c r="J5943">
        <v>8</v>
      </c>
      <c r="K5943" s="19" t="s">
        <v>87</v>
      </c>
      <c r="L5943" s="19" t="s">
        <v>7</v>
      </c>
      <c r="M5943" s="19" t="s">
        <v>63</v>
      </c>
      <c r="N5943" t="b">
        <v>0</v>
      </c>
      <c r="O5943">
        <v>0</v>
      </c>
      <c r="P5943">
        <v>0</v>
      </c>
      <c r="Q5943">
        <v>1</v>
      </c>
      <c r="R5943">
        <v>0</v>
      </c>
    </row>
    <row r="5944" spans="1:18" x14ac:dyDescent="0.45">
      <c r="A5944" s="19" t="s">
        <v>11</v>
      </c>
      <c r="B5944" s="19" t="s">
        <v>63</v>
      </c>
      <c r="C5944">
        <v>1</v>
      </c>
      <c r="D5944">
        <v>3</v>
      </c>
      <c r="E5944">
        <v>2</v>
      </c>
      <c r="F5944" s="15">
        <v>46265</v>
      </c>
      <c r="G5944" s="19" t="s">
        <v>712</v>
      </c>
      <c r="H5944">
        <v>4</v>
      </c>
      <c r="I5944">
        <v>2026</v>
      </c>
      <c r="J5944">
        <v>8</v>
      </c>
      <c r="K5944" s="19" t="s">
        <v>87</v>
      </c>
      <c r="L5944" s="19" t="s">
        <v>14</v>
      </c>
      <c r="M5944" s="19" t="s">
        <v>63</v>
      </c>
      <c r="N5944" t="b">
        <v>0</v>
      </c>
      <c r="O5944">
        <v>0</v>
      </c>
      <c r="P5944">
        <v>0</v>
      </c>
      <c r="Q5944">
        <v>1</v>
      </c>
      <c r="R5944">
        <v>0</v>
      </c>
    </row>
    <row r="5945" spans="1:18" x14ac:dyDescent="0.45">
      <c r="A5945" s="19" t="s">
        <v>578</v>
      </c>
      <c r="B5945" s="19" t="s">
        <v>63</v>
      </c>
      <c r="C5945">
        <v>2</v>
      </c>
      <c r="D5945">
        <v>3</v>
      </c>
      <c r="E5945">
        <v>2</v>
      </c>
      <c r="F5945" s="15">
        <v>46265</v>
      </c>
      <c r="G5945" s="19" t="s">
        <v>712</v>
      </c>
      <c r="H5945">
        <v>4</v>
      </c>
      <c r="I5945">
        <v>2026</v>
      </c>
      <c r="J5945">
        <v>8</v>
      </c>
      <c r="K5945" s="19" t="s">
        <v>87</v>
      </c>
      <c r="L5945" s="19" t="s">
        <v>11</v>
      </c>
      <c r="M5945" s="19" t="s">
        <v>63</v>
      </c>
      <c r="N5945" t="b">
        <v>0</v>
      </c>
      <c r="O5945">
        <v>0</v>
      </c>
      <c r="P5945">
        <v>0</v>
      </c>
      <c r="Q5945">
        <v>1</v>
      </c>
      <c r="R5945">
        <v>0</v>
      </c>
    </row>
    <row r="5946" spans="1:18" x14ac:dyDescent="0.45">
      <c r="A5946" s="19" t="s">
        <v>578</v>
      </c>
      <c r="B5946" s="19" t="s">
        <v>63</v>
      </c>
      <c r="C5946">
        <v>2</v>
      </c>
      <c r="D5946">
        <v>3</v>
      </c>
      <c r="E5946">
        <v>2</v>
      </c>
      <c r="F5946" s="15">
        <v>46265</v>
      </c>
      <c r="G5946" s="19" t="s">
        <v>712</v>
      </c>
      <c r="H5946">
        <v>4</v>
      </c>
      <c r="I5946">
        <v>2026</v>
      </c>
      <c r="J5946">
        <v>8</v>
      </c>
      <c r="K5946" s="19" t="s">
        <v>87</v>
      </c>
      <c r="L5946" s="19" t="s">
        <v>7</v>
      </c>
      <c r="M5946" s="19" t="s">
        <v>63</v>
      </c>
      <c r="N5946" t="b">
        <v>0</v>
      </c>
      <c r="O5946">
        <v>0</v>
      </c>
      <c r="P5946">
        <v>0</v>
      </c>
      <c r="Q5946">
        <v>1</v>
      </c>
      <c r="R5946">
        <v>0</v>
      </c>
    </row>
    <row r="5947" spans="1:18" x14ac:dyDescent="0.45">
      <c r="A5947" s="19" t="s">
        <v>578</v>
      </c>
      <c r="B5947" s="19" t="s">
        <v>63</v>
      </c>
      <c r="C5947">
        <v>2</v>
      </c>
      <c r="D5947">
        <v>3</v>
      </c>
      <c r="E5947">
        <v>2</v>
      </c>
      <c r="F5947" s="15">
        <v>46265</v>
      </c>
      <c r="G5947" s="19" t="s">
        <v>712</v>
      </c>
      <c r="H5947">
        <v>4</v>
      </c>
      <c r="I5947">
        <v>2026</v>
      </c>
      <c r="J5947">
        <v>8</v>
      </c>
      <c r="K5947" s="19" t="s">
        <v>87</v>
      </c>
      <c r="L5947" s="19" t="s">
        <v>14</v>
      </c>
      <c r="M5947" s="19" t="s">
        <v>63</v>
      </c>
      <c r="N5947" t="b">
        <v>0</v>
      </c>
      <c r="O5947">
        <v>0</v>
      </c>
      <c r="P5947">
        <v>0</v>
      </c>
      <c r="Q5947">
        <v>1</v>
      </c>
      <c r="R5947">
        <v>0</v>
      </c>
    </row>
    <row r="5948" spans="1:18" x14ac:dyDescent="0.45">
      <c r="A5948" s="19" t="s">
        <v>7</v>
      </c>
      <c r="B5948" s="19" t="s">
        <v>63</v>
      </c>
      <c r="C5948">
        <v>3</v>
      </c>
      <c r="D5948">
        <v>3</v>
      </c>
      <c r="E5948">
        <v>2</v>
      </c>
      <c r="F5948" s="15">
        <v>46265</v>
      </c>
      <c r="G5948" s="19" t="s">
        <v>712</v>
      </c>
      <c r="H5948">
        <v>4</v>
      </c>
      <c r="I5948">
        <v>2026</v>
      </c>
      <c r="J5948">
        <v>8</v>
      </c>
      <c r="K5948" s="19" t="s">
        <v>87</v>
      </c>
      <c r="L5948" s="19" t="s">
        <v>11</v>
      </c>
      <c r="M5948" s="19" t="s">
        <v>63</v>
      </c>
      <c r="N5948" t="b">
        <v>0</v>
      </c>
      <c r="O5948">
        <v>0</v>
      </c>
      <c r="P5948">
        <v>0</v>
      </c>
      <c r="Q5948">
        <v>1</v>
      </c>
      <c r="R5948">
        <v>0</v>
      </c>
    </row>
    <row r="5949" spans="1:18" x14ac:dyDescent="0.45">
      <c r="A5949" s="19" t="s">
        <v>7</v>
      </c>
      <c r="B5949" s="19" t="s">
        <v>63</v>
      </c>
      <c r="C5949">
        <v>3</v>
      </c>
      <c r="D5949">
        <v>3</v>
      </c>
      <c r="E5949">
        <v>2</v>
      </c>
      <c r="F5949" s="15">
        <v>46265</v>
      </c>
      <c r="G5949" s="19" t="s">
        <v>712</v>
      </c>
      <c r="H5949">
        <v>4</v>
      </c>
      <c r="I5949">
        <v>2026</v>
      </c>
      <c r="J5949">
        <v>8</v>
      </c>
      <c r="K5949" s="19" t="s">
        <v>87</v>
      </c>
      <c r="L5949" s="19" t="s">
        <v>578</v>
      </c>
      <c r="M5949" s="19" t="s">
        <v>63</v>
      </c>
      <c r="N5949" t="b">
        <v>0</v>
      </c>
      <c r="O5949">
        <v>0</v>
      </c>
      <c r="P5949">
        <v>0</v>
      </c>
      <c r="Q5949">
        <v>1</v>
      </c>
      <c r="R5949">
        <v>0</v>
      </c>
    </row>
    <row r="5950" spans="1:18" x14ac:dyDescent="0.45">
      <c r="A5950" s="19" t="s">
        <v>7</v>
      </c>
      <c r="B5950" s="19" t="s">
        <v>63</v>
      </c>
      <c r="C5950">
        <v>3</v>
      </c>
      <c r="D5950">
        <v>3</v>
      </c>
      <c r="E5950">
        <v>2</v>
      </c>
      <c r="F5950" s="15">
        <v>46265</v>
      </c>
      <c r="G5950" s="19" t="s">
        <v>712</v>
      </c>
      <c r="H5950">
        <v>4</v>
      </c>
      <c r="I5950">
        <v>2026</v>
      </c>
      <c r="J5950">
        <v>8</v>
      </c>
      <c r="K5950" s="19" t="s">
        <v>87</v>
      </c>
      <c r="L5950" s="19" t="s">
        <v>14</v>
      </c>
      <c r="M5950" s="19" t="s">
        <v>63</v>
      </c>
      <c r="N5950" t="b">
        <v>0</v>
      </c>
      <c r="O5950">
        <v>0</v>
      </c>
      <c r="P5950">
        <v>0</v>
      </c>
      <c r="Q5950">
        <v>1</v>
      </c>
      <c r="R5950">
        <v>0</v>
      </c>
    </row>
    <row r="5951" spans="1:18" x14ac:dyDescent="0.45">
      <c r="A5951" s="19" t="s">
        <v>14</v>
      </c>
      <c r="B5951" s="19" t="s">
        <v>63</v>
      </c>
      <c r="C5951">
        <v>4</v>
      </c>
      <c r="D5951">
        <v>3</v>
      </c>
      <c r="E5951">
        <v>2</v>
      </c>
      <c r="F5951" s="15">
        <v>46265</v>
      </c>
      <c r="G5951" s="19" t="s">
        <v>712</v>
      </c>
      <c r="H5951">
        <v>4</v>
      </c>
      <c r="I5951">
        <v>2026</v>
      </c>
      <c r="J5951">
        <v>8</v>
      </c>
      <c r="K5951" s="19" t="s">
        <v>87</v>
      </c>
      <c r="L5951" s="19" t="s">
        <v>11</v>
      </c>
      <c r="M5951" s="19" t="s">
        <v>63</v>
      </c>
      <c r="N5951" t="b">
        <v>0</v>
      </c>
      <c r="O5951">
        <v>0</v>
      </c>
      <c r="P5951">
        <v>0</v>
      </c>
      <c r="Q5951">
        <v>1</v>
      </c>
      <c r="R5951">
        <v>0</v>
      </c>
    </row>
    <row r="5952" spans="1:18" x14ac:dyDescent="0.45">
      <c r="A5952" s="19" t="s">
        <v>14</v>
      </c>
      <c r="B5952" s="19" t="s">
        <v>63</v>
      </c>
      <c r="C5952">
        <v>4</v>
      </c>
      <c r="D5952">
        <v>3</v>
      </c>
      <c r="E5952">
        <v>2</v>
      </c>
      <c r="F5952" s="15">
        <v>46265</v>
      </c>
      <c r="G5952" s="19" t="s">
        <v>712</v>
      </c>
      <c r="H5952">
        <v>4</v>
      </c>
      <c r="I5952">
        <v>2026</v>
      </c>
      <c r="J5952">
        <v>8</v>
      </c>
      <c r="K5952" s="19" t="s">
        <v>87</v>
      </c>
      <c r="L5952" s="19" t="s">
        <v>578</v>
      </c>
      <c r="M5952" s="19" t="s">
        <v>63</v>
      </c>
      <c r="N5952" t="b">
        <v>0</v>
      </c>
      <c r="O5952">
        <v>0</v>
      </c>
      <c r="P5952">
        <v>0</v>
      </c>
      <c r="Q5952">
        <v>1</v>
      </c>
      <c r="R5952">
        <v>0</v>
      </c>
    </row>
    <row r="5953" spans="1:18" x14ac:dyDescent="0.45">
      <c r="A5953" s="19" t="s">
        <v>14</v>
      </c>
      <c r="B5953" s="19" t="s">
        <v>63</v>
      </c>
      <c r="C5953">
        <v>4</v>
      </c>
      <c r="D5953">
        <v>3</v>
      </c>
      <c r="E5953">
        <v>2</v>
      </c>
      <c r="F5953" s="15">
        <v>46265</v>
      </c>
      <c r="G5953" s="19" t="s">
        <v>712</v>
      </c>
      <c r="H5953">
        <v>4</v>
      </c>
      <c r="I5953">
        <v>2026</v>
      </c>
      <c r="J5953">
        <v>8</v>
      </c>
      <c r="K5953" s="19" t="s">
        <v>87</v>
      </c>
      <c r="L5953" s="19" t="s">
        <v>7</v>
      </c>
      <c r="M5953" s="19" t="s">
        <v>63</v>
      </c>
      <c r="N5953" t="b">
        <v>0</v>
      </c>
      <c r="O5953">
        <v>0</v>
      </c>
      <c r="P5953">
        <v>0</v>
      </c>
      <c r="Q5953">
        <v>1</v>
      </c>
      <c r="R5953">
        <v>0</v>
      </c>
    </row>
    <row r="5954" spans="1:18" x14ac:dyDescent="0.45">
      <c r="A5954" s="19" t="s">
        <v>9</v>
      </c>
      <c r="B5954" s="19" t="s">
        <v>63</v>
      </c>
      <c r="C5954">
        <v>1</v>
      </c>
      <c r="D5954">
        <v>4</v>
      </c>
      <c r="E5954">
        <v>2</v>
      </c>
      <c r="F5954" s="15">
        <v>46265</v>
      </c>
      <c r="G5954" s="19" t="s">
        <v>713</v>
      </c>
      <c r="H5954">
        <v>4</v>
      </c>
      <c r="I5954">
        <v>2026</v>
      </c>
      <c r="J5954">
        <v>8</v>
      </c>
      <c r="K5954" s="19" t="s">
        <v>87</v>
      </c>
      <c r="L5954" s="19" t="s">
        <v>17</v>
      </c>
      <c r="M5954" s="19" t="s">
        <v>63</v>
      </c>
      <c r="N5954" t="b">
        <v>0</v>
      </c>
      <c r="O5954">
        <v>0</v>
      </c>
      <c r="P5954">
        <v>0</v>
      </c>
      <c r="Q5954">
        <v>1</v>
      </c>
      <c r="R5954">
        <v>0</v>
      </c>
    </row>
    <row r="5955" spans="1:18" x14ac:dyDescent="0.45">
      <c r="A5955" s="19" t="s">
        <v>9</v>
      </c>
      <c r="B5955" s="19" t="s">
        <v>63</v>
      </c>
      <c r="C5955">
        <v>1</v>
      </c>
      <c r="D5955">
        <v>4</v>
      </c>
      <c r="E5955">
        <v>2</v>
      </c>
      <c r="F5955" s="15">
        <v>46265</v>
      </c>
      <c r="G5955" s="19" t="s">
        <v>713</v>
      </c>
      <c r="H5955">
        <v>4</v>
      </c>
      <c r="I5955">
        <v>2026</v>
      </c>
      <c r="J5955">
        <v>8</v>
      </c>
      <c r="K5955" s="19" t="s">
        <v>87</v>
      </c>
      <c r="L5955" s="19" t="s">
        <v>703</v>
      </c>
      <c r="M5955" s="19" t="s">
        <v>63</v>
      </c>
      <c r="N5955" t="b">
        <v>0</v>
      </c>
      <c r="O5955">
        <v>0</v>
      </c>
      <c r="P5955">
        <v>0</v>
      </c>
      <c r="Q5955">
        <v>1</v>
      </c>
      <c r="R5955">
        <v>0</v>
      </c>
    </row>
    <row r="5956" spans="1:18" x14ac:dyDescent="0.45">
      <c r="A5956" s="19" t="s">
        <v>9</v>
      </c>
      <c r="B5956" s="19" t="s">
        <v>63</v>
      </c>
      <c r="C5956">
        <v>1</v>
      </c>
      <c r="D5956">
        <v>4</v>
      </c>
      <c r="E5956">
        <v>2</v>
      </c>
      <c r="F5956" s="15">
        <v>46265</v>
      </c>
      <c r="G5956" s="19" t="s">
        <v>713</v>
      </c>
      <c r="H5956">
        <v>4</v>
      </c>
      <c r="I5956">
        <v>2026</v>
      </c>
      <c r="J5956">
        <v>8</v>
      </c>
      <c r="K5956" s="19" t="s">
        <v>87</v>
      </c>
      <c r="L5956" s="19" t="s">
        <v>10</v>
      </c>
      <c r="M5956" s="19" t="s">
        <v>63</v>
      </c>
      <c r="N5956" t="b">
        <v>0</v>
      </c>
      <c r="O5956">
        <v>0</v>
      </c>
      <c r="P5956">
        <v>0</v>
      </c>
      <c r="Q5956">
        <v>1</v>
      </c>
      <c r="R5956">
        <v>0</v>
      </c>
    </row>
    <row r="5957" spans="1:18" x14ac:dyDescent="0.45">
      <c r="A5957" s="19" t="s">
        <v>17</v>
      </c>
      <c r="B5957" s="19" t="s">
        <v>63</v>
      </c>
      <c r="C5957">
        <v>2</v>
      </c>
      <c r="D5957">
        <v>4</v>
      </c>
      <c r="E5957">
        <v>2</v>
      </c>
      <c r="F5957" s="15">
        <v>46265</v>
      </c>
      <c r="G5957" s="19" t="s">
        <v>713</v>
      </c>
      <c r="H5957">
        <v>4</v>
      </c>
      <c r="I5957">
        <v>2026</v>
      </c>
      <c r="J5957">
        <v>8</v>
      </c>
      <c r="K5957" s="19" t="s">
        <v>87</v>
      </c>
      <c r="L5957" s="19" t="s">
        <v>9</v>
      </c>
      <c r="M5957" s="19" t="s">
        <v>63</v>
      </c>
      <c r="N5957" t="b">
        <v>0</v>
      </c>
      <c r="O5957">
        <v>0</v>
      </c>
      <c r="P5957">
        <v>0</v>
      </c>
      <c r="Q5957">
        <v>1</v>
      </c>
      <c r="R5957">
        <v>0</v>
      </c>
    </row>
    <row r="5958" spans="1:18" x14ac:dyDescent="0.45">
      <c r="A5958" s="19" t="s">
        <v>17</v>
      </c>
      <c r="B5958" s="19" t="s">
        <v>63</v>
      </c>
      <c r="C5958">
        <v>2</v>
      </c>
      <c r="D5958">
        <v>4</v>
      </c>
      <c r="E5958">
        <v>2</v>
      </c>
      <c r="F5958" s="15">
        <v>46265</v>
      </c>
      <c r="G5958" s="19" t="s">
        <v>713</v>
      </c>
      <c r="H5958">
        <v>4</v>
      </c>
      <c r="I5958">
        <v>2026</v>
      </c>
      <c r="J5958">
        <v>8</v>
      </c>
      <c r="K5958" s="19" t="s">
        <v>87</v>
      </c>
      <c r="L5958" s="19" t="s">
        <v>703</v>
      </c>
      <c r="M5958" s="19" t="s">
        <v>63</v>
      </c>
      <c r="N5958" t="b">
        <v>0</v>
      </c>
      <c r="O5958">
        <v>0</v>
      </c>
      <c r="P5958">
        <v>0</v>
      </c>
      <c r="Q5958">
        <v>1</v>
      </c>
      <c r="R5958">
        <v>0</v>
      </c>
    </row>
    <row r="5959" spans="1:18" x14ac:dyDescent="0.45">
      <c r="A5959" s="19" t="s">
        <v>17</v>
      </c>
      <c r="B5959" s="19" t="s">
        <v>63</v>
      </c>
      <c r="C5959">
        <v>2</v>
      </c>
      <c r="D5959">
        <v>4</v>
      </c>
      <c r="E5959">
        <v>2</v>
      </c>
      <c r="F5959" s="15">
        <v>46265</v>
      </c>
      <c r="G5959" s="19" t="s">
        <v>713</v>
      </c>
      <c r="H5959">
        <v>4</v>
      </c>
      <c r="I5959">
        <v>2026</v>
      </c>
      <c r="J5959">
        <v>8</v>
      </c>
      <c r="K5959" s="19" t="s">
        <v>87</v>
      </c>
      <c r="L5959" s="19" t="s">
        <v>10</v>
      </c>
      <c r="M5959" s="19" t="s">
        <v>63</v>
      </c>
      <c r="N5959" t="b">
        <v>0</v>
      </c>
      <c r="O5959">
        <v>0</v>
      </c>
      <c r="P5959">
        <v>0</v>
      </c>
      <c r="Q5959">
        <v>1</v>
      </c>
      <c r="R5959">
        <v>0</v>
      </c>
    </row>
    <row r="5960" spans="1:18" x14ac:dyDescent="0.45">
      <c r="A5960" s="19" t="s">
        <v>703</v>
      </c>
      <c r="B5960" s="19" t="s">
        <v>63</v>
      </c>
      <c r="C5960">
        <v>3</v>
      </c>
      <c r="D5960">
        <v>4</v>
      </c>
      <c r="E5960">
        <v>2</v>
      </c>
      <c r="F5960" s="15">
        <v>46265</v>
      </c>
      <c r="G5960" s="19" t="s">
        <v>713</v>
      </c>
      <c r="H5960">
        <v>4</v>
      </c>
      <c r="I5960">
        <v>2026</v>
      </c>
      <c r="J5960">
        <v>8</v>
      </c>
      <c r="K5960" s="19" t="s">
        <v>87</v>
      </c>
      <c r="L5960" s="19" t="s">
        <v>9</v>
      </c>
      <c r="M5960" s="19" t="s">
        <v>63</v>
      </c>
      <c r="N5960" t="b">
        <v>0</v>
      </c>
      <c r="O5960">
        <v>0</v>
      </c>
      <c r="P5960">
        <v>0</v>
      </c>
      <c r="Q5960">
        <v>1</v>
      </c>
      <c r="R5960">
        <v>0</v>
      </c>
    </row>
    <row r="5961" spans="1:18" x14ac:dyDescent="0.45">
      <c r="A5961" s="19" t="s">
        <v>703</v>
      </c>
      <c r="B5961" s="19" t="s">
        <v>63</v>
      </c>
      <c r="C5961">
        <v>3</v>
      </c>
      <c r="D5961">
        <v>4</v>
      </c>
      <c r="E5961">
        <v>2</v>
      </c>
      <c r="F5961" s="15">
        <v>46265</v>
      </c>
      <c r="G5961" s="19" t="s">
        <v>713</v>
      </c>
      <c r="H5961">
        <v>4</v>
      </c>
      <c r="I5961">
        <v>2026</v>
      </c>
      <c r="J5961">
        <v>8</v>
      </c>
      <c r="K5961" s="19" t="s">
        <v>87</v>
      </c>
      <c r="L5961" s="19" t="s">
        <v>17</v>
      </c>
      <c r="M5961" s="19" t="s">
        <v>63</v>
      </c>
      <c r="N5961" t="b">
        <v>0</v>
      </c>
      <c r="O5961">
        <v>0</v>
      </c>
      <c r="P5961">
        <v>0</v>
      </c>
      <c r="Q5961">
        <v>1</v>
      </c>
      <c r="R5961">
        <v>0</v>
      </c>
    </row>
    <row r="5962" spans="1:18" x14ac:dyDescent="0.45">
      <c r="A5962" s="19" t="s">
        <v>703</v>
      </c>
      <c r="B5962" s="19" t="s">
        <v>63</v>
      </c>
      <c r="C5962">
        <v>3</v>
      </c>
      <c r="D5962">
        <v>4</v>
      </c>
      <c r="E5962">
        <v>2</v>
      </c>
      <c r="F5962" s="15">
        <v>46265</v>
      </c>
      <c r="G5962" s="19" t="s">
        <v>713</v>
      </c>
      <c r="H5962">
        <v>4</v>
      </c>
      <c r="I5962">
        <v>2026</v>
      </c>
      <c r="J5962">
        <v>8</v>
      </c>
      <c r="K5962" s="19" t="s">
        <v>87</v>
      </c>
      <c r="L5962" s="19" t="s">
        <v>10</v>
      </c>
      <c r="M5962" s="19" t="s">
        <v>63</v>
      </c>
      <c r="N5962" t="b">
        <v>0</v>
      </c>
      <c r="O5962">
        <v>0</v>
      </c>
      <c r="P5962">
        <v>0</v>
      </c>
      <c r="Q5962">
        <v>1</v>
      </c>
      <c r="R5962">
        <v>0</v>
      </c>
    </row>
    <row r="5963" spans="1:18" x14ac:dyDescent="0.45">
      <c r="A5963" s="19" t="s">
        <v>10</v>
      </c>
      <c r="B5963" s="19" t="s">
        <v>63</v>
      </c>
      <c r="C5963">
        <v>4</v>
      </c>
      <c r="D5963">
        <v>4</v>
      </c>
      <c r="E5963">
        <v>2</v>
      </c>
      <c r="F5963" s="15">
        <v>46265</v>
      </c>
      <c r="G5963" s="19" t="s">
        <v>713</v>
      </c>
      <c r="H5963">
        <v>4</v>
      </c>
      <c r="I5963">
        <v>2026</v>
      </c>
      <c r="J5963">
        <v>8</v>
      </c>
      <c r="K5963" s="19" t="s">
        <v>87</v>
      </c>
      <c r="L5963" s="19" t="s">
        <v>9</v>
      </c>
      <c r="M5963" s="19" t="s">
        <v>63</v>
      </c>
      <c r="N5963" t="b">
        <v>0</v>
      </c>
      <c r="O5963">
        <v>0</v>
      </c>
      <c r="P5963">
        <v>0</v>
      </c>
      <c r="Q5963">
        <v>1</v>
      </c>
      <c r="R5963">
        <v>0</v>
      </c>
    </row>
    <row r="5964" spans="1:18" x14ac:dyDescent="0.45">
      <c r="A5964" s="19" t="s">
        <v>10</v>
      </c>
      <c r="B5964" s="19" t="s">
        <v>63</v>
      </c>
      <c r="C5964">
        <v>4</v>
      </c>
      <c r="D5964">
        <v>4</v>
      </c>
      <c r="E5964">
        <v>2</v>
      </c>
      <c r="F5964" s="15">
        <v>46265</v>
      </c>
      <c r="G5964" s="19" t="s">
        <v>713</v>
      </c>
      <c r="H5964">
        <v>4</v>
      </c>
      <c r="I5964">
        <v>2026</v>
      </c>
      <c r="J5964">
        <v>8</v>
      </c>
      <c r="K5964" s="19" t="s">
        <v>87</v>
      </c>
      <c r="L5964" s="19" t="s">
        <v>17</v>
      </c>
      <c r="M5964" s="19" t="s">
        <v>63</v>
      </c>
      <c r="N5964" t="b">
        <v>0</v>
      </c>
      <c r="O5964">
        <v>0</v>
      </c>
      <c r="P5964">
        <v>0</v>
      </c>
      <c r="Q5964">
        <v>1</v>
      </c>
      <c r="R5964">
        <v>0</v>
      </c>
    </row>
    <row r="5965" spans="1:18" x14ac:dyDescent="0.45">
      <c r="A5965" s="19" t="s">
        <v>10</v>
      </c>
      <c r="B5965" s="19" t="s">
        <v>63</v>
      </c>
      <c r="C5965">
        <v>4</v>
      </c>
      <c r="D5965">
        <v>4</v>
      </c>
      <c r="E5965">
        <v>2</v>
      </c>
      <c r="F5965" s="15">
        <v>46265</v>
      </c>
      <c r="G5965" s="19" t="s">
        <v>713</v>
      </c>
      <c r="H5965">
        <v>4</v>
      </c>
      <c r="I5965">
        <v>2026</v>
      </c>
      <c r="J5965">
        <v>8</v>
      </c>
      <c r="K5965" s="19" t="s">
        <v>87</v>
      </c>
      <c r="L5965" s="19" t="s">
        <v>703</v>
      </c>
      <c r="M5965" s="19" t="s">
        <v>63</v>
      </c>
      <c r="N5965" t="b">
        <v>0</v>
      </c>
      <c r="O5965">
        <v>0</v>
      </c>
      <c r="P5965">
        <v>0</v>
      </c>
      <c r="Q5965">
        <v>1</v>
      </c>
      <c r="R5965">
        <v>0</v>
      </c>
    </row>
    <row r="5966" spans="1:18" x14ac:dyDescent="0.45">
      <c r="A5966" s="19" t="s">
        <v>51</v>
      </c>
      <c r="B5966" s="19" t="s">
        <v>6</v>
      </c>
      <c r="C5966">
        <v>1</v>
      </c>
      <c r="D5966">
        <v>5</v>
      </c>
      <c r="E5966">
        <v>2</v>
      </c>
      <c r="F5966" s="15">
        <v>46265</v>
      </c>
      <c r="G5966" s="19" t="s">
        <v>714</v>
      </c>
      <c r="H5966">
        <v>3</v>
      </c>
      <c r="I5966">
        <v>2026</v>
      </c>
      <c r="J5966">
        <v>8</v>
      </c>
      <c r="K5966" s="19" t="s">
        <v>87</v>
      </c>
      <c r="L5966" s="19" t="s">
        <v>27</v>
      </c>
      <c r="M5966" s="19" t="s">
        <v>6</v>
      </c>
      <c r="N5966" t="b">
        <v>0</v>
      </c>
      <c r="O5966">
        <v>0</v>
      </c>
      <c r="P5966">
        <v>1</v>
      </c>
      <c r="Q5966">
        <v>0</v>
      </c>
      <c r="R5966">
        <v>0</v>
      </c>
    </row>
    <row r="5967" spans="1:18" x14ac:dyDescent="0.45">
      <c r="A5967" s="19" t="s">
        <v>51</v>
      </c>
      <c r="B5967" s="19" t="s">
        <v>6</v>
      </c>
      <c r="C5967">
        <v>1</v>
      </c>
      <c r="D5967">
        <v>5</v>
      </c>
      <c r="E5967">
        <v>2</v>
      </c>
      <c r="F5967" s="15">
        <v>46265</v>
      </c>
      <c r="G5967" s="19" t="s">
        <v>714</v>
      </c>
      <c r="H5967">
        <v>3</v>
      </c>
      <c r="I5967">
        <v>2026</v>
      </c>
      <c r="J5967">
        <v>8</v>
      </c>
      <c r="K5967" s="19" t="s">
        <v>87</v>
      </c>
      <c r="L5967" s="19" t="s">
        <v>19</v>
      </c>
      <c r="M5967" s="19" t="s">
        <v>8</v>
      </c>
      <c r="N5967" t="b">
        <v>0</v>
      </c>
      <c r="O5967">
        <v>0</v>
      </c>
      <c r="P5967">
        <v>1</v>
      </c>
      <c r="Q5967">
        <v>0</v>
      </c>
      <c r="R5967">
        <v>1</v>
      </c>
    </row>
    <row r="5968" spans="1:18" x14ac:dyDescent="0.45">
      <c r="A5968" s="19" t="s">
        <v>27</v>
      </c>
      <c r="B5968" s="19" t="s">
        <v>6</v>
      </c>
      <c r="C5968">
        <v>2</v>
      </c>
      <c r="D5968">
        <v>5</v>
      </c>
      <c r="E5968">
        <v>2</v>
      </c>
      <c r="F5968" s="15">
        <v>46265</v>
      </c>
      <c r="G5968" s="19" t="s">
        <v>714</v>
      </c>
      <c r="H5968">
        <v>3</v>
      </c>
      <c r="I5968">
        <v>2026</v>
      </c>
      <c r="J5968">
        <v>8</v>
      </c>
      <c r="K5968" s="19" t="s">
        <v>87</v>
      </c>
      <c r="L5968" s="19" t="s">
        <v>51</v>
      </c>
      <c r="M5968" s="19" t="s">
        <v>6</v>
      </c>
      <c r="N5968" t="b">
        <v>0</v>
      </c>
      <c r="O5968">
        <v>0</v>
      </c>
      <c r="P5968">
        <v>1</v>
      </c>
      <c r="Q5968">
        <v>0</v>
      </c>
      <c r="R5968">
        <v>0</v>
      </c>
    </row>
    <row r="5969" spans="1:18" x14ac:dyDescent="0.45">
      <c r="A5969" s="19" t="s">
        <v>27</v>
      </c>
      <c r="B5969" s="19" t="s">
        <v>6</v>
      </c>
      <c r="C5969">
        <v>2</v>
      </c>
      <c r="D5969">
        <v>5</v>
      </c>
      <c r="E5969">
        <v>2</v>
      </c>
      <c r="F5969" s="15">
        <v>46265</v>
      </c>
      <c r="G5969" s="19" t="s">
        <v>714</v>
      </c>
      <c r="H5969">
        <v>3</v>
      </c>
      <c r="I5969">
        <v>2026</v>
      </c>
      <c r="J5969">
        <v>8</v>
      </c>
      <c r="K5969" s="19" t="s">
        <v>87</v>
      </c>
      <c r="L5969" s="19" t="s">
        <v>19</v>
      </c>
      <c r="M5969" s="19" t="s">
        <v>8</v>
      </c>
      <c r="N5969" t="b">
        <v>0</v>
      </c>
      <c r="O5969">
        <v>0</v>
      </c>
      <c r="P5969">
        <v>1</v>
      </c>
      <c r="Q5969">
        <v>0</v>
      </c>
      <c r="R5969">
        <v>1</v>
      </c>
    </row>
    <row r="5970" spans="1:18" x14ac:dyDescent="0.45">
      <c r="A5970" s="19" t="s">
        <v>19</v>
      </c>
      <c r="B5970" s="19" t="s">
        <v>8</v>
      </c>
      <c r="C5970">
        <v>3</v>
      </c>
      <c r="D5970">
        <v>5</v>
      </c>
      <c r="E5970">
        <v>2</v>
      </c>
      <c r="F5970" s="15">
        <v>46265</v>
      </c>
      <c r="G5970" s="19" t="s">
        <v>714</v>
      </c>
      <c r="H5970">
        <v>3</v>
      </c>
      <c r="I5970">
        <v>2026</v>
      </c>
      <c r="J5970">
        <v>8</v>
      </c>
      <c r="K5970" s="19" t="s">
        <v>87</v>
      </c>
      <c r="L5970" s="19" t="s">
        <v>51</v>
      </c>
      <c r="M5970" s="19" t="s">
        <v>6</v>
      </c>
      <c r="N5970" t="b">
        <v>0</v>
      </c>
      <c r="O5970">
        <v>1</v>
      </c>
      <c r="P5970">
        <v>0</v>
      </c>
      <c r="Q5970">
        <v>0</v>
      </c>
      <c r="R5970">
        <v>0</v>
      </c>
    </row>
    <row r="5971" spans="1:18" x14ac:dyDescent="0.45">
      <c r="A5971" s="19" t="s">
        <v>19</v>
      </c>
      <c r="B5971" s="19" t="s">
        <v>8</v>
      </c>
      <c r="C5971">
        <v>3</v>
      </c>
      <c r="D5971">
        <v>5</v>
      </c>
      <c r="E5971">
        <v>2</v>
      </c>
      <c r="F5971" s="15">
        <v>46265</v>
      </c>
      <c r="G5971" s="19" t="s">
        <v>714</v>
      </c>
      <c r="H5971">
        <v>3</v>
      </c>
      <c r="I5971">
        <v>2026</v>
      </c>
      <c r="J5971">
        <v>8</v>
      </c>
      <c r="K5971" s="19" t="s">
        <v>87</v>
      </c>
      <c r="L5971" s="19" t="s">
        <v>27</v>
      </c>
      <c r="M5971" s="19" t="s">
        <v>6</v>
      </c>
      <c r="N5971" t="b">
        <v>0</v>
      </c>
      <c r="O5971">
        <v>1</v>
      </c>
      <c r="P5971">
        <v>0</v>
      </c>
      <c r="Q5971">
        <v>0</v>
      </c>
      <c r="R5971">
        <v>0</v>
      </c>
    </row>
    <row r="5972" spans="1:18" x14ac:dyDescent="0.45">
      <c r="A5972" s="19" t="s">
        <v>325</v>
      </c>
      <c r="B5972" s="19" t="s">
        <v>6</v>
      </c>
      <c r="C5972">
        <v>1</v>
      </c>
      <c r="D5972">
        <v>1</v>
      </c>
      <c r="E5972">
        <v>1</v>
      </c>
      <c r="F5972" s="15">
        <v>46272</v>
      </c>
      <c r="G5972" s="19" t="s">
        <v>715</v>
      </c>
      <c r="H5972">
        <v>4</v>
      </c>
      <c r="I5972">
        <v>2026</v>
      </c>
      <c r="J5972">
        <v>9</v>
      </c>
      <c r="K5972" s="19" t="s">
        <v>282</v>
      </c>
      <c r="L5972" s="19" t="s">
        <v>11</v>
      </c>
      <c r="M5972" s="19" t="s">
        <v>8</v>
      </c>
      <c r="N5972" t="b">
        <v>0</v>
      </c>
      <c r="O5972">
        <v>0</v>
      </c>
      <c r="P5972">
        <v>1</v>
      </c>
      <c r="Q5972">
        <v>0</v>
      </c>
      <c r="R5972">
        <v>1</v>
      </c>
    </row>
    <row r="5973" spans="1:18" x14ac:dyDescent="0.45">
      <c r="A5973" s="19" t="s">
        <v>325</v>
      </c>
      <c r="B5973" s="19" t="s">
        <v>6</v>
      </c>
      <c r="C5973">
        <v>1</v>
      </c>
      <c r="D5973">
        <v>1</v>
      </c>
      <c r="E5973">
        <v>1</v>
      </c>
      <c r="F5973" s="15">
        <v>46272</v>
      </c>
      <c r="G5973" s="19" t="s">
        <v>715</v>
      </c>
      <c r="H5973">
        <v>4</v>
      </c>
      <c r="I5973">
        <v>2026</v>
      </c>
      <c r="J5973">
        <v>9</v>
      </c>
      <c r="K5973" s="19" t="s">
        <v>282</v>
      </c>
      <c r="L5973" s="19" t="s">
        <v>402</v>
      </c>
      <c r="M5973" s="19" t="s">
        <v>6</v>
      </c>
      <c r="N5973" t="b">
        <v>0</v>
      </c>
      <c r="O5973">
        <v>0</v>
      </c>
      <c r="P5973">
        <v>1</v>
      </c>
      <c r="Q5973">
        <v>0</v>
      </c>
      <c r="R5973">
        <v>0</v>
      </c>
    </row>
    <row r="5974" spans="1:18" x14ac:dyDescent="0.45">
      <c r="A5974" s="19" t="s">
        <v>325</v>
      </c>
      <c r="B5974" s="19" t="s">
        <v>6</v>
      </c>
      <c r="C5974">
        <v>1</v>
      </c>
      <c r="D5974">
        <v>1</v>
      </c>
      <c r="E5974">
        <v>1</v>
      </c>
      <c r="F5974" s="15">
        <v>46272</v>
      </c>
      <c r="G5974" s="19" t="s">
        <v>715</v>
      </c>
      <c r="H5974">
        <v>4</v>
      </c>
      <c r="I5974">
        <v>2026</v>
      </c>
      <c r="J5974">
        <v>9</v>
      </c>
      <c r="K5974" s="19" t="s">
        <v>282</v>
      </c>
      <c r="L5974" s="19" t="s">
        <v>42</v>
      </c>
      <c r="M5974" s="19" t="s">
        <v>6</v>
      </c>
      <c r="N5974" t="b">
        <v>0</v>
      </c>
      <c r="O5974">
        <v>0</v>
      </c>
      <c r="P5974">
        <v>1</v>
      </c>
      <c r="Q5974">
        <v>0</v>
      </c>
      <c r="R5974">
        <v>0</v>
      </c>
    </row>
    <row r="5975" spans="1:18" x14ac:dyDescent="0.45">
      <c r="A5975" s="19" t="s">
        <v>11</v>
      </c>
      <c r="B5975" s="19" t="s">
        <v>8</v>
      </c>
      <c r="C5975">
        <v>2</v>
      </c>
      <c r="D5975">
        <v>1</v>
      </c>
      <c r="E5975">
        <v>1</v>
      </c>
      <c r="F5975" s="15">
        <v>46272</v>
      </c>
      <c r="G5975" s="19" t="s">
        <v>715</v>
      </c>
      <c r="H5975">
        <v>4</v>
      </c>
      <c r="I5975">
        <v>2026</v>
      </c>
      <c r="J5975">
        <v>9</v>
      </c>
      <c r="K5975" s="19" t="s">
        <v>282</v>
      </c>
      <c r="L5975" s="19" t="s">
        <v>325</v>
      </c>
      <c r="M5975" s="19" t="s">
        <v>6</v>
      </c>
      <c r="N5975" t="b">
        <v>0</v>
      </c>
      <c r="O5975">
        <v>1</v>
      </c>
      <c r="P5975">
        <v>0</v>
      </c>
      <c r="Q5975">
        <v>0</v>
      </c>
      <c r="R5975">
        <v>0</v>
      </c>
    </row>
    <row r="5976" spans="1:18" x14ac:dyDescent="0.45">
      <c r="A5976" s="19" t="s">
        <v>11</v>
      </c>
      <c r="B5976" s="19" t="s">
        <v>8</v>
      </c>
      <c r="C5976">
        <v>2</v>
      </c>
      <c r="D5976">
        <v>1</v>
      </c>
      <c r="E5976">
        <v>1</v>
      </c>
      <c r="F5976" s="15">
        <v>46272</v>
      </c>
      <c r="G5976" s="19" t="s">
        <v>715</v>
      </c>
      <c r="H5976">
        <v>4</v>
      </c>
      <c r="I5976">
        <v>2026</v>
      </c>
      <c r="J5976">
        <v>9</v>
      </c>
      <c r="K5976" s="19" t="s">
        <v>282</v>
      </c>
      <c r="L5976" s="19" t="s">
        <v>402</v>
      </c>
      <c r="M5976" s="19" t="s">
        <v>6</v>
      </c>
      <c r="N5976" t="b">
        <v>0</v>
      </c>
      <c r="O5976">
        <v>1</v>
      </c>
      <c r="P5976">
        <v>0</v>
      </c>
      <c r="Q5976">
        <v>0</v>
      </c>
      <c r="R5976">
        <v>0</v>
      </c>
    </row>
    <row r="5977" spans="1:18" x14ac:dyDescent="0.45">
      <c r="A5977" s="19" t="s">
        <v>11</v>
      </c>
      <c r="B5977" s="19" t="s">
        <v>8</v>
      </c>
      <c r="C5977">
        <v>2</v>
      </c>
      <c r="D5977">
        <v>1</v>
      </c>
      <c r="E5977">
        <v>1</v>
      </c>
      <c r="F5977" s="15">
        <v>46272</v>
      </c>
      <c r="G5977" s="19" t="s">
        <v>715</v>
      </c>
      <c r="H5977">
        <v>4</v>
      </c>
      <c r="I5977">
        <v>2026</v>
      </c>
      <c r="J5977">
        <v>9</v>
      </c>
      <c r="K5977" s="19" t="s">
        <v>282</v>
      </c>
      <c r="L5977" s="19" t="s">
        <v>42</v>
      </c>
      <c r="M5977" s="19" t="s">
        <v>6</v>
      </c>
      <c r="N5977" t="b">
        <v>0</v>
      </c>
      <c r="O5977">
        <v>1</v>
      </c>
      <c r="P5977">
        <v>0</v>
      </c>
      <c r="Q5977">
        <v>0</v>
      </c>
      <c r="R5977">
        <v>0</v>
      </c>
    </row>
    <row r="5978" spans="1:18" x14ac:dyDescent="0.45">
      <c r="A5978" s="19" t="s">
        <v>402</v>
      </c>
      <c r="B5978" s="19" t="s">
        <v>6</v>
      </c>
      <c r="C5978">
        <v>3</v>
      </c>
      <c r="D5978">
        <v>1</v>
      </c>
      <c r="E5978">
        <v>1</v>
      </c>
      <c r="F5978" s="15">
        <v>46272</v>
      </c>
      <c r="G5978" s="19" t="s">
        <v>715</v>
      </c>
      <c r="H5978">
        <v>4</v>
      </c>
      <c r="I5978">
        <v>2026</v>
      </c>
      <c r="J5978">
        <v>9</v>
      </c>
      <c r="K5978" s="19" t="s">
        <v>282</v>
      </c>
      <c r="L5978" s="19" t="s">
        <v>325</v>
      </c>
      <c r="M5978" s="19" t="s">
        <v>6</v>
      </c>
      <c r="N5978" t="b">
        <v>0</v>
      </c>
      <c r="O5978">
        <v>0</v>
      </c>
      <c r="P5978">
        <v>1</v>
      </c>
      <c r="Q5978">
        <v>0</v>
      </c>
      <c r="R5978">
        <v>0</v>
      </c>
    </row>
    <row r="5979" spans="1:18" x14ac:dyDescent="0.45">
      <c r="A5979" s="19" t="s">
        <v>402</v>
      </c>
      <c r="B5979" s="19" t="s">
        <v>6</v>
      </c>
      <c r="C5979">
        <v>3</v>
      </c>
      <c r="D5979">
        <v>1</v>
      </c>
      <c r="E5979">
        <v>1</v>
      </c>
      <c r="F5979" s="15">
        <v>46272</v>
      </c>
      <c r="G5979" s="19" t="s">
        <v>715</v>
      </c>
      <c r="H5979">
        <v>4</v>
      </c>
      <c r="I5979">
        <v>2026</v>
      </c>
      <c r="J5979">
        <v>9</v>
      </c>
      <c r="K5979" s="19" t="s">
        <v>282</v>
      </c>
      <c r="L5979" s="19" t="s">
        <v>11</v>
      </c>
      <c r="M5979" s="19" t="s">
        <v>8</v>
      </c>
      <c r="N5979" t="b">
        <v>0</v>
      </c>
      <c r="O5979">
        <v>0</v>
      </c>
      <c r="P5979">
        <v>1</v>
      </c>
      <c r="Q5979">
        <v>0</v>
      </c>
      <c r="R5979">
        <v>1</v>
      </c>
    </row>
    <row r="5980" spans="1:18" x14ac:dyDescent="0.45">
      <c r="A5980" s="19" t="s">
        <v>402</v>
      </c>
      <c r="B5980" s="19" t="s">
        <v>6</v>
      </c>
      <c r="C5980">
        <v>3</v>
      </c>
      <c r="D5980">
        <v>1</v>
      </c>
      <c r="E5980">
        <v>1</v>
      </c>
      <c r="F5980" s="15">
        <v>46272</v>
      </c>
      <c r="G5980" s="19" t="s">
        <v>715</v>
      </c>
      <c r="H5980">
        <v>4</v>
      </c>
      <c r="I5980">
        <v>2026</v>
      </c>
      <c r="J5980">
        <v>9</v>
      </c>
      <c r="K5980" s="19" t="s">
        <v>282</v>
      </c>
      <c r="L5980" s="19" t="s">
        <v>42</v>
      </c>
      <c r="M5980" s="19" t="s">
        <v>6</v>
      </c>
      <c r="N5980" t="b">
        <v>0</v>
      </c>
      <c r="O5980">
        <v>0</v>
      </c>
      <c r="P5980">
        <v>1</v>
      </c>
      <c r="Q5980">
        <v>0</v>
      </c>
      <c r="R5980">
        <v>0</v>
      </c>
    </row>
    <row r="5981" spans="1:18" x14ac:dyDescent="0.45">
      <c r="A5981" s="19" t="s">
        <v>42</v>
      </c>
      <c r="B5981" s="19" t="s">
        <v>6</v>
      </c>
      <c r="C5981">
        <v>4</v>
      </c>
      <c r="D5981">
        <v>1</v>
      </c>
      <c r="E5981">
        <v>1</v>
      </c>
      <c r="F5981" s="15">
        <v>46272</v>
      </c>
      <c r="G5981" s="19" t="s">
        <v>715</v>
      </c>
      <c r="H5981">
        <v>4</v>
      </c>
      <c r="I5981">
        <v>2026</v>
      </c>
      <c r="J5981">
        <v>9</v>
      </c>
      <c r="K5981" s="19" t="s">
        <v>282</v>
      </c>
      <c r="L5981" s="19" t="s">
        <v>325</v>
      </c>
      <c r="M5981" s="19" t="s">
        <v>6</v>
      </c>
      <c r="N5981" t="b">
        <v>0</v>
      </c>
      <c r="O5981">
        <v>0</v>
      </c>
      <c r="P5981">
        <v>1</v>
      </c>
      <c r="Q5981">
        <v>0</v>
      </c>
      <c r="R5981">
        <v>0</v>
      </c>
    </row>
    <row r="5982" spans="1:18" x14ac:dyDescent="0.45">
      <c r="A5982" s="19" t="s">
        <v>42</v>
      </c>
      <c r="B5982" s="19" t="s">
        <v>6</v>
      </c>
      <c r="C5982">
        <v>4</v>
      </c>
      <c r="D5982">
        <v>1</v>
      </c>
      <c r="E5982">
        <v>1</v>
      </c>
      <c r="F5982" s="15">
        <v>46272</v>
      </c>
      <c r="G5982" s="19" t="s">
        <v>715</v>
      </c>
      <c r="H5982">
        <v>4</v>
      </c>
      <c r="I5982">
        <v>2026</v>
      </c>
      <c r="J5982">
        <v>9</v>
      </c>
      <c r="K5982" s="19" t="s">
        <v>282</v>
      </c>
      <c r="L5982" s="19" t="s">
        <v>11</v>
      </c>
      <c r="M5982" s="19" t="s">
        <v>8</v>
      </c>
      <c r="N5982" t="b">
        <v>0</v>
      </c>
      <c r="O5982">
        <v>0</v>
      </c>
      <c r="P5982">
        <v>1</v>
      </c>
      <c r="Q5982">
        <v>0</v>
      </c>
      <c r="R5982">
        <v>1</v>
      </c>
    </row>
    <row r="5983" spans="1:18" x14ac:dyDescent="0.45">
      <c r="A5983" s="19" t="s">
        <v>42</v>
      </c>
      <c r="B5983" s="19" t="s">
        <v>6</v>
      </c>
      <c r="C5983">
        <v>4</v>
      </c>
      <c r="D5983">
        <v>1</v>
      </c>
      <c r="E5983">
        <v>1</v>
      </c>
      <c r="F5983" s="15">
        <v>46272</v>
      </c>
      <c r="G5983" s="19" t="s">
        <v>715</v>
      </c>
      <c r="H5983">
        <v>4</v>
      </c>
      <c r="I5983">
        <v>2026</v>
      </c>
      <c r="J5983">
        <v>9</v>
      </c>
      <c r="K5983" s="19" t="s">
        <v>282</v>
      </c>
      <c r="L5983" s="19" t="s">
        <v>402</v>
      </c>
      <c r="M5983" s="19" t="s">
        <v>6</v>
      </c>
      <c r="N5983" t="b">
        <v>0</v>
      </c>
      <c r="O5983">
        <v>0</v>
      </c>
      <c r="P5983">
        <v>1</v>
      </c>
      <c r="Q5983">
        <v>0</v>
      </c>
      <c r="R5983">
        <v>0</v>
      </c>
    </row>
    <row r="5984" spans="1:18" x14ac:dyDescent="0.45">
      <c r="A5984" s="19" t="s">
        <v>7</v>
      </c>
      <c r="B5984" s="19" t="s">
        <v>63</v>
      </c>
      <c r="C5984">
        <v>1</v>
      </c>
      <c r="D5984">
        <v>2</v>
      </c>
      <c r="E5984">
        <v>1</v>
      </c>
      <c r="F5984" s="15">
        <v>46272</v>
      </c>
      <c r="G5984" s="19" t="s">
        <v>716</v>
      </c>
      <c r="H5984">
        <v>4</v>
      </c>
      <c r="I5984">
        <v>2026</v>
      </c>
      <c r="J5984">
        <v>9</v>
      </c>
      <c r="K5984" s="19" t="s">
        <v>282</v>
      </c>
      <c r="L5984" s="19" t="s">
        <v>51</v>
      </c>
      <c r="M5984" s="19" t="s">
        <v>63</v>
      </c>
      <c r="N5984" t="b">
        <v>0</v>
      </c>
      <c r="O5984">
        <v>0</v>
      </c>
      <c r="P5984">
        <v>0</v>
      </c>
      <c r="Q5984">
        <v>1</v>
      </c>
      <c r="R5984">
        <v>0</v>
      </c>
    </row>
    <row r="5985" spans="1:18" x14ac:dyDescent="0.45">
      <c r="A5985" s="19" t="s">
        <v>7</v>
      </c>
      <c r="B5985" s="19" t="s">
        <v>63</v>
      </c>
      <c r="C5985">
        <v>1</v>
      </c>
      <c r="D5985">
        <v>2</v>
      </c>
      <c r="E5985">
        <v>1</v>
      </c>
      <c r="F5985" s="15">
        <v>46272</v>
      </c>
      <c r="G5985" s="19" t="s">
        <v>716</v>
      </c>
      <c r="H5985">
        <v>4</v>
      </c>
      <c r="I5985">
        <v>2026</v>
      </c>
      <c r="J5985">
        <v>9</v>
      </c>
      <c r="K5985" s="19" t="s">
        <v>282</v>
      </c>
      <c r="L5985" s="19" t="s">
        <v>10</v>
      </c>
      <c r="M5985" s="19" t="s">
        <v>63</v>
      </c>
      <c r="N5985" t="b">
        <v>0</v>
      </c>
      <c r="O5985">
        <v>0</v>
      </c>
      <c r="P5985">
        <v>0</v>
      </c>
      <c r="Q5985">
        <v>1</v>
      </c>
      <c r="R5985">
        <v>0</v>
      </c>
    </row>
    <row r="5986" spans="1:18" x14ac:dyDescent="0.45">
      <c r="A5986" s="19" t="s">
        <v>7</v>
      </c>
      <c r="B5986" s="19" t="s">
        <v>63</v>
      </c>
      <c r="C5986">
        <v>1</v>
      </c>
      <c r="D5986">
        <v>2</v>
      </c>
      <c r="E5986">
        <v>1</v>
      </c>
      <c r="F5986" s="15">
        <v>46272</v>
      </c>
      <c r="G5986" s="19" t="s">
        <v>716</v>
      </c>
      <c r="H5986">
        <v>4</v>
      </c>
      <c r="I5986">
        <v>2026</v>
      </c>
      <c r="J5986">
        <v>9</v>
      </c>
      <c r="K5986" s="19" t="s">
        <v>282</v>
      </c>
      <c r="L5986" s="19" t="s">
        <v>19</v>
      </c>
      <c r="M5986" s="19" t="s">
        <v>63</v>
      </c>
      <c r="N5986" t="b">
        <v>0</v>
      </c>
      <c r="O5986">
        <v>0</v>
      </c>
      <c r="P5986">
        <v>0</v>
      </c>
      <c r="Q5986">
        <v>1</v>
      </c>
      <c r="R5986">
        <v>0</v>
      </c>
    </row>
    <row r="5987" spans="1:18" x14ac:dyDescent="0.45">
      <c r="A5987" s="19" t="s">
        <v>51</v>
      </c>
      <c r="B5987" s="19" t="s">
        <v>63</v>
      </c>
      <c r="C5987">
        <v>2</v>
      </c>
      <c r="D5987">
        <v>2</v>
      </c>
      <c r="E5987">
        <v>1</v>
      </c>
      <c r="F5987" s="15">
        <v>46272</v>
      </c>
      <c r="G5987" s="19" t="s">
        <v>716</v>
      </c>
      <c r="H5987">
        <v>4</v>
      </c>
      <c r="I5987">
        <v>2026</v>
      </c>
      <c r="J5987">
        <v>9</v>
      </c>
      <c r="K5987" s="19" t="s">
        <v>282</v>
      </c>
      <c r="L5987" s="19" t="s">
        <v>7</v>
      </c>
      <c r="M5987" s="19" t="s">
        <v>63</v>
      </c>
      <c r="N5987" t="b">
        <v>0</v>
      </c>
      <c r="O5987">
        <v>0</v>
      </c>
      <c r="P5987">
        <v>0</v>
      </c>
      <c r="Q5987">
        <v>1</v>
      </c>
      <c r="R5987">
        <v>0</v>
      </c>
    </row>
    <row r="5988" spans="1:18" x14ac:dyDescent="0.45">
      <c r="A5988" s="19" t="s">
        <v>51</v>
      </c>
      <c r="B5988" s="19" t="s">
        <v>63</v>
      </c>
      <c r="C5988">
        <v>2</v>
      </c>
      <c r="D5988">
        <v>2</v>
      </c>
      <c r="E5988">
        <v>1</v>
      </c>
      <c r="F5988" s="15">
        <v>46272</v>
      </c>
      <c r="G5988" s="19" t="s">
        <v>716</v>
      </c>
      <c r="H5988">
        <v>4</v>
      </c>
      <c r="I5988">
        <v>2026</v>
      </c>
      <c r="J5988">
        <v>9</v>
      </c>
      <c r="K5988" s="19" t="s">
        <v>282</v>
      </c>
      <c r="L5988" s="19" t="s">
        <v>10</v>
      </c>
      <c r="M5988" s="19" t="s">
        <v>63</v>
      </c>
      <c r="N5988" t="b">
        <v>0</v>
      </c>
      <c r="O5988">
        <v>0</v>
      </c>
      <c r="P5988">
        <v>0</v>
      </c>
      <c r="Q5988">
        <v>1</v>
      </c>
      <c r="R5988">
        <v>0</v>
      </c>
    </row>
    <row r="5989" spans="1:18" x14ac:dyDescent="0.45">
      <c r="A5989" s="19" t="s">
        <v>51</v>
      </c>
      <c r="B5989" s="19" t="s">
        <v>63</v>
      </c>
      <c r="C5989">
        <v>2</v>
      </c>
      <c r="D5989">
        <v>2</v>
      </c>
      <c r="E5989">
        <v>1</v>
      </c>
      <c r="F5989" s="15">
        <v>46272</v>
      </c>
      <c r="G5989" s="19" t="s">
        <v>716</v>
      </c>
      <c r="H5989">
        <v>4</v>
      </c>
      <c r="I5989">
        <v>2026</v>
      </c>
      <c r="J5989">
        <v>9</v>
      </c>
      <c r="K5989" s="19" t="s">
        <v>282</v>
      </c>
      <c r="L5989" s="19" t="s">
        <v>19</v>
      </c>
      <c r="M5989" s="19" t="s">
        <v>63</v>
      </c>
      <c r="N5989" t="b">
        <v>0</v>
      </c>
      <c r="O5989">
        <v>0</v>
      </c>
      <c r="P5989">
        <v>0</v>
      </c>
      <c r="Q5989">
        <v>1</v>
      </c>
      <c r="R5989">
        <v>0</v>
      </c>
    </row>
    <row r="5990" spans="1:18" x14ac:dyDescent="0.45">
      <c r="A5990" s="19" t="s">
        <v>10</v>
      </c>
      <c r="B5990" s="19" t="s">
        <v>63</v>
      </c>
      <c r="C5990">
        <v>3</v>
      </c>
      <c r="D5990">
        <v>2</v>
      </c>
      <c r="E5990">
        <v>1</v>
      </c>
      <c r="F5990" s="15">
        <v>46272</v>
      </c>
      <c r="G5990" s="19" t="s">
        <v>716</v>
      </c>
      <c r="H5990">
        <v>4</v>
      </c>
      <c r="I5990">
        <v>2026</v>
      </c>
      <c r="J5990">
        <v>9</v>
      </c>
      <c r="K5990" s="19" t="s">
        <v>282</v>
      </c>
      <c r="L5990" s="19" t="s">
        <v>7</v>
      </c>
      <c r="M5990" s="19" t="s">
        <v>63</v>
      </c>
      <c r="N5990" t="b">
        <v>0</v>
      </c>
      <c r="O5990">
        <v>0</v>
      </c>
      <c r="P5990">
        <v>0</v>
      </c>
      <c r="Q5990">
        <v>1</v>
      </c>
      <c r="R5990">
        <v>0</v>
      </c>
    </row>
    <row r="5991" spans="1:18" x14ac:dyDescent="0.45">
      <c r="A5991" s="19" t="s">
        <v>10</v>
      </c>
      <c r="B5991" s="19" t="s">
        <v>63</v>
      </c>
      <c r="C5991">
        <v>3</v>
      </c>
      <c r="D5991">
        <v>2</v>
      </c>
      <c r="E5991">
        <v>1</v>
      </c>
      <c r="F5991" s="15">
        <v>46272</v>
      </c>
      <c r="G5991" s="19" t="s">
        <v>716</v>
      </c>
      <c r="H5991">
        <v>4</v>
      </c>
      <c r="I5991">
        <v>2026</v>
      </c>
      <c r="J5991">
        <v>9</v>
      </c>
      <c r="K5991" s="19" t="s">
        <v>282</v>
      </c>
      <c r="L5991" s="19" t="s">
        <v>51</v>
      </c>
      <c r="M5991" s="19" t="s">
        <v>63</v>
      </c>
      <c r="N5991" t="b">
        <v>0</v>
      </c>
      <c r="O5991">
        <v>0</v>
      </c>
      <c r="P5991">
        <v>0</v>
      </c>
      <c r="Q5991">
        <v>1</v>
      </c>
      <c r="R5991">
        <v>0</v>
      </c>
    </row>
    <row r="5992" spans="1:18" x14ac:dyDescent="0.45">
      <c r="A5992" s="19" t="s">
        <v>10</v>
      </c>
      <c r="B5992" s="19" t="s">
        <v>63</v>
      </c>
      <c r="C5992">
        <v>3</v>
      </c>
      <c r="D5992">
        <v>2</v>
      </c>
      <c r="E5992">
        <v>1</v>
      </c>
      <c r="F5992" s="15">
        <v>46272</v>
      </c>
      <c r="G5992" s="19" t="s">
        <v>716</v>
      </c>
      <c r="H5992">
        <v>4</v>
      </c>
      <c r="I5992">
        <v>2026</v>
      </c>
      <c r="J5992">
        <v>9</v>
      </c>
      <c r="K5992" s="19" t="s">
        <v>282</v>
      </c>
      <c r="L5992" s="19" t="s">
        <v>19</v>
      </c>
      <c r="M5992" s="19" t="s">
        <v>63</v>
      </c>
      <c r="N5992" t="b">
        <v>0</v>
      </c>
      <c r="O5992">
        <v>0</v>
      </c>
      <c r="P5992">
        <v>0</v>
      </c>
      <c r="Q5992">
        <v>1</v>
      </c>
      <c r="R5992">
        <v>0</v>
      </c>
    </row>
    <row r="5993" spans="1:18" x14ac:dyDescent="0.45">
      <c r="A5993" s="19" t="s">
        <v>19</v>
      </c>
      <c r="B5993" s="19" t="s">
        <v>63</v>
      </c>
      <c r="C5993">
        <v>4</v>
      </c>
      <c r="D5993">
        <v>2</v>
      </c>
      <c r="E5993">
        <v>1</v>
      </c>
      <c r="F5993" s="15">
        <v>46272</v>
      </c>
      <c r="G5993" s="19" t="s">
        <v>716</v>
      </c>
      <c r="H5993">
        <v>4</v>
      </c>
      <c r="I5993">
        <v>2026</v>
      </c>
      <c r="J5993">
        <v>9</v>
      </c>
      <c r="K5993" s="19" t="s">
        <v>282</v>
      </c>
      <c r="L5993" s="19" t="s">
        <v>7</v>
      </c>
      <c r="M5993" s="19" t="s">
        <v>63</v>
      </c>
      <c r="N5993" t="b">
        <v>0</v>
      </c>
      <c r="O5993">
        <v>0</v>
      </c>
      <c r="P5993">
        <v>0</v>
      </c>
      <c r="Q5993">
        <v>1</v>
      </c>
      <c r="R5993">
        <v>0</v>
      </c>
    </row>
    <row r="5994" spans="1:18" x14ac:dyDescent="0.45">
      <c r="A5994" s="19" t="s">
        <v>19</v>
      </c>
      <c r="B5994" s="19" t="s">
        <v>63</v>
      </c>
      <c r="C5994">
        <v>4</v>
      </c>
      <c r="D5994">
        <v>2</v>
      </c>
      <c r="E5994">
        <v>1</v>
      </c>
      <c r="F5994" s="15">
        <v>46272</v>
      </c>
      <c r="G5994" s="19" t="s">
        <v>716</v>
      </c>
      <c r="H5994">
        <v>4</v>
      </c>
      <c r="I5994">
        <v>2026</v>
      </c>
      <c r="J5994">
        <v>9</v>
      </c>
      <c r="K5994" s="19" t="s">
        <v>282</v>
      </c>
      <c r="L5994" s="19" t="s">
        <v>51</v>
      </c>
      <c r="M5994" s="19" t="s">
        <v>63</v>
      </c>
      <c r="N5994" t="b">
        <v>0</v>
      </c>
      <c r="O5994">
        <v>0</v>
      </c>
      <c r="P5994">
        <v>0</v>
      </c>
      <c r="Q5994">
        <v>1</v>
      </c>
      <c r="R5994">
        <v>0</v>
      </c>
    </row>
    <row r="5995" spans="1:18" x14ac:dyDescent="0.45">
      <c r="A5995" s="19" t="s">
        <v>19</v>
      </c>
      <c r="B5995" s="19" t="s">
        <v>63</v>
      </c>
      <c r="C5995">
        <v>4</v>
      </c>
      <c r="D5995">
        <v>2</v>
      </c>
      <c r="E5995">
        <v>1</v>
      </c>
      <c r="F5995" s="15">
        <v>46272</v>
      </c>
      <c r="G5995" s="19" t="s">
        <v>716</v>
      </c>
      <c r="H5995">
        <v>4</v>
      </c>
      <c r="I5995">
        <v>2026</v>
      </c>
      <c r="J5995">
        <v>9</v>
      </c>
      <c r="K5995" s="19" t="s">
        <v>282</v>
      </c>
      <c r="L5995" s="19" t="s">
        <v>10</v>
      </c>
      <c r="M5995" s="19" t="s">
        <v>63</v>
      </c>
      <c r="N5995" t="b">
        <v>0</v>
      </c>
      <c r="O5995">
        <v>0</v>
      </c>
      <c r="P5995">
        <v>0</v>
      </c>
      <c r="Q5995">
        <v>1</v>
      </c>
      <c r="R5995">
        <v>0</v>
      </c>
    </row>
    <row r="5996" spans="1:18" x14ac:dyDescent="0.45">
      <c r="A5996" s="19" t="s">
        <v>578</v>
      </c>
      <c r="B5996" s="19" t="s">
        <v>63</v>
      </c>
      <c r="C5996">
        <v>1</v>
      </c>
      <c r="D5996">
        <v>3</v>
      </c>
      <c r="E5996">
        <v>1</v>
      </c>
      <c r="F5996" s="15">
        <v>46272</v>
      </c>
      <c r="G5996" s="19" t="s">
        <v>717</v>
      </c>
      <c r="H5996">
        <v>4</v>
      </c>
      <c r="I5996">
        <v>2026</v>
      </c>
      <c r="J5996">
        <v>9</v>
      </c>
      <c r="K5996" s="19" t="s">
        <v>282</v>
      </c>
      <c r="L5996" s="19" t="s">
        <v>15</v>
      </c>
      <c r="M5996" s="19" t="s">
        <v>63</v>
      </c>
      <c r="N5996" t="b">
        <v>0</v>
      </c>
      <c r="O5996">
        <v>0</v>
      </c>
      <c r="P5996">
        <v>0</v>
      </c>
      <c r="Q5996">
        <v>1</v>
      </c>
      <c r="R5996">
        <v>0</v>
      </c>
    </row>
    <row r="5997" spans="1:18" x14ac:dyDescent="0.45">
      <c r="A5997" s="19" t="s">
        <v>578</v>
      </c>
      <c r="B5997" s="19" t="s">
        <v>63</v>
      </c>
      <c r="C5997">
        <v>1</v>
      </c>
      <c r="D5997">
        <v>3</v>
      </c>
      <c r="E5997">
        <v>1</v>
      </c>
      <c r="F5997" s="15">
        <v>46272</v>
      </c>
      <c r="G5997" s="19" t="s">
        <v>717</v>
      </c>
      <c r="H5997">
        <v>4</v>
      </c>
      <c r="I5997">
        <v>2026</v>
      </c>
      <c r="J5997">
        <v>9</v>
      </c>
      <c r="K5997" s="19" t="s">
        <v>282</v>
      </c>
      <c r="L5997" s="19" t="s">
        <v>351</v>
      </c>
      <c r="M5997" s="19" t="s">
        <v>63</v>
      </c>
      <c r="N5997" t="b">
        <v>0</v>
      </c>
      <c r="O5997">
        <v>0</v>
      </c>
      <c r="P5997">
        <v>0</v>
      </c>
      <c r="Q5997">
        <v>1</v>
      </c>
      <c r="R5997">
        <v>0</v>
      </c>
    </row>
    <row r="5998" spans="1:18" x14ac:dyDescent="0.45">
      <c r="A5998" s="19" t="s">
        <v>578</v>
      </c>
      <c r="B5998" s="19" t="s">
        <v>63</v>
      </c>
      <c r="C5998">
        <v>1</v>
      </c>
      <c r="D5998">
        <v>3</v>
      </c>
      <c r="E5998">
        <v>1</v>
      </c>
      <c r="F5998" s="15">
        <v>46272</v>
      </c>
      <c r="G5998" s="19" t="s">
        <v>717</v>
      </c>
      <c r="H5998">
        <v>4</v>
      </c>
      <c r="I5998">
        <v>2026</v>
      </c>
      <c r="J5998">
        <v>9</v>
      </c>
      <c r="K5998" s="19" t="s">
        <v>282</v>
      </c>
      <c r="L5998" s="19" t="s">
        <v>405</v>
      </c>
      <c r="M5998" s="19" t="s">
        <v>63</v>
      </c>
      <c r="N5998" t="b">
        <v>0</v>
      </c>
      <c r="O5998">
        <v>0</v>
      </c>
      <c r="P5998">
        <v>0</v>
      </c>
      <c r="Q5998">
        <v>1</v>
      </c>
      <c r="R5998">
        <v>0</v>
      </c>
    </row>
    <row r="5999" spans="1:18" x14ac:dyDescent="0.45">
      <c r="A5999" s="19" t="s">
        <v>15</v>
      </c>
      <c r="B5999" s="19" t="s">
        <v>63</v>
      </c>
      <c r="C5999">
        <v>2</v>
      </c>
      <c r="D5999">
        <v>3</v>
      </c>
      <c r="E5999">
        <v>1</v>
      </c>
      <c r="F5999" s="15">
        <v>46272</v>
      </c>
      <c r="G5999" s="19" t="s">
        <v>717</v>
      </c>
      <c r="H5999">
        <v>4</v>
      </c>
      <c r="I5999">
        <v>2026</v>
      </c>
      <c r="J5999">
        <v>9</v>
      </c>
      <c r="K5999" s="19" t="s">
        <v>282</v>
      </c>
      <c r="L5999" s="19" t="s">
        <v>578</v>
      </c>
      <c r="M5999" s="19" t="s">
        <v>63</v>
      </c>
      <c r="N5999" t="b">
        <v>0</v>
      </c>
      <c r="O5999">
        <v>0</v>
      </c>
      <c r="P5999">
        <v>0</v>
      </c>
      <c r="Q5999">
        <v>1</v>
      </c>
      <c r="R5999">
        <v>0</v>
      </c>
    </row>
    <row r="6000" spans="1:18" x14ac:dyDescent="0.45">
      <c r="A6000" s="19" t="s">
        <v>15</v>
      </c>
      <c r="B6000" s="19" t="s">
        <v>63</v>
      </c>
      <c r="C6000">
        <v>2</v>
      </c>
      <c r="D6000">
        <v>3</v>
      </c>
      <c r="E6000">
        <v>1</v>
      </c>
      <c r="F6000" s="15">
        <v>46272</v>
      </c>
      <c r="G6000" s="19" t="s">
        <v>717</v>
      </c>
      <c r="H6000">
        <v>4</v>
      </c>
      <c r="I6000">
        <v>2026</v>
      </c>
      <c r="J6000">
        <v>9</v>
      </c>
      <c r="K6000" s="19" t="s">
        <v>282</v>
      </c>
      <c r="L6000" s="19" t="s">
        <v>351</v>
      </c>
      <c r="M6000" s="19" t="s">
        <v>63</v>
      </c>
      <c r="N6000" t="b">
        <v>0</v>
      </c>
      <c r="O6000">
        <v>0</v>
      </c>
      <c r="P6000">
        <v>0</v>
      </c>
      <c r="Q6000">
        <v>1</v>
      </c>
      <c r="R6000">
        <v>0</v>
      </c>
    </row>
    <row r="6001" spans="1:18" x14ac:dyDescent="0.45">
      <c r="A6001" s="19" t="s">
        <v>15</v>
      </c>
      <c r="B6001" s="19" t="s">
        <v>63</v>
      </c>
      <c r="C6001">
        <v>2</v>
      </c>
      <c r="D6001">
        <v>3</v>
      </c>
      <c r="E6001">
        <v>1</v>
      </c>
      <c r="F6001" s="15">
        <v>46272</v>
      </c>
      <c r="G6001" s="19" t="s">
        <v>717</v>
      </c>
      <c r="H6001">
        <v>4</v>
      </c>
      <c r="I6001">
        <v>2026</v>
      </c>
      <c r="J6001">
        <v>9</v>
      </c>
      <c r="K6001" s="19" t="s">
        <v>282</v>
      </c>
      <c r="L6001" s="19" t="s">
        <v>405</v>
      </c>
      <c r="M6001" s="19" t="s">
        <v>63</v>
      </c>
      <c r="N6001" t="b">
        <v>0</v>
      </c>
      <c r="O6001">
        <v>0</v>
      </c>
      <c r="P6001">
        <v>0</v>
      </c>
      <c r="Q6001">
        <v>1</v>
      </c>
      <c r="R6001">
        <v>0</v>
      </c>
    </row>
    <row r="6002" spans="1:18" x14ac:dyDescent="0.45">
      <c r="A6002" s="19" t="s">
        <v>351</v>
      </c>
      <c r="B6002" s="19" t="s">
        <v>63</v>
      </c>
      <c r="C6002">
        <v>3</v>
      </c>
      <c r="D6002">
        <v>3</v>
      </c>
      <c r="E6002">
        <v>1</v>
      </c>
      <c r="F6002" s="15">
        <v>46272</v>
      </c>
      <c r="G6002" s="19" t="s">
        <v>717</v>
      </c>
      <c r="H6002">
        <v>4</v>
      </c>
      <c r="I6002">
        <v>2026</v>
      </c>
      <c r="J6002">
        <v>9</v>
      </c>
      <c r="K6002" s="19" t="s">
        <v>282</v>
      </c>
      <c r="L6002" s="19" t="s">
        <v>578</v>
      </c>
      <c r="M6002" s="19" t="s">
        <v>63</v>
      </c>
      <c r="N6002" t="b">
        <v>0</v>
      </c>
      <c r="O6002">
        <v>0</v>
      </c>
      <c r="P6002">
        <v>0</v>
      </c>
      <c r="Q6002">
        <v>1</v>
      </c>
      <c r="R6002">
        <v>0</v>
      </c>
    </row>
    <row r="6003" spans="1:18" x14ac:dyDescent="0.45">
      <c r="A6003" s="19" t="s">
        <v>351</v>
      </c>
      <c r="B6003" s="19" t="s">
        <v>63</v>
      </c>
      <c r="C6003">
        <v>3</v>
      </c>
      <c r="D6003">
        <v>3</v>
      </c>
      <c r="E6003">
        <v>1</v>
      </c>
      <c r="F6003" s="15">
        <v>46272</v>
      </c>
      <c r="G6003" s="19" t="s">
        <v>717</v>
      </c>
      <c r="H6003">
        <v>4</v>
      </c>
      <c r="I6003">
        <v>2026</v>
      </c>
      <c r="J6003">
        <v>9</v>
      </c>
      <c r="K6003" s="19" t="s">
        <v>282</v>
      </c>
      <c r="L6003" s="19" t="s">
        <v>15</v>
      </c>
      <c r="M6003" s="19" t="s">
        <v>63</v>
      </c>
      <c r="N6003" t="b">
        <v>0</v>
      </c>
      <c r="O6003">
        <v>0</v>
      </c>
      <c r="P6003">
        <v>0</v>
      </c>
      <c r="Q6003">
        <v>1</v>
      </c>
      <c r="R6003">
        <v>0</v>
      </c>
    </row>
    <row r="6004" spans="1:18" x14ac:dyDescent="0.45">
      <c r="A6004" s="19" t="s">
        <v>351</v>
      </c>
      <c r="B6004" s="19" t="s">
        <v>63</v>
      </c>
      <c r="C6004">
        <v>3</v>
      </c>
      <c r="D6004">
        <v>3</v>
      </c>
      <c r="E6004">
        <v>1</v>
      </c>
      <c r="F6004" s="15">
        <v>46272</v>
      </c>
      <c r="G6004" s="19" t="s">
        <v>717</v>
      </c>
      <c r="H6004">
        <v>4</v>
      </c>
      <c r="I6004">
        <v>2026</v>
      </c>
      <c r="J6004">
        <v>9</v>
      </c>
      <c r="K6004" s="19" t="s">
        <v>282</v>
      </c>
      <c r="L6004" s="19" t="s">
        <v>405</v>
      </c>
      <c r="M6004" s="19" t="s">
        <v>63</v>
      </c>
      <c r="N6004" t="b">
        <v>0</v>
      </c>
      <c r="O6004">
        <v>0</v>
      </c>
      <c r="P6004">
        <v>0</v>
      </c>
      <c r="Q6004">
        <v>1</v>
      </c>
      <c r="R6004">
        <v>0</v>
      </c>
    </row>
    <row r="6005" spans="1:18" x14ac:dyDescent="0.45">
      <c r="A6005" s="19" t="s">
        <v>405</v>
      </c>
      <c r="B6005" s="19" t="s">
        <v>63</v>
      </c>
      <c r="C6005">
        <v>4</v>
      </c>
      <c r="D6005">
        <v>3</v>
      </c>
      <c r="E6005">
        <v>1</v>
      </c>
      <c r="F6005" s="15">
        <v>46272</v>
      </c>
      <c r="G6005" s="19" t="s">
        <v>717</v>
      </c>
      <c r="H6005">
        <v>4</v>
      </c>
      <c r="I6005">
        <v>2026</v>
      </c>
      <c r="J6005">
        <v>9</v>
      </c>
      <c r="K6005" s="19" t="s">
        <v>282</v>
      </c>
      <c r="L6005" s="19" t="s">
        <v>578</v>
      </c>
      <c r="M6005" s="19" t="s">
        <v>63</v>
      </c>
      <c r="N6005" t="b">
        <v>0</v>
      </c>
      <c r="O6005">
        <v>0</v>
      </c>
      <c r="P6005">
        <v>0</v>
      </c>
      <c r="Q6005">
        <v>1</v>
      </c>
      <c r="R6005">
        <v>0</v>
      </c>
    </row>
    <row r="6006" spans="1:18" x14ac:dyDescent="0.45">
      <c r="A6006" s="19" t="s">
        <v>405</v>
      </c>
      <c r="B6006" s="19" t="s">
        <v>63</v>
      </c>
      <c r="C6006">
        <v>4</v>
      </c>
      <c r="D6006">
        <v>3</v>
      </c>
      <c r="E6006">
        <v>1</v>
      </c>
      <c r="F6006" s="15">
        <v>46272</v>
      </c>
      <c r="G6006" s="19" t="s">
        <v>717</v>
      </c>
      <c r="H6006">
        <v>4</v>
      </c>
      <c r="I6006">
        <v>2026</v>
      </c>
      <c r="J6006">
        <v>9</v>
      </c>
      <c r="K6006" s="19" t="s">
        <v>282</v>
      </c>
      <c r="L6006" s="19" t="s">
        <v>15</v>
      </c>
      <c r="M6006" s="19" t="s">
        <v>63</v>
      </c>
      <c r="N6006" t="b">
        <v>0</v>
      </c>
      <c r="O6006">
        <v>0</v>
      </c>
      <c r="P6006">
        <v>0</v>
      </c>
      <c r="Q6006">
        <v>1</v>
      </c>
      <c r="R6006">
        <v>0</v>
      </c>
    </row>
    <row r="6007" spans="1:18" x14ac:dyDescent="0.45">
      <c r="A6007" s="19" t="s">
        <v>405</v>
      </c>
      <c r="B6007" s="19" t="s">
        <v>63</v>
      </c>
      <c r="C6007">
        <v>4</v>
      </c>
      <c r="D6007">
        <v>3</v>
      </c>
      <c r="E6007">
        <v>1</v>
      </c>
      <c r="F6007" s="15">
        <v>46272</v>
      </c>
      <c r="G6007" s="19" t="s">
        <v>717</v>
      </c>
      <c r="H6007">
        <v>4</v>
      </c>
      <c r="I6007">
        <v>2026</v>
      </c>
      <c r="J6007">
        <v>9</v>
      </c>
      <c r="K6007" s="19" t="s">
        <v>282</v>
      </c>
      <c r="L6007" s="19" t="s">
        <v>351</v>
      </c>
      <c r="M6007" s="19" t="s">
        <v>63</v>
      </c>
      <c r="N6007" t="b">
        <v>0</v>
      </c>
      <c r="O6007">
        <v>0</v>
      </c>
      <c r="P6007">
        <v>0</v>
      </c>
      <c r="Q6007">
        <v>1</v>
      </c>
      <c r="R6007">
        <v>0</v>
      </c>
    </row>
    <row r="6008" spans="1:18" x14ac:dyDescent="0.45">
      <c r="A6008" s="19" t="s">
        <v>9</v>
      </c>
      <c r="B6008" s="19" t="s">
        <v>63</v>
      </c>
      <c r="C6008">
        <v>1</v>
      </c>
      <c r="D6008">
        <v>4</v>
      </c>
      <c r="E6008">
        <v>1</v>
      </c>
      <c r="F6008" s="15">
        <v>46272</v>
      </c>
      <c r="G6008" s="19" t="s">
        <v>718</v>
      </c>
      <c r="H6008">
        <v>4</v>
      </c>
      <c r="I6008">
        <v>2026</v>
      </c>
      <c r="J6008">
        <v>9</v>
      </c>
      <c r="K6008" s="19" t="s">
        <v>282</v>
      </c>
      <c r="L6008" s="19" t="s">
        <v>13</v>
      </c>
      <c r="M6008" s="19" t="s">
        <v>63</v>
      </c>
      <c r="N6008" t="b">
        <v>0</v>
      </c>
      <c r="O6008">
        <v>0</v>
      </c>
      <c r="P6008">
        <v>0</v>
      </c>
      <c r="Q6008">
        <v>1</v>
      </c>
      <c r="R6008">
        <v>0</v>
      </c>
    </row>
    <row r="6009" spans="1:18" x14ac:dyDescent="0.45">
      <c r="A6009" s="19" t="s">
        <v>9</v>
      </c>
      <c r="B6009" s="19" t="s">
        <v>63</v>
      </c>
      <c r="C6009">
        <v>1</v>
      </c>
      <c r="D6009">
        <v>4</v>
      </c>
      <c r="E6009">
        <v>1</v>
      </c>
      <c r="F6009" s="15">
        <v>46272</v>
      </c>
      <c r="G6009" s="19" t="s">
        <v>718</v>
      </c>
      <c r="H6009">
        <v>4</v>
      </c>
      <c r="I6009">
        <v>2026</v>
      </c>
      <c r="J6009">
        <v>9</v>
      </c>
      <c r="K6009" s="19" t="s">
        <v>282</v>
      </c>
      <c r="L6009" s="19" t="s">
        <v>609</v>
      </c>
      <c r="M6009" s="19" t="s">
        <v>63</v>
      </c>
      <c r="N6009" t="b">
        <v>0</v>
      </c>
      <c r="O6009">
        <v>0</v>
      </c>
      <c r="P6009">
        <v>0</v>
      </c>
      <c r="Q6009">
        <v>1</v>
      </c>
      <c r="R6009">
        <v>0</v>
      </c>
    </row>
    <row r="6010" spans="1:18" x14ac:dyDescent="0.45">
      <c r="A6010" s="19" t="s">
        <v>9</v>
      </c>
      <c r="B6010" s="19" t="s">
        <v>63</v>
      </c>
      <c r="C6010">
        <v>1</v>
      </c>
      <c r="D6010">
        <v>4</v>
      </c>
      <c r="E6010">
        <v>1</v>
      </c>
      <c r="F6010" s="15">
        <v>46272</v>
      </c>
      <c r="G6010" s="19" t="s">
        <v>718</v>
      </c>
      <c r="H6010">
        <v>4</v>
      </c>
      <c r="I6010">
        <v>2026</v>
      </c>
      <c r="J6010">
        <v>9</v>
      </c>
      <c r="K6010" s="19" t="s">
        <v>282</v>
      </c>
      <c r="L6010" s="19" t="s">
        <v>14</v>
      </c>
      <c r="M6010" s="19" t="s">
        <v>63</v>
      </c>
      <c r="N6010" t="b">
        <v>0</v>
      </c>
      <c r="O6010">
        <v>0</v>
      </c>
      <c r="P6010">
        <v>0</v>
      </c>
      <c r="Q6010">
        <v>1</v>
      </c>
      <c r="R6010">
        <v>0</v>
      </c>
    </row>
    <row r="6011" spans="1:18" x14ac:dyDescent="0.45">
      <c r="A6011" s="19" t="s">
        <v>13</v>
      </c>
      <c r="B6011" s="19" t="s">
        <v>63</v>
      </c>
      <c r="C6011">
        <v>2</v>
      </c>
      <c r="D6011">
        <v>4</v>
      </c>
      <c r="E6011">
        <v>1</v>
      </c>
      <c r="F6011" s="15">
        <v>46272</v>
      </c>
      <c r="G6011" s="19" t="s">
        <v>718</v>
      </c>
      <c r="H6011">
        <v>4</v>
      </c>
      <c r="I6011">
        <v>2026</v>
      </c>
      <c r="J6011">
        <v>9</v>
      </c>
      <c r="K6011" s="19" t="s">
        <v>282</v>
      </c>
      <c r="L6011" s="19" t="s">
        <v>9</v>
      </c>
      <c r="M6011" s="19" t="s">
        <v>63</v>
      </c>
      <c r="N6011" t="b">
        <v>0</v>
      </c>
      <c r="O6011">
        <v>0</v>
      </c>
      <c r="P6011">
        <v>0</v>
      </c>
      <c r="Q6011">
        <v>1</v>
      </c>
      <c r="R6011">
        <v>0</v>
      </c>
    </row>
    <row r="6012" spans="1:18" x14ac:dyDescent="0.45">
      <c r="A6012" s="19" t="s">
        <v>13</v>
      </c>
      <c r="B6012" s="19" t="s">
        <v>63</v>
      </c>
      <c r="C6012">
        <v>2</v>
      </c>
      <c r="D6012">
        <v>4</v>
      </c>
      <c r="E6012">
        <v>1</v>
      </c>
      <c r="F6012" s="15">
        <v>46272</v>
      </c>
      <c r="G6012" s="19" t="s">
        <v>718</v>
      </c>
      <c r="H6012">
        <v>4</v>
      </c>
      <c r="I6012">
        <v>2026</v>
      </c>
      <c r="J6012">
        <v>9</v>
      </c>
      <c r="K6012" s="19" t="s">
        <v>282</v>
      </c>
      <c r="L6012" s="19" t="s">
        <v>609</v>
      </c>
      <c r="M6012" s="19" t="s">
        <v>63</v>
      </c>
      <c r="N6012" t="b">
        <v>0</v>
      </c>
      <c r="O6012">
        <v>0</v>
      </c>
      <c r="P6012">
        <v>0</v>
      </c>
      <c r="Q6012">
        <v>1</v>
      </c>
      <c r="R6012">
        <v>0</v>
      </c>
    </row>
    <row r="6013" spans="1:18" x14ac:dyDescent="0.45">
      <c r="A6013" s="19" t="s">
        <v>13</v>
      </c>
      <c r="B6013" s="19" t="s">
        <v>63</v>
      </c>
      <c r="C6013">
        <v>2</v>
      </c>
      <c r="D6013">
        <v>4</v>
      </c>
      <c r="E6013">
        <v>1</v>
      </c>
      <c r="F6013" s="15">
        <v>46272</v>
      </c>
      <c r="G6013" s="19" t="s">
        <v>718</v>
      </c>
      <c r="H6013">
        <v>4</v>
      </c>
      <c r="I6013">
        <v>2026</v>
      </c>
      <c r="J6013">
        <v>9</v>
      </c>
      <c r="K6013" s="19" t="s">
        <v>282</v>
      </c>
      <c r="L6013" s="19" t="s">
        <v>14</v>
      </c>
      <c r="M6013" s="19" t="s">
        <v>63</v>
      </c>
      <c r="N6013" t="b">
        <v>0</v>
      </c>
      <c r="O6013">
        <v>0</v>
      </c>
      <c r="P6013">
        <v>0</v>
      </c>
      <c r="Q6013">
        <v>1</v>
      </c>
      <c r="R6013">
        <v>0</v>
      </c>
    </row>
    <row r="6014" spans="1:18" x14ac:dyDescent="0.45">
      <c r="A6014" s="19" t="s">
        <v>609</v>
      </c>
      <c r="B6014" s="19" t="s">
        <v>63</v>
      </c>
      <c r="C6014">
        <v>3</v>
      </c>
      <c r="D6014">
        <v>4</v>
      </c>
      <c r="E6014">
        <v>1</v>
      </c>
      <c r="F6014" s="15">
        <v>46272</v>
      </c>
      <c r="G6014" s="19" t="s">
        <v>718</v>
      </c>
      <c r="H6014">
        <v>4</v>
      </c>
      <c r="I6014">
        <v>2026</v>
      </c>
      <c r="J6014">
        <v>9</v>
      </c>
      <c r="K6014" s="19" t="s">
        <v>282</v>
      </c>
      <c r="L6014" s="19" t="s">
        <v>9</v>
      </c>
      <c r="M6014" s="19" t="s">
        <v>63</v>
      </c>
      <c r="N6014" t="b">
        <v>0</v>
      </c>
      <c r="O6014">
        <v>0</v>
      </c>
      <c r="P6014">
        <v>0</v>
      </c>
      <c r="Q6014">
        <v>1</v>
      </c>
      <c r="R6014">
        <v>0</v>
      </c>
    </row>
    <row r="6015" spans="1:18" x14ac:dyDescent="0.45">
      <c r="A6015" s="19" t="s">
        <v>609</v>
      </c>
      <c r="B6015" s="19" t="s">
        <v>63</v>
      </c>
      <c r="C6015">
        <v>3</v>
      </c>
      <c r="D6015">
        <v>4</v>
      </c>
      <c r="E6015">
        <v>1</v>
      </c>
      <c r="F6015" s="15">
        <v>46272</v>
      </c>
      <c r="G6015" s="19" t="s">
        <v>718</v>
      </c>
      <c r="H6015">
        <v>4</v>
      </c>
      <c r="I6015">
        <v>2026</v>
      </c>
      <c r="J6015">
        <v>9</v>
      </c>
      <c r="K6015" s="19" t="s">
        <v>282</v>
      </c>
      <c r="L6015" s="19" t="s">
        <v>13</v>
      </c>
      <c r="M6015" s="19" t="s">
        <v>63</v>
      </c>
      <c r="N6015" t="b">
        <v>0</v>
      </c>
      <c r="O6015">
        <v>0</v>
      </c>
      <c r="P6015">
        <v>0</v>
      </c>
      <c r="Q6015">
        <v>1</v>
      </c>
      <c r="R6015">
        <v>0</v>
      </c>
    </row>
    <row r="6016" spans="1:18" x14ac:dyDescent="0.45">
      <c r="A6016" s="19" t="s">
        <v>609</v>
      </c>
      <c r="B6016" s="19" t="s">
        <v>63</v>
      </c>
      <c r="C6016">
        <v>3</v>
      </c>
      <c r="D6016">
        <v>4</v>
      </c>
      <c r="E6016">
        <v>1</v>
      </c>
      <c r="F6016" s="15">
        <v>46272</v>
      </c>
      <c r="G6016" s="19" t="s">
        <v>718</v>
      </c>
      <c r="H6016">
        <v>4</v>
      </c>
      <c r="I6016">
        <v>2026</v>
      </c>
      <c r="J6016">
        <v>9</v>
      </c>
      <c r="K6016" s="19" t="s">
        <v>282</v>
      </c>
      <c r="L6016" s="19" t="s">
        <v>14</v>
      </c>
      <c r="M6016" s="19" t="s">
        <v>63</v>
      </c>
      <c r="N6016" t="b">
        <v>0</v>
      </c>
      <c r="O6016">
        <v>0</v>
      </c>
      <c r="P6016">
        <v>0</v>
      </c>
      <c r="Q6016">
        <v>1</v>
      </c>
      <c r="R6016">
        <v>0</v>
      </c>
    </row>
    <row r="6017" spans="1:18" x14ac:dyDescent="0.45">
      <c r="A6017" s="19" t="s">
        <v>14</v>
      </c>
      <c r="B6017" s="19" t="s">
        <v>63</v>
      </c>
      <c r="C6017">
        <v>4</v>
      </c>
      <c r="D6017">
        <v>4</v>
      </c>
      <c r="E6017">
        <v>1</v>
      </c>
      <c r="F6017" s="15">
        <v>46272</v>
      </c>
      <c r="G6017" s="19" t="s">
        <v>718</v>
      </c>
      <c r="H6017">
        <v>4</v>
      </c>
      <c r="I6017">
        <v>2026</v>
      </c>
      <c r="J6017">
        <v>9</v>
      </c>
      <c r="K6017" s="19" t="s">
        <v>282</v>
      </c>
      <c r="L6017" s="19" t="s">
        <v>9</v>
      </c>
      <c r="M6017" s="19" t="s">
        <v>63</v>
      </c>
      <c r="N6017" t="b">
        <v>0</v>
      </c>
      <c r="O6017">
        <v>0</v>
      </c>
      <c r="P6017">
        <v>0</v>
      </c>
      <c r="Q6017">
        <v>1</v>
      </c>
      <c r="R6017">
        <v>0</v>
      </c>
    </row>
    <row r="6018" spans="1:18" x14ac:dyDescent="0.45">
      <c r="A6018" s="19" t="s">
        <v>14</v>
      </c>
      <c r="B6018" s="19" t="s">
        <v>63</v>
      </c>
      <c r="C6018">
        <v>4</v>
      </c>
      <c r="D6018">
        <v>4</v>
      </c>
      <c r="E6018">
        <v>1</v>
      </c>
      <c r="F6018" s="15">
        <v>46272</v>
      </c>
      <c r="G6018" s="19" t="s">
        <v>718</v>
      </c>
      <c r="H6018">
        <v>4</v>
      </c>
      <c r="I6018">
        <v>2026</v>
      </c>
      <c r="J6018">
        <v>9</v>
      </c>
      <c r="K6018" s="19" t="s">
        <v>282</v>
      </c>
      <c r="L6018" s="19" t="s">
        <v>13</v>
      </c>
      <c r="M6018" s="19" t="s">
        <v>63</v>
      </c>
      <c r="N6018" t="b">
        <v>0</v>
      </c>
      <c r="O6018">
        <v>0</v>
      </c>
      <c r="P6018">
        <v>0</v>
      </c>
      <c r="Q6018">
        <v>1</v>
      </c>
      <c r="R6018">
        <v>0</v>
      </c>
    </row>
    <row r="6019" spans="1:18" x14ac:dyDescent="0.45">
      <c r="A6019" s="19" t="s">
        <v>14</v>
      </c>
      <c r="B6019" s="19" t="s">
        <v>63</v>
      </c>
      <c r="C6019">
        <v>4</v>
      </c>
      <c r="D6019">
        <v>4</v>
      </c>
      <c r="E6019">
        <v>1</v>
      </c>
      <c r="F6019" s="15">
        <v>46272</v>
      </c>
      <c r="G6019" s="19" t="s">
        <v>718</v>
      </c>
      <c r="H6019">
        <v>4</v>
      </c>
      <c r="I6019">
        <v>2026</v>
      </c>
      <c r="J6019">
        <v>9</v>
      </c>
      <c r="K6019" s="19" t="s">
        <v>282</v>
      </c>
      <c r="L6019" s="19" t="s">
        <v>609</v>
      </c>
      <c r="M6019" s="19" t="s">
        <v>63</v>
      </c>
      <c r="N6019" t="b">
        <v>0</v>
      </c>
      <c r="O6019">
        <v>0</v>
      </c>
      <c r="P6019">
        <v>0</v>
      </c>
      <c r="Q6019">
        <v>1</v>
      </c>
      <c r="R6019">
        <v>0</v>
      </c>
    </row>
    <row r="6020" spans="1:18" x14ac:dyDescent="0.45">
      <c r="A6020" s="19" t="s">
        <v>14</v>
      </c>
      <c r="B6020" s="19" t="s">
        <v>63</v>
      </c>
      <c r="C6020">
        <v>1</v>
      </c>
      <c r="D6020">
        <v>1</v>
      </c>
      <c r="E6020">
        <v>2</v>
      </c>
      <c r="F6020" s="15">
        <v>46272</v>
      </c>
      <c r="G6020" s="19" t="s">
        <v>719</v>
      </c>
      <c r="H6020">
        <v>4</v>
      </c>
      <c r="I6020">
        <v>2026</v>
      </c>
      <c r="J6020">
        <v>9</v>
      </c>
      <c r="K6020" s="19" t="s">
        <v>282</v>
      </c>
      <c r="L6020" s="19" t="s">
        <v>19</v>
      </c>
      <c r="M6020" s="19" t="s">
        <v>63</v>
      </c>
      <c r="N6020" t="b">
        <v>0</v>
      </c>
      <c r="O6020">
        <v>0</v>
      </c>
      <c r="P6020">
        <v>0</v>
      </c>
      <c r="Q6020">
        <v>1</v>
      </c>
      <c r="R6020">
        <v>0</v>
      </c>
    </row>
    <row r="6021" spans="1:18" x14ac:dyDescent="0.45">
      <c r="A6021" s="19" t="s">
        <v>14</v>
      </c>
      <c r="B6021" s="19" t="s">
        <v>63</v>
      </c>
      <c r="C6021">
        <v>1</v>
      </c>
      <c r="D6021">
        <v>1</v>
      </c>
      <c r="E6021">
        <v>2</v>
      </c>
      <c r="F6021" s="15">
        <v>46272</v>
      </c>
      <c r="G6021" s="19" t="s">
        <v>719</v>
      </c>
      <c r="H6021">
        <v>4</v>
      </c>
      <c r="I6021">
        <v>2026</v>
      </c>
      <c r="J6021">
        <v>9</v>
      </c>
      <c r="K6021" s="19" t="s">
        <v>282</v>
      </c>
      <c r="L6021" s="19" t="s">
        <v>405</v>
      </c>
      <c r="M6021" s="19" t="s">
        <v>63</v>
      </c>
      <c r="N6021" t="b">
        <v>0</v>
      </c>
      <c r="O6021">
        <v>0</v>
      </c>
      <c r="P6021">
        <v>0</v>
      </c>
      <c r="Q6021">
        <v>1</v>
      </c>
      <c r="R6021">
        <v>0</v>
      </c>
    </row>
    <row r="6022" spans="1:18" x14ac:dyDescent="0.45">
      <c r="A6022" s="19" t="s">
        <v>14</v>
      </c>
      <c r="B6022" s="19" t="s">
        <v>63</v>
      </c>
      <c r="C6022">
        <v>1</v>
      </c>
      <c r="D6022">
        <v>1</v>
      </c>
      <c r="E6022">
        <v>2</v>
      </c>
      <c r="F6022" s="15">
        <v>46272</v>
      </c>
      <c r="G6022" s="19" t="s">
        <v>719</v>
      </c>
      <c r="H6022">
        <v>4</v>
      </c>
      <c r="I6022">
        <v>2026</v>
      </c>
      <c r="J6022">
        <v>9</v>
      </c>
      <c r="K6022" s="19" t="s">
        <v>282</v>
      </c>
      <c r="L6022" s="19" t="s">
        <v>11</v>
      </c>
      <c r="M6022" s="19" t="s">
        <v>63</v>
      </c>
      <c r="N6022" t="b">
        <v>0</v>
      </c>
      <c r="O6022">
        <v>0</v>
      </c>
      <c r="P6022">
        <v>0</v>
      </c>
      <c r="Q6022">
        <v>1</v>
      </c>
      <c r="R6022">
        <v>0</v>
      </c>
    </row>
    <row r="6023" spans="1:18" x14ac:dyDescent="0.45">
      <c r="A6023" s="19" t="s">
        <v>19</v>
      </c>
      <c r="B6023" s="19" t="s">
        <v>63</v>
      </c>
      <c r="C6023">
        <v>2</v>
      </c>
      <c r="D6023">
        <v>1</v>
      </c>
      <c r="E6023">
        <v>2</v>
      </c>
      <c r="F6023" s="15">
        <v>46272</v>
      </c>
      <c r="G6023" s="19" t="s">
        <v>719</v>
      </c>
      <c r="H6023">
        <v>4</v>
      </c>
      <c r="I6023">
        <v>2026</v>
      </c>
      <c r="J6023">
        <v>9</v>
      </c>
      <c r="K6023" s="19" t="s">
        <v>282</v>
      </c>
      <c r="L6023" s="19" t="s">
        <v>14</v>
      </c>
      <c r="M6023" s="19" t="s">
        <v>63</v>
      </c>
      <c r="N6023" t="b">
        <v>0</v>
      </c>
      <c r="O6023">
        <v>0</v>
      </c>
      <c r="P6023">
        <v>0</v>
      </c>
      <c r="Q6023">
        <v>1</v>
      </c>
      <c r="R6023">
        <v>0</v>
      </c>
    </row>
    <row r="6024" spans="1:18" x14ac:dyDescent="0.45">
      <c r="A6024" s="19" t="s">
        <v>19</v>
      </c>
      <c r="B6024" s="19" t="s">
        <v>63</v>
      </c>
      <c r="C6024">
        <v>2</v>
      </c>
      <c r="D6024">
        <v>1</v>
      </c>
      <c r="E6024">
        <v>2</v>
      </c>
      <c r="F6024" s="15">
        <v>46272</v>
      </c>
      <c r="G6024" s="19" t="s">
        <v>719</v>
      </c>
      <c r="H6024">
        <v>4</v>
      </c>
      <c r="I6024">
        <v>2026</v>
      </c>
      <c r="J6024">
        <v>9</v>
      </c>
      <c r="K6024" s="19" t="s">
        <v>282</v>
      </c>
      <c r="L6024" s="19" t="s">
        <v>405</v>
      </c>
      <c r="M6024" s="19" t="s">
        <v>63</v>
      </c>
      <c r="N6024" t="b">
        <v>0</v>
      </c>
      <c r="O6024">
        <v>0</v>
      </c>
      <c r="P6024">
        <v>0</v>
      </c>
      <c r="Q6024">
        <v>1</v>
      </c>
      <c r="R6024">
        <v>0</v>
      </c>
    </row>
    <row r="6025" spans="1:18" x14ac:dyDescent="0.45">
      <c r="A6025" s="19" t="s">
        <v>19</v>
      </c>
      <c r="B6025" s="19" t="s">
        <v>63</v>
      </c>
      <c r="C6025">
        <v>2</v>
      </c>
      <c r="D6025">
        <v>1</v>
      </c>
      <c r="E6025">
        <v>2</v>
      </c>
      <c r="F6025" s="15">
        <v>46272</v>
      </c>
      <c r="G6025" s="19" t="s">
        <v>719</v>
      </c>
      <c r="H6025">
        <v>4</v>
      </c>
      <c r="I6025">
        <v>2026</v>
      </c>
      <c r="J6025">
        <v>9</v>
      </c>
      <c r="K6025" s="19" t="s">
        <v>282</v>
      </c>
      <c r="L6025" s="19" t="s">
        <v>11</v>
      </c>
      <c r="M6025" s="19" t="s">
        <v>63</v>
      </c>
      <c r="N6025" t="b">
        <v>0</v>
      </c>
      <c r="O6025">
        <v>0</v>
      </c>
      <c r="P6025">
        <v>0</v>
      </c>
      <c r="Q6025">
        <v>1</v>
      </c>
      <c r="R6025">
        <v>0</v>
      </c>
    </row>
    <row r="6026" spans="1:18" x14ac:dyDescent="0.45">
      <c r="A6026" s="19" t="s">
        <v>405</v>
      </c>
      <c r="B6026" s="19" t="s">
        <v>63</v>
      </c>
      <c r="C6026">
        <v>3</v>
      </c>
      <c r="D6026">
        <v>1</v>
      </c>
      <c r="E6026">
        <v>2</v>
      </c>
      <c r="F6026" s="15">
        <v>46272</v>
      </c>
      <c r="G6026" s="19" t="s">
        <v>719</v>
      </c>
      <c r="H6026">
        <v>4</v>
      </c>
      <c r="I6026">
        <v>2026</v>
      </c>
      <c r="J6026">
        <v>9</v>
      </c>
      <c r="K6026" s="19" t="s">
        <v>282</v>
      </c>
      <c r="L6026" s="19" t="s">
        <v>14</v>
      </c>
      <c r="M6026" s="19" t="s">
        <v>63</v>
      </c>
      <c r="N6026" t="b">
        <v>0</v>
      </c>
      <c r="O6026">
        <v>0</v>
      </c>
      <c r="P6026">
        <v>0</v>
      </c>
      <c r="Q6026">
        <v>1</v>
      </c>
      <c r="R6026">
        <v>0</v>
      </c>
    </row>
    <row r="6027" spans="1:18" x14ac:dyDescent="0.45">
      <c r="A6027" s="19" t="s">
        <v>405</v>
      </c>
      <c r="B6027" s="19" t="s">
        <v>63</v>
      </c>
      <c r="C6027">
        <v>3</v>
      </c>
      <c r="D6027">
        <v>1</v>
      </c>
      <c r="E6027">
        <v>2</v>
      </c>
      <c r="F6027" s="15">
        <v>46272</v>
      </c>
      <c r="G6027" s="19" t="s">
        <v>719</v>
      </c>
      <c r="H6027">
        <v>4</v>
      </c>
      <c r="I6027">
        <v>2026</v>
      </c>
      <c r="J6027">
        <v>9</v>
      </c>
      <c r="K6027" s="19" t="s">
        <v>282</v>
      </c>
      <c r="L6027" s="19" t="s">
        <v>19</v>
      </c>
      <c r="M6027" s="19" t="s">
        <v>63</v>
      </c>
      <c r="N6027" t="b">
        <v>0</v>
      </c>
      <c r="O6027">
        <v>0</v>
      </c>
      <c r="P6027">
        <v>0</v>
      </c>
      <c r="Q6027">
        <v>1</v>
      </c>
      <c r="R6027">
        <v>0</v>
      </c>
    </row>
    <row r="6028" spans="1:18" x14ac:dyDescent="0.45">
      <c r="A6028" s="19" t="s">
        <v>405</v>
      </c>
      <c r="B6028" s="19" t="s">
        <v>63</v>
      </c>
      <c r="C6028">
        <v>3</v>
      </c>
      <c r="D6028">
        <v>1</v>
      </c>
      <c r="E6028">
        <v>2</v>
      </c>
      <c r="F6028" s="15">
        <v>46272</v>
      </c>
      <c r="G6028" s="19" t="s">
        <v>719</v>
      </c>
      <c r="H6028">
        <v>4</v>
      </c>
      <c r="I6028">
        <v>2026</v>
      </c>
      <c r="J6028">
        <v>9</v>
      </c>
      <c r="K6028" s="19" t="s">
        <v>282</v>
      </c>
      <c r="L6028" s="19" t="s">
        <v>11</v>
      </c>
      <c r="M6028" s="19" t="s">
        <v>63</v>
      </c>
      <c r="N6028" t="b">
        <v>0</v>
      </c>
      <c r="O6028">
        <v>0</v>
      </c>
      <c r="P6028">
        <v>0</v>
      </c>
      <c r="Q6028">
        <v>1</v>
      </c>
      <c r="R6028">
        <v>0</v>
      </c>
    </row>
    <row r="6029" spans="1:18" x14ac:dyDescent="0.45">
      <c r="A6029" s="19" t="s">
        <v>11</v>
      </c>
      <c r="B6029" s="19" t="s">
        <v>63</v>
      </c>
      <c r="C6029">
        <v>4</v>
      </c>
      <c r="D6029">
        <v>1</v>
      </c>
      <c r="E6029">
        <v>2</v>
      </c>
      <c r="F6029" s="15">
        <v>46272</v>
      </c>
      <c r="G6029" s="19" t="s">
        <v>719</v>
      </c>
      <c r="H6029">
        <v>4</v>
      </c>
      <c r="I6029">
        <v>2026</v>
      </c>
      <c r="J6029">
        <v>9</v>
      </c>
      <c r="K6029" s="19" t="s">
        <v>282</v>
      </c>
      <c r="L6029" s="19" t="s">
        <v>14</v>
      </c>
      <c r="M6029" s="19" t="s">
        <v>63</v>
      </c>
      <c r="N6029" t="b">
        <v>0</v>
      </c>
      <c r="O6029">
        <v>0</v>
      </c>
      <c r="P6029">
        <v>0</v>
      </c>
      <c r="Q6029">
        <v>1</v>
      </c>
      <c r="R6029">
        <v>0</v>
      </c>
    </row>
    <row r="6030" spans="1:18" x14ac:dyDescent="0.45">
      <c r="A6030" s="19" t="s">
        <v>11</v>
      </c>
      <c r="B6030" s="19" t="s">
        <v>63</v>
      </c>
      <c r="C6030">
        <v>4</v>
      </c>
      <c r="D6030">
        <v>1</v>
      </c>
      <c r="E6030">
        <v>2</v>
      </c>
      <c r="F6030" s="15">
        <v>46272</v>
      </c>
      <c r="G6030" s="19" t="s">
        <v>719</v>
      </c>
      <c r="H6030">
        <v>4</v>
      </c>
      <c r="I6030">
        <v>2026</v>
      </c>
      <c r="J6030">
        <v>9</v>
      </c>
      <c r="K6030" s="19" t="s">
        <v>282</v>
      </c>
      <c r="L6030" s="19" t="s">
        <v>19</v>
      </c>
      <c r="M6030" s="19" t="s">
        <v>63</v>
      </c>
      <c r="N6030" t="b">
        <v>0</v>
      </c>
      <c r="O6030">
        <v>0</v>
      </c>
      <c r="P6030">
        <v>0</v>
      </c>
      <c r="Q6030">
        <v>1</v>
      </c>
      <c r="R6030">
        <v>0</v>
      </c>
    </row>
    <row r="6031" spans="1:18" x14ac:dyDescent="0.45">
      <c r="A6031" s="19" t="s">
        <v>11</v>
      </c>
      <c r="B6031" s="19" t="s">
        <v>63</v>
      </c>
      <c r="C6031">
        <v>4</v>
      </c>
      <c r="D6031">
        <v>1</v>
      </c>
      <c r="E6031">
        <v>2</v>
      </c>
      <c r="F6031" s="15">
        <v>46272</v>
      </c>
      <c r="G6031" s="19" t="s">
        <v>719</v>
      </c>
      <c r="H6031">
        <v>4</v>
      </c>
      <c r="I6031">
        <v>2026</v>
      </c>
      <c r="J6031">
        <v>9</v>
      </c>
      <c r="K6031" s="19" t="s">
        <v>282</v>
      </c>
      <c r="L6031" s="19" t="s">
        <v>405</v>
      </c>
      <c r="M6031" s="19" t="s">
        <v>63</v>
      </c>
      <c r="N6031" t="b">
        <v>0</v>
      </c>
      <c r="O6031">
        <v>0</v>
      </c>
      <c r="P6031">
        <v>0</v>
      </c>
      <c r="Q6031">
        <v>1</v>
      </c>
      <c r="R6031">
        <v>0</v>
      </c>
    </row>
    <row r="6032" spans="1:18" x14ac:dyDescent="0.45">
      <c r="A6032" s="19" t="s">
        <v>13</v>
      </c>
      <c r="B6032" s="19" t="s">
        <v>6</v>
      </c>
      <c r="C6032">
        <v>1</v>
      </c>
      <c r="D6032">
        <v>2</v>
      </c>
      <c r="E6032">
        <v>2</v>
      </c>
      <c r="F6032" s="15">
        <v>46272</v>
      </c>
      <c r="G6032" s="19" t="s">
        <v>720</v>
      </c>
      <c r="H6032">
        <v>4</v>
      </c>
      <c r="I6032">
        <v>2026</v>
      </c>
      <c r="J6032">
        <v>9</v>
      </c>
      <c r="K6032" s="19" t="s">
        <v>282</v>
      </c>
      <c r="L6032" s="19" t="s">
        <v>402</v>
      </c>
      <c r="M6032" s="19" t="s">
        <v>6</v>
      </c>
      <c r="N6032" t="b">
        <v>0</v>
      </c>
      <c r="O6032">
        <v>0</v>
      </c>
      <c r="P6032">
        <v>1</v>
      </c>
      <c r="Q6032">
        <v>0</v>
      </c>
      <c r="R6032">
        <v>0</v>
      </c>
    </row>
    <row r="6033" spans="1:18" x14ac:dyDescent="0.45">
      <c r="A6033" s="19" t="s">
        <v>13</v>
      </c>
      <c r="B6033" s="19" t="s">
        <v>6</v>
      </c>
      <c r="C6033">
        <v>1</v>
      </c>
      <c r="D6033">
        <v>2</v>
      </c>
      <c r="E6033">
        <v>2</v>
      </c>
      <c r="F6033" s="15">
        <v>46272</v>
      </c>
      <c r="G6033" s="19" t="s">
        <v>720</v>
      </c>
      <c r="H6033">
        <v>4</v>
      </c>
      <c r="I6033">
        <v>2026</v>
      </c>
      <c r="J6033">
        <v>9</v>
      </c>
      <c r="K6033" s="19" t="s">
        <v>282</v>
      </c>
      <c r="L6033" s="19" t="s">
        <v>51</v>
      </c>
      <c r="M6033" s="19" t="s">
        <v>6</v>
      </c>
      <c r="N6033" t="b">
        <v>0</v>
      </c>
      <c r="O6033">
        <v>0</v>
      </c>
      <c r="P6033">
        <v>1</v>
      </c>
      <c r="Q6033">
        <v>0</v>
      </c>
      <c r="R6033">
        <v>0</v>
      </c>
    </row>
    <row r="6034" spans="1:18" x14ac:dyDescent="0.45">
      <c r="A6034" s="19" t="s">
        <v>13</v>
      </c>
      <c r="B6034" s="19" t="s">
        <v>6</v>
      </c>
      <c r="C6034">
        <v>1</v>
      </c>
      <c r="D6034">
        <v>2</v>
      </c>
      <c r="E6034">
        <v>2</v>
      </c>
      <c r="F6034" s="15">
        <v>46272</v>
      </c>
      <c r="G6034" s="19" t="s">
        <v>720</v>
      </c>
      <c r="H6034">
        <v>4</v>
      </c>
      <c r="I6034">
        <v>2026</v>
      </c>
      <c r="J6034">
        <v>9</v>
      </c>
      <c r="K6034" s="19" t="s">
        <v>282</v>
      </c>
      <c r="L6034" s="19" t="s">
        <v>578</v>
      </c>
      <c r="M6034" s="19" t="s">
        <v>8</v>
      </c>
      <c r="N6034" t="b">
        <v>0</v>
      </c>
      <c r="O6034">
        <v>0</v>
      </c>
      <c r="P6034">
        <v>1</v>
      </c>
      <c r="Q6034">
        <v>0</v>
      </c>
      <c r="R6034">
        <v>1</v>
      </c>
    </row>
    <row r="6035" spans="1:18" x14ac:dyDescent="0.45">
      <c r="A6035" s="19" t="s">
        <v>402</v>
      </c>
      <c r="B6035" s="19" t="s">
        <v>6</v>
      </c>
      <c r="C6035">
        <v>2</v>
      </c>
      <c r="D6035">
        <v>2</v>
      </c>
      <c r="E6035">
        <v>2</v>
      </c>
      <c r="F6035" s="15">
        <v>46272</v>
      </c>
      <c r="G6035" s="19" t="s">
        <v>720</v>
      </c>
      <c r="H6035">
        <v>4</v>
      </c>
      <c r="I6035">
        <v>2026</v>
      </c>
      <c r="J6035">
        <v>9</v>
      </c>
      <c r="K6035" s="19" t="s">
        <v>282</v>
      </c>
      <c r="L6035" s="19" t="s">
        <v>13</v>
      </c>
      <c r="M6035" s="19" t="s">
        <v>6</v>
      </c>
      <c r="N6035" t="b">
        <v>0</v>
      </c>
      <c r="O6035">
        <v>0</v>
      </c>
      <c r="P6035">
        <v>1</v>
      </c>
      <c r="Q6035">
        <v>0</v>
      </c>
      <c r="R6035">
        <v>0</v>
      </c>
    </row>
    <row r="6036" spans="1:18" x14ac:dyDescent="0.45">
      <c r="A6036" s="19" t="s">
        <v>402</v>
      </c>
      <c r="B6036" s="19" t="s">
        <v>6</v>
      </c>
      <c r="C6036">
        <v>2</v>
      </c>
      <c r="D6036">
        <v>2</v>
      </c>
      <c r="E6036">
        <v>2</v>
      </c>
      <c r="F6036" s="15">
        <v>46272</v>
      </c>
      <c r="G6036" s="19" t="s">
        <v>720</v>
      </c>
      <c r="H6036">
        <v>4</v>
      </c>
      <c r="I6036">
        <v>2026</v>
      </c>
      <c r="J6036">
        <v>9</v>
      </c>
      <c r="K6036" s="19" t="s">
        <v>282</v>
      </c>
      <c r="L6036" s="19" t="s">
        <v>51</v>
      </c>
      <c r="M6036" s="19" t="s">
        <v>6</v>
      </c>
      <c r="N6036" t="b">
        <v>0</v>
      </c>
      <c r="O6036">
        <v>0</v>
      </c>
      <c r="P6036">
        <v>1</v>
      </c>
      <c r="Q6036">
        <v>0</v>
      </c>
      <c r="R6036">
        <v>0</v>
      </c>
    </row>
    <row r="6037" spans="1:18" x14ac:dyDescent="0.45">
      <c r="A6037" s="19" t="s">
        <v>402</v>
      </c>
      <c r="B6037" s="19" t="s">
        <v>6</v>
      </c>
      <c r="C6037">
        <v>2</v>
      </c>
      <c r="D6037">
        <v>2</v>
      </c>
      <c r="E6037">
        <v>2</v>
      </c>
      <c r="F6037" s="15">
        <v>46272</v>
      </c>
      <c r="G6037" s="19" t="s">
        <v>720</v>
      </c>
      <c r="H6037">
        <v>4</v>
      </c>
      <c r="I6037">
        <v>2026</v>
      </c>
      <c r="J6037">
        <v>9</v>
      </c>
      <c r="K6037" s="19" t="s">
        <v>282</v>
      </c>
      <c r="L6037" s="19" t="s">
        <v>578</v>
      </c>
      <c r="M6037" s="19" t="s">
        <v>8</v>
      </c>
      <c r="N6037" t="b">
        <v>0</v>
      </c>
      <c r="O6037">
        <v>0</v>
      </c>
      <c r="P6037">
        <v>1</v>
      </c>
      <c r="Q6037">
        <v>0</v>
      </c>
      <c r="R6037">
        <v>1</v>
      </c>
    </row>
    <row r="6038" spans="1:18" x14ac:dyDescent="0.45">
      <c r="A6038" s="19" t="s">
        <v>51</v>
      </c>
      <c r="B6038" s="19" t="s">
        <v>6</v>
      </c>
      <c r="C6038">
        <v>3</v>
      </c>
      <c r="D6038">
        <v>2</v>
      </c>
      <c r="E6038">
        <v>2</v>
      </c>
      <c r="F6038" s="15">
        <v>46272</v>
      </c>
      <c r="G6038" s="19" t="s">
        <v>720</v>
      </c>
      <c r="H6038">
        <v>4</v>
      </c>
      <c r="I6038">
        <v>2026</v>
      </c>
      <c r="J6038">
        <v>9</v>
      </c>
      <c r="K6038" s="19" t="s">
        <v>282</v>
      </c>
      <c r="L6038" s="19" t="s">
        <v>13</v>
      </c>
      <c r="M6038" s="19" t="s">
        <v>6</v>
      </c>
      <c r="N6038" t="b">
        <v>0</v>
      </c>
      <c r="O6038">
        <v>0</v>
      </c>
      <c r="P6038">
        <v>1</v>
      </c>
      <c r="Q6038">
        <v>0</v>
      </c>
      <c r="R6038">
        <v>0</v>
      </c>
    </row>
    <row r="6039" spans="1:18" x14ac:dyDescent="0.45">
      <c r="A6039" s="19" t="s">
        <v>51</v>
      </c>
      <c r="B6039" s="19" t="s">
        <v>6</v>
      </c>
      <c r="C6039">
        <v>3</v>
      </c>
      <c r="D6039">
        <v>2</v>
      </c>
      <c r="E6039">
        <v>2</v>
      </c>
      <c r="F6039" s="15">
        <v>46272</v>
      </c>
      <c r="G6039" s="19" t="s">
        <v>720</v>
      </c>
      <c r="H6039">
        <v>4</v>
      </c>
      <c r="I6039">
        <v>2026</v>
      </c>
      <c r="J6039">
        <v>9</v>
      </c>
      <c r="K6039" s="19" t="s">
        <v>282</v>
      </c>
      <c r="L6039" s="19" t="s">
        <v>402</v>
      </c>
      <c r="M6039" s="19" t="s">
        <v>6</v>
      </c>
      <c r="N6039" t="b">
        <v>0</v>
      </c>
      <c r="O6039">
        <v>0</v>
      </c>
      <c r="P6039">
        <v>1</v>
      </c>
      <c r="Q6039">
        <v>0</v>
      </c>
      <c r="R6039">
        <v>0</v>
      </c>
    </row>
    <row r="6040" spans="1:18" x14ac:dyDescent="0.45">
      <c r="A6040" s="19" t="s">
        <v>51</v>
      </c>
      <c r="B6040" s="19" t="s">
        <v>6</v>
      </c>
      <c r="C6040">
        <v>3</v>
      </c>
      <c r="D6040">
        <v>2</v>
      </c>
      <c r="E6040">
        <v>2</v>
      </c>
      <c r="F6040" s="15">
        <v>46272</v>
      </c>
      <c r="G6040" s="19" t="s">
        <v>720</v>
      </c>
      <c r="H6040">
        <v>4</v>
      </c>
      <c r="I6040">
        <v>2026</v>
      </c>
      <c r="J6040">
        <v>9</v>
      </c>
      <c r="K6040" s="19" t="s">
        <v>282</v>
      </c>
      <c r="L6040" s="19" t="s">
        <v>578</v>
      </c>
      <c r="M6040" s="19" t="s">
        <v>8</v>
      </c>
      <c r="N6040" t="b">
        <v>0</v>
      </c>
      <c r="O6040">
        <v>0</v>
      </c>
      <c r="P6040">
        <v>1</v>
      </c>
      <c r="Q6040">
        <v>0</v>
      </c>
      <c r="R6040">
        <v>1</v>
      </c>
    </row>
    <row r="6041" spans="1:18" x14ac:dyDescent="0.45">
      <c r="A6041" s="19" t="s">
        <v>578</v>
      </c>
      <c r="B6041" s="19" t="s">
        <v>8</v>
      </c>
      <c r="C6041">
        <v>4</v>
      </c>
      <c r="D6041">
        <v>2</v>
      </c>
      <c r="E6041">
        <v>2</v>
      </c>
      <c r="F6041" s="15">
        <v>46272</v>
      </c>
      <c r="G6041" s="19" t="s">
        <v>720</v>
      </c>
      <c r="H6041">
        <v>4</v>
      </c>
      <c r="I6041">
        <v>2026</v>
      </c>
      <c r="J6041">
        <v>9</v>
      </c>
      <c r="K6041" s="19" t="s">
        <v>282</v>
      </c>
      <c r="L6041" s="19" t="s">
        <v>13</v>
      </c>
      <c r="M6041" s="19" t="s">
        <v>6</v>
      </c>
      <c r="N6041" t="b">
        <v>0</v>
      </c>
      <c r="O6041">
        <v>1</v>
      </c>
      <c r="P6041">
        <v>0</v>
      </c>
      <c r="Q6041">
        <v>0</v>
      </c>
      <c r="R6041">
        <v>0</v>
      </c>
    </row>
    <row r="6042" spans="1:18" x14ac:dyDescent="0.45">
      <c r="A6042" s="19" t="s">
        <v>578</v>
      </c>
      <c r="B6042" s="19" t="s">
        <v>8</v>
      </c>
      <c r="C6042">
        <v>4</v>
      </c>
      <c r="D6042">
        <v>2</v>
      </c>
      <c r="E6042">
        <v>2</v>
      </c>
      <c r="F6042" s="15">
        <v>46272</v>
      </c>
      <c r="G6042" s="19" t="s">
        <v>720</v>
      </c>
      <c r="H6042">
        <v>4</v>
      </c>
      <c r="I6042">
        <v>2026</v>
      </c>
      <c r="J6042">
        <v>9</v>
      </c>
      <c r="K6042" s="19" t="s">
        <v>282</v>
      </c>
      <c r="L6042" s="19" t="s">
        <v>402</v>
      </c>
      <c r="M6042" s="19" t="s">
        <v>6</v>
      </c>
      <c r="N6042" t="b">
        <v>0</v>
      </c>
      <c r="O6042">
        <v>1</v>
      </c>
      <c r="P6042">
        <v>0</v>
      </c>
      <c r="Q6042">
        <v>0</v>
      </c>
      <c r="R6042">
        <v>0</v>
      </c>
    </row>
    <row r="6043" spans="1:18" x14ac:dyDescent="0.45">
      <c r="A6043" s="19" t="s">
        <v>578</v>
      </c>
      <c r="B6043" s="19" t="s">
        <v>8</v>
      </c>
      <c r="C6043">
        <v>4</v>
      </c>
      <c r="D6043">
        <v>2</v>
      </c>
      <c r="E6043">
        <v>2</v>
      </c>
      <c r="F6043" s="15">
        <v>46272</v>
      </c>
      <c r="G6043" s="19" t="s">
        <v>720</v>
      </c>
      <c r="H6043">
        <v>4</v>
      </c>
      <c r="I6043">
        <v>2026</v>
      </c>
      <c r="J6043">
        <v>9</v>
      </c>
      <c r="K6043" s="19" t="s">
        <v>282</v>
      </c>
      <c r="L6043" s="19" t="s">
        <v>51</v>
      </c>
      <c r="M6043" s="19" t="s">
        <v>6</v>
      </c>
      <c r="N6043" t="b">
        <v>0</v>
      </c>
      <c r="O6043">
        <v>1</v>
      </c>
      <c r="P6043">
        <v>0</v>
      </c>
      <c r="Q6043">
        <v>0</v>
      </c>
      <c r="R6043">
        <v>0</v>
      </c>
    </row>
    <row r="6044" spans="1:18" x14ac:dyDescent="0.45">
      <c r="A6044" s="19" t="s">
        <v>42</v>
      </c>
      <c r="B6044" s="19" t="s">
        <v>6</v>
      </c>
      <c r="C6044">
        <v>1</v>
      </c>
      <c r="D6044">
        <v>3</v>
      </c>
      <c r="E6044">
        <v>2</v>
      </c>
      <c r="F6044" s="15">
        <v>46272</v>
      </c>
      <c r="G6044" s="19" t="s">
        <v>721</v>
      </c>
      <c r="H6044">
        <v>4</v>
      </c>
      <c r="I6044">
        <v>2026</v>
      </c>
      <c r="J6044">
        <v>9</v>
      </c>
      <c r="K6044" s="19" t="s">
        <v>282</v>
      </c>
      <c r="L6044" s="19" t="s">
        <v>10</v>
      </c>
      <c r="M6044" s="19" t="s">
        <v>6</v>
      </c>
      <c r="N6044" t="b">
        <v>0</v>
      </c>
      <c r="O6044">
        <v>0</v>
      </c>
      <c r="P6044">
        <v>1</v>
      </c>
      <c r="Q6044">
        <v>0</v>
      </c>
      <c r="R6044">
        <v>0</v>
      </c>
    </row>
    <row r="6045" spans="1:18" x14ac:dyDescent="0.45">
      <c r="A6045" s="19" t="s">
        <v>42</v>
      </c>
      <c r="B6045" s="19" t="s">
        <v>6</v>
      </c>
      <c r="C6045">
        <v>1</v>
      </c>
      <c r="D6045">
        <v>3</v>
      </c>
      <c r="E6045">
        <v>2</v>
      </c>
      <c r="F6045" s="15">
        <v>46272</v>
      </c>
      <c r="G6045" s="19" t="s">
        <v>721</v>
      </c>
      <c r="H6045">
        <v>4</v>
      </c>
      <c r="I6045">
        <v>2026</v>
      </c>
      <c r="J6045">
        <v>9</v>
      </c>
      <c r="K6045" s="19" t="s">
        <v>282</v>
      </c>
      <c r="L6045" s="19" t="s">
        <v>351</v>
      </c>
      <c r="M6045" s="19" t="s">
        <v>6</v>
      </c>
      <c r="N6045" t="b">
        <v>0</v>
      </c>
      <c r="O6045">
        <v>0</v>
      </c>
      <c r="P6045">
        <v>1</v>
      </c>
      <c r="Q6045">
        <v>0</v>
      </c>
      <c r="R6045">
        <v>0</v>
      </c>
    </row>
    <row r="6046" spans="1:18" x14ac:dyDescent="0.45">
      <c r="A6046" s="19" t="s">
        <v>42</v>
      </c>
      <c r="B6046" s="19" t="s">
        <v>6</v>
      </c>
      <c r="C6046">
        <v>1</v>
      </c>
      <c r="D6046">
        <v>3</v>
      </c>
      <c r="E6046">
        <v>2</v>
      </c>
      <c r="F6046" s="15">
        <v>46272</v>
      </c>
      <c r="G6046" s="19" t="s">
        <v>721</v>
      </c>
      <c r="H6046">
        <v>4</v>
      </c>
      <c r="I6046">
        <v>2026</v>
      </c>
      <c r="J6046">
        <v>9</v>
      </c>
      <c r="K6046" s="19" t="s">
        <v>282</v>
      </c>
      <c r="L6046" s="19" t="s">
        <v>9</v>
      </c>
      <c r="M6046" s="19" t="s">
        <v>8</v>
      </c>
      <c r="N6046" t="b">
        <v>0</v>
      </c>
      <c r="O6046">
        <v>0</v>
      </c>
      <c r="P6046">
        <v>1</v>
      </c>
      <c r="Q6046">
        <v>0</v>
      </c>
      <c r="R6046">
        <v>1</v>
      </c>
    </row>
    <row r="6047" spans="1:18" x14ac:dyDescent="0.45">
      <c r="A6047" s="19" t="s">
        <v>10</v>
      </c>
      <c r="B6047" s="19" t="s">
        <v>6</v>
      </c>
      <c r="C6047">
        <v>2</v>
      </c>
      <c r="D6047">
        <v>3</v>
      </c>
      <c r="E6047">
        <v>2</v>
      </c>
      <c r="F6047" s="15">
        <v>46272</v>
      </c>
      <c r="G6047" s="19" t="s">
        <v>721</v>
      </c>
      <c r="H6047">
        <v>4</v>
      </c>
      <c r="I6047">
        <v>2026</v>
      </c>
      <c r="J6047">
        <v>9</v>
      </c>
      <c r="K6047" s="19" t="s">
        <v>282</v>
      </c>
      <c r="L6047" s="19" t="s">
        <v>42</v>
      </c>
      <c r="M6047" s="19" t="s">
        <v>6</v>
      </c>
      <c r="N6047" t="b">
        <v>0</v>
      </c>
      <c r="O6047">
        <v>0</v>
      </c>
      <c r="P6047">
        <v>1</v>
      </c>
      <c r="Q6047">
        <v>0</v>
      </c>
      <c r="R6047">
        <v>0</v>
      </c>
    </row>
    <row r="6048" spans="1:18" x14ac:dyDescent="0.45">
      <c r="A6048" s="19" t="s">
        <v>10</v>
      </c>
      <c r="B6048" s="19" t="s">
        <v>6</v>
      </c>
      <c r="C6048">
        <v>2</v>
      </c>
      <c r="D6048">
        <v>3</v>
      </c>
      <c r="E6048">
        <v>2</v>
      </c>
      <c r="F6048" s="15">
        <v>46272</v>
      </c>
      <c r="G6048" s="19" t="s">
        <v>721</v>
      </c>
      <c r="H6048">
        <v>4</v>
      </c>
      <c r="I6048">
        <v>2026</v>
      </c>
      <c r="J6048">
        <v>9</v>
      </c>
      <c r="K6048" s="19" t="s">
        <v>282</v>
      </c>
      <c r="L6048" s="19" t="s">
        <v>351</v>
      </c>
      <c r="M6048" s="19" t="s">
        <v>6</v>
      </c>
      <c r="N6048" t="b">
        <v>0</v>
      </c>
      <c r="O6048">
        <v>0</v>
      </c>
      <c r="P6048">
        <v>1</v>
      </c>
      <c r="Q6048">
        <v>0</v>
      </c>
      <c r="R6048">
        <v>0</v>
      </c>
    </row>
    <row r="6049" spans="1:18" x14ac:dyDescent="0.45">
      <c r="A6049" s="19" t="s">
        <v>10</v>
      </c>
      <c r="B6049" s="19" t="s">
        <v>6</v>
      </c>
      <c r="C6049">
        <v>2</v>
      </c>
      <c r="D6049">
        <v>3</v>
      </c>
      <c r="E6049">
        <v>2</v>
      </c>
      <c r="F6049" s="15">
        <v>46272</v>
      </c>
      <c r="G6049" s="19" t="s">
        <v>721</v>
      </c>
      <c r="H6049">
        <v>4</v>
      </c>
      <c r="I6049">
        <v>2026</v>
      </c>
      <c r="J6049">
        <v>9</v>
      </c>
      <c r="K6049" s="19" t="s">
        <v>282</v>
      </c>
      <c r="L6049" s="19" t="s">
        <v>9</v>
      </c>
      <c r="M6049" s="19" t="s">
        <v>8</v>
      </c>
      <c r="N6049" t="b">
        <v>0</v>
      </c>
      <c r="O6049">
        <v>0</v>
      </c>
      <c r="P6049">
        <v>1</v>
      </c>
      <c r="Q6049">
        <v>0</v>
      </c>
      <c r="R6049">
        <v>1</v>
      </c>
    </row>
    <row r="6050" spans="1:18" x14ac:dyDescent="0.45">
      <c r="A6050" s="19" t="s">
        <v>351</v>
      </c>
      <c r="B6050" s="19" t="s">
        <v>6</v>
      </c>
      <c r="C6050">
        <v>3</v>
      </c>
      <c r="D6050">
        <v>3</v>
      </c>
      <c r="E6050">
        <v>2</v>
      </c>
      <c r="F6050" s="15">
        <v>46272</v>
      </c>
      <c r="G6050" s="19" t="s">
        <v>721</v>
      </c>
      <c r="H6050">
        <v>4</v>
      </c>
      <c r="I6050">
        <v>2026</v>
      </c>
      <c r="J6050">
        <v>9</v>
      </c>
      <c r="K6050" s="19" t="s">
        <v>282</v>
      </c>
      <c r="L6050" s="19" t="s">
        <v>42</v>
      </c>
      <c r="M6050" s="19" t="s">
        <v>6</v>
      </c>
      <c r="N6050" t="b">
        <v>0</v>
      </c>
      <c r="O6050">
        <v>0</v>
      </c>
      <c r="P6050">
        <v>1</v>
      </c>
      <c r="Q6050">
        <v>0</v>
      </c>
      <c r="R6050">
        <v>0</v>
      </c>
    </row>
    <row r="6051" spans="1:18" x14ac:dyDescent="0.45">
      <c r="A6051" s="19" t="s">
        <v>351</v>
      </c>
      <c r="B6051" s="19" t="s">
        <v>6</v>
      </c>
      <c r="C6051">
        <v>3</v>
      </c>
      <c r="D6051">
        <v>3</v>
      </c>
      <c r="E6051">
        <v>2</v>
      </c>
      <c r="F6051" s="15">
        <v>46272</v>
      </c>
      <c r="G6051" s="19" t="s">
        <v>721</v>
      </c>
      <c r="H6051">
        <v>4</v>
      </c>
      <c r="I6051">
        <v>2026</v>
      </c>
      <c r="J6051">
        <v>9</v>
      </c>
      <c r="K6051" s="19" t="s">
        <v>282</v>
      </c>
      <c r="L6051" s="19" t="s">
        <v>10</v>
      </c>
      <c r="M6051" s="19" t="s">
        <v>6</v>
      </c>
      <c r="N6051" t="b">
        <v>0</v>
      </c>
      <c r="O6051">
        <v>0</v>
      </c>
      <c r="P6051">
        <v>1</v>
      </c>
      <c r="Q6051">
        <v>0</v>
      </c>
      <c r="R6051">
        <v>0</v>
      </c>
    </row>
    <row r="6052" spans="1:18" x14ac:dyDescent="0.45">
      <c r="A6052" s="19" t="s">
        <v>351</v>
      </c>
      <c r="B6052" s="19" t="s">
        <v>6</v>
      </c>
      <c r="C6052">
        <v>3</v>
      </c>
      <c r="D6052">
        <v>3</v>
      </c>
      <c r="E6052">
        <v>2</v>
      </c>
      <c r="F6052" s="15">
        <v>46272</v>
      </c>
      <c r="G6052" s="19" t="s">
        <v>721</v>
      </c>
      <c r="H6052">
        <v>4</v>
      </c>
      <c r="I6052">
        <v>2026</v>
      </c>
      <c r="J6052">
        <v>9</v>
      </c>
      <c r="K6052" s="19" t="s">
        <v>282</v>
      </c>
      <c r="L6052" s="19" t="s">
        <v>9</v>
      </c>
      <c r="M6052" s="19" t="s">
        <v>8</v>
      </c>
      <c r="N6052" t="b">
        <v>0</v>
      </c>
      <c r="O6052">
        <v>0</v>
      </c>
      <c r="P6052">
        <v>1</v>
      </c>
      <c r="Q6052">
        <v>0</v>
      </c>
      <c r="R6052">
        <v>1</v>
      </c>
    </row>
    <row r="6053" spans="1:18" x14ac:dyDescent="0.45">
      <c r="A6053" s="19" t="s">
        <v>9</v>
      </c>
      <c r="B6053" s="19" t="s">
        <v>8</v>
      </c>
      <c r="C6053">
        <v>4</v>
      </c>
      <c r="D6053">
        <v>3</v>
      </c>
      <c r="E6053">
        <v>2</v>
      </c>
      <c r="F6053" s="15">
        <v>46272</v>
      </c>
      <c r="G6053" s="19" t="s">
        <v>721</v>
      </c>
      <c r="H6053">
        <v>4</v>
      </c>
      <c r="I6053">
        <v>2026</v>
      </c>
      <c r="J6053">
        <v>9</v>
      </c>
      <c r="K6053" s="19" t="s">
        <v>282</v>
      </c>
      <c r="L6053" s="19" t="s">
        <v>42</v>
      </c>
      <c r="M6053" s="19" t="s">
        <v>6</v>
      </c>
      <c r="N6053" t="b">
        <v>0</v>
      </c>
      <c r="O6053">
        <v>1</v>
      </c>
      <c r="P6053">
        <v>0</v>
      </c>
      <c r="Q6053">
        <v>0</v>
      </c>
      <c r="R6053">
        <v>0</v>
      </c>
    </row>
    <row r="6054" spans="1:18" x14ac:dyDescent="0.45">
      <c r="A6054" s="19" t="s">
        <v>9</v>
      </c>
      <c r="B6054" s="19" t="s">
        <v>8</v>
      </c>
      <c r="C6054">
        <v>4</v>
      </c>
      <c r="D6054">
        <v>3</v>
      </c>
      <c r="E6054">
        <v>2</v>
      </c>
      <c r="F6054" s="15">
        <v>46272</v>
      </c>
      <c r="G6054" s="19" t="s">
        <v>721</v>
      </c>
      <c r="H6054">
        <v>4</v>
      </c>
      <c r="I6054">
        <v>2026</v>
      </c>
      <c r="J6054">
        <v>9</v>
      </c>
      <c r="K6054" s="19" t="s">
        <v>282</v>
      </c>
      <c r="L6054" s="19" t="s">
        <v>10</v>
      </c>
      <c r="M6054" s="19" t="s">
        <v>6</v>
      </c>
      <c r="N6054" t="b">
        <v>0</v>
      </c>
      <c r="O6054">
        <v>1</v>
      </c>
      <c r="P6054">
        <v>0</v>
      </c>
      <c r="Q6054">
        <v>0</v>
      </c>
      <c r="R6054">
        <v>0</v>
      </c>
    </row>
    <row r="6055" spans="1:18" x14ac:dyDescent="0.45">
      <c r="A6055" s="19" t="s">
        <v>9</v>
      </c>
      <c r="B6055" s="19" t="s">
        <v>8</v>
      </c>
      <c r="C6055">
        <v>4</v>
      </c>
      <c r="D6055">
        <v>3</v>
      </c>
      <c r="E6055">
        <v>2</v>
      </c>
      <c r="F6055" s="15">
        <v>46272</v>
      </c>
      <c r="G6055" s="19" t="s">
        <v>721</v>
      </c>
      <c r="H6055">
        <v>4</v>
      </c>
      <c r="I6055">
        <v>2026</v>
      </c>
      <c r="J6055">
        <v>9</v>
      </c>
      <c r="K6055" s="19" t="s">
        <v>282</v>
      </c>
      <c r="L6055" s="19" t="s">
        <v>351</v>
      </c>
      <c r="M6055" s="19" t="s">
        <v>6</v>
      </c>
      <c r="N6055" t="b">
        <v>0</v>
      </c>
      <c r="O6055">
        <v>1</v>
      </c>
      <c r="P6055">
        <v>0</v>
      </c>
      <c r="Q6055">
        <v>0</v>
      </c>
      <c r="R6055">
        <v>0</v>
      </c>
    </row>
    <row r="6056" spans="1:18" x14ac:dyDescent="0.45">
      <c r="A6056" s="19" t="s">
        <v>609</v>
      </c>
      <c r="B6056" s="19" t="s">
        <v>6</v>
      </c>
      <c r="C6056">
        <v>1</v>
      </c>
      <c r="D6056">
        <v>4</v>
      </c>
      <c r="E6056">
        <v>2</v>
      </c>
      <c r="F6056" s="15">
        <v>46272</v>
      </c>
      <c r="G6056" s="19" t="s">
        <v>722</v>
      </c>
      <c r="H6056">
        <v>4</v>
      </c>
      <c r="I6056">
        <v>2026</v>
      </c>
      <c r="J6056">
        <v>9</v>
      </c>
      <c r="K6056" s="19" t="s">
        <v>282</v>
      </c>
      <c r="L6056" s="19" t="s">
        <v>15</v>
      </c>
      <c r="M6056" s="19" t="s">
        <v>6</v>
      </c>
      <c r="N6056" t="b">
        <v>0</v>
      </c>
      <c r="O6056">
        <v>0</v>
      </c>
      <c r="P6056">
        <v>1</v>
      </c>
      <c r="Q6056">
        <v>0</v>
      </c>
      <c r="R6056">
        <v>0</v>
      </c>
    </row>
    <row r="6057" spans="1:18" x14ac:dyDescent="0.45">
      <c r="A6057" s="19" t="s">
        <v>609</v>
      </c>
      <c r="B6057" s="19" t="s">
        <v>6</v>
      </c>
      <c r="C6057">
        <v>1</v>
      </c>
      <c r="D6057">
        <v>4</v>
      </c>
      <c r="E6057">
        <v>2</v>
      </c>
      <c r="F6057" s="15">
        <v>46272</v>
      </c>
      <c r="G6057" s="19" t="s">
        <v>722</v>
      </c>
      <c r="H6057">
        <v>4</v>
      </c>
      <c r="I6057">
        <v>2026</v>
      </c>
      <c r="J6057">
        <v>9</v>
      </c>
      <c r="K6057" s="19" t="s">
        <v>282</v>
      </c>
      <c r="L6057" s="19" t="s">
        <v>7</v>
      </c>
      <c r="M6057" s="19" t="s">
        <v>8</v>
      </c>
      <c r="N6057" t="b">
        <v>0</v>
      </c>
      <c r="O6057">
        <v>0</v>
      </c>
      <c r="P6057">
        <v>1</v>
      </c>
      <c r="Q6057">
        <v>0</v>
      </c>
      <c r="R6057">
        <v>1</v>
      </c>
    </row>
    <row r="6058" spans="1:18" x14ac:dyDescent="0.45">
      <c r="A6058" s="19" t="s">
        <v>609</v>
      </c>
      <c r="B6058" s="19" t="s">
        <v>6</v>
      </c>
      <c r="C6058">
        <v>1</v>
      </c>
      <c r="D6058">
        <v>4</v>
      </c>
      <c r="E6058">
        <v>2</v>
      </c>
      <c r="F6058" s="15">
        <v>46272</v>
      </c>
      <c r="G6058" s="19" t="s">
        <v>722</v>
      </c>
      <c r="H6058">
        <v>4</v>
      </c>
      <c r="I6058">
        <v>2026</v>
      </c>
      <c r="J6058">
        <v>9</v>
      </c>
      <c r="K6058" s="19" t="s">
        <v>282</v>
      </c>
      <c r="L6058" s="19" t="s">
        <v>325</v>
      </c>
      <c r="M6058" s="19" t="s">
        <v>6</v>
      </c>
      <c r="N6058" t="b">
        <v>0</v>
      </c>
      <c r="O6058">
        <v>0</v>
      </c>
      <c r="P6058">
        <v>1</v>
      </c>
      <c r="Q6058">
        <v>0</v>
      </c>
      <c r="R6058">
        <v>0</v>
      </c>
    </row>
    <row r="6059" spans="1:18" x14ac:dyDescent="0.45">
      <c r="A6059" s="19" t="s">
        <v>15</v>
      </c>
      <c r="B6059" s="19" t="s">
        <v>6</v>
      </c>
      <c r="C6059">
        <v>2</v>
      </c>
      <c r="D6059">
        <v>4</v>
      </c>
      <c r="E6059">
        <v>2</v>
      </c>
      <c r="F6059" s="15">
        <v>46272</v>
      </c>
      <c r="G6059" s="19" t="s">
        <v>722</v>
      </c>
      <c r="H6059">
        <v>4</v>
      </c>
      <c r="I6059">
        <v>2026</v>
      </c>
      <c r="J6059">
        <v>9</v>
      </c>
      <c r="K6059" s="19" t="s">
        <v>282</v>
      </c>
      <c r="L6059" s="19" t="s">
        <v>609</v>
      </c>
      <c r="M6059" s="19" t="s">
        <v>6</v>
      </c>
      <c r="N6059" t="b">
        <v>0</v>
      </c>
      <c r="O6059">
        <v>0</v>
      </c>
      <c r="P6059">
        <v>1</v>
      </c>
      <c r="Q6059">
        <v>0</v>
      </c>
      <c r="R6059">
        <v>0</v>
      </c>
    </row>
    <row r="6060" spans="1:18" x14ac:dyDescent="0.45">
      <c r="A6060" s="19" t="s">
        <v>15</v>
      </c>
      <c r="B6060" s="19" t="s">
        <v>6</v>
      </c>
      <c r="C6060">
        <v>2</v>
      </c>
      <c r="D6060">
        <v>4</v>
      </c>
      <c r="E6060">
        <v>2</v>
      </c>
      <c r="F6060" s="15">
        <v>46272</v>
      </c>
      <c r="G6060" s="19" t="s">
        <v>722</v>
      </c>
      <c r="H6060">
        <v>4</v>
      </c>
      <c r="I6060">
        <v>2026</v>
      </c>
      <c r="J6060">
        <v>9</v>
      </c>
      <c r="K6060" s="19" t="s">
        <v>282</v>
      </c>
      <c r="L6060" s="19" t="s">
        <v>7</v>
      </c>
      <c r="M6060" s="19" t="s">
        <v>8</v>
      </c>
      <c r="N6060" t="b">
        <v>0</v>
      </c>
      <c r="O6060">
        <v>0</v>
      </c>
      <c r="P6060">
        <v>1</v>
      </c>
      <c r="Q6060">
        <v>0</v>
      </c>
      <c r="R6060">
        <v>1</v>
      </c>
    </row>
    <row r="6061" spans="1:18" x14ac:dyDescent="0.45">
      <c r="A6061" s="19" t="s">
        <v>15</v>
      </c>
      <c r="B6061" s="19" t="s">
        <v>6</v>
      </c>
      <c r="C6061">
        <v>2</v>
      </c>
      <c r="D6061">
        <v>4</v>
      </c>
      <c r="E6061">
        <v>2</v>
      </c>
      <c r="F6061" s="15">
        <v>46272</v>
      </c>
      <c r="G6061" s="19" t="s">
        <v>722</v>
      </c>
      <c r="H6061">
        <v>4</v>
      </c>
      <c r="I6061">
        <v>2026</v>
      </c>
      <c r="J6061">
        <v>9</v>
      </c>
      <c r="K6061" s="19" t="s">
        <v>282</v>
      </c>
      <c r="L6061" s="19" t="s">
        <v>325</v>
      </c>
      <c r="M6061" s="19" t="s">
        <v>6</v>
      </c>
      <c r="N6061" t="b">
        <v>0</v>
      </c>
      <c r="O6061">
        <v>0</v>
      </c>
      <c r="P6061">
        <v>1</v>
      </c>
      <c r="Q6061">
        <v>0</v>
      </c>
      <c r="R6061">
        <v>0</v>
      </c>
    </row>
    <row r="6062" spans="1:18" x14ac:dyDescent="0.45">
      <c r="A6062" s="19" t="s">
        <v>7</v>
      </c>
      <c r="B6062" s="19" t="s">
        <v>8</v>
      </c>
      <c r="C6062">
        <v>3</v>
      </c>
      <c r="D6062">
        <v>4</v>
      </c>
      <c r="E6062">
        <v>2</v>
      </c>
      <c r="F6062" s="15">
        <v>46272</v>
      </c>
      <c r="G6062" s="19" t="s">
        <v>722</v>
      </c>
      <c r="H6062">
        <v>4</v>
      </c>
      <c r="I6062">
        <v>2026</v>
      </c>
      <c r="J6062">
        <v>9</v>
      </c>
      <c r="K6062" s="19" t="s">
        <v>282</v>
      </c>
      <c r="L6062" s="19" t="s">
        <v>609</v>
      </c>
      <c r="M6062" s="19" t="s">
        <v>6</v>
      </c>
      <c r="N6062" t="b">
        <v>0</v>
      </c>
      <c r="O6062">
        <v>1</v>
      </c>
      <c r="P6062">
        <v>0</v>
      </c>
      <c r="Q6062">
        <v>0</v>
      </c>
      <c r="R6062">
        <v>0</v>
      </c>
    </row>
    <row r="6063" spans="1:18" x14ac:dyDescent="0.45">
      <c r="A6063" s="19" t="s">
        <v>7</v>
      </c>
      <c r="B6063" s="19" t="s">
        <v>8</v>
      </c>
      <c r="C6063">
        <v>3</v>
      </c>
      <c r="D6063">
        <v>4</v>
      </c>
      <c r="E6063">
        <v>2</v>
      </c>
      <c r="F6063" s="15">
        <v>46272</v>
      </c>
      <c r="G6063" s="19" t="s">
        <v>722</v>
      </c>
      <c r="H6063">
        <v>4</v>
      </c>
      <c r="I6063">
        <v>2026</v>
      </c>
      <c r="J6063">
        <v>9</v>
      </c>
      <c r="K6063" s="19" t="s">
        <v>282</v>
      </c>
      <c r="L6063" s="19" t="s">
        <v>15</v>
      </c>
      <c r="M6063" s="19" t="s">
        <v>6</v>
      </c>
      <c r="N6063" t="b">
        <v>0</v>
      </c>
      <c r="O6063">
        <v>1</v>
      </c>
      <c r="P6063">
        <v>0</v>
      </c>
      <c r="Q6063">
        <v>0</v>
      </c>
      <c r="R6063">
        <v>0</v>
      </c>
    </row>
    <row r="6064" spans="1:18" x14ac:dyDescent="0.45">
      <c r="A6064" s="19" t="s">
        <v>7</v>
      </c>
      <c r="B6064" s="19" t="s">
        <v>8</v>
      </c>
      <c r="C6064">
        <v>3</v>
      </c>
      <c r="D6064">
        <v>4</v>
      </c>
      <c r="E6064">
        <v>2</v>
      </c>
      <c r="F6064" s="15">
        <v>46272</v>
      </c>
      <c r="G6064" s="19" t="s">
        <v>722</v>
      </c>
      <c r="H6064">
        <v>4</v>
      </c>
      <c r="I6064">
        <v>2026</v>
      </c>
      <c r="J6064">
        <v>9</v>
      </c>
      <c r="K6064" s="19" t="s">
        <v>282</v>
      </c>
      <c r="L6064" s="19" t="s">
        <v>325</v>
      </c>
      <c r="M6064" s="19" t="s">
        <v>6</v>
      </c>
      <c r="N6064" t="b">
        <v>0</v>
      </c>
      <c r="O6064">
        <v>1</v>
      </c>
      <c r="P6064">
        <v>0</v>
      </c>
      <c r="Q6064">
        <v>0</v>
      </c>
      <c r="R6064">
        <v>0</v>
      </c>
    </row>
    <row r="6065" spans="1:18" x14ac:dyDescent="0.45">
      <c r="A6065" s="19" t="s">
        <v>325</v>
      </c>
      <c r="B6065" s="19" t="s">
        <v>6</v>
      </c>
      <c r="C6065">
        <v>4</v>
      </c>
      <c r="D6065">
        <v>4</v>
      </c>
      <c r="E6065">
        <v>2</v>
      </c>
      <c r="F6065" s="15">
        <v>46272</v>
      </c>
      <c r="G6065" s="19" t="s">
        <v>722</v>
      </c>
      <c r="H6065">
        <v>4</v>
      </c>
      <c r="I6065">
        <v>2026</v>
      </c>
      <c r="J6065">
        <v>9</v>
      </c>
      <c r="K6065" s="19" t="s">
        <v>282</v>
      </c>
      <c r="L6065" s="19" t="s">
        <v>609</v>
      </c>
      <c r="M6065" s="19" t="s">
        <v>6</v>
      </c>
      <c r="N6065" t="b">
        <v>0</v>
      </c>
      <c r="O6065">
        <v>0</v>
      </c>
      <c r="P6065">
        <v>1</v>
      </c>
      <c r="Q6065">
        <v>0</v>
      </c>
      <c r="R6065">
        <v>0</v>
      </c>
    </row>
    <row r="6066" spans="1:18" x14ac:dyDescent="0.45">
      <c r="A6066" s="19" t="s">
        <v>325</v>
      </c>
      <c r="B6066" s="19" t="s">
        <v>6</v>
      </c>
      <c r="C6066">
        <v>4</v>
      </c>
      <c r="D6066">
        <v>4</v>
      </c>
      <c r="E6066">
        <v>2</v>
      </c>
      <c r="F6066" s="15">
        <v>46272</v>
      </c>
      <c r="G6066" s="19" t="s">
        <v>722</v>
      </c>
      <c r="H6066">
        <v>4</v>
      </c>
      <c r="I6066">
        <v>2026</v>
      </c>
      <c r="J6066">
        <v>9</v>
      </c>
      <c r="K6066" s="19" t="s">
        <v>282</v>
      </c>
      <c r="L6066" s="19" t="s">
        <v>15</v>
      </c>
      <c r="M6066" s="19" t="s">
        <v>6</v>
      </c>
      <c r="N6066" t="b">
        <v>0</v>
      </c>
      <c r="O6066">
        <v>0</v>
      </c>
      <c r="P6066">
        <v>1</v>
      </c>
      <c r="Q6066">
        <v>0</v>
      </c>
      <c r="R6066">
        <v>0</v>
      </c>
    </row>
    <row r="6067" spans="1:18" x14ac:dyDescent="0.45">
      <c r="A6067" s="19" t="s">
        <v>325</v>
      </c>
      <c r="B6067" s="19" t="s">
        <v>6</v>
      </c>
      <c r="C6067">
        <v>4</v>
      </c>
      <c r="D6067">
        <v>4</v>
      </c>
      <c r="E6067">
        <v>2</v>
      </c>
      <c r="F6067" s="15">
        <v>46272</v>
      </c>
      <c r="G6067" s="19" t="s">
        <v>722</v>
      </c>
      <c r="H6067">
        <v>4</v>
      </c>
      <c r="I6067">
        <v>2026</v>
      </c>
      <c r="J6067">
        <v>9</v>
      </c>
      <c r="K6067" s="19" t="s">
        <v>282</v>
      </c>
      <c r="L6067" s="19" t="s">
        <v>7</v>
      </c>
      <c r="M6067" s="19" t="s">
        <v>8</v>
      </c>
      <c r="N6067" t="b">
        <v>0</v>
      </c>
      <c r="O6067">
        <v>0</v>
      </c>
      <c r="P6067">
        <v>1</v>
      </c>
      <c r="Q6067">
        <v>0</v>
      </c>
      <c r="R6067">
        <v>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2026-09-08T13:17:31Z</dcterms:modified>
</cp:coreProperties>
</file>