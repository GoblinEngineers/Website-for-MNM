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0AC6B298-0F95-4230-B735-5C127C9CE630}" xr6:coauthVersionLast="47" xr6:coauthVersionMax="47" xr10:uidLastSave="{00000000-0000-0000-0000-000000000000}"/>
  <bookViews>
    <workbookView xWindow="-120" yWindow="-120" windowWidth="38640" windowHeight="21120" activeTab="7"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Matchups!$A$1:$R$5887</definedName>
    <definedName name="Slicer_Month">#N/A</definedName>
    <definedName name="Slicer_Year">#N/A</definedName>
  </definedNames>
  <calcPr calcId="191029"/>
  <pivotCaches>
    <pivotCache cacheId="0" r:id="rId11"/>
    <pivotCache cacheId="1"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55" i="1" l="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3" i="2"/>
  <c r="H13" i="2"/>
  <c r="I13" i="2"/>
  <c r="K13" i="2"/>
  <c r="L13" i="2"/>
  <c r="M13" i="2"/>
  <c r="G97" i="2"/>
  <c r="H97" i="2"/>
  <c r="I97" i="2"/>
  <c r="K97" i="2"/>
  <c r="L97" i="2"/>
  <c r="M97" i="2"/>
  <c r="G102" i="2"/>
  <c r="H102" i="2"/>
  <c r="I102" i="2"/>
  <c r="K102" i="2"/>
  <c r="L102" i="2"/>
  <c r="M102" i="2"/>
  <c r="G101" i="2"/>
  <c r="H101" i="2"/>
  <c r="I101" i="2"/>
  <c r="K101" i="2"/>
  <c r="L101" i="2"/>
  <c r="M101" i="2"/>
  <c r="G100" i="2"/>
  <c r="H100" i="2"/>
  <c r="I100" i="2"/>
  <c r="K100" i="2"/>
  <c r="L100" i="2"/>
  <c r="M100" i="2"/>
  <c r="G98" i="2"/>
  <c r="H98" i="2"/>
  <c r="I98" i="2"/>
  <c r="K98" i="2"/>
  <c r="L98" i="2"/>
  <c r="M98" i="2"/>
  <c r="G66" i="2"/>
  <c r="H66" i="2"/>
  <c r="I66" i="2"/>
  <c r="K66" i="2"/>
  <c r="L66" i="2"/>
  <c r="M66" i="2"/>
  <c r="G34" i="2"/>
  <c r="H34" i="2"/>
  <c r="I34" i="2"/>
  <c r="K34" i="2"/>
  <c r="L34" i="2"/>
  <c r="M3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6" i="2"/>
  <c r="H96" i="2"/>
  <c r="I96" i="2"/>
  <c r="K96" i="2"/>
  <c r="L96" i="2"/>
  <c r="M96" i="2"/>
  <c r="G56" i="2"/>
  <c r="H56" i="2"/>
  <c r="I56" i="2"/>
  <c r="K56" i="2"/>
  <c r="L56" i="2"/>
  <c r="M56" i="2"/>
  <c r="G20" i="2"/>
  <c r="H20" i="2"/>
  <c r="I20" i="2"/>
  <c r="K20" i="2"/>
  <c r="L20" i="2"/>
  <c r="M20" i="2"/>
  <c r="G94" i="2"/>
  <c r="H94" i="2"/>
  <c r="I94" i="2"/>
  <c r="K94" i="2"/>
  <c r="L94" i="2"/>
  <c r="M94" i="2"/>
  <c r="G90" i="2"/>
  <c r="H90" i="2"/>
  <c r="I90" i="2"/>
  <c r="K90" i="2"/>
  <c r="L90" i="2"/>
  <c r="M90"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6" i="2"/>
  <c r="H16" i="2"/>
  <c r="I16" i="2"/>
  <c r="K16" i="2"/>
  <c r="L16" i="2"/>
  <c r="M16"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G54" i="14" s="1"/>
  <c r="F55" i="14"/>
  <c r="F56" i="14"/>
  <c r="G56" i="14" s="1"/>
  <c r="H54" i="14"/>
  <c r="H56" i="14"/>
  <c r="G91" i="2"/>
  <c r="H91" i="2"/>
  <c r="I91" i="2"/>
  <c r="K91" i="2"/>
  <c r="L91" i="2"/>
  <c r="M91"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3" i="2"/>
  <c r="H93" i="2"/>
  <c r="I93" i="2"/>
  <c r="K93" i="2"/>
  <c r="L93" i="2"/>
  <c r="M93"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8" i="2"/>
  <c r="L8" i="2"/>
  <c r="L65" i="2"/>
  <c r="G62" i="2"/>
  <c r="M54" i="2"/>
  <c r="M68" i="2"/>
  <c r="M71" i="2"/>
  <c r="I67" i="2"/>
  <c r="M42" i="2"/>
  <c r="K69" i="2"/>
  <c r="M5" i="2"/>
  <c r="G42" i="2"/>
  <c r="K62" i="2"/>
  <c r="K38" i="2"/>
  <c r="M79" i="2"/>
  <c r="H70" i="2"/>
  <c r="I31" i="2"/>
  <c r="I6" i="2"/>
  <c r="H14" i="2"/>
  <c r="M77" i="2"/>
  <c r="H6" i="2"/>
  <c r="M7" i="2"/>
  <c r="M45" i="2"/>
  <c r="M6" i="2"/>
  <c r="H58" i="2"/>
  <c r="G75" i="2"/>
  <c r="L54" i="2"/>
  <c r="K65" i="2"/>
  <c r="G72" i="2"/>
  <c r="K79" i="2"/>
  <c r="G14" i="2"/>
  <c r="L83" i="2"/>
  <c r="K23" i="2"/>
  <c r="H60" i="2"/>
  <c r="I18" i="2"/>
  <c r="M103"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2" i="2"/>
  <c r="I7" i="2"/>
  <c r="I65" i="2"/>
  <c r="L37" i="2"/>
  <c r="M37" i="2"/>
  <c r="M70" i="2"/>
  <c r="G68" i="2"/>
  <c r="G60" i="2"/>
  <c r="L7" i="2"/>
  <c r="L63" i="2"/>
  <c r="M63" i="2"/>
  <c r="H15" i="2"/>
  <c r="H31" i="2"/>
  <c r="M40" i="2"/>
  <c r="M62" i="2"/>
  <c r="G67" i="2"/>
  <c r="H64" i="2"/>
  <c r="L71" i="2"/>
  <c r="H55" i="2"/>
  <c r="L50" i="2"/>
  <c r="H74" i="2"/>
  <c r="K63" i="2"/>
  <c r="G73" i="2"/>
  <c r="K67" i="2"/>
  <c r="G74" i="2"/>
  <c r="K18" i="2"/>
  <c r="I64" i="2"/>
  <c r="L31" i="2"/>
  <c r="H103" i="2"/>
  <c r="H40" i="2"/>
  <c r="L69" i="2"/>
  <c r="M65" i="2"/>
  <c r="H38" i="2"/>
  <c r="G63" i="2"/>
  <c r="H7" i="2"/>
  <c r="G65" i="2"/>
  <c r="K77" i="2"/>
  <c r="I76" i="2"/>
  <c r="I59" i="2"/>
  <c r="M31" i="2"/>
  <c r="H62" i="2"/>
  <c r="M72" i="2"/>
  <c r="I92" i="2"/>
  <c r="I57" i="2"/>
  <c r="H79" i="2"/>
  <c r="G69" i="2"/>
  <c r="I45" i="2"/>
  <c r="H67" i="2"/>
  <c r="I60" i="2"/>
  <c r="M67" i="2"/>
  <c r="H37" i="2"/>
  <c r="L15" i="2"/>
  <c r="L53" i="2"/>
  <c r="G45" i="2"/>
  <c r="L22" i="2"/>
  <c r="I75" i="2"/>
  <c r="G53" i="2"/>
  <c r="G76" i="2"/>
  <c r="L6" i="2"/>
  <c r="L48" i="2"/>
  <c r="H5" i="2"/>
  <c r="I79" i="2"/>
  <c r="L14" i="2"/>
  <c r="G58" i="2"/>
  <c r="G92" i="2"/>
  <c r="M18" i="2"/>
  <c r="K92" i="2"/>
  <c r="I42" i="2"/>
  <c r="M74" i="2"/>
  <c r="G6" i="2"/>
  <c r="K73" i="2"/>
  <c r="I69" i="2"/>
  <c r="M50" i="2"/>
  <c r="G22" i="2"/>
  <c r="I77" i="2"/>
  <c r="K71" i="2"/>
  <c r="L78" i="2"/>
  <c r="M55" i="2"/>
  <c r="H50" i="2"/>
  <c r="H42" i="2"/>
  <c r="G71" i="2"/>
  <c r="I70" i="2"/>
  <c r="M8" i="2"/>
  <c r="I83" i="2"/>
  <c r="K6" i="2"/>
  <c r="G70" i="2"/>
  <c r="I52" i="2"/>
  <c r="G7" i="2"/>
  <c r="H53" i="2"/>
  <c r="H73" i="2"/>
  <c r="L92" i="2"/>
  <c r="M78" i="2"/>
  <c r="M23" i="2"/>
  <c r="L62" i="2"/>
  <c r="L68" i="2"/>
  <c r="K55" i="2"/>
  <c r="M83" i="2"/>
  <c r="L64" i="2"/>
  <c r="G8" i="2"/>
  <c r="M38" i="2"/>
  <c r="L72" i="2"/>
  <c r="L67" i="2"/>
  <c r="I62" i="2"/>
  <c r="K52" i="2"/>
  <c r="G103" i="2"/>
  <c r="G83" i="2"/>
  <c r="G15" i="2"/>
  <c r="M22" i="2"/>
  <c r="M61" i="2"/>
  <c r="G57" i="2"/>
  <c r="L103" i="2"/>
  <c r="K61" i="2"/>
  <c r="G54" i="2"/>
  <c r="L59" i="2"/>
  <c r="K40" i="2"/>
  <c r="L57" i="2"/>
  <c r="I8" i="2"/>
  <c r="G78" i="2"/>
  <c r="K74" i="2"/>
  <c r="K54" i="2"/>
  <c r="G40" i="2"/>
  <c r="L52" i="2"/>
  <c r="H75" i="2"/>
  <c r="M60" i="2"/>
  <c r="I55" i="2"/>
  <c r="G18" i="2"/>
  <c r="I68" i="2"/>
  <c r="L75" i="2"/>
  <c r="K8" i="2"/>
  <c r="K103" i="2"/>
  <c r="H22" i="2"/>
  <c r="M48" i="2"/>
  <c r="M69" i="2"/>
  <c r="G23" i="2"/>
  <c r="K14" i="2"/>
  <c r="K22" i="2"/>
  <c r="H54" i="2"/>
  <c r="M92" i="2"/>
  <c r="L40" i="2"/>
  <c r="I53" i="2"/>
  <c r="I48" i="2"/>
  <c r="K57" i="2"/>
  <c r="G55" i="2"/>
  <c r="M14" i="2"/>
  <c r="L45" i="2"/>
  <c r="H65" i="2"/>
  <c r="I103" i="2"/>
  <c r="G79" i="2"/>
  <c r="I74" i="2"/>
  <c r="L73" i="2"/>
  <c r="K50" i="2"/>
  <c r="H71" i="2"/>
  <c r="L61" i="2"/>
  <c r="G5" i="2"/>
  <c r="K5" i="2"/>
  <c r="M57" i="2"/>
  <c r="G31" i="2"/>
  <c r="L70" i="2"/>
  <c r="G64" i="2"/>
  <c r="G37" i="2"/>
  <c r="M64" i="2"/>
  <c r="K45" i="2"/>
  <c r="M59" i="2"/>
  <c r="K37" i="2"/>
  <c r="I40" i="2"/>
  <c r="L38" i="2"/>
  <c r="H8" i="2"/>
  <c r="H63" i="2"/>
  <c r="I23" i="2"/>
  <c r="H18" i="2"/>
  <c r="M58" i="2"/>
  <c r="I22" i="2"/>
  <c r="K75" i="2"/>
  <c r="K15" i="2"/>
  <c r="K70" i="2"/>
  <c r="L5" i="2"/>
  <c r="H45" i="2"/>
  <c r="K83" i="2"/>
  <c r="M52" i="2"/>
  <c r="G59" i="2"/>
  <c r="H61" i="2"/>
  <c r="H69" i="2"/>
  <c r="K60" i="2"/>
  <c r="H83" i="2"/>
  <c r="I14" i="2"/>
  <c r="H78" i="2"/>
  <c r="L42" i="2"/>
  <c r="I58" i="2"/>
  <c r="H23" i="2"/>
  <c r="I15" i="2"/>
  <c r="I72" i="2"/>
  <c r="G38" i="2"/>
  <c r="K42" i="2"/>
  <c r="K58" i="2"/>
  <c r="K59" i="2"/>
  <c r="M75" i="2"/>
  <c r="K72" i="2"/>
  <c r="K48" i="2"/>
  <c r="K53" i="2"/>
  <c r="K31" i="2"/>
  <c r="M53" i="2"/>
  <c r="K68" i="2"/>
  <c r="G52" i="2"/>
  <c r="K76" i="2"/>
  <c r="I38" i="2"/>
  <c r="J104" i="2" l="1"/>
  <c r="N104" i="2"/>
  <c r="O104" i="2"/>
  <c r="J13" i="2"/>
  <c r="N13" i="2"/>
  <c r="O13" i="2" s="1"/>
  <c r="J97" i="2"/>
  <c r="N97" i="2"/>
  <c r="O97" i="2" s="1"/>
  <c r="J102" i="2"/>
  <c r="N102" i="2"/>
  <c r="O102" i="2" s="1"/>
  <c r="J101" i="2"/>
  <c r="N101" i="2"/>
  <c r="O101" i="2" s="1"/>
  <c r="J100" i="2"/>
  <c r="N100" i="2"/>
  <c r="O100" i="2" s="1"/>
  <c r="J98" i="2"/>
  <c r="N98" i="2"/>
  <c r="O98" i="2" s="1"/>
  <c r="J66" i="2"/>
  <c r="N66" i="2"/>
  <c r="O66" i="2" s="1"/>
  <c r="H55" i="14"/>
  <c r="J34" i="2"/>
  <c r="N34" i="2"/>
  <c r="O34" i="2" s="1"/>
  <c r="J96" i="2"/>
  <c r="N96" i="2"/>
  <c r="O96" i="2" s="1"/>
  <c r="J56" i="2"/>
  <c r="N56" i="2"/>
  <c r="O56" i="2" s="1"/>
  <c r="J20" i="2"/>
  <c r="N20" i="2"/>
  <c r="O20" i="2" s="1"/>
  <c r="J94" i="2"/>
  <c r="N94" i="2"/>
  <c r="O94" i="2" s="1"/>
  <c r="J90" i="2"/>
  <c r="N90" i="2"/>
  <c r="O90" i="2" s="1"/>
  <c r="G55" i="14"/>
  <c r="J80" i="2"/>
  <c r="F80" i="2" s="1"/>
  <c r="N80" i="2"/>
  <c r="O80" i="2" s="1"/>
  <c r="J51" i="2"/>
  <c r="F51" i="2" s="1"/>
  <c r="N51" i="2"/>
  <c r="J85" i="2"/>
  <c r="F85" i="2" s="1"/>
  <c r="N85" i="2"/>
  <c r="J84" i="2"/>
  <c r="F84" i="2" s="1"/>
  <c r="N84" i="2"/>
  <c r="O84" i="2" s="1"/>
  <c r="J16" i="2"/>
  <c r="F16" i="2" s="1"/>
  <c r="N16" i="2"/>
  <c r="H53" i="14"/>
  <c r="J91" i="2"/>
  <c r="F91" i="2" s="1"/>
  <c r="N91" i="2"/>
  <c r="J89" i="2"/>
  <c r="N89" i="2"/>
  <c r="O89" i="2" s="1"/>
  <c r="J88" i="2"/>
  <c r="N88" i="2"/>
  <c r="J87" i="2"/>
  <c r="N87" i="2"/>
  <c r="J86" i="2"/>
  <c r="N86" i="2"/>
  <c r="J49" i="2"/>
  <c r="N49" i="2"/>
  <c r="O49" i="2" s="1"/>
  <c r="J47" i="2"/>
  <c r="N47" i="2"/>
  <c r="O47" i="2" s="1"/>
  <c r="J93" i="2"/>
  <c r="N93" i="2"/>
  <c r="J81" i="2"/>
  <c r="N81" i="2"/>
  <c r="O81" i="2" s="1"/>
  <c r="N92" i="2"/>
  <c r="O92" i="2" s="1"/>
  <c r="J92" i="2"/>
  <c r="F92" i="2" s="1"/>
  <c r="H52" i="14"/>
  <c r="N31" i="2"/>
  <c r="O31" i="2" s="1"/>
  <c r="J31" i="2"/>
  <c r="F31" i="2" s="1"/>
  <c r="N8" i="2"/>
  <c r="O8" i="2" s="1"/>
  <c r="J8" i="2"/>
  <c r="F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22" i="2"/>
  <c r="O22" i="2" s="1"/>
  <c r="J22" i="2"/>
  <c r="F22" i="2" s="1"/>
  <c r="N62" i="2"/>
  <c r="O62" i="2" s="1"/>
  <c r="J62" i="2"/>
  <c r="F62" i="2" s="1"/>
  <c r="N61" i="2"/>
  <c r="O61" i="2" s="1"/>
  <c r="J61" i="2"/>
  <c r="F61" i="2" s="1"/>
  <c r="N60" i="2"/>
  <c r="O60" i="2" s="1"/>
  <c r="J60" i="2"/>
  <c r="F60" i="2" s="1"/>
  <c r="N45" i="2"/>
  <c r="O45" i="2" s="1"/>
  <c r="J45" i="2"/>
  <c r="F45" i="2" s="1"/>
  <c r="N59" i="2"/>
  <c r="O59" i="2" s="1"/>
  <c r="J59" i="2"/>
  <c r="F59" i="2" s="1"/>
  <c r="N58" i="2"/>
  <c r="O58" i="2" s="1"/>
  <c r="J58" i="2"/>
  <c r="F58" i="2" s="1"/>
  <c r="N57" i="2"/>
  <c r="O57" i="2" s="1"/>
  <c r="J57" i="2"/>
  <c r="F57" i="2" s="1"/>
  <c r="N103" i="2"/>
  <c r="O103" i="2" s="1"/>
  <c r="J103" i="2"/>
  <c r="F103"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18" i="2"/>
  <c r="O18" i="2" s="1"/>
  <c r="J18" i="2"/>
  <c r="F18" i="2" s="1"/>
  <c r="N42" i="2"/>
  <c r="O42" i="2" s="1"/>
  <c r="J42" i="2"/>
  <c r="F42" i="2" s="1"/>
  <c r="N48" i="2"/>
  <c r="O48" i="2" s="1"/>
  <c r="J48" i="2"/>
  <c r="F48" i="2" s="1"/>
  <c r="H51" i="14"/>
  <c r="N38" i="2"/>
  <c r="O38" i="2" s="1"/>
  <c r="J38" i="2"/>
  <c r="F38" i="2" s="1"/>
  <c r="N40" i="2"/>
  <c r="O40" i="2" s="1"/>
  <c r="J40" i="2"/>
  <c r="F40" i="2" s="1"/>
  <c r="H50" i="14"/>
  <c r="H49" i="14"/>
  <c r="H46" i="14"/>
  <c r="N14" i="2"/>
  <c r="O14" i="2" s="1"/>
  <c r="J14" i="2"/>
  <c r="F14" i="2" s="1"/>
  <c r="N37" i="2"/>
  <c r="O37" i="2" s="1"/>
  <c r="J37" i="2"/>
  <c r="F37" i="2" s="1"/>
  <c r="H48" i="14"/>
  <c r="N23" i="2"/>
  <c r="O23" i="2" s="1"/>
  <c r="J23" i="2"/>
  <c r="F23" i="2" s="1"/>
  <c r="N7" i="2"/>
  <c r="O7" i="2" s="1"/>
  <c r="J7" i="2"/>
  <c r="F7" i="2" s="1"/>
  <c r="N83" i="2"/>
  <c r="O83" i="2" s="1"/>
  <c r="J83" i="2"/>
  <c r="F83"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3" i="2"/>
  <c r="L46" i="2"/>
  <c r="K44" i="2"/>
  <c r="I25" i="2"/>
  <c r="C6" i="5"/>
  <c r="H33" i="2"/>
  <c r="G17" i="2"/>
  <c r="M9" i="2"/>
  <c r="M10" i="2"/>
  <c r="M32" i="2"/>
  <c r="I11" i="2"/>
  <c r="G9" i="2"/>
  <c r="H25" i="2"/>
  <c r="K24" i="2"/>
  <c r="G82" i="2"/>
  <c r="M99" i="2"/>
  <c r="L11" i="2"/>
  <c r="M33" i="2"/>
  <c r="L44" i="2"/>
  <c r="L95" i="2"/>
  <c r="L35" i="2"/>
  <c r="H26" i="2"/>
  <c r="G44" i="2"/>
  <c r="I12" i="2"/>
  <c r="H44" i="2"/>
  <c r="I44" i="2"/>
  <c r="G99" i="2"/>
  <c r="M27" i="2"/>
  <c r="I29" i="2"/>
  <c r="L21" i="2"/>
  <c r="K21" i="2"/>
  <c r="C9" i="5"/>
  <c r="K32" i="2"/>
  <c r="H46" i="2"/>
  <c r="I24" i="2"/>
  <c r="G35" i="2"/>
  <c r="H24" i="2"/>
  <c r="H12" i="2"/>
  <c r="K26" i="2"/>
  <c r="L26" i="2"/>
  <c r="H21" i="2"/>
  <c r="K29" i="2"/>
  <c r="G36" i="2"/>
  <c r="I19" i="2"/>
  <c r="H35" i="2"/>
  <c r="M82" i="2"/>
  <c r="L24" i="2"/>
  <c r="L9" i="2"/>
  <c r="M43" i="2"/>
  <c r="M29" i="2"/>
  <c r="G25" i="2"/>
  <c r="K11" i="2"/>
  <c r="K27" i="2"/>
  <c r="I9" i="2"/>
  <c r="G46" i="2"/>
  <c r="M35" i="2"/>
  <c r="H36" i="2"/>
  <c r="K41" i="2"/>
  <c r="I36" i="2"/>
  <c r="I82" i="2"/>
  <c r="C5" i="5"/>
  <c r="I30" i="2"/>
  <c r="M39" i="2"/>
  <c r="G32" i="2"/>
  <c r="G27" i="2"/>
  <c r="G39" i="2"/>
  <c r="I21" i="2"/>
  <c r="M46" i="2"/>
  <c r="K99" i="2"/>
  <c r="I39" i="2"/>
  <c r="G11" i="2"/>
  <c r="H28" i="2"/>
  <c r="L10" i="2"/>
  <c r="G29" i="2"/>
  <c r="M12" i="2"/>
  <c r="L41" i="2"/>
  <c r="L30" i="2"/>
  <c r="G43" i="2"/>
  <c r="I27" i="2"/>
  <c r="L29" i="2"/>
  <c r="K12" i="2"/>
  <c r="I95" i="2"/>
  <c r="M24" i="2"/>
  <c r="G30" i="2"/>
  <c r="M11" i="2"/>
  <c r="H99" i="2"/>
  <c r="G10" i="2"/>
  <c r="H17" i="2"/>
  <c r="G21" i="2"/>
  <c r="M41" i="2"/>
  <c r="K25" i="2"/>
  <c r="M44" i="2"/>
  <c r="L17" i="2"/>
  <c r="H30" i="2"/>
  <c r="H32" i="2"/>
  <c r="I26" i="2"/>
  <c r="K17" i="2"/>
  <c r="M17" i="2"/>
  <c r="H43" i="2"/>
  <c r="L33" i="2"/>
  <c r="I35" i="2"/>
  <c r="C16" i="5"/>
  <c r="I33" i="2"/>
  <c r="I17" i="2"/>
  <c r="M21" i="2"/>
  <c r="K82" i="2"/>
  <c r="K36" i="2"/>
  <c r="I28" i="2"/>
  <c r="K9" i="2"/>
  <c r="H9" i="2"/>
  <c r="H29" i="2"/>
  <c r="L36" i="2"/>
  <c r="H11" i="2"/>
  <c r="M26" i="2"/>
  <c r="C7" i="5"/>
  <c r="K10" i="2"/>
  <c r="C10" i="5"/>
  <c r="G24" i="2"/>
  <c r="K39" i="2"/>
  <c r="I43" i="2"/>
  <c r="H95" i="2"/>
  <c r="G33" i="2"/>
  <c r="L32" i="2"/>
  <c r="K35" i="2"/>
  <c r="G41" i="2"/>
  <c r="L99" i="2"/>
  <c r="H27" i="2"/>
  <c r="M95" i="2"/>
  <c r="I10" i="2"/>
  <c r="M30" i="2"/>
  <c r="L12" i="2"/>
  <c r="G12" i="2"/>
  <c r="M19" i="2"/>
  <c r="L39" i="2"/>
  <c r="L25" i="2"/>
  <c r="L27" i="2"/>
  <c r="H19" i="2"/>
  <c r="H10" i="2"/>
  <c r="K28" i="2"/>
  <c r="K95" i="2"/>
  <c r="M28" i="2"/>
  <c r="H82" i="2"/>
  <c r="K43" i="2"/>
  <c r="C8" i="5"/>
  <c r="L19" i="2"/>
  <c r="G95" i="2"/>
  <c r="I32" i="2"/>
  <c r="K33" i="2"/>
  <c r="G26" i="2"/>
  <c r="G19" i="2"/>
  <c r="L82" i="2"/>
  <c r="I99" i="2"/>
  <c r="K46" i="2"/>
  <c r="I46" i="2"/>
  <c r="G28" i="2"/>
  <c r="L28" i="2"/>
  <c r="K30" i="2"/>
  <c r="M25" i="2"/>
  <c r="M36" i="2"/>
  <c r="H2055" i="1" l="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3" i="2"/>
  <c r="E13" i="2"/>
  <c r="F97" i="2"/>
  <c r="E97" i="2"/>
  <c r="F102" i="2"/>
  <c r="E102" i="2"/>
  <c r="F101" i="2"/>
  <c r="E101" i="2"/>
  <c r="F100" i="2"/>
  <c r="E100" i="2"/>
  <c r="F98" i="2"/>
  <c r="E98" i="2"/>
  <c r="F66" i="2"/>
  <c r="E66" i="2"/>
  <c r="F34" i="2"/>
  <c r="E3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6" i="2"/>
  <c r="E96" i="2"/>
  <c r="F56" i="2"/>
  <c r="E56" i="2"/>
  <c r="F20" i="2"/>
  <c r="E20" i="2"/>
  <c r="F94" i="2"/>
  <c r="E94" i="2"/>
  <c r="F90" i="2"/>
  <c r="E90"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3"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1" i="2"/>
  <c r="O86" i="2"/>
  <c r="O87" i="2"/>
  <c r="O88" i="2"/>
  <c r="O16" i="2"/>
  <c r="E16"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1"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3" i="2"/>
  <c r="E93"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2"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8" i="2"/>
  <c r="E79" i="2"/>
  <c r="E78" i="2"/>
  <c r="E77" i="2"/>
  <c r="E76" i="2"/>
  <c r="E75" i="2"/>
  <c r="E74" i="2"/>
  <c r="E73" i="2"/>
  <c r="E72" i="2"/>
  <c r="E71" i="2"/>
  <c r="E70" i="2"/>
  <c r="E69" i="2"/>
  <c r="E68" i="2"/>
  <c r="E67" i="2"/>
  <c r="E6" i="2"/>
  <c r="E65" i="2"/>
  <c r="E64" i="2"/>
  <c r="E63" i="2"/>
  <c r="E22" i="2"/>
  <c r="E62" i="2"/>
  <c r="E61" i="2"/>
  <c r="E60" i="2"/>
  <c r="E45" i="2"/>
  <c r="E59" i="2"/>
  <c r="E58" i="2"/>
  <c r="E57" i="2"/>
  <c r="E103" i="2"/>
  <c r="E55" i="2"/>
  <c r="E54" i="2"/>
  <c r="E53" i="2"/>
  <c r="E52" i="2"/>
  <c r="E5" i="2"/>
  <c r="E50" i="2"/>
  <c r="E18" i="2"/>
  <c r="E42"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8"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4"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3"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82" i="2"/>
  <c r="O82" i="2" s="1"/>
  <c r="J11" i="2"/>
  <c r="F11" i="2" s="1"/>
  <c r="J12" i="2"/>
  <c r="F12" i="2" s="1"/>
  <c r="J41" i="2"/>
  <c r="F41" i="2" s="1"/>
  <c r="J30" i="2"/>
  <c r="F30" i="2" s="1"/>
  <c r="J35" i="2"/>
  <c r="F35" i="2" s="1"/>
  <c r="N12" i="2"/>
  <c r="O12" i="2" s="1"/>
  <c r="N11" i="2"/>
  <c r="O11" i="2" s="1"/>
  <c r="N39" i="2"/>
  <c r="O39" i="2" s="1"/>
  <c r="N9" i="2"/>
  <c r="O9" i="2" s="1"/>
  <c r="J32" i="2"/>
  <c r="F32" i="2" s="1"/>
  <c r="N95" i="2"/>
  <c r="O95"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43" i="2"/>
  <c r="O43" i="2" s="1"/>
  <c r="J43" i="2"/>
  <c r="F43" i="2" s="1"/>
  <c r="N24" i="2"/>
  <c r="O24" i="2" s="1"/>
  <c r="N35" i="2"/>
  <c r="O35" i="2" s="1"/>
  <c r="J27" i="2"/>
  <c r="F27" i="2" s="1"/>
  <c r="N21" i="2"/>
  <c r="O21" i="2" s="1"/>
  <c r="N27" i="2"/>
  <c r="O27" i="2" s="1"/>
  <c r="J24" i="2"/>
  <c r="F24" i="2" s="1"/>
  <c r="N10" i="2"/>
  <c r="O10" i="2" s="1"/>
  <c r="N30" i="2"/>
  <c r="O30" i="2" s="1"/>
  <c r="N36" i="2"/>
  <c r="O36" i="2" s="1"/>
  <c r="N99" i="2"/>
  <c r="O99" i="2" s="1"/>
  <c r="N32" i="2"/>
  <c r="O32" i="2" s="1"/>
  <c r="N44" i="2"/>
  <c r="O44"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9" i="2"/>
  <c r="F9" i="2" s="1"/>
  <c r="J82" i="2"/>
  <c r="F82" i="2" s="1"/>
  <c r="J10" i="2"/>
  <c r="F10" i="2" s="1"/>
  <c r="J21" i="2"/>
  <c r="F21" i="2" s="1"/>
  <c r="J44" i="2"/>
  <c r="F44" i="2" s="1"/>
  <c r="J99" i="2"/>
  <c r="F99" i="2" s="1"/>
  <c r="J95" i="2"/>
  <c r="F95" i="2" s="1"/>
  <c r="C13" i="5"/>
  <c r="D9" i="5"/>
  <c r="G20" i="5"/>
  <c r="G17" i="5"/>
  <c r="G19" i="5"/>
  <c r="G16" i="5"/>
  <c r="G18" i="5"/>
  <c r="G21" i="5" s="1"/>
  <c r="P104" i="2" l="1"/>
  <c r="P13" i="2"/>
  <c r="P97" i="2"/>
  <c r="P102" i="2"/>
  <c r="P101" i="2"/>
  <c r="P100" i="2"/>
  <c r="P98" i="2"/>
  <c r="P66" i="2"/>
  <c r="P34" i="2"/>
  <c r="P96" i="2"/>
  <c r="P56" i="2"/>
  <c r="P20" i="2"/>
  <c r="P94" i="2"/>
  <c r="P90" i="2"/>
  <c r="P80" i="2"/>
  <c r="P51" i="2"/>
  <c r="P85" i="2"/>
  <c r="P84" i="2"/>
  <c r="P16" i="2"/>
  <c r="P91" i="2"/>
  <c r="P89" i="2"/>
  <c r="P88" i="2"/>
  <c r="P87" i="2"/>
  <c r="P86" i="2"/>
  <c r="P47" i="2"/>
  <c r="P49" i="2"/>
  <c r="P93" i="2"/>
  <c r="P81" i="2"/>
  <c r="P92" i="2"/>
  <c r="P31" i="2"/>
  <c r="P79" i="2"/>
  <c r="P8" i="2"/>
  <c r="P77" i="2"/>
  <c r="P78" i="2"/>
  <c r="P75" i="2"/>
  <c r="P76" i="2"/>
  <c r="P73" i="2"/>
  <c r="P74" i="2"/>
  <c r="P72" i="2"/>
  <c r="P69" i="2"/>
  <c r="P71" i="2"/>
  <c r="P70" i="2"/>
  <c r="P67" i="2"/>
  <c r="P68" i="2"/>
  <c r="P65" i="2"/>
  <c r="P6" i="2"/>
  <c r="P63" i="2"/>
  <c r="P64" i="2"/>
  <c r="P62" i="2"/>
  <c r="P22" i="2"/>
  <c r="P60" i="2"/>
  <c r="P61" i="2"/>
  <c r="P59" i="2"/>
  <c r="P45" i="2"/>
  <c r="P57" i="2"/>
  <c r="P58" i="2"/>
  <c r="P55" i="2"/>
  <c r="P103" i="2"/>
  <c r="P53" i="2"/>
  <c r="P54" i="2"/>
  <c r="P5" i="2"/>
  <c r="P52" i="2"/>
  <c r="P18" i="2"/>
  <c r="P50" i="2"/>
  <c r="P48" i="2"/>
  <c r="P42" i="2"/>
  <c r="P38" i="2"/>
  <c r="P40" i="2"/>
  <c r="E11" i="2"/>
  <c r="P37" i="2"/>
  <c r="P14" i="2"/>
  <c r="E43" i="2"/>
  <c r="E26" i="2"/>
  <c r="E32" i="2"/>
  <c r="P23" i="2"/>
  <c r="P7" i="2"/>
  <c r="P83" i="2"/>
  <c r="E12" i="2"/>
  <c r="E30" i="2"/>
  <c r="E27" i="2"/>
  <c r="E41" i="2"/>
  <c r="E46" i="2"/>
  <c r="P15" i="2"/>
  <c r="E29" i="2"/>
  <c r="E39" i="2"/>
  <c r="E19" i="2"/>
  <c r="E28" i="2"/>
  <c r="E35" i="2"/>
  <c r="E17" i="2"/>
  <c r="E33" i="2"/>
  <c r="E24" i="2"/>
  <c r="E25" i="2"/>
  <c r="P25" i="2"/>
  <c r="P43" i="2"/>
  <c r="P17" i="2"/>
  <c r="P33" i="2"/>
  <c r="P24" i="2"/>
  <c r="P32" i="2"/>
  <c r="P26" i="2"/>
  <c r="P39" i="2"/>
  <c r="P35" i="2"/>
  <c r="P12" i="2"/>
  <c r="P29" i="2"/>
  <c r="P11" i="2"/>
  <c r="P28" i="2"/>
  <c r="P19" i="2"/>
  <c r="P46" i="2"/>
  <c r="P41" i="2"/>
  <c r="P30" i="2"/>
  <c r="P27" i="2"/>
  <c r="E99" i="2"/>
  <c r="E9" i="2"/>
  <c r="E36" i="2"/>
  <c r="E44" i="2"/>
  <c r="E10" i="2"/>
  <c r="E21" i="2"/>
  <c r="E95"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82" i="2"/>
  <c r="D10" i="5"/>
  <c r="D7" i="5"/>
  <c r="D6" i="5"/>
  <c r="D5" i="5"/>
  <c r="C14" i="5"/>
  <c r="D104" i="2" l="1"/>
  <c r="C104" i="2" s="1"/>
  <c r="D13" i="2"/>
  <c r="C13" i="2" s="1"/>
  <c r="D97" i="2"/>
  <c r="C97" i="2" s="1"/>
  <c r="D102" i="2"/>
  <c r="C102" i="2" s="1"/>
  <c r="D101" i="2"/>
  <c r="C101" i="2" s="1"/>
  <c r="D100" i="2"/>
  <c r="C100" i="2" s="1"/>
  <c r="D98" i="2"/>
  <c r="C98" i="2" s="1"/>
  <c r="D66" i="2"/>
  <c r="C66" i="2" s="1"/>
  <c r="D34" i="2"/>
  <c r="C34" i="2" s="1"/>
  <c r="D96" i="2"/>
  <c r="C96" i="2" s="1"/>
  <c r="D56" i="2"/>
  <c r="C56" i="2" s="1"/>
  <c r="D20" i="2"/>
  <c r="C20" i="2" s="1"/>
  <c r="D90" i="2"/>
  <c r="C90" i="2" s="1"/>
  <c r="D94" i="2"/>
  <c r="C94" i="2" s="1"/>
  <c r="D80" i="2"/>
  <c r="C80" i="2" s="1"/>
  <c r="D85" i="2"/>
  <c r="C85" i="2" s="1"/>
  <c r="D51" i="2"/>
  <c r="C51" i="2" s="1"/>
  <c r="D16" i="2"/>
  <c r="C16" i="2" s="1"/>
  <c r="D84" i="2"/>
  <c r="C84" i="2" s="1"/>
  <c r="D91" i="2"/>
  <c r="C91" i="2" s="1"/>
  <c r="D89" i="2"/>
  <c r="C89" i="2" s="1"/>
  <c r="D88" i="2"/>
  <c r="C88" i="2" s="1"/>
  <c r="D87" i="2"/>
  <c r="C87" i="2" s="1"/>
  <c r="D86" i="2"/>
  <c r="C86" i="2" s="1"/>
  <c r="D47" i="2"/>
  <c r="C47" i="2" s="1"/>
  <c r="D49" i="2"/>
  <c r="C49" i="2" s="1"/>
  <c r="D81" i="2"/>
  <c r="C81" i="2" s="1"/>
  <c r="D93" i="2"/>
  <c r="C93" i="2" s="1"/>
  <c r="D92" i="2"/>
  <c r="C92" i="2" s="1"/>
  <c r="D8" i="2"/>
  <c r="C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22" i="2"/>
  <c r="C22" i="2" s="1"/>
  <c r="D63" i="2"/>
  <c r="C63" i="2" s="1"/>
  <c r="D61" i="2"/>
  <c r="C61" i="2" s="1"/>
  <c r="D62" i="2"/>
  <c r="C62" i="2" s="1"/>
  <c r="D60" i="2"/>
  <c r="C60" i="2" s="1"/>
  <c r="D59" i="2"/>
  <c r="C59" i="2" s="1"/>
  <c r="D45" i="2"/>
  <c r="C45" i="2" s="1"/>
  <c r="D57" i="2"/>
  <c r="C57" i="2" s="1"/>
  <c r="D58" i="2"/>
  <c r="C58" i="2" s="1"/>
  <c r="D55" i="2"/>
  <c r="C55" i="2" s="1"/>
  <c r="D103" i="2"/>
  <c r="C103" i="2" s="1"/>
  <c r="D53" i="2"/>
  <c r="C53" i="2" s="1"/>
  <c r="D54" i="2"/>
  <c r="C54" i="2" s="1"/>
  <c r="D5" i="2"/>
  <c r="C5" i="2" s="1"/>
  <c r="D52" i="2"/>
  <c r="C52" i="2" s="1"/>
  <c r="D18" i="2"/>
  <c r="C18" i="2" s="1"/>
  <c r="D50" i="2"/>
  <c r="C50" i="2" s="1"/>
  <c r="D48" i="2"/>
  <c r="C48" i="2" s="1"/>
  <c r="D42" i="2"/>
  <c r="C42" i="2" s="1"/>
  <c r="D38" i="2"/>
  <c r="C38" i="2" s="1"/>
  <c r="D40" i="2"/>
  <c r="C40" i="2" s="1"/>
  <c r="D14" i="2"/>
  <c r="C14" i="2" s="1"/>
  <c r="D37" i="2"/>
  <c r="C37" i="2" s="1"/>
  <c r="D23" i="2"/>
  <c r="C23" i="2" s="1"/>
  <c r="D7" i="2"/>
  <c r="C7" i="2" s="1"/>
  <c r="D83" i="2"/>
  <c r="C83" i="2" s="1"/>
  <c r="D15" i="2"/>
  <c r="C15" i="2" s="1"/>
  <c r="D25" i="2"/>
  <c r="C25" i="2" s="1"/>
  <c r="D43" i="2"/>
  <c r="C43" i="2" s="1"/>
  <c r="D17" i="2"/>
  <c r="C17" i="2" s="1"/>
  <c r="D33" i="2"/>
  <c r="C33" i="2" s="1"/>
  <c r="D24" i="2"/>
  <c r="C24" i="2" s="1"/>
  <c r="D32" i="2"/>
  <c r="C32" i="2" s="1"/>
  <c r="D26" i="2"/>
  <c r="C26" i="2" s="1"/>
  <c r="D39" i="2"/>
  <c r="C39" i="2" s="1"/>
  <c r="D35" i="2"/>
  <c r="C35" i="2" s="1"/>
  <c r="D12" i="2"/>
  <c r="C12" i="2" s="1"/>
  <c r="D28" i="2"/>
  <c r="C28" i="2" s="1"/>
  <c r="D29" i="2"/>
  <c r="C29" i="2" s="1"/>
  <c r="D11" i="2"/>
  <c r="C11" i="2" s="1"/>
  <c r="D19" i="2"/>
  <c r="C19" i="2" s="1"/>
  <c r="D46" i="2"/>
  <c r="C46" i="2" s="1"/>
  <c r="D41" i="2"/>
  <c r="C41" i="2" s="1"/>
  <c r="D30" i="2"/>
  <c r="C30" i="2" s="1"/>
  <c r="D27" i="2"/>
  <c r="C27" i="2" s="1"/>
  <c r="C15" i="5"/>
  <c r="D36" i="2"/>
  <c r="D82" i="2"/>
  <c r="D44" i="2"/>
  <c r="D21" i="2"/>
  <c r="D95" i="2"/>
  <c r="D9" i="2"/>
  <c r="D10" i="2"/>
  <c r="D99" i="2"/>
  <c r="G7" i="5"/>
  <c r="G5" i="5"/>
  <c r="G8" i="5" s="1"/>
  <c r="G6" i="5"/>
  <c r="G13" i="5"/>
  <c r="P21" i="2" l="1"/>
  <c r="C21" i="2" s="1"/>
  <c r="P95" i="2"/>
  <c r="C95" i="2" s="1"/>
  <c r="P82" i="2"/>
  <c r="C82" i="2" s="1"/>
  <c r="P44" i="2"/>
  <c r="C44" i="2" s="1"/>
  <c r="P36" i="2"/>
  <c r="C36" i="2" s="1"/>
  <c r="P10" i="2"/>
  <c r="C10" i="2" s="1"/>
  <c r="P9" i="2"/>
  <c r="C9" i="2" s="1"/>
  <c r="P99" i="2"/>
  <c r="C99"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<sst xmlns="http://schemas.openxmlformats.org/spreadsheetml/2006/main" count="39760" uniqueCount="703">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</sst>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cellXfs>
  <cellStyles count="1">
    <cellStyle name="Normal" xfId="0" builtinId="0"/>
  </cellStyles>
  <dxfs count="44">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58.953629745367" createdVersion="8" refreshedVersion="8" minRefreshableVersion="3" recordCount="5886" xr:uid="{A68797AC-E72E-49CE-BBC1-16C3348D6A5F}">
  <cacheSource type="worksheet">
    <worksheetSource name="Matchups"/>
  </cacheSource>
  <cacheFields count="22">
    <cacheField name="Player" numFmtId="0">
      <sharedItems count="137">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6"/>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8-25T00:00:00" count="57">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sharedItems>
      <fieldGroup par="20"/>
    </cacheField>
    <cacheField name="Pod ID" numFmtId="0">
      <sharedItems/>
    </cacheField>
    <cacheField name="Pod Size" numFmtId="0">
      <sharedItems containsSemiMixedTypes="0" containsString="0" containsNumber="1" containsInteger="1" minValue="3" maxValue="6"/>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7">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8-25T00:00:00"/>
        <groupItems count="14">
          <s v="&lt;7/21/2025"/>
          <s v="Jan"/>
          <s v="Feb"/>
          <s v="Mar"/>
          <s v="Apr"/>
          <s v="May"/>
          <s v="Jun"/>
          <s v="Jul"/>
          <s v="Aug"/>
          <s v="Sep"/>
          <s v="Oct"/>
          <s v="Nov"/>
          <s v="Dec"/>
          <s v="&gt;8/25/2026"/>
        </groupItems>
      </fieldGroup>
    </cacheField>
    <cacheField name="Quarters (Date)" numFmtId="0" databaseField="0">
      <fieldGroup base="5">
        <rangePr groupBy="quarters" startDate="2025-07-21T00:00:00" endDate="2026-08-25T00:00:00"/>
        <groupItems count="6">
          <s v="&lt;7/21/2025"/>
          <s v="Qtr1"/>
          <s v="Qtr2"/>
          <s v="Qtr3"/>
          <s v="Qtr4"/>
          <s v="&gt;8/25/2026"/>
        </groupItems>
      </fieldGroup>
    </cacheField>
    <cacheField name="Years (Date)" numFmtId="0" databaseField="0">
      <fieldGroup base="5">
        <rangePr groupBy="years" startDate="2025-07-21T00:00:00" endDate="2026-08-25T00:00:00"/>
        <groupItems count="4">
          <s v="&lt;7/21/2025"/>
          <s v="2025"/>
          <s v="2026"/>
          <s v="&gt;8/25/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58.953629976852" createdVersion="8" refreshedVersion="8" minRefreshableVersion="3" recordCount="2055" xr:uid="{DC51D016-C251-461D-A8BC-322113D3679A}">
  <cacheSource type="worksheet">
    <worksheetSource name="GameLog"/>
  </cacheSource>
  <cacheFields count="11">
    <cacheField name="Player" numFmtId="0">
      <sharedItems containsBlank="1" count="151">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Charlie B" u="1"/>
        <s v="Christian S" u="1"/>
        <s v="Christian" u="1"/>
        <s v="Arman" u="1"/>
        <s v="Jake D" u="1"/>
        <s v="Jon M" u="1"/>
        <s v="Eric Teaman" u="1"/>
        <s v="Andrew" u="1"/>
        <s v="Russ C" u="1"/>
        <s v=" Eric E" u="1"/>
        <s v="Edwin M"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8-25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86">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Current"/>
    <x v="4"/>
    <s v="Draw"/>
    <b v="0"/>
    <n v="0"/>
    <n v="0"/>
    <n v="1"/>
    <n v="0"/>
  </r>
  <r>
    <x v="44"/>
    <s v="Draw"/>
    <n v="1"/>
    <n v="1"/>
    <n v="1"/>
    <x v="56"/>
    <s v="1|19000101|46258"/>
    <n v="4"/>
    <n v="2026"/>
    <n v="8"/>
    <s v="Current"/>
    <x v="70"/>
    <s v="Draw"/>
    <b v="0"/>
    <n v="0"/>
    <n v="0"/>
    <n v="1"/>
    <n v="0"/>
  </r>
  <r>
    <x v="44"/>
    <s v="Draw"/>
    <n v="1"/>
    <n v="1"/>
    <n v="1"/>
    <x v="56"/>
    <s v="1|19000101|46258"/>
    <n v="4"/>
    <n v="2026"/>
    <n v="8"/>
    <s v="Current"/>
    <x v="17"/>
    <s v="Draw"/>
    <b v="0"/>
    <n v="0"/>
    <n v="0"/>
    <n v="1"/>
    <n v="0"/>
  </r>
  <r>
    <x v="4"/>
    <s v="Draw"/>
    <n v="2"/>
    <n v="1"/>
    <n v="1"/>
    <x v="56"/>
    <s v="1|19000101|46258"/>
    <n v="4"/>
    <n v="2026"/>
    <n v="8"/>
    <s v="Current"/>
    <x v="44"/>
    <s v="Draw"/>
    <b v="0"/>
    <n v="0"/>
    <n v="0"/>
    <n v="1"/>
    <n v="0"/>
  </r>
  <r>
    <x v="4"/>
    <s v="Draw"/>
    <n v="2"/>
    <n v="1"/>
    <n v="1"/>
    <x v="56"/>
    <s v="1|19000101|46258"/>
    <n v="4"/>
    <n v="2026"/>
    <n v="8"/>
    <s v="Current"/>
    <x v="70"/>
    <s v="Draw"/>
    <b v="0"/>
    <n v="0"/>
    <n v="0"/>
    <n v="1"/>
    <n v="0"/>
  </r>
  <r>
    <x v="4"/>
    <s v="Draw"/>
    <n v="2"/>
    <n v="1"/>
    <n v="1"/>
    <x v="56"/>
    <s v="1|19000101|46258"/>
    <n v="4"/>
    <n v="2026"/>
    <n v="8"/>
    <s v="Current"/>
    <x v="17"/>
    <s v="Draw"/>
    <b v="0"/>
    <n v="0"/>
    <n v="0"/>
    <n v="1"/>
    <n v="0"/>
  </r>
  <r>
    <x v="70"/>
    <s v="Draw"/>
    <n v="3"/>
    <n v="1"/>
    <n v="1"/>
    <x v="56"/>
    <s v="1|19000101|46258"/>
    <n v="4"/>
    <n v="2026"/>
    <n v="8"/>
    <s v="Current"/>
    <x v="44"/>
    <s v="Draw"/>
    <b v="0"/>
    <n v="0"/>
    <n v="0"/>
    <n v="1"/>
    <n v="0"/>
  </r>
  <r>
    <x v="70"/>
    <s v="Draw"/>
    <n v="3"/>
    <n v="1"/>
    <n v="1"/>
    <x v="56"/>
    <s v="1|19000101|46258"/>
    <n v="4"/>
    <n v="2026"/>
    <n v="8"/>
    <s v="Current"/>
    <x v="4"/>
    <s v="Draw"/>
    <b v="0"/>
    <n v="0"/>
    <n v="0"/>
    <n v="1"/>
    <n v="0"/>
  </r>
  <r>
    <x v="70"/>
    <s v="Draw"/>
    <n v="3"/>
    <n v="1"/>
    <n v="1"/>
    <x v="56"/>
    <s v="1|19000101|46258"/>
    <n v="4"/>
    <n v="2026"/>
    <n v="8"/>
    <s v="Current"/>
    <x v="17"/>
    <s v="Draw"/>
    <b v="0"/>
    <n v="0"/>
    <n v="0"/>
    <n v="1"/>
    <n v="0"/>
  </r>
  <r>
    <x v="17"/>
    <s v="Draw"/>
    <n v="4"/>
    <n v="1"/>
    <n v="1"/>
    <x v="56"/>
    <s v="1|19000101|46258"/>
    <n v="4"/>
    <n v="2026"/>
    <n v="8"/>
    <s v="Current"/>
    <x v="44"/>
    <s v="Draw"/>
    <b v="0"/>
    <n v="0"/>
    <n v="0"/>
    <n v="1"/>
    <n v="0"/>
  </r>
  <r>
    <x v="17"/>
    <s v="Draw"/>
    <n v="4"/>
    <n v="1"/>
    <n v="1"/>
    <x v="56"/>
    <s v="1|19000101|46258"/>
    <n v="4"/>
    <n v="2026"/>
    <n v="8"/>
    <s v="Current"/>
    <x v="4"/>
    <s v="Draw"/>
    <b v="0"/>
    <n v="0"/>
    <n v="0"/>
    <n v="1"/>
    <n v="0"/>
  </r>
  <r>
    <x v="17"/>
    <s v="Draw"/>
    <n v="4"/>
    <n v="1"/>
    <n v="1"/>
    <x v="56"/>
    <s v="1|19000101|46258"/>
    <n v="4"/>
    <n v="2026"/>
    <n v="8"/>
    <s v="Current"/>
    <x v="70"/>
    <s v="Draw"/>
    <b v="0"/>
    <n v="0"/>
    <n v="0"/>
    <n v="1"/>
    <n v="0"/>
  </r>
  <r>
    <x v="46"/>
    <s v="Draw"/>
    <n v="1"/>
    <n v="2"/>
    <n v="1"/>
    <x v="56"/>
    <s v="2|19000101|46258"/>
    <n v="4"/>
    <n v="2026"/>
    <n v="8"/>
    <s v="Current"/>
    <x v="93"/>
    <s v="Draw"/>
    <b v="0"/>
    <n v="0"/>
    <n v="0"/>
    <n v="1"/>
    <n v="0"/>
  </r>
  <r>
    <x v="46"/>
    <s v="Draw"/>
    <n v="1"/>
    <n v="2"/>
    <n v="1"/>
    <x v="56"/>
    <s v="2|19000101|46258"/>
    <n v="4"/>
    <n v="2026"/>
    <n v="8"/>
    <s v="Current"/>
    <x v="5"/>
    <s v="Draw"/>
    <b v="0"/>
    <n v="0"/>
    <n v="0"/>
    <n v="1"/>
    <n v="0"/>
  </r>
  <r>
    <x v="46"/>
    <s v="Draw"/>
    <n v="1"/>
    <n v="2"/>
    <n v="1"/>
    <x v="56"/>
    <s v="2|19000101|46258"/>
    <n v="4"/>
    <n v="2026"/>
    <n v="8"/>
    <s v="Current"/>
    <x v="84"/>
    <s v="Draw"/>
    <b v="0"/>
    <n v="0"/>
    <n v="0"/>
    <n v="1"/>
    <n v="0"/>
  </r>
  <r>
    <x v="93"/>
    <s v="Draw"/>
    <n v="2"/>
    <n v="2"/>
    <n v="1"/>
    <x v="56"/>
    <s v="2|19000101|46258"/>
    <n v="4"/>
    <n v="2026"/>
    <n v="8"/>
    <s v="Current"/>
    <x v="46"/>
    <s v="Draw"/>
    <b v="0"/>
    <n v="0"/>
    <n v="0"/>
    <n v="1"/>
    <n v="0"/>
  </r>
  <r>
    <x v="93"/>
    <s v="Draw"/>
    <n v="2"/>
    <n v="2"/>
    <n v="1"/>
    <x v="56"/>
    <s v="2|19000101|46258"/>
    <n v="4"/>
    <n v="2026"/>
    <n v="8"/>
    <s v="Current"/>
    <x v="5"/>
    <s v="Draw"/>
    <b v="0"/>
    <n v="0"/>
    <n v="0"/>
    <n v="1"/>
    <n v="0"/>
  </r>
  <r>
    <x v="93"/>
    <s v="Draw"/>
    <n v="2"/>
    <n v="2"/>
    <n v="1"/>
    <x v="56"/>
    <s v="2|19000101|46258"/>
    <n v="4"/>
    <n v="2026"/>
    <n v="8"/>
    <s v="Current"/>
    <x v="84"/>
    <s v="Draw"/>
    <b v="0"/>
    <n v="0"/>
    <n v="0"/>
    <n v="1"/>
    <n v="0"/>
  </r>
  <r>
    <x v="5"/>
    <s v="Draw"/>
    <n v="3"/>
    <n v="2"/>
    <n v="1"/>
    <x v="56"/>
    <s v="2|19000101|46258"/>
    <n v="4"/>
    <n v="2026"/>
    <n v="8"/>
    <s v="Current"/>
    <x v="46"/>
    <s v="Draw"/>
    <b v="0"/>
    <n v="0"/>
    <n v="0"/>
    <n v="1"/>
    <n v="0"/>
  </r>
  <r>
    <x v="5"/>
    <s v="Draw"/>
    <n v="3"/>
    <n v="2"/>
    <n v="1"/>
    <x v="56"/>
    <s v="2|19000101|46258"/>
    <n v="4"/>
    <n v="2026"/>
    <n v="8"/>
    <s v="Current"/>
    <x v="93"/>
    <s v="Draw"/>
    <b v="0"/>
    <n v="0"/>
    <n v="0"/>
    <n v="1"/>
    <n v="0"/>
  </r>
  <r>
    <x v="5"/>
    <s v="Draw"/>
    <n v="3"/>
    <n v="2"/>
    <n v="1"/>
    <x v="56"/>
    <s v="2|19000101|46258"/>
    <n v="4"/>
    <n v="2026"/>
    <n v="8"/>
    <s v="Current"/>
    <x v="84"/>
    <s v="Draw"/>
    <b v="0"/>
    <n v="0"/>
    <n v="0"/>
    <n v="1"/>
    <n v="0"/>
  </r>
  <r>
    <x v="84"/>
    <s v="Draw"/>
    <n v="4"/>
    <n v="2"/>
    <n v="1"/>
    <x v="56"/>
    <s v="2|19000101|46258"/>
    <n v="4"/>
    <n v="2026"/>
    <n v="8"/>
    <s v="Current"/>
    <x v="46"/>
    <s v="Draw"/>
    <b v="0"/>
    <n v="0"/>
    <n v="0"/>
    <n v="1"/>
    <n v="0"/>
  </r>
  <r>
    <x v="84"/>
    <s v="Draw"/>
    <n v="4"/>
    <n v="2"/>
    <n v="1"/>
    <x v="56"/>
    <s v="2|19000101|46258"/>
    <n v="4"/>
    <n v="2026"/>
    <n v="8"/>
    <s v="Current"/>
    <x v="93"/>
    <s v="Draw"/>
    <b v="0"/>
    <n v="0"/>
    <n v="0"/>
    <n v="1"/>
    <n v="0"/>
  </r>
  <r>
    <x v="84"/>
    <s v="Draw"/>
    <n v="4"/>
    <n v="2"/>
    <n v="1"/>
    <x v="56"/>
    <s v="2|19000101|46258"/>
    <n v="4"/>
    <n v="2026"/>
    <n v="8"/>
    <s v="Current"/>
    <x v="5"/>
    <s v="Draw"/>
    <b v="0"/>
    <n v="0"/>
    <n v="0"/>
    <n v="1"/>
    <n v="0"/>
  </r>
  <r>
    <x v="3"/>
    <s v="Win"/>
    <n v="1"/>
    <n v="3"/>
    <n v="1"/>
    <x v="56"/>
    <s v="3|19000101|46258"/>
    <n v="4"/>
    <n v="2026"/>
    <n v="8"/>
    <s v="Current"/>
    <x v="43"/>
    <s v="Loss"/>
    <b v="0"/>
    <n v="1"/>
    <n v="0"/>
    <n v="0"/>
    <n v="0"/>
  </r>
  <r>
    <x v="3"/>
    <s v="Win"/>
    <n v="1"/>
    <n v="3"/>
    <n v="1"/>
    <x v="56"/>
    <s v="3|19000101|46258"/>
    <n v="4"/>
    <n v="2026"/>
    <n v="8"/>
    <s v="Current"/>
    <x v="24"/>
    <s v="Loss"/>
    <b v="0"/>
    <n v="1"/>
    <n v="0"/>
    <n v="0"/>
    <n v="0"/>
  </r>
  <r>
    <x v="3"/>
    <s v="Win"/>
    <n v="1"/>
    <n v="3"/>
    <n v="1"/>
    <x v="56"/>
    <s v="3|19000101|46258"/>
    <n v="4"/>
    <n v="2026"/>
    <n v="8"/>
    <s v="Current"/>
    <x v="1"/>
    <s v="Loss"/>
    <b v="0"/>
    <n v="1"/>
    <n v="0"/>
    <n v="0"/>
    <n v="0"/>
  </r>
  <r>
    <x v="43"/>
    <s v="Loss"/>
    <n v="2"/>
    <n v="3"/>
    <n v="1"/>
    <x v="56"/>
    <s v="3|19000101|46258"/>
    <n v="4"/>
    <n v="2026"/>
    <n v="8"/>
    <s v="Current"/>
    <x v="2"/>
    <s v="Win"/>
    <b v="0"/>
    <n v="0"/>
    <n v="1"/>
    <n v="0"/>
    <n v="1"/>
  </r>
  <r>
    <x v="43"/>
    <s v="Loss"/>
    <n v="2"/>
    <n v="3"/>
    <n v="1"/>
    <x v="56"/>
    <s v="3|19000101|46258"/>
    <n v="4"/>
    <n v="2026"/>
    <n v="8"/>
    <s v="Current"/>
    <x v="24"/>
    <s v="Loss"/>
    <b v="0"/>
    <n v="0"/>
    <n v="1"/>
    <n v="0"/>
    <n v="0"/>
  </r>
  <r>
    <x v="43"/>
    <s v="Loss"/>
    <n v="2"/>
    <n v="3"/>
    <n v="1"/>
    <x v="56"/>
    <s v="3|19000101|46258"/>
    <n v="4"/>
    <n v="2026"/>
    <n v="8"/>
    <s v="Current"/>
    <x v="1"/>
    <s v="Loss"/>
    <b v="0"/>
    <n v="0"/>
    <n v="1"/>
    <n v="0"/>
    <n v="0"/>
  </r>
  <r>
    <x v="24"/>
    <s v="Loss"/>
    <n v="3"/>
    <n v="3"/>
    <n v="1"/>
    <x v="56"/>
    <s v="3|19000101|46258"/>
    <n v="4"/>
    <n v="2026"/>
    <n v="8"/>
    <s v="Current"/>
    <x v="2"/>
    <s v="Win"/>
    <b v="0"/>
    <n v="0"/>
    <n v="1"/>
    <n v="0"/>
    <n v="1"/>
  </r>
  <r>
    <x v="24"/>
    <s v="Loss"/>
    <n v="3"/>
    <n v="3"/>
    <n v="1"/>
    <x v="56"/>
    <s v="3|19000101|46258"/>
    <n v="4"/>
    <n v="2026"/>
    <n v="8"/>
    <s v="Current"/>
    <x v="43"/>
    <s v="Loss"/>
    <b v="0"/>
    <n v="0"/>
    <n v="1"/>
    <n v="0"/>
    <n v="0"/>
  </r>
  <r>
    <x v="24"/>
    <s v="Loss"/>
    <n v="3"/>
    <n v="3"/>
    <n v="1"/>
    <x v="56"/>
    <s v="3|19000101|46258"/>
    <n v="4"/>
    <n v="2026"/>
    <n v="8"/>
    <s v="Current"/>
    <x v="1"/>
    <s v="Loss"/>
    <b v="0"/>
    <n v="0"/>
    <n v="1"/>
    <n v="0"/>
    <n v="0"/>
  </r>
  <r>
    <x v="2"/>
    <s v="Loss"/>
    <n v="4"/>
    <n v="3"/>
    <n v="1"/>
    <x v="56"/>
    <s v="3|19000101|46258"/>
    <n v="4"/>
    <n v="2026"/>
    <n v="8"/>
    <s v="Current"/>
    <x v="2"/>
    <s v="Win"/>
    <b v="0"/>
    <n v="0"/>
    <n v="1"/>
    <n v="0"/>
    <n v="1"/>
  </r>
  <r>
    <x v="2"/>
    <s v="Loss"/>
    <n v="4"/>
    <n v="3"/>
    <n v="1"/>
    <x v="56"/>
    <s v="3|19000101|46258"/>
    <n v="4"/>
    <n v="2026"/>
    <n v="8"/>
    <s v="Current"/>
    <x v="43"/>
    <s v="Loss"/>
    <b v="0"/>
    <n v="0"/>
    <n v="1"/>
    <n v="0"/>
    <n v="0"/>
  </r>
  <r>
    <x v="2"/>
    <s v="Loss"/>
    <n v="4"/>
    <n v="3"/>
    <n v="1"/>
    <x v="56"/>
    <s v="3|19000101|46258"/>
    <n v="4"/>
    <n v="2026"/>
    <n v="8"/>
    <s v="Current"/>
    <x v="24"/>
    <s v="Loss"/>
    <b v="0"/>
    <n v="0"/>
    <n v="1"/>
    <n v="0"/>
    <n v="0"/>
  </r>
  <r>
    <x v="7"/>
    <s v="Loss"/>
    <n v="1"/>
    <n v="4"/>
    <n v="1"/>
    <x v="56"/>
    <s v="4|19000101|46258"/>
    <n v="3"/>
    <n v="2026"/>
    <n v="8"/>
    <s v="Current"/>
    <x v="18"/>
    <s v="Loss"/>
    <b v="0"/>
    <n v="0"/>
    <n v="1"/>
    <n v="0"/>
    <n v="0"/>
  </r>
  <r>
    <x v="7"/>
    <s v="Loss"/>
    <n v="1"/>
    <n v="4"/>
    <n v="1"/>
    <x v="56"/>
    <s v="4|19000101|46258"/>
    <n v="3"/>
    <n v="2026"/>
    <n v="8"/>
    <s v="Current"/>
    <x v="14"/>
    <s v="Win"/>
    <b v="0"/>
    <n v="0"/>
    <n v="1"/>
    <n v="0"/>
    <n v="1"/>
  </r>
  <r>
    <x v="18"/>
    <s v="Loss"/>
    <n v="2"/>
    <n v="4"/>
    <n v="1"/>
    <x v="56"/>
    <s v="4|19000101|46258"/>
    <n v="3"/>
    <n v="2026"/>
    <n v="8"/>
    <s v="Current"/>
    <x v="7"/>
    <s v="Loss"/>
    <b v="0"/>
    <n v="0"/>
    <n v="1"/>
    <n v="0"/>
    <n v="0"/>
  </r>
  <r>
    <x v="18"/>
    <s v="Loss"/>
    <n v="2"/>
    <n v="4"/>
    <n v="1"/>
    <x v="56"/>
    <s v="4|19000101|46258"/>
    <n v="3"/>
    <n v="2026"/>
    <n v="8"/>
    <s v="Current"/>
    <x v="14"/>
    <s v="Win"/>
    <b v="0"/>
    <n v="0"/>
    <n v="1"/>
    <n v="0"/>
    <n v="1"/>
  </r>
  <r>
    <x v="14"/>
    <s v="Win"/>
    <n v="3"/>
    <n v="4"/>
    <n v="1"/>
    <x v="56"/>
    <s v="4|19000101|46258"/>
    <n v="3"/>
    <n v="2026"/>
    <n v="8"/>
    <s v="Current"/>
    <x v="7"/>
    <s v="Loss"/>
    <b v="0"/>
    <n v="1"/>
    <n v="0"/>
    <n v="0"/>
    <n v="0"/>
  </r>
  <r>
    <x v="14"/>
    <s v="Win"/>
    <n v="3"/>
    <n v="4"/>
    <n v="1"/>
    <x v="56"/>
    <s v="4|19000101|46258"/>
    <n v="3"/>
    <n v="2026"/>
    <n v="8"/>
    <s v="Current"/>
    <x v="18"/>
    <s v="Loss"/>
    <b v="0"/>
    <n v="1"/>
    <n v="0"/>
    <n v="0"/>
    <n v="0"/>
  </r>
  <r>
    <x v="32"/>
    <s v="Loss"/>
    <n v="1"/>
    <n v="5"/>
    <n v="1"/>
    <x v="56"/>
    <s v="5|19000101|46258"/>
    <n v="3"/>
    <n v="2026"/>
    <n v="8"/>
    <s v="Current"/>
    <x v="10"/>
    <s v="Win"/>
    <b v="0"/>
    <n v="0"/>
    <n v="1"/>
    <n v="0"/>
    <n v="1"/>
  </r>
  <r>
    <x v="32"/>
    <s v="Loss"/>
    <n v="1"/>
    <n v="5"/>
    <n v="1"/>
    <x v="56"/>
    <s v="5|19000101|46258"/>
    <n v="3"/>
    <n v="2026"/>
    <n v="8"/>
    <s v="Current"/>
    <x v="90"/>
    <s v="Loss"/>
    <b v="0"/>
    <n v="0"/>
    <n v="1"/>
    <n v="0"/>
    <n v="0"/>
  </r>
  <r>
    <x v="10"/>
    <s v="Win"/>
    <n v="2"/>
    <n v="5"/>
    <n v="1"/>
    <x v="56"/>
    <s v="5|19000101|46258"/>
    <n v="3"/>
    <n v="2026"/>
    <n v="8"/>
    <s v="Current"/>
    <x v="32"/>
    <s v="Loss"/>
    <b v="0"/>
    <n v="1"/>
    <n v="0"/>
    <n v="0"/>
    <n v="0"/>
  </r>
  <r>
    <x v="10"/>
    <s v="Win"/>
    <n v="2"/>
    <n v="5"/>
    <n v="1"/>
    <x v="56"/>
    <s v="5|19000101|46258"/>
    <n v="3"/>
    <n v="2026"/>
    <n v="8"/>
    <s v="Current"/>
    <x v="90"/>
    <s v="Loss"/>
    <b v="0"/>
    <n v="1"/>
    <n v="0"/>
    <n v="0"/>
    <n v="0"/>
  </r>
  <r>
    <x v="90"/>
    <s v="Loss"/>
    <n v="3"/>
    <n v="5"/>
    <n v="1"/>
    <x v="56"/>
    <s v="5|19000101|46258"/>
    <n v="3"/>
    <n v="2026"/>
    <n v="8"/>
    <s v="Current"/>
    <x v="32"/>
    <s v="Loss"/>
    <b v="0"/>
    <n v="0"/>
    <n v="1"/>
    <n v="0"/>
    <n v="0"/>
  </r>
  <r>
    <x v="90"/>
    <s v="Loss"/>
    <n v="3"/>
    <n v="5"/>
    <n v="1"/>
    <x v="56"/>
    <s v="5|19000101|46258"/>
    <n v="3"/>
    <n v="2026"/>
    <n v="8"/>
    <s v="Current"/>
    <x v="10"/>
    <s v="Win"/>
    <b v="0"/>
    <n v="0"/>
    <n v="1"/>
    <n v="0"/>
    <n v="1"/>
  </r>
  <r>
    <x v="5"/>
    <s v="Draw"/>
    <n v="1"/>
    <n v="1"/>
    <n v="2"/>
    <x v="56"/>
    <s v="1|19000102|46258"/>
    <n v="4"/>
    <n v="2026"/>
    <n v="8"/>
    <s v="Current"/>
    <x v="14"/>
    <s v="Draw"/>
    <b v="0"/>
    <n v="0"/>
    <n v="0"/>
    <n v="1"/>
    <n v="0"/>
  </r>
  <r>
    <x v="5"/>
    <s v="Draw"/>
    <n v="1"/>
    <n v="1"/>
    <n v="2"/>
    <x v="56"/>
    <s v="1|19000102|46258"/>
    <n v="4"/>
    <n v="2026"/>
    <n v="8"/>
    <s v="Current"/>
    <x v="10"/>
    <s v="Draw"/>
    <b v="0"/>
    <n v="0"/>
    <n v="0"/>
    <n v="1"/>
    <n v="0"/>
  </r>
  <r>
    <x v="5"/>
    <s v="Draw"/>
    <n v="1"/>
    <n v="1"/>
    <n v="2"/>
    <x v="56"/>
    <s v="1|19000102|46258"/>
    <n v="4"/>
    <n v="2026"/>
    <n v="8"/>
    <s v="Current"/>
    <x v="2"/>
    <s v="Draw"/>
    <b v="0"/>
    <n v="0"/>
    <n v="0"/>
    <n v="1"/>
    <n v="0"/>
  </r>
  <r>
    <x v="14"/>
    <s v="Draw"/>
    <n v="2"/>
    <n v="1"/>
    <n v="2"/>
    <x v="56"/>
    <s v="1|19000102|46258"/>
    <n v="4"/>
    <n v="2026"/>
    <n v="8"/>
    <s v="Current"/>
    <x v="5"/>
    <s v="Draw"/>
    <b v="0"/>
    <n v="0"/>
    <n v="0"/>
    <n v="1"/>
    <n v="0"/>
  </r>
  <r>
    <x v="14"/>
    <s v="Draw"/>
    <n v="2"/>
    <n v="1"/>
    <n v="2"/>
    <x v="56"/>
    <s v="1|19000102|46258"/>
    <n v="4"/>
    <n v="2026"/>
    <n v="8"/>
    <s v="Current"/>
    <x v="10"/>
    <s v="Draw"/>
    <b v="0"/>
    <n v="0"/>
    <n v="0"/>
    <n v="1"/>
    <n v="0"/>
  </r>
  <r>
    <x v="14"/>
    <s v="Draw"/>
    <n v="2"/>
    <n v="1"/>
    <n v="2"/>
    <x v="56"/>
    <s v="1|19000102|46258"/>
    <n v="4"/>
    <n v="2026"/>
    <n v="8"/>
    <s v="Current"/>
    <x v="2"/>
    <s v="Draw"/>
    <b v="0"/>
    <n v="0"/>
    <n v="0"/>
    <n v="1"/>
    <n v="0"/>
  </r>
  <r>
    <x v="10"/>
    <s v="Draw"/>
    <n v="3"/>
    <n v="1"/>
    <n v="2"/>
    <x v="56"/>
    <s v="1|19000102|46258"/>
    <n v="4"/>
    <n v="2026"/>
    <n v="8"/>
    <s v="Current"/>
    <x v="5"/>
    <s v="Draw"/>
    <b v="0"/>
    <n v="0"/>
    <n v="0"/>
    <n v="1"/>
    <n v="0"/>
  </r>
  <r>
    <x v="10"/>
    <s v="Draw"/>
    <n v="3"/>
    <n v="1"/>
    <n v="2"/>
    <x v="56"/>
    <s v="1|19000102|46258"/>
    <n v="4"/>
    <n v="2026"/>
    <n v="8"/>
    <s v="Current"/>
    <x v="14"/>
    <s v="Draw"/>
    <b v="0"/>
    <n v="0"/>
    <n v="0"/>
    <n v="1"/>
    <n v="0"/>
  </r>
  <r>
    <x v="10"/>
    <s v="Draw"/>
    <n v="3"/>
    <n v="1"/>
    <n v="2"/>
    <x v="56"/>
    <s v="1|19000102|46258"/>
    <n v="4"/>
    <n v="2026"/>
    <n v="8"/>
    <s v="Current"/>
    <x v="2"/>
    <s v="Draw"/>
    <b v="0"/>
    <n v="0"/>
    <n v="0"/>
    <n v="1"/>
    <n v="0"/>
  </r>
  <r>
    <x v="3"/>
    <s v="Draw"/>
    <n v="4"/>
    <n v="1"/>
    <n v="2"/>
    <x v="56"/>
    <s v="1|19000102|46258"/>
    <n v="4"/>
    <n v="2026"/>
    <n v="8"/>
    <s v="Current"/>
    <x v="5"/>
    <s v="Draw"/>
    <b v="0"/>
    <n v="0"/>
    <n v="0"/>
    <n v="1"/>
    <n v="0"/>
  </r>
  <r>
    <x v="3"/>
    <s v="Draw"/>
    <n v="4"/>
    <n v="1"/>
    <n v="2"/>
    <x v="56"/>
    <s v="1|19000102|46258"/>
    <n v="4"/>
    <n v="2026"/>
    <n v="8"/>
    <s v="Current"/>
    <x v="14"/>
    <s v="Draw"/>
    <b v="0"/>
    <n v="0"/>
    <n v="0"/>
    <n v="1"/>
    <n v="0"/>
  </r>
  <r>
    <x v="3"/>
    <s v="Draw"/>
    <n v="4"/>
    <n v="1"/>
    <n v="2"/>
    <x v="56"/>
    <s v="1|19000102|46258"/>
    <n v="4"/>
    <n v="2026"/>
    <n v="8"/>
    <s v="Current"/>
    <x v="10"/>
    <s v="Draw"/>
    <b v="0"/>
    <n v="0"/>
    <n v="0"/>
    <n v="1"/>
    <n v="0"/>
  </r>
  <r>
    <x v="84"/>
    <s v="Draw"/>
    <n v="1"/>
    <n v="2"/>
    <n v="2"/>
    <x v="56"/>
    <s v="2|19000102|46258"/>
    <n v="4"/>
    <n v="2026"/>
    <n v="8"/>
    <s v="Current"/>
    <x v="4"/>
    <s v="Draw"/>
    <b v="0"/>
    <n v="0"/>
    <n v="0"/>
    <n v="1"/>
    <n v="0"/>
  </r>
  <r>
    <x v="84"/>
    <s v="Draw"/>
    <n v="1"/>
    <n v="2"/>
    <n v="2"/>
    <x v="56"/>
    <s v="2|19000102|46258"/>
    <n v="4"/>
    <n v="2026"/>
    <n v="8"/>
    <s v="Current"/>
    <x v="18"/>
    <s v="Draw"/>
    <b v="0"/>
    <n v="0"/>
    <n v="0"/>
    <n v="1"/>
    <n v="0"/>
  </r>
  <r>
    <x v="84"/>
    <s v="Draw"/>
    <n v="1"/>
    <n v="2"/>
    <n v="2"/>
    <x v="56"/>
    <s v="2|19000102|46258"/>
    <n v="4"/>
    <n v="2026"/>
    <n v="8"/>
    <s v="Current"/>
    <x v="24"/>
    <s v="Draw"/>
    <b v="0"/>
    <n v="0"/>
    <n v="0"/>
    <n v="1"/>
    <n v="0"/>
  </r>
  <r>
    <x v="4"/>
    <s v="Draw"/>
    <n v="2"/>
    <n v="2"/>
    <n v="2"/>
    <x v="56"/>
    <s v="2|19000102|46258"/>
    <n v="4"/>
    <n v="2026"/>
    <n v="8"/>
    <s v="Current"/>
    <x v="84"/>
    <s v="Draw"/>
    <b v="0"/>
    <n v="0"/>
    <n v="0"/>
    <n v="1"/>
    <n v="0"/>
  </r>
  <r>
    <x v="4"/>
    <s v="Draw"/>
    <n v="2"/>
    <n v="2"/>
    <n v="2"/>
    <x v="56"/>
    <s v="2|19000102|46258"/>
    <n v="4"/>
    <n v="2026"/>
    <n v="8"/>
    <s v="Current"/>
    <x v="18"/>
    <s v="Draw"/>
    <b v="0"/>
    <n v="0"/>
    <n v="0"/>
    <n v="1"/>
    <n v="0"/>
  </r>
  <r>
    <x v="4"/>
    <s v="Draw"/>
    <n v="2"/>
    <n v="2"/>
    <n v="2"/>
    <x v="56"/>
    <s v="2|19000102|46258"/>
    <n v="4"/>
    <n v="2026"/>
    <n v="8"/>
    <s v="Current"/>
    <x v="24"/>
    <s v="Draw"/>
    <b v="0"/>
    <n v="0"/>
    <n v="0"/>
    <n v="1"/>
    <n v="0"/>
  </r>
  <r>
    <x v="18"/>
    <s v="Draw"/>
    <n v="3"/>
    <n v="2"/>
    <n v="2"/>
    <x v="56"/>
    <s v="2|19000102|46258"/>
    <n v="4"/>
    <n v="2026"/>
    <n v="8"/>
    <s v="Current"/>
    <x v="84"/>
    <s v="Draw"/>
    <b v="0"/>
    <n v="0"/>
    <n v="0"/>
    <n v="1"/>
    <n v="0"/>
  </r>
  <r>
    <x v="18"/>
    <s v="Draw"/>
    <n v="3"/>
    <n v="2"/>
    <n v="2"/>
    <x v="56"/>
    <s v="2|19000102|46258"/>
    <n v="4"/>
    <n v="2026"/>
    <n v="8"/>
    <s v="Current"/>
    <x v="4"/>
    <s v="Draw"/>
    <b v="0"/>
    <n v="0"/>
    <n v="0"/>
    <n v="1"/>
    <n v="0"/>
  </r>
  <r>
    <x v="18"/>
    <s v="Draw"/>
    <n v="3"/>
    <n v="2"/>
    <n v="2"/>
    <x v="56"/>
    <s v="2|19000102|46258"/>
    <n v="4"/>
    <n v="2026"/>
    <n v="8"/>
    <s v="Current"/>
    <x v="24"/>
    <s v="Draw"/>
    <b v="0"/>
    <n v="0"/>
    <n v="0"/>
    <n v="1"/>
    <n v="0"/>
  </r>
  <r>
    <x v="24"/>
    <s v="Draw"/>
    <n v="4"/>
    <n v="2"/>
    <n v="2"/>
    <x v="56"/>
    <s v="2|19000102|46258"/>
    <n v="4"/>
    <n v="2026"/>
    <n v="8"/>
    <s v="Current"/>
    <x v="84"/>
    <s v="Draw"/>
    <b v="0"/>
    <n v="0"/>
    <n v="0"/>
    <n v="1"/>
    <n v="0"/>
  </r>
  <r>
    <x v="24"/>
    <s v="Draw"/>
    <n v="4"/>
    <n v="2"/>
    <n v="2"/>
    <x v="56"/>
    <s v="2|19000102|46258"/>
    <n v="4"/>
    <n v="2026"/>
    <n v="8"/>
    <s v="Current"/>
    <x v="4"/>
    <s v="Draw"/>
    <b v="0"/>
    <n v="0"/>
    <n v="0"/>
    <n v="1"/>
    <n v="0"/>
  </r>
  <r>
    <x v="24"/>
    <s v="Draw"/>
    <n v="4"/>
    <n v="2"/>
    <n v="2"/>
    <x v="56"/>
    <s v="2|19000102|46258"/>
    <n v="4"/>
    <n v="2026"/>
    <n v="8"/>
    <s v="Current"/>
    <x v="18"/>
    <s v="Draw"/>
    <b v="0"/>
    <n v="0"/>
    <n v="0"/>
    <n v="1"/>
    <n v="0"/>
  </r>
  <r>
    <x v="46"/>
    <s v="Draw"/>
    <n v="1"/>
    <n v="3"/>
    <n v="2"/>
    <x v="56"/>
    <s v="3|19000102|46258"/>
    <n v="3"/>
    <n v="2026"/>
    <n v="8"/>
    <s v="Current"/>
    <x v="17"/>
    <s v="Draw"/>
    <b v="0"/>
    <n v="0"/>
    <n v="0"/>
    <n v="1"/>
    <n v="0"/>
  </r>
  <r>
    <x v="46"/>
    <s v="Draw"/>
    <n v="1"/>
    <n v="3"/>
    <n v="2"/>
    <x v="56"/>
    <s v="3|19000102|46258"/>
    <n v="3"/>
    <n v="2026"/>
    <n v="8"/>
    <s v="Current"/>
    <x v="7"/>
    <s v="Draw"/>
    <b v="0"/>
    <n v="0"/>
    <n v="0"/>
    <n v="1"/>
    <n v="0"/>
  </r>
  <r>
    <x v="17"/>
    <s v="Draw"/>
    <n v="2"/>
    <n v="3"/>
    <n v="2"/>
    <x v="56"/>
    <s v="3|19000102|46258"/>
    <n v="3"/>
    <n v="2026"/>
    <n v="8"/>
    <s v="Current"/>
    <x v="46"/>
    <s v="Draw"/>
    <b v="0"/>
    <n v="0"/>
    <n v="0"/>
    <n v="1"/>
    <n v="0"/>
  </r>
  <r>
    <x v="17"/>
    <s v="Draw"/>
    <n v="2"/>
    <n v="3"/>
    <n v="2"/>
    <x v="56"/>
    <s v="3|19000102|46258"/>
    <n v="3"/>
    <n v="2026"/>
    <n v="8"/>
    <s v="Current"/>
    <x v="7"/>
    <s v="Draw"/>
    <b v="0"/>
    <n v="0"/>
    <n v="0"/>
    <n v="1"/>
    <n v="0"/>
  </r>
  <r>
    <x v="7"/>
    <s v="Draw"/>
    <n v="3"/>
    <n v="3"/>
    <n v="2"/>
    <x v="56"/>
    <s v="3|19000102|46258"/>
    <n v="3"/>
    <n v="2026"/>
    <n v="8"/>
    <s v="Current"/>
    <x v="46"/>
    <s v="Draw"/>
    <b v="0"/>
    <n v="0"/>
    <n v="0"/>
    <n v="1"/>
    <n v="0"/>
  </r>
  <r>
    <x v="7"/>
    <s v="Draw"/>
    <n v="3"/>
    <n v="3"/>
    <n v="2"/>
    <x v="56"/>
    <s v="3|19000102|46258"/>
    <n v="3"/>
    <n v="2026"/>
    <n v="8"/>
    <s v="Current"/>
    <x v="17"/>
    <s v="Draw"/>
    <b v="0"/>
    <n v="0"/>
    <n v="0"/>
    <n v="1"/>
    <n v="0"/>
  </r>
  <r>
    <x v="44"/>
    <s v="Loss"/>
    <n v="1"/>
    <n v="4"/>
    <n v="2"/>
    <x v="56"/>
    <s v="4|19000102|46258"/>
    <n v="6"/>
    <n v="2026"/>
    <n v="8"/>
    <s v="Current"/>
    <x v="1"/>
    <s v="Loss"/>
    <b v="0"/>
    <n v="0"/>
    <n v="1"/>
    <n v="0"/>
    <n v="0"/>
  </r>
  <r>
    <x v="44"/>
    <s v="Loss"/>
    <n v="1"/>
    <n v="4"/>
    <n v="2"/>
    <x v="56"/>
    <s v="4|19000102|46258"/>
    <n v="6"/>
    <n v="2026"/>
    <n v="8"/>
    <s v="Current"/>
    <x v="32"/>
    <s v="Loss"/>
    <b v="0"/>
    <n v="0"/>
    <n v="1"/>
    <n v="0"/>
    <n v="0"/>
  </r>
  <r>
    <x v="44"/>
    <s v="Loss"/>
    <n v="1"/>
    <n v="4"/>
    <n v="2"/>
    <x v="56"/>
    <s v="4|19000102|46258"/>
    <n v="6"/>
    <n v="2026"/>
    <n v="8"/>
    <s v="Current"/>
    <x v="70"/>
    <s v="Win"/>
    <b v="0"/>
    <n v="0"/>
    <n v="1"/>
    <n v="0"/>
    <n v="1"/>
  </r>
  <r>
    <x v="44"/>
    <s v="Loss"/>
    <n v="1"/>
    <n v="4"/>
    <n v="2"/>
    <x v="56"/>
    <s v="4|19000102|46258"/>
    <n v="6"/>
    <n v="2026"/>
    <n v="8"/>
    <s v="Current"/>
    <x v="90"/>
    <s v="Loss"/>
    <b v="0"/>
    <n v="0"/>
    <n v="1"/>
    <n v="0"/>
    <n v="0"/>
  </r>
  <r>
    <x v="44"/>
    <s v="Loss"/>
    <n v="1"/>
    <n v="4"/>
    <n v="2"/>
    <x v="56"/>
    <s v="4|19000102|46258"/>
    <n v="6"/>
    <n v="2026"/>
    <n v="8"/>
    <s v="Current"/>
    <x v="43"/>
    <s v="Loss"/>
    <b v="0"/>
    <n v="0"/>
    <n v="1"/>
    <n v="0"/>
    <n v="0"/>
  </r>
  <r>
    <x v="2"/>
    <s v="Loss"/>
    <n v="2"/>
    <n v="4"/>
    <n v="2"/>
    <x v="56"/>
    <s v="4|19000102|46258"/>
    <n v="6"/>
    <n v="2026"/>
    <n v="8"/>
    <s v="Current"/>
    <x v="44"/>
    <s v="Loss"/>
    <b v="0"/>
    <n v="0"/>
    <n v="1"/>
    <n v="0"/>
    <n v="0"/>
  </r>
  <r>
    <x v="2"/>
    <s v="Loss"/>
    <n v="2"/>
    <n v="4"/>
    <n v="2"/>
    <x v="56"/>
    <s v="4|19000102|46258"/>
    <n v="6"/>
    <n v="2026"/>
    <n v="8"/>
    <s v="Current"/>
    <x v="32"/>
    <s v="Loss"/>
    <b v="0"/>
    <n v="0"/>
    <n v="1"/>
    <n v="0"/>
    <n v="0"/>
  </r>
  <r>
    <x v="2"/>
    <s v="Loss"/>
    <n v="2"/>
    <n v="4"/>
    <n v="2"/>
    <x v="56"/>
    <s v="4|19000102|46258"/>
    <n v="6"/>
    <n v="2026"/>
    <n v="8"/>
    <s v="Current"/>
    <x v="70"/>
    <s v="Win"/>
    <b v="0"/>
    <n v="0"/>
    <n v="1"/>
    <n v="0"/>
    <n v="1"/>
  </r>
  <r>
    <x v="2"/>
    <s v="Loss"/>
    <n v="2"/>
    <n v="4"/>
    <n v="2"/>
    <x v="56"/>
    <s v="4|19000102|46258"/>
    <n v="6"/>
    <n v="2026"/>
    <n v="8"/>
    <s v="Current"/>
    <x v="90"/>
    <s v="Loss"/>
    <b v="0"/>
    <n v="0"/>
    <n v="1"/>
    <n v="0"/>
    <n v="0"/>
  </r>
  <r>
    <x v="2"/>
    <s v="Loss"/>
    <n v="2"/>
    <n v="4"/>
    <n v="2"/>
    <x v="56"/>
    <s v="4|19000102|46258"/>
    <n v="6"/>
    <n v="2026"/>
    <n v="8"/>
    <s v="Current"/>
    <x v="43"/>
    <s v="Loss"/>
    <b v="0"/>
    <n v="0"/>
    <n v="1"/>
    <n v="0"/>
    <n v="0"/>
  </r>
  <r>
    <x v="32"/>
    <s v="Loss"/>
    <n v="3"/>
    <n v="4"/>
    <n v="2"/>
    <x v="56"/>
    <s v="4|19000102|46258"/>
    <n v="6"/>
    <n v="2026"/>
    <n v="8"/>
    <s v="Current"/>
    <x v="44"/>
    <s v="Loss"/>
    <b v="0"/>
    <n v="0"/>
    <n v="1"/>
    <n v="0"/>
    <n v="0"/>
  </r>
  <r>
    <x v="32"/>
    <s v="Loss"/>
    <n v="3"/>
    <n v="4"/>
    <n v="2"/>
    <x v="56"/>
    <s v="4|19000102|46258"/>
    <n v="6"/>
    <n v="2026"/>
    <n v="8"/>
    <s v="Current"/>
    <x v="1"/>
    <s v="Loss"/>
    <b v="0"/>
    <n v="0"/>
    <n v="1"/>
    <n v="0"/>
    <n v="0"/>
  </r>
  <r>
    <x v="32"/>
    <s v="Loss"/>
    <n v="3"/>
    <n v="4"/>
    <n v="2"/>
    <x v="56"/>
    <s v="4|19000102|46258"/>
    <n v="6"/>
    <n v="2026"/>
    <n v="8"/>
    <s v="Current"/>
    <x v="70"/>
    <s v="Win"/>
    <b v="0"/>
    <n v="0"/>
    <n v="1"/>
    <n v="0"/>
    <n v="1"/>
  </r>
  <r>
    <x v="32"/>
    <s v="Loss"/>
    <n v="3"/>
    <n v="4"/>
    <n v="2"/>
    <x v="56"/>
    <s v="4|19000102|46258"/>
    <n v="6"/>
    <n v="2026"/>
    <n v="8"/>
    <s v="Current"/>
    <x v="90"/>
    <s v="Loss"/>
    <b v="0"/>
    <n v="0"/>
    <n v="1"/>
    <n v="0"/>
    <n v="0"/>
  </r>
  <r>
    <x v="32"/>
    <s v="Loss"/>
    <n v="3"/>
    <n v="4"/>
    <n v="2"/>
    <x v="56"/>
    <s v="4|19000102|46258"/>
    <n v="6"/>
    <n v="2026"/>
    <n v="8"/>
    <s v="Current"/>
    <x v="43"/>
    <s v="Loss"/>
    <b v="0"/>
    <n v="0"/>
    <n v="1"/>
    <n v="0"/>
    <n v="0"/>
  </r>
  <r>
    <x v="70"/>
    <s v="Win"/>
    <n v="4"/>
    <n v="4"/>
    <n v="2"/>
    <x v="56"/>
    <s v="4|19000102|46258"/>
    <n v="6"/>
    <n v="2026"/>
    <n v="8"/>
    <s v="Current"/>
    <x v="44"/>
    <s v="Loss"/>
    <b v="0"/>
    <n v="1"/>
    <n v="0"/>
    <n v="0"/>
    <n v="0"/>
  </r>
  <r>
    <x v="70"/>
    <s v="Win"/>
    <n v="4"/>
    <n v="4"/>
    <n v="2"/>
    <x v="56"/>
    <s v="4|19000102|46258"/>
    <n v="6"/>
    <n v="2026"/>
    <n v="8"/>
    <s v="Current"/>
    <x v="1"/>
    <s v="Loss"/>
    <b v="0"/>
    <n v="1"/>
    <n v="0"/>
    <n v="0"/>
    <n v="0"/>
  </r>
  <r>
    <x v="70"/>
    <s v="Win"/>
    <n v="4"/>
    <n v="4"/>
    <n v="2"/>
    <x v="56"/>
    <s v="4|19000102|46258"/>
    <n v="6"/>
    <n v="2026"/>
    <n v="8"/>
    <s v="Current"/>
    <x v="32"/>
    <s v="Loss"/>
    <b v="0"/>
    <n v="1"/>
    <n v="0"/>
    <n v="0"/>
    <n v="0"/>
  </r>
  <r>
    <x v="70"/>
    <s v="Win"/>
    <n v="4"/>
    <n v="4"/>
    <n v="2"/>
    <x v="56"/>
    <s v="4|19000102|46258"/>
    <n v="6"/>
    <n v="2026"/>
    <n v="8"/>
    <s v="Current"/>
    <x v="90"/>
    <s v="Loss"/>
    <b v="0"/>
    <n v="1"/>
    <n v="0"/>
    <n v="0"/>
    <n v="0"/>
  </r>
  <r>
    <x v="70"/>
    <s v="Win"/>
    <n v="4"/>
    <n v="4"/>
    <n v="2"/>
    <x v="56"/>
    <s v="4|19000102|46258"/>
    <n v="6"/>
    <n v="2026"/>
    <n v="8"/>
    <s v="Current"/>
    <x v="43"/>
    <s v="Loss"/>
    <b v="0"/>
    <n v="1"/>
    <n v="0"/>
    <n v="0"/>
    <n v="0"/>
  </r>
  <r>
    <x v="90"/>
    <s v="Loss"/>
    <n v="5"/>
    <n v="4"/>
    <n v="2"/>
    <x v="56"/>
    <s v="4|19000102|46258"/>
    <n v="6"/>
    <n v="2026"/>
    <n v="8"/>
    <s v="Current"/>
    <x v="44"/>
    <s v="Loss"/>
    <b v="0"/>
    <n v="0"/>
    <n v="1"/>
    <n v="0"/>
    <n v="0"/>
  </r>
  <r>
    <x v="90"/>
    <s v="Loss"/>
    <n v="5"/>
    <n v="4"/>
    <n v="2"/>
    <x v="56"/>
    <s v="4|19000102|46258"/>
    <n v="6"/>
    <n v="2026"/>
    <n v="8"/>
    <s v="Current"/>
    <x v="1"/>
    <s v="Loss"/>
    <b v="0"/>
    <n v="0"/>
    <n v="1"/>
    <n v="0"/>
    <n v="0"/>
  </r>
  <r>
    <x v="90"/>
    <s v="Loss"/>
    <n v="5"/>
    <n v="4"/>
    <n v="2"/>
    <x v="56"/>
    <s v="4|19000102|46258"/>
    <n v="6"/>
    <n v="2026"/>
    <n v="8"/>
    <s v="Current"/>
    <x v="32"/>
    <s v="Loss"/>
    <b v="0"/>
    <n v="0"/>
    <n v="1"/>
    <n v="0"/>
    <n v="0"/>
  </r>
  <r>
    <x v="90"/>
    <s v="Loss"/>
    <n v="5"/>
    <n v="4"/>
    <n v="2"/>
    <x v="56"/>
    <s v="4|19000102|46258"/>
    <n v="6"/>
    <n v="2026"/>
    <n v="8"/>
    <s v="Current"/>
    <x v="70"/>
    <s v="Win"/>
    <b v="0"/>
    <n v="0"/>
    <n v="1"/>
    <n v="0"/>
    <n v="1"/>
  </r>
  <r>
    <x v="90"/>
    <s v="Loss"/>
    <n v="5"/>
    <n v="4"/>
    <n v="2"/>
    <x v="56"/>
    <s v="4|19000102|46258"/>
    <n v="6"/>
    <n v="2026"/>
    <n v="8"/>
    <s v="Current"/>
    <x v="43"/>
    <s v="Loss"/>
    <b v="0"/>
    <n v="0"/>
    <n v="1"/>
    <n v="0"/>
    <n v="0"/>
  </r>
  <r>
    <x v="43"/>
    <s v="Loss"/>
    <n v="6"/>
    <n v="4"/>
    <n v="2"/>
    <x v="56"/>
    <s v="4|19000102|46258"/>
    <n v="6"/>
    <n v="2026"/>
    <n v="8"/>
    <s v="Current"/>
    <x v="44"/>
    <s v="Loss"/>
    <b v="0"/>
    <n v="0"/>
    <n v="1"/>
    <n v="0"/>
    <n v="0"/>
  </r>
  <r>
    <x v="43"/>
    <s v="Loss"/>
    <n v="6"/>
    <n v="4"/>
    <n v="2"/>
    <x v="56"/>
    <s v="4|19000102|46258"/>
    <n v="6"/>
    <n v="2026"/>
    <n v="8"/>
    <s v="Current"/>
    <x v="1"/>
    <s v="Loss"/>
    <b v="0"/>
    <n v="0"/>
    <n v="1"/>
    <n v="0"/>
    <n v="0"/>
  </r>
  <r>
    <x v="43"/>
    <s v="Loss"/>
    <n v="6"/>
    <n v="4"/>
    <n v="2"/>
    <x v="56"/>
    <s v="4|19000102|46258"/>
    <n v="6"/>
    <n v="2026"/>
    <n v="8"/>
    <s v="Current"/>
    <x v="32"/>
    <s v="Loss"/>
    <b v="0"/>
    <n v="0"/>
    <n v="1"/>
    <n v="0"/>
    <n v="0"/>
  </r>
  <r>
    <x v="43"/>
    <s v="Loss"/>
    <n v="6"/>
    <n v="4"/>
    <n v="2"/>
    <x v="56"/>
    <s v="4|19000102|46258"/>
    <n v="6"/>
    <n v="2026"/>
    <n v="8"/>
    <s v="Current"/>
    <x v="70"/>
    <s v="Win"/>
    <b v="0"/>
    <n v="0"/>
    <n v="1"/>
    <n v="0"/>
    <n v="1"/>
  </r>
  <r>
    <x v="43"/>
    <s v="Loss"/>
    <n v="6"/>
    <n v="4"/>
    <n v="2"/>
    <x v="56"/>
    <s v="4|19000102|46258"/>
    <n v="6"/>
    <n v="2026"/>
    <n v="8"/>
    <s v="Current"/>
    <x v="90"/>
    <s v="Loss"/>
    <b v="0"/>
    <n v="0"/>
    <n v="1"/>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5">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1"/>
  </r>
  <r>
    <x v="1"/>
    <x v="2"/>
    <x v="0"/>
    <n v="1"/>
    <n v="1"/>
    <d v="2026-08-24T00:00:00"/>
    <s v="1|19000101|46258"/>
    <x v="0"/>
    <x v="1"/>
    <x v="4"/>
    <x v="1"/>
  </r>
  <r>
    <x v="70"/>
    <x v="2"/>
    <x v="1"/>
    <n v="1"/>
    <n v="1"/>
    <d v="2026-08-24T00:00:00"/>
    <s v="1|19000101|46258"/>
    <x v="0"/>
    <x v="1"/>
    <x v="4"/>
    <x v="1"/>
  </r>
  <r>
    <x v="57"/>
    <x v="2"/>
    <x v="2"/>
    <n v="1"/>
    <n v="1"/>
    <d v="2026-08-24T00:00:00"/>
    <s v="1|19000101|46258"/>
    <x v="0"/>
    <x v="1"/>
    <x v="4"/>
    <x v="1"/>
  </r>
  <r>
    <x v="10"/>
    <x v="2"/>
    <x v="4"/>
    <n v="2"/>
    <n v="1"/>
    <d v="2026-08-24T00:00:00"/>
    <s v="2|19000101|46258"/>
    <x v="0"/>
    <x v="1"/>
    <x v="4"/>
    <x v="1"/>
  </r>
  <r>
    <x v="93"/>
    <x v="2"/>
    <x v="0"/>
    <n v="2"/>
    <n v="1"/>
    <d v="2026-08-24T00:00:00"/>
    <s v="2|19000101|46258"/>
    <x v="0"/>
    <x v="1"/>
    <x v="4"/>
    <x v="1"/>
  </r>
  <r>
    <x v="9"/>
    <x v="2"/>
    <x v="1"/>
    <n v="2"/>
    <n v="1"/>
    <d v="2026-08-24T00:00:00"/>
    <s v="2|19000101|46258"/>
    <x v="0"/>
    <x v="1"/>
    <x v="4"/>
    <x v="1"/>
  </r>
  <r>
    <x v="84"/>
    <x v="2"/>
    <x v="2"/>
    <n v="2"/>
    <n v="1"/>
    <d v="2026-08-24T00:00:00"/>
    <s v="2|19000101|46258"/>
    <x v="0"/>
    <x v="1"/>
    <x v="4"/>
    <x v="1"/>
  </r>
  <r>
    <x v="42"/>
    <x v="0"/>
    <x v="4"/>
    <n v="3"/>
    <n v="1"/>
    <d v="2026-08-24T00:00:00"/>
    <s v="3|19000101|46258"/>
    <x v="0"/>
    <x v="1"/>
    <x v="4"/>
    <x v="1"/>
  </r>
  <r>
    <x v="37"/>
    <x v="1"/>
    <x v="0"/>
    <n v="3"/>
    <n v="1"/>
    <d v="2026-08-24T00:00:00"/>
    <s v="3|19000101|46258"/>
    <x v="0"/>
    <x v="1"/>
    <x v="4"/>
    <x v="1"/>
  </r>
  <r>
    <x v="27"/>
    <x v="1"/>
    <x v="1"/>
    <n v="3"/>
    <n v="1"/>
    <d v="2026-08-24T00:00:00"/>
    <s v="3|19000101|46258"/>
    <x v="0"/>
    <x v="1"/>
    <x v="4"/>
    <x v="1"/>
  </r>
  <r>
    <x v="18"/>
    <x v="1"/>
    <x v="2"/>
    <n v="3"/>
    <n v="1"/>
    <d v="2026-08-24T00:00:00"/>
    <s v="3|19000101|46258"/>
    <x v="0"/>
    <x v="1"/>
    <x v="4"/>
    <x v="1"/>
  </r>
  <r>
    <x v="58"/>
    <x v="1"/>
    <x v="4"/>
    <n v="4"/>
    <n v="1"/>
    <d v="2026-08-24T00:00:00"/>
    <s v="4|19000101|46258"/>
    <x v="2"/>
    <x v="1"/>
    <x v="4"/>
    <x v="1"/>
  </r>
  <r>
    <x v="11"/>
    <x v="1"/>
    <x v="0"/>
    <n v="4"/>
    <n v="1"/>
    <d v="2026-08-24T00:00:00"/>
    <s v="4|19000101|46258"/>
    <x v="2"/>
    <x v="1"/>
    <x v="4"/>
    <x v="1"/>
  </r>
  <r>
    <x v="8"/>
    <x v="0"/>
    <x v="1"/>
    <n v="4"/>
    <n v="1"/>
    <d v="2026-08-24T00:00:00"/>
    <s v="4|19000101|46258"/>
    <x v="2"/>
    <x v="1"/>
    <x v="4"/>
    <x v="1"/>
  </r>
  <r>
    <x v="28"/>
    <x v="1"/>
    <x v="4"/>
    <n v="5"/>
    <n v="1"/>
    <d v="2026-08-24T00:00:00"/>
    <s v="5|19000101|46258"/>
    <x v="2"/>
    <x v="1"/>
    <x v="4"/>
    <x v="1"/>
  </r>
  <r>
    <x v="15"/>
    <x v="0"/>
    <x v="0"/>
    <n v="5"/>
    <n v="1"/>
    <d v="2026-08-24T00:00:00"/>
    <s v="5|19000101|46258"/>
    <x v="2"/>
    <x v="1"/>
    <x v="4"/>
    <x v="1"/>
  </r>
  <r>
    <x v="90"/>
    <x v="1"/>
    <x v="1"/>
    <n v="5"/>
    <n v="1"/>
    <d v="2026-08-24T00:00:00"/>
    <s v="5|19000101|46258"/>
    <x v="2"/>
    <x v="1"/>
    <x v="4"/>
    <x v="1"/>
  </r>
  <r>
    <x v="9"/>
    <x v="2"/>
    <x v="4"/>
    <n v="1"/>
    <n v="2"/>
    <d v="2026-08-24T00:00:00"/>
    <s v="1|19000102|46258"/>
    <x v="0"/>
    <x v="1"/>
    <x v="4"/>
    <x v="1"/>
  </r>
  <r>
    <x v="8"/>
    <x v="2"/>
    <x v="0"/>
    <n v="1"/>
    <n v="2"/>
    <d v="2026-08-24T00:00:00"/>
    <s v="1|19000102|46258"/>
    <x v="0"/>
    <x v="1"/>
    <x v="4"/>
    <x v="1"/>
  </r>
  <r>
    <x v="15"/>
    <x v="2"/>
    <x v="1"/>
    <n v="1"/>
    <n v="2"/>
    <d v="2026-08-24T00:00:00"/>
    <s v="1|19000102|46258"/>
    <x v="0"/>
    <x v="1"/>
    <x v="4"/>
    <x v="1"/>
  </r>
  <r>
    <x v="42"/>
    <x v="2"/>
    <x v="2"/>
    <n v="1"/>
    <n v="2"/>
    <d v="2026-08-24T00:00:00"/>
    <s v="1|19000102|46258"/>
    <x v="0"/>
    <x v="1"/>
    <x v="4"/>
    <x v="1"/>
  </r>
  <r>
    <x v="84"/>
    <x v="2"/>
    <x v="4"/>
    <n v="2"/>
    <n v="2"/>
    <d v="2026-08-24T00:00:00"/>
    <s v="2|19000102|46258"/>
    <x v="0"/>
    <x v="1"/>
    <x v="4"/>
    <x v="1"/>
  </r>
  <r>
    <x v="1"/>
    <x v="2"/>
    <x v="0"/>
    <n v="2"/>
    <n v="2"/>
    <d v="2026-08-24T00:00:00"/>
    <s v="2|19000102|46258"/>
    <x v="0"/>
    <x v="1"/>
    <x v="4"/>
    <x v="1"/>
  </r>
  <r>
    <x v="11"/>
    <x v="2"/>
    <x v="1"/>
    <n v="2"/>
    <n v="2"/>
    <d v="2026-08-24T00:00:00"/>
    <s v="2|19000102|46258"/>
    <x v="0"/>
    <x v="1"/>
    <x v="4"/>
    <x v="1"/>
  </r>
  <r>
    <x v="27"/>
    <x v="2"/>
    <x v="2"/>
    <n v="2"/>
    <n v="2"/>
    <d v="2026-08-24T00:00:00"/>
    <s v="2|19000102|46258"/>
    <x v="0"/>
    <x v="1"/>
    <x v="4"/>
    <x v="1"/>
  </r>
  <r>
    <x v="10"/>
    <x v="2"/>
    <x v="4"/>
    <n v="3"/>
    <n v="2"/>
    <d v="2026-08-24T00:00:00"/>
    <s v="3|19000102|46258"/>
    <x v="2"/>
    <x v="1"/>
    <x v="4"/>
    <x v="1"/>
  </r>
  <r>
    <x v="57"/>
    <x v="2"/>
    <x v="0"/>
    <n v="3"/>
    <n v="2"/>
    <d v="2026-08-24T00:00:00"/>
    <s v="3|19000102|46258"/>
    <x v="2"/>
    <x v="1"/>
    <x v="4"/>
    <x v="1"/>
  </r>
  <r>
    <x v="58"/>
    <x v="2"/>
    <x v="1"/>
    <n v="3"/>
    <n v="2"/>
    <d v="2026-08-24T00:00:00"/>
    <s v="3|19000102|46258"/>
    <x v="2"/>
    <x v="1"/>
    <x v="4"/>
    <x v="1"/>
  </r>
  <r>
    <x v="4"/>
    <x v="2"/>
    <x v="4"/>
    <n v="4"/>
    <n v="2"/>
    <d v="2026-08-24T00:00:00"/>
    <s v="4|19000102|46258"/>
    <x v="2"/>
    <x v="1"/>
    <x v="4"/>
    <x v="1"/>
  </r>
  <r>
    <x v="18"/>
    <x v="2"/>
    <x v="0"/>
    <n v="4"/>
    <n v="2"/>
    <d v="2026-08-24T00:00:00"/>
    <s v="4|19000102|46258"/>
    <x v="2"/>
    <x v="1"/>
    <x v="4"/>
    <x v="1"/>
  </r>
  <r>
    <x v="28"/>
    <x v="2"/>
    <x v="1"/>
    <n v="4"/>
    <n v="2"/>
    <d v="2026-08-24T00:00:00"/>
    <s v="4|19000102|46258"/>
    <x v="2"/>
    <x v="1"/>
    <x v="4"/>
    <x v="1"/>
  </r>
  <r>
    <x v="70"/>
    <x v="0"/>
    <x v="4"/>
    <n v="5"/>
    <n v="2"/>
    <d v="2026-08-24T00:00:00"/>
    <s v="5|19000102|46258"/>
    <x v="2"/>
    <x v="1"/>
    <x v="4"/>
    <x v="1"/>
  </r>
  <r>
    <x v="90"/>
    <x v="1"/>
    <x v="0"/>
    <n v="5"/>
    <n v="2"/>
    <d v="2026-08-24T00:00:00"/>
    <s v="5|19000102|46258"/>
    <x v="2"/>
    <x v="1"/>
    <x v="4"/>
    <x v="1"/>
  </r>
  <r>
    <x v="37"/>
    <x v="1"/>
    <x v="1"/>
    <n v="5"/>
    <n v="2"/>
    <d v="2026-08-24T00:00:00"/>
    <s v="5|19000102|46258"/>
    <x v="2"/>
    <x v="1"/>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0" firstHeaderRow="1" firstDataRow="2" firstDataCol="1" rowPageCount="2" colPageCount="1"/>
  <pivotFields count="11">
    <pivotField axis="axisRow" showAll="0">
      <items count="152">
        <item x="1"/>
        <item x="8"/>
        <item x="9"/>
        <item x="11"/>
        <item x="13"/>
        <item x="15"/>
        <item m="1" x="132"/>
        <item x="42"/>
        <item x="47"/>
        <item x="48"/>
        <item x="50"/>
        <item x="51"/>
        <item x="55"/>
        <item x="56"/>
        <item x="57"/>
        <item x="58"/>
        <item x="61"/>
        <item x="0"/>
        <item m="1" x="119"/>
        <item x="72"/>
        <item x="18"/>
        <item x="33"/>
        <item x="53"/>
        <item x="22"/>
        <item m="1" x="145"/>
        <item m="1" x="146"/>
        <item m="1" x="147"/>
        <item m="1" x="148"/>
        <item m="1" x="149"/>
        <item m="1" x="150"/>
        <item x="60"/>
        <item m="1" x="113"/>
        <item x="45"/>
        <item x="27"/>
        <item x="44"/>
        <item x="26"/>
        <item x="52"/>
        <item m="1" x="143"/>
        <item x="43"/>
        <item x="6"/>
        <item x="35"/>
        <item x="23"/>
        <item m="1" x="131"/>
        <item x="49"/>
        <item x="36"/>
        <item m="1" x="125"/>
        <item x="19"/>
        <item m="1" x="144"/>
        <item m="1" x="140"/>
        <item x="16"/>
        <item m="1" x="115"/>
        <item x="38"/>
        <item x="31"/>
        <item x="21"/>
        <item x="46"/>
        <item m="1" x="141"/>
        <item x="62"/>
        <item m="1" x="142"/>
        <item x="39"/>
        <item x="17"/>
        <item x="41"/>
        <item x="3"/>
        <item m="1" x="109"/>
        <item x="32"/>
        <item x="20"/>
        <item x="30"/>
        <item x="59"/>
        <item x="34"/>
        <item m="1" x="139"/>
        <item m="1" x="128"/>
        <item m="1" x="121"/>
        <item m="1" x="120"/>
        <item x="12"/>
        <item m="1" x="123"/>
        <item x="40"/>
        <item m="1" x="138"/>
        <item m="1" x="136"/>
        <item m="1" x="135"/>
        <item m="1" x="137"/>
        <item m="1" x="133"/>
        <item m="1" x="134"/>
        <item m="1" x="122"/>
        <item x="5"/>
        <item m="1" x="102"/>
        <item x="29"/>
        <item x="10"/>
        <item x="37"/>
        <item m="1" x="129"/>
        <item m="1" x="124"/>
        <item x="4"/>
        <item m="1" x="130"/>
        <item x="25"/>
        <item x="14"/>
        <item x="54"/>
        <item m="1" x="99"/>
        <item x="63"/>
        <item m="1" x="127"/>
        <item m="1" x="126"/>
        <item x="65"/>
        <item x="66"/>
        <item x="67"/>
        <item x="68"/>
        <item x="69"/>
        <item x="70"/>
        <item x="71"/>
        <item x="7"/>
        <item x="24"/>
        <item x="28"/>
        <item x="64"/>
        <item x="73"/>
        <item x="74"/>
        <item m="1" x="117"/>
        <item m="1" x="118"/>
        <item m="1" x="116"/>
        <item m="1" x="111"/>
        <item m="1" x="103"/>
        <item m="1" x="114"/>
        <item x="76"/>
        <item x="77"/>
        <item x="78"/>
        <item m="1" x="112"/>
        <item x="79"/>
        <item m="1" x="104"/>
        <item x="80"/>
        <item m="1" x="110"/>
        <item m="1" x="98"/>
        <item m="1" x="105"/>
        <item x="2"/>
        <item x="81"/>
        <item x="82"/>
        <item x="83"/>
        <item x="84"/>
        <item x="75"/>
        <item m="1" x="106"/>
        <item m="1" x="107"/>
        <item x="85"/>
        <item x="86"/>
        <item m="1" x="95"/>
        <item x="87"/>
        <item m="1" x="108"/>
        <item x="88"/>
        <item x="89"/>
        <item m="1" x="101"/>
        <item x="91"/>
        <item x="92"/>
        <item x="90"/>
        <item m="1" x="100"/>
        <item m="1" x="96"/>
        <item x="93"/>
        <item m="1" x="97"/>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axis="axisPage" showAll="0">
      <items count="4">
        <item x="1"/>
        <item x="0"/>
        <item m="1" x="2"/>
        <item t="default"/>
      </items>
    </pivotField>
  </pivotFields>
  <rowFields count="1">
    <field x="0"/>
  </rowFields>
  <rowItems count="34">
    <i>
      <x/>
    </i>
    <i>
      <x v="1"/>
    </i>
    <i>
      <x v="2"/>
    </i>
    <i>
      <x v="3"/>
    </i>
    <i>
      <x v="4"/>
    </i>
    <i>
      <x v="5"/>
    </i>
    <i>
      <x v="7"/>
    </i>
    <i>
      <x v="10"/>
    </i>
    <i>
      <x v="14"/>
    </i>
    <i>
      <x v="15"/>
    </i>
    <i>
      <x v="20"/>
    </i>
    <i>
      <x v="21"/>
    </i>
    <i>
      <x v="33"/>
    </i>
    <i>
      <x v="46"/>
    </i>
    <i>
      <x v="56"/>
    </i>
    <i>
      <x v="85"/>
    </i>
    <i>
      <x v="86"/>
    </i>
    <i>
      <x v="89"/>
    </i>
    <i>
      <x v="91"/>
    </i>
    <i>
      <x v="102"/>
    </i>
    <i>
      <x v="103"/>
    </i>
    <i>
      <x v="105"/>
    </i>
    <i>
      <x v="107"/>
    </i>
    <i>
      <x v="110"/>
    </i>
    <i>
      <x v="117"/>
    </i>
    <i>
      <x v="121"/>
    </i>
    <i>
      <x v="123"/>
    </i>
    <i>
      <x v="130"/>
    </i>
    <i>
      <x v="131"/>
    </i>
    <i>
      <x v="140"/>
    </i>
    <i>
      <x v="145"/>
    </i>
    <i>
      <x v="148"/>
    </i>
    <i>
      <x v="150"/>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3" firstHeaderRow="0" firstDataRow="1" firstDataCol="1" rowPageCount="1" colPageCount="1"/>
  <pivotFields count="22">
    <pivotField axis="axisPage" showAll="0">
      <items count="138">
        <item x="0"/>
        <item x="4"/>
        <item x="40"/>
        <item x="50"/>
        <item x="14"/>
        <item x="5"/>
        <item x="18"/>
        <item m="1" x="118"/>
        <item x="1"/>
        <item x="10"/>
        <item x="15"/>
        <item x="8"/>
        <item x="2"/>
        <item x="34"/>
        <item x="62"/>
        <item m="1" x="131"/>
        <item x="9"/>
        <item x="61"/>
        <item x="22"/>
        <item x="24"/>
        <item m="1" x="130"/>
        <item m="1" x="124"/>
        <item x="55"/>
        <item x="53"/>
        <item x="35"/>
        <item x="13"/>
        <item x="37"/>
        <item x="56"/>
        <item x="51"/>
        <item m="1" x="114"/>
        <item x="29"/>
        <item x="36"/>
        <item x="49"/>
        <item x="3"/>
        <item x="54"/>
        <item x="25"/>
        <item x="60"/>
        <item x="63"/>
        <item x="6"/>
        <item x="19"/>
        <item x="52"/>
        <item x="20"/>
        <item x="23"/>
        <item x="27"/>
        <item x="30"/>
        <item x="26"/>
        <item x="57"/>
        <item x="17"/>
        <item x="7"/>
        <item x="31"/>
        <item x="59"/>
        <item m="1" x="112"/>
        <item x="33"/>
        <item m="1" x="127"/>
        <item m="1" x="121"/>
        <item m="1" x="120"/>
        <item x="12"/>
        <item m="1" x="122"/>
        <item x="42"/>
        <item m="1" x="136"/>
        <item m="1" x="134"/>
        <item m="1" x="135"/>
        <item m="1" x="132"/>
        <item m="1" x="133"/>
        <item x="28"/>
        <item m="1" x="119"/>
        <item x="45"/>
        <item m="1" x="102"/>
        <item x="48"/>
        <item x="46"/>
        <item x="43"/>
        <item m="1" x="128"/>
        <item m="1" x="123"/>
        <item x="21"/>
        <item x="44"/>
        <item m="1" x="129"/>
        <item x="11"/>
        <item x="16"/>
        <item x="58"/>
        <item m="1" x="99"/>
        <item x="64"/>
        <item m="1" x="126"/>
        <item m="1" x="125"/>
        <item x="66"/>
        <item x="65"/>
        <item x="67"/>
        <item x="68"/>
        <item x="69"/>
        <item x="70"/>
        <item x="71"/>
        <item x="72"/>
        <item x="32"/>
        <item x="38"/>
        <item x="39"/>
        <item x="41"/>
        <item x="73"/>
        <item x="74"/>
        <item m="1" x="116"/>
        <item m="1" x="117"/>
        <item m="1" x="115"/>
        <item m="1" x="111"/>
        <item m="1" x="103"/>
        <item m="1" x="113"/>
        <item x="76"/>
        <item x="77"/>
        <item x="78"/>
        <item m="1" x="109"/>
        <item x="79"/>
        <item m="1" x="104"/>
        <item x="80"/>
        <item m="1" x="110"/>
        <item m="1" x="98"/>
        <item m="1" x="105"/>
        <item x="47"/>
        <item x="81"/>
        <item x="82"/>
        <item x="83"/>
        <item x="84"/>
        <item x="75"/>
        <item m="1" x="106"/>
        <item m="1" x="107"/>
        <item x="85"/>
        <item x="86"/>
        <item m="1" x="95"/>
        <item x="87"/>
        <item m="1" x="108"/>
        <item x="88"/>
        <item x="89"/>
        <item m="1" x="101"/>
        <item x="91"/>
        <item x="92"/>
        <item x="90"/>
        <item m="1" x="100"/>
        <item m="1" x="96"/>
        <item x="93"/>
        <item m="1" x="97"/>
        <item x="94"/>
        <item t="default"/>
      </items>
    </pivotField>
    <pivotField showAll="0"/>
    <pivotField showAll="0"/>
    <pivotField showAll="0"/>
    <pivotField showAll="0"/>
    <pivotField numFmtId="22" showAll="0">
      <items count="58">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t="default"/>
      </items>
    </pivotField>
    <pivotField dataField="1" showAll="0"/>
    <pivotField showAll="0"/>
    <pivotField showAll="0"/>
    <pivotField showAll="0"/>
    <pivotField showAll="0"/>
    <pivotField axis="axisRow" showAll="0" sortType="descending">
      <items count="138">
        <item x="3"/>
        <item x="4"/>
        <item x="40"/>
        <item x="50"/>
        <item x="14"/>
        <item x="5"/>
        <item x="18"/>
        <item m="1" x="118"/>
        <item x="0"/>
        <item x="10"/>
        <item x="15"/>
        <item x="8"/>
        <item x="1"/>
        <item x="34"/>
        <item x="62"/>
        <item m="1" x="131"/>
        <item x="9"/>
        <item x="61"/>
        <item x="22"/>
        <item x="24"/>
        <item m="1" x="130"/>
        <item m="1" x="124"/>
        <item x="55"/>
        <item x="53"/>
        <item x="35"/>
        <item x="13"/>
        <item x="37"/>
        <item x="56"/>
        <item x="51"/>
        <item m="1" x="114"/>
        <item x="29"/>
        <item x="36"/>
        <item x="49"/>
        <item x="2"/>
        <item x="54"/>
        <item x="25"/>
        <item x="60"/>
        <item x="63"/>
        <item x="6"/>
        <item x="19"/>
        <item x="52"/>
        <item x="20"/>
        <item x="23"/>
        <item x="27"/>
        <item x="30"/>
        <item x="26"/>
        <item x="57"/>
        <item x="17"/>
        <item x="7"/>
        <item x="31"/>
        <item x="59"/>
        <item m="1" x="112"/>
        <item x="33"/>
        <item m="1" x="127"/>
        <item m="1" x="121"/>
        <item m="1" x="120"/>
        <item x="12"/>
        <item m="1" x="122"/>
        <item x="42"/>
        <item m="1" x="136"/>
        <item m="1" x="134"/>
        <item m="1" x="135"/>
        <item m="1" x="132"/>
        <item m="1" x="133"/>
        <item x="28"/>
        <item m="1" x="119"/>
        <item x="45"/>
        <item x="47"/>
        <item m="1" x="102"/>
        <item x="46"/>
        <item x="43"/>
        <item m="1" x="128"/>
        <item m="1" x="123"/>
        <item x="21"/>
        <item x="44"/>
        <item m="1" x="129"/>
        <item x="11"/>
        <item x="16"/>
        <item x="58"/>
        <item m="1" x="99"/>
        <item x="64"/>
        <item m="1" x="126"/>
        <item m="1" x="125"/>
        <item x="65"/>
        <item x="66"/>
        <item x="67"/>
        <item x="68"/>
        <item x="69"/>
        <item x="70"/>
        <item x="71"/>
        <item x="72"/>
        <item x="32"/>
        <item x="38"/>
        <item x="39"/>
        <item x="41"/>
        <item x="73"/>
        <item x="74"/>
        <item m="1" x="116"/>
        <item m="1" x="117"/>
        <item m="1" x="115"/>
        <item m="1" x="111"/>
        <item m="1" x="103"/>
        <item m="1" x="113"/>
        <item x="76"/>
        <item x="77"/>
        <item x="78"/>
        <item m="1" x="109"/>
        <item x="79"/>
        <item m="1" x="104"/>
        <item m="1" x="110"/>
        <item x="80"/>
        <item m="1" x="98"/>
        <item m="1" x="105"/>
        <item x="48"/>
        <item x="81"/>
        <item x="82"/>
        <item x="83"/>
        <item x="84"/>
        <item x="75"/>
        <item m="1" x="107"/>
        <item x="85"/>
        <item m="1" x="106"/>
        <item x="86"/>
        <item m="1" x="95"/>
        <item x="87"/>
        <item m="1" x="108"/>
        <item x="88"/>
        <item x="89"/>
        <item m="1" x="101"/>
        <item x="91"/>
        <item x="92"/>
        <item x="90"/>
        <item m="1" x="100"/>
        <item m="1" x="96"/>
        <item x="93"/>
        <item m="1" x="97"/>
        <item x="9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0">
    <i>
      <x v="47"/>
    </i>
    <i>
      <x v="73"/>
    </i>
    <i>
      <x v="12"/>
    </i>
    <i>
      <x v="1"/>
    </i>
    <i>
      <x v="33"/>
    </i>
    <i>
      <x v="19"/>
    </i>
    <i>
      <x v="5"/>
    </i>
    <i>
      <x v="6"/>
    </i>
    <i>
      <x v="4"/>
    </i>
    <i>
      <x v="9"/>
    </i>
    <i>
      <x v="48"/>
    </i>
    <i>
      <x v="74"/>
    </i>
    <i>
      <x v="10"/>
    </i>
    <i>
      <x v="56"/>
    </i>
    <i>
      <x v="25"/>
    </i>
    <i>
      <x v="13"/>
    </i>
    <i>
      <x v="41"/>
    </i>
    <i>
      <x v="64"/>
    </i>
    <i>
      <x v="88"/>
    </i>
    <i>
      <x v="42"/>
    </i>
    <i>
      <x v="49"/>
    </i>
    <i>
      <x v="69"/>
    </i>
    <i>
      <x v="77"/>
    </i>
    <i>
      <x v="43"/>
    </i>
    <i>
      <x v="91"/>
    </i>
    <i>
      <x v="45"/>
    </i>
    <i>
      <x v="70"/>
    </i>
    <i>
      <x v="107"/>
    </i>
    <i>
      <x v="76"/>
    </i>
    <i>
      <x/>
    </i>
    <i>
      <x v="117"/>
    </i>
    <i>
      <x v="31"/>
    </i>
    <i>
      <x v="11"/>
    </i>
    <i>
      <x v="35"/>
    </i>
    <i>
      <x v="38"/>
    </i>
    <i>
      <x v="116"/>
    </i>
    <i>
      <x v="52"/>
    </i>
    <i>
      <x v="39"/>
    </i>
    <i>
      <x v="131"/>
    </i>
    <i>
      <x v="3"/>
    </i>
    <i>
      <x v="105"/>
    </i>
    <i>
      <x v="95"/>
    </i>
    <i>
      <x v="136"/>
    </i>
    <i>
      <x v="110"/>
    </i>
    <i>
      <x v="120"/>
    </i>
    <i>
      <x v="27"/>
    </i>
    <i>
      <x v="44"/>
    </i>
    <i>
      <x v="96"/>
    </i>
    <i>
      <x v="87"/>
    </i>
    <i>
      <x v="37"/>
    </i>
    <i>
      <x v="30"/>
    </i>
    <i>
      <x v="134"/>
    </i>
    <i>
      <x v="90"/>
    </i>
    <i>
      <x v="118"/>
    </i>
    <i>
      <x v="36"/>
    </i>
    <i>
      <x v="93"/>
    </i>
    <i>
      <x v="14"/>
    </i>
    <i>
      <x v="78"/>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9" firstHeaderRow="1" firstDataRow="2" firstDataCol="1" rowPageCount="1" colPageCount="1"/>
  <pivotFields count="11">
    <pivotField axis="axisRow" showAll="0">
      <items count="152">
        <item x="1"/>
        <item x="8"/>
        <item x="9"/>
        <item x="11"/>
        <item x="13"/>
        <item x="15"/>
        <item m="1" x="132"/>
        <item x="42"/>
        <item x="47"/>
        <item x="48"/>
        <item x="50"/>
        <item x="51"/>
        <item x="55"/>
        <item x="56"/>
        <item x="57"/>
        <item x="58"/>
        <item x="61"/>
        <item x="0"/>
        <item m="1" x="119"/>
        <item x="72"/>
        <item x="18"/>
        <item x="33"/>
        <item x="53"/>
        <item x="22"/>
        <item m="1" x="145"/>
        <item m="1" x="146"/>
        <item m="1" x="147"/>
        <item m="1" x="148"/>
        <item m="1" x="149"/>
        <item m="1" x="150"/>
        <item x="60"/>
        <item m="1" x="113"/>
        <item x="45"/>
        <item x="27"/>
        <item x="44"/>
        <item x="26"/>
        <item x="52"/>
        <item m="1" x="143"/>
        <item x="43"/>
        <item x="6"/>
        <item x="35"/>
        <item x="23"/>
        <item m="1" x="131"/>
        <item x="49"/>
        <item x="36"/>
        <item m="1" x="125"/>
        <item x="19"/>
        <item m="1" x="144"/>
        <item m="1" x="140"/>
        <item x="16"/>
        <item m="1" x="115"/>
        <item x="38"/>
        <item x="31"/>
        <item x="21"/>
        <item x="46"/>
        <item m="1" x="141"/>
        <item x="62"/>
        <item m="1" x="142"/>
        <item x="39"/>
        <item x="17"/>
        <item x="41"/>
        <item x="3"/>
        <item m="1" x="109"/>
        <item x="32"/>
        <item x="20"/>
        <item x="30"/>
        <item x="59"/>
        <item x="34"/>
        <item m="1" x="139"/>
        <item m="1" x="128"/>
        <item m="1" x="121"/>
        <item m="1" x="120"/>
        <item x="12"/>
        <item m="1" x="123"/>
        <item x="40"/>
        <item m="1" x="138"/>
        <item m="1" x="136"/>
        <item m="1" x="135"/>
        <item m="1" x="137"/>
        <item m="1" x="133"/>
        <item m="1" x="134"/>
        <item m="1" x="122"/>
        <item x="5"/>
        <item m="1" x="102"/>
        <item x="29"/>
        <item x="10"/>
        <item x="37"/>
        <item m="1" x="129"/>
        <item m="1" x="124"/>
        <item x="4"/>
        <item m="1" x="130"/>
        <item x="25"/>
        <item x="14"/>
        <item x="54"/>
        <item m="1" x="99"/>
        <item x="63"/>
        <item m="1" x="127"/>
        <item m="1" x="126"/>
        <item x="65"/>
        <item x="66"/>
        <item x="67"/>
        <item x="68"/>
        <item x="69"/>
        <item x="70"/>
        <item x="71"/>
        <item x="7"/>
        <item x="24"/>
        <item x="28"/>
        <item x="64"/>
        <item x="73"/>
        <item x="74"/>
        <item m="1" x="117"/>
        <item m="1" x="118"/>
        <item m="1" x="116"/>
        <item m="1" x="111"/>
        <item m="1" x="103"/>
        <item m="1" x="114"/>
        <item x="76"/>
        <item x="77"/>
        <item x="78"/>
        <item m="1" x="112"/>
        <item x="79"/>
        <item m="1" x="104"/>
        <item x="80"/>
        <item m="1" x="110"/>
        <item m="1" x="98"/>
        <item m="1" x="105"/>
        <item x="2"/>
        <item x="81"/>
        <item x="82"/>
        <item x="83"/>
        <item x="84"/>
        <item x="75"/>
        <item m="1" x="106"/>
        <item m="1" x="107"/>
        <item x="85"/>
        <item x="86"/>
        <item m="1" x="95"/>
        <item x="87"/>
        <item m="1" x="108"/>
        <item x="88"/>
        <item x="89"/>
        <item m="1" x="101"/>
        <item x="91"/>
        <item x="92"/>
        <item x="90"/>
        <item m="1" x="100"/>
        <item m="1" x="96"/>
        <item x="93"/>
        <item m="1" x="97"/>
        <item x="94"/>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showAll="0"/>
  </pivotFields>
  <rowFields count="1">
    <field x="0"/>
  </rowFields>
  <rowItems count="34">
    <i>
      <x/>
    </i>
    <i>
      <x v="1"/>
    </i>
    <i>
      <x v="2"/>
    </i>
    <i>
      <x v="3"/>
    </i>
    <i>
      <x v="4"/>
    </i>
    <i>
      <x v="5"/>
    </i>
    <i>
      <x v="7"/>
    </i>
    <i>
      <x v="10"/>
    </i>
    <i>
      <x v="14"/>
    </i>
    <i>
      <x v="15"/>
    </i>
    <i>
      <x v="20"/>
    </i>
    <i>
      <x v="21"/>
    </i>
    <i>
      <x v="33"/>
    </i>
    <i>
      <x v="46"/>
    </i>
    <i>
      <x v="56"/>
    </i>
    <i>
      <x v="85"/>
    </i>
    <i>
      <x v="86"/>
    </i>
    <i>
      <x v="89"/>
    </i>
    <i>
      <x v="91"/>
    </i>
    <i>
      <x v="102"/>
    </i>
    <i>
      <x v="103"/>
    </i>
    <i>
      <x v="105"/>
    </i>
    <i>
      <x v="107"/>
    </i>
    <i>
      <x v="110"/>
    </i>
    <i>
      <x v="117"/>
    </i>
    <i>
      <x v="121"/>
    </i>
    <i>
      <x v="123"/>
    </i>
    <i>
      <x v="130"/>
    </i>
    <i>
      <x v="131"/>
    </i>
    <i>
      <x v="140"/>
    </i>
    <i>
      <x v="145"/>
    </i>
    <i>
      <x v="148"/>
    </i>
    <i>
      <x v="150"/>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1"/>
        <filter val="10"/>
        <filter val="12"/>
        <filter val="14"/>
        <filter val="16"/>
        <filter val="2"/>
        <filter val="4"/>
        <filter val="6"/>
        <filter val="8"/>
        <filter val="9"/>
      </filters>
    </filterColumn>
  </autoFilter>
  <sortState xmlns:xlrd2="http://schemas.microsoft.com/office/spreadsheetml/2017/richdata2" ref="B5:P103">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055" totalsRowShown="0">
  <autoFilter ref="A1:K2055"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887" tableType="queryTable" totalsRowShown="0">
  <autoFilter ref="A1:R5887"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9"/>
    <tableColumn id="7" xr3:uid="{B4491C83-EB27-4EBF-850B-0C3D0CFCD92C}" uniqueName="7" name="Pod ID" queryTableFieldId="7" dataDxfId="8"/>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7"/>
    <tableColumn id="12" xr3:uid="{935BC677-B468-4C8F-9C07-5326743B624C}" uniqueName="12" name="Opponent" queryTableFieldId="12" dataDxfId="6"/>
    <tableColumn id="13" xr3:uid="{946B56DC-8905-459D-90F9-20709EF9401E}" uniqueName="13" name="Opponent Result" queryTableFieldId="13" dataDxfId="5"/>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zoomScaleNormal="100" workbookViewId="0">
      <selection activeCell="B34" sqref="B34"/>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0.45</v>
      </c>
      <c r="F5" s="8">
        <f>IF(View_Table[[#This Row],[Games]]=0,0,(View_Table[[#This Row],[Wins]] + (View_Table[[#This Row],[Draws]] * 0.25))/View_Table[[#This Row],[Games]])</f>
        <v>0.6071428571428571</v>
      </c>
      <c r="G5" s="5">
        <f>IFERROR(
    GETPIVOTDATA(
        "Result",
        'Pivot Table'!$A$3,
        "Player",View_Table[[#This Row],[Player]],
        "Result","Win"
    ),
    0
)</f>
        <v>7</v>
      </c>
      <c r="H5" s="5">
        <f>IFERROR(
    GETPIVOTDATA(
        "Result",
        'Pivot Table'!$A$3,
        "Player",View_Table[[#This Row],[Player]],
        "Result","Loss"
    ),
    0
)</f>
        <v>1</v>
      </c>
      <c r="I5" s="5">
        <f>IFERROR(
    GETPIVOTDATA(
        "Result",
        'Pivot Table'!$A$3,
        "Player",View_Table[[#This Row],[Player]],
        "Result","Draw"
    ),
    0
)</f>
        <v>6</v>
      </c>
      <c r="J5" s="5">
        <f>View_Table[[#This Row],[Wins]]+View_Table[[#This Row],[Losses]]+View_Table[[#This Row],[Draws]]</f>
        <v>14</v>
      </c>
      <c r="K5" s="7">
        <f>IFERROR(
    GETPIVOTDATA(
        "Result",
        'Pivot Table Previous'!$A$3,
        "Player",View_Table[[#This Row],[Player]],
        "Result","Win"
    ),
    0
)</f>
        <v>7</v>
      </c>
      <c r="L5" s="5">
        <f>IFERROR(
    GETPIVOTDATA(
        "Result",
        'Pivot Table Previous'!$A$3,
        "Player",View_Table[[#This Row],[Player]],
        "Result","Loss"
    ),
    0
)</f>
        <v>0</v>
      </c>
      <c r="M5" s="5">
        <f>IFERROR(
    GETPIVOTDATA(
        "Result",
        'Pivot Table Previous'!$A$3,
        "Player",View_Table[[#This Row],[Player]],
        "Result","Draw"
    ),
    0
)</f>
        <v>5</v>
      </c>
      <c r="N5" s="5">
        <f>View_Table[[#This Row],[Wins Previous]]+View_Table[[#This Row],[Losses Previous]]+View_Table[[#This Row],[Draws Previous]]</f>
        <v>12</v>
      </c>
      <c r="O5" s="9">
        <f>_xlfn.LET(_xlpm.g,View_Table[[#This Row],[Games Previous]], _xlpm.w,(View_Table[[#This Row],[Wins Previous]] + View_Table[[#This Row],[Draws Previous]] * 0.25), _xlpm.fake, MAX(0,25-_xlpm.g), IF(_xlpm.g=0,0,(_xlpm.w + _xlpm.fake*0.25)/(_xlpm.g + _xlpm.fake)))</f>
        <v>0.46</v>
      </c>
      <c r="P5" s="7">
        <f>_xlfn.RANK.EQ(View_Table[[#This Row],[Weighted Win% Previous]], View_Table[Weighted Win% Previous], 0)</f>
        <v>1</v>
      </c>
    </row>
    <row r="6" spans="2:16" x14ac:dyDescent="0.2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0.39</v>
      </c>
      <c r="F6" s="8">
        <f>IF(View_Table[[#This Row],[Games]]=0,0,(View_Table[[#This Row],[Wins]] + (View_Table[[#This Row],[Draws]] * 0.25))/View_Table[[#This Row],[Games]])</f>
        <v>0.5</v>
      </c>
      <c r="G6" s="5">
        <f>IFERROR(
    GETPIVOTDATA(
        "Result",
        'Pivot Table'!$A$3,
        "Player",View_Table[[#This Row],[Player]],
        "Result","Win"
    ),
    0
)</f>
        <v>6</v>
      </c>
      <c r="H6" s="5">
        <f>IFERROR(
    GETPIVOTDATA(
        "Result",
        'Pivot Table'!$A$3,
        "Player",View_Table[[#This Row],[Player]],
        "Result","Loss"
    ),
    0
)</f>
        <v>4</v>
      </c>
      <c r="I6" s="5">
        <f>IFERROR(
    GETPIVOTDATA(
        "Result",
        'Pivot Table'!$A$3,
        "Player",View_Table[[#This Row],[Player]],
        "Result","Draw"
    ),
    0
)</f>
        <v>4</v>
      </c>
      <c r="J6" s="5">
        <f>View_Table[[#This Row],[Wins]]+View_Table[[#This Row],[Losses]]+View_Table[[#This Row],[Draws]]</f>
        <v>14</v>
      </c>
      <c r="K6" s="7">
        <f>IFERROR(
    GETPIVOTDATA(
        "Result",
        'Pivot Table Previous'!$A$3,
        "Player",View_Table[[#This Row],[Player]],
        "Result","Win"
    ),
    0
)</f>
        <v>5</v>
      </c>
      <c r="L6" s="5">
        <f>IFERROR(
    GETPIVOTDATA(
        "Result",
        'Pivot Table Previous'!$A$3,
        "Player",View_Table[[#This Row],[Player]],
        "Result","Loss"
    ),
    0
)</f>
        <v>4</v>
      </c>
      <c r="M6" s="5">
        <f>IFERROR(
    GETPIVOTDATA(
        "Result",
        'Pivot Table Previous'!$A$3,
        "Player",View_Table[[#This Row],[Player]],
        "Result","Draw"
    ),
    0
)</f>
        <v>3</v>
      </c>
      <c r="N6" s="5">
        <f>View_Table[[#This Row],[Wins Previous]]+View_Table[[#This Row],[Losses Previous]]+View_Table[[#This Row],[Draws Previous]]</f>
        <v>12</v>
      </c>
      <c r="O6" s="9">
        <f>_xlfn.LET(_xlpm.g,View_Table[[#This Row],[Games Previous]], _xlpm.w,(View_Table[[#This Row],[Wins Previous]] + View_Table[[#This Row],[Draws Previous]] * 0.25), _xlpm.fake, MAX(0,25-_xlpm.g), IF(_xlpm.g=0,0,(_xlpm.w + _xlpm.fake*0.25)/(_xlpm.g + _xlpm.fake)))</f>
        <v>0.36</v>
      </c>
      <c r="P6" s="7">
        <f>_xlfn.RANK.EQ(View_Table[[#This Row],[Weighted Win% Previous]], View_Table[Weighted Win% Previous], 0)</f>
        <v>2</v>
      </c>
    </row>
    <row r="7" spans="2:16" hidden="1" x14ac:dyDescent="0.25">
      <c r="B7" s="3" t="s">
        <v>434</v>
      </c>
      <c r="C7" s="6">
        <f>View_Table[[#This Row],[Rank Previous]]-View_Table[[#This Row],[Rank]]</f>
        <v>0</v>
      </c>
      <c r="D7" s="7">
        <f>_xlfn.RANK.EQ(View_Table[[#This Row],[Weighted Win%]], View_Table[Weighted Win%], 0)</f>
        <v>33</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33</v>
      </c>
    </row>
    <row r="8" spans="2:16" x14ac:dyDescent="0.25">
      <c r="B8" s="3" t="s">
        <v>405</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0.37</v>
      </c>
      <c r="F8" s="8">
        <f>IF(View_Table[[#This Row],[Games]]=0,0,(View_Table[[#This Row],[Wins]] + (View_Table[[#This Row],[Draws]] * 0.25))/View_Table[[#This Row],[Games]])</f>
        <v>0.5</v>
      </c>
      <c r="G8" s="5">
        <f>IFERROR(
    GETPIVOTDATA(
        "Result",
        'Pivot Table'!$A$3,
        "Player",View_Table[[#This Row],[Player]],
        "Result","Win"
    ),
    0
)</f>
        <v>5</v>
      </c>
      <c r="H8" s="5">
        <f>IFERROR(
    GETPIVOTDATA(
        "Result",
        'Pivot Table'!$A$3,
        "Player",View_Table[[#This Row],[Player]],
        "Result","Loss"
    ),
    0
)</f>
        <v>3</v>
      </c>
      <c r="I8" s="5">
        <f>IFERROR(
    GETPIVOTDATA(
        "Result",
        'Pivot Table'!$A$3,
        "Player",View_Table[[#This Row],[Player]],
        "Result","Draw"
    ),
    0
)</f>
        <v>4</v>
      </c>
      <c r="J8" s="5">
        <f>View_Table[[#This Row],[Wins]]+View_Table[[#This Row],[Losses]]+View_Table[[#This Row],[Draws]]</f>
        <v>12</v>
      </c>
      <c r="K8" s="7">
        <f>IFERROR(
    GETPIVOTDATA(
        "Result",
        'Pivot Table Previous'!$A$3,
        "Player",View_Table[[#This Row],[Player]],
        "Result","Win"
    ),
    0
)</f>
        <v>4</v>
      </c>
      <c r="L8" s="5">
        <f>IFERROR(
    GETPIVOTDATA(
        "Result",
        'Pivot Table Previous'!$A$3,
        "Player",View_Table[[#This Row],[Player]],
        "Result","Loss"
    ),
    0
)</f>
        <v>3</v>
      </c>
      <c r="M8" s="5">
        <f>IFERROR(
    GETPIVOTDATA(
        "Result",
        'Pivot Table Previous'!$A$3,
        "Player",View_Table[[#This Row],[Player]],
        "Result","Draw"
    ),
    0
)</f>
        <v>3</v>
      </c>
      <c r="N8" s="5">
        <f>View_Table[[#This Row],[Wins Previous]]+View_Table[[#This Row],[Losses Previous]]+View_Table[[#This Row],[Draws Previous]]</f>
        <v>10</v>
      </c>
      <c r="O8" s="9">
        <f>_xlfn.LET(_xlpm.g,View_Table[[#This Row],[Games Previous]], _xlpm.w,(View_Table[[#This Row],[Wins Previous]] + View_Table[[#This Row],[Draws Previous]] * 0.25), _xlpm.fake, MAX(0,25-_xlpm.g), IF(_xlpm.g=0,0,(_xlpm.w + _xlpm.fake*0.25)/(_xlpm.g + _xlpm.fake)))</f>
        <v>0.34</v>
      </c>
      <c r="P8" s="7">
        <f>_xlfn.RANK.EQ(View_Table[[#This Row],[Weighted Win% Previous]], View_Table[Weighted Win% Previous], 0)</f>
        <v>3</v>
      </c>
    </row>
    <row r="9" spans="2:16" x14ac:dyDescent="0.25">
      <c r="B9" s="3" t="s">
        <v>7</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0.33</v>
      </c>
      <c r="F9" s="8">
        <f>IF(View_Table[[#This Row],[Games]]=0,0,(View_Table[[#This Row],[Wins]] + (View_Table[[#This Row],[Draws]] * 0.25))/View_Table[[#This Row],[Games]])</f>
        <v>0.39285714285714285</v>
      </c>
      <c r="G9" s="5">
        <f>IFERROR(
    GETPIVOTDATA(
        "Result",
        'Pivot Table'!$A$3,
        "Player",View_Table[[#This Row],[Player]],
        "Result","Win"
    ),
    0
)</f>
        <v>5</v>
      </c>
      <c r="H9" s="5">
        <f>IFERROR(
    GETPIVOTDATA(
        "Result",
        'Pivot Table'!$A$3,
        "Player",View_Table[[#This Row],[Player]],
        "Result","Loss"
    ),
    0
)</f>
        <v>7</v>
      </c>
      <c r="I9" s="5">
        <f>IFERROR(
    GETPIVOTDATA(
        "Result",
        'Pivot Table'!$A$3,
        "Player",View_Table[[#This Row],[Player]],
        "Result","Draw"
    ),
    0
)</f>
        <v>2</v>
      </c>
      <c r="J9" s="5">
        <f>View_Table[[#This Row],[Wins]]+View_Table[[#This Row],[Losses]]+View_Table[[#This Row],[Draws]]</f>
        <v>14</v>
      </c>
      <c r="K9" s="5">
        <f>IFERROR(
    GETPIVOTDATA(
        "Result",
        'Pivot Table Previous'!$A$3,
        "Player",View_Table[[#This Row],[Player]],
        "Result","Win"
    ),
    0
)</f>
        <v>5</v>
      </c>
      <c r="L9" s="5">
        <f>IFERROR(
    GETPIVOTDATA(
        "Result",
        'Pivot Table Previous'!$A$3,
        "Player",View_Table[[#This Row],[Player]],
        "Result","Loss"
    ),
    0
)</f>
        <v>7</v>
      </c>
      <c r="M9" s="5">
        <f>IFERROR(
    GETPIVOTDATA(
        "Result",
        'Pivot Table Previous'!$A$3,
        "Player",View_Table[[#This Row],[Player]],
        "Result","Draw"
    ),
    0
)</f>
        <v>2</v>
      </c>
      <c r="N9" s="5">
        <f>View_Table[[#This Row],[Wins Previous]]+View_Table[[#This Row],[Losses Previous]]+View_Table[[#This Row],[Draws Previous]]</f>
        <v>14</v>
      </c>
      <c r="O9" s="9">
        <f>_xlfn.LET(_xlpm.g,View_Table[[#This Row],[Games Previous]], _xlpm.w,(View_Table[[#This Row],[Wins Previous]] + View_Table[[#This Row],[Draws Previous]] * 0.25), _xlpm.fake, MAX(0,25-_xlpm.g), IF(_xlpm.g=0,0,(_xlpm.w + _xlpm.fake*0.25)/(_xlpm.g + _xlpm.fake)))</f>
        <v>0.33</v>
      </c>
      <c r="P9" s="7">
        <f>IF(View_Table[[#This Row],[Games Previous]]=0,
    View_Table[[#This Row],[Rank]],
    _xlfn.RANK.EQ(View_Table[[#This Row],[Weighted Win% Previous]], View_Table[Weighted Win% Previous], 0)
)</f>
        <v>4</v>
      </c>
    </row>
    <row r="10" spans="2:16" x14ac:dyDescent="0.25">
      <c r="B10" s="3" t="s">
        <v>19</v>
      </c>
      <c r="C10" s="6">
        <f>View_Table[[#This Row],[Rank Previous]]-View_Table[[#This Row],[Rank]]</f>
        <v>1</v>
      </c>
      <c r="D10" s="7">
        <f>_xlfn.RANK.EQ(View_Table[[#This Row],[Weighted Win%]], View_Table[Weighted Win%], 0)</f>
        <v>4</v>
      </c>
      <c r="E10" s="9">
        <f>_xlfn.LET(_xlpm.g,View_Table[[#This Row],[Games]], _xlpm.w,(View_Table[[#This Row],[Wins]] + View_Table[[#This Row],[Draws]] * 0.25), _xlpm.fake, MAX(0,25-_xlpm.g), IF(_xlpm.g=0,0,(_xlpm.w + _xlpm.fake*0.25)/(_xlpm.g + _xlpm.fake)))</f>
        <v>0.33</v>
      </c>
      <c r="F10" s="8">
        <f>IF(View_Table[[#This Row],[Games]]=0,0,(View_Table[[#This Row],[Wins]] + (View_Table[[#This Row],[Draws]] * 0.25))/View_Table[[#This Row],[Games]])</f>
        <v>0.39285714285714285</v>
      </c>
      <c r="G10" s="5">
        <f>IFERROR(
    GETPIVOTDATA(
        "Result",
        'Pivot Table'!$A$3,
        "Player",View_Table[[#This Row],[Player]],
        "Result","Win"
    ),
    0
)</f>
        <v>4</v>
      </c>
      <c r="H10" s="5">
        <f>IFERROR(
    GETPIVOTDATA(
        "Result",
        'Pivot Table'!$A$3,
        "Player",View_Table[[#This Row],[Player]],
        "Result","Loss"
    ),
    0
)</f>
        <v>4</v>
      </c>
      <c r="I10" s="5">
        <f>IFERROR(
    GETPIVOTDATA(
        "Result",
        'Pivot Table'!$A$3,
        "Player",View_Table[[#This Row],[Player]],
        "Result","Draw"
    ),
    0
)</f>
        <v>6</v>
      </c>
      <c r="J10" s="5">
        <f>View_Table[[#This Row],[Wins]]+View_Table[[#This Row],[Losses]]+View_Table[[#This Row],[Draws]]</f>
        <v>14</v>
      </c>
      <c r="K10" s="5">
        <f>IFERROR(
    GETPIVOTDATA(
        "Result",
        'Pivot Table Previous'!$A$3,
        "Player",View_Table[[#This Row],[Player]],
        "Result","Win"
    ),
    0
)</f>
        <v>3</v>
      </c>
      <c r="L10" s="5">
        <f>IFERROR(
    GETPIVOTDATA(
        "Result",
        'Pivot Table Previous'!$A$3,
        "Player",View_Table[[#This Row],[Player]],
        "Result","Loss"
    ),
    0
)</f>
        <v>4</v>
      </c>
      <c r="M10" s="5">
        <f>IFERROR(
    GETPIVOTDATA(
        "Result",
        'Pivot Table Previous'!$A$3,
        "Player",View_Table[[#This Row],[Player]],
        "Result","Draw"
    ),
    0
)</f>
        <v>5</v>
      </c>
      <c r="N10" s="5">
        <f>View_Table[[#This Row],[Wins Previous]]+View_Table[[#This Row],[Losses Previous]]+View_Table[[#This Row],[Draws Previous]]</f>
        <v>12</v>
      </c>
      <c r="O10" s="9">
        <f>_xlfn.LET(_xlpm.g,View_Table[[#This Row],[Games Previous]], _xlpm.w,(View_Table[[#This Row],[Wins Previous]] + View_Table[[#This Row],[Draws Previous]] * 0.25), _xlpm.fake, MAX(0,25-_xlpm.g), IF(_xlpm.g=0,0,(_xlpm.w + _xlpm.fake*0.25)/(_xlpm.g + _xlpm.fake)))</f>
        <v>0.3</v>
      </c>
      <c r="P10" s="7">
        <f>IF(View_Table[[#This Row],[Games Previous]]=0,
    View_Table[[#This Row],[Rank]],
    _xlfn.RANK.EQ(View_Table[[#This Row],[Weighted Win% Previous]], View_Table[Weighted Win% Previous], 0)
)</f>
        <v>5</v>
      </c>
    </row>
    <row r="11" spans="2:16" hidden="1" x14ac:dyDescent="0.25">
      <c r="B11" s="3" t="s">
        <v>322</v>
      </c>
      <c r="C11" s="6">
        <f>View_Table[[#This Row],[Rank Previous]]-View_Table[[#This Row],[Rank]]</f>
        <v>0</v>
      </c>
      <c r="D11" s="7">
        <f>_xlfn.RANK.EQ(View_Table[[#This Row],[Weighted Win%]], View_Table[Weighted Win%], 0)</f>
        <v>33</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33</v>
      </c>
    </row>
    <row r="12" spans="2:16" x14ac:dyDescent="0.25">
      <c r="B12" s="3" t="s">
        <v>352</v>
      </c>
      <c r="C12" s="6">
        <f>View_Table[[#This Row],[Rank Previous]]-View_Table[[#This Row],[Rank]]</f>
        <v>0</v>
      </c>
      <c r="D12" s="7">
        <f>_xlfn.RANK.EQ(View_Table[[#This Row],[Weighted Win%]], View_Table[Weighted Win%], 0)</f>
        <v>6</v>
      </c>
      <c r="E12" s="9">
        <f>_xlfn.LET(_xlpm.g,View_Table[[#This Row],[Games]], _xlpm.w,(View_Table[[#This Row],[Wins]] + View_Table[[#This Row],[Draws]] * 0.25), _xlpm.fake, MAX(0,25-_xlpm.g), IF(_xlpm.g=0,0,(_xlpm.w + _xlpm.fake*0.25)/(_xlpm.g + _xlpm.fake)))</f>
        <v>0.28999999999999998</v>
      </c>
      <c r="F12" s="8">
        <f>IF(View_Table[[#This Row],[Games]]=0,0,(View_Table[[#This Row],[Wins]] + (View_Table[[#This Row],[Draws]] * 0.25))/View_Table[[#This Row],[Games]])</f>
        <v>0.35</v>
      </c>
      <c r="G12" s="5">
        <f>IFERROR(
    GETPIVOTDATA(
        "Result",
        'Pivot Table'!$A$3,
        "Player",View_Table[[#This Row],[Player]],
        "Result","Win"
    ),
    0
)</f>
        <v>3</v>
      </c>
      <c r="H12" s="5">
        <f>IFERROR(
    GETPIVOTDATA(
        "Result",
        'Pivot Table'!$A$3,
        "Player",View_Table[[#This Row],[Player]],
        "Result","Loss"
    ),
    0
)</f>
        <v>5</v>
      </c>
      <c r="I12" s="5">
        <f>IFERROR(
    GETPIVOTDATA(
        "Result",
        'Pivot Table'!$A$3,
        "Player",View_Table[[#This Row],[Player]],
        "Result","Draw"
    ),
    0
)</f>
        <v>2</v>
      </c>
      <c r="J12" s="5">
        <f>View_Table[[#This Row],[Wins]]+View_Table[[#This Row],[Losses]]+View_Table[[#This Row],[Draws]]</f>
        <v>10</v>
      </c>
      <c r="K12" s="7">
        <f>IFERROR(
    GETPIVOTDATA(
        "Result",
        'Pivot Table Previous'!$A$3,
        "Player",View_Table[[#This Row],[Player]],
        "Result","Win"
    ),
    0
)</f>
        <v>3</v>
      </c>
      <c r="L12" s="5">
        <f>IFERROR(
    GETPIVOTDATA(
        "Result",
        'Pivot Table Previous'!$A$3,
        "Player",View_Table[[#This Row],[Player]],
        "Result","Loss"
    ),
    0
)</f>
        <v>5</v>
      </c>
      <c r="M12" s="5">
        <f>IFERROR(
    GETPIVOTDATA(
        "Result",
        'Pivot Table Previous'!$A$3,
        "Player",View_Table[[#This Row],[Player]],
        "Result","Draw"
    ),
    0
)</f>
        <v>2</v>
      </c>
      <c r="N12" s="5">
        <f>View_Table[[#This Row],[Wins Previous]]+View_Table[[#This Row],[Losses Previous]]+View_Table[[#This Row],[Draws Previous]]</f>
        <v>10</v>
      </c>
      <c r="O12" s="9">
        <f>_xlfn.LET(_xlpm.g,View_Table[[#This Row],[Games Previous]], _xlpm.w,(View_Table[[#This Row],[Wins Previous]] + View_Table[[#This Row],[Draws Previous]] * 0.25), _xlpm.fake, MAX(0,25-_xlpm.g), IF(_xlpm.g=0,0,(_xlpm.w + _xlpm.fake*0.25)/(_xlpm.g + _xlpm.fake)))</f>
        <v>0.28999999999999998</v>
      </c>
      <c r="P12" s="7">
        <f>_xlfn.RANK.EQ(View_Table[[#This Row],[Weighted Win% Previous]], View_Table[Weighted Win% Previous], 0)</f>
        <v>6</v>
      </c>
    </row>
    <row r="13" spans="2:16" x14ac:dyDescent="0.25">
      <c r="B13" s="3" t="s">
        <v>11</v>
      </c>
      <c r="C13" s="6">
        <f>View_Table[[#This Row],[Rank Previous]]-View_Table[[#This Row],[Rank]]</f>
        <v>1</v>
      </c>
      <c r="D13" s="7">
        <f>_xlfn.RANK.EQ(View_Table[[#This Row],[Weighted Win%]], View_Table[Weighted Win%], 0)</f>
        <v>7</v>
      </c>
      <c r="E13" s="9">
        <f>_xlfn.LET(_xlpm.g,View_Table[[#This Row],[Games]], _xlpm.w,(View_Table[[#This Row],[Wins]] + View_Table[[#This Row],[Draws]] * 0.25), _xlpm.fake, MAX(0,25-_xlpm.g), IF(_xlpm.g=0,0,(_xlpm.w + _xlpm.fake*0.25)/(_xlpm.g + _xlpm.fake)))</f>
        <v>0.28000000000000003</v>
      </c>
      <c r="F13" s="8">
        <f>IF(View_Table[[#This Row],[Games]]=0,0,(View_Table[[#This Row],[Wins]] + (View_Table[[#This Row],[Draws]] * 0.25))/View_Table[[#This Row],[Games]])</f>
        <v>0.375</v>
      </c>
      <c r="G13" s="5">
        <f>IFERROR(
    GETPIVOTDATA(
        "Result",
        'Pivot Table'!$A$3,
        "Player",View_Table[[#This Row],[Player]],
        "Result","Win"
    ),
    0
)</f>
        <v>2</v>
      </c>
      <c r="H13" s="5">
        <f>IFERROR(
    GETPIVOTDATA(
        "Result",
        'Pivot Table'!$A$3,
        "Player",View_Table[[#This Row],[Player]],
        "Result","Loss"
    ),
    0
)</f>
        <v>3</v>
      </c>
      <c r="I13" s="5">
        <f>IFERROR(
    GETPIVOTDATA(
        "Result",
        'Pivot Table'!$A$3,
        "Player",View_Table[[#This Row],[Player]],
        "Result","Draw"
    ),
    0
)</f>
        <v>1</v>
      </c>
      <c r="J13" s="5">
        <f>View_Table[[#This Row],[Wins]]+View_Table[[#This Row],[Losses]]+View_Table[[#This Row],[Draws]]</f>
        <v>6</v>
      </c>
      <c r="K13" s="7">
        <f>IFERROR(
    GETPIVOTDATA(
        "Result",
        'Pivot Table Previous'!$A$3,
        "Player",View_Table[[#This Row],[Player]],
        "Result","Win"
    ),
    0
)</f>
        <v>2</v>
      </c>
      <c r="L13" s="5">
        <f>IFERROR(
    GETPIVOTDATA(
        "Result",
        'Pivot Table Previous'!$A$3,
        "Player",View_Table[[#This Row],[Player]],
        "Result","Loss"
    ),
    0
)</f>
        <v>3</v>
      </c>
      <c r="M13" s="5">
        <f>IFERROR(
    GETPIVOTDATA(
        "Result",
        'Pivot Table Previous'!$A$3,
        "Player",View_Table[[#This Row],[Player]],
        "Result","Draw"
    ),
    0
)</f>
        <v>1</v>
      </c>
      <c r="N13" s="5">
        <f>View_Table[[#This Row],[Wins Previous]]+View_Table[[#This Row],[Losses Previous]]+View_Table[[#This Row],[Draws Previous]]</f>
        <v>6</v>
      </c>
      <c r="O13" s="9">
        <f>_xlfn.LET(_xlpm.g,View_Table[[#This Row],[Games Previous]], _xlpm.w,(View_Table[[#This Row],[Wins Previous]] + View_Table[[#This Row],[Draws Previous]] * 0.25), _xlpm.fake, MAX(0,25-_xlpm.g), IF(_xlpm.g=0,0,(_xlpm.w + _xlpm.fake*0.25)/(_xlpm.g + _xlpm.fake)))</f>
        <v>0.28000000000000003</v>
      </c>
      <c r="P13" s="7">
        <f>_xlfn.RANK.EQ(View_Table[[#This Row],[Weighted Win% Previous]], View_Table[Weighted Win% Previous], 0)</f>
        <v>8</v>
      </c>
    </row>
    <row r="14" spans="2:16" x14ac:dyDescent="0.25">
      <c r="B14" s="3" t="s">
        <v>438</v>
      </c>
      <c r="C14" s="6">
        <f>View_Table[[#This Row],[Rank Previous]]-View_Table[[#This Row],[Rank]]</f>
        <v>1</v>
      </c>
      <c r="D14" s="7">
        <f>_xlfn.RANK.EQ(View_Table[[#This Row],[Weighted Win%]], View_Table[Weighted Win%], 0)</f>
        <v>7</v>
      </c>
      <c r="E14" s="9">
        <f>_xlfn.LET(_xlpm.g,View_Table[[#This Row],[Games]], _xlpm.w,(View_Table[[#This Row],[Wins]] + View_Table[[#This Row],[Draws]] * 0.25), _xlpm.fake, MAX(0,25-_xlpm.g), IF(_xlpm.g=0,0,(_xlpm.w + _xlpm.fake*0.25)/(_xlpm.g + _xlpm.fake)))</f>
        <v>0.28000000000000003</v>
      </c>
      <c r="F14" s="8">
        <f>IF(View_Table[[#This Row],[Games]]=0,0,(View_Table[[#This Row],[Wins]] + (View_Table[[#This Row],[Draws]] * 0.25))/View_Table[[#This Row],[Games]])</f>
        <v>0.625</v>
      </c>
      <c r="G14" s="5">
        <f>IFERROR(
    GETPIVOTDATA(
        "Result",
        'Pivot Table'!$A$3,
        "Player",View_Table[[#This Row],[Player]],
        "Result","Win"
    ),
    0
)</f>
        <v>1</v>
      </c>
      <c r="H14" s="5">
        <f>IFERROR(
    GETPIVOTDATA(
        "Result",
        'Pivot Table'!$A$3,
        "Player",View_Table[[#This Row],[Player]],
        "Result","Loss"
    ),
    0
)</f>
        <v>0</v>
      </c>
      <c r="I14" s="5">
        <f>IFERROR(
    GETPIVOTDATA(
        "Result",
        'Pivot Table'!$A$3,
        "Player",View_Table[[#This Row],[Player]],
        "Result","Draw"
    ),
    0
)</f>
        <v>1</v>
      </c>
      <c r="J14" s="5">
        <f>View_Table[[#This Row],[Wins]]+View_Table[[#This Row],[Losses]]+View_Table[[#This Row],[Draws]]</f>
        <v>2</v>
      </c>
      <c r="K14" s="7">
        <f>IFERROR(
    GETPIVOTDATA(
        "Result",
        'Pivot Table Previous'!$A$3,
        "Player",View_Table[[#This Row],[Player]],
        "Result","Win"
    ),
    0
)</f>
        <v>1</v>
      </c>
      <c r="L14" s="5">
        <f>IFERROR(
    GETPIVOTDATA(
        "Result",
        'Pivot Table Previous'!$A$3,
        "Player",View_Table[[#This Row],[Player]],
        "Result","Loss"
    ),
    0
)</f>
        <v>0</v>
      </c>
      <c r="M14" s="5">
        <f>IFERROR(
    GETPIVOTDATA(
        "Result",
        'Pivot Table Previous'!$A$3,
        "Player",View_Table[[#This Row],[Player]],
        "Result","Draw"
    ),
    0
)</f>
        <v>1</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0.28000000000000003</v>
      </c>
      <c r="P14" s="7">
        <f>_xlfn.RANK.EQ(View_Table[[#This Row],[Weighted Win% Previous]], View_Table[Weighted Win% Previous], 0)</f>
        <v>8</v>
      </c>
    </row>
    <row r="15" spans="2:16" hidden="1" x14ac:dyDescent="0.25">
      <c r="B15" s="3" t="s">
        <v>421</v>
      </c>
      <c r="C15" s="6">
        <f>View_Table[[#This Row],[Rank Previous]]-View_Table[[#This Row],[Rank]]</f>
        <v>0</v>
      </c>
      <c r="D15" s="7">
        <f>_xlfn.RANK.EQ(View_Table[[#This Row],[Weighted Win%]], View_Table[Weighted Win%], 0)</f>
        <v>33</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33</v>
      </c>
    </row>
    <row r="16" spans="2:16" x14ac:dyDescent="0.25">
      <c r="B16" s="3" t="s">
        <v>578</v>
      </c>
      <c r="C16" s="6">
        <f>View_Table[[#This Row],[Rank Previous]]-View_Table[[#This Row],[Rank]]</f>
        <v>1</v>
      </c>
      <c r="D16" s="7">
        <f>_xlfn.RANK.EQ(View_Table[[#This Row],[Weighted Win%]], View_Table[Weighted Win%], 0)</f>
        <v>7</v>
      </c>
      <c r="E16" s="9">
        <f>_xlfn.LET(_xlpm.g,View_Table[[#This Row],[Games]], _xlpm.w,(View_Table[[#This Row],[Wins]] + View_Table[[#This Row],[Draws]] * 0.25), _xlpm.fake, MAX(0,25-_xlpm.g), IF(_xlpm.g=0,0,(_xlpm.w + _xlpm.fake*0.25)/(_xlpm.g + _xlpm.fake)))</f>
        <v>0.28000000000000003</v>
      </c>
      <c r="F16" s="8">
        <f>IF(View_Table[[#This Row],[Games]]=0,0,(View_Table[[#This Row],[Wins]] + (View_Table[[#This Row],[Draws]] * 0.25))/View_Table[[#This Row],[Games]])</f>
        <v>0.30357142857142855</v>
      </c>
      <c r="G16" s="5">
        <f>IFERROR(
    GETPIVOTDATA(
        "Result",
        'Pivot Table'!$A$3,
        "Player",View_Table[[#This Row],[Player]],
        "Result","Win"
    ),
    0
)</f>
        <v>3</v>
      </c>
      <c r="H16" s="5">
        <f>IFERROR(
    GETPIVOTDATA(
        "Result",
        'Pivot Table'!$A$3,
        "Player",View_Table[[#This Row],[Player]],
        "Result","Loss"
    ),
    0
)</f>
        <v>6</v>
      </c>
      <c r="I16" s="5">
        <f>IFERROR(
    GETPIVOTDATA(
        "Result",
        'Pivot Table'!$A$3,
        "Player",View_Table[[#This Row],[Player]],
        "Result","Draw"
    ),
    0
)</f>
        <v>5</v>
      </c>
      <c r="J16" s="5">
        <f>View_Table[[#This Row],[Wins]]+View_Table[[#This Row],[Losses]]+View_Table[[#This Row],[Draws]]</f>
        <v>14</v>
      </c>
      <c r="K16" s="7">
        <f>IFERROR(
    GETPIVOTDATA(
        "Result",
        'Pivot Table Previous'!$A$3,
        "Player",View_Table[[#This Row],[Player]],
        "Result","Win"
    ),
    0
)</f>
        <v>3</v>
      </c>
      <c r="L16" s="5">
        <f>IFERROR(
    GETPIVOTDATA(
        "Result",
        'Pivot Table Previous'!$A$3,
        "Player",View_Table[[#This Row],[Player]],
        "Result","Loss"
    ),
    0
)</f>
        <v>6</v>
      </c>
      <c r="M16" s="5">
        <f>IFERROR(
    GETPIVOTDATA(
        "Result",
        'Pivot Table Previous'!$A$3,
        "Player",View_Table[[#This Row],[Player]],
        "Result","Draw"
    ),
    0
)</f>
        <v>3</v>
      </c>
      <c r="N16" s="5">
        <f>View_Table[[#This Row],[Wins Previous]]+View_Table[[#This Row],[Losses Previous]]+View_Table[[#This Row],[Draws Previous]]</f>
        <v>12</v>
      </c>
      <c r="O16" s="9">
        <f>_xlfn.LET(_xlpm.g,View_Table[[#This Row],[Games Previous]], _xlpm.w,(View_Table[[#This Row],[Wins Previous]] + View_Table[[#This Row],[Draws Previous]] * 0.25), _xlpm.fake, MAX(0,25-_xlpm.g), IF(_xlpm.g=0,0,(_xlpm.w + _xlpm.fake*0.25)/(_xlpm.g + _xlpm.fake)))</f>
        <v>0.28000000000000003</v>
      </c>
      <c r="P16" s="7">
        <f>_xlfn.RANK.EQ(View_Table[[#This Row],[Weighted Win% Previous]], View_Table[Weighted Win% Previous], 0)</f>
        <v>8</v>
      </c>
    </row>
    <row r="17" spans="2:16" hidden="1" x14ac:dyDescent="0.25">
      <c r="B17" s="3" t="s">
        <v>402</v>
      </c>
      <c r="C17" s="6">
        <f>View_Table[[#This Row],[Rank Previous]]-View_Table[[#This Row],[Rank]]</f>
        <v>0</v>
      </c>
      <c r="D17" s="7">
        <f>_xlfn.RANK.EQ(View_Table[[#This Row],[Weighted Win%]], View_Table[Weighted Win%], 0)</f>
        <v>33</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33</v>
      </c>
    </row>
    <row r="18" spans="2:16" x14ac:dyDescent="0.25">
      <c r="B18" s="3" t="s">
        <v>20</v>
      </c>
      <c r="C18" s="6">
        <f>View_Table[[#This Row],[Rank Previous]]-View_Table[[#This Row],[Rank]]</f>
        <v>5</v>
      </c>
      <c r="D18" s="7">
        <f>_xlfn.RANK.EQ(View_Table[[#This Row],[Weighted Win%]], View_Table[Weighted Win%], 0)</f>
        <v>7</v>
      </c>
      <c r="E18" s="9">
        <f>_xlfn.LET(_xlpm.g,View_Table[[#This Row],[Games]], _xlpm.w,(View_Table[[#This Row],[Wins]] + View_Table[[#This Row],[Draws]] * 0.25), _xlpm.fake, MAX(0,25-_xlpm.g), IF(_xlpm.g=0,0,(_xlpm.w + _xlpm.fake*0.25)/(_xlpm.g + _xlpm.fake)))</f>
        <v>0.28000000000000003</v>
      </c>
      <c r="F18" s="8">
        <f>IF(View_Table[[#This Row],[Games]]=0,0,(View_Table[[#This Row],[Wins]] + (View_Table[[#This Row],[Draws]] * 0.25))/View_Table[[#This Row],[Games]])</f>
        <v>0.34375</v>
      </c>
      <c r="G18" s="5">
        <f>IFERROR(
    GETPIVOTDATA(
        "Result",
        'Pivot Table'!$A$3,
        "Player",View_Table[[#This Row],[Player]],
        "Result","Win"
    ),
    0
)</f>
        <v>2</v>
      </c>
      <c r="H18" s="5">
        <f>IFERROR(
    GETPIVOTDATA(
        "Result",
        'Pivot Table'!$A$3,
        "Player",View_Table[[#This Row],[Player]],
        "Result","Loss"
    ),
    0
)</f>
        <v>3</v>
      </c>
      <c r="I18" s="5">
        <f>IFERROR(
    GETPIVOTDATA(
        "Result",
        'Pivot Table'!$A$3,
        "Player",View_Table[[#This Row],[Player]],
        "Result","Draw"
    ),
    0
)</f>
        <v>3</v>
      </c>
      <c r="J18" s="5">
        <f>View_Table[[#This Row],[Wins]]+View_Table[[#This Row],[Losses]]+View_Table[[#This Row],[Draws]]</f>
        <v>8</v>
      </c>
      <c r="K18" s="7">
        <f>IFERROR(
    GETPIVOTDATA(
        "Result",
        'Pivot Table Previous'!$A$3,
        "Player",View_Table[[#This Row],[Player]],
        "Result","Win"
    ),
    0
)</f>
        <v>1</v>
      </c>
      <c r="L18" s="5">
        <f>IFERROR(
    GETPIVOTDATA(
        "Result",
        'Pivot Table Previous'!$A$3,
        "Player",View_Table[[#This Row],[Player]],
        "Result","Loss"
    ),
    0
)</f>
        <v>3</v>
      </c>
      <c r="M18" s="5">
        <f>IFERROR(
    GETPIVOTDATA(
        "Result",
        'Pivot Table Previous'!$A$3,
        "Player",View_Table[[#This Row],[Player]],
        "Result","Draw"
    ),
    0
)</f>
        <v>2</v>
      </c>
      <c r="N18" s="5">
        <f>View_Table[[#This Row],[Wins Previous]]+View_Table[[#This Row],[Losses Previous]]+View_Table[[#This Row],[Draws Previous]]</f>
        <v>6</v>
      </c>
      <c r="O18" s="9">
        <f>_xlfn.LET(_xlpm.g,View_Table[[#This Row],[Games Previous]], _xlpm.w,(View_Table[[#This Row],[Wins Previous]] + View_Table[[#This Row],[Draws Previous]] * 0.25), _xlpm.fake, MAX(0,25-_xlpm.g), IF(_xlpm.g=0,0,(_xlpm.w + _xlpm.fake*0.25)/(_xlpm.g + _xlpm.fake)))</f>
        <v>0.25</v>
      </c>
      <c r="P18" s="7">
        <f>_xlfn.RANK.EQ(View_Table[[#This Row],[Weighted Win% Previous]], View_Table[Weighted Win% Previous], 0)</f>
        <v>12</v>
      </c>
    </row>
    <row r="19" spans="2:16" hidden="1" x14ac:dyDescent="0.25">
      <c r="B19" s="3" t="s">
        <v>296</v>
      </c>
      <c r="C19" s="6">
        <f>View_Table[[#This Row],[Rank Previous]]-View_Table[[#This Row],[Rank]]</f>
        <v>0</v>
      </c>
      <c r="D19" s="7">
        <f>_xlfn.RANK.EQ(View_Table[[#This Row],[Weighted Win%]], View_Table[Weighted Win%], 0)</f>
        <v>33</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33</v>
      </c>
    </row>
    <row r="20" spans="2:16" hidden="1" x14ac:dyDescent="0.25">
      <c r="B20" s="3" t="s">
        <v>607</v>
      </c>
      <c r="C20" s="6">
        <f>View_Table[[#This Row],[Rank Previous]]-View_Table[[#This Row],[Rank]]</f>
        <v>0</v>
      </c>
      <c r="D20" s="7">
        <f>_xlfn.RANK.EQ(View_Table[[#This Row],[Weighted Win%]], View_Table[Weighted Win%], 0)</f>
        <v>33</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33</v>
      </c>
    </row>
    <row r="21" spans="2:16" hidden="1" x14ac:dyDescent="0.25">
      <c r="B21" s="3" t="s">
        <v>22</v>
      </c>
      <c r="C21" s="6">
        <f>View_Table[[#This Row],[Rank Previous]]-View_Table[[#This Row],[Rank]]</f>
        <v>0</v>
      </c>
      <c r="D21" s="7">
        <f>_xlfn.RANK.EQ(View_Table[[#This Row],[Weighted Win%]], View_Table[Weighted Win%], 0)</f>
        <v>33</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33</v>
      </c>
    </row>
    <row r="22" spans="2:16" x14ac:dyDescent="0.25">
      <c r="B22" s="3" t="s">
        <v>326</v>
      </c>
      <c r="C22" s="6">
        <f>View_Table[[#This Row],[Rank Previous]]-View_Table[[#This Row],[Rank]]</f>
        <v>-5</v>
      </c>
      <c r="D22" s="7">
        <f>_xlfn.RANK.EQ(View_Table[[#This Row],[Weighted Win%]], View_Table[Weighted Win%], 0)</f>
        <v>11</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0.3125</v>
      </c>
      <c r="G22" s="5">
        <f>IFERROR(
    GETPIVOTDATA(
        "Result",
        'Pivot Table'!$A$3,
        "Player",View_Table[[#This Row],[Player]],
        "Result","Win"
    ),
    0
)</f>
        <v>2</v>
      </c>
      <c r="H22" s="5">
        <f>IFERROR(
    GETPIVOTDATA(
        "Result",
        'Pivot Table'!$A$3,
        "Player",View_Table[[#This Row],[Player]],
        "Result","Loss"
    ),
    0
)</f>
        <v>4</v>
      </c>
      <c r="I22" s="5">
        <f>IFERROR(
    GETPIVOTDATA(
        "Result",
        'Pivot Table'!$A$3,
        "Player",View_Table[[#This Row],[Player]],
        "Result","Draw"
    ),
    0
)</f>
        <v>2</v>
      </c>
      <c r="J22" s="5">
        <f>View_Table[[#This Row],[Wins]]+View_Table[[#This Row],[Losses]]+View_Table[[#This Row],[Draws]]</f>
        <v>8</v>
      </c>
      <c r="K22" s="7">
        <f>IFERROR(
    GETPIVOTDATA(
        "Result",
        'Pivot Table Previous'!$A$3,
        "Player",View_Table[[#This Row],[Player]],
        "Result","Win"
    ),
    0
)</f>
        <v>2</v>
      </c>
      <c r="L22" s="5">
        <f>IFERROR(
    GETPIVOTDATA(
        "Result",
        'Pivot Table Previous'!$A$3,
        "Player",View_Table[[#This Row],[Player]],
        "Result","Loss"
    ),
    0
)</f>
        <v>2</v>
      </c>
      <c r="M22" s="5">
        <f>IFERROR(
    GETPIVOTDATA(
        "Result",
        'Pivot Table Previous'!$A$3,
        "Player",View_Table[[#This Row],[Player]],
        "Result","Draw"
    ),
    0
)</f>
        <v>2</v>
      </c>
      <c r="N22" s="5">
        <f>View_Table[[#This Row],[Wins Previous]]+View_Table[[#This Row],[Losses Previous]]+View_Table[[#This Row],[Draws Previous]]</f>
        <v>6</v>
      </c>
      <c r="O22" s="9">
        <f>_xlfn.LET(_xlpm.g,View_Table[[#This Row],[Games Previous]], _xlpm.w,(View_Table[[#This Row],[Wins Previous]] + View_Table[[#This Row],[Draws Previous]] * 0.25), _xlpm.fake, MAX(0,25-_xlpm.g), IF(_xlpm.g=0,0,(_xlpm.w + _xlpm.fake*0.25)/(_xlpm.g + _xlpm.fake)))</f>
        <v>0.28999999999999998</v>
      </c>
      <c r="P22" s="7">
        <f>_xlfn.RANK.EQ(View_Table[[#This Row],[Weighted Win% Previous]], View_Table[Weighted Win% Previous], 0)</f>
        <v>6</v>
      </c>
    </row>
    <row r="23" spans="2:16" hidden="1" x14ac:dyDescent="0.25">
      <c r="B23" s="3" t="s">
        <v>432</v>
      </c>
      <c r="C23" s="6">
        <f>View_Table[[#This Row],[Rank Previous]]-View_Table[[#This Row],[Rank]]</f>
        <v>0</v>
      </c>
      <c r="D23" s="7">
        <f>_xlfn.RANK.EQ(View_Table[[#This Row],[Weighted Win%]], View_Table[Weighted Win%], 0)</f>
        <v>33</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33</v>
      </c>
    </row>
    <row r="24" spans="2:16" hidden="1" x14ac:dyDescent="0.25">
      <c r="B24" s="3" t="s">
        <v>400</v>
      </c>
      <c r="C24" s="6">
        <f>View_Table[[#This Row],[Rank Previous]]-View_Table[[#This Row],[Rank]]</f>
        <v>0</v>
      </c>
      <c r="D24" s="7">
        <f>_xlfn.RANK.EQ(View_Table[[#This Row],[Weighted Win%]], View_Table[Weighted Win%], 0)</f>
        <v>33</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33</v>
      </c>
    </row>
    <row r="25" spans="2:16" hidden="1" x14ac:dyDescent="0.25">
      <c r="B25" s="3" t="s">
        <v>406</v>
      </c>
      <c r="C25" s="6">
        <f>View_Table[[#This Row],[Rank Previous]]-View_Table[[#This Row],[Rank]]</f>
        <v>0</v>
      </c>
      <c r="D25" s="7">
        <f>_xlfn.RANK.EQ(View_Table[[#This Row],[Weighted Win%]], View_Table[Weighted Win%], 0)</f>
        <v>33</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33</v>
      </c>
    </row>
    <row r="26" spans="2:16" hidden="1" x14ac:dyDescent="0.25">
      <c r="B26" s="3" t="s">
        <v>386</v>
      </c>
      <c r="C26" s="6">
        <f>View_Table[[#This Row],[Rank Previous]]-View_Table[[#This Row],[Rank]]</f>
        <v>0</v>
      </c>
      <c r="D26" s="7">
        <f>_xlfn.RANK.EQ(View_Table[[#This Row],[Weighted Win%]], View_Table[Weighted Win%], 0)</f>
        <v>33</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33</v>
      </c>
    </row>
    <row r="27" spans="2:16" hidden="1" x14ac:dyDescent="0.25">
      <c r="B27" s="3" t="s">
        <v>43</v>
      </c>
      <c r="C27" s="6">
        <f>View_Table[[#This Row],[Rank Previous]]-View_Table[[#This Row],[Rank]]</f>
        <v>0</v>
      </c>
      <c r="D27" s="7">
        <f>_xlfn.RANK.EQ(View_Table[[#This Row],[Weighted Win%]], View_Table[Weighted Win%], 0)</f>
        <v>33</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33</v>
      </c>
    </row>
    <row r="28" spans="2:16" hidden="1" x14ac:dyDescent="0.25">
      <c r="B28" s="3" t="s">
        <v>323</v>
      </c>
      <c r="C28" s="6">
        <f>View_Table[[#This Row],[Rank Previous]]-View_Table[[#This Row],[Rank]]</f>
        <v>0</v>
      </c>
      <c r="D28" s="7">
        <f>_xlfn.RANK.EQ(View_Table[[#This Row],[Weighted Win%]], View_Table[Weighted Win%], 0)</f>
        <v>33</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33</v>
      </c>
    </row>
    <row r="29" spans="2:16" hidden="1" x14ac:dyDescent="0.25">
      <c r="B29" s="3" t="s">
        <v>324</v>
      </c>
      <c r="C29" s="6">
        <f>View_Table[[#This Row],[Rank Previous]]-View_Table[[#This Row],[Rank]]</f>
        <v>0</v>
      </c>
      <c r="D29" s="7">
        <f>_xlfn.RANK.EQ(View_Table[[#This Row],[Weighted Win%]], View_Table[Weighted Win%], 0)</f>
        <v>33</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33</v>
      </c>
    </row>
    <row r="30" spans="2:16" x14ac:dyDescent="0.25">
      <c r="B30" s="3" t="s">
        <v>9</v>
      </c>
      <c r="C30" s="6">
        <f>View_Table[[#This Row],[Rank Previous]]-View_Table[[#This Row],[Rank]]</f>
        <v>-1</v>
      </c>
      <c r="D30" s="7">
        <f>_xlfn.RANK.EQ(View_Table[[#This Row],[Weighted Win%]], View_Table[Weighted Win%], 0)</f>
        <v>12</v>
      </c>
      <c r="E30" s="9">
        <f>_xlfn.LET(_xlpm.g,View_Table[[#This Row],[Games]], _xlpm.w,(View_Table[[#This Row],[Wins]] + View_Table[[#This Row],[Draws]] * 0.25), _xlpm.fake, MAX(0,25-_xlpm.g), IF(_xlpm.g=0,0,(_xlpm.w + _xlpm.fake*0.25)/(_xlpm.g + _xlpm.fake)))</f>
        <v>0.26</v>
      </c>
      <c r="F30" s="8">
        <f>IF(View_Table[[#This Row],[Games]]=0,0,(View_Table[[#This Row],[Wins]] + (View_Table[[#This Row],[Draws]] * 0.25))/View_Table[[#This Row],[Games]])</f>
        <v>0.26785714285714285</v>
      </c>
      <c r="G30" s="5">
        <f>IFERROR(
    GETPIVOTDATA(
        "Result",
        'Pivot Table'!$A$3,
        "Player",View_Table[[#This Row],[Player]],
        "Result","Win"
    ),
    0
)</f>
        <v>2</v>
      </c>
      <c r="H30" s="5">
        <f>IFERROR(
    GETPIVOTDATA(
        "Result",
        'Pivot Table'!$A$3,
        "Player",View_Table[[#This Row],[Player]],
        "Result","Loss"
    ),
    0
)</f>
        <v>5</v>
      </c>
      <c r="I30" s="5">
        <f>IFERROR(
    GETPIVOTDATA(
        "Result",
        'Pivot Table'!$A$3,
        "Player",View_Table[[#This Row],[Player]],
        "Result","Draw"
    ),
    0
)</f>
        <v>7</v>
      </c>
      <c r="J30" s="5">
        <f>View_Table[[#This Row],[Wins]]+View_Table[[#This Row],[Losses]]+View_Table[[#This Row],[Draws]]</f>
        <v>14</v>
      </c>
      <c r="K30" s="7">
        <f>IFERROR(
    GETPIVOTDATA(
        "Result",
        'Pivot Table Previous'!$A$3,
        "Player",View_Table[[#This Row],[Player]],
        "Result","Win"
    ),
    0
)</f>
        <v>2</v>
      </c>
      <c r="L30" s="5">
        <f>IFERROR(
    GETPIVOTDATA(
        "Result",
        'Pivot Table Previous'!$A$3,
        "Player",View_Table[[#This Row],[Player]],
        "Result","Loss"
    ),
    0
)</f>
        <v>5</v>
      </c>
      <c r="M30" s="5">
        <f>IFERROR(
    GETPIVOTDATA(
        "Result",
        'Pivot Table Previous'!$A$3,
        "Player",View_Table[[#This Row],[Player]],
        "Result","Draw"
    ),
    0
)</f>
        <v>5</v>
      </c>
      <c r="N30" s="5">
        <f>View_Table[[#This Row],[Wins Previous]]+View_Table[[#This Row],[Losses Previous]]+View_Table[[#This Row],[Draws Previous]]</f>
        <v>12</v>
      </c>
      <c r="O30" s="9">
        <f>_xlfn.LET(_xlpm.g,View_Table[[#This Row],[Games Previous]], _xlpm.w,(View_Table[[#This Row],[Wins Previous]] + View_Table[[#This Row],[Draws Previous]] * 0.25), _xlpm.fake, MAX(0,25-_xlpm.g), IF(_xlpm.g=0,0,(_xlpm.w + _xlpm.fake*0.25)/(_xlpm.g + _xlpm.fake)))</f>
        <v>0.26</v>
      </c>
      <c r="P30" s="7">
        <f>_xlfn.RANK.EQ(View_Table[[#This Row],[Weighted Win% Previous]], View_Table[Weighted Win% Previous], 0)</f>
        <v>11</v>
      </c>
    </row>
    <row r="31" spans="2:16" hidden="1" x14ac:dyDescent="0.25">
      <c r="B31" s="3" t="s">
        <v>478</v>
      </c>
      <c r="C31" s="6">
        <f>View_Table[[#This Row],[Rank Previous]]-View_Table[[#This Row],[Rank]]</f>
        <v>0</v>
      </c>
      <c r="D31" s="7">
        <f>_xlfn.RANK.EQ(View_Table[[#This Row],[Weighted Win%]], View_Table[Weighted Win%], 0)</f>
        <v>33</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33</v>
      </c>
    </row>
    <row r="32" spans="2:16" hidden="1" x14ac:dyDescent="0.25">
      <c r="B32" s="3" t="s">
        <v>401</v>
      </c>
      <c r="C32" s="6">
        <f>View_Table[[#This Row],[Rank Previous]]-View_Table[[#This Row],[Rank]]</f>
        <v>0</v>
      </c>
      <c r="D32" s="7">
        <f>_xlfn.RANK.EQ(View_Table[[#This Row],[Weighted Win%]], View_Table[Weighted Win%], 0)</f>
        <v>33</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33</v>
      </c>
    </row>
    <row r="33" spans="2:16" hidden="1" x14ac:dyDescent="0.25">
      <c r="B33" s="3" t="s">
        <v>403</v>
      </c>
      <c r="C33" s="6">
        <f>View_Table[[#This Row],[Rank Previous]]-View_Table[[#This Row],[Rank]]</f>
        <v>0</v>
      </c>
      <c r="D33" s="7">
        <f>_xlfn.RANK.EQ(View_Table[[#This Row],[Weighted Win%]], View_Table[Weighted Win%], 0)</f>
        <v>33</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33</v>
      </c>
    </row>
    <row r="34" spans="2:16" x14ac:dyDescent="0.25">
      <c r="B34" s="3" t="s">
        <v>622</v>
      </c>
      <c r="C34" s="6">
        <f>View_Table[[#This Row],[Rank Previous]]-View_Table[[#This Row],[Rank]]</f>
        <v>-1</v>
      </c>
      <c r="D34" s="7">
        <f>_xlfn.RANK.EQ(View_Table[[#This Row],[Weighted Win%]], View_Table[Weighted Win%], 0)</f>
        <v>13</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2</v>
      </c>
      <c r="H34" s="5">
        <f>IFERROR(
    GETPIVOTDATA(
        "Result",
        'Pivot Table'!$A$3,
        "Player",View_Table[[#This Row],[Player]],
        "Result","Loss"
    ),
    0
)</f>
        <v>6</v>
      </c>
      <c r="I34" s="5">
        <f>IFERROR(
    GETPIVOTDATA(
        "Result",
        'Pivot Table'!$A$3,
        "Player",View_Table[[#This Row],[Player]],
        "Result","Draw"
    ),
    0
)</f>
        <v>1</v>
      </c>
      <c r="J34" s="5">
        <f>View_Table[[#This Row],[Wins]]+View_Table[[#This Row],[Losses]]+View_Table[[#This Row],[Draws]]</f>
        <v>9</v>
      </c>
      <c r="K34" s="7">
        <f>IFERROR(
    GETPIVOTDATA(
        "Result",
        'Pivot Table Previous'!$A$3,
        "Player",View_Table[[#This Row],[Player]],
        "Result","Win"
    ),
    0
)</f>
        <v>2</v>
      </c>
      <c r="L34" s="5">
        <f>IFERROR(
    GETPIVOTDATA(
        "Result",
        'Pivot Table Previous'!$A$3,
        "Player",View_Table[[#This Row],[Player]],
        "Result","Loss"
    ),
    0
)</f>
        <v>6</v>
      </c>
      <c r="M34" s="5">
        <f>IFERROR(
    GETPIVOTDATA(
        "Result",
        'Pivot Table Previous'!$A$3,
        "Player",View_Table[[#This Row],[Player]],
        "Result","Draw"
    ),
    0
)</f>
        <v>0</v>
      </c>
      <c r="N34" s="5">
        <f>View_Table[[#This Row],[Wins Previous]]+View_Table[[#This Row],[Losses Previous]]+View_Table[[#This Row],[Draws Previous]]</f>
        <v>8</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12</v>
      </c>
    </row>
    <row r="35" spans="2:16" x14ac:dyDescent="0.25">
      <c r="B35" s="3" t="s">
        <v>364</v>
      </c>
      <c r="C35" s="6">
        <f>View_Table[[#This Row],[Rank Previous]]-View_Table[[#This Row],[Rank]]</f>
        <v>-1</v>
      </c>
      <c r="D35" s="7">
        <f>_xlfn.RANK.EQ(View_Table[[#This Row],[Weighted Win%]], View_Table[Weighted Win%], 0)</f>
        <v>13</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12</v>
      </c>
    </row>
    <row r="36" spans="2:16" hidden="1" x14ac:dyDescent="0.25">
      <c r="B36" s="3" t="s">
        <v>59</v>
      </c>
      <c r="C36" s="6">
        <f>View_Table[[#This Row],[Rank Previous]]-View_Table[[#This Row],[Rank]]</f>
        <v>0</v>
      </c>
      <c r="D36" s="7">
        <f>_xlfn.RANK.EQ(View_Table[[#This Row],[Weighted Win%]], View_Table[Weighted Win%], 0)</f>
        <v>33</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33</v>
      </c>
    </row>
    <row r="37" spans="2:16" hidden="1" x14ac:dyDescent="0.25">
      <c r="B37" s="3" t="s">
        <v>437</v>
      </c>
      <c r="C37" s="6">
        <f>View_Table[[#This Row],[Rank Previous]]-View_Table[[#This Row],[Rank]]</f>
        <v>0</v>
      </c>
      <c r="D37" s="7">
        <f>_xlfn.RANK.EQ(View_Table[[#This Row],[Weighted Win%]], View_Table[Weighted Win%], 0)</f>
        <v>33</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33</v>
      </c>
    </row>
    <row r="38" spans="2:16" x14ac:dyDescent="0.25">
      <c r="B38" s="3" t="s">
        <v>464</v>
      </c>
      <c r="C38" s="6">
        <f>View_Table[[#This Row],[Rank Previous]]-View_Table[[#This Row],[Rank]]</f>
        <v>-1</v>
      </c>
      <c r="D38" s="7">
        <f>_xlfn.RANK.EQ(View_Table[[#This Row],[Weighted Win%]], View_Table[Weighted Win%], 0)</f>
        <v>13</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12</v>
      </c>
    </row>
    <row r="39" spans="2:16" hidden="1" x14ac:dyDescent="0.25">
      <c r="B39" s="3" t="s">
        <v>365</v>
      </c>
      <c r="C39" s="6">
        <f>View_Table[[#This Row],[Rank Previous]]-View_Table[[#This Row],[Rank]]</f>
        <v>0</v>
      </c>
      <c r="D39" s="7">
        <f>_xlfn.RANK.EQ(View_Table[[#This Row],[Weighted Win%]], View_Table[Weighted Win%], 0)</f>
        <v>33</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33</v>
      </c>
    </row>
    <row r="40" spans="2:16" hidden="1" x14ac:dyDescent="0.25">
      <c r="B40" s="3" t="s">
        <v>463</v>
      </c>
      <c r="C40" s="6">
        <f>View_Table[[#This Row],[Rank Previous]]-View_Table[[#This Row],[Rank]]</f>
        <v>0</v>
      </c>
      <c r="D40" s="7">
        <f>_xlfn.RANK.EQ(View_Table[[#This Row],[Weighted Win%]], View_Table[Weighted Win%], 0)</f>
        <v>33</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33</v>
      </c>
    </row>
    <row r="41" spans="2:16" hidden="1" x14ac:dyDescent="0.25">
      <c r="B41" s="3" t="s">
        <v>42</v>
      </c>
      <c r="C41" s="6">
        <f>View_Table[[#This Row],[Rank Previous]]-View_Table[[#This Row],[Rank]]</f>
        <v>0</v>
      </c>
      <c r="D41" s="7">
        <f>_xlfn.RANK.EQ(View_Table[[#This Row],[Weighted Win%]], View_Table[Weighted Win%], 0)</f>
        <v>33</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33</v>
      </c>
    </row>
    <row r="42" spans="2:16" x14ac:dyDescent="0.25">
      <c r="B42" s="3" t="s">
        <v>325</v>
      </c>
      <c r="C42" s="6">
        <f>View_Table[[#This Row],[Rank Previous]]-View_Table[[#This Row],[Rank]]</f>
        <v>-1</v>
      </c>
      <c r="D42" s="7">
        <f>_xlfn.RANK.EQ(View_Table[[#This Row],[Weighted Win%]], View_Table[Weighted Win%], 0)</f>
        <v>13</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3</v>
      </c>
      <c r="H42" s="5">
        <f>IFERROR(
    GETPIVOTDATA(
        "Result",
        'Pivot Table'!$A$3,
        "Player",View_Table[[#This Row],[Player]],
        "Result","Loss"
    ),
    0
)</f>
        <v>9</v>
      </c>
      <c r="I42" s="5">
        <f>IFERROR(
    GETPIVOTDATA(
        "Result",
        'Pivot Table'!$A$3,
        "Player",View_Table[[#This Row],[Player]],
        "Result","Draw"
    ),
    0
)</f>
        <v>2</v>
      </c>
      <c r="J42" s="5">
        <f>View_Table[[#This Row],[Wins]]+View_Table[[#This Row],[Losses]]+View_Table[[#This Row],[Draws]]</f>
        <v>14</v>
      </c>
      <c r="K42" s="7">
        <f>IFERROR(
    GETPIVOTDATA(
        "Result",
        'Pivot Table Previous'!$A$3,
        "Player",View_Table[[#This Row],[Player]],
        "Result","Win"
    ),
    0
)</f>
        <v>3</v>
      </c>
      <c r="L42" s="5">
        <f>IFERROR(
    GETPIVOTDATA(
        "Result",
        'Pivot Table Previous'!$A$3,
        "Player",View_Table[[#This Row],[Player]],
        "Result","Loss"
    ),
    0
)</f>
        <v>9</v>
      </c>
      <c r="M42" s="5">
        <f>IFERROR(
    GETPIVOTDATA(
        "Result",
        'Pivot Table Previous'!$A$3,
        "Player",View_Table[[#This Row],[Player]],
        "Result","Draw"
    ),
    0
)</f>
        <v>0</v>
      </c>
      <c r="N42" s="5">
        <f>View_Table[[#This Row],[Wins Previous]]+View_Table[[#This Row],[Losses Previous]]+View_Table[[#This Row],[Draws Previous]]</f>
        <v>12</v>
      </c>
      <c r="O42" s="9">
        <f>_xlfn.LET(_xlpm.g,View_Table[[#This Row],[Games Previous]], _xlpm.w,(View_Table[[#This Row],[Wins Previous]] + View_Table[[#This Row],[Draws Previous]] * 0.25), _xlpm.fake, MAX(0,25-_xlpm.g), IF(_xlpm.g=0,0,(_xlpm.w + _xlpm.fake*0.25)/(_xlpm.g + _xlpm.fake)))</f>
        <v>0.25</v>
      </c>
      <c r="P42" s="7">
        <f>_xlfn.RANK.EQ(View_Table[[#This Row],[Weighted Win% Previous]], View_Table[Weighted Win% Previous], 0)</f>
        <v>12</v>
      </c>
    </row>
    <row r="43" spans="2:16" x14ac:dyDescent="0.25">
      <c r="B43" s="3" t="s">
        <v>404</v>
      </c>
      <c r="C43" s="6">
        <f>View_Table[[#This Row],[Rank Previous]]-View_Table[[#This Row],[Rank]]</f>
        <v>1</v>
      </c>
      <c r="D43" s="7">
        <f>_xlfn.RANK.EQ(View_Table[[#This Row],[Weighted Win%]], View_Table[Weighted Win%], 0)</f>
        <v>17</v>
      </c>
      <c r="E43" s="9">
        <f>_xlfn.LET(_xlpm.g,View_Table[[#This Row],[Games]], _xlpm.w,(View_Table[[#This Row],[Wins]] + View_Table[[#This Row],[Draws]] * 0.25), _xlpm.fake, MAX(0,25-_xlpm.g), IF(_xlpm.g=0,0,(_xlpm.w + _xlpm.fake*0.25)/(_xlpm.g + _xlpm.fake)))</f>
        <v>0.24</v>
      </c>
      <c r="F43" s="8">
        <f>IF(View_Table[[#This Row],[Games]]=0,0,(View_Table[[#This Row],[Wins]] + (View_Table[[#This Row],[Draws]] * 0.25))/View_Table[[#This Row],[Games]])</f>
        <v>0</v>
      </c>
      <c r="G43" s="5">
        <f>IFERROR(
    GETPIVOTDATA(
        "Result",
        'Pivot Table'!$A$3,
        "Player",View_Table[[#This Row],[Player]],
        "Result","Win"
    ),
    0
)</f>
        <v>0</v>
      </c>
      <c r="H43" s="5">
        <f>IFERROR(
    GETPIVOTDATA(
        "Result",
        'Pivot Table'!$A$3,
        "Player",View_Table[[#This Row],[Player]],
        "Result","Loss"
    ),
    0
)</f>
        <v>1</v>
      </c>
      <c r="I43" s="5">
        <f>IFERROR(
    GETPIVOTDATA(
        "Result",
        'Pivot Table'!$A$3,
        "Player",View_Table[[#This Row],[Player]],
        "Result","Draw"
    ),
    0
)</f>
        <v>0</v>
      </c>
      <c r="J43" s="5">
        <f>View_Table[[#This Row],[Wins]]+View_Table[[#This Row],[Losses]]+View_Table[[#This Row],[Draws]]</f>
        <v>1</v>
      </c>
      <c r="K43" s="7">
        <f>IFERROR(
    GETPIVOTDATA(
        "Result",
        'Pivot Table Previous'!$A$3,
        "Player",View_Table[[#This Row],[Player]],
        "Result","Win"
    ),
    0
)</f>
        <v>0</v>
      </c>
      <c r="L43" s="5">
        <f>IFERROR(
    GETPIVOTDATA(
        "Result",
        'Pivot Table Previous'!$A$3,
        "Player",View_Table[[#This Row],[Player]],
        "Result","Loss"
    ),
    0
)</f>
        <v>1</v>
      </c>
      <c r="M43" s="5">
        <f>IFERROR(
    GETPIVOTDATA(
        "Result",
        'Pivot Table Previous'!$A$3,
        "Player",View_Table[[#This Row],[Player]],
        "Result","Draw"
    ),
    0
)</f>
        <v>0</v>
      </c>
      <c r="N43" s="5">
        <f>View_Table[[#This Row],[Wins Previous]]+View_Table[[#This Row],[Losses Previous]]+View_Table[[#This Row],[Draws Previous]]</f>
        <v>1</v>
      </c>
      <c r="O43" s="9">
        <f>_xlfn.LET(_xlpm.g,View_Table[[#This Row],[Games Previous]], _xlpm.w,(View_Table[[#This Row],[Wins Previous]] + View_Table[[#This Row],[Draws Previous]] * 0.25), _xlpm.fake, MAX(0,25-_xlpm.g), IF(_xlpm.g=0,0,(_xlpm.w + _xlpm.fake*0.25)/(_xlpm.g + _xlpm.fake)))</f>
        <v>0.24</v>
      </c>
      <c r="P43" s="7">
        <f>_xlfn.RANK.EQ(View_Table[[#This Row],[Weighted Win% Previous]], View_Table[Weighted Win% Previous], 0)</f>
        <v>18</v>
      </c>
    </row>
    <row r="44" spans="2:16" x14ac:dyDescent="0.25">
      <c r="B44" s="3" t="s">
        <v>17</v>
      </c>
      <c r="C44" s="6">
        <f>View_Table[[#This Row],[Rank Previous]]-View_Table[[#This Row],[Rank]]</f>
        <v>-5</v>
      </c>
      <c r="D44" s="7">
        <f>_xlfn.RANK.EQ(View_Table[[#This Row],[Weighted Win%]], View_Table[Weighted Win%], 0)</f>
        <v>17</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0.23214285714285715</v>
      </c>
      <c r="G44" s="5">
        <f>IFERROR(
    GETPIVOTDATA(
        "Result",
        'Pivot Table'!$A$3,
        "Player",View_Table[[#This Row],[Player]],
        "Result","Win"
    ),
    0
)</f>
        <v>2</v>
      </c>
      <c r="H44" s="5">
        <f>IFERROR(
    GETPIVOTDATA(
        "Result",
        'Pivot Table'!$A$3,
        "Player",View_Table[[#This Row],[Player]],
        "Result","Loss"
    ),
    0
)</f>
        <v>7</v>
      </c>
      <c r="I44" s="5">
        <f>IFERROR(
    GETPIVOTDATA(
        "Result",
        'Pivot Table'!$A$3,
        "Player",View_Table[[#This Row],[Player]],
        "Result","Draw"
    ),
    0
)</f>
        <v>5</v>
      </c>
      <c r="J44" s="5">
        <f>View_Table[[#This Row],[Wins]]+View_Table[[#This Row],[Losses]]+View_Table[[#This Row],[Draws]]</f>
        <v>14</v>
      </c>
      <c r="K44" s="5">
        <f>IFERROR(
    GETPIVOTDATA(
        "Result",
        'Pivot Table Previous'!$A$3,
        "Player",View_Table[[#This Row],[Player]],
        "Result","Win"
    ),
    0
)</f>
        <v>2</v>
      </c>
      <c r="L44" s="5">
        <f>IFERROR(
    GETPIVOTDATA(
        "Result",
        'Pivot Table Previous'!$A$3,
        "Player",View_Table[[#This Row],[Player]],
        "Result","Loss"
    ),
    0
)</f>
        <v>6</v>
      </c>
      <c r="M44" s="5">
        <f>IFERROR(
    GETPIVOTDATA(
        "Result",
        'Pivot Table Previous'!$A$3,
        "Player",View_Table[[#This Row],[Player]],
        "Result","Draw"
    ),
    0
)</f>
        <v>4</v>
      </c>
      <c r="N44" s="5">
        <f>View_Table[[#This Row],[Wins Previous]]+View_Table[[#This Row],[Losses Previous]]+View_Table[[#This Row],[Draws Previous]]</f>
        <v>12</v>
      </c>
      <c r="O44" s="9">
        <f>_xlfn.LET(_xlpm.g,View_Table[[#This Row],[Games Previous]], _xlpm.w,(View_Table[[#This Row],[Wins Previous]] + View_Table[[#This Row],[Draws Previous]] * 0.25), _xlpm.fake, MAX(0,25-_xlpm.g), IF(_xlpm.g=0,0,(_xlpm.w + _xlpm.fake*0.25)/(_xlpm.g + _xlpm.fake)))</f>
        <v>0.25</v>
      </c>
      <c r="P44" s="7">
        <f>IF(View_Table[[#This Row],[Games Previous]]=0,
    View_Table[[#This Row],[Rank]],
    _xlfn.RANK.EQ(View_Table[[#This Row],[Weighted Win% Previous]], View_Table[Weighted Win% Previous], 0)
)</f>
        <v>12</v>
      </c>
    </row>
    <row r="45" spans="2:16" x14ac:dyDescent="0.25">
      <c r="B45" s="3" t="s">
        <v>27</v>
      </c>
      <c r="C45" s="6">
        <f>View_Table[[#This Row],[Rank Previous]]-View_Table[[#This Row],[Rank]]</f>
        <v>1</v>
      </c>
      <c r="D45" s="7">
        <f>_xlfn.RANK.EQ(View_Table[[#This Row],[Weighted Win%]], View_Table[Weighted Win%], 0)</f>
        <v>17</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0.22500000000000001</v>
      </c>
      <c r="G45" s="5">
        <f>IFERROR(
    GETPIVOTDATA(
        "Result",
        'Pivot Table'!$A$3,
        "Player",View_Table[[#This Row],[Player]],
        "Result","Win"
    ),
    0
)</f>
        <v>2</v>
      </c>
      <c r="H45" s="5">
        <f>IFERROR(
    GETPIVOTDATA(
        "Result",
        'Pivot Table'!$A$3,
        "Player",View_Table[[#This Row],[Player]],
        "Result","Loss"
    ),
    0
)</f>
        <v>7</v>
      </c>
      <c r="I45" s="5">
        <f>IFERROR(
    GETPIVOTDATA(
        "Result",
        'Pivot Table'!$A$3,
        "Player",View_Table[[#This Row],[Player]],
        "Result","Draw"
    ),
    0
)</f>
        <v>1</v>
      </c>
      <c r="J45" s="5">
        <f>View_Table[[#This Row],[Wins]]+View_Table[[#This Row],[Losses]]+View_Table[[#This Row],[Draws]]</f>
        <v>10</v>
      </c>
      <c r="K45" s="7">
        <f>IFERROR(
    GETPIVOTDATA(
        "Result",
        'Pivot Table Previous'!$A$3,
        "Player",View_Table[[#This Row],[Player]],
        "Result","Win"
    ),
    0
)</f>
        <v>2</v>
      </c>
      <c r="L45" s="5">
        <f>IFERROR(
    GETPIVOTDATA(
        "Result",
        'Pivot Table Previous'!$A$3,
        "Player",View_Table[[#This Row],[Player]],
        "Result","Loss"
    ),
    0
)</f>
        <v>7</v>
      </c>
      <c r="M45" s="5">
        <f>IFERROR(
    GETPIVOTDATA(
        "Result",
        'Pivot Table Previous'!$A$3,
        "Player",View_Table[[#This Row],[Player]],
        "Result","Draw"
    ),
    0
)</f>
        <v>1</v>
      </c>
      <c r="N45" s="5">
        <f>View_Table[[#This Row],[Wins Previous]]+View_Table[[#This Row],[Losses Previous]]+View_Table[[#This Row],[Draws Previous]]</f>
        <v>10</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18</v>
      </c>
    </row>
    <row r="46" spans="2:16" hidden="1" x14ac:dyDescent="0.25">
      <c r="B46" s="3" t="s">
        <v>30</v>
      </c>
      <c r="C46" s="6">
        <f>View_Table[[#This Row],[Rank Previous]]-View_Table[[#This Row],[Rank]]</f>
        <v>0</v>
      </c>
      <c r="D46" s="7">
        <f>_xlfn.RANK.EQ(View_Table[[#This Row],[Weighted Win%]], View_Table[Weighted Win%], 0)</f>
        <v>33</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33</v>
      </c>
    </row>
    <row r="47" spans="2:16" hidden="1" x14ac:dyDescent="0.25">
      <c r="B47" s="3" t="s">
        <v>541</v>
      </c>
      <c r="C47" s="6">
        <f>View_Table[[#This Row],[Rank Previous]]-View_Table[[#This Row],[Rank]]</f>
        <v>0</v>
      </c>
      <c r="D47" s="7">
        <f>_xlfn.RANK.EQ(View_Table[[#This Row],[Weighted Win%]], View_Table[Weighted Win%], 0)</f>
        <v>33</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33</v>
      </c>
    </row>
    <row r="48" spans="2:16" hidden="1" x14ac:dyDescent="0.25">
      <c r="B48" s="3" t="s">
        <v>46</v>
      </c>
      <c r="C48" s="6">
        <f>View_Table[[#This Row],[Rank Previous]]-View_Table[[#This Row],[Rank]]</f>
        <v>0</v>
      </c>
      <c r="D48" s="7">
        <f>_xlfn.RANK.EQ(View_Table[[#This Row],[Weighted Win%]], View_Table[Weighted Win%], 0)</f>
        <v>33</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33</v>
      </c>
    </row>
    <row r="49" spans="2:16" hidden="1" x14ac:dyDescent="0.25">
      <c r="B49" s="3" t="s">
        <v>542</v>
      </c>
      <c r="C49" s="6">
        <f>View_Table[[#This Row],[Rank Previous]]-View_Table[[#This Row],[Rank]]</f>
        <v>0</v>
      </c>
      <c r="D49" s="7">
        <f>_xlfn.RANK.EQ(View_Table[[#This Row],[Weighted Win%]], View_Table[Weighted Win%], 0)</f>
        <v>33</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33</v>
      </c>
    </row>
    <row r="50" spans="2:16" hidden="1" x14ac:dyDescent="0.25">
      <c r="B50" s="3" t="s">
        <v>57</v>
      </c>
      <c r="C50" s="6">
        <f>View_Table[[#This Row],[Rank Previous]]-View_Table[[#This Row],[Rank]]</f>
        <v>0</v>
      </c>
      <c r="D50" s="7">
        <f>_xlfn.RANK.EQ(View_Table[[#This Row],[Weighted Win%]], View_Table[Weighted Win%], 0)</f>
        <v>33</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33</v>
      </c>
    </row>
    <row r="51" spans="2:16" hidden="1" x14ac:dyDescent="0.25">
      <c r="B51" s="3" t="s">
        <v>591</v>
      </c>
      <c r="C51" s="6">
        <f>View_Table[[#This Row],[Rank Previous]]-View_Table[[#This Row],[Rank]]</f>
        <v>0</v>
      </c>
      <c r="D51" s="7">
        <f>_xlfn.RANK.EQ(View_Table[[#This Row],[Weighted Win%]], View_Table[Weighted Win%], 0)</f>
        <v>33</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33</v>
      </c>
    </row>
    <row r="52" spans="2:16" hidden="1" x14ac:dyDescent="0.25">
      <c r="B52" s="3" t="s">
        <v>61</v>
      </c>
      <c r="C52" s="6">
        <f>View_Table[[#This Row],[Rank Previous]]-View_Table[[#This Row],[Rank]]</f>
        <v>0</v>
      </c>
      <c r="D52" s="7">
        <f>_xlfn.RANK.EQ(View_Table[[#This Row],[Weighted Win%]], View_Table[Weighted Win%], 0)</f>
        <v>33</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33</v>
      </c>
    </row>
    <row r="53" spans="2:16" hidden="1" x14ac:dyDescent="0.25">
      <c r="B53" s="3" t="s">
        <v>321</v>
      </c>
      <c r="C53" s="6">
        <f>View_Table[[#This Row],[Rank Previous]]-View_Table[[#This Row],[Rank]]</f>
        <v>0</v>
      </c>
      <c r="D53" s="7">
        <f>_xlfn.RANK.EQ(View_Table[[#This Row],[Weighted Win%]], View_Table[Weighted Win%], 0)</f>
        <v>33</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33</v>
      </c>
    </row>
    <row r="54" spans="2:16" hidden="1" x14ac:dyDescent="0.25">
      <c r="B54" s="3" t="s">
        <v>38</v>
      </c>
      <c r="C54" s="6">
        <f>View_Table[[#This Row],[Rank Previous]]-View_Table[[#This Row],[Rank]]</f>
        <v>0</v>
      </c>
      <c r="D54" s="7">
        <f>_xlfn.RANK.EQ(View_Table[[#This Row],[Weighted Win%]], View_Table[Weighted Win%], 0)</f>
        <v>33</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33</v>
      </c>
    </row>
    <row r="55" spans="2:16" hidden="1" x14ac:dyDescent="0.25">
      <c r="B55" s="3" t="s">
        <v>48</v>
      </c>
      <c r="C55" s="6">
        <f>View_Table[[#This Row],[Rank Previous]]-View_Table[[#This Row],[Rank]]</f>
        <v>0</v>
      </c>
      <c r="D55" s="7">
        <f>_xlfn.RANK.EQ(View_Table[[#This Row],[Weighted Win%]], View_Table[Weighted Win%], 0)</f>
        <v>33</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33</v>
      </c>
    </row>
    <row r="56" spans="2:16" hidden="1" x14ac:dyDescent="0.25">
      <c r="B56" s="3" t="s">
        <v>608</v>
      </c>
      <c r="C56" s="6">
        <f>View_Table[[#This Row],[Rank Previous]]-View_Table[[#This Row],[Rank]]</f>
        <v>0</v>
      </c>
      <c r="D56" s="7">
        <f>_xlfn.RANK.EQ(View_Table[[#This Row],[Weighted Win%]], View_Table[Weighted Win%], 0)</f>
        <v>33</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33</v>
      </c>
    </row>
    <row r="57" spans="2:16" hidden="1" x14ac:dyDescent="0.25">
      <c r="B57" s="3" t="s">
        <v>62</v>
      </c>
      <c r="C57" s="6">
        <f>View_Table[[#This Row],[Rank Previous]]-View_Table[[#This Row],[Rank]]</f>
        <v>0</v>
      </c>
      <c r="D57" s="7">
        <f>_xlfn.RANK.EQ(View_Table[[#This Row],[Weighted Win%]], View_Table[Weighted Win%], 0)</f>
        <v>33</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33</v>
      </c>
    </row>
    <row r="58" spans="2:16" hidden="1" x14ac:dyDescent="0.25">
      <c r="B58" s="3" t="s">
        <v>54</v>
      </c>
      <c r="C58" s="6">
        <f>View_Table[[#This Row],[Rank Previous]]-View_Table[[#This Row],[Rank]]</f>
        <v>0</v>
      </c>
      <c r="D58" s="7">
        <f>_xlfn.RANK.EQ(View_Table[[#This Row],[Weighted Win%]], View_Table[Weighted Win%], 0)</f>
        <v>33</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33</v>
      </c>
    </row>
    <row r="59" spans="2:16" hidden="1" x14ac:dyDescent="0.25">
      <c r="B59" s="3" t="s">
        <v>60</v>
      </c>
      <c r="C59" s="6">
        <f>View_Table[[#This Row],[Rank Previous]]-View_Table[[#This Row],[Rank]]</f>
        <v>0</v>
      </c>
      <c r="D59" s="7">
        <f>_xlfn.RANK.EQ(View_Table[[#This Row],[Weighted Win%]], View_Table[Weighted Win%], 0)</f>
        <v>33</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33</v>
      </c>
    </row>
    <row r="60" spans="2:16" hidden="1" x14ac:dyDescent="0.25">
      <c r="B60" s="3" t="s">
        <v>85</v>
      </c>
      <c r="C60" s="6">
        <f>View_Table[[#This Row],[Rank Previous]]-View_Table[[#This Row],[Rank]]</f>
        <v>0</v>
      </c>
      <c r="D60" s="7">
        <f>_xlfn.RANK.EQ(View_Table[[#This Row],[Weighted Win%]], View_Table[Weighted Win%], 0)</f>
        <v>33</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33</v>
      </c>
    </row>
    <row r="61" spans="2:16" hidden="1" x14ac:dyDescent="0.25">
      <c r="B61" s="3" t="s">
        <v>47</v>
      </c>
      <c r="C61" s="6">
        <f>View_Table[[#This Row],[Rank Previous]]-View_Table[[#This Row],[Rank]]</f>
        <v>0</v>
      </c>
      <c r="D61" s="7">
        <f>_xlfn.RANK.EQ(View_Table[[#This Row],[Weighted Win%]], View_Table[Weighted Win%], 0)</f>
        <v>33</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33</v>
      </c>
    </row>
    <row r="62" spans="2:16" hidden="1" x14ac:dyDescent="0.25">
      <c r="B62" s="3" t="s">
        <v>50</v>
      </c>
      <c r="C62" s="6">
        <f>View_Table[[#This Row],[Rank Previous]]-View_Table[[#This Row],[Rank]]</f>
        <v>0</v>
      </c>
      <c r="D62" s="7">
        <f>_xlfn.RANK.EQ(View_Table[[#This Row],[Weighted Win%]], View_Table[Weighted Win%], 0)</f>
        <v>33</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33</v>
      </c>
    </row>
    <row r="63" spans="2:16" hidden="1" x14ac:dyDescent="0.25">
      <c r="B63" s="3" t="s">
        <v>53</v>
      </c>
      <c r="C63" s="6">
        <f>View_Table[[#This Row],[Rank Previous]]-View_Table[[#This Row],[Rank]]</f>
        <v>0</v>
      </c>
      <c r="D63" s="7">
        <f>_xlfn.RANK.EQ(View_Table[[#This Row],[Weighted Win%]], View_Table[Weighted Win%], 0)</f>
        <v>33</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33</v>
      </c>
    </row>
    <row r="64" spans="2:16" hidden="1" x14ac:dyDescent="0.25">
      <c r="B64" s="3" t="s">
        <v>56</v>
      </c>
      <c r="C64" s="6">
        <f>View_Table[[#This Row],[Rank Previous]]-View_Table[[#This Row],[Rank]]</f>
        <v>0</v>
      </c>
      <c r="D64" s="7">
        <f>_xlfn.RANK.EQ(View_Table[[#This Row],[Weighted Win%]], View_Table[Weighted Win%], 0)</f>
        <v>33</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33</v>
      </c>
    </row>
    <row r="65" spans="2:16" hidden="1" x14ac:dyDescent="0.25">
      <c r="B65" s="3" t="s">
        <v>58</v>
      </c>
      <c r="C65" s="6">
        <f>View_Table[[#This Row],[Rank Previous]]-View_Table[[#This Row],[Rank]]</f>
        <v>0</v>
      </c>
      <c r="D65" s="7">
        <f>_xlfn.RANK.EQ(View_Table[[#This Row],[Weighted Win%]], View_Table[Weighted Win%], 0)</f>
        <v>33</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33</v>
      </c>
    </row>
    <row r="66" spans="2:16" x14ac:dyDescent="0.25">
      <c r="B66" s="3" t="s">
        <v>351</v>
      </c>
      <c r="C66" s="6">
        <f>View_Table[[#This Row],[Rank Previous]]-View_Table[[#This Row],[Rank]]</f>
        <v>1</v>
      </c>
      <c r="D66" s="7">
        <f>_xlfn.RANK.EQ(View_Table[[#This Row],[Weighted Win%]], View_Table[Weighted Win%], 0)</f>
        <v>17</v>
      </c>
      <c r="E66" s="9">
        <f>_xlfn.LET(_xlpm.g,View_Table[[#This Row],[Games]], _xlpm.w,(View_Table[[#This Row],[Wins]] + View_Table[[#This Row],[Draws]] * 0.25), _xlpm.fake, MAX(0,25-_xlpm.g), IF(_xlpm.g=0,0,(_xlpm.w + _xlpm.fake*0.25)/(_xlpm.g + _xlpm.fake)))</f>
        <v>0.24</v>
      </c>
      <c r="F66" s="8">
        <f>IF(View_Table[[#This Row],[Games]]=0,0,(View_Table[[#This Row],[Wins]] + (View_Table[[#This Row],[Draws]] * 0.25))/View_Table[[#This Row],[Games]])</f>
        <v>0.22500000000000001</v>
      </c>
      <c r="G66" s="5">
        <f>IFERROR(
    GETPIVOTDATA(
        "Result",
        'Pivot Table'!$A$3,
        "Player",View_Table[[#This Row],[Player]],
        "Result","Win"
    ),
    0
)</f>
        <v>1</v>
      </c>
      <c r="H66" s="5">
        <f>IFERROR(
    GETPIVOTDATA(
        "Result",
        'Pivot Table'!$A$3,
        "Player",View_Table[[#This Row],[Player]],
        "Result","Loss"
    ),
    0
)</f>
        <v>4</v>
      </c>
      <c r="I66" s="5">
        <f>IFERROR(
    GETPIVOTDATA(
        "Result",
        'Pivot Table'!$A$3,
        "Player",View_Table[[#This Row],[Player]],
        "Result","Draw"
    ),
    0
)</f>
        <v>5</v>
      </c>
      <c r="J66" s="5">
        <f>View_Table[[#This Row],[Wins]]+View_Table[[#This Row],[Losses]]+View_Table[[#This Row],[Draws]]</f>
        <v>10</v>
      </c>
      <c r="K66" s="7">
        <f>IFERROR(
    GETPIVOTDATA(
        "Result",
        'Pivot Table Previous'!$A$3,
        "Player",View_Table[[#This Row],[Player]],
        "Result","Win"
    ),
    0
)</f>
        <v>1</v>
      </c>
      <c r="L66" s="5">
        <f>IFERROR(
    GETPIVOTDATA(
        "Result",
        'Pivot Table Previous'!$A$3,
        "Player",View_Table[[#This Row],[Player]],
        "Result","Loss"
    ),
    0
)</f>
        <v>4</v>
      </c>
      <c r="M66" s="5">
        <f>IFERROR(
    GETPIVOTDATA(
        "Result",
        'Pivot Table Previous'!$A$3,
        "Player",View_Table[[#This Row],[Player]],
        "Result","Draw"
    ),
    0
)</f>
        <v>3</v>
      </c>
      <c r="N66" s="5">
        <f>View_Table[[#This Row],[Wins Previous]]+View_Table[[#This Row],[Losses Previous]]+View_Table[[#This Row],[Draws Previous]]</f>
        <v>8</v>
      </c>
      <c r="O66" s="9">
        <f>_xlfn.LET(_xlpm.g,View_Table[[#This Row],[Games Previous]], _xlpm.w,(View_Table[[#This Row],[Wins Previous]] + View_Table[[#This Row],[Draws Previous]] * 0.25), _xlpm.fake, MAX(0,25-_xlpm.g), IF(_xlpm.g=0,0,(_xlpm.w + _xlpm.fake*0.25)/(_xlpm.g + _xlpm.fake)))</f>
        <v>0.24</v>
      </c>
      <c r="P66" s="7">
        <f>_xlfn.RANK.EQ(View_Table[[#This Row],[Weighted Win% Previous]], View_Table[Weighted Win% Previous], 0)</f>
        <v>18</v>
      </c>
    </row>
    <row r="67" spans="2:16" hidden="1" x14ac:dyDescent="0.25">
      <c r="B67" s="3" t="s">
        <v>45</v>
      </c>
      <c r="C67" s="6">
        <f>View_Table[[#This Row],[Rank Previous]]-View_Table[[#This Row],[Rank]]</f>
        <v>0</v>
      </c>
      <c r="D67" s="7">
        <f>_xlfn.RANK.EQ(View_Table[[#This Row],[Weighted Win%]], View_Table[Weighted Win%], 0)</f>
        <v>33</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33</v>
      </c>
    </row>
    <row r="68" spans="2:16" hidden="1" x14ac:dyDescent="0.25">
      <c r="B68" s="3" t="s">
        <v>40</v>
      </c>
      <c r="C68" s="6">
        <f>View_Table[[#This Row],[Rank Previous]]-View_Table[[#This Row],[Rank]]</f>
        <v>0</v>
      </c>
      <c r="D68" s="7">
        <f>_xlfn.RANK.EQ(View_Table[[#This Row],[Weighted Win%]], View_Table[Weighted Win%], 0)</f>
        <v>33</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33</v>
      </c>
    </row>
    <row r="69" spans="2:16" hidden="1" x14ac:dyDescent="0.25">
      <c r="B69" s="3" t="s">
        <v>55</v>
      </c>
      <c r="C69" s="6">
        <f>View_Table[[#This Row],[Rank Previous]]-View_Table[[#This Row],[Rank]]</f>
        <v>0</v>
      </c>
      <c r="D69" s="7">
        <f>_xlfn.RANK.EQ(View_Table[[#This Row],[Weighted Win%]], View_Table[Weighted Win%], 0)</f>
        <v>33</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33</v>
      </c>
    </row>
    <row r="70" spans="2:16" hidden="1" x14ac:dyDescent="0.25">
      <c r="B70" s="3" t="s">
        <v>16</v>
      </c>
      <c r="C70" s="6">
        <f>View_Table[[#This Row],[Rank Previous]]-View_Table[[#This Row],[Rank]]</f>
        <v>0</v>
      </c>
      <c r="D70" s="7">
        <f>_xlfn.RANK.EQ(View_Table[[#This Row],[Weighted Win%]], View_Table[Weighted Win%], 0)</f>
        <v>33</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33</v>
      </c>
    </row>
    <row r="71" spans="2:16" hidden="1" x14ac:dyDescent="0.25">
      <c r="B71" s="3" t="s">
        <v>21</v>
      </c>
      <c r="C71" s="6">
        <f>View_Table[[#This Row],[Rank Previous]]-View_Table[[#This Row],[Rank]]</f>
        <v>0</v>
      </c>
      <c r="D71" s="7">
        <f>_xlfn.RANK.EQ(View_Table[[#This Row],[Weighted Win%]], View_Table[Weighted Win%], 0)</f>
        <v>33</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33</v>
      </c>
    </row>
    <row r="72" spans="2:16" hidden="1" x14ac:dyDescent="0.25">
      <c r="B72" s="3" t="s">
        <v>49</v>
      </c>
      <c r="C72" s="6">
        <f>View_Table[[#This Row],[Rank Previous]]-View_Table[[#This Row],[Rank]]</f>
        <v>0</v>
      </c>
      <c r="D72" s="7">
        <f>_xlfn.RANK.EQ(View_Table[[#This Row],[Weighted Win%]], View_Table[Weighted Win%], 0)</f>
        <v>33</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33</v>
      </c>
    </row>
    <row r="73" spans="2:16" hidden="1" x14ac:dyDescent="0.25">
      <c r="B73" s="3" t="s">
        <v>12</v>
      </c>
      <c r="C73" s="6">
        <f>View_Table[[#This Row],[Rank Previous]]-View_Table[[#This Row],[Rank]]</f>
        <v>0</v>
      </c>
      <c r="D73" s="7">
        <f>_xlfn.RANK.EQ(View_Table[[#This Row],[Weighted Win%]], View_Table[Weighted Win%], 0)</f>
        <v>33</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33</v>
      </c>
    </row>
    <row r="74" spans="2:16" hidden="1" x14ac:dyDescent="0.25">
      <c r="B74" s="3" t="s">
        <v>44</v>
      </c>
      <c r="C74" s="6">
        <f>View_Table[[#This Row],[Rank Previous]]-View_Table[[#This Row],[Rank]]</f>
        <v>0</v>
      </c>
      <c r="D74" s="7">
        <f>_xlfn.RANK.EQ(View_Table[[#This Row],[Weighted Win%]], View_Table[Weighted Win%], 0)</f>
        <v>33</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33</v>
      </c>
    </row>
    <row r="75" spans="2:16" hidden="1" x14ac:dyDescent="0.25">
      <c r="B75" s="3" t="s">
        <v>29</v>
      </c>
      <c r="C75" s="6">
        <f>View_Table[[#This Row],[Rank Previous]]-View_Table[[#This Row],[Rank]]</f>
        <v>0</v>
      </c>
      <c r="D75" s="7">
        <f>_xlfn.RANK.EQ(View_Table[[#This Row],[Weighted Win%]], View_Table[Weighted Win%], 0)</f>
        <v>33</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33</v>
      </c>
    </row>
    <row r="76" spans="2:16" hidden="1" x14ac:dyDescent="0.25">
      <c r="B76" s="3" t="s">
        <v>65</v>
      </c>
      <c r="C76" s="6">
        <f>View_Table[[#This Row],[Rank Previous]]-View_Table[[#This Row],[Rank]]</f>
        <v>0</v>
      </c>
      <c r="D76" s="7">
        <f>_xlfn.RANK.EQ(View_Table[[#This Row],[Weighted Win%]], View_Table[Weighted Win%], 0)</f>
        <v>33</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33</v>
      </c>
    </row>
    <row r="77" spans="2:16" hidden="1" x14ac:dyDescent="0.25">
      <c r="B77" s="3" t="s">
        <v>76</v>
      </c>
      <c r="C77" s="6">
        <f>View_Table[[#This Row],[Rank Previous]]-View_Table[[#This Row],[Rank]]</f>
        <v>0</v>
      </c>
      <c r="D77" s="7">
        <f>_xlfn.RANK.EQ(View_Table[[#This Row],[Weighted Win%]], View_Table[Weighted Win%], 0)</f>
        <v>33</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33</v>
      </c>
    </row>
    <row r="78" spans="2:16" hidden="1" x14ac:dyDescent="0.25">
      <c r="B78" s="3" t="s">
        <v>39</v>
      </c>
      <c r="C78" s="6">
        <f>View_Table[[#This Row],[Rank Previous]]-View_Table[[#This Row],[Rank]]</f>
        <v>0</v>
      </c>
      <c r="D78" s="7">
        <f>_xlfn.RANK.EQ(View_Table[[#This Row],[Weighted Win%]], View_Table[Weighted Win%], 0)</f>
        <v>33</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33</v>
      </c>
    </row>
    <row r="79" spans="2:16" hidden="1" x14ac:dyDescent="0.25">
      <c r="B79" s="3" t="s">
        <v>18</v>
      </c>
      <c r="C79" s="6">
        <f>View_Table[[#This Row],[Rank Previous]]-View_Table[[#This Row],[Rank]]</f>
        <v>0</v>
      </c>
      <c r="D79" s="7">
        <f>_xlfn.RANK.EQ(View_Table[[#This Row],[Weighted Win%]], View_Table[Weighted Win%], 0)</f>
        <v>33</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33</v>
      </c>
    </row>
    <row r="80" spans="2:16" hidden="1" x14ac:dyDescent="0.25">
      <c r="B80" s="3" t="s">
        <v>592</v>
      </c>
      <c r="C80" s="6">
        <f>View_Table[[#This Row],[Rank Previous]]-View_Table[[#This Row],[Rank]]</f>
        <v>0</v>
      </c>
      <c r="D80" s="7">
        <f>_xlfn.RANK.EQ(View_Table[[#This Row],[Weighted Win%]], View_Table[Weighted Win%], 0)</f>
        <v>33</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33</v>
      </c>
    </row>
    <row r="81" spans="2:16" hidden="1" x14ac:dyDescent="0.25">
      <c r="B81" s="3" t="s">
        <v>539</v>
      </c>
      <c r="C81" s="6">
        <f>View_Table[[#This Row],[Rank Previous]]-View_Table[[#This Row],[Rank]]</f>
        <v>0</v>
      </c>
      <c r="D81" s="7">
        <f>_xlfn.RANK.EQ(View_Table[[#This Row],[Weighted Win%]], View_Table[Weighted Win%], 0)</f>
        <v>33</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33</v>
      </c>
    </row>
    <row r="82" spans="2:16" x14ac:dyDescent="0.25">
      <c r="B82" s="3" t="s">
        <v>13</v>
      </c>
      <c r="C82" s="6">
        <f>View_Table[[#This Row],[Rank Previous]]-View_Table[[#This Row],[Rank]]</f>
        <v>0</v>
      </c>
      <c r="D82" s="7">
        <f>_xlfn.RANK.EQ(View_Table[[#This Row],[Weighted Win%]], View_Table[Weighted Win%], 0)</f>
        <v>21</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0.21875</v>
      </c>
      <c r="G82" s="5">
        <f>IFERROR(
    GETPIVOTDATA(
        "Result",
        'Pivot Table'!$A$3,
        "Player",View_Table[[#This Row],[Player]],
        "Result","Win"
    ),
    0
)</f>
        <v>2</v>
      </c>
      <c r="H82" s="5">
        <f>IFERROR(
    GETPIVOTDATA(
        "Result",
        'Pivot Table'!$A$3,
        "Player",View_Table[[#This Row],[Player]],
        "Result","Loss"
    ),
    0
)</f>
        <v>8</v>
      </c>
      <c r="I82" s="5">
        <f>IFERROR(
    GETPIVOTDATA(
        "Result",
        'Pivot Table'!$A$3,
        "Player",View_Table[[#This Row],[Player]],
        "Result","Draw"
    ),
    0
)</f>
        <v>6</v>
      </c>
      <c r="J82" s="5">
        <f>View_Table[[#This Row],[Wins]]+View_Table[[#This Row],[Losses]]+View_Table[[#This Row],[Draws]]</f>
        <v>16</v>
      </c>
      <c r="K82" s="5">
        <f>IFERROR(
    GETPIVOTDATA(
        "Result",
        'Pivot Table Previous'!$A$3,
        "Player",View_Table[[#This Row],[Player]],
        "Result","Win"
    ),
    0
)</f>
        <v>2</v>
      </c>
      <c r="L82" s="5">
        <f>IFERROR(
    GETPIVOTDATA(
        "Result",
        'Pivot Table Previous'!$A$3,
        "Player",View_Table[[#This Row],[Player]],
        "Result","Loss"
    ),
    0
)</f>
        <v>8</v>
      </c>
      <c r="M82" s="5">
        <f>IFERROR(
    GETPIVOTDATA(
        "Result",
        'Pivot Table Previous'!$A$3,
        "Player",View_Table[[#This Row],[Player]],
        "Result","Draw"
    ),
    0
)</f>
        <v>4</v>
      </c>
      <c r="N82" s="5">
        <f>View_Table[[#This Row],[Wins Previous]]+View_Table[[#This Row],[Losses Previous]]+View_Table[[#This Row],[Draws Previous]]</f>
        <v>14</v>
      </c>
      <c r="O82" s="9">
        <f>_xlfn.LET(_xlpm.g,View_Table[[#This Row],[Games Previous]], _xlpm.w,(View_Table[[#This Row],[Wins Previous]] + View_Table[[#This Row],[Draws Previous]] * 0.25), _xlpm.fake, MAX(0,25-_xlpm.g), IF(_xlpm.g=0,0,(_xlpm.w + _xlpm.fake*0.25)/(_xlpm.g + _xlpm.fake)))</f>
        <v>0.23</v>
      </c>
      <c r="P82" s="7">
        <f>IF(View_Table[[#This Row],[Games Previous]]=0,
    View_Table[[#This Row],[Rank]],
    _xlfn.RANK.EQ(View_Table[[#This Row],[Weighted Win% Previous]], View_Table[Weighted Win% Previous], 0)
)</f>
        <v>21</v>
      </c>
    </row>
    <row r="83" spans="2:16" x14ac:dyDescent="0.25">
      <c r="B83" s="3" t="s">
        <v>435</v>
      </c>
      <c r="C83" s="6">
        <f>View_Table[[#This Row],[Rank Previous]]-View_Table[[#This Row],[Rank]]</f>
        <v>0</v>
      </c>
      <c r="D83" s="7">
        <f>_xlfn.RANK.EQ(View_Table[[#This Row],[Weighted Win%]], View_Table[Weighted Win%], 0)</f>
        <v>21</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21</v>
      </c>
    </row>
    <row r="84" spans="2:16" hidden="1" x14ac:dyDescent="0.25">
      <c r="B84" s="3" t="s">
        <v>579</v>
      </c>
      <c r="C84" s="6">
        <f>View_Table[[#This Row],[Rank Previous]]-View_Table[[#This Row],[Rank]]</f>
        <v>0</v>
      </c>
      <c r="D84" s="7">
        <f>_xlfn.RANK.EQ(View_Table[[#This Row],[Weighted Win%]], View_Table[Weighted Win%], 0)</f>
        <v>33</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33</v>
      </c>
    </row>
    <row r="85" spans="2:16" hidden="1" x14ac:dyDescent="0.25">
      <c r="B85" s="3" t="s">
        <v>590</v>
      </c>
      <c r="C85" s="6">
        <f>View_Table[[#This Row],[Rank Previous]]-View_Table[[#This Row],[Rank]]</f>
        <v>0</v>
      </c>
      <c r="D85" s="7">
        <f>_xlfn.RANK.EQ(View_Table[[#This Row],[Weighted Win%]], View_Table[Weighted Win%], 0)</f>
        <v>33</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33</v>
      </c>
    </row>
    <row r="86" spans="2:16" hidden="1" x14ac:dyDescent="0.25">
      <c r="B86" s="3" t="s">
        <v>551</v>
      </c>
      <c r="C86" s="6">
        <f>View_Table[[#This Row],[Rank Previous]]-View_Table[[#This Row],[Rank]]</f>
        <v>0</v>
      </c>
      <c r="D86" s="7">
        <f>_xlfn.RANK.EQ(View_Table[[#This Row],[Weighted Win%]], View_Table[Weighted Win%], 0)</f>
        <v>33</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33</v>
      </c>
    </row>
    <row r="87" spans="2:16" hidden="1" x14ac:dyDescent="0.25">
      <c r="B87" s="3" t="s">
        <v>552</v>
      </c>
      <c r="C87" s="6">
        <f>View_Table[[#This Row],[Rank Previous]]-View_Table[[#This Row],[Rank]]</f>
        <v>0</v>
      </c>
      <c r="D87" s="7">
        <f>_xlfn.RANK.EQ(View_Table[[#This Row],[Weighted Win%]], View_Table[Weighted Win%], 0)</f>
        <v>33</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33</v>
      </c>
    </row>
    <row r="88" spans="2:16" hidden="1" x14ac:dyDescent="0.25">
      <c r="B88" s="3" t="s">
        <v>553</v>
      </c>
      <c r="C88" s="6">
        <f>View_Table[[#This Row],[Rank Previous]]-View_Table[[#This Row],[Rank]]</f>
        <v>0</v>
      </c>
      <c r="D88" s="7">
        <f>_xlfn.RANK.EQ(View_Table[[#This Row],[Weighted Win%]], View_Table[Weighted Win%], 0)</f>
        <v>33</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33</v>
      </c>
    </row>
    <row r="89" spans="2:16" hidden="1" x14ac:dyDescent="0.25">
      <c r="B89" s="3" t="s">
        <v>554</v>
      </c>
      <c r="C89" s="6">
        <f>View_Table[[#This Row],[Rank Previous]]-View_Table[[#This Row],[Rank]]</f>
        <v>0</v>
      </c>
      <c r="D89" s="7">
        <f>_xlfn.RANK.EQ(View_Table[[#This Row],[Weighted Win%]], View_Table[Weighted Win%], 0)</f>
        <v>33</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33</v>
      </c>
    </row>
    <row r="90" spans="2:16" x14ac:dyDescent="0.25">
      <c r="B90" s="3" t="s">
        <v>605</v>
      </c>
      <c r="C90" s="6">
        <f>View_Table[[#This Row],[Rank Previous]]-View_Table[[#This Row],[Rank]]</f>
        <v>0</v>
      </c>
      <c r="D90" s="7">
        <f>_xlfn.RANK.EQ(View_Table[[#This Row],[Weighted Win%]], View_Table[Weighted Win%], 0)</f>
        <v>21</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21</v>
      </c>
    </row>
    <row r="91" spans="2:16" x14ac:dyDescent="0.25">
      <c r="B91" s="3" t="s">
        <v>567</v>
      </c>
      <c r="C91" s="6">
        <f>View_Table[[#This Row],[Rank Previous]]-View_Table[[#This Row],[Rank]]</f>
        <v>0</v>
      </c>
      <c r="D91" s="7">
        <f>_xlfn.RANK.EQ(View_Table[[#This Row],[Weighted Win%]], View_Table[Weighted Win%], 0)</f>
        <v>24</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24</v>
      </c>
    </row>
    <row r="92" spans="2:16" x14ac:dyDescent="0.25">
      <c r="B92" s="3" t="s">
        <v>519</v>
      </c>
      <c r="C92" s="6">
        <f>View_Table[[#This Row],[Rank Previous]]-View_Table[[#This Row],[Rank]]</f>
        <v>0</v>
      </c>
      <c r="D92" s="7">
        <f>_xlfn.RANK.EQ(View_Table[[#This Row],[Weighted Win%]], View_Table[Weighted Win%], 0)</f>
        <v>24</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0.15625</v>
      </c>
      <c r="G92" s="5">
        <f>IFERROR(
    GETPIVOTDATA(
        "Result",
        'Pivot Table'!$A$3,
        "Player",View_Table[[#This Row],[Player]],
        "Result","Win"
    ),
    0
)</f>
        <v>1</v>
      </c>
      <c r="H92" s="5">
        <f>IFERROR(
    GETPIVOTDATA(
        "Result",
        'Pivot Table'!$A$3,
        "Player",View_Table[[#This Row],[Player]],
        "Result","Loss"
    ),
    0
)</f>
        <v>6</v>
      </c>
      <c r="I92" s="5">
        <f>IFERROR(
    GETPIVOTDATA(
        "Result",
        'Pivot Table'!$A$3,
        "Player",View_Table[[#This Row],[Player]],
        "Result","Draw"
    ),
    0
)</f>
        <v>1</v>
      </c>
      <c r="J92" s="5">
        <f>View_Table[[#This Row],[Wins]]+View_Table[[#This Row],[Losses]]+View_Table[[#This Row],[Draws]]</f>
        <v>8</v>
      </c>
      <c r="K92" s="7">
        <f>IFERROR(
    GETPIVOTDATA(
        "Result",
        'Pivot Table Previous'!$A$3,
        "Player",View_Table[[#This Row],[Player]],
        "Result","Win"
    ),
    0
)</f>
        <v>1</v>
      </c>
      <c r="L92" s="5">
        <f>IFERROR(
    GETPIVOTDATA(
        "Result",
        'Pivot Table Previous'!$A$3,
        "Player",View_Table[[#This Row],[Player]],
        "Result","Loss"
    ),
    0
)</f>
        <v>6</v>
      </c>
      <c r="M92" s="5">
        <f>IFERROR(
    GETPIVOTDATA(
        "Result",
        'Pivot Table Previous'!$A$3,
        "Player",View_Table[[#This Row],[Player]],
        "Result","Draw"
    ),
    0
)</f>
        <v>1</v>
      </c>
      <c r="N92" s="5">
        <f>View_Table[[#This Row],[Wins Previous]]+View_Table[[#This Row],[Losses Previous]]+View_Table[[#This Row],[Draws Previous]]</f>
        <v>8</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24</v>
      </c>
    </row>
    <row r="93" spans="2:16" x14ac:dyDescent="0.25">
      <c r="B93" s="3" t="s">
        <v>540</v>
      </c>
      <c r="C93" s="6">
        <f>View_Table[[#This Row],[Rank Previous]]-View_Table[[#This Row],[Rank]]</f>
        <v>0</v>
      </c>
      <c r="D93" s="7">
        <f>_xlfn.RANK.EQ(View_Table[[#This Row],[Weighted Win%]], View_Table[Weighted Win%], 0)</f>
        <v>26</v>
      </c>
      <c r="E93" s="9">
        <f>_xlfn.LET(_xlpm.g,View_Table[[#This Row],[Games]], _xlpm.w,(View_Table[[#This Row],[Wins]] + View_Table[[#This Row],[Draws]] * 0.25), _xlpm.fake, MAX(0,25-_xlpm.g), IF(_xlpm.g=0,0,(_xlpm.w + _xlpm.fake*0.25)/(_xlpm.g + _xlpm.fake)))</f>
        <v>0.21</v>
      </c>
      <c r="F93" s="8">
        <f>IF(View_Table[[#This Row],[Games]]=0,0,(View_Table[[#This Row],[Wins]] + (View_Table[[#This Row],[Draws]] * 0.25))/View_Table[[#This Row],[Games]])</f>
        <v>8.3333333333333329E-2</v>
      </c>
      <c r="G93" s="5">
        <f>IFERROR(
    GETPIVOTDATA(
        "Result",
        'Pivot Table'!$A$3,
        "Player",View_Table[[#This Row],[Player]],
        "Result","Win"
    ),
    0
)</f>
        <v>0</v>
      </c>
      <c r="H93" s="5">
        <f>IFERROR(
    GETPIVOTDATA(
        "Result",
        'Pivot Table'!$A$3,
        "Player",View_Table[[#This Row],[Player]],
        "Result","Loss"
    ),
    0
)</f>
        <v>4</v>
      </c>
      <c r="I93" s="5">
        <f>IFERROR(
    GETPIVOTDATA(
        "Result",
        'Pivot Table'!$A$3,
        "Player",View_Table[[#This Row],[Player]],
        "Result","Draw"
    ),
    0
)</f>
        <v>2</v>
      </c>
      <c r="J93" s="5">
        <f>View_Table[[#This Row],[Wins]]+View_Table[[#This Row],[Losses]]+View_Table[[#This Row],[Draws]]</f>
        <v>6</v>
      </c>
      <c r="K93" s="7">
        <f>IFERROR(
    GETPIVOTDATA(
        "Result",
        'Pivot Table Previous'!$A$3,
        "Player",View_Table[[#This Row],[Player]],
        "Result","Win"
    ),
    0
)</f>
        <v>0</v>
      </c>
      <c r="L93" s="5">
        <f>IFERROR(
    GETPIVOTDATA(
        "Result",
        'Pivot Table Previous'!$A$3,
        "Player",View_Table[[#This Row],[Player]],
        "Result","Loss"
    ),
    0
)</f>
        <v>4</v>
      </c>
      <c r="M93" s="5">
        <f>IFERROR(
    GETPIVOTDATA(
        "Result",
        'Pivot Table Previous'!$A$3,
        "Player",View_Table[[#This Row],[Player]],
        "Result","Draw"
    ),
    0
)</f>
        <v>2</v>
      </c>
      <c r="N93" s="5">
        <f>View_Table[[#This Row],[Wins Previous]]+View_Table[[#This Row],[Losses Previous]]+View_Table[[#This Row],[Draws Previous]]</f>
        <v>6</v>
      </c>
      <c r="O93" s="9">
        <f>_xlfn.LET(_xlpm.g,View_Table[[#This Row],[Games Previous]], _xlpm.w,(View_Table[[#This Row],[Wins Previous]] + View_Table[[#This Row],[Draws Previous]] * 0.25), _xlpm.fake, MAX(0,25-_xlpm.g), IF(_xlpm.g=0,0,(_xlpm.w + _xlpm.fake*0.25)/(_xlpm.g + _xlpm.fake)))</f>
        <v>0.21</v>
      </c>
      <c r="P93" s="7">
        <f>_xlfn.RANK.EQ(View_Table[[#This Row],[Weighted Win% Previous]], View_Table[Weighted Win% Previous], 0)</f>
        <v>26</v>
      </c>
    </row>
    <row r="94" spans="2:16" hidden="1" x14ac:dyDescent="0.25">
      <c r="B94" s="3" t="s">
        <v>606</v>
      </c>
      <c r="C94" s="6">
        <f>View_Table[[#This Row],[Rank Previous]]-View_Table[[#This Row],[Rank]]</f>
        <v>0</v>
      </c>
      <c r="D94" s="7">
        <f>_xlfn.RANK.EQ(View_Table[[#This Row],[Weighted Win%]], View_Table[Weighted Win%], 0)</f>
        <v>33</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33</v>
      </c>
    </row>
    <row r="95" spans="2:16" x14ac:dyDescent="0.25">
      <c r="B95" s="3" t="s">
        <v>41</v>
      </c>
      <c r="C95" s="6">
        <f>View_Table[[#This Row],[Rank Previous]]-View_Table[[#This Row],[Rank]]</f>
        <v>-1</v>
      </c>
      <c r="D95" s="7">
        <f>_xlfn.RANK.EQ(View_Table[[#This Row],[Weighted Win%]], View_Table[Weighted Win%], 0)</f>
        <v>27</v>
      </c>
      <c r="E95" s="9">
        <f>_xlfn.LET(_xlpm.g,View_Table[[#This Row],[Games]], _xlpm.w,(View_Table[[#This Row],[Wins]] + View_Table[[#This Row],[Draws]] * 0.25), _xlpm.fake, MAX(0,25-_xlpm.g), IF(_xlpm.g=0,0,(_xlpm.w + _xlpm.fake*0.25)/(_xlpm.g + _xlpm.fake)))</f>
        <v>0.2</v>
      </c>
      <c r="F95" s="8">
        <f>IF(View_Table[[#This Row],[Games]]=0,0,(View_Table[[#This Row],[Wins]] + (View_Table[[#This Row],[Draws]] * 0.25))/View_Table[[#This Row],[Games]])</f>
        <v>0.125</v>
      </c>
      <c r="G95" s="5">
        <f>IFERROR(
    GETPIVOTDATA(
        "Result",
        'Pivot Table'!$A$3,
        "Player",View_Table[[#This Row],[Player]],
        "Result","Win"
    ),
    0
)</f>
        <v>1</v>
      </c>
      <c r="H95" s="5">
        <f>IFERROR(
    GETPIVOTDATA(
        "Result",
        'Pivot Table'!$A$3,
        "Player",View_Table[[#This Row],[Player]],
        "Result","Loss"
    ),
    0
)</f>
        <v>8</v>
      </c>
      <c r="I95" s="5">
        <f>IFERROR(
    GETPIVOTDATA(
        "Result",
        'Pivot Table'!$A$3,
        "Player",View_Table[[#This Row],[Player]],
        "Result","Draw"
    ),
    0
)</f>
        <v>1</v>
      </c>
      <c r="J95" s="5">
        <f>View_Table[[#This Row],[Wins]]+View_Table[[#This Row],[Losses]]+View_Table[[#This Row],[Draws]]</f>
        <v>10</v>
      </c>
      <c r="K95" s="5">
        <f>IFERROR(
    GETPIVOTDATA(
        "Result",
        'Pivot Table Previous'!$A$3,
        "Player",View_Table[[#This Row],[Player]],
        "Result","Win"
    ),
    0
)</f>
        <v>1</v>
      </c>
      <c r="L95" s="5">
        <f>IFERROR(
    GETPIVOTDATA(
        "Result",
        'Pivot Table Previous'!$A$3,
        "Player",View_Table[[#This Row],[Player]],
        "Result","Loss"
    ),
    0
)</f>
        <v>7</v>
      </c>
      <c r="M95" s="5">
        <f>IFERROR(
    GETPIVOTDATA(
        "Result",
        'Pivot Table Previous'!$A$3,
        "Player",View_Table[[#This Row],[Player]],
        "Result","Draw"
    ),
    0
)</f>
        <v>0</v>
      </c>
      <c r="N95" s="5">
        <f>View_Table[[#This Row],[Wins Previous]]+View_Table[[#This Row],[Losses Previous]]+View_Table[[#This Row],[Draws Previous]]</f>
        <v>8</v>
      </c>
      <c r="O95" s="9">
        <f>_xlfn.LET(_xlpm.g,View_Table[[#This Row],[Games Previous]], _xlpm.w,(View_Table[[#This Row],[Wins Previous]] + View_Table[[#This Row],[Draws Previous]] * 0.25), _xlpm.fake, MAX(0,25-_xlpm.g), IF(_xlpm.g=0,0,(_xlpm.w + _xlpm.fake*0.25)/(_xlpm.g + _xlpm.fake)))</f>
        <v>0.21</v>
      </c>
      <c r="P95" s="7">
        <f>IF(View_Table[[#This Row],[Games Previous]]=0,
    View_Table[[#This Row],[Rank]],
    _xlfn.RANK.EQ(View_Table[[#This Row],[Weighted Win% Previous]], View_Table[Weighted Win% Previous], 0)
)</f>
        <v>26</v>
      </c>
    </row>
    <row r="96" spans="2:16" x14ac:dyDescent="0.25">
      <c r="B96" s="3" t="s">
        <v>609</v>
      </c>
      <c r="C96" s="6">
        <f>View_Table[[#This Row],[Rank Previous]]-View_Table[[#This Row],[Rank]]</f>
        <v>-2</v>
      </c>
      <c r="D96" s="7">
        <f>_xlfn.RANK.EQ(View_Table[[#This Row],[Weighted Win%]], View_Table[Weighted Win%], 0)</f>
        <v>28</v>
      </c>
      <c r="E96" s="9">
        <f>_xlfn.LET(_xlpm.g,View_Table[[#This Row],[Games]], _xlpm.w,(View_Table[[#This Row],[Wins]] + View_Table[[#This Row],[Draws]] * 0.25), _xlpm.fake, MAX(0,25-_xlpm.g), IF(_xlpm.g=0,0,(_xlpm.w + _xlpm.fake*0.25)/(_xlpm.g + _xlpm.fake)))</f>
        <v>0.19</v>
      </c>
      <c r="F96" s="8">
        <f>IF(View_Table[[#This Row],[Games]]=0,0,(View_Table[[#This Row],[Wins]] + (View_Table[[#This Row],[Draws]] * 0.25))/View_Table[[#This Row],[Games]])</f>
        <v>6.25E-2</v>
      </c>
      <c r="G96" s="5">
        <f>IFERROR(
    GETPIVOTDATA(
        "Result",
        'Pivot Table'!$A$3,
        "Player",View_Table[[#This Row],[Player]],
        "Result","Win"
    ),
    0
)</f>
        <v>0</v>
      </c>
      <c r="H96" s="5">
        <f>IFERROR(
    GETPIVOTDATA(
        "Result",
        'Pivot Table'!$A$3,
        "Player",View_Table[[#This Row],[Player]],
        "Result","Loss"
    ),
    0
)</f>
        <v>6</v>
      </c>
      <c r="I96" s="5">
        <f>IFERROR(
    GETPIVOTDATA(
        "Result",
        'Pivot Table'!$A$3,
        "Player",View_Table[[#This Row],[Player]],
        "Result","Draw"
    ),
    0
)</f>
        <v>2</v>
      </c>
      <c r="J96" s="5">
        <f>View_Table[[#This Row],[Wins]]+View_Table[[#This Row],[Losses]]+View_Table[[#This Row],[Draws]]</f>
        <v>8</v>
      </c>
      <c r="K96" s="7">
        <f>IFERROR(
    GETPIVOTDATA(
        "Result",
        'Pivot Table Previous'!$A$3,
        "Player",View_Table[[#This Row],[Player]],
        "Result","Win"
    ),
    0
)</f>
        <v>0</v>
      </c>
      <c r="L96" s="5">
        <f>IFERROR(
    GETPIVOTDATA(
        "Result",
        'Pivot Table Previous'!$A$3,
        "Player",View_Table[[#This Row],[Player]],
        "Result","Loss"
    ),
    0
)</f>
        <v>4</v>
      </c>
      <c r="M96" s="5">
        <f>IFERROR(
    GETPIVOTDATA(
        "Result",
        'Pivot Table Previous'!$A$3,
        "Player",View_Table[[#This Row],[Player]],
        "Result","Draw"
    ),
    0
)</f>
        <v>2</v>
      </c>
      <c r="N96" s="5">
        <f>View_Table[[#This Row],[Wins Previous]]+View_Table[[#This Row],[Losses Previous]]+View_Table[[#This Row],[Draws Previous]]</f>
        <v>6</v>
      </c>
      <c r="O96" s="9">
        <f>_xlfn.LET(_xlpm.g,View_Table[[#This Row],[Games Previous]], _xlpm.w,(View_Table[[#This Row],[Wins Previous]] + View_Table[[#This Row],[Draws Previous]] * 0.25), _xlpm.fake, MAX(0,25-_xlpm.g), IF(_xlpm.g=0,0,(_xlpm.w + _xlpm.fake*0.25)/(_xlpm.g + _xlpm.fake)))</f>
        <v>0.21</v>
      </c>
      <c r="P96" s="7">
        <f>_xlfn.RANK.EQ(View_Table[[#This Row],[Weighted Win% Previous]], View_Table[Weighted Win% Previous], 0)</f>
        <v>26</v>
      </c>
    </row>
    <row r="97" spans="2:16" x14ac:dyDescent="0.25">
      <c r="B97" s="3" t="s">
        <v>51</v>
      </c>
      <c r="C97" s="6">
        <f>View_Table[[#This Row],[Rank Previous]]-View_Table[[#This Row],[Rank]]</f>
        <v>1</v>
      </c>
      <c r="D97" s="7">
        <f>_xlfn.RANK.EQ(View_Table[[#This Row],[Weighted Win%]], View_Table[Weighted Win%], 0)</f>
        <v>28</v>
      </c>
      <c r="E97" s="9">
        <f>_xlfn.LET(_xlpm.g,View_Table[[#This Row],[Games]], _xlpm.w,(View_Table[[#This Row],[Wins]] + View_Table[[#This Row],[Draws]] * 0.25), _xlpm.fake, MAX(0,25-_xlpm.g), IF(_xlpm.g=0,0,(_xlpm.w + _xlpm.fake*0.25)/(_xlpm.g + _xlpm.fake)))</f>
        <v>0.19</v>
      </c>
      <c r="F97" s="8">
        <f>IF(View_Table[[#This Row],[Games]]=0,0,(View_Table[[#This Row],[Wins]] + (View_Table[[#This Row],[Draws]] * 0.25))/View_Table[[#This Row],[Games]])</f>
        <v>0.1</v>
      </c>
      <c r="G97" s="5">
        <f>IFERROR(
    GETPIVOTDATA(
        "Result",
        'Pivot Table'!$A$3,
        "Player",View_Table[[#This Row],[Player]],
        "Result","Win"
    ),
    0
)</f>
        <v>0</v>
      </c>
      <c r="H97" s="5">
        <f>IFERROR(
    GETPIVOTDATA(
        "Result",
        'Pivot Table'!$A$3,
        "Player",View_Table[[#This Row],[Player]],
        "Result","Loss"
    ),
    0
)</f>
        <v>6</v>
      </c>
      <c r="I97" s="5">
        <f>IFERROR(
    GETPIVOTDATA(
        "Result",
        'Pivot Table'!$A$3,
        "Player",View_Table[[#This Row],[Player]],
        "Result","Draw"
    ),
    0
)</f>
        <v>4</v>
      </c>
      <c r="J97" s="5">
        <f>View_Table[[#This Row],[Wins]]+View_Table[[#This Row],[Losses]]+View_Table[[#This Row],[Draws]]</f>
        <v>10</v>
      </c>
      <c r="K97" s="7">
        <f>IFERROR(
    GETPIVOTDATA(
        "Result",
        'Pivot Table Previous'!$A$3,
        "Player",View_Table[[#This Row],[Player]],
        "Result","Win"
    ),
    0
)</f>
        <v>0</v>
      </c>
      <c r="L97" s="5">
        <f>IFERROR(
    GETPIVOTDATA(
        "Result",
        'Pivot Table Previous'!$A$3,
        "Player",View_Table[[#This Row],[Player]],
        "Result","Loss"
    ),
    0
)</f>
        <v>6</v>
      </c>
      <c r="M97" s="5">
        <f>IFERROR(
    GETPIVOTDATA(
        "Result",
        'Pivot Table Previous'!$A$3,
        "Player",View_Table[[#This Row],[Player]],
        "Result","Draw"
    ),
    0
)</f>
        <v>4</v>
      </c>
      <c r="N97" s="5">
        <f>View_Table[[#This Row],[Wins Previous]]+View_Table[[#This Row],[Losses Previous]]+View_Table[[#This Row],[Draws Previous]]</f>
        <v>10</v>
      </c>
      <c r="O97" s="9">
        <f>_xlfn.LET(_xlpm.g,View_Table[[#This Row],[Games Previous]], _xlpm.w,(View_Table[[#This Row],[Wins Previous]] + View_Table[[#This Row],[Draws Previous]] * 0.25), _xlpm.fake, MAX(0,25-_xlpm.g), IF(_xlpm.g=0,0,(_xlpm.w + _xlpm.fake*0.25)/(_xlpm.g + _xlpm.fake)))</f>
        <v>0.19</v>
      </c>
      <c r="P97" s="7">
        <f>_xlfn.RANK.EQ(View_Table[[#This Row],[Weighted Win% Previous]], View_Table[Weighted Win% Previous], 0)</f>
        <v>29</v>
      </c>
    </row>
    <row r="98" spans="2:16" x14ac:dyDescent="0.25">
      <c r="B98" s="3" t="s">
        <v>10</v>
      </c>
      <c r="C98" s="6">
        <f>View_Table[[#This Row],[Rank Previous]]-View_Table[[#This Row],[Rank]]</f>
        <v>-1</v>
      </c>
      <c r="D98" s="7">
        <f>_xlfn.RANK.EQ(View_Table[[#This Row],[Weighted Win%]], View_Table[Weighted Win%], 0)</f>
        <v>30</v>
      </c>
      <c r="E98" s="9">
        <f>_xlfn.LET(_xlpm.g,View_Table[[#This Row],[Games]], _xlpm.w,(View_Table[[#This Row],[Wins]] + View_Table[[#This Row],[Draws]] * 0.25), _xlpm.fake, MAX(0,25-_xlpm.g), IF(_xlpm.g=0,0,(_xlpm.w + _xlpm.fake*0.25)/(_xlpm.g + _xlpm.fake)))</f>
        <v>0.18</v>
      </c>
      <c r="F98" s="8">
        <f>IF(View_Table[[#This Row],[Games]]=0,0,(View_Table[[#This Row],[Wins]] + (View_Table[[#This Row],[Draws]] * 0.25))/View_Table[[#This Row],[Games]])</f>
        <v>7.4999999999999997E-2</v>
      </c>
      <c r="G98" s="5">
        <f>IFERROR(
    GETPIVOTDATA(
        "Result",
        'Pivot Table'!$A$3,
        "Player",View_Table[[#This Row],[Player]],
        "Result","Win"
    ),
    0
)</f>
        <v>0</v>
      </c>
      <c r="H98" s="5">
        <f>IFERROR(
    GETPIVOTDATA(
        "Result",
        'Pivot Table'!$A$3,
        "Player",View_Table[[#This Row],[Player]],
        "Result","Loss"
    ),
    0
)</f>
        <v>7</v>
      </c>
      <c r="I98" s="5">
        <f>IFERROR(
    GETPIVOTDATA(
        "Result",
        'Pivot Table'!$A$3,
        "Player",View_Table[[#This Row],[Player]],
        "Result","Draw"
    ),
    0
)</f>
        <v>3</v>
      </c>
      <c r="J98" s="5">
        <f>View_Table[[#This Row],[Wins]]+View_Table[[#This Row],[Losses]]+View_Table[[#This Row],[Draws]]</f>
        <v>10</v>
      </c>
      <c r="K98" s="7">
        <f>IFERROR(
    GETPIVOTDATA(
        "Result",
        'Pivot Table Previous'!$A$3,
        "Player",View_Table[[#This Row],[Player]],
        "Result","Win"
    ),
    0
)</f>
        <v>0</v>
      </c>
      <c r="L98" s="5">
        <f>IFERROR(
    GETPIVOTDATA(
        "Result",
        'Pivot Table Previous'!$A$3,
        "Player",View_Table[[#This Row],[Player]],
        "Result","Loss"
    ),
    0
)</f>
        <v>6</v>
      </c>
      <c r="M98" s="5">
        <f>IFERROR(
    GETPIVOTDATA(
        "Result",
        'Pivot Table Previous'!$A$3,
        "Player",View_Table[[#This Row],[Player]],
        "Result","Draw"
    ),
    0
)</f>
        <v>2</v>
      </c>
      <c r="N98" s="5">
        <f>View_Table[[#This Row],[Wins Previous]]+View_Table[[#This Row],[Losses Previous]]+View_Table[[#This Row],[Draws Previous]]</f>
        <v>8</v>
      </c>
      <c r="O98" s="9">
        <f>_xlfn.LET(_xlpm.g,View_Table[[#This Row],[Games Previous]], _xlpm.w,(View_Table[[#This Row],[Wins Previous]] + View_Table[[#This Row],[Draws Previous]] * 0.25), _xlpm.fake, MAX(0,25-_xlpm.g), IF(_xlpm.g=0,0,(_xlpm.w + _xlpm.fake*0.25)/(_xlpm.g + _xlpm.fake)))</f>
        <v>0.19</v>
      </c>
      <c r="P98" s="7">
        <f>_xlfn.RANK.EQ(View_Table[[#This Row],[Weighted Win% Previous]], View_Table[Weighted Win% Previous], 0)</f>
        <v>29</v>
      </c>
    </row>
    <row r="99" spans="2:16" x14ac:dyDescent="0.25">
      <c r="B99" s="3" t="s">
        <v>14</v>
      </c>
      <c r="C99" s="6">
        <f>View_Table[[#This Row],[Rank Previous]]-View_Table[[#This Row],[Rank]]</f>
        <v>2</v>
      </c>
      <c r="D99" s="7">
        <f>_xlfn.RANK.EQ(View_Table[[#This Row],[Weighted Win%]], View_Table[Weighted Win%], 0)</f>
        <v>30</v>
      </c>
      <c r="E99" s="9">
        <f>_xlfn.LET(_xlpm.g,View_Table[[#This Row],[Games]], _xlpm.w,(View_Table[[#This Row],[Wins]] + View_Table[[#This Row],[Draws]] * 0.25), _xlpm.fake, MAX(0,25-_xlpm.g), IF(_xlpm.g=0,0,(_xlpm.w + _xlpm.fake*0.25)/(_xlpm.g + _xlpm.fake)))</f>
        <v>0.18</v>
      </c>
      <c r="F99" s="8">
        <f>IF(View_Table[[#This Row],[Games]]=0,0,(View_Table[[#This Row],[Wins]] + (View_Table[[#This Row],[Draws]] * 0.25))/View_Table[[#This Row],[Games]])</f>
        <v>0.140625</v>
      </c>
      <c r="G99" s="5">
        <f>IFERROR(
    GETPIVOTDATA(
        "Result",
        'Pivot Table'!$A$3,
        "Player",View_Table[[#This Row],[Player]],
        "Result","Win"
    ),
    0
)</f>
        <v>1</v>
      </c>
      <c r="H99" s="5">
        <f>IFERROR(
    GETPIVOTDATA(
        "Result",
        'Pivot Table'!$A$3,
        "Player",View_Table[[#This Row],[Player]],
        "Result","Loss"
    ),
    0
)</f>
        <v>10</v>
      </c>
      <c r="I99" s="5">
        <f>IFERROR(
    GETPIVOTDATA(
        "Result",
        'Pivot Table'!$A$3,
        "Player",View_Table[[#This Row],[Player]],
        "Result","Draw"
    ),
    0
)</f>
        <v>5</v>
      </c>
      <c r="J99" s="5">
        <f>View_Table[[#This Row],[Wins]]+View_Table[[#This Row],[Losses]]+View_Table[[#This Row],[Draws]]</f>
        <v>16</v>
      </c>
      <c r="K99" s="5">
        <f>IFERROR(
    GETPIVOTDATA(
        "Result",
        'Pivot Table Previous'!$A$3,
        "Player",View_Table[[#This Row],[Player]],
        "Result","Win"
    ),
    0
)</f>
        <v>1</v>
      </c>
      <c r="L99" s="5">
        <f>IFERROR(
    GETPIVOTDATA(
        "Result",
        'Pivot Table Previous'!$A$3,
        "Player",View_Table[[#This Row],[Player]],
        "Result","Loss"
    ),
    0
)</f>
        <v>10</v>
      </c>
      <c r="M99" s="5">
        <f>IFERROR(
    GETPIVOTDATA(
        "Result",
        'Pivot Table Previous'!$A$3,
        "Player",View_Table[[#This Row],[Player]],
        "Result","Draw"
    ),
    0
)</f>
        <v>3</v>
      </c>
      <c r="N99" s="5">
        <f>View_Table[[#This Row],[Wins Previous]]+View_Table[[#This Row],[Losses Previous]]+View_Table[[#This Row],[Draws Previous]]</f>
        <v>14</v>
      </c>
      <c r="O99" s="9">
        <f>_xlfn.LET(_xlpm.g,View_Table[[#This Row],[Games Previous]], _xlpm.w,(View_Table[[#This Row],[Wins Previous]] + View_Table[[#This Row],[Draws Previous]] * 0.25), _xlpm.fake, MAX(0,25-_xlpm.g), IF(_xlpm.g=0,0,(_xlpm.w + _xlpm.fake*0.25)/(_xlpm.g + _xlpm.fake)))</f>
        <v>0.18</v>
      </c>
      <c r="P99" s="7">
        <f>IF(View_Table[[#This Row],[Games Previous]]=0,
    View_Table[[#This Row],[Rank]],
    _xlfn.RANK.EQ(View_Table[[#This Row],[Weighted Win% Previous]], View_Table[Weighted Win% Previous], 0)
)</f>
        <v>32</v>
      </c>
    </row>
    <row r="100" spans="2:16" hidden="1" x14ac:dyDescent="0.25">
      <c r="B100" s="3" t="s">
        <v>436</v>
      </c>
      <c r="C100" s="6">
        <f>View_Table[[#This Row],[Rank Previous]]-View_Table[[#This Row],[Rank]]</f>
        <v>0</v>
      </c>
      <c r="D100" s="7">
        <f>_xlfn.RANK.EQ(View_Table[[#This Row],[Weighted Win%]], View_Table[Weighted Win%], 0)</f>
        <v>33</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33</v>
      </c>
    </row>
    <row r="101" spans="2:16" hidden="1" x14ac:dyDescent="0.25">
      <c r="B101" s="3" t="s">
        <v>363</v>
      </c>
      <c r="C101" s="6">
        <f>View_Table[[#This Row],[Rank Previous]]-View_Table[[#This Row],[Rank]]</f>
        <v>0</v>
      </c>
      <c r="D101" s="7">
        <f>_xlfn.RANK.EQ(View_Table[[#This Row],[Weighted Win%]], View_Table[Weighted Win%], 0)</f>
        <v>33</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33</v>
      </c>
    </row>
    <row r="102" spans="2:16" hidden="1" x14ac:dyDescent="0.25">
      <c r="B102" s="3" t="s">
        <v>52</v>
      </c>
      <c r="C102" s="6">
        <f>View_Table[[#This Row],[Rank Previous]]-View_Table[[#This Row],[Rank]]</f>
        <v>0</v>
      </c>
      <c r="D102" s="7">
        <f>_xlfn.RANK.EQ(View_Table[[#This Row],[Weighted Win%]], View_Table[Weighted Win%], 0)</f>
        <v>33</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33</v>
      </c>
    </row>
    <row r="103" spans="2:16" x14ac:dyDescent="0.25">
      <c r="B103" s="3" t="s">
        <v>433</v>
      </c>
      <c r="C103" s="6">
        <f>View_Table[[#This Row],[Rank Previous]]-View_Table[[#This Row],[Rank]]</f>
        <v>-1</v>
      </c>
      <c r="D103" s="7">
        <f>_xlfn.RANK.EQ(View_Table[[#This Row],[Weighted Win%]], View_Table[Weighted Win%], 0)</f>
        <v>30</v>
      </c>
      <c r="E103" s="9">
        <f>_xlfn.LET(_xlpm.g,View_Table[[#This Row],[Games]], _xlpm.w,(View_Table[[#This Row],[Wins]] + View_Table[[#This Row],[Draws]] * 0.25), _xlpm.fake, MAX(0,25-_xlpm.g), IF(_xlpm.g=0,0,(_xlpm.w + _xlpm.fake*0.25)/(_xlpm.g + _xlpm.fake)))</f>
        <v>0.18</v>
      </c>
      <c r="F103" s="8">
        <f>IF(View_Table[[#This Row],[Games]]=0,0,(View_Table[[#This Row],[Wins]] + (View_Table[[#This Row],[Draws]] * 0.25))/View_Table[[#This Row],[Games]])</f>
        <v>7.4999999999999997E-2</v>
      </c>
      <c r="G103" s="5">
        <f>IFERROR(
    GETPIVOTDATA(
        "Result",
        'Pivot Table'!$A$3,
        "Player",View_Table[[#This Row],[Player]],
        "Result","Win"
    ),
    0
)</f>
        <v>0</v>
      </c>
      <c r="H103" s="5">
        <f>IFERROR(
    GETPIVOTDATA(
        "Result",
        'Pivot Table'!$A$3,
        "Player",View_Table[[#This Row],[Player]],
        "Result","Loss"
    ),
    0
)</f>
        <v>7</v>
      </c>
      <c r="I103" s="5">
        <f>IFERROR(
    GETPIVOTDATA(
        "Result",
        'Pivot Table'!$A$3,
        "Player",View_Table[[#This Row],[Player]],
        "Result","Draw"
    ),
    0
)</f>
        <v>3</v>
      </c>
      <c r="J103" s="5">
        <f>View_Table[[#This Row],[Wins]]+View_Table[[#This Row],[Losses]]+View_Table[[#This Row],[Draws]]</f>
        <v>10</v>
      </c>
      <c r="K103" s="7">
        <f>IFERROR(
    GETPIVOTDATA(
        "Result",
        'Pivot Table Previous'!$A$3,
        "Player",View_Table[[#This Row],[Player]],
        "Result","Win"
    ),
    0
)</f>
        <v>0</v>
      </c>
      <c r="L103" s="5">
        <f>IFERROR(
    GETPIVOTDATA(
        "Result",
        'Pivot Table Previous'!$A$3,
        "Player",View_Table[[#This Row],[Player]],
        "Result","Loss"
    ),
    0
)</f>
        <v>6</v>
      </c>
      <c r="M103" s="5">
        <f>IFERROR(
    GETPIVOTDATA(
        "Result",
        'Pivot Table Previous'!$A$3,
        "Player",View_Table[[#This Row],[Player]],
        "Result","Draw"
    ),
    0
)</f>
        <v>2</v>
      </c>
      <c r="N103" s="5">
        <f>View_Table[[#This Row],[Wins Previous]]+View_Table[[#This Row],[Losses Previous]]+View_Table[[#This Row],[Draws Previous]]</f>
        <v>8</v>
      </c>
      <c r="O103" s="9">
        <f>_xlfn.LET(_xlpm.g,View_Table[[#This Row],[Games Previous]], _xlpm.w,(View_Table[[#This Row],[Wins Previous]] + View_Table[[#This Row],[Draws Previous]] * 0.25), _xlpm.fake, MAX(0,25-_xlpm.g), IF(_xlpm.g=0,0,(_xlpm.w + _xlpm.fake*0.25)/(_xlpm.g + _xlpm.fake)))</f>
        <v>0.19</v>
      </c>
      <c r="P103" s="7">
        <f>_xlfn.RANK.EQ(View_Table[[#This Row],[Weighted Win% Previous]], View_Table[Weighted Win% Previous], 0)</f>
        <v>29</v>
      </c>
    </row>
    <row r="104" spans="2:16" hidden="1" x14ac:dyDescent="0.25">
      <c r="B104" s="3" t="s">
        <v>465</v>
      </c>
      <c r="C104" s="6">
        <f>View_Table[[#This Row],[Rank Previous]]-View_Table[[#This Row],[Rank]]</f>
        <v>0</v>
      </c>
      <c r="D104" s="7">
        <f>_xlfn.RANK.EQ(View_Table[[#This Row],[Weighted Win%]], View_Table[Weighted Win%], 0)</f>
        <v>33</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33</v>
      </c>
    </row>
  </sheetData>
  <phoneticPr fontId="4" type="noConversion"/>
  <conditionalFormatting sqref="J5:J104">
    <cfRule type="colorScale" priority="1904">
      <colorScale>
        <cfvo type="min"/>
        <cfvo type="percentile" val="50"/>
        <cfvo type="num" val="25"/>
        <color rgb="FFF8696B"/>
        <color rgb="FFFFEB84"/>
        <color rgb="FF63BE7B"/>
      </colorScale>
    </cfRule>
  </conditionalFormatting>
  <conditionalFormatting sqref="D5:D104">
    <cfRule type="top10" dxfId="4" priority="1905" bottom="1" rank="5"/>
    <cfRule type="cellIs" dxfId="3" priority="1906" operator="between">
      <formula>1</formula>
      <formula>16</formula>
    </cfRule>
    <cfRule type="top10" dxfId="2" priority="1907" bottom="1" rank="1"/>
  </conditionalFormatting>
  <conditionalFormatting sqref="G5:G104">
    <cfRule type="colorScale" priority="1908">
      <colorScale>
        <cfvo type="min"/>
        <cfvo type="percentile" val="70"/>
        <cfvo type="max"/>
        <color rgb="FFFF6600"/>
        <color theme="9" tint="0.59999389629810485"/>
        <color theme="9" tint="0.39997558519241921"/>
      </colorScale>
    </cfRule>
  </conditionalFormatting>
  <conditionalFormatting sqref="H5:H104">
    <cfRule type="colorScale" priority="1909">
      <colorScale>
        <cfvo type="min"/>
        <cfvo type="percentile" val="90"/>
        <cfvo type="max"/>
        <color theme="9" tint="0.59999389629810485"/>
        <color theme="9" tint="0.79998168889431442"/>
        <color rgb="FFFF6600"/>
      </colorScale>
    </cfRule>
  </conditionalFormatting>
  <conditionalFormatting sqref="F5:F104">
    <cfRule type="colorScale" priority="1910">
      <colorScale>
        <cfvo type="min"/>
        <cfvo type="num" val="0.25"/>
        <cfvo type="max"/>
        <color rgb="FFF8696B"/>
        <color theme="9" tint="0.59999389629810485"/>
        <color rgb="FF00B050"/>
      </colorScale>
    </cfRule>
  </conditionalFormatting>
  <conditionalFormatting sqref="I5:I104">
    <cfRule type="colorScale" priority="1911">
      <colorScale>
        <cfvo type="min"/>
        <cfvo type="max"/>
        <color theme="9" tint="0.79998168889431442"/>
        <color rgb="FFBF95DF"/>
      </colorScale>
    </cfRule>
  </conditionalFormatting>
  <conditionalFormatting sqref="N5:N104">
    <cfRule type="colorScale" priority="1912">
      <colorScale>
        <cfvo type="min"/>
        <cfvo type="percentile" val="50"/>
        <cfvo type="num" val="25"/>
        <color rgb="FFF8696B"/>
        <color rgb="FFFFEB84"/>
        <color rgb="FF63BE7B"/>
      </colorScale>
    </cfRule>
  </conditionalFormatting>
  <conditionalFormatting sqref="L5:L104">
    <cfRule type="colorScale" priority="1913">
      <colorScale>
        <cfvo type="min"/>
        <cfvo type="percentile" val="90"/>
        <cfvo type="max"/>
        <color theme="9" tint="0.59999389629810485"/>
        <color theme="9" tint="0.79998168889431442"/>
        <color rgb="FFFF6600"/>
      </colorScale>
    </cfRule>
  </conditionalFormatting>
  <conditionalFormatting sqref="M5:M104">
    <cfRule type="colorScale" priority="1914">
      <colorScale>
        <cfvo type="min"/>
        <cfvo type="max"/>
        <color theme="9" tint="0.79998168889431442"/>
        <color rgb="FFBF95DF"/>
      </colorScale>
    </cfRule>
  </conditionalFormatting>
  <conditionalFormatting sqref="K5:K104">
    <cfRule type="colorScale" priority="1915">
      <colorScale>
        <cfvo type="min"/>
        <cfvo type="percentile" val="70"/>
        <cfvo type="max"/>
        <color rgb="FFFF6600"/>
        <color theme="9" tint="0.59999389629810485"/>
        <color theme="9" tint="0.39997558519241921"/>
      </colorScale>
    </cfRule>
  </conditionalFormatting>
  <conditionalFormatting sqref="P5:P104">
    <cfRule type="top10" dxfId="1" priority="1916" bottom="1" rank="5"/>
    <cfRule type="top10" dxfId="0" priority="1917"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18"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919"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920"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v>63</v>
      </c>
      <c r="C6">
        <v>87</v>
      </c>
      <c r="D6">
        <v>5</v>
      </c>
      <c r="E6">
        <v>155</v>
      </c>
    </row>
    <row r="7" spans="1:5" x14ac:dyDescent="0.25">
      <c r="A7" s="3">
        <v>2</v>
      </c>
      <c r="B7">
        <v>36</v>
      </c>
      <c r="C7">
        <v>87</v>
      </c>
      <c r="D7">
        <v>6</v>
      </c>
      <c r="E7">
        <v>129</v>
      </c>
    </row>
    <row r="8" spans="1:5" x14ac:dyDescent="0.25">
      <c r="A8" s="3">
        <v>3</v>
      </c>
      <c r="B8">
        <v>35</v>
      </c>
      <c r="C8">
        <v>61</v>
      </c>
      <c r="D8">
        <v>6</v>
      </c>
      <c r="E8">
        <v>102</v>
      </c>
    </row>
    <row r="9" spans="1:5" x14ac:dyDescent="0.25">
      <c r="A9" s="3">
        <v>4</v>
      </c>
      <c r="C9">
        <v>56</v>
      </c>
      <c r="D9">
        <v>6</v>
      </c>
      <c r="E9">
        <v>62</v>
      </c>
    </row>
    <row r="10" spans="1:5" x14ac:dyDescent="0.25">
      <c r="A10" s="3">
        <v>5</v>
      </c>
      <c r="D10">
        <v>6</v>
      </c>
      <c r="E10">
        <v>6</v>
      </c>
    </row>
    <row r="11" spans="1:5" x14ac:dyDescent="0.25">
      <c r="A11" s="3" t="s">
        <v>66</v>
      </c>
      <c r="C11">
        <v>6</v>
      </c>
      <c r="E11">
        <v>6</v>
      </c>
    </row>
    <row r="12" spans="1:5" x14ac:dyDescent="0.25">
      <c r="A12" s="3" t="s">
        <v>24</v>
      </c>
      <c r="B12">
        <v>134</v>
      </c>
      <c r="C12">
        <v>297</v>
      </c>
      <c r="D12">
        <v>29</v>
      </c>
      <c r="E12">
        <v>460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0.26845149253731349</v>
      </c>
    </row>
    <row r="4" spans="2:7" x14ac:dyDescent="0.25">
      <c r="B4" t="s">
        <v>2</v>
      </c>
      <c r="C4" t="s">
        <v>75</v>
      </c>
      <c r="D4" t="s">
        <v>70</v>
      </c>
      <c r="F4" t="s">
        <v>77</v>
      </c>
      <c r="G4" t="s">
        <v>34</v>
      </c>
    </row>
    <row r="5" spans="2:7" x14ac:dyDescent="0.25">
      <c r="B5">
        <v>1</v>
      </c>
      <c r="C5">
        <f>GETPIVOTDATA("Result",Seat_Order_Pivot!$A$3,"Seat",Table3[[#This Row],[Seat]],"Result","Win")</f>
        <v>155</v>
      </c>
      <c r="D5" s="4">
        <f>Table3[[#This Row],[Count Result]]/C13</f>
        <v>0.28917910447761191</v>
      </c>
      <c r="F5">
        <v>1</v>
      </c>
      <c r="G5" s="4">
        <f>GETPIVOTDATA("Result",pivot_seat_New!$A$5,"Seat",Table411[[#This Row],[3 pods]],"Pod Size",3)/C14</f>
        <v>0.44055944055944057</v>
      </c>
    </row>
    <row r="6" spans="2:7" x14ac:dyDescent="0.25">
      <c r="B6">
        <v>2</v>
      </c>
      <c r="C6">
        <f>GETPIVOTDATA("Result",Seat_Order_Pivot!$A$3,"Seat",Table3[[#This Row],[Seat]],"Result","Win")</f>
        <v>129</v>
      </c>
      <c r="D6" s="4">
        <f>Table3[[#This Row],[Count Result]]/C13</f>
        <v>0.24067164179104478</v>
      </c>
      <c r="F6">
        <v>2</v>
      </c>
      <c r="G6" s="4">
        <f>GETPIVOTDATA("Result",pivot_seat_New!$A$5,"Seat",Table411[[#This Row],[3 pods]],"Pod Size",3)/C14</f>
        <v>0.25174825174825177</v>
      </c>
    </row>
    <row r="7" spans="2:7" x14ac:dyDescent="0.25">
      <c r="B7">
        <v>3</v>
      </c>
      <c r="C7">
        <f>GETPIVOTDATA("Result",Seat_Order_Pivot!$A$3,"Seat",Table3[[#This Row],[Seat]],"Result","Win")</f>
        <v>102</v>
      </c>
      <c r="D7" s="4">
        <f>Table3[[#This Row],[Count Result]]/C13</f>
        <v>0.19029850746268656</v>
      </c>
      <c r="F7">
        <v>3</v>
      </c>
      <c r="G7" s="4">
        <f>GETPIVOTDATA("Result",pivot_seat_New!$A$5,"Seat",Table411[[#This Row],[3 pods]],"Pod Size",3)/C14</f>
        <v>0.24475524475524477</v>
      </c>
    </row>
    <row r="8" spans="2:7" x14ac:dyDescent="0.25">
      <c r="B8">
        <v>4</v>
      </c>
      <c r="C8">
        <f>GETPIVOTDATA("Result",Seat_Order_Pivot!$A$3,"Seat",Table3[[#This Row],[Seat]],"Result","Win")</f>
        <v>62</v>
      </c>
      <c r="D8" s="4">
        <f>Table3[[#This Row],[Count Result]]/(C15+C16)</f>
        <v>0.15776081424936386</v>
      </c>
      <c r="F8" t="s">
        <v>63</v>
      </c>
      <c r="G8" s="4">
        <f>1-G5-G6-G7</f>
        <v>6.2937062937062832E-2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82</v>
      </c>
      <c r="D10" s="4">
        <f>Table3[[#This Row],[Count Result]]/C13</f>
        <v>0.15298507462686567</v>
      </c>
      <c r="F10">
        <v>1</v>
      </c>
      <c r="G10" s="4">
        <f>GETPIVOTDATA("Result",pivot_seat_New!$A$5,"Seat",Table41112[[#This Row],[4 pods]],"Pod Size",4)/C15</f>
        <v>0.24033149171270718</v>
      </c>
    </row>
    <row r="11" spans="2:7" x14ac:dyDescent="0.25">
      <c r="F11">
        <v>2</v>
      </c>
      <c r="G11" s="4">
        <f>GETPIVOTDATA("Result",pivot_seat_New!$A$5,"Seat",Table41112[[#This Row],[4 pods]],"Pod Size",4)/C15</f>
        <v>0.24033149171270718</v>
      </c>
    </row>
    <row r="12" spans="2:7" x14ac:dyDescent="0.25">
      <c r="B12" t="s">
        <v>71</v>
      </c>
      <c r="C12" t="s">
        <v>69</v>
      </c>
      <c r="F12">
        <v>3</v>
      </c>
      <c r="G12" s="4">
        <f>GETPIVOTDATA("Result",pivot_seat_New!$A$5,"Seat",Table41112[[#This Row],[4 pods]],"Pod Size",4)/C15</f>
        <v>0.16850828729281769</v>
      </c>
    </row>
    <row r="13" spans="2:7" x14ac:dyDescent="0.25">
      <c r="B13" t="s">
        <v>68</v>
      </c>
      <c r="C13">
        <f>SUM(Table3[Count Result])</f>
        <v>536</v>
      </c>
      <c r="F13">
        <v>4</v>
      </c>
      <c r="G13" s="4">
        <f>GETPIVOTDATA("Result",pivot_seat_New!$A$5,"Seat",Table41112[[#This Row],[4 pods]],"Pod Size",4)/C15</f>
        <v>0.15469613259668508</v>
      </c>
    </row>
    <row r="14" spans="2:7" x14ac:dyDescent="0.25">
      <c r="B14" t="s">
        <v>72</v>
      </c>
      <c r="C14">
        <f>(C13)-((GETPIVOTDATA("Result",Seat_Order_Pivot!$A$3,"Seat",4,"Result","Win")) + (GETPIVOTDATA("Result",Seat_Order_Pivot!$A$3,"Seat",4,"Result","Loss")) + (GETPIVOTDATA("Result",Seat_Order_Pivot!$A$3,"Seat",4,"Result","Draw")))</f>
        <v>143</v>
      </c>
      <c r="F14" t="s">
        <v>63</v>
      </c>
      <c r="G14" s="4">
        <f>1-G11-G12-G13-G10</f>
        <v>0.19613259668508282</v>
      </c>
    </row>
    <row r="15" spans="2:7" x14ac:dyDescent="0.25">
      <c r="B15" t="s">
        <v>73</v>
      </c>
      <c r="C15">
        <f>C13-C14-C16</f>
        <v>362</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v>82</v>
      </c>
      <c r="C3">
        <v>299</v>
      </c>
      <c r="D3">
        <v>155</v>
      </c>
      <c r="E3">
        <v>536</v>
      </c>
    </row>
    <row r="4" spans="1:5" x14ac:dyDescent="0.25">
      <c r="A4" s="3">
        <v>2</v>
      </c>
      <c r="B4">
        <v>81</v>
      </c>
      <c r="C4">
        <v>325</v>
      </c>
      <c r="D4">
        <v>129</v>
      </c>
      <c r="E4">
        <v>535</v>
      </c>
    </row>
    <row r="5" spans="1:5" x14ac:dyDescent="0.25">
      <c r="A5" s="3">
        <v>3</v>
      </c>
      <c r="B5">
        <v>82</v>
      </c>
      <c r="C5">
        <v>352</v>
      </c>
      <c r="D5">
        <v>102</v>
      </c>
      <c r="E5">
        <v>536</v>
      </c>
    </row>
    <row r="6" spans="1:5" x14ac:dyDescent="0.25">
      <c r="A6" s="3">
        <v>4</v>
      </c>
      <c r="B6">
        <v>73</v>
      </c>
      <c r="C6">
        <v>258</v>
      </c>
      <c r="D6">
        <v>62</v>
      </c>
      <c r="E6">
        <v>393</v>
      </c>
    </row>
    <row r="7" spans="1:5" x14ac:dyDescent="0.25">
      <c r="A7" s="3">
        <v>5</v>
      </c>
      <c r="B7">
        <v>2</v>
      </c>
      <c r="C7">
        <v>23</v>
      </c>
      <c r="D7">
        <v>6</v>
      </c>
      <c r="E7">
        <v>31</v>
      </c>
    </row>
    <row r="8" spans="1:5" x14ac:dyDescent="0.25">
      <c r="A8" s="3" t="s">
        <v>66</v>
      </c>
      <c r="C8">
        <v>18</v>
      </c>
      <c r="D8">
        <v>6</v>
      </c>
      <c r="E8">
        <v>24</v>
      </c>
    </row>
    <row r="9" spans="1:5" x14ac:dyDescent="0.25">
      <c r="A9" s="3" t="s">
        <v>24</v>
      </c>
      <c r="B9">
        <v>320</v>
      </c>
      <c r="C9">
        <v>1275</v>
      </c>
      <c r="D9">
        <v>460</v>
      </c>
      <c r="E9">
        <v>2055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0"/>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v>10</v>
      </c>
      <c r="C7">
        <v>1</v>
      </c>
      <c r="D7">
        <v>3</v>
      </c>
    </row>
    <row r="8" spans="1:4" x14ac:dyDescent="0.25">
      <c r="A8" s="3" t="s">
        <v>19</v>
      </c>
      <c r="B8">
        <v>4</v>
      </c>
      <c r="C8">
        <v>3</v>
      </c>
      <c r="D8">
        <v>5</v>
      </c>
    </row>
    <row r="9" spans="1:4" x14ac:dyDescent="0.25">
      <c r="A9" s="3" t="s">
        <v>13</v>
      </c>
      <c r="B9">
        <v>8</v>
      </c>
      <c r="C9">
        <v>2</v>
      </c>
      <c r="D9">
        <v>4</v>
      </c>
    </row>
    <row r="10" spans="1:4" x14ac:dyDescent="0.25">
      <c r="A10" s="3" t="s">
        <v>10</v>
      </c>
      <c r="B10">
        <v>6</v>
      </c>
      <c r="D10">
        <v>2</v>
      </c>
    </row>
    <row r="11" spans="1:4" x14ac:dyDescent="0.25">
      <c r="A11" s="3" t="s">
        <v>7</v>
      </c>
      <c r="B11">
        <v>7</v>
      </c>
      <c r="C11">
        <v>5</v>
      </c>
      <c r="D11">
        <v>2</v>
      </c>
    </row>
    <row r="12" spans="1:4" x14ac:dyDescent="0.25">
      <c r="A12" s="3" t="s">
        <v>20</v>
      </c>
      <c r="B12">
        <v>3</v>
      </c>
      <c r="C12">
        <v>1</v>
      </c>
      <c r="D12">
        <v>2</v>
      </c>
    </row>
    <row r="13" spans="1:4" x14ac:dyDescent="0.25">
      <c r="A13" s="3" t="s">
        <v>15</v>
      </c>
      <c r="B13">
        <v>4</v>
      </c>
      <c r="C13">
        <v>5</v>
      </c>
      <c r="D13">
        <v>3</v>
      </c>
    </row>
    <row r="14" spans="1:4" x14ac:dyDescent="0.25">
      <c r="A14" s="3" t="s">
        <v>11</v>
      </c>
      <c r="B14">
        <v>3</v>
      </c>
      <c r="C14">
        <v>2</v>
      </c>
      <c r="D14">
        <v>1</v>
      </c>
    </row>
    <row r="15" spans="1:4" x14ac:dyDescent="0.25">
      <c r="A15" s="3" t="s">
        <v>9</v>
      </c>
      <c r="B15">
        <v>5</v>
      </c>
      <c r="C15">
        <v>2</v>
      </c>
      <c r="D15">
        <v>5</v>
      </c>
    </row>
    <row r="16" spans="1:4" x14ac:dyDescent="0.25">
      <c r="A16" s="3" t="s">
        <v>17</v>
      </c>
      <c r="B16">
        <v>6</v>
      </c>
      <c r="C16">
        <v>2</v>
      </c>
      <c r="D16">
        <v>4</v>
      </c>
    </row>
    <row r="17" spans="1:4" x14ac:dyDescent="0.25">
      <c r="A17" s="3" t="s">
        <v>28</v>
      </c>
      <c r="C17">
        <v>7</v>
      </c>
      <c r="D17">
        <v>5</v>
      </c>
    </row>
    <row r="18" spans="1:4" x14ac:dyDescent="0.25">
      <c r="A18" s="3" t="s">
        <v>27</v>
      </c>
      <c r="B18">
        <v>7</v>
      </c>
      <c r="C18">
        <v>2</v>
      </c>
      <c r="D18">
        <v>1</v>
      </c>
    </row>
    <row r="19" spans="1:4" x14ac:dyDescent="0.25">
      <c r="A19" s="3" t="s">
        <v>41</v>
      </c>
      <c r="B19">
        <v>7</v>
      </c>
      <c r="C19">
        <v>1</v>
      </c>
    </row>
    <row r="20" spans="1:4" x14ac:dyDescent="0.25">
      <c r="A20" s="3" t="s">
        <v>51</v>
      </c>
      <c r="B20">
        <v>6</v>
      </c>
      <c r="D20">
        <v>4</v>
      </c>
    </row>
    <row r="21" spans="1:4" x14ac:dyDescent="0.25">
      <c r="A21" s="3" t="s">
        <v>352</v>
      </c>
      <c r="B21">
        <v>5</v>
      </c>
      <c r="C21">
        <v>3</v>
      </c>
      <c r="D21">
        <v>2</v>
      </c>
    </row>
    <row r="22" spans="1:4" x14ac:dyDescent="0.25">
      <c r="A22" s="3" t="s">
        <v>325</v>
      </c>
      <c r="B22">
        <v>9</v>
      </c>
      <c r="C22">
        <v>3</v>
      </c>
    </row>
    <row r="23" spans="1:4" x14ac:dyDescent="0.25">
      <c r="A23" s="3" t="s">
        <v>326</v>
      </c>
      <c r="B23">
        <v>2</v>
      </c>
      <c r="C23">
        <v>2</v>
      </c>
      <c r="D23">
        <v>2</v>
      </c>
    </row>
    <row r="24" spans="1:4" x14ac:dyDescent="0.25">
      <c r="A24" s="3" t="s">
        <v>351</v>
      </c>
      <c r="B24">
        <v>4</v>
      </c>
      <c r="C24">
        <v>1</v>
      </c>
      <c r="D24">
        <v>3</v>
      </c>
    </row>
    <row r="25" spans="1:4" x14ac:dyDescent="0.25">
      <c r="A25" s="3" t="s">
        <v>364</v>
      </c>
      <c r="D25">
        <v>2</v>
      </c>
    </row>
    <row r="26" spans="1:4" x14ac:dyDescent="0.25">
      <c r="A26" s="3" t="s">
        <v>404</v>
      </c>
      <c r="B26">
        <v>1</v>
      </c>
    </row>
    <row r="27" spans="1:4" x14ac:dyDescent="0.25">
      <c r="A27" s="3" t="s">
        <v>405</v>
      </c>
      <c r="B27">
        <v>3</v>
      </c>
      <c r="C27">
        <v>4</v>
      </c>
      <c r="D27">
        <v>3</v>
      </c>
    </row>
    <row r="28" spans="1:4" x14ac:dyDescent="0.25">
      <c r="A28" s="3" t="s">
        <v>435</v>
      </c>
      <c r="B28">
        <v>2</v>
      </c>
    </row>
    <row r="29" spans="1:4" x14ac:dyDescent="0.25">
      <c r="A29" s="3" t="s">
        <v>433</v>
      </c>
      <c r="B29">
        <v>6</v>
      </c>
      <c r="D29">
        <v>2</v>
      </c>
    </row>
    <row r="30" spans="1:4" x14ac:dyDescent="0.25">
      <c r="A30" s="3" t="s">
        <v>438</v>
      </c>
      <c r="C30">
        <v>1</v>
      </c>
      <c r="D30">
        <v>1</v>
      </c>
    </row>
    <row r="31" spans="1:4" x14ac:dyDescent="0.25">
      <c r="A31" s="3" t="s">
        <v>464</v>
      </c>
      <c r="D31">
        <v>2</v>
      </c>
    </row>
    <row r="32" spans="1:4" x14ac:dyDescent="0.25">
      <c r="A32" s="3" t="s">
        <v>519</v>
      </c>
      <c r="B32">
        <v>6</v>
      </c>
      <c r="C32">
        <v>1</v>
      </c>
      <c r="D32">
        <v>1</v>
      </c>
    </row>
    <row r="33" spans="1:4" x14ac:dyDescent="0.25">
      <c r="A33" s="3" t="s">
        <v>540</v>
      </c>
      <c r="B33">
        <v>4</v>
      </c>
      <c r="D33">
        <v>2</v>
      </c>
    </row>
    <row r="34" spans="1:4" x14ac:dyDescent="0.25">
      <c r="A34" s="3" t="s">
        <v>567</v>
      </c>
      <c r="B34">
        <v>3</v>
      </c>
      <c r="D34">
        <v>1</v>
      </c>
    </row>
    <row r="35" spans="1:4" x14ac:dyDescent="0.25">
      <c r="A35" s="3" t="s">
        <v>578</v>
      </c>
      <c r="B35">
        <v>6</v>
      </c>
      <c r="C35">
        <v>3</v>
      </c>
      <c r="D35">
        <v>3</v>
      </c>
    </row>
    <row r="36" spans="1:4" x14ac:dyDescent="0.25">
      <c r="A36" s="3" t="s">
        <v>605</v>
      </c>
      <c r="B36">
        <v>2</v>
      </c>
    </row>
    <row r="37" spans="1:4" x14ac:dyDescent="0.25">
      <c r="A37" s="3" t="s">
        <v>609</v>
      </c>
      <c r="B37">
        <v>4</v>
      </c>
      <c r="D37">
        <v>2</v>
      </c>
    </row>
    <row r="38" spans="1:4" x14ac:dyDescent="0.25">
      <c r="A38" s="3" t="s">
        <v>622</v>
      </c>
      <c r="B38">
        <v>6</v>
      </c>
      <c r="C38">
        <v>2</v>
      </c>
    </row>
    <row r="39" spans="1:4" x14ac:dyDescent="0.25">
      <c r="A39" s="3" t="s">
        <v>693</v>
      </c>
      <c r="B39">
        <v>2</v>
      </c>
    </row>
    <row r="40" spans="1:4" x14ac:dyDescent="0.25">
      <c r="A40" s="3" t="s">
        <v>24</v>
      </c>
      <c r="B40">
        <v>141</v>
      </c>
      <c r="C40">
        <v>53</v>
      </c>
      <c r="D40">
        <v>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3"/>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v>22</v>
      </c>
      <c r="C4">
        <v>10</v>
      </c>
      <c r="D4">
        <v>2</v>
      </c>
      <c r="E4" s="4">
        <f t="shared" ref="E4:E41" si="0">IFERROR(C4/B4, "")</f>
        <v>0.45454545454545453</v>
      </c>
      <c r="F4" s="4">
        <f t="shared" ref="F4:F41" si="1">IFERROR(D4/B4, "")</f>
        <v>9.0909090909090912E-2</v>
      </c>
      <c r="G4" s="4">
        <f>IFERROR(1-Table5[[#This Row],[Loss % Against]]-Table5[[#This Row],[Win% Against]],"")</f>
        <v>0.45454545454545453</v>
      </c>
      <c r="H4" s="16">
        <f>IFERROR(IF(B4=0,"",
 IF(Table5[[#This Row],[Win% Against]] &gt; Table5[[#This Row],[Loss % Against]], 1,
 IF(Table5[[#This Row],[Win% Against]] &lt; Table5[[#This Row],[Loss % Against]], -1, 0))), "")</f>
        <v>1</v>
      </c>
    </row>
    <row r="5" spans="1:8" x14ac:dyDescent="0.25">
      <c r="A5" s="3" t="s">
        <v>352</v>
      </c>
      <c r="B5">
        <v>17</v>
      </c>
      <c r="C5">
        <v>5</v>
      </c>
      <c r="D5">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25">
      <c r="A6" s="3" t="s">
        <v>28</v>
      </c>
      <c r="B6">
        <v>17</v>
      </c>
      <c r="C6">
        <v>6</v>
      </c>
      <c r="D6">
        <v>4</v>
      </c>
      <c r="E6" s="4">
        <f t="shared" si="0"/>
        <v>0.35294117647058826</v>
      </c>
      <c r="F6" s="4">
        <f t="shared" si="1"/>
        <v>0.23529411764705882</v>
      </c>
      <c r="G6" s="4">
        <f>IFERROR(1-Table5[[#This Row],[Loss % Against]]-Table5[[#This Row],[Win% Against]],"")</f>
        <v>0.41176470588235287</v>
      </c>
      <c r="H6" s="16">
        <f>IFERROR(IF(B6=0,"",
 IF(Table5[[#This Row],[Win% Against]] &gt; Table5[[#This Row],[Loss % Against]], 1,
 IF(Table5[[#This Row],[Win% Against]] &lt; Table5[[#This Row],[Loss % Against]], -1, 0))), "")</f>
        <v>1</v>
      </c>
    </row>
    <row r="7" spans="1:8" x14ac:dyDescent="0.25">
      <c r="A7" s="3" t="s">
        <v>14</v>
      </c>
      <c r="B7">
        <v>16</v>
      </c>
      <c r="C7">
        <v>7</v>
      </c>
      <c r="D7">
        <v>3</v>
      </c>
      <c r="E7" s="4">
        <f t="shared" si="0"/>
        <v>0.4375</v>
      </c>
      <c r="F7" s="4">
        <f t="shared" si="1"/>
        <v>0.1875</v>
      </c>
      <c r="G7" s="4">
        <f>IFERROR(1-Table5[[#This Row],[Loss % Against]]-Table5[[#This Row],[Win% Against]],"")</f>
        <v>0.375</v>
      </c>
      <c r="H7" s="16">
        <f>IFERROR(IF(B7=0,"",
 IF(Table5[[#This Row],[Win% Against]] &gt; Table5[[#This Row],[Loss % Against]], 1,
 IF(Table5[[#This Row],[Win% Against]] &lt; Table5[[#This Row],[Loss % Against]], -1, 0))), "")</f>
        <v>1</v>
      </c>
    </row>
    <row r="8" spans="1:8" x14ac:dyDescent="0.25">
      <c r="A8" s="3" t="s">
        <v>15</v>
      </c>
      <c r="B8">
        <v>14</v>
      </c>
      <c r="C8">
        <v>6</v>
      </c>
      <c r="D8">
        <v>2</v>
      </c>
      <c r="E8" s="4">
        <f t="shared" si="0"/>
        <v>0.42857142857142855</v>
      </c>
      <c r="F8" s="4">
        <f t="shared" si="1"/>
        <v>0.14285714285714285</v>
      </c>
      <c r="G8" s="4">
        <f>IFERROR(1-Table5[[#This Row],[Loss % Against]]-Table5[[#This Row],[Win% Against]],"")</f>
        <v>0.42857142857142866</v>
      </c>
      <c r="H8" s="16">
        <f>IFERROR(IF(B8=0,"",
 IF(Table5[[#This Row],[Win% Against]] &gt; Table5[[#This Row],[Loss % Against]], 1,
 IF(Table5[[#This Row],[Win% Against]] &lt; Table5[[#This Row],[Loss % Against]], -1, 0))), "")</f>
        <v>1</v>
      </c>
    </row>
    <row r="9" spans="1:8" x14ac:dyDescent="0.25">
      <c r="A9" s="3" t="s">
        <v>41</v>
      </c>
      <c r="B9">
        <v>13</v>
      </c>
      <c r="C9">
        <v>9</v>
      </c>
      <c r="D9">
        <v>3</v>
      </c>
      <c r="E9" s="4">
        <f t="shared" si="0"/>
        <v>0.69230769230769229</v>
      </c>
      <c r="F9" s="4">
        <f t="shared" si="1"/>
        <v>0.23076923076923078</v>
      </c>
      <c r="G9" s="4">
        <f>IFERROR(1-Table5[[#This Row],[Loss % Against]]-Table5[[#This Row],[Win% Against]],"")</f>
        <v>7.6923076923076872E-2</v>
      </c>
      <c r="H9" s="16">
        <f>IFERROR(IF(B9=0,"",
 IF(Table5[[#This Row],[Win% Against]] &gt; Table5[[#This Row],[Loss % Against]], 1,
 IF(Table5[[#This Row],[Win% Against]] &lt; Table5[[#This Row],[Loss % Against]], -1, 0))), "")</f>
        <v>1</v>
      </c>
    </row>
    <row r="10" spans="1:8" x14ac:dyDescent="0.25">
      <c r="A10" s="3" t="s">
        <v>13</v>
      </c>
      <c r="B10">
        <v>13</v>
      </c>
      <c r="C10">
        <v>3</v>
      </c>
      <c r="D10">
        <v>1</v>
      </c>
      <c r="E10" s="4">
        <f t="shared" si="0"/>
        <v>0.23076923076923078</v>
      </c>
      <c r="F10" s="4">
        <f t="shared" si="1"/>
        <v>7.6923076923076927E-2</v>
      </c>
      <c r="G10" s="4">
        <f>IFERROR(1-Table5[[#This Row],[Loss % Against]]-Table5[[#This Row],[Win% Against]],"")</f>
        <v>0.69230769230769229</v>
      </c>
      <c r="H10" s="16">
        <f>IFERROR(IF(B10=0,"",
 IF(Table5[[#This Row],[Win% Against]] &gt; Table5[[#This Row],[Loss % Against]], 1,
 IF(Table5[[#This Row],[Win% Against]] &lt; Table5[[#This Row],[Loss % Against]], -1, 0))), "")</f>
        <v>1</v>
      </c>
    </row>
    <row r="11" spans="1:8" x14ac:dyDescent="0.25">
      <c r="A11" s="3" t="s">
        <v>10</v>
      </c>
      <c r="B11">
        <v>13</v>
      </c>
      <c r="C11">
        <v>5</v>
      </c>
      <c r="D11">
        <v>3</v>
      </c>
      <c r="E11" s="4">
        <f t="shared" si="0"/>
        <v>0.38461538461538464</v>
      </c>
      <c r="F11" s="4">
        <f t="shared" si="1"/>
        <v>0.23076923076923078</v>
      </c>
      <c r="G11" s="4">
        <f>IFERROR(1-Table5[[#This Row],[Loss % Against]]-Table5[[#This Row],[Win% Against]],"")</f>
        <v>0.38461538461538453</v>
      </c>
      <c r="H11" s="16">
        <f>IFERROR(IF(B11=0,"",
 IF(Table5[[#This Row],[Win% Against]] &gt; Table5[[#This Row],[Loss % Against]], 1,
 IF(Table5[[#This Row],[Win% Against]] &lt; Table5[[#This Row],[Loss % Against]], -1, 0))), "")</f>
        <v>1</v>
      </c>
    </row>
    <row r="12" spans="1:8" x14ac:dyDescent="0.25">
      <c r="A12" s="3" t="s">
        <v>19</v>
      </c>
      <c r="B12">
        <v>12</v>
      </c>
      <c r="C12">
        <v>4</v>
      </c>
      <c r="D12">
        <v>3</v>
      </c>
      <c r="E12" s="4">
        <f t="shared" si="0"/>
        <v>0.33333333333333331</v>
      </c>
      <c r="F12" s="4">
        <f t="shared" si="1"/>
        <v>0.25</v>
      </c>
      <c r="G12" s="4">
        <f>IFERROR(1-Table5[[#This Row],[Loss % Against]]-Table5[[#This Row],[Win% Against]],"")</f>
        <v>0.41666666666666669</v>
      </c>
      <c r="H12" s="16">
        <f>IFERROR(IF(B12=0,"",
 IF(Table5[[#This Row],[Win% Against]] &gt; Table5[[#This Row],[Loss % Against]], 1,
 IF(Table5[[#This Row],[Win% Against]] &lt; Table5[[#This Row],[Loss % Against]], -1, 0))), "")</f>
        <v>1</v>
      </c>
    </row>
    <row r="13" spans="1:8" x14ac:dyDescent="0.25">
      <c r="A13" s="3" t="s">
        <v>20</v>
      </c>
      <c r="B13">
        <v>12</v>
      </c>
      <c r="C13">
        <v>5</v>
      </c>
      <c r="D13">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25">
      <c r="A14" s="3" t="s">
        <v>17</v>
      </c>
      <c r="B14">
        <v>12</v>
      </c>
      <c r="C14">
        <v>5</v>
      </c>
      <c r="D14">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25">
      <c r="A15" s="3" t="s">
        <v>351</v>
      </c>
      <c r="B15">
        <v>10</v>
      </c>
      <c r="C15">
        <v>4</v>
      </c>
      <c r="D15">
        <v>1</v>
      </c>
      <c r="E15" s="4">
        <f t="shared" si="0"/>
        <v>0.4</v>
      </c>
      <c r="F15" s="4">
        <f t="shared" si="1"/>
        <v>0.1</v>
      </c>
      <c r="G15" s="4">
        <f>IFERROR(1-Table5[[#This Row],[Loss % Against]]-Table5[[#This Row],[Win% Against]],"")</f>
        <v>0.5</v>
      </c>
      <c r="H15" s="16">
        <f>IFERROR(IF(B15=0,"",
 IF(Table5[[#This Row],[Win% Against]] &gt; Table5[[#This Row],[Loss % Against]], 1,
 IF(Table5[[#This Row],[Win% Against]] &lt; Table5[[#This Row],[Loss % Against]], -1, 0))), "")</f>
        <v>1</v>
      </c>
    </row>
    <row r="16" spans="1:8" x14ac:dyDescent="0.25">
      <c r="A16" s="3" t="s">
        <v>52</v>
      </c>
      <c r="B16">
        <v>10</v>
      </c>
      <c r="C16">
        <v>5</v>
      </c>
      <c r="D16">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25">
      <c r="A17" s="3" t="s">
        <v>436</v>
      </c>
      <c r="B17">
        <v>9</v>
      </c>
      <c r="C17">
        <v>2</v>
      </c>
      <c r="D17">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25">
      <c r="A18" s="3" t="s">
        <v>27</v>
      </c>
      <c r="B18">
        <v>8</v>
      </c>
      <c r="C18">
        <v>3</v>
      </c>
      <c r="D18">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25">
      <c r="A19" s="3" t="s">
        <v>51</v>
      </c>
      <c r="B19">
        <v>7</v>
      </c>
      <c r="C19">
        <v>4</v>
      </c>
      <c r="D19">
        <v>0</v>
      </c>
      <c r="E19" s="4">
        <f t="shared" si="0"/>
        <v>0.5714285714285714</v>
      </c>
      <c r="F19" s="4">
        <f t="shared" si="1"/>
        <v>0</v>
      </c>
      <c r="G19" s="4">
        <f>IFERROR(1-Table5[[#This Row],[Loss % Against]]-Table5[[#This Row],[Win% Against]],"")</f>
        <v>0.4285714285714286</v>
      </c>
      <c r="H19" s="16">
        <f>IFERROR(IF(B19=0,"",
 IF(Table5[[#This Row],[Win% Against]] &gt; Table5[[#This Row],[Loss % Against]], 1,
 IF(Table5[[#This Row],[Win% Against]] &lt; Table5[[#This Row],[Loss % Against]], -1, 0))), "")</f>
        <v>1</v>
      </c>
    </row>
    <row r="20" spans="1:8" x14ac:dyDescent="0.25">
      <c r="A20" s="3" t="s">
        <v>11</v>
      </c>
      <c r="B20">
        <v>7</v>
      </c>
      <c r="C20">
        <v>3</v>
      </c>
      <c r="D20">
        <v>3</v>
      </c>
      <c r="E20" s="4">
        <f t="shared" si="0"/>
        <v>0.42857142857142855</v>
      </c>
      <c r="F20" s="4">
        <f t="shared" si="1"/>
        <v>0.42857142857142855</v>
      </c>
      <c r="G20" s="4">
        <f>IFERROR(1-Table5[[#This Row],[Loss % Against]]-Table5[[#This Row],[Win% Against]],"")</f>
        <v>0.14285714285714285</v>
      </c>
      <c r="H20" s="16">
        <f>IFERROR(IF(B20=0,"",
 IF(Table5[[#This Row],[Win% Against]] &gt; Table5[[#This Row],[Loss % Against]], 1,
 IF(Table5[[#This Row],[Win% Against]] &lt; Table5[[#This Row],[Loss % Against]], -1, 0))), "")</f>
        <v>0</v>
      </c>
    </row>
    <row r="21" spans="1:8" x14ac:dyDescent="0.25">
      <c r="A21" s="3" t="s">
        <v>321</v>
      </c>
      <c r="B21">
        <v>7</v>
      </c>
      <c r="C21">
        <v>2</v>
      </c>
      <c r="D21">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25">
      <c r="A22" s="3" t="s">
        <v>405</v>
      </c>
      <c r="B22">
        <v>6</v>
      </c>
      <c r="C22">
        <v>1</v>
      </c>
      <c r="D22">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25">
      <c r="A23" s="3" t="s">
        <v>12</v>
      </c>
      <c r="B23">
        <v>5</v>
      </c>
      <c r="C23">
        <v>2</v>
      </c>
      <c r="D23">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76</v>
      </c>
      <c r="B24">
        <v>4</v>
      </c>
      <c r="C24">
        <v>2</v>
      </c>
      <c r="D24">
        <v>0</v>
      </c>
      <c r="E24" s="4">
        <f t="shared" si="0"/>
        <v>0.5</v>
      </c>
      <c r="F24" s="4">
        <f t="shared" si="1"/>
        <v>0</v>
      </c>
      <c r="G24" s="4">
        <f>IFERROR(1-Table5[[#This Row],[Loss % Against]]-Table5[[#This Row],[Win% Against]],"")</f>
        <v>0.5</v>
      </c>
      <c r="H24" s="16">
        <f>IFERROR(IF(B24=0,"",
 IF(Table5[[#This Row],[Win% Against]] &gt; Table5[[#This Row],[Loss % Against]], 1,
 IF(Table5[[#This Row],[Win% Against]] &lt; Table5[[#This Row],[Loss % Against]], -1, 0))), "")</f>
        <v>1</v>
      </c>
    </row>
    <row r="25" spans="1:8" x14ac:dyDescent="0.25">
      <c r="A25" s="3" t="s">
        <v>325</v>
      </c>
      <c r="B25">
        <v>4</v>
      </c>
      <c r="C25">
        <v>0</v>
      </c>
      <c r="D25">
        <v>1</v>
      </c>
      <c r="E25" s="4">
        <f t="shared" si="0"/>
        <v>0</v>
      </c>
      <c r="F25" s="4">
        <f t="shared" si="1"/>
        <v>0.25</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363</v>
      </c>
      <c r="B26">
        <v>4</v>
      </c>
      <c r="C26">
        <v>1</v>
      </c>
      <c r="D26">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25">
      <c r="A27" s="3" t="s">
        <v>44</v>
      </c>
      <c r="B27">
        <v>4</v>
      </c>
      <c r="C27">
        <v>3</v>
      </c>
      <c r="D27">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25">
      <c r="A28" s="3" t="s">
        <v>433</v>
      </c>
      <c r="B28">
        <v>4</v>
      </c>
      <c r="C28">
        <v>3</v>
      </c>
      <c r="D28">
        <v>0</v>
      </c>
      <c r="E28" s="4">
        <f t="shared" si="0"/>
        <v>0.75</v>
      </c>
      <c r="F28" s="4">
        <f t="shared" si="1"/>
        <v>0</v>
      </c>
      <c r="G28" s="4">
        <f>IFERROR(1-Table5[[#This Row],[Loss % Against]]-Table5[[#This Row],[Win% Against]],"")</f>
        <v>0.25</v>
      </c>
      <c r="H28" s="16">
        <f>IFERROR(IF(B28=0,"",
 IF(Table5[[#This Row],[Win% Against]] &gt; Table5[[#This Row],[Loss % Against]], 1,
 IF(Table5[[#This Row],[Win% Against]] &lt; Table5[[#This Row],[Loss % Against]], -1, 0))), "")</f>
        <v>1</v>
      </c>
    </row>
    <row r="29" spans="1:8" x14ac:dyDescent="0.25">
      <c r="A29" s="3" t="s">
        <v>22</v>
      </c>
      <c r="B29">
        <v>4</v>
      </c>
      <c r="C29">
        <v>1</v>
      </c>
      <c r="D29">
        <v>1</v>
      </c>
      <c r="E29" s="4">
        <f t="shared" si="0"/>
        <v>0.25</v>
      </c>
      <c r="F29" s="4">
        <f t="shared" si="1"/>
        <v>0.25</v>
      </c>
      <c r="G29" s="4">
        <f>IFERROR(1-Table5[[#This Row],[Loss % Against]]-Table5[[#This Row],[Win% Against]],"")</f>
        <v>0.5</v>
      </c>
      <c r="H29" s="16">
        <f>IFERROR(IF(B29=0,"",
 IF(Table5[[#This Row],[Win% Against]] &gt; Table5[[#This Row],[Loss % Against]], 1,
 IF(Table5[[#This Row],[Win% Against]] &lt; Table5[[#This Row],[Loss % Against]], -1, 0))), "")</f>
        <v>0</v>
      </c>
    </row>
    <row r="30" spans="1:8" x14ac:dyDescent="0.25">
      <c r="A30" s="3" t="s">
        <v>326</v>
      </c>
      <c r="B30">
        <v>4</v>
      </c>
      <c r="C30">
        <v>2</v>
      </c>
      <c r="D30">
        <v>1</v>
      </c>
      <c r="E30" s="4">
        <f t="shared" si="0"/>
        <v>0.5</v>
      </c>
      <c r="F30" s="4">
        <f t="shared" si="1"/>
        <v>0.25</v>
      </c>
      <c r="G30" s="4">
        <f>IFERROR(1-Table5[[#This Row],[Loss % Against]]-Table5[[#This Row],[Win% Against]],"")</f>
        <v>0.25</v>
      </c>
      <c r="H30" s="16">
        <f>IFERROR(IF(B30=0,"",
 IF(Table5[[#This Row],[Win% Against]] &gt; Table5[[#This Row],[Loss % Against]], 1,
 IF(Table5[[#This Row],[Win% Against]] &lt; Table5[[#This Row],[Loss % Against]], -1, 0))), "")</f>
        <v>1</v>
      </c>
    </row>
    <row r="31" spans="1:8" x14ac:dyDescent="0.25">
      <c r="A31" s="3" t="s">
        <v>519</v>
      </c>
      <c r="B31">
        <v>3</v>
      </c>
      <c r="C31">
        <v>2</v>
      </c>
      <c r="D31">
        <v>0</v>
      </c>
      <c r="E31" s="4">
        <f t="shared" si="0"/>
        <v>0.66666666666666663</v>
      </c>
      <c r="F31" s="4">
        <f t="shared" si="1"/>
        <v>0</v>
      </c>
      <c r="G31" s="4">
        <f>IFERROR(1-Table5[[#This Row],[Loss % Against]]-Table5[[#This Row],[Win% Against]],"")</f>
        <v>0.33333333333333337</v>
      </c>
      <c r="H31" s="16">
        <f>IFERROR(IF(B31=0,"",
 IF(Table5[[#This Row],[Win% Against]] &gt; Table5[[#This Row],[Loss % Against]], 1,
 IF(Table5[[#This Row],[Win% Against]] &lt; Table5[[#This Row],[Loss % Against]], -1, 0))), "")</f>
        <v>1</v>
      </c>
    </row>
    <row r="32" spans="1:8" x14ac:dyDescent="0.25">
      <c r="A32" s="3" t="s">
        <v>364</v>
      </c>
      <c r="B32">
        <v>3</v>
      </c>
      <c r="C32">
        <v>0</v>
      </c>
      <c r="D32">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25">
      <c r="A33" s="3" t="s">
        <v>30</v>
      </c>
      <c r="B33">
        <v>3</v>
      </c>
      <c r="C33">
        <v>1</v>
      </c>
      <c r="D33">
        <v>1</v>
      </c>
      <c r="E33" s="4">
        <f t="shared" si="0"/>
        <v>0.33333333333333331</v>
      </c>
      <c r="F33" s="4">
        <f t="shared" si="1"/>
        <v>0.33333333333333331</v>
      </c>
      <c r="G33" s="4">
        <f>IFERROR(1-Table5[[#This Row],[Loss % Against]]-Table5[[#This Row],[Win% Against]],"")</f>
        <v>0.33333333333333343</v>
      </c>
      <c r="H33" s="16">
        <f>IFERROR(IF(B33=0,"",
 IF(Table5[[#This Row],[Win% Against]] &gt; Table5[[#This Row],[Loss % Against]], 1,
 IF(Table5[[#This Row],[Win% Against]] &lt; Table5[[#This Row],[Loss % Against]], -1, 0))), "")</f>
        <v>0</v>
      </c>
    </row>
    <row r="34" spans="1:8" x14ac:dyDescent="0.25">
      <c r="A34" s="3" t="s">
        <v>578</v>
      </c>
      <c r="B34">
        <v>2</v>
      </c>
      <c r="C34">
        <v>0</v>
      </c>
      <c r="D34">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25">
      <c r="A35" s="3" t="s">
        <v>56</v>
      </c>
      <c r="B35">
        <v>2</v>
      </c>
      <c r="C35">
        <v>2</v>
      </c>
      <c r="D35">
        <v>0</v>
      </c>
      <c r="E35" s="4">
        <f t="shared" si="0"/>
        <v>1</v>
      </c>
      <c r="F35" s="4">
        <f t="shared" si="1"/>
        <v>0</v>
      </c>
      <c r="G35" s="4">
        <f>IFERROR(1-Table5[[#This Row],[Loss % Against]]-Table5[[#This Row],[Win% Against]],"")</f>
        <v>0</v>
      </c>
      <c r="H35" s="16">
        <f>IFERROR(IF(B35=0,"",
 IF(Table5[[#This Row],[Win% Against]] &gt; Table5[[#This Row],[Loss % Against]], 1,
 IF(Table5[[#This Row],[Win% Against]] &lt; Table5[[#This Row],[Loss % Against]], -1, 0))), "")</f>
        <v>1</v>
      </c>
    </row>
    <row r="36" spans="1:8" x14ac:dyDescent="0.25">
      <c r="A36" s="3" t="s">
        <v>57</v>
      </c>
      <c r="B36">
        <v>2</v>
      </c>
      <c r="C36">
        <v>0</v>
      </c>
      <c r="D36">
        <v>1</v>
      </c>
      <c r="E36" s="4">
        <f t="shared" si="0"/>
        <v>0</v>
      </c>
      <c r="F36" s="4">
        <f t="shared" si="1"/>
        <v>0.5</v>
      </c>
      <c r="G36" s="4">
        <f>IFERROR(1-Table5[[#This Row],[Loss % Against]]-Table5[[#This Row],[Win% Against]],"")</f>
        <v>0.5</v>
      </c>
      <c r="H36" s="16">
        <f>IFERROR(IF(B36=0,"",
 IF(Table5[[#This Row],[Win% Against]] &gt; Table5[[#This Row],[Loss % Against]], 1,
 IF(Table5[[#This Row],[Win% Against]] &lt; Table5[[#This Row],[Loss % Against]], -1, 0))), "")</f>
        <v>-1</v>
      </c>
    </row>
    <row r="37" spans="1:8" x14ac:dyDescent="0.25">
      <c r="A37" s="3" t="s">
        <v>42</v>
      </c>
      <c r="B37">
        <v>2</v>
      </c>
      <c r="C37">
        <v>2</v>
      </c>
      <c r="D37">
        <v>0</v>
      </c>
      <c r="E37" s="4">
        <f t="shared" si="0"/>
        <v>1</v>
      </c>
      <c r="F37" s="4">
        <f t="shared" si="1"/>
        <v>0</v>
      </c>
      <c r="G37" s="4">
        <f>IFERROR(1-Table5[[#This Row],[Loss % Against]]-Table5[[#This Row],[Win% Against]],"")</f>
        <v>0</v>
      </c>
      <c r="H37" s="16">
        <f>IFERROR(IF(B37=0,"",
 IF(Table5[[#This Row],[Win% Against]] &gt; Table5[[#This Row],[Loss % Against]], 1,
 IF(Table5[[#This Row],[Win% Against]] &lt; Table5[[#This Row],[Loss % Against]], -1, 0))), "")</f>
        <v>1</v>
      </c>
    </row>
    <row r="38" spans="1:8" x14ac:dyDescent="0.25">
      <c r="A38" s="3" t="s">
        <v>16</v>
      </c>
      <c r="B38">
        <v>2</v>
      </c>
      <c r="C38">
        <v>1</v>
      </c>
      <c r="D38">
        <v>0</v>
      </c>
      <c r="E38" s="4">
        <f t="shared" si="0"/>
        <v>0.5</v>
      </c>
      <c r="F38" s="4">
        <f t="shared" si="1"/>
        <v>0</v>
      </c>
      <c r="G38" s="4">
        <f>IFERROR(1-Table5[[#This Row],[Loss % Against]]-Table5[[#This Row],[Win% Against]],"")</f>
        <v>0.5</v>
      </c>
      <c r="H38" s="16">
        <f>IFERROR(IF(B38=0,"",
 IF(Table5[[#This Row],[Win% Against]] &gt; Table5[[#This Row],[Loss % Against]], 1,
 IF(Table5[[#This Row],[Win% Against]] &lt; Table5[[#This Row],[Loss % Against]], -1, 0))), "")</f>
        <v>1</v>
      </c>
    </row>
    <row r="39" spans="1:8" x14ac:dyDescent="0.25">
      <c r="A39" s="3" t="s">
        <v>567</v>
      </c>
      <c r="B39">
        <v>2</v>
      </c>
      <c r="C39">
        <v>1</v>
      </c>
      <c r="D39">
        <v>1</v>
      </c>
      <c r="E39" s="4">
        <f t="shared" si="0"/>
        <v>0.5</v>
      </c>
      <c r="F39" s="4">
        <f t="shared" si="1"/>
        <v>0.5</v>
      </c>
      <c r="G39" s="4">
        <f>IFERROR(1-Table5[[#This Row],[Loss % Against]]-Table5[[#This Row],[Win% Against]],"")</f>
        <v>0</v>
      </c>
      <c r="H39" s="16">
        <f>IFERROR(IF(B39=0,"",
 IF(Table5[[#This Row],[Win% Against]] &gt; Table5[[#This Row],[Loss % Against]], 1,
 IF(Table5[[#This Row],[Win% Against]] &lt; Table5[[#This Row],[Loss % Against]], -1, 0))), "")</f>
        <v>0</v>
      </c>
    </row>
    <row r="40" spans="1:8" x14ac:dyDescent="0.25">
      <c r="A40" s="3" t="s">
        <v>18</v>
      </c>
      <c r="B40">
        <v>2</v>
      </c>
      <c r="C40">
        <v>0</v>
      </c>
      <c r="D40">
        <v>0</v>
      </c>
      <c r="E40" s="4">
        <f t="shared" si="0"/>
        <v>0</v>
      </c>
      <c r="F40" s="4">
        <f t="shared" si="1"/>
        <v>0</v>
      </c>
      <c r="G40" s="4">
        <f>IFERROR(1-Table5[[#This Row],[Loss % Against]]-Table5[[#This Row],[Win% Against]],"")</f>
        <v>1</v>
      </c>
      <c r="H40" s="16">
        <f>IFERROR(IF(B40=0,"",
 IF(Table5[[#This Row],[Win% Against]] &gt; Table5[[#This Row],[Loss % Against]], 1,
 IF(Table5[[#This Row],[Win% Against]] &lt; Table5[[#This Row],[Loss % Against]], -1, 0))), "")</f>
        <v>0</v>
      </c>
    </row>
    <row r="41" spans="1:8" x14ac:dyDescent="0.25">
      <c r="A41" s="3" t="s">
        <v>21</v>
      </c>
      <c r="B41">
        <v>2</v>
      </c>
      <c r="C41">
        <v>0</v>
      </c>
      <c r="D41">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25">
      <c r="A42" s="3" t="s">
        <v>609</v>
      </c>
      <c r="B42">
        <v>2</v>
      </c>
      <c r="C42">
        <v>1</v>
      </c>
      <c r="D42">
        <v>0</v>
      </c>
      <c r="E42" s="4">
        <f t="shared" ref="E42:E53" si="2">IFERROR(C42/B42, "")</f>
        <v>0.5</v>
      </c>
      <c r="F42" s="4">
        <f t="shared" ref="F42:F53" si="3">IFERROR(D42/B42, "")</f>
        <v>0</v>
      </c>
      <c r="G42" s="4">
        <f>IFERROR(1-Table5[[#This Row],[Loss % Against]]-Table5[[#This Row],[Win% Against]],"")</f>
        <v>0.5</v>
      </c>
      <c r="H42" s="16">
        <f>IFERROR(IF(B42=0,"",
 IF(Table5[[#This Row],[Win% Against]] &gt; Table5[[#This Row],[Loss % Against]], 1,
 IF(Table5[[#This Row],[Win% Against]] &lt; Table5[[#This Row],[Loss % Against]], -1, 0))), "")</f>
        <v>1</v>
      </c>
    </row>
    <row r="43" spans="1:8" x14ac:dyDescent="0.25">
      <c r="A43" s="3" t="s">
        <v>46</v>
      </c>
      <c r="B43">
        <v>1</v>
      </c>
      <c r="C43">
        <v>1</v>
      </c>
      <c r="D43">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25">
      <c r="A44" s="3" t="s">
        <v>478</v>
      </c>
      <c r="B44">
        <v>1</v>
      </c>
      <c r="C44">
        <v>0</v>
      </c>
      <c r="D44">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25">
      <c r="A45" s="3" t="s">
        <v>437</v>
      </c>
      <c r="B45">
        <v>1</v>
      </c>
      <c r="C45">
        <v>0</v>
      </c>
      <c r="D45">
        <v>0</v>
      </c>
      <c r="E45" s="4">
        <f t="shared" si="2"/>
        <v>0</v>
      </c>
      <c r="F45" s="4">
        <f t="shared" si="3"/>
        <v>0</v>
      </c>
      <c r="G45" s="4">
        <f>IFERROR(1-Table5[[#This Row],[Loss % Against]]-Table5[[#This Row],[Win% Against]],"")</f>
        <v>1</v>
      </c>
      <c r="H45" s="16">
        <f>IFERROR(IF(B45=0,"",
 IF(Table5[[#This Row],[Win% Against]] &gt; Table5[[#This Row],[Loss % Against]], 1,
 IF(Table5[[#This Row],[Win% Against]] &lt; Table5[[#This Row],[Loss % Against]], -1, 0))), "")</f>
        <v>0</v>
      </c>
    </row>
    <row r="46" spans="1:8" x14ac:dyDescent="0.25">
      <c r="A46" s="3" t="s">
        <v>693</v>
      </c>
      <c r="B46">
        <v>1</v>
      </c>
      <c r="C46">
        <v>1</v>
      </c>
      <c r="D46">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540</v>
      </c>
      <c r="B47">
        <v>1</v>
      </c>
      <c r="C47">
        <v>0</v>
      </c>
      <c r="D47">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590</v>
      </c>
      <c r="B48">
        <v>1</v>
      </c>
      <c r="C48">
        <v>0</v>
      </c>
      <c r="D48">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25">
      <c r="A49" s="3" t="s">
        <v>47</v>
      </c>
      <c r="B49">
        <v>1</v>
      </c>
      <c r="C49">
        <v>1</v>
      </c>
      <c r="D4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29</v>
      </c>
      <c r="B50">
        <v>1</v>
      </c>
      <c r="C50">
        <v>1</v>
      </c>
      <c r="D50">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25">
      <c r="A51" s="3" t="s">
        <v>438</v>
      </c>
      <c r="B51">
        <v>1</v>
      </c>
      <c r="C51">
        <v>0</v>
      </c>
      <c r="D51">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404</v>
      </c>
      <c r="B52">
        <v>1</v>
      </c>
      <c r="C52">
        <v>0</v>
      </c>
      <c r="D52">
        <v>0</v>
      </c>
      <c r="E52" s="4">
        <f t="shared" si="2"/>
        <v>0</v>
      </c>
      <c r="F52" s="4">
        <f t="shared" si="3"/>
        <v>0</v>
      </c>
      <c r="G52" s="4">
        <f>IFERROR(1-Table5[[#This Row],[Loss % Against]]-Table5[[#This Row],[Win% Against]],"")</f>
        <v>1</v>
      </c>
      <c r="H52" s="16">
        <f>IFERROR(IF(B52=0,"",
 IF(Table5[[#This Row],[Win% Against]] &gt; Table5[[#This Row],[Loss % Against]], 1,
 IF(Table5[[#This Row],[Win% Against]] &lt; Table5[[#This Row],[Loss % Against]], -1, 0))), "")</f>
        <v>0</v>
      </c>
    </row>
    <row r="53" spans="1:8" x14ac:dyDescent="0.25">
      <c r="A53" s="3" t="s">
        <v>55</v>
      </c>
      <c r="B53">
        <v>1</v>
      </c>
      <c r="C53">
        <v>1</v>
      </c>
      <c r="D53">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25">
      <c r="A54" s="3" t="s">
        <v>53</v>
      </c>
      <c r="B54">
        <v>1</v>
      </c>
      <c r="C54">
        <v>1</v>
      </c>
      <c r="D54">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25">
      <c r="A55" s="3" t="s">
        <v>622</v>
      </c>
      <c r="B55">
        <v>1</v>
      </c>
      <c r="C55">
        <v>1</v>
      </c>
      <c r="D55">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421</v>
      </c>
      <c r="B56">
        <v>1</v>
      </c>
      <c r="C56">
        <v>1</v>
      </c>
      <c r="D56">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579</v>
      </c>
      <c r="B57">
        <v>1</v>
      </c>
      <c r="C57">
        <v>0</v>
      </c>
      <c r="D57">
        <v>0</v>
      </c>
    </row>
    <row r="58" spans="1:8" x14ac:dyDescent="0.25">
      <c r="A58" s="3" t="s">
        <v>40</v>
      </c>
      <c r="B58">
        <v>1</v>
      </c>
      <c r="C58">
        <v>1</v>
      </c>
      <c r="D58">
        <v>0</v>
      </c>
    </row>
    <row r="59" spans="1:8" x14ac:dyDescent="0.25">
      <c r="A59" s="3" t="s">
        <v>434</v>
      </c>
      <c r="B59">
        <v>1</v>
      </c>
      <c r="C59">
        <v>0</v>
      </c>
      <c r="D59">
        <v>1</v>
      </c>
    </row>
    <row r="60" spans="1:8" x14ac:dyDescent="0.25">
      <c r="A60" s="3" t="s">
        <v>61</v>
      </c>
      <c r="B60">
        <v>1</v>
      </c>
      <c r="C60">
        <v>1</v>
      </c>
      <c r="D60">
        <v>0</v>
      </c>
    </row>
    <row r="61" spans="1:8" x14ac:dyDescent="0.25">
      <c r="A61" s="3" t="s">
        <v>365</v>
      </c>
      <c r="B61">
        <v>1</v>
      </c>
      <c r="C61">
        <v>0</v>
      </c>
      <c r="D61">
        <v>0</v>
      </c>
    </row>
    <row r="62" spans="1:8" x14ac:dyDescent="0.25">
      <c r="A62" s="3" t="s">
        <v>59</v>
      </c>
      <c r="B62">
        <v>1</v>
      </c>
      <c r="C62">
        <v>0</v>
      </c>
      <c r="D62">
        <v>0</v>
      </c>
    </row>
    <row r="63" spans="1:8" x14ac:dyDescent="0.25">
      <c r="A63" s="3" t="s">
        <v>322</v>
      </c>
      <c r="B63">
        <v>1</v>
      </c>
      <c r="C63">
        <v>0</v>
      </c>
      <c r="D63">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9"/>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v>10</v>
      </c>
      <c r="C6">
        <v>1</v>
      </c>
      <c r="D6">
        <v>5</v>
      </c>
    </row>
    <row r="7" spans="1:4" x14ac:dyDescent="0.25">
      <c r="A7" s="3" t="s">
        <v>19</v>
      </c>
      <c r="B7">
        <v>4</v>
      </c>
      <c r="C7">
        <v>4</v>
      </c>
      <c r="D7">
        <v>6</v>
      </c>
    </row>
    <row r="8" spans="1:4" x14ac:dyDescent="0.25">
      <c r="A8" s="3" t="s">
        <v>13</v>
      </c>
      <c r="B8">
        <v>8</v>
      </c>
      <c r="C8">
        <v>2</v>
      </c>
      <c r="D8">
        <v>6</v>
      </c>
    </row>
    <row r="9" spans="1:4" x14ac:dyDescent="0.25">
      <c r="A9" s="3" t="s">
        <v>10</v>
      </c>
      <c r="B9">
        <v>7</v>
      </c>
      <c r="D9">
        <v>3</v>
      </c>
    </row>
    <row r="10" spans="1:4" x14ac:dyDescent="0.25">
      <c r="A10" s="3" t="s">
        <v>7</v>
      </c>
      <c r="B10">
        <v>7</v>
      </c>
      <c r="C10">
        <v>5</v>
      </c>
      <c r="D10">
        <v>2</v>
      </c>
    </row>
    <row r="11" spans="1:4" x14ac:dyDescent="0.25">
      <c r="A11" s="3" t="s">
        <v>20</v>
      </c>
      <c r="B11">
        <v>3</v>
      </c>
      <c r="C11">
        <v>2</v>
      </c>
      <c r="D11">
        <v>3</v>
      </c>
    </row>
    <row r="12" spans="1:4" x14ac:dyDescent="0.25">
      <c r="A12" s="3" t="s">
        <v>15</v>
      </c>
      <c r="B12">
        <v>4</v>
      </c>
      <c r="C12">
        <v>6</v>
      </c>
      <c r="D12">
        <v>4</v>
      </c>
    </row>
    <row r="13" spans="1:4" x14ac:dyDescent="0.25">
      <c r="A13" s="3" t="s">
        <v>11</v>
      </c>
      <c r="B13">
        <v>3</v>
      </c>
      <c r="C13">
        <v>2</v>
      </c>
      <c r="D13">
        <v>1</v>
      </c>
    </row>
    <row r="14" spans="1:4" x14ac:dyDescent="0.25">
      <c r="A14" s="3" t="s">
        <v>9</v>
      </c>
      <c r="B14">
        <v>5</v>
      </c>
      <c r="C14">
        <v>2</v>
      </c>
      <c r="D14">
        <v>7</v>
      </c>
    </row>
    <row r="15" spans="1:4" x14ac:dyDescent="0.25">
      <c r="A15" s="3" t="s">
        <v>17</v>
      </c>
      <c r="B15">
        <v>7</v>
      </c>
      <c r="C15">
        <v>2</v>
      </c>
      <c r="D15">
        <v>5</v>
      </c>
    </row>
    <row r="16" spans="1:4" x14ac:dyDescent="0.25">
      <c r="A16" s="3" t="s">
        <v>28</v>
      </c>
      <c r="B16">
        <v>1</v>
      </c>
      <c r="C16">
        <v>7</v>
      </c>
      <c r="D16">
        <v>6</v>
      </c>
    </row>
    <row r="17" spans="1:4" x14ac:dyDescent="0.25">
      <c r="A17" s="3" t="s">
        <v>27</v>
      </c>
      <c r="B17">
        <v>7</v>
      </c>
      <c r="C17">
        <v>2</v>
      </c>
      <c r="D17">
        <v>1</v>
      </c>
    </row>
    <row r="18" spans="1:4" x14ac:dyDescent="0.25">
      <c r="A18" s="3" t="s">
        <v>41</v>
      </c>
      <c r="B18">
        <v>8</v>
      </c>
      <c r="C18">
        <v>1</v>
      </c>
      <c r="D18">
        <v>1</v>
      </c>
    </row>
    <row r="19" spans="1:4" x14ac:dyDescent="0.25">
      <c r="A19" s="3" t="s">
        <v>51</v>
      </c>
      <c r="B19">
        <v>6</v>
      </c>
      <c r="D19">
        <v>4</v>
      </c>
    </row>
    <row r="20" spans="1:4" x14ac:dyDescent="0.25">
      <c r="A20" s="3" t="s">
        <v>352</v>
      </c>
      <c r="B20">
        <v>5</v>
      </c>
      <c r="C20">
        <v>3</v>
      </c>
      <c r="D20">
        <v>2</v>
      </c>
    </row>
    <row r="21" spans="1:4" x14ac:dyDescent="0.25">
      <c r="A21" s="3" t="s">
        <v>325</v>
      </c>
      <c r="B21">
        <v>9</v>
      </c>
      <c r="C21">
        <v>3</v>
      </c>
      <c r="D21">
        <v>2</v>
      </c>
    </row>
    <row r="22" spans="1:4" x14ac:dyDescent="0.25">
      <c r="A22" s="3" t="s">
        <v>326</v>
      </c>
      <c r="B22">
        <v>4</v>
      </c>
      <c r="C22">
        <v>2</v>
      </c>
      <c r="D22">
        <v>2</v>
      </c>
    </row>
    <row r="23" spans="1:4" x14ac:dyDescent="0.25">
      <c r="A23" s="3" t="s">
        <v>351</v>
      </c>
      <c r="B23">
        <v>4</v>
      </c>
      <c r="C23">
        <v>1</v>
      </c>
      <c r="D23">
        <v>5</v>
      </c>
    </row>
    <row r="24" spans="1:4" x14ac:dyDescent="0.25">
      <c r="A24" s="3" t="s">
        <v>364</v>
      </c>
      <c r="D24">
        <v>2</v>
      </c>
    </row>
    <row r="25" spans="1:4" x14ac:dyDescent="0.25">
      <c r="A25" s="3" t="s">
        <v>404</v>
      </c>
      <c r="B25">
        <v>1</v>
      </c>
    </row>
    <row r="26" spans="1:4" x14ac:dyDescent="0.25">
      <c r="A26" s="3" t="s">
        <v>405</v>
      </c>
      <c r="B26">
        <v>3</v>
      </c>
      <c r="C26">
        <v>5</v>
      </c>
      <c r="D26">
        <v>4</v>
      </c>
    </row>
    <row r="27" spans="1:4" x14ac:dyDescent="0.25">
      <c r="A27" s="3" t="s">
        <v>435</v>
      </c>
      <c r="B27">
        <v>2</v>
      </c>
    </row>
    <row r="28" spans="1:4" x14ac:dyDescent="0.25">
      <c r="A28" s="3" t="s">
        <v>433</v>
      </c>
      <c r="B28">
        <v>7</v>
      </c>
      <c r="D28">
        <v>3</v>
      </c>
    </row>
    <row r="29" spans="1:4" x14ac:dyDescent="0.25">
      <c r="A29" s="3" t="s">
        <v>438</v>
      </c>
      <c r="C29">
        <v>1</v>
      </c>
      <c r="D29">
        <v>1</v>
      </c>
    </row>
    <row r="30" spans="1:4" x14ac:dyDescent="0.25">
      <c r="A30" s="3" t="s">
        <v>464</v>
      </c>
      <c r="D30">
        <v>2</v>
      </c>
    </row>
    <row r="31" spans="1:4" x14ac:dyDescent="0.25">
      <c r="A31" s="3" t="s">
        <v>519</v>
      </c>
      <c r="B31">
        <v>6</v>
      </c>
      <c r="C31">
        <v>1</v>
      </c>
      <c r="D31">
        <v>1</v>
      </c>
    </row>
    <row r="32" spans="1:4" x14ac:dyDescent="0.25">
      <c r="A32" s="3" t="s">
        <v>540</v>
      </c>
      <c r="B32">
        <v>4</v>
      </c>
      <c r="D32">
        <v>2</v>
      </c>
    </row>
    <row r="33" spans="1:4" x14ac:dyDescent="0.25">
      <c r="A33" s="3" t="s">
        <v>567</v>
      </c>
      <c r="B33">
        <v>3</v>
      </c>
      <c r="D33">
        <v>1</v>
      </c>
    </row>
    <row r="34" spans="1:4" x14ac:dyDescent="0.25">
      <c r="A34" s="3" t="s">
        <v>578</v>
      </c>
      <c r="B34">
        <v>6</v>
      </c>
      <c r="C34">
        <v>3</v>
      </c>
      <c r="D34">
        <v>5</v>
      </c>
    </row>
    <row r="35" spans="1:4" x14ac:dyDescent="0.25">
      <c r="A35" s="3" t="s">
        <v>605</v>
      </c>
      <c r="B35">
        <v>2</v>
      </c>
    </row>
    <row r="36" spans="1:4" x14ac:dyDescent="0.25">
      <c r="A36" s="3" t="s">
        <v>609</v>
      </c>
      <c r="B36">
        <v>6</v>
      </c>
      <c r="D36">
        <v>2</v>
      </c>
    </row>
    <row r="37" spans="1:4" x14ac:dyDescent="0.25">
      <c r="A37" s="3" t="s">
        <v>622</v>
      </c>
      <c r="B37">
        <v>6</v>
      </c>
      <c r="C37">
        <v>2</v>
      </c>
      <c r="D37">
        <v>1</v>
      </c>
    </row>
    <row r="38" spans="1:4" x14ac:dyDescent="0.25">
      <c r="A38" s="3" t="s">
        <v>693</v>
      </c>
      <c r="B38">
        <v>2</v>
      </c>
    </row>
    <row r="39" spans="1:4" x14ac:dyDescent="0.25">
      <c r="A39" s="3" t="s">
        <v>24</v>
      </c>
      <c r="B39">
        <v>150</v>
      </c>
      <c r="C39">
        <v>57</v>
      </c>
      <c r="D39">
        <v>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055"/>
  <sheetViews>
    <sheetView tabSelected="1" topLeftCell="A2013" workbookViewId="0">
      <selection activeCell="N2035" sqref="N2035"/>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2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2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2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2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2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2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2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2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2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2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2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2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2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2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2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2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2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2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2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2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2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2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2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2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2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2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2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2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2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2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2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2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2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2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2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2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2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2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2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2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2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2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2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2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2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2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2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2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2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2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2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2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2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2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2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2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2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2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2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2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2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2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2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2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2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2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2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2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2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2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2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2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2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2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2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2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2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2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2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2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2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2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2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2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2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2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2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2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2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2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2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2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2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2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2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2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2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2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2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2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2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2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2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2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2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2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2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2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2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2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2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2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2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2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2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2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2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2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2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2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2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2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2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2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2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2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2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2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2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2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2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2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2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2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2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2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2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2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2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2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2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2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2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2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2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2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2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2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2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2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2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2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2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2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2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2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2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2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2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2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2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2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2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2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2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2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2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2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2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2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2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2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2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2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2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2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2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2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2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2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2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2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2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2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2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2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2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2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2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2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2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2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2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2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2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2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2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2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2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2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2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2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2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2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2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2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2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2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2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2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2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2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2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2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2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2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2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2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2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2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2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2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2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2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2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2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2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2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2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2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2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2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2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2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2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Current</v>
      </c>
    </row>
    <row r="2023" spans="1:11" x14ac:dyDescent="0.2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Current</v>
      </c>
    </row>
    <row r="2024" spans="1:11" x14ac:dyDescent="0.2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Current</v>
      </c>
    </row>
    <row r="2025" spans="1:11" x14ac:dyDescent="0.2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Current</v>
      </c>
    </row>
    <row r="2026" spans="1:11" x14ac:dyDescent="0.2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Current</v>
      </c>
    </row>
    <row r="2027" spans="1:11" x14ac:dyDescent="0.2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Current</v>
      </c>
    </row>
    <row r="2028" spans="1:11" x14ac:dyDescent="0.2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Current</v>
      </c>
    </row>
    <row r="2029" spans="1:11" x14ac:dyDescent="0.2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Current</v>
      </c>
    </row>
    <row r="2030" spans="1:11" x14ac:dyDescent="0.2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Current</v>
      </c>
    </row>
    <row r="2031" spans="1:11" x14ac:dyDescent="0.2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Current</v>
      </c>
    </row>
    <row r="2032" spans="1:11" x14ac:dyDescent="0.2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Current</v>
      </c>
    </row>
    <row r="2033" spans="1:11" x14ac:dyDescent="0.2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Current</v>
      </c>
    </row>
    <row r="2034" spans="1:11" x14ac:dyDescent="0.2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Current</v>
      </c>
    </row>
    <row r="2035" spans="1:11" x14ac:dyDescent="0.2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Current</v>
      </c>
    </row>
    <row r="2036" spans="1:11" x14ac:dyDescent="0.2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Current</v>
      </c>
    </row>
    <row r="2037" spans="1:11" x14ac:dyDescent="0.2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Current</v>
      </c>
    </row>
    <row r="2038" spans="1:11" x14ac:dyDescent="0.2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Current</v>
      </c>
    </row>
    <row r="2039" spans="1:11" x14ac:dyDescent="0.2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Current</v>
      </c>
    </row>
    <row r="2040" spans="1:11" x14ac:dyDescent="0.2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Current</v>
      </c>
    </row>
    <row r="2041" spans="1:11" x14ac:dyDescent="0.2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Current</v>
      </c>
    </row>
    <row r="2042" spans="1:11" x14ac:dyDescent="0.2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Current</v>
      </c>
    </row>
    <row r="2043" spans="1:11" x14ac:dyDescent="0.2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Current</v>
      </c>
    </row>
    <row r="2044" spans="1:11" x14ac:dyDescent="0.2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Current</v>
      </c>
    </row>
    <row r="2045" spans="1:11" x14ac:dyDescent="0.2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Current</v>
      </c>
    </row>
    <row r="2046" spans="1:11" x14ac:dyDescent="0.2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Current</v>
      </c>
    </row>
    <row r="2047" spans="1:11" x14ac:dyDescent="0.2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Current</v>
      </c>
    </row>
    <row r="2048" spans="1:11" x14ac:dyDescent="0.2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Current</v>
      </c>
    </row>
    <row r="2049" spans="1:11" x14ac:dyDescent="0.2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Current</v>
      </c>
    </row>
    <row r="2050" spans="1:11" x14ac:dyDescent="0.2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Current</v>
      </c>
    </row>
    <row r="2051" spans="1:11" x14ac:dyDescent="0.2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Current</v>
      </c>
    </row>
    <row r="2052" spans="1:11" x14ac:dyDescent="0.2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Current</v>
      </c>
    </row>
    <row r="2053" spans="1:11" x14ac:dyDescent="0.2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Current</v>
      </c>
    </row>
    <row r="2054" spans="1:11" x14ac:dyDescent="0.2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Current</v>
      </c>
    </row>
    <row r="2055" spans="1:11" x14ac:dyDescent="0.2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887"/>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2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2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2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2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2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2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2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2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2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2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2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2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2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2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2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2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2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2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2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2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2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2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2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2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2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2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2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2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2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2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2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2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2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2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2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2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2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2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2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2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2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2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2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2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2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2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2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2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2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2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2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2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2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2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2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2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2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2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2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2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2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2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2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2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2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2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2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2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2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2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2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2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2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2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2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2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2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2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2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2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2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2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2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2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2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2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2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2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2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2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2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2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2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2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2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2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2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2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2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2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2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2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2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2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2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2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2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2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2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2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2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2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2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2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2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2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2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2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2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2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2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2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2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2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2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2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2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2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2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2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2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2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2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2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2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2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2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2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2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2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2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2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2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2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2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2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2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2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2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2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2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2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2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2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2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2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2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2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2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2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2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2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2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2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2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2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2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2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2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2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2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2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2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2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2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2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2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2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2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2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2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2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2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2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2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2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2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2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2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2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2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2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2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2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2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2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2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2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2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2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2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2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2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2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2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2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2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2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2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2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2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2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2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2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2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2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2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2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2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2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2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2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2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2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2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2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2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2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2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2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2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2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2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2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2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2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2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2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2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2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2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2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2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2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2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2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2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2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2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2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2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2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2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2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2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2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2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2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2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2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2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2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2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2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2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2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2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2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2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2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2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2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2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2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2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2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2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2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2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2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2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2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2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2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2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2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2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2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2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2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2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2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2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2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2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2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2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2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2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2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2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2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2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2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2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2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2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2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2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2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2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2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2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2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2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2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2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2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2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2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2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2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2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2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2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2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2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2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2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2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2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2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2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2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2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2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2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2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2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2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2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2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2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2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2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2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2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2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2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2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2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2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2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2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2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2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2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2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2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2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2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2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2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2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2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2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2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2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2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2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2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2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2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2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2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2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2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2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2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2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2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2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2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2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2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2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2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2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2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2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2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2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2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2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2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2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2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2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2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2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2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2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2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2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2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2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2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2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2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2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2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2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2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2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2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2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2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2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2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2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2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2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2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2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2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2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2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2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2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2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2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2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2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2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2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2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2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2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2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2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2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2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2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2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2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2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2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2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2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2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2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2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2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2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2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2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2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2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2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2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2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2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2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2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2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2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2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2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2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2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2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2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2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2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2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2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2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2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2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2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2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2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2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2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2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2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2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2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2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2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2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2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2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2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2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2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2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2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2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2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2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2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2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2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2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2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2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2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2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2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2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2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2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2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2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2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2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2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2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2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2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2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2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2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2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2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2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2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2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2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2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2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2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2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2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2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2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2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2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2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2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2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2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2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2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2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2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2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2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2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2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2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2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2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2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2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2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2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2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2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2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2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2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2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2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2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2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2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2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2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2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2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2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2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2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2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2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2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2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2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2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2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2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2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2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2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2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2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2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2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2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2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2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2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2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2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2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2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2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2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2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2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2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2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2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2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2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2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2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2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2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2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2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2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2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2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2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2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2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2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2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2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2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2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2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2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2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2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2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2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2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2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2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2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2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2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2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2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2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2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2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2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2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2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2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2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2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2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2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2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2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2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2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2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2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2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2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2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2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2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2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2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2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2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2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2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2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2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2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2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2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2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2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2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2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2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2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2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2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2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2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2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2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2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2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2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2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2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2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2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2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2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2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2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2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2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2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2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2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2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2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2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2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2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2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2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2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2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2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2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2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2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2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2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2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2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2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2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2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2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2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2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2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2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2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2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2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2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2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2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2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2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2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2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2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2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2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2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2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2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2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2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2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2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2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2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2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2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2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2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2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2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2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25">
      <c r="A756" t="s">
        <v>552</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25">
      <c r="A757" t="s">
        <v>552</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25">
      <c r="A758" t="s">
        <v>324</v>
      </c>
      <c r="B758" t="s">
        <v>6</v>
      </c>
      <c r="C758">
        <v>3</v>
      </c>
      <c r="D758">
        <v>3</v>
      </c>
      <c r="E758">
        <v>1</v>
      </c>
      <c r="F758" s="15">
        <v>46048</v>
      </c>
      <c r="G758" t="s">
        <v>329</v>
      </c>
      <c r="H758">
        <v>3</v>
      </c>
      <c r="I758">
        <v>2026</v>
      </c>
      <c r="J758">
        <v>1</v>
      </c>
      <c r="K758" t="s">
        <v>87</v>
      </c>
      <c r="L758" t="s">
        <v>552</v>
      </c>
      <c r="M758" t="s">
        <v>6</v>
      </c>
      <c r="N758" t="b">
        <v>0</v>
      </c>
      <c r="O758">
        <v>0</v>
      </c>
      <c r="P758">
        <v>1</v>
      </c>
      <c r="Q758">
        <v>0</v>
      </c>
      <c r="R758">
        <v>0</v>
      </c>
    </row>
    <row r="759" spans="1:18" x14ac:dyDescent="0.2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25">
      <c r="A760" t="s">
        <v>9</v>
      </c>
      <c r="B760" t="s">
        <v>8</v>
      </c>
      <c r="C760">
        <v>2</v>
      </c>
      <c r="D760">
        <v>3</v>
      </c>
      <c r="E760">
        <v>1</v>
      </c>
      <c r="F760" s="15">
        <v>46048</v>
      </c>
      <c r="G760" t="s">
        <v>329</v>
      </c>
      <c r="H760">
        <v>3</v>
      </c>
      <c r="I760">
        <v>2026</v>
      </c>
      <c r="J760">
        <v>1</v>
      </c>
      <c r="K760" t="s">
        <v>87</v>
      </c>
      <c r="L760" t="s">
        <v>552</v>
      </c>
      <c r="M760" t="s">
        <v>6</v>
      </c>
      <c r="N760" t="b">
        <v>0</v>
      </c>
      <c r="O760">
        <v>1</v>
      </c>
      <c r="P760">
        <v>0</v>
      </c>
      <c r="Q760">
        <v>0</v>
      </c>
      <c r="R760">
        <v>0</v>
      </c>
    </row>
    <row r="761" spans="1:18" x14ac:dyDescent="0.2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25">
      <c r="A762" t="s">
        <v>552</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25">
      <c r="A763" t="s">
        <v>552</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25">
      <c r="A764" t="s">
        <v>552</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25">
      <c r="A765" t="s">
        <v>19</v>
      </c>
      <c r="B765" t="s">
        <v>6</v>
      </c>
      <c r="C765">
        <v>4</v>
      </c>
      <c r="D765">
        <v>2</v>
      </c>
      <c r="E765">
        <v>2</v>
      </c>
      <c r="F765" s="15">
        <v>46048</v>
      </c>
      <c r="G765" t="s">
        <v>335</v>
      </c>
      <c r="H765">
        <v>4</v>
      </c>
      <c r="I765">
        <v>2026</v>
      </c>
      <c r="J765">
        <v>1</v>
      </c>
      <c r="K765" t="s">
        <v>87</v>
      </c>
      <c r="L765" t="s">
        <v>552</v>
      </c>
      <c r="M765" t="s">
        <v>6</v>
      </c>
      <c r="N765" t="b">
        <v>0</v>
      </c>
      <c r="O765">
        <v>0</v>
      </c>
      <c r="P765">
        <v>1</v>
      </c>
      <c r="Q765">
        <v>0</v>
      </c>
      <c r="R765">
        <v>0</v>
      </c>
    </row>
    <row r="766" spans="1:18" x14ac:dyDescent="0.2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2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25">
      <c r="A768" t="s">
        <v>321</v>
      </c>
      <c r="B768" t="s">
        <v>6</v>
      </c>
      <c r="C768">
        <v>2</v>
      </c>
      <c r="D768">
        <v>2</v>
      </c>
      <c r="E768">
        <v>2</v>
      </c>
      <c r="F768" s="15">
        <v>46048</v>
      </c>
      <c r="G768" t="s">
        <v>335</v>
      </c>
      <c r="H768">
        <v>4</v>
      </c>
      <c r="I768">
        <v>2026</v>
      </c>
      <c r="J768">
        <v>1</v>
      </c>
      <c r="K768" t="s">
        <v>87</v>
      </c>
      <c r="L768" t="s">
        <v>552</v>
      </c>
      <c r="M768" t="s">
        <v>6</v>
      </c>
      <c r="N768" t="b">
        <v>0</v>
      </c>
      <c r="O768">
        <v>0</v>
      </c>
      <c r="P768">
        <v>1</v>
      </c>
      <c r="Q768">
        <v>0</v>
      </c>
      <c r="R768">
        <v>0</v>
      </c>
    </row>
    <row r="769" spans="1:18" x14ac:dyDescent="0.2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2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25">
      <c r="A771" t="s">
        <v>364</v>
      </c>
      <c r="B771" t="s">
        <v>8</v>
      </c>
      <c r="C771">
        <v>1</v>
      </c>
      <c r="D771">
        <v>2</v>
      </c>
      <c r="E771">
        <v>2</v>
      </c>
      <c r="F771" s="15">
        <v>46048</v>
      </c>
      <c r="G771" t="s">
        <v>335</v>
      </c>
      <c r="H771">
        <v>4</v>
      </c>
      <c r="I771">
        <v>2026</v>
      </c>
      <c r="J771">
        <v>1</v>
      </c>
      <c r="K771" t="s">
        <v>87</v>
      </c>
      <c r="L771" t="s">
        <v>552</v>
      </c>
      <c r="M771" t="s">
        <v>6</v>
      </c>
      <c r="N771" t="b">
        <v>0</v>
      </c>
      <c r="O771">
        <v>1</v>
      </c>
      <c r="P771">
        <v>0</v>
      </c>
      <c r="Q771">
        <v>0</v>
      </c>
      <c r="R771">
        <v>0</v>
      </c>
    </row>
    <row r="772" spans="1:18" x14ac:dyDescent="0.2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2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2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2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2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2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2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2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2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2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2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2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2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2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2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2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2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2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2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2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2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2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2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2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2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2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2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2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2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2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2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2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2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2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2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2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2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2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2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2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2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2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2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2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2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2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2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2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2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2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2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2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2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2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2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2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2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2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2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2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2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2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2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2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2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2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2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2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2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2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2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2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2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2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2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2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2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2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2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2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2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2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2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2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2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2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2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2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2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2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2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2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2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2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2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2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2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2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2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2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2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2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2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2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2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2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2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2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2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2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2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2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2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2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2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2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2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2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2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2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2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2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2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2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2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2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2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2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2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2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2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2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2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2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2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2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2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2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2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2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2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2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2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2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2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2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2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2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2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2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2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2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2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2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2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2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2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2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2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2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2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2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2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2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2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2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2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2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2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2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2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2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2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2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2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2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2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2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2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2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2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2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2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2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2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2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2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2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2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2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2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2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2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2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2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2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2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2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2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2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2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2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2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2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2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2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2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2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2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2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2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2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2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2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2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2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2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2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2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2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2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2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2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2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2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2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2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2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2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2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2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2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2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2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2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2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2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2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2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2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2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2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2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2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2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2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2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2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2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2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2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2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2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2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2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2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2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2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2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2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2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2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2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2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2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2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2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2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2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2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2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2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2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2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2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2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2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2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2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2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2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2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2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2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2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2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2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2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2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2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2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2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2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2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2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2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2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2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2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2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2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2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2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2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2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2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2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2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2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2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2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2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2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2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2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2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2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2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2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2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2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2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2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2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2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2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2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2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2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2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2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2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2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2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2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2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2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2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2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2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2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2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2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2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2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2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2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2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2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2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2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2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2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2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2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2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2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2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2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2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2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2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2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2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2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2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2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2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2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2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2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2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2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2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2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2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2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2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2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2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2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2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2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2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2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2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2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2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2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2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2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2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2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2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2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2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2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2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2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2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2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2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2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2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2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2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2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2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2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2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2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2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2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2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2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2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2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2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2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2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2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2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2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2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2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2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2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2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2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2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2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2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2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2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2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2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2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2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2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2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2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2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2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2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2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2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2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2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2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2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2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2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2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2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2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2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2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2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2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2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2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2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2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2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2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2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2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2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2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2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2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2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2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2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2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2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2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2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2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2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2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2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2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2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2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2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2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2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2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2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2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2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2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2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2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2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2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2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2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2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2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2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2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2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2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2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2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2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2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2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2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2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2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2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2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2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2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2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2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2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2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2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2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2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2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2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2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2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2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2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2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2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2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2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2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2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2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2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2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2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2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2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2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2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2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2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2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2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2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2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2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2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2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2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2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2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2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2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2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2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2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2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2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2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2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2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2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2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2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2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2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2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2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2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2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2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2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2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2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2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2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2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2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2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2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2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2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2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2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2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2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2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2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2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2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2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2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2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2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2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2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2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2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2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2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2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2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2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2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2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2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2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2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2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2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2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2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2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2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2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2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2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2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2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2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2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2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2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2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2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2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2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2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2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2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2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2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2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2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2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2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2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2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2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2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2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2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2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2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2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2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2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2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2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2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2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2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2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2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2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2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2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2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2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2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2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2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2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2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2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2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2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2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2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2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2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2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2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2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2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2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2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2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2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2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2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2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2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2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2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2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2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2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2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2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2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2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2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2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2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2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2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2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2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2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2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2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2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2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2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2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2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2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2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2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2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2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2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2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2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2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2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2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2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2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2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2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2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2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2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2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2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2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2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2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2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2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2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2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2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2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2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2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2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2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2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2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2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2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2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2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2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2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2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2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2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2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2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2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2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2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2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2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2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2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2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2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2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2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2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2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2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2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2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2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2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2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2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2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2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2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2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2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2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2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2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2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2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2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2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2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2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2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2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2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2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2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2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2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2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2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2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2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2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2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2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2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2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2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2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2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2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2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2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2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2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2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2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2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2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2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2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2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2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2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2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2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2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2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2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2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2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2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2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2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2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2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2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2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2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2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2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2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2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2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2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2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2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2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2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2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2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2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2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2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2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2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2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2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2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2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2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2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2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2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2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2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2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2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2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2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2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2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2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2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2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2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2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2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2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2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2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2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2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2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2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2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2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2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2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2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2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2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2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2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2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2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2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2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2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2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2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2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2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2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2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2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2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2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2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2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2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2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2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2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2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2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2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2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2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2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2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2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2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2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2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2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2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2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2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2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2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2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2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2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2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2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2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2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2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2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2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2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2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2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2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2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2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2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2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2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2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2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2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2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2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2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2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2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2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2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2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2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2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2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2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2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2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2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2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2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2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2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2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2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2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2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2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2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2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2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2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2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2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2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2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2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2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2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2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2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2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2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2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2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2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2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2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2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2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2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2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2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2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2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2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2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2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2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2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2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2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2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2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2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2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2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2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2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2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2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2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2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2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2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2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2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2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2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2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2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2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2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2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2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2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2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2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2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2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2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2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2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2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2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2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2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2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2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2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2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2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2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2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2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2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2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2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2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2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2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2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2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2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2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2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2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2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2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2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2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2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2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2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2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2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2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2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2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2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2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2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2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2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2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2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2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2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2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2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2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2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2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2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2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2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2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2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2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2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2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2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2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2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2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2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2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2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2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2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2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2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2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2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2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2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2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2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2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2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2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2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2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2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2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2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2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2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2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2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2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2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2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2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2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2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2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2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2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2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2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2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2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2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2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2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2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2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2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2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2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2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2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2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2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2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2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2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2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2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2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2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2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2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2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2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2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2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2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2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2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2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2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2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2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2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2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2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2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2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2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2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2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2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2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2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2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2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2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2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2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2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2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2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2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2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2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2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2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2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2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2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2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2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2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2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2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2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2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2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2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2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2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2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2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2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2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2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2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2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2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2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2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2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2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2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2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2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2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2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2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2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2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2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2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2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2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2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2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2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2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2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2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2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2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2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2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2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2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2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2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2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2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2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2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2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2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2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2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2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2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2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2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2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2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2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2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2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2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2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2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2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2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2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2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2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2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2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2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2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2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2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2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2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2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2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2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2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2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2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2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2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2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2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2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2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2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2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2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2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2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2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2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2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2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2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2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2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2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2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2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2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2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2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2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2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2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2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2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2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2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2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2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2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2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2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2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2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2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2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2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2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2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2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2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2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2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2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2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2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2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2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2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2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2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2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2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2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2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2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2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2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2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2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2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2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2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2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2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2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2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2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2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2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2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2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2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2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2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2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2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2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2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2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2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2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2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2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2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2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2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2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2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2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2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2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2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2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2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2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2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2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2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2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2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2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2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2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2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2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2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2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2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2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2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2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2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2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2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2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2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2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2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2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2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2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2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2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2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2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2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2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2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2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2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2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2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2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2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2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2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2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2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2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2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2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2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2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2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2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2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2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2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2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2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2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2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2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2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2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2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2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2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2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2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2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2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2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2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2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2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2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2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2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2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2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2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2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2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2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2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2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2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2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2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2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2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2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2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2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2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2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2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2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2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2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2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2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2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2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2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2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2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2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2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2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2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2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2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2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2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2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2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2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2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2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2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2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2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2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2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2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2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2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2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2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2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2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2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2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2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2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2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2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2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2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2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2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2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2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2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2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2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2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2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2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2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2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2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2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2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2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2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2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2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2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2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2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2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2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2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2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2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2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2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2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2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2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2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2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2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2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2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2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2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2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2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2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2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2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2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2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2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2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2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2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2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2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2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2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2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2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2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2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2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2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2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2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2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2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2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2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2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2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2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2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2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2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2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2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2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2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2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2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2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2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2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2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2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2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2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2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2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2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2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2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2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2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2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2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2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2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2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2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2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2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2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2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2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2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2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2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2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2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2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2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2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2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2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2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2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2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2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2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2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2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2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2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2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2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2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2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2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2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2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2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2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2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2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2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2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2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2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2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2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2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2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2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2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2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2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2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2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2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2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2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2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2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2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2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2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2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2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2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2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2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2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2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2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2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2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2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2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2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2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2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2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2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2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2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2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2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2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2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2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2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2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2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2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2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2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2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2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2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2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2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2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2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2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2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2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2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2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2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2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2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2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2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2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2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2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2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2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2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2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2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2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2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2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2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2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2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2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2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2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2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2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2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2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2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2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2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2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2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2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2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2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2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2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2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2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2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2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2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2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2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2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2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2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2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2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2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2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2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2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2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2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2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2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2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2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2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2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2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2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2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2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2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2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2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2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2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2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2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2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2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2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2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2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2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2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2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2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2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2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2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2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2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2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2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2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2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2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2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2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2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2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2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2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2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2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2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2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2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2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2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2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2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2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2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2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2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2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2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2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2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2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2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2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2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2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2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2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2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2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2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2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2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2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2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2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2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2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2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2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2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2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2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2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2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2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2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2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2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2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2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2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2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2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2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2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2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2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2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2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2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2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2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2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2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2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2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2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2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2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2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2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2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2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2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2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2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2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2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2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2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2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2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2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2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2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2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2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2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2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2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2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2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2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2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2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2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2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2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2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2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2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2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2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2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2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2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2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2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2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2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2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2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2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2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2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2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2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2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2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2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2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2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2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2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2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2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2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2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2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2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2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2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2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2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2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2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2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2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2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2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2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2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2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2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2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2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2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2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2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2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2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2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2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2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2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2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2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2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2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2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2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2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2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2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2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2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2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2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2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2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2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2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2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2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2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2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2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2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2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2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2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2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2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2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2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2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2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2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2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2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2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2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2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2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2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2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2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2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2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2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2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2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2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2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2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2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2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2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2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2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2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2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2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2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2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2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2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2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2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2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2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2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2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2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2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2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2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2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2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2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2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2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2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2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2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2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2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2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2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2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2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2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2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2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2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2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2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2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2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2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2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2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2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2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2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2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2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2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2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2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2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2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2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2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2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2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2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2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2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2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2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2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2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2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2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2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2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2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2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2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2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2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2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2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2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2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2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2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2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2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2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2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2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2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2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2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2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2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2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2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2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2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2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2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2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2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2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2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2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2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2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2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2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2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2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2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2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2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2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2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2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2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2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2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2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2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2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2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2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2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2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2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2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2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2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2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2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2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2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2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2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2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2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2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2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2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2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2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2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2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2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2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2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2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2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2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2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2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2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2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2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2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2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2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2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2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2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2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2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2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2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2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2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2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2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2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25">
      <c r="A2964" t="s">
        <v>434</v>
      </c>
      <c r="B2964" t="s">
        <v>8</v>
      </c>
      <c r="C2964">
        <v>4</v>
      </c>
      <c r="D2964">
        <v>1</v>
      </c>
      <c r="E2964">
        <v>2</v>
      </c>
      <c r="F2964" s="15">
        <v>46090</v>
      </c>
      <c r="G2964" t="s">
        <v>414</v>
      </c>
      <c r="H2964">
        <v>4</v>
      </c>
      <c r="I2964">
        <v>2026</v>
      </c>
      <c r="J2964">
        <v>3</v>
      </c>
      <c r="K2964" t="s">
        <v>87</v>
      </c>
      <c r="L2964" t="s">
        <v>401</v>
      </c>
      <c r="M2964" t="s">
        <v>6</v>
      </c>
      <c r="N2964" t="b">
        <v>0</v>
      </c>
      <c r="O2964">
        <v>1</v>
      </c>
      <c r="P2964">
        <v>0</v>
      </c>
      <c r="Q2964">
        <v>0</v>
      </c>
      <c r="R2964">
        <v>0</v>
      </c>
    </row>
    <row r="2965" spans="1:18" x14ac:dyDescent="0.2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2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25">
      <c r="A2967" t="s">
        <v>401</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25">
      <c r="A2968" t="s">
        <v>401</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25">
      <c r="A2969" t="s">
        <v>401</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2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25">
      <c r="A2971" t="s">
        <v>51</v>
      </c>
      <c r="B2971" t="s">
        <v>6</v>
      </c>
      <c r="C2971">
        <v>2</v>
      </c>
      <c r="D2971">
        <v>1</v>
      </c>
      <c r="E2971">
        <v>2</v>
      </c>
      <c r="F2971" s="15">
        <v>46090</v>
      </c>
      <c r="G2971" t="s">
        <v>414</v>
      </c>
      <c r="H2971">
        <v>4</v>
      </c>
      <c r="I2971">
        <v>2026</v>
      </c>
      <c r="J2971">
        <v>3</v>
      </c>
      <c r="K2971" t="s">
        <v>87</v>
      </c>
      <c r="L2971" t="s">
        <v>401</v>
      </c>
      <c r="M2971" t="s">
        <v>6</v>
      </c>
      <c r="N2971" t="b">
        <v>0</v>
      </c>
      <c r="O2971">
        <v>0</v>
      </c>
      <c r="P2971">
        <v>1</v>
      </c>
      <c r="Q2971">
        <v>0</v>
      </c>
      <c r="R2971">
        <v>0</v>
      </c>
    </row>
    <row r="2972" spans="1:18" x14ac:dyDescent="0.2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2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25">
      <c r="A2974" t="s">
        <v>16</v>
      </c>
      <c r="B2974" t="s">
        <v>6</v>
      </c>
      <c r="C2974">
        <v>3</v>
      </c>
      <c r="D2974">
        <v>1</v>
      </c>
      <c r="E2974">
        <v>2</v>
      </c>
      <c r="F2974" s="15">
        <v>46090</v>
      </c>
      <c r="G2974" t="s">
        <v>414</v>
      </c>
      <c r="H2974">
        <v>4</v>
      </c>
      <c r="I2974">
        <v>2026</v>
      </c>
      <c r="J2974">
        <v>3</v>
      </c>
      <c r="K2974" t="s">
        <v>87</v>
      </c>
      <c r="L2974" t="s">
        <v>401</v>
      </c>
      <c r="M2974" t="s">
        <v>6</v>
      </c>
      <c r="N2974" t="b">
        <v>0</v>
      </c>
      <c r="O2974">
        <v>0</v>
      </c>
      <c r="P2974">
        <v>1</v>
      </c>
      <c r="Q2974">
        <v>0</v>
      </c>
      <c r="R2974">
        <v>0</v>
      </c>
    </row>
    <row r="2975" spans="1:18" x14ac:dyDescent="0.2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2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2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2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2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2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2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2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2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2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2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2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2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2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2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2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2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2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2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2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2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2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2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2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2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2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2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2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2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2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2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2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2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2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2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2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2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2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2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2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2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2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2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2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2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2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2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2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2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2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2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2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2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2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2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2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2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2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2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2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2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2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2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2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2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2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2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2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2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2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2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2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2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2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2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2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2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2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2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2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2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2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2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2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2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2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2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2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2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2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2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2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2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2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2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2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2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2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2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2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2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2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2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2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2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2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2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2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2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2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2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2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2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2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2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2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2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2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2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2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2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2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2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2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2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2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2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2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2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2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2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2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2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2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2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2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2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2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2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2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2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2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2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2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2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2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2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2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2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2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2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2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2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2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2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2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2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2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2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2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2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2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2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2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2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2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2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2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2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2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2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2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2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2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2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2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2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2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2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2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2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2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2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2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2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2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2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2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2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2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2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2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2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2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2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2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2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2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2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2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2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2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2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2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2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2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2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2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2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2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2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2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2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2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2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2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2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2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2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2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2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2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2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2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2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2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2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2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2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2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2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2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2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2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2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2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2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2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2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2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2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2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2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2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2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2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2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2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2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2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2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2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2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2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2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2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2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2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2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2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2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2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2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2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2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2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2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2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2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2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2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2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2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2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2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2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2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2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2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2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2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2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2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2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2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2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2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2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2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2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2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2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2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2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2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2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2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2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2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2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2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25">
      <c r="A3276" t="s">
        <v>400</v>
      </c>
      <c r="B3276" t="s">
        <v>6</v>
      </c>
      <c r="C3276">
        <v>1</v>
      </c>
      <c r="D3276">
        <v>4</v>
      </c>
      <c r="E3276">
        <v>1</v>
      </c>
      <c r="F3276" s="15">
        <v>46090</v>
      </c>
      <c r="G3276" t="s">
        <v>410</v>
      </c>
      <c r="H3276">
        <v>4</v>
      </c>
      <c r="I3276">
        <v>2026</v>
      </c>
      <c r="J3276">
        <v>3</v>
      </c>
      <c r="K3276" t="s">
        <v>87</v>
      </c>
      <c r="L3276" t="s">
        <v>401</v>
      </c>
      <c r="M3276" t="s">
        <v>6</v>
      </c>
      <c r="N3276" t="b">
        <v>0</v>
      </c>
      <c r="O3276">
        <v>0</v>
      </c>
      <c r="P3276">
        <v>1</v>
      </c>
      <c r="Q3276">
        <v>0</v>
      </c>
      <c r="R3276">
        <v>0</v>
      </c>
    </row>
    <row r="3277" spans="1:18" x14ac:dyDescent="0.2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2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25">
      <c r="A3279" t="s">
        <v>401</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25">
      <c r="A3280" t="s">
        <v>401</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25">
      <c r="A3281" t="s">
        <v>401</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2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25">
      <c r="A3283" t="s">
        <v>402</v>
      </c>
      <c r="B3283" t="s">
        <v>8</v>
      </c>
      <c r="C3283">
        <v>3</v>
      </c>
      <c r="D3283">
        <v>4</v>
      </c>
      <c r="E3283">
        <v>1</v>
      </c>
      <c r="F3283" s="15">
        <v>46090</v>
      </c>
      <c r="G3283" t="s">
        <v>410</v>
      </c>
      <c r="H3283">
        <v>4</v>
      </c>
      <c r="I3283">
        <v>2026</v>
      </c>
      <c r="J3283">
        <v>3</v>
      </c>
      <c r="K3283" t="s">
        <v>87</v>
      </c>
      <c r="L3283" t="s">
        <v>401</v>
      </c>
      <c r="M3283" t="s">
        <v>6</v>
      </c>
      <c r="N3283" t="b">
        <v>0</v>
      </c>
      <c r="O3283">
        <v>1</v>
      </c>
      <c r="P3283">
        <v>0</v>
      </c>
      <c r="Q3283">
        <v>0</v>
      </c>
      <c r="R3283">
        <v>0</v>
      </c>
    </row>
    <row r="3284" spans="1:18" x14ac:dyDescent="0.2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2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25">
      <c r="A3286" t="s">
        <v>403</v>
      </c>
      <c r="B3286" t="s">
        <v>6</v>
      </c>
      <c r="C3286">
        <v>4</v>
      </c>
      <c r="D3286">
        <v>4</v>
      </c>
      <c r="E3286">
        <v>1</v>
      </c>
      <c r="F3286" s="15">
        <v>46090</v>
      </c>
      <c r="G3286" t="s">
        <v>410</v>
      </c>
      <c r="H3286">
        <v>4</v>
      </c>
      <c r="I3286">
        <v>2026</v>
      </c>
      <c r="J3286">
        <v>3</v>
      </c>
      <c r="K3286" t="s">
        <v>87</v>
      </c>
      <c r="L3286" t="s">
        <v>401</v>
      </c>
      <c r="M3286" t="s">
        <v>6</v>
      </c>
      <c r="N3286" t="b">
        <v>0</v>
      </c>
      <c r="O3286">
        <v>0</v>
      </c>
      <c r="P3286">
        <v>1</v>
      </c>
      <c r="Q3286">
        <v>0</v>
      </c>
      <c r="R3286">
        <v>0</v>
      </c>
    </row>
    <row r="3287" spans="1:18" x14ac:dyDescent="0.2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25">
      <c r="A3288" t="s">
        <v>10</v>
      </c>
      <c r="B3288" t="s">
        <v>8</v>
      </c>
      <c r="C3288">
        <v>1</v>
      </c>
      <c r="D3288">
        <v>5</v>
      </c>
      <c r="E3288">
        <v>1</v>
      </c>
      <c r="F3288" s="15">
        <v>46090</v>
      </c>
      <c r="G3288" t="s">
        <v>411</v>
      </c>
      <c r="H3288">
        <v>4</v>
      </c>
      <c r="I3288">
        <v>2026</v>
      </c>
      <c r="J3288">
        <v>3</v>
      </c>
      <c r="K3288" t="s">
        <v>87</v>
      </c>
      <c r="L3288" t="s">
        <v>404</v>
      </c>
      <c r="M3288" t="s">
        <v>6</v>
      </c>
      <c r="N3288" t="b">
        <v>0</v>
      </c>
      <c r="O3288">
        <v>1</v>
      </c>
      <c r="P3288">
        <v>0</v>
      </c>
      <c r="Q3288">
        <v>0</v>
      </c>
      <c r="R3288">
        <v>0</v>
      </c>
    </row>
    <row r="3289" spans="1:18" x14ac:dyDescent="0.2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2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25">
      <c r="A3291" t="s">
        <v>404</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25">
      <c r="A3292" t="s">
        <v>404</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25">
      <c r="A3293" t="s">
        <v>404</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2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25">
      <c r="A3295" t="s">
        <v>405</v>
      </c>
      <c r="B3295" t="s">
        <v>6</v>
      </c>
      <c r="C3295">
        <v>3</v>
      </c>
      <c r="D3295">
        <v>5</v>
      </c>
      <c r="E3295">
        <v>1</v>
      </c>
      <c r="F3295" s="15">
        <v>46090</v>
      </c>
      <c r="G3295" t="s">
        <v>411</v>
      </c>
      <c r="H3295">
        <v>4</v>
      </c>
      <c r="I3295">
        <v>2026</v>
      </c>
      <c r="J3295">
        <v>3</v>
      </c>
      <c r="K3295" t="s">
        <v>87</v>
      </c>
      <c r="L3295" t="s">
        <v>404</v>
      </c>
      <c r="M3295" t="s">
        <v>6</v>
      </c>
      <c r="N3295" t="b">
        <v>0</v>
      </c>
      <c r="O3295">
        <v>0</v>
      </c>
      <c r="P3295">
        <v>1</v>
      </c>
      <c r="Q3295">
        <v>0</v>
      </c>
      <c r="R3295">
        <v>0</v>
      </c>
    </row>
    <row r="3296" spans="1:18" x14ac:dyDescent="0.2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2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25">
      <c r="A3298" t="s">
        <v>7</v>
      </c>
      <c r="B3298" t="s">
        <v>6</v>
      </c>
      <c r="C3298">
        <v>4</v>
      </c>
      <c r="D3298">
        <v>5</v>
      </c>
      <c r="E3298">
        <v>1</v>
      </c>
      <c r="F3298" s="15">
        <v>46090</v>
      </c>
      <c r="G3298" t="s">
        <v>411</v>
      </c>
      <c r="H3298">
        <v>4</v>
      </c>
      <c r="I3298">
        <v>2026</v>
      </c>
      <c r="J3298">
        <v>3</v>
      </c>
      <c r="K3298" t="s">
        <v>87</v>
      </c>
      <c r="L3298" t="s">
        <v>404</v>
      </c>
      <c r="M3298" t="s">
        <v>6</v>
      </c>
      <c r="N3298" t="b">
        <v>0</v>
      </c>
      <c r="O3298">
        <v>0</v>
      </c>
      <c r="P3298">
        <v>1</v>
      </c>
      <c r="Q3298">
        <v>0</v>
      </c>
      <c r="R3298">
        <v>0</v>
      </c>
    </row>
    <row r="3299" spans="1:18" x14ac:dyDescent="0.2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2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2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2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2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2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2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2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2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2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2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2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2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2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2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2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2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2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2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2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2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2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2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2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2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2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2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2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2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2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2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2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2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2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2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2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2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2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2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2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2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2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2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2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2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2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2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2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2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2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2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2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2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2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2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2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2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2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2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2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2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2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2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2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2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2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2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2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2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2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2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25">
      <c r="A3370" t="s">
        <v>363</v>
      </c>
      <c r="B3370" t="s">
        <v>6</v>
      </c>
      <c r="C3370">
        <v>1</v>
      </c>
      <c r="D3370">
        <v>5</v>
      </c>
      <c r="E3370">
        <v>2</v>
      </c>
      <c r="F3370" s="15">
        <v>46090</v>
      </c>
      <c r="G3370" t="s">
        <v>418</v>
      </c>
      <c r="H3370">
        <v>4</v>
      </c>
      <c r="I3370">
        <v>2026</v>
      </c>
      <c r="J3370">
        <v>3</v>
      </c>
      <c r="K3370" t="s">
        <v>87</v>
      </c>
      <c r="L3370" t="s">
        <v>404</v>
      </c>
      <c r="M3370" t="s">
        <v>6</v>
      </c>
      <c r="N3370" t="b">
        <v>0</v>
      </c>
      <c r="O3370">
        <v>0</v>
      </c>
      <c r="P3370">
        <v>1</v>
      </c>
      <c r="Q3370">
        <v>0</v>
      </c>
      <c r="R3370">
        <v>0</v>
      </c>
    </row>
    <row r="3371" spans="1:18" x14ac:dyDescent="0.2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2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25">
      <c r="A3373" t="s">
        <v>406</v>
      </c>
      <c r="B3373" t="s">
        <v>6</v>
      </c>
      <c r="C3373">
        <v>2</v>
      </c>
      <c r="D3373">
        <v>5</v>
      </c>
      <c r="E3373">
        <v>2</v>
      </c>
      <c r="F3373" s="15">
        <v>46090</v>
      </c>
      <c r="G3373" t="s">
        <v>418</v>
      </c>
      <c r="H3373">
        <v>4</v>
      </c>
      <c r="I3373">
        <v>2026</v>
      </c>
      <c r="J3373">
        <v>3</v>
      </c>
      <c r="K3373" t="s">
        <v>87</v>
      </c>
      <c r="L3373" t="s">
        <v>404</v>
      </c>
      <c r="M3373" t="s">
        <v>6</v>
      </c>
      <c r="N3373" t="b">
        <v>0</v>
      </c>
      <c r="O3373">
        <v>0</v>
      </c>
      <c r="P3373">
        <v>1</v>
      </c>
      <c r="Q3373">
        <v>0</v>
      </c>
      <c r="R3373">
        <v>0</v>
      </c>
    </row>
    <row r="3374" spans="1:18" x14ac:dyDescent="0.2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2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25">
      <c r="A3376" t="s">
        <v>402</v>
      </c>
      <c r="B3376" t="s">
        <v>8</v>
      </c>
      <c r="C3376">
        <v>3</v>
      </c>
      <c r="D3376">
        <v>5</v>
      </c>
      <c r="E3376">
        <v>2</v>
      </c>
      <c r="F3376" s="15">
        <v>46090</v>
      </c>
      <c r="G3376" t="s">
        <v>418</v>
      </c>
      <c r="H3376">
        <v>4</v>
      </c>
      <c r="I3376">
        <v>2026</v>
      </c>
      <c r="J3376">
        <v>3</v>
      </c>
      <c r="K3376" t="s">
        <v>87</v>
      </c>
      <c r="L3376" t="s">
        <v>404</v>
      </c>
      <c r="M3376" t="s">
        <v>6</v>
      </c>
      <c r="N3376" t="b">
        <v>0</v>
      </c>
      <c r="O3376">
        <v>1</v>
      </c>
      <c r="P3376">
        <v>0</v>
      </c>
      <c r="Q3376">
        <v>0</v>
      </c>
      <c r="R3376">
        <v>0</v>
      </c>
    </row>
    <row r="3377" spans="1:18" x14ac:dyDescent="0.25">
      <c r="A3377" t="s">
        <v>404</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25">
      <c r="A3378" t="s">
        <v>404</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25">
      <c r="A3379" t="s">
        <v>404</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2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2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2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2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2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2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2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2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2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2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2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2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2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2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2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2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2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2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2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2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2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2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2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2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2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2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2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2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2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2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2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2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2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2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2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2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2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2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2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2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2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2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2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2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2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2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2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2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2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2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2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2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2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2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2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2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2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2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2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2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2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2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2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2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2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2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2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2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2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2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2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2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2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2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2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2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2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2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2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2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2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2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2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2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2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2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2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2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2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2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2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2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2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2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2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2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2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2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2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2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2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2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2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2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2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2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2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2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2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2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2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2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2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2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2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2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2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2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2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2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2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2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2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2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2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2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2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2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2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2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2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2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2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2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2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2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2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2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2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2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2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2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2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2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2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2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2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2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2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2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2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2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2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2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2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2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2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2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2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2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2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2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2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2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2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2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2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2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2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2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2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2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2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2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2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2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2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2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2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2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2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2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2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2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2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2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2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2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2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2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2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2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2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2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2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2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2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2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2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2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2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2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2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2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2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2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2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2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2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2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2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2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2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2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2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2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2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2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2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2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2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2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2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2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2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2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2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2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2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2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2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2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2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2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2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2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2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2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2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2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2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2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2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2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2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2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2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2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2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2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2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2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2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2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2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2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2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2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2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2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2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2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2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2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2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2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2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2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2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2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2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2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2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2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2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2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2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2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2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2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2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2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2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2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2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2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2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2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2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2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2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2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2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2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2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2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2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2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2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2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2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2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2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2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2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2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2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2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2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2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2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2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2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2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2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2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2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2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2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2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2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2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2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2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2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2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2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2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2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2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2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2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2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2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2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2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2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2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2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2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2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2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2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2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2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2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2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2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2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2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2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2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2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2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2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2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2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2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2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2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2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25">
      <c r="A3741" t="s">
        <v>352</v>
      </c>
      <c r="B3741" t="s">
        <v>6</v>
      </c>
      <c r="C3741">
        <v>1</v>
      </c>
      <c r="D3741">
        <v>2</v>
      </c>
      <c r="E3741">
        <v>1</v>
      </c>
      <c r="F3741" s="15">
        <v>46118</v>
      </c>
      <c r="G3741" t="s">
        <v>467</v>
      </c>
      <c r="H3741">
        <v>4</v>
      </c>
      <c r="I3741">
        <v>2026</v>
      </c>
      <c r="J3741">
        <v>4</v>
      </c>
      <c r="K3741" t="s">
        <v>87</v>
      </c>
      <c r="L3741" t="s">
        <v>579</v>
      </c>
      <c r="M3741" t="s">
        <v>6</v>
      </c>
      <c r="N3741" t="b">
        <v>0</v>
      </c>
      <c r="O3741">
        <v>0</v>
      </c>
      <c r="P3741">
        <v>1</v>
      </c>
      <c r="Q3741">
        <v>0</v>
      </c>
      <c r="R3741">
        <v>0</v>
      </c>
    </row>
    <row r="3742" spans="1:18" x14ac:dyDescent="0.2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2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25">
      <c r="A3744" t="s">
        <v>51</v>
      </c>
      <c r="B3744" t="s">
        <v>6</v>
      </c>
      <c r="C3744">
        <v>2</v>
      </c>
      <c r="D3744">
        <v>2</v>
      </c>
      <c r="E3744">
        <v>1</v>
      </c>
      <c r="F3744" s="15">
        <v>46118</v>
      </c>
      <c r="G3744" t="s">
        <v>467</v>
      </c>
      <c r="H3744">
        <v>4</v>
      </c>
      <c r="I3744">
        <v>2026</v>
      </c>
      <c r="J3744">
        <v>4</v>
      </c>
      <c r="K3744" t="s">
        <v>87</v>
      </c>
      <c r="L3744" t="s">
        <v>579</v>
      </c>
      <c r="M3744" t="s">
        <v>6</v>
      </c>
      <c r="N3744" t="b">
        <v>0</v>
      </c>
      <c r="O3744">
        <v>0</v>
      </c>
      <c r="P3744">
        <v>1</v>
      </c>
      <c r="Q3744">
        <v>0</v>
      </c>
      <c r="R3744">
        <v>0</v>
      </c>
    </row>
    <row r="3745" spans="1:18" x14ac:dyDescent="0.2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25">
      <c r="A3746" t="s">
        <v>579</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25">
      <c r="A3747" t="s">
        <v>579</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25">
      <c r="A3748" t="s">
        <v>579</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2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2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25">
      <c r="A3751" t="s">
        <v>19</v>
      </c>
      <c r="B3751" t="s">
        <v>8</v>
      </c>
      <c r="C3751">
        <v>4</v>
      </c>
      <c r="D3751">
        <v>2</v>
      </c>
      <c r="E3751">
        <v>1</v>
      </c>
      <c r="F3751" s="15">
        <v>46118</v>
      </c>
      <c r="G3751" t="s">
        <v>467</v>
      </c>
      <c r="H3751">
        <v>4</v>
      </c>
      <c r="I3751">
        <v>2026</v>
      </c>
      <c r="J3751">
        <v>4</v>
      </c>
      <c r="K3751" t="s">
        <v>87</v>
      </c>
      <c r="L3751" t="s">
        <v>579</v>
      </c>
      <c r="M3751" t="s">
        <v>6</v>
      </c>
      <c r="N3751" t="b">
        <v>0</v>
      </c>
      <c r="O3751">
        <v>1</v>
      </c>
      <c r="P3751">
        <v>0</v>
      </c>
      <c r="Q3751">
        <v>0</v>
      </c>
      <c r="R3751">
        <v>0</v>
      </c>
    </row>
    <row r="3752" spans="1:18" x14ac:dyDescent="0.2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2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2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2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2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2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2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2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2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2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2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2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2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2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2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2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2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2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2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2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2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2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2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2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2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2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2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2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2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2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2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2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2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2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2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2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25">
      <c r="A3788" t="s">
        <v>465</v>
      </c>
      <c r="B3788" t="s">
        <v>6</v>
      </c>
      <c r="C3788">
        <v>1</v>
      </c>
      <c r="D3788">
        <v>1</v>
      </c>
      <c r="E3788">
        <v>2</v>
      </c>
      <c r="F3788" s="15">
        <v>46118</v>
      </c>
      <c r="G3788" t="s">
        <v>472</v>
      </c>
      <c r="H3788">
        <v>4</v>
      </c>
      <c r="I3788">
        <v>2026</v>
      </c>
      <c r="J3788">
        <v>4</v>
      </c>
      <c r="K3788" t="s">
        <v>87</v>
      </c>
      <c r="L3788" t="s">
        <v>579</v>
      </c>
      <c r="M3788" t="s">
        <v>6</v>
      </c>
      <c r="N3788" t="b">
        <v>0</v>
      </c>
      <c r="O3788">
        <v>0</v>
      </c>
      <c r="P3788">
        <v>1</v>
      </c>
      <c r="Q3788">
        <v>0</v>
      </c>
      <c r="R3788">
        <v>0</v>
      </c>
    </row>
    <row r="3789" spans="1:18" x14ac:dyDescent="0.2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2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25">
      <c r="A3791" t="s">
        <v>579</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25">
      <c r="A3792" t="s">
        <v>579</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25">
      <c r="A3793" t="s">
        <v>579</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2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25">
      <c r="A3795" t="s">
        <v>365</v>
      </c>
      <c r="B3795" t="s">
        <v>6</v>
      </c>
      <c r="C3795">
        <v>3</v>
      </c>
      <c r="D3795">
        <v>1</v>
      </c>
      <c r="E3795">
        <v>2</v>
      </c>
      <c r="F3795" s="15">
        <v>46118</v>
      </c>
      <c r="G3795" t="s">
        <v>472</v>
      </c>
      <c r="H3795">
        <v>4</v>
      </c>
      <c r="I3795">
        <v>2026</v>
      </c>
      <c r="J3795">
        <v>4</v>
      </c>
      <c r="K3795" t="s">
        <v>87</v>
      </c>
      <c r="L3795" t="s">
        <v>579</v>
      </c>
      <c r="M3795" t="s">
        <v>6</v>
      </c>
      <c r="N3795" t="b">
        <v>0</v>
      </c>
      <c r="O3795">
        <v>0</v>
      </c>
      <c r="P3795">
        <v>1</v>
      </c>
      <c r="Q3795">
        <v>0</v>
      </c>
      <c r="R3795">
        <v>0</v>
      </c>
    </row>
    <row r="3796" spans="1:18" x14ac:dyDescent="0.2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2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25">
      <c r="A3798" t="s">
        <v>10</v>
      </c>
      <c r="B3798" t="s">
        <v>8</v>
      </c>
      <c r="C3798">
        <v>4</v>
      </c>
      <c r="D3798">
        <v>1</v>
      </c>
      <c r="E3798">
        <v>2</v>
      </c>
      <c r="F3798" s="15">
        <v>46118</v>
      </c>
      <c r="G3798" t="s">
        <v>472</v>
      </c>
      <c r="H3798">
        <v>4</v>
      </c>
      <c r="I3798">
        <v>2026</v>
      </c>
      <c r="J3798">
        <v>4</v>
      </c>
      <c r="K3798" t="s">
        <v>87</v>
      </c>
      <c r="L3798" t="s">
        <v>579</v>
      </c>
      <c r="M3798" t="s">
        <v>6</v>
      </c>
      <c r="N3798" t="b">
        <v>0</v>
      </c>
      <c r="O3798">
        <v>1</v>
      </c>
      <c r="P3798">
        <v>0</v>
      </c>
      <c r="Q3798">
        <v>0</v>
      </c>
      <c r="R3798">
        <v>0</v>
      </c>
    </row>
    <row r="3799" spans="1:18" x14ac:dyDescent="0.2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2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2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2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2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2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2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2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2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2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2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2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2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2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2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2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2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2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2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2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2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2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2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2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2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2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2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2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2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2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2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2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2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2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2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2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2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2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2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2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2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2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2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2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2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2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2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2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2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2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2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2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2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2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2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2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2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2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2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2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2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2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2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2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2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2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2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2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2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2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2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2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2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2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2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2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2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2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2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2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2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2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2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2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2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2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2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2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2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2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2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2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2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2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2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2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2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2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2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2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2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2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2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2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2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2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2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2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2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2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2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2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2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2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2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2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2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2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2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2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2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2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2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2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2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2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2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2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2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2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2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2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2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2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2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2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2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2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2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2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2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2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2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2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2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2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2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2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2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2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2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2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2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2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2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2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2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2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2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2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2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2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2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2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2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2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2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2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2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2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2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2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2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2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2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2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2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2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2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2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2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2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2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2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2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2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2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2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2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2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2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2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2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2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2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2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2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2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2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2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2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2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2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2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2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2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2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2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2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2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2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2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2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2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2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2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2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2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2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2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2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2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2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2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2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2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2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2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2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2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2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2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2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2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2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2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2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2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2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2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2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2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2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2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2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2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2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2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2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2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2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2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2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2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2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2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2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2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2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2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2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2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2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2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2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2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2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2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2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2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2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2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2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2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2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2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2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2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2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2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2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2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2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2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2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2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2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2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2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2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2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2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2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2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2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2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2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2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2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2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2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2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2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2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2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2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2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2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2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2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2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2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2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2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2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2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2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2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2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2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2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2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2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2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2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2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2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2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2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2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2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2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2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2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2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2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2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2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2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2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2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2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2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2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2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2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2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2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2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2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2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2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2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2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2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2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2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2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2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2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2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2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2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2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2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2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2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2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2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2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2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2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2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2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2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2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2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2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2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2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2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2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2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2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2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2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2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2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2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2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2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2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2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2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2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2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2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2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2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2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2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2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2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2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2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2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2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2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2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2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2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2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2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2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2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2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2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2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2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2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2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2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2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2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2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2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2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2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2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2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2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2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2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2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2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2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2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2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2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2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2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2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2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2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2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2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2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2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2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2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2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2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2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2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2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2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2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2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2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2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2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2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2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2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2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2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2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2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2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2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2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2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2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2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2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2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2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2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2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2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2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2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2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2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2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2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2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2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2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2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2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2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2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2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2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2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2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2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2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2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2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2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2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2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2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2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2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2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2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2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2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2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2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2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2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2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2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2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2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2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2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2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2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2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2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2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2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2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2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2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2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2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2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2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2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2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2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2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2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2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2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2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2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2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2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2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2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2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2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2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2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2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2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2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2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2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2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2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2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2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2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2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2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2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2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2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2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2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2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2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2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2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2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2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2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2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2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2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2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2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2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2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2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25">
      <c r="A4382" t="s">
        <v>325</v>
      </c>
      <c r="B4382" t="s">
        <v>8</v>
      </c>
      <c r="C4382">
        <v>1</v>
      </c>
      <c r="D4382">
        <v>1</v>
      </c>
      <c r="E4382">
        <v>1</v>
      </c>
      <c r="F4382" s="15">
        <v>46167</v>
      </c>
      <c r="G4382" t="s">
        <v>543</v>
      </c>
      <c r="H4382">
        <v>4</v>
      </c>
      <c r="I4382">
        <v>2026</v>
      </c>
      <c r="J4382">
        <v>5</v>
      </c>
      <c r="K4382" t="s">
        <v>87</v>
      </c>
      <c r="L4382" t="s">
        <v>10</v>
      </c>
      <c r="M4382" t="s">
        <v>6</v>
      </c>
      <c r="N4382" t="b">
        <v>0</v>
      </c>
      <c r="O4382">
        <v>1</v>
      </c>
      <c r="P4382">
        <v>0</v>
      </c>
      <c r="Q4382">
        <v>0</v>
      </c>
      <c r="R4382">
        <v>0</v>
      </c>
    </row>
    <row r="4383" spans="1:18" x14ac:dyDescent="0.25">
      <c r="A4383" t="s">
        <v>325</v>
      </c>
      <c r="B4383" t="s">
        <v>8</v>
      </c>
      <c r="C4383">
        <v>1</v>
      </c>
      <c r="D4383">
        <v>1</v>
      </c>
      <c r="E4383">
        <v>1</v>
      </c>
      <c r="F4383" s="15">
        <v>46167</v>
      </c>
      <c r="G4383" t="s">
        <v>543</v>
      </c>
      <c r="H4383">
        <v>4</v>
      </c>
      <c r="I4383">
        <v>2026</v>
      </c>
      <c r="J4383">
        <v>5</v>
      </c>
      <c r="K4383" t="s">
        <v>87</v>
      </c>
      <c r="L4383" t="s">
        <v>41</v>
      </c>
      <c r="M4383" t="s">
        <v>6</v>
      </c>
      <c r="N4383" t="b">
        <v>0</v>
      </c>
      <c r="O4383">
        <v>1</v>
      </c>
      <c r="P4383">
        <v>0</v>
      </c>
      <c r="Q4383">
        <v>0</v>
      </c>
      <c r="R4383">
        <v>0</v>
      </c>
    </row>
    <row r="4384" spans="1:18" x14ac:dyDescent="0.25">
      <c r="A4384" t="s">
        <v>325</v>
      </c>
      <c r="B4384" t="s">
        <v>8</v>
      </c>
      <c r="C4384">
        <v>1</v>
      </c>
      <c r="D4384">
        <v>1</v>
      </c>
      <c r="E4384">
        <v>1</v>
      </c>
      <c r="F4384" s="15">
        <v>46167</v>
      </c>
      <c r="G4384" t="s">
        <v>543</v>
      </c>
      <c r="H4384">
        <v>4</v>
      </c>
      <c r="I4384">
        <v>2026</v>
      </c>
      <c r="J4384">
        <v>5</v>
      </c>
      <c r="K4384" t="s">
        <v>87</v>
      </c>
      <c r="L4384" t="s">
        <v>433</v>
      </c>
      <c r="M4384" t="s">
        <v>6</v>
      </c>
      <c r="N4384" t="b">
        <v>0</v>
      </c>
      <c r="O4384">
        <v>1</v>
      </c>
      <c r="P4384">
        <v>0</v>
      </c>
      <c r="Q4384">
        <v>0</v>
      </c>
      <c r="R4384">
        <v>0</v>
      </c>
    </row>
    <row r="4385" spans="1:18" x14ac:dyDescent="0.25">
      <c r="A4385" t="s">
        <v>10</v>
      </c>
      <c r="B4385" t="s">
        <v>6</v>
      </c>
      <c r="C4385">
        <v>2</v>
      </c>
      <c r="D4385">
        <v>1</v>
      </c>
      <c r="E4385">
        <v>1</v>
      </c>
      <c r="F4385" s="15">
        <v>46167</v>
      </c>
      <c r="G4385" t="s">
        <v>543</v>
      </c>
      <c r="H4385">
        <v>4</v>
      </c>
      <c r="I4385">
        <v>2026</v>
      </c>
      <c r="J4385">
        <v>5</v>
      </c>
      <c r="K4385" t="s">
        <v>87</v>
      </c>
      <c r="L4385" t="s">
        <v>325</v>
      </c>
      <c r="M4385" t="s">
        <v>8</v>
      </c>
      <c r="N4385" t="b">
        <v>0</v>
      </c>
      <c r="O4385">
        <v>0</v>
      </c>
      <c r="P4385">
        <v>1</v>
      </c>
      <c r="Q4385">
        <v>0</v>
      </c>
      <c r="R4385">
        <v>1</v>
      </c>
    </row>
    <row r="4386" spans="1:18" x14ac:dyDescent="0.25">
      <c r="A4386" t="s">
        <v>10</v>
      </c>
      <c r="B4386" t="s">
        <v>6</v>
      </c>
      <c r="C4386">
        <v>2</v>
      </c>
      <c r="D4386">
        <v>1</v>
      </c>
      <c r="E4386">
        <v>1</v>
      </c>
      <c r="F4386" s="15">
        <v>46167</v>
      </c>
      <c r="G4386" t="s">
        <v>543</v>
      </c>
      <c r="H4386">
        <v>4</v>
      </c>
      <c r="I4386">
        <v>2026</v>
      </c>
      <c r="J4386">
        <v>5</v>
      </c>
      <c r="K4386" t="s">
        <v>87</v>
      </c>
      <c r="L4386" t="s">
        <v>41</v>
      </c>
      <c r="M4386" t="s">
        <v>6</v>
      </c>
      <c r="N4386" t="b">
        <v>0</v>
      </c>
      <c r="O4386">
        <v>0</v>
      </c>
      <c r="P4386">
        <v>1</v>
      </c>
      <c r="Q4386">
        <v>0</v>
      </c>
      <c r="R4386">
        <v>0</v>
      </c>
    </row>
    <row r="4387" spans="1:18" x14ac:dyDescent="0.25">
      <c r="A4387" t="s">
        <v>10</v>
      </c>
      <c r="B4387" t="s">
        <v>6</v>
      </c>
      <c r="C4387">
        <v>2</v>
      </c>
      <c r="D4387">
        <v>1</v>
      </c>
      <c r="E4387">
        <v>1</v>
      </c>
      <c r="F4387" s="15">
        <v>46167</v>
      </c>
      <c r="G4387" t="s">
        <v>543</v>
      </c>
      <c r="H4387">
        <v>4</v>
      </c>
      <c r="I4387">
        <v>2026</v>
      </c>
      <c r="J4387">
        <v>5</v>
      </c>
      <c r="K4387" t="s">
        <v>87</v>
      </c>
      <c r="L4387" t="s">
        <v>433</v>
      </c>
      <c r="M4387" t="s">
        <v>6</v>
      </c>
      <c r="N4387" t="b">
        <v>0</v>
      </c>
      <c r="O4387">
        <v>0</v>
      </c>
      <c r="P4387">
        <v>1</v>
      </c>
      <c r="Q4387">
        <v>0</v>
      </c>
      <c r="R4387">
        <v>0</v>
      </c>
    </row>
    <row r="4388" spans="1:18" x14ac:dyDescent="0.25">
      <c r="A4388" t="s">
        <v>41</v>
      </c>
      <c r="B4388" t="s">
        <v>6</v>
      </c>
      <c r="C4388">
        <v>3</v>
      </c>
      <c r="D4388">
        <v>1</v>
      </c>
      <c r="E4388">
        <v>1</v>
      </c>
      <c r="F4388" s="15">
        <v>46167</v>
      </c>
      <c r="G4388" t="s">
        <v>543</v>
      </c>
      <c r="H4388">
        <v>4</v>
      </c>
      <c r="I4388">
        <v>2026</v>
      </c>
      <c r="J4388">
        <v>5</v>
      </c>
      <c r="K4388" t="s">
        <v>87</v>
      </c>
      <c r="L4388" t="s">
        <v>325</v>
      </c>
      <c r="M4388" t="s">
        <v>8</v>
      </c>
      <c r="N4388" t="b">
        <v>0</v>
      </c>
      <c r="O4388">
        <v>0</v>
      </c>
      <c r="P4388">
        <v>1</v>
      </c>
      <c r="Q4388">
        <v>0</v>
      </c>
      <c r="R4388">
        <v>1</v>
      </c>
    </row>
    <row r="4389" spans="1:18" x14ac:dyDescent="0.25">
      <c r="A4389" t="s">
        <v>41</v>
      </c>
      <c r="B4389" t="s">
        <v>6</v>
      </c>
      <c r="C4389">
        <v>3</v>
      </c>
      <c r="D4389">
        <v>1</v>
      </c>
      <c r="E4389">
        <v>1</v>
      </c>
      <c r="F4389" s="15">
        <v>46167</v>
      </c>
      <c r="G4389" t="s">
        <v>543</v>
      </c>
      <c r="H4389">
        <v>4</v>
      </c>
      <c r="I4389">
        <v>2026</v>
      </c>
      <c r="J4389">
        <v>5</v>
      </c>
      <c r="K4389" t="s">
        <v>87</v>
      </c>
      <c r="L4389" t="s">
        <v>10</v>
      </c>
      <c r="M4389" t="s">
        <v>6</v>
      </c>
      <c r="N4389" t="b">
        <v>0</v>
      </c>
      <c r="O4389">
        <v>0</v>
      </c>
      <c r="P4389">
        <v>1</v>
      </c>
      <c r="Q4389">
        <v>0</v>
      </c>
      <c r="R4389">
        <v>0</v>
      </c>
    </row>
    <row r="4390" spans="1:18" x14ac:dyDescent="0.25">
      <c r="A4390" t="s">
        <v>41</v>
      </c>
      <c r="B4390" t="s">
        <v>6</v>
      </c>
      <c r="C4390">
        <v>3</v>
      </c>
      <c r="D4390">
        <v>1</v>
      </c>
      <c r="E4390">
        <v>1</v>
      </c>
      <c r="F4390" s="15">
        <v>46167</v>
      </c>
      <c r="G4390" t="s">
        <v>543</v>
      </c>
      <c r="H4390">
        <v>4</v>
      </c>
      <c r="I4390">
        <v>2026</v>
      </c>
      <c r="J4390">
        <v>5</v>
      </c>
      <c r="K4390" t="s">
        <v>87</v>
      </c>
      <c r="L4390" t="s">
        <v>433</v>
      </c>
      <c r="M4390" t="s">
        <v>6</v>
      </c>
      <c r="N4390" t="b">
        <v>0</v>
      </c>
      <c r="O4390">
        <v>0</v>
      </c>
      <c r="P4390">
        <v>1</v>
      </c>
      <c r="Q4390">
        <v>0</v>
      </c>
      <c r="R4390">
        <v>0</v>
      </c>
    </row>
    <row r="4391" spans="1:18" x14ac:dyDescent="0.25">
      <c r="A4391" t="s">
        <v>433</v>
      </c>
      <c r="B4391" t="s">
        <v>6</v>
      </c>
      <c r="C4391">
        <v>4</v>
      </c>
      <c r="D4391">
        <v>1</v>
      </c>
      <c r="E4391">
        <v>1</v>
      </c>
      <c r="F4391" s="15">
        <v>46167</v>
      </c>
      <c r="G4391" t="s">
        <v>543</v>
      </c>
      <c r="H4391">
        <v>4</v>
      </c>
      <c r="I4391">
        <v>2026</v>
      </c>
      <c r="J4391">
        <v>5</v>
      </c>
      <c r="K4391" t="s">
        <v>87</v>
      </c>
      <c r="L4391" t="s">
        <v>325</v>
      </c>
      <c r="M4391" t="s">
        <v>8</v>
      </c>
      <c r="N4391" t="b">
        <v>0</v>
      </c>
      <c r="O4391">
        <v>0</v>
      </c>
      <c r="P4391">
        <v>1</v>
      </c>
      <c r="Q4391">
        <v>0</v>
      </c>
      <c r="R4391">
        <v>1</v>
      </c>
    </row>
    <row r="4392" spans="1:18" x14ac:dyDescent="0.25">
      <c r="A4392" t="s">
        <v>433</v>
      </c>
      <c r="B4392" t="s">
        <v>6</v>
      </c>
      <c r="C4392">
        <v>4</v>
      </c>
      <c r="D4392">
        <v>1</v>
      </c>
      <c r="E4392">
        <v>1</v>
      </c>
      <c r="F4392" s="15">
        <v>46167</v>
      </c>
      <c r="G4392" t="s">
        <v>543</v>
      </c>
      <c r="H4392">
        <v>4</v>
      </c>
      <c r="I4392">
        <v>2026</v>
      </c>
      <c r="J4392">
        <v>5</v>
      </c>
      <c r="K4392" t="s">
        <v>87</v>
      </c>
      <c r="L4392" t="s">
        <v>10</v>
      </c>
      <c r="M4392" t="s">
        <v>6</v>
      </c>
      <c r="N4392" t="b">
        <v>0</v>
      </c>
      <c r="O4392">
        <v>0</v>
      </c>
      <c r="P4392">
        <v>1</v>
      </c>
      <c r="Q4392">
        <v>0</v>
      </c>
      <c r="R4392">
        <v>0</v>
      </c>
    </row>
    <row r="4393" spans="1:18" x14ac:dyDescent="0.25">
      <c r="A4393" t="s">
        <v>433</v>
      </c>
      <c r="B4393" t="s">
        <v>6</v>
      </c>
      <c r="C4393">
        <v>4</v>
      </c>
      <c r="D4393">
        <v>1</v>
      </c>
      <c r="E4393">
        <v>1</v>
      </c>
      <c r="F4393" s="15">
        <v>46167</v>
      </c>
      <c r="G4393" t="s">
        <v>543</v>
      </c>
      <c r="H4393">
        <v>4</v>
      </c>
      <c r="I4393">
        <v>2026</v>
      </c>
      <c r="J4393">
        <v>5</v>
      </c>
      <c r="K4393" t="s">
        <v>87</v>
      </c>
      <c r="L4393" t="s">
        <v>41</v>
      </c>
      <c r="M4393" t="s">
        <v>6</v>
      </c>
      <c r="N4393" t="b">
        <v>0</v>
      </c>
      <c r="O4393">
        <v>0</v>
      </c>
      <c r="P4393">
        <v>1</v>
      </c>
      <c r="Q4393">
        <v>0</v>
      </c>
      <c r="R4393">
        <v>0</v>
      </c>
    </row>
    <row r="4394" spans="1:18" x14ac:dyDescent="0.25">
      <c r="A4394" t="s">
        <v>540</v>
      </c>
      <c r="B4394" t="s">
        <v>63</v>
      </c>
      <c r="C4394">
        <v>1</v>
      </c>
      <c r="D4394">
        <v>2</v>
      </c>
      <c r="E4394">
        <v>1</v>
      </c>
      <c r="F4394" s="15">
        <v>46167</v>
      </c>
      <c r="G4394" t="s">
        <v>544</v>
      </c>
      <c r="H4394">
        <v>4</v>
      </c>
      <c r="I4394">
        <v>2026</v>
      </c>
      <c r="J4394">
        <v>5</v>
      </c>
      <c r="K4394" t="s">
        <v>87</v>
      </c>
      <c r="L4394" t="s">
        <v>20</v>
      </c>
      <c r="M4394" t="s">
        <v>63</v>
      </c>
      <c r="N4394" t="b">
        <v>0</v>
      </c>
      <c r="O4394">
        <v>0</v>
      </c>
      <c r="P4394">
        <v>0</v>
      </c>
      <c r="Q4394">
        <v>1</v>
      </c>
      <c r="R4394">
        <v>0</v>
      </c>
    </row>
    <row r="4395" spans="1:18" x14ac:dyDescent="0.25">
      <c r="A4395" t="s">
        <v>540</v>
      </c>
      <c r="B4395" t="s">
        <v>63</v>
      </c>
      <c r="C4395">
        <v>1</v>
      </c>
      <c r="D4395">
        <v>2</v>
      </c>
      <c r="E4395">
        <v>1</v>
      </c>
      <c r="F4395" s="15">
        <v>46167</v>
      </c>
      <c r="G4395" t="s">
        <v>544</v>
      </c>
      <c r="H4395">
        <v>4</v>
      </c>
      <c r="I4395">
        <v>2026</v>
      </c>
      <c r="J4395">
        <v>5</v>
      </c>
      <c r="K4395" t="s">
        <v>87</v>
      </c>
      <c r="L4395" t="s">
        <v>17</v>
      </c>
      <c r="M4395" t="s">
        <v>63</v>
      </c>
      <c r="N4395" t="b">
        <v>0</v>
      </c>
      <c r="O4395">
        <v>0</v>
      </c>
      <c r="P4395">
        <v>0</v>
      </c>
      <c r="Q4395">
        <v>1</v>
      </c>
      <c r="R4395">
        <v>0</v>
      </c>
    </row>
    <row r="4396" spans="1:18" x14ac:dyDescent="0.25">
      <c r="A4396" t="s">
        <v>540</v>
      </c>
      <c r="B4396" t="s">
        <v>63</v>
      </c>
      <c r="C4396">
        <v>1</v>
      </c>
      <c r="D4396">
        <v>2</v>
      </c>
      <c r="E4396">
        <v>1</v>
      </c>
      <c r="F4396" s="15">
        <v>46167</v>
      </c>
      <c r="G4396" t="s">
        <v>544</v>
      </c>
      <c r="H4396">
        <v>4</v>
      </c>
      <c r="I4396">
        <v>2026</v>
      </c>
      <c r="J4396">
        <v>5</v>
      </c>
      <c r="K4396" t="s">
        <v>87</v>
      </c>
      <c r="L4396" t="s">
        <v>351</v>
      </c>
      <c r="M4396" t="s">
        <v>63</v>
      </c>
      <c r="N4396" t="b">
        <v>0</v>
      </c>
      <c r="O4396">
        <v>0</v>
      </c>
      <c r="P4396">
        <v>0</v>
      </c>
      <c r="Q4396">
        <v>1</v>
      </c>
      <c r="R4396">
        <v>0</v>
      </c>
    </row>
    <row r="4397" spans="1:18" x14ac:dyDescent="0.25">
      <c r="A4397" t="s">
        <v>20</v>
      </c>
      <c r="B4397" t="s">
        <v>63</v>
      </c>
      <c r="C4397">
        <v>2</v>
      </c>
      <c r="D4397">
        <v>2</v>
      </c>
      <c r="E4397">
        <v>1</v>
      </c>
      <c r="F4397" s="15">
        <v>46167</v>
      </c>
      <c r="G4397" t="s">
        <v>544</v>
      </c>
      <c r="H4397">
        <v>4</v>
      </c>
      <c r="I4397">
        <v>2026</v>
      </c>
      <c r="J4397">
        <v>5</v>
      </c>
      <c r="K4397" t="s">
        <v>87</v>
      </c>
      <c r="L4397" t="s">
        <v>540</v>
      </c>
      <c r="M4397" t="s">
        <v>63</v>
      </c>
      <c r="N4397" t="b">
        <v>0</v>
      </c>
      <c r="O4397">
        <v>0</v>
      </c>
      <c r="P4397">
        <v>0</v>
      </c>
      <c r="Q4397">
        <v>1</v>
      </c>
      <c r="R4397">
        <v>0</v>
      </c>
    </row>
    <row r="4398" spans="1:18" x14ac:dyDescent="0.25">
      <c r="A4398" t="s">
        <v>20</v>
      </c>
      <c r="B4398" t="s">
        <v>63</v>
      </c>
      <c r="C4398">
        <v>2</v>
      </c>
      <c r="D4398">
        <v>2</v>
      </c>
      <c r="E4398">
        <v>1</v>
      </c>
      <c r="F4398" s="15">
        <v>46167</v>
      </c>
      <c r="G4398" t="s">
        <v>544</v>
      </c>
      <c r="H4398">
        <v>4</v>
      </c>
      <c r="I4398">
        <v>2026</v>
      </c>
      <c r="J4398">
        <v>5</v>
      </c>
      <c r="K4398" t="s">
        <v>87</v>
      </c>
      <c r="L4398" t="s">
        <v>17</v>
      </c>
      <c r="M4398" t="s">
        <v>63</v>
      </c>
      <c r="N4398" t="b">
        <v>0</v>
      </c>
      <c r="O4398">
        <v>0</v>
      </c>
      <c r="P4398">
        <v>0</v>
      </c>
      <c r="Q4398">
        <v>1</v>
      </c>
      <c r="R4398">
        <v>0</v>
      </c>
    </row>
    <row r="4399" spans="1:18" x14ac:dyDescent="0.25">
      <c r="A4399" t="s">
        <v>20</v>
      </c>
      <c r="B4399" t="s">
        <v>63</v>
      </c>
      <c r="C4399">
        <v>2</v>
      </c>
      <c r="D4399">
        <v>2</v>
      </c>
      <c r="E4399">
        <v>1</v>
      </c>
      <c r="F4399" s="15">
        <v>46167</v>
      </c>
      <c r="G4399" t="s">
        <v>544</v>
      </c>
      <c r="H4399">
        <v>4</v>
      </c>
      <c r="I4399">
        <v>2026</v>
      </c>
      <c r="J4399">
        <v>5</v>
      </c>
      <c r="K4399" t="s">
        <v>87</v>
      </c>
      <c r="L4399" t="s">
        <v>351</v>
      </c>
      <c r="M4399" t="s">
        <v>63</v>
      </c>
      <c r="N4399" t="b">
        <v>0</v>
      </c>
      <c r="O4399">
        <v>0</v>
      </c>
      <c r="P4399">
        <v>0</v>
      </c>
      <c r="Q4399">
        <v>1</v>
      </c>
      <c r="R4399">
        <v>0</v>
      </c>
    </row>
    <row r="4400" spans="1:18" x14ac:dyDescent="0.25">
      <c r="A4400" t="s">
        <v>17</v>
      </c>
      <c r="B4400" t="s">
        <v>63</v>
      </c>
      <c r="C4400">
        <v>3</v>
      </c>
      <c r="D4400">
        <v>2</v>
      </c>
      <c r="E4400">
        <v>1</v>
      </c>
      <c r="F4400" s="15">
        <v>46167</v>
      </c>
      <c r="G4400" t="s">
        <v>544</v>
      </c>
      <c r="H4400">
        <v>4</v>
      </c>
      <c r="I4400">
        <v>2026</v>
      </c>
      <c r="J4400">
        <v>5</v>
      </c>
      <c r="K4400" t="s">
        <v>87</v>
      </c>
      <c r="L4400" t="s">
        <v>540</v>
      </c>
      <c r="M4400" t="s">
        <v>63</v>
      </c>
      <c r="N4400" t="b">
        <v>0</v>
      </c>
      <c r="O4400">
        <v>0</v>
      </c>
      <c r="P4400">
        <v>0</v>
      </c>
      <c r="Q4400">
        <v>1</v>
      </c>
      <c r="R4400">
        <v>0</v>
      </c>
    </row>
    <row r="4401" spans="1:18" x14ac:dyDescent="0.25">
      <c r="A4401" t="s">
        <v>17</v>
      </c>
      <c r="B4401" t="s">
        <v>63</v>
      </c>
      <c r="C4401">
        <v>3</v>
      </c>
      <c r="D4401">
        <v>2</v>
      </c>
      <c r="E4401">
        <v>1</v>
      </c>
      <c r="F4401" s="15">
        <v>46167</v>
      </c>
      <c r="G4401" t="s">
        <v>544</v>
      </c>
      <c r="H4401">
        <v>4</v>
      </c>
      <c r="I4401">
        <v>2026</v>
      </c>
      <c r="J4401">
        <v>5</v>
      </c>
      <c r="K4401" t="s">
        <v>87</v>
      </c>
      <c r="L4401" t="s">
        <v>20</v>
      </c>
      <c r="M4401" t="s">
        <v>63</v>
      </c>
      <c r="N4401" t="b">
        <v>0</v>
      </c>
      <c r="O4401">
        <v>0</v>
      </c>
      <c r="P4401">
        <v>0</v>
      </c>
      <c r="Q4401">
        <v>1</v>
      </c>
      <c r="R4401">
        <v>0</v>
      </c>
    </row>
    <row r="4402" spans="1:18" x14ac:dyDescent="0.25">
      <c r="A4402" t="s">
        <v>17</v>
      </c>
      <c r="B4402" t="s">
        <v>63</v>
      </c>
      <c r="C4402">
        <v>3</v>
      </c>
      <c r="D4402">
        <v>2</v>
      </c>
      <c r="E4402">
        <v>1</v>
      </c>
      <c r="F4402" s="15">
        <v>46167</v>
      </c>
      <c r="G4402" t="s">
        <v>544</v>
      </c>
      <c r="H4402">
        <v>4</v>
      </c>
      <c r="I4402">
        <v>2026</v>
      </c>
      <c r="J4402">
        <v>5</v>
      </c>
      <c r="K4402" t="s">
        <v>87</v>
      </c>
      <c r="L4402" t="s">
        <v>351</v>
      </c>
      <c r="M4402" t="s">
        <v>63</v>
      </c>
      <c r="N4402" t="b">
        <v>0</v>
      </c>
      <c r="O4402">
        <v>0</v>
      </c>
      <c r="P4402">
        <v>0</v>
      </c>
      <c r="Q4402">
        <v>1</v>
      </c>
      <c r="R4402">
        <v>0</v>
      </c>
    </row>
    <row r="4403" spans="1:18" x14ac:dyDescent="0.25">
      <c r="A4403" t="s">
        <v>351</v>
      </c>
      <c r="B4403" t="s">
        <v>63</v>
      </c>
      <c r="C4403">
        <v>4</v>
      </c>
      <c r="D4403">
        <v>2</v>
      </c>
      <c r="E4403">
        <v>1</v>
      </c>
      <c r="F4403" s="15">
        <v>46167</v>
      </c>
      <c r="G4403" t="s">
        <v>544</v>
      </c>
      <c r="H4403">
        <v>4</v>
      </c>
      <c r="I4403">
        <v>2026</v>
      </c>
      <c r="J4403">
        <v>5</v>
      </c>
      <c r="K4403" t="s">
        <v>87</v>
      </c>
      <c r="L4403" t="s">
        <v>540</v>
      </c>
      <c r="M4403" t="s">
        <v>63</v>
      </c>
      <c r="N4403" t="b">
        <v>0</v>
      </c>
      <c r="O4403">
        <v>0</v>
      </c>
      <c r="P4403">
        <v>0</v>
      </c>
      <c r="Q4403">
        <v>1</v>
      </c>
      <c r="R4403">
        <v>0</v>
      </c>
    </row>
    <row r="4404" spans="1:18" x14ac:dyDescent="0.25">
      <c r="A4404" t="s">
        <v>351</v>
      </c>
      <c r="B4404" t="s">
        <v>63</v>
      </c>
      <c r="C4404">
        <v>4</v>
      </c>
      <c r="D4404">
        <v>2</v>
      </c>
      <c r="E4404">
        <v>1</v>
      </c>
      <c r="F4404" s="15">
        <v>46167</v>
      </c>
      <c r="G4404" t="s">
        <v>544</v>
      </c>
      <c r="H4404">
        <v>4</v>
      </c>
      <c r="I4404">
        <v>2026</v>
      </c>
      <c r="J4404">
        <v>5</v>
      </c>
      <c r="K4404" t="s">
        <v>87</v>
      </c>
      <c r="L4404" t="s">
        <v>20</v>
      </c>
      <c r="M4404" t="s">
        <v>63</v>
      </c>
      <c r="N4404" t="b">
        <v>0</v>
      </c>
      <c r="O4404">
        <v>0</v>
      </c>
      <c r="P4404">
        <v>0</v>
      </c>
      <c r="Q4404">
        <v>1</v>
      </c>
      <c r="R4404">
        <v>0</v>
      </c>
    </row>
    <row r="4405" spans="1:18" x14ac:dyDescent="0.25">
      <c r="A4405" t="s">
        <v>351</v>
      </c>
      <c r="B4405" t="s">
        <v>63</v>
      </c>
      <c r="C4405">
        <v>4</v>
      </c>
      <c r="D4405">
        <v>2</v>
      </c>
      <c r="E4405">
        <v>1</v>
      </c>
      <c r="F4405" s="15">
        <v>46167</v>
      </c>
      <c r="G4405" t="s">
        <v>544</v>
      </c>
      <c r="H4405">
        <v>4</v>
      </c>
      <c r="I4405">
        <v>2026</v>
      </c>
      <c r="J4405">
        <v>5</v>
      </c>
      <c r="K4405" t="s">
        <v>87</v>
      </c>
      <c r="L4405" t="s">
        <v>17</v>
      </c>
      <c r="M4405" t="s">
        <v>63</v>
      </c>
      <c r="N4405" t="b">
        <v>0</v>
      </c>
      <c r="O4405">
        <v>0</v>
      </c>
      <c r="P4405">
        <v>0</v>
      </c>
      <c r="Q4405">
        <v>1</v>
      </c>
      <c r="R4405">
        <v>0</v>
      </c>
    </row>
    <row r="4406" spans="1:18" x14ac:dyDescent="0.25">
      <c r="A4406" t="s">
        <v>52</v>
      </c>
      <c r="B4406" t="s">
        <v>6</v>
      </c>
      <c r="C4406">
        <v>1</v>
      </c>
      <c r="D4406">
        <v>3</v>
      </c>
      <c r="E4406">
        <v>1</v>
      </c>
      <c r="F4406" s="15">
        <v>46167</v>
      </c>
      <c r="G4406" t="s">
        <v>545</v>
      </c>
      <c r="H4406">
        <v>4</v>
      </c>
      <c r="I4406">
        <v>2026</v>
      </c>
      <c r="J4406">
        <v>5</v>
      </c>
      <c r="K4406" t="s">
        <v>87</v>
      </c>
      <c r="L4406" t="s">
        <v>13</v>
      </c>
      <c r="M4406" t="s">
        <v>8</v>
      </c>
      <c r="N4406" t="b">
        <v>0</v>
      </c>
      <c r="O4406">
        <v>0</v>
      </c>
      <c r="P4406">
        <v>1</v>
      </c>
      <c r="Q4406">
        <v>0</v>
      </c>
      <c r="R4406">
        <v>1</v>
      </c>
    </row>
    <row r="4407" spans="1:18" x14ac:dyDescent="0.25">
      <c r="A4407" t="s">
        <v>52</v>
      </c>
      <c r="B4407" t="s">
        <v>6</v>
      </c>
      <c r="C4407">
        <v>1</v>
      </c>
      <c r="D4407">
        <v>3</v>
      </c>
      <c r="E4407">
        <v>1</v>
      </c>
      <c r="F4407" s="15">
        <v>46167</v>
      </c>
      <c r="G4407" t="s">
        <v>545</v>
      </c>
      <c r="H4407">
        <v>4</v>
      </c>
      <c r="I4407">
        <v>2026</v>
      </c>
      <c r="J4407">
        <v>5</v>
      </c>
      <c r="K4407" t="s">
        <v>87</v>
      </c>
      <c r="L4407" t="s">
        <v>14</v>
      </c>
      <c r="M4407" t="s">
        <v>6</v>
      </c>
      <c r="N4407" t="b">
        <v>0</v>
      </c>
      <c r="O4407">
        <v>0</v>
      </c>
      <c r="P4407">
        <v>1</v>
      </c>
      <c r="Q4407">
        <v>0</v>
      </c>
      <c r="R4407">
        <v>0</v>
      </c>
    </row>
    <row r="4408" spans="1:18" x14ac:dyDescent="0.25">
      <c r="A4408" t="s">
        <v>52</v>
      </c>
      <c r="B4408" t="s">
        <v>6</v>
      </c>
      <c r="C4408">
        <v>1</v>
      </c>
      <c r="D4408">
        <v>3</v>
      </c>
      <c r="E4408">
        <v>1</v>
      </c>
      <c r="F4408" s="15">
        <v>46167</v>
      </c>
      <c r="G4408" t="s">
        <v>545</v>
      </c>
      <c r="H4408">
        <v>4</v>
      </c>
      <c r="I4408">
        <v>2026</v>
      </c>
      <c r="J4408">
        <v>5</v>
      </c>
      <c r="K4408" t="s">
        <v>87</v>
      </c>
      <c r="L4408" t="s">
        <v>405</v>
      </c>
      <c r="M4408" t="s">
        <v>6</v>
      </c>
      <c r="N4408" t="b">
        <v>0</v>
      </c>
      <c r="O4408">
        <v>0</v>
      </c>
      <c r="P4408">
        <v>1</v>
      </c>
      <c r="Q4408">
        <v>0</v>
      </c>
      <c r="R4408">
        <v>0</v>
      </c>
    </row>
    <row r="4409" spans="1:18" x14ac:dyDescent="0.25">
      <c r="A4409" t="s">
        <v>13</v>
      </c>
      <c r="B4409" t="s">
        <v>8</v>
      </c>
      <c r="C4409">
        <v>2</v>
      </c>
      <c r="D4409">
        <v>3</v>
      </c>
      <c r="E4409">
        <v>1</v>
      </c>
      <c r="F4409" s="15">
        <v>46167</v>
      </c>
      <c r="G4409" t="s">
        <v>545</v>
      </c>
      <c r="H4409">
        <v>4</v>
      </c>
      <c r="I4409">
        <v>2026</v>
      </c>
      <c r="J4409">
        <v>5</v>
      </c>
      <c r="K4409" t="s">
        <v>87</v>
      </c>
      <c r="L4409" t="s">
        <v>52</v>
      </c>
      <c r="M4409" t="s">
        <v>6</v>
      </c>
      <c r="N4409" t="b">
        <v>0</v>
      </c>
      <c r="O4409">
        <v>1</v>
      </c>
      <c r="P4409">
        <v>0</v>
      </c>
      <c r="Q4409">
        <v>0</v>
      </c>
      <c r="R4409">
        <v>0</v>
      </c>
    </row>
    <row r="4410" spans="1:18" x14ac:dyDescent="0.25">
      <c r="A4410" t="s">
        <v>13</v>
      </c>
      <c r="B4410" t="s">
        <v>8</v>
      </c>
      <c r="C4410">
        <v>2</v>
      </c>
      <c r="D4410">
        <v>3</v>
      </c>
      <c r="E4410">
        <v>1</v>
      </c>
      <c r="F4410" s="15">
        <v>46167</v>
      </c>
      <c r="G4410" t="s">
        <v>545</v>
      </c>
      <c r="H4410">
        <v>4</v>
      </c>
      <c r="I4410">
        <v>2026</v>
      </c>
      <c r="J4410">
        <v>5</v>
      </c>
      <c r="K4410" t="s">
        <v>87</v>
      </c>
      <c r="L4410" t="s">
        <v>14</v>
      </c>
      <c r="M4410" t="s">
        <v>6</v>
      </c>
      <c r="N4410" t="b">
        <v>0</v>
      </c>
      <c r="O4410">
        <v>1</v>
      </c>
      <c r="P4410">
        <v>0</v>
      </c>
      <c r="Q4410">
        <v>0</v>
      </c>
      <c r="R4410">
        <v>0</v>
      </c>
    </row>
    <row r="4411" spans="1:18" x14ac:dyDescent="0.25">
      <c r="A4411" t="s">
        <v>13</v>
      </c>
      <c r="B4411" t="s">
        <v>8</v>
      </c>
      <c r="C4411">
        <v>2</v>
      </c>
      <c r="D4411">
        <v>3</v>
      </c>
      <c r="E4411">
        <v>1</v>
      </c>
      <c r="F4411" s="15">
        <v>46167</v>
      </c>
      <c r="G4411" t="s">
        <v>545</v>
      </c>
      <c r="H4411">
        <v>4</v>
      </c>
      <c r="I4411">
        <v>2026</v>
      </c>
      <c r="J4411">
        <v>5</v>
      </c>
      <c r="K4411" t="s">
        <v>87</v>
      </c>
      <c r="L4411" t="s">
        <v>405</v>
      </c>
      <c r="M4411" t="s">
        <v>6</v>
      </c>
      <c r="N4411" t="b">
        <v>0</v>
      </c>
      <c r="O4411">
        <v>1</v>
      </c>
      <c r="P4411">
        <v>0</v>
      </c>
      <c r="Q4411">
        <v>0</v>
      </c>
      <c r="R4411">
        <v>0</v>
      </c>
    </row>
    <row r="4412" spans="1:18" x14ac:dyDescent="0.25">
      <c r="A4412" t="s">
        <v>14</v>
      </c>
      <c r="B4412" t="s">
        <v>6</v>
      </c>
      <c r="C4412">
        <v>3</v>
      </c>
      <c r="D4412">
        <v>3</v>
      </c>
      <c r="E4412">
        <v>1</v>
      </c>
      <c r="F4412" s="15">
        <v>46167</v>
      </c>
      <c r="G4412" t="s">
        <v>545</v>
      </c>
      <c r="H4412">
        <v>4</v>
      </c>
      <c r="I4412">
        <v>2026</v>
      </c>
      <c r="J4412">
        <v>5</v>
      </c>
      <c r="K4412" t="s">
        <v>87</v>
      </c>
      <c r="L4412" t="s">
        <v>52</v>
      </c>
      <c r="M4412" t="s">
        <v>6</v>
      </c>
      <c r="N4412" t="b">
        <v>0</v>
      </c>
      <c r="O4412">
        <v>0</v>
      </c>
      <c r="P4412">
        <v>1</v>
      </c>
      <c r="Q4412">
        <v>0</v>
      </c>
      <c r="R4412">
        <v>0</v>
      </c>
    </row>
    <row r="4413" spans="1:18" x14ac:dyDescent="0.25">
      <c r="A4413" t="s">
        <v>14</v>
      </c>
      <c r="B4413" t="s">
        <v>6</v>
      </c>
      <c r="C4413">
        <v>3</v>
      </c>
      <c r="D4413">
        <v>3</v>
      </c>
      <c r="E4413">
        <v>1</v>
      </c>
      <c r="F4413" s="15">
        <v>46167</v>
      </c>
      <c r="G4413" t="s">
        <v>545</v>
      </c>
      <c r="H4413">
        <v>4</v>
      </c>
      <c r="I4413">
        <v>2026</v>
      </c>
      <c r="J4413">
        <v>5</v>
      </c>
      <c r="K4413" t="s">
        <v>87</v>
      </c>
      <c r="L4413" t="s">
        <v>13</v>
      </c>
      <c r="M4413" t="s">
        <v>8</v>
      </c>
      <c r="N4413" t="b">
        <v>0</v>
      </c>
      <c r="O4413">
        <v>0</v>
      </c>
      <c r="P4413">
        <v>1</v>
      </c>
      <c r="Q4413">
        <v>0</v>
      </c>
      <c r="R4413">
        <v>1</v>
      </c>
    </row>
    <row r="4414" spans="1:18" x14ac:dyDescent="0.25">
      <c r="A4414" t="s">
        <v>14</v>
      </c>
      <c r="B4414" t="s">
        <v>6</v>
      </c>
      <c r="C4414">
        <v>3</v>
      </c>
      <c r="D4414">
        <v>3</v>
      </c>
      <c r="E4414">
        <v>1</v>
      </c>
      <c r="F4414" s="15">
        <v>46167</v>
      </c>
      <c r="G4414" t="s">
        <v>545</v>
      </c>
      <c r="H4414">
        <v>4</v>
      </c>
      <c r="I4414">
        <v>2026</v>
      </c>
      <c r="J4414">
        <v>5</v>
      </c>
      <c r="K4414" t="s">
        <v>87</v>
      </c>
      <c r="L4414" t="s">
        <v>405</v>
      </c>
      <c r="M4414" t="s">
        <v>6</v>
      </c>
      <c r="N4414" t="b">
        <v>0</v>
      </c>
      <c r="O4414">
        <v>0</v>
      </c>
      <c r="P4414">
        <v>1</v>
      </c>
      <c r="Q4414">
        <v>0</v>
      </c>
      <c r="R4414">
        <v>0</v>
      </c>
    </row>
    <row r="4415" spans="1:18" x14ac:dyDescent="0.25">
      <c r="A4415" t="s">
        <v>405</v>
      </c>
      <c r="B4415" t="s">
        <v>6</v>
      </c>
      <c r="C4415">
        <v>4</v>
      </c>
      <c r="D4415">
        <v>3</v>
      </c>
      <c r="E4415">
        <v>1</v>
      </c>
      <c r="F4415" s="15">
        <v>46167</v>
      </c>
      <c r="G4415" t="s">
        <v>545</v>
      </c>
      <c r="H4415">
        <v>4</v>
      </c>
      <c r="I4415">
        <v>2026</v>
      </c>
      <c r="J4415">
        <v>5</v>
      </c>
      <c r="K4415" t="s">
        <v>87</v>
      </c>
      <c r="L4415" t="s">
        <v>52</v>
      </c>
      <c r="M4415" t="s">
        <v>6</v>
      </c>
      <c r="N4415" t="b">
        <v>0</v>
      </c>
      <c r="O4415">
        <v>0</v>
      </c>
      <c r="P4415">
        <v>1</v>
      </c>
      <c r="Q4415">
        <v>0</v>
      </c>
      <c r="R4415">
        <v>0</v>
      </c>
    </row>
    <row r="4416" spans="1:18" x14ac:dyDescent="0.25">
      <c r="A4416" t="s">
        <v>405</v>
      </c>
      <c r="B4416" t="s">
        <v>6</v>
      </c>
      <c r="C4416">
        <v>4</v>
      </c>
      <c r="D4416">
        <v>3</v>
      </c>
      <c r="E4416">
        <v>1</v>
      </c>
      <c r="F4416" s="15">
        <v>46167</v>
      </c>
      <c r="G4416" t="s">
        <v>545</v>
      </c>
      <c r="H4416">
        <v>4</v>
      </c>
      <c r="I4416">
        <v>2026</v>
      </c>
      <c r="J4416">
        <v>5</v>
      </c>
      <c r="K4416" t="s">
        <v>87</v>
      </c>
      <c r="L4416" t="s">
        <v>13</v>
      </c>
      <c r="M4416" t="s">
        <v>8</v>
      </c>
      <c r="N4416" t="b">
        <v>0</v>
      </c>
      <c r="O4416">
        <v>0</v>
      </c>
      <c r="P4416">
        <v>1</v>
      </c>
      <c r="Q4416">
        <v>0</v>
      </c>
      <c r="R4416">
        <v>1</v>
      </c>
    </row>
    <row r="4417" spans="1:18" x14ac:dyDescent="0.25">
      <c r="A4417" t="s">
        <v>405</v>
      </c>
      <c r="B4417" t="s">
        <v>6</v>
      </c>
      <c r="C4417">
        <v>4</v>
      </c>
      <c r="D4417">
        <v>3</v>
      </c>
      <c r="E4417">
        <v>1</v>
      </c>
      <c r="F4417" s="15">
        <v>46167</v>
      </c>
      <c r="G4417" t="s">
        <v>545</v>
      </c>
      <c r="H4417">
        <v>4</v>
      </c>
      <c r="I4417">
        <v>2026</v>
      </c>
      <c r="J4417">
        <v>5</v>
      </c>
      <c r="K4417" t="s">
        <v>87</v>
      </c>
      <c r="L4417" t="s">
        <v>14</v>
      </c>
      <c r="M4417" t="s">
        <v>6</v>
      </c>
      <c r="N4417" t="b">
        <v>0</v>
      </c>
      <c r="O4417">
        <v>0</v>
      </c>
      <c r="P4417">
        <v>1</v>
      </c>
      <c r="Q4417">
        <v>0</v>
      </c>
      <c r="R4417">
        <v>0</v>
      </c>
    </row>
    <row r="4418" spans="1:18" x14ac:dyDescent="0.25">
      <c r="A4418" t="s">
        <v>352</v>
      </c>
      <c r="B4418" t="s">
        <v>8</v>
      </c>
      <c r="C4418">
        <v>1</v>
      </c>
      <c r="D4418">
        <v>4</v>
      </c>
      <c r="E4418">
        <v>1</v>
      </c>
      <c r="F4418" s="15">
        <v>46167</v>
      </c>
      <c r="G4418" t="s">
        <v>546</v>
      </c>
      <c r="H4418">
        <v>3</v>
      </c>
      <c r="I4418">
        <v>2026</v>
      </c>
      <c r="J4418">
        <v>5</v>
      </c>
      <c r="K4418" t="s">
        <v>87</v>
      </c>
      <c r="L4418" t="s">
        <v>19</v>
      </c>
      <c r="M4418" t="s">
        <v>6</v>
      </c>
      <c r="N4418" t="b">
        <v>0</v>
      </c>
      <c r="O4418">
        <v>1</v>
      </c>
      <c r="P4418">
        <v>0</v>
      </c>
      <c r="Q4418">
        <v>0</v>
      </c>
      <c r="R4418">
        <v>0</v>
      </c>
    </row>
    <row r="4419" spans="1:18" x14ac:dyDescent="0.25">
      <c r="A4419" t="s">
        <v>352</v>
      </c>
      <c r="B4419" t="s">
        <v>8</v>
      </c>
      <c r="C4419">
        <v>1</v>
      </c>
      <c r="D4419">
        <v>4</v>
      </c>
      <c r="E4419">
        <v>1</v>
      </c>
      <c r="F4419" s="15">
        <v>46167</v>
      </c>
      <c r="G4419" t="s">
        <v>546</v>
      </c>
      <c r="H4419">
        <v>3</v>
      </c>
      <c r="I4419">
        <v>2026</v>
      </c>
      <c r="J4419">
        <v>5</v>
      </c>
      <c r="K4419" t="s">
        <v>87</v>
      </c>
      <c r="L4419" t="s">
        <v>7</v>
      </c>
      <c r="M4419" t="s">
        <v>6</v>
      </c>
      <c r="N4419" t="b">
        <v>0</v>
      </c>
      <c r="O4419">
        <v>1</v>
      </c>
      <c r="P4419">
        <v>0</v>
      </c>
      <c r="Q4419">
        <v>0</v>
      </c>
      <c r="R4419">
        <v>0</v>
      </c>
    </row>
    <row r="4420" spans="1:18" x14ac:dyDescent="0.25">
      <c r="A4420" t="s">
        <v>19</v>
      </c>
      <c r="B4420" t="s">
        <v>6</v>
      </c>
      <c r="C4420">
        <v>2</v>
      </c>
      <c r="D4420">
        <v>4</v>
      </c>
      <c r="E4420">
        <v>1</v>
      </c>
      <c r="F4420" s="15">
        <v>46167</v>
      </c>
      <c r="G4420" t="s">
        <v>546</v>
      </c>
      <c r="H4420">
        <v>3</v>
      </c>
      <c r="I4420">
        <v>2026</v>
      </c>
      <c r="J4420">
        <v>5</v>
      </c>
      <c r="K4420" t="s">
        <v>87</v>
      </c>
      <c r="L4420" t="s">
        <v>352</v>
      </c>
      <c r="M4420" t="s">
        <v>8</v>
      </c>
      <c r="N4420" t="b">
        <v>0</v>
      </c>
      <c r="O4420">
        <v>0</v>
      </c>
      <c r="P4420">
        <v>1</v>
      </c>
      <c r="Q4420">
        <v>0</v>
      </c>
      <c r="R4420">
        <v>1</v>
      </c>
    </row>
    <row r="4421" spans="1:18" x14ac:dyDescent="0.25">
      <c r="A4421" t="s">
        <v>19</v>
      </c>
      <c r="B4421" t="s">
        <v>6</v>
      </c>
      <c r="C4421">
        <v>2</v>
      </c>
      <c r="D4421">
        <v>4</v>
      </c>
      <c r="E4421">
        <v>1</v>
      </c>
      <c r="F4421" s="15">
        <v>46167</v>
      </c>
      <c r="G4421" t="s">
        <v>546</v>
      </c>
      <c r="H4421">
        <v>3</v>
      </c>
      <c r="I4421">
        <v>2026</v>
      </c>
      <c r="J4421">
        <v>5</v>
      </c>
      <c r="K4421" t="s">
        <v>87</v>
      </c>
      <c r="L4421" t="s">
        <v>7</v>
      </c>
      <c r="M4421" t="s">
        <v>6</v>
      </c>
      <c r="N4421" t="b">
        <v>0</v>
      </c>
      <c r="O4421">
        <v>0</v>
      </c>
      <c r="P4421">
        <v>1</v>
      </c>
      <c r="Q4421">
        <v>0</v>
      </c>
      <c r="R4421">
        <v>0</v>
      </c>
    </row>
    <row r="4422" spans="1:18" x14ac:dyDescent="0.25">
      <c r="A4422" t="s">
        <v>7</v>
      </c>
      <c r="B4422" t="s">
        <v>6</v>
      </c>
      <c r="C4422">
        <v>3</v>
      </c>
      <c r="D4422">
        <v>4</v>
      </c>
      <c r="E4422">
        <v>1</v>
      </c>
      <c r="F4422" s="15">
        <v>46167</v>
      </c>
      <c r="G4422" t="s">
        <v>546</v>
      </c>
      <c r="H4422">
        <v>3</v>
      </c>
      <c r="I4422">
        <v>2026</v>
      </c>
      <c r="J4422">
        <v>5</v>
      </c>
      <c r="K4422" t="s">
        <v>87</v>
      </c>
      <c r="L4422" t="s">
        <v>352</v>
      </c>
      <c r="M4422" t="s">
        <v>8</v>
      </c>
      <c r="N4422" t="b">
        <v>0</v>
      </c>
      <c r="O4422">
        <v>0</v>
      </c>
      <c r="P4422">
        <v>1</v>
      </c>
      <c r="Q4422">
        <v>0</v>
      </c>
      <c r="R4422">
        <v>1</v>
      </c>
    </row>
    <row r="4423" spans="1:18" x14ac:dyDescent="0.25">
      <c r="A4423" t="s">
        <v>7</v>
      </c>
      <c r="B4423" t="s">
        <v>6</v>
      </c>
      <c r="C4423">
        <v>3</v>
      </c>
      <c r="D4423">
        <v>4</v>
      </c>
      <c r="E4423">
        <v>1</v>
      </c>
      <c r="F4423" s="15">
        <v>46167</v>
      </c>
      <c r="G4423" t="s">
        <v>546</v>
      </c>
      <c r="H4423">
        <v>3</v>
      </c>
      <c r="I4423">
        <v>2026</v>
      </c>
      <c r="J4423">
        <v>5</v>
      </c>
      <c r="K4423" t="s">
        <v>87</v>
      </c>
      <c r="L4423" t="s">
        <v>19</v>
      </c>
      <c r="M4423" t="s">
        <v>6</v>
      </c>
      <c r="N4423" t="b">
        <v>0</v>
      </c>
      <c r="O4423">
        <v>0</v>
      </c>
      <c r="P4423">
        <v>1</v>
      </c>
      <c r="Q4423">
        <v>0</v>
      </c>
      <c r="R4423">
        <v>0</v>
      </c>
    </row>
    <row r="4424" spans="1:18" x14ac:dyDescent="0.25">
      <c r="A4424" t="s">
        <v>325</v>
      </c>
      <c r="B4424" t="s">
        <v>8</v>
      </c>
      <c r="C4424">
        <v>1</v>
      </c>
      <c r="D4424">
        <v>1</v>
      </c>
      <c r="E4424">
        <v>2</v>
      </c>
      <c r="F4424" s="15">
        <v>46167</v>
      </c>
      <c r="G4424" t="s">
        <v>547</v>
      </c>
      <c r="H4424">
        <v>4</v>
      </c>
      <c r="I4424">
        <v>2026</v>
      </c>
      <c r="J4424">
        <v>5</v>
      </c>
      <c r="K4424" t="s">
        <v>87</v>
      </c>
      <c r="L4424" t="s">
        <v>352</v>
      </c>
      <c r="M4424" t="s">
        <v>6</v>
      </c>
      <c r="N4424" t="b">
        <v>0</v>
      </c>
      <c r="O4424">
        <v>1</v>
      </c>
      <c r="P4424">
        <v>0</v>
      </c>
      <c r="Q4424">
        <v>0</v>
      </c>
      <c r="R4424">
        <v>0</v>
      </c>
    </row>
    <row r="4425" spans="1:18" x14ac:dyDescent="0.25">
      <c r="A4425" t="s">
        <v>325</v>
      </c>
      <c r="B4425" t="s">
        <v>8</v>
      </c>
      <c r="C4425">
        <v>1</v>
      </c>
      <c r="D4425">
        <v>1</v>
      </c>
      <c r="E4425">
        <v>2</v>
      </c>
      <c r="F4425" s="15">
        <v>46167</v>
      </c>
      <c r="G4425" t="s">
        <v>547</v>
      </c>
      <c r="H4425">
        <v>4</v>
      </c>
      <c r="I4425">
        <v>2026</v>
      </c>
      <c r="J4425">
        <v>5</v>
      </c>
      <c r="K4425" t="s">
        <v>87</v>
      </c>
      <c r="L4425" t="s">
        <v>13</v>
      </c>
      <c r="M4425" t="s">
        <v>6</v>
      </c>
      <c r="N4425" t="b">
        <v>0</v>
      </c>
      <c r="O4425">
        <v>1</v>
      </c>
      <c r="P4425">
        <v>0</v>
      </c>
      <c r="Q4425">
        <v>0</v>
      </c>
      <c r="R4425">
        <v>0</v>
      </c>
    </row>
    <row r="4426" spans="1:18" x14ac:dyDescent="0.25">
      <c r="A4426" t="s">
        <v>325</v>
      </c>
      <c r="B4426" t="s">
        <v>8</v>
      </c>
      <c r="C4426">
        <v>1</v>
      </c>
      <c r="D4426">
        <v>1</v>
      </c>
      <c r="E4426">
        <v>2</v>
      </c>
      <c r="F4426" s="15">
        <v>46167</v>
      </c>
      <c r="G4426" t="s">
        <v>547</v>
      </c>
      <c r="H4426">
        <v>4</v>
      </c>
      <c r="I4426">
        <v>2026</v>
      </c>
      <c r="J4426">
        <v>5</v>
      </c>
      <c r="K4426" t="s">
        <v>87</v>
      </c>
      <c r="L4426" t="s">
        <v>20</v>
      </c>
      <c r="M4426" t="s">
        <v>6</v>
      </c>
      <c r="N4426" t="b">
        <v>0</v>
      </c>
      <c r="O4426">
        <v>1</v>
      </c>
      <c r="P4426">
        <v>0</v>
      </c>
      <c r="Q4426">
        <v>0</v>
      </c>
      <c r="R4426">
        <v>0</v>
      </c>
    </row>
    <row r="4427" spans="1:18" x14ac:dyDescent="0.25">
      <c r="A4427" t="s">
        <v>352</v>
      </c>
      <c r="B4427" t="s">
        <v>6</v>
      </c>
      <c r="C4427">
        <v>2</v>
      </c>
      <c r="D4427">
        <v>1</v>
      </c>
      <c r="E4427">
        <v>2</v>
      </c>
      <c r="F4427" s="15">
        <v>46167</v>
      </c>
      <c r="G4427" t="s">
        <v>547</v>
      </c>
      <c r="H4427">
        <v>4</v>
      </c>
      <c r="I4427">
        <v>2026</v>
      </c>
      <c r="J4427">
        <v>5</v>
      </c>
      <c r="K4427" t="s">
        <v>87</v>
      </c>
      <c r="L4427" t="s">
        <v>325</v>
      </c>
      <c r="M4427" t="s">
        <v>8</v>
      </c>
      <c r="N4427" t="b">
        <v>0</v>
      </c>
      <c r="O4427">
        <v>0</v>
      </c>
      <c r="P4427">
        <v>1</v>
      </c>
      <c r="Q4427">
        <v>0</v>
      </c>
      <c r="R4427">
        <v>1</v>
      </c>
    </row>
    <row r="4428" spans="1:18" x14ac:dyDescent="0.25">
      <c r="A4428" t="s">
        <v>352</v>
      </c>
      <c r="B4428" t="s">
        <v>6</v>
      </c>
      <c r="C4428">
        <v>2</v>
      </c>
      <c r="D4428">
        <v>1</v>
      </c>
      <c r="E4428">
        <v>2</v>
      </c>
      <c r="F4428" s="15">
        <v>46167</v>
      </c>
      <c r="G4428" t="s">
        <v>547</v>
      </c>
      <c r="H4428">
        <v>4</v>
      </c>
      <c r="I4428">
        <v>2026</v>
      </c>
      <c r="J4428">
        <v>5</v>
      </c>
      <c r="K4428" t="s">
        <v>87</v>
      </c>
      <c r="L4428" t="s">
        <v>13</v>
      </c>
      <c r="M4428" t="s">
        <v>6</v>
      </c>
      <c r="N4428" t="b">
        <v>0</v>
      </c>
      <c r="O4428">
        <v>0</v>
      </c>
      <c r="P4428">
        <v>1</v>
      </c>
      <c r="Q4428">
        <v>0</v>
      </c>
      <c r="R4428">
        <v>0</v>
      </c>
    </row>
    <row r="4429" spans="1:18" x14ac:dyDescent="0.25">
      <c r="A4429" t="s">
        <v>352</v>
      </c>
      <c r="B4429" t="s">
        <v>6</v>
      </c>
      <c r="C4429">
        <v>2</v>
      </c>
      <c r="D4429">
        <v>1</v>
      </c>
      <c r="E4429">
        <v>2</v>
      </c>
      <c r="F4429" s="15">
        <v>46167</v>
      </c>
      <c r="G4429" t="s">
        <v>547</v>
      </c>
      <c r="H4429">
        <v>4</v>
      </c>
      <c r="I4429">
        <v>2026</v>
      </c>
      <c r="J4429">
        <v>5</v>
      </c>
      <c r="K4429" t="s">
        <v>87</v>
      </c>
      <c r="L4429" t="s">
        <v>20</v>
      </c>
      <c r="M4429" t="s">
        <v>6</v>
      </c>
      <c r="N4429" t="b">
        <v>0</v>
      </c>
      <c r="O4429">
        <v>0</v>
      </c>
      <c r="P4429">
        <v>1</v>
      </c>
      <c r="Q4429">
        <v>0</v>
      </c>
      <c r="R4429">
        <v>0</v>
      </c>
    </row>
    <row r="4430" spans="1:18" x14ac:dyDescent="0.25">
      <c r="A4430" t="s">
        <v>13</v>
      </c>
      <c r="B4430" t="s">
        <v>6</v>
      </c>
      <c r="C4430">
        <v>3</v>
      </c>
      <c r="D4430">
        <v>1</v>
      </c>
      <c r="E4430">
        <v>2</v>
      </c>
      <c r="F4430" s="15">
        <v>46167</v>
      </c>
      <c r="G4430" t="s">
        <v>547</v>
      </c>
      <c r="H4430">
        <v>4</v>
      </c>
      <c r="I4430">
        <v>2026</v>
      </c>
      <c r="J4430">
        <v>5</v>
      </c>
      <c r="K4430" t="s">
        <v>87</v>
      </c>
      <c r="L4430" t="s">
        <v>325</v>
      </c>
      <c r="M4430" t="s">
        <v>8</v>
      </c>
      <c r="N4430" t="b">
        <v>0</v>
      </c>
      <c r="O4430">
        <v>0</v>
      </c>
      <c r="P4430">
        <v>1</v>
      </c>
      <c r="Q4430">
        <v>0</v>
      </c>
      <c r="R4430">
        <v>1</v>
      </c>
    </row>
    <row r="4431" spans="1:18" x14ac:dyDescent="0.25">
      <c r="A4431" t="s">
        <v>13</v>
      </c>
      <c r="B4431" t="s">
        <v>6</v>
      </c>
      <c r="C4431">
        <v>3</v>
      </c>
      <c r="D4431">
        <v>1</v>
      </c>
      <c r="E4431">
        <v>2</v>
      </c>
      <c r="F4431" s="15">
        <v>46167</v>
      </c>
      <c r="G4431" t="s">
        <v>547</v>
      </c>
      <c r="H4431">
        <v>4</v>
      </c>
      <c r="I4431">
        <v>2026</v>
      </c>
      <c r="J4431">
        <v>5</v>
      </c>
      <c r="K4431" t="s">
        <v>87</v>
      </c>
      <c r="L4431" t="s">
        <v>352</v>
      </c>
      <c r="M4431" t="s">
        <v>6</v>
      </c>
      <c r="N4431" t="b">
        <v>0</v>
      </c>
      <c r="O4431">
        <v>0</v>
      </c>
      <c r="P4431">
        <v>1</v>
      </c>
      <c r="Q4431">
        <v>0</v>
      </c>
      <c r="R4431">
        <v>0</v>
      </c>
    </row>
    <row r="4432" spans="1:18" x14ac:dyDescent="0.25">
      <c r="A4432" t="s">
        <v>13</v>
      </c>
      <c r="B4432" t="s">
        <v>6</v>
      </c>
      <c r="C4432">
        <v>3</v>
      </c>
      <c r="D4432">
        <v>1</v>
      </c>
      <c r="E4432">
        <v>2</v>
      </c>
      <c r="F4432" s="15">
        <v>46167</v>
      </c>
      <c r="G4432" t="s">
        <v>547</v>
      </c>
      <c r="H4432">
        <v>4</v>
      </c>
      <c r="I4432">
        <v>2026</v>
      </c>
      <c r="J4432">
        <v>5</v>
      </c>
      <c r="K4432" t="s">
        <v>87</v>
      </c>
      <c r="L4432" t="s">
        <v>20</v>
      </c>
      <c r="M4432" t="s">
        <v>6</v>
      </c>
      <c r="N4432" t="b">
        <v>0</v>
      </c>
      <c r="O4432">
        <v>0</v>
      </c>
      <c r="P4432">
        <v>1</v>
      </c>
      <c r="Q4432">
        <v>0</v>
      </c>
      <c r="R4432">
        <v>0</v>
      </c>
    </row>
    <row r="4433" spans="1:18" x14ac:dyDescent="0.25">
      <c r="A4433" t="s">
        <v>20</v>
      </c>
      <c r="B4433" t="s">
        <v>6</v>
      </c>
      <c r="C4433">
        <v>4</v>
      </c>
      <c r="D4433">
        <v>1</v>
      </c>
      <c r="E4433">
        <v>2</v>
      </c>
      <c r="F4433" s="15">
        <v>46167</v>
      </c>
      <c r="G4433" t="s">
        <v>547</v>
      </c>
      <c r="H4433">
        <v>4</v>
      </c>
      <c r="I4433">
        <v>2026</v>
      </c>
      <c r="J4433">
        <v>5</v>
      </c>
      <c r="K4433" t="s">
        <v>87</v>
      </c>
      <c r="L4433" t="s">
        <v>325</v>
      </c>
      <c r="M4433" t="s">
        <v>8</v>
      </c>
      <c r="N4433" t="b">
        <v>0</v>
      </c>
      <c r="O4433">
        <v>0</v>
      </c>
      <c r="P4433">
        <v>1</v>
      </c>
      <c r="Q4433">
        <v>0</v>
      </c>
      <c r="R4433">
        <v>1</v>
      </c>
    </row>
    <row r="4434" spans="1:18" x14ac:dyDescent="0.25">
      <c r="A4434" t="s">
        <v>20</v>
      </c>
      <c r="B4434" t="s">
        <v>6</v>
      </c>
      <c r="C4434">
        <v>4</v>
      </c>
      <c r="D4434">
        <v>1</v>
      </c>
      <c r="E4434">
        <v>2</v>
      </c>
      <c r="F4434" s="15">
        <v>46167</v>
      </c>
      <c r="G4434" t="s">
        <v>547</v>
      </c>
      <c r="H4434">
        <v>4</v>
      </c>
      <c r="I4434">
        <v>2026</v>
      </c>
      <c r="J4434">
        <v>5</v>
      </c>
      <c r="K4434" t="s">
        <v>87</v>
      </c>
      <c r="L4434" t="s">
        <v>352</v>
      </c>
      <c r="M4434" t="s">
        <v>6</v>
      </c>
      <c r="N4434" t="b">
        <v>0</v>
      </c>
      <c r="O4434">
        <v>0</v>
      </c>
      <c r="P4434">
        <v>1</v>
      </c>
      <c r="Q4434">
        <v>0</v>
      </c>
      <c r="R4434">
        <v>0</v>
      </c>
    </row>
    <row r="4435" spans="1:18" x14ac:dyDescent="0.25">
      <c r="A4435" t="s">
        <v>20</v>
      </c>
      <c r="B4435" t="s">
        <v>6</v>
      </c>
      <c r="C4435">
        <v>4</v>
      </c>
      <c r="D4435">
        <v>1</v>
      </c>
      <c r="E4435">
        <v>2</v>
      </c>
      <c r="F4435" s="15">
        <v>46167</v>
      </c>
      <c r="G4435" t="s">
        <v>547</v>
      </c>
      <c r="H4435">
        <v>4</v>
      </c>
      <c r="I4435">
        <v>2026</v>
      </c>
      <c r="J4435">
        <v>5</v>
      </c>
      <c r="K4435" t="s">
        <v>87</v>
      </c>
      <c r="L4435" t="s">
        <v>13</v>
      </c>
      <c r="M4435" t="s">
        <v>6</v>
      </c>
      <c r="N4435" t="b">
        <v>0</v>
      </c>
      <c r="O4435">
        <v>0</v>
      </c>
      <c r="P4435">
        <v>1</v>
      </c>
      <c r="Q4435">
        <v>0</v>
      </c>
      <c r="R4435">
        <v>0</v>
      </c>
    </row>
    <row r="4436" spans="1:18" x14ac:dyDescent="0.25">
      <c r="A4436" t="s">
        <v>7</v>
      </c>
      <c r="B4436" t="s">
        <v>63</v>
      </c>
      <c r="C4436">
        <v>1</v>
      </c>
      <c r="D4436">
        <v>2</v>
      </c>
      <c r="E4436">
        <v>2</v>
      </c>
      <c r="F4436" s="15">
        <v>46167</v>
      </c>
      <c r="G4436" t="s">
        <v>548</v>
      </c>
      <c r="H4436">
        <v>4</v>
      </c>
      <c r="I4436">
        <v>2026</v>
      </c>
      <c r="J4436">
        <v>5</v>
      </c>
      <c r="K4436" t="s">
        <v>87</v>
      </c>
      <c r="L4436" t="s">
        <v>17</v>
      </c>
      <c r="M4436" t="s">
        <v>63</v>
      </c>
      <c r="N4436" t="b">
        <v>0</v>
      </c>
      <c r="O4436">
        <v>0</v>
      </c>
      <c r="P4436">
        <v>0</v>
      </c>
      <c r="Q4436">
        <v>1</v>
      </c>
      <c r="R4436">
        <v>0</v>
      </c>
    </row>
    <row r="4437" spans="1:18" x14ac:dyDescent="0.25">
      <c r="A4437" t="s">
        <v>7</v>
      </c>
      <c r="B4437" t="s">
        <v>63</v>
      </c>
      <c r="C4437">
        <v>1</v>
      </c>
      <c r="D4437">
        <v>2</v>
      </c>
      <c r="E4437">
        <v>2</v>
      </c>
      <c r="F4437" s="15">
        <v>46167</v>
      </c>
      <c r="G4437" t="s">
        <v>548</v>
      </c>
      <c r="H4437">
        <v>4</v>
      </c>
      <c r="I4437">
        <v>2026</v>
      </c>
      <c r="J4437">
        <v>5</v>
      </c>
      <c r="K4437" t="s">
        <v>87</v>
      </c>
      <c r="L4437" t="s">
        <v>41</v>
      </c>
      <c r="M4437" t="s">
        <v>63</v>
      </c>
      <c r="N4437" t="b">
        <v>0</v>
      </c>
      <c r="O4437">
        <v>0</v>
      </c>
      <c r="P4437">
        <v>0</v>
      </c>
      <c r="Q4437">
        <v>1</v>
      </c>
      <c r="R4437">
        <v>0</v>
      </c>
    </row>
    <row r="4438" spans="1:18" x14ac:dyDescent="0.25">
      <c r="A4438" t="s">
        <v>7</v>
      </c>
      <c r="B4438" t="s">
        <v>63</v>
      </c>
      <c r="C4438">
        <v>1</v>
      </c>
      <c r="D4438">
        <v>2</v>
      </c>
      <c r="E4438">
        <v>2</v>
      </c>
      <c r="F4438" s="15">
        <v>46167</v>
      </c>
      <c r="G4438" t="s">
        <v>548</v>
      </c>
      <c r="H4438">
        <v>4</v>
      </c>
      <c r="I4438">
        <v>2026</v>
      </c>
      <c r="J4438">
        <v>5</v>
      </c>
      <c r="K4438" t="s">
        <v>87</v>
      </c>
      <c r="L4438" t="s">
        <v>14</v>
      </c>
      <c r="M4438" t="s">
        <v>63</v>
      </c>
      <c r="N4438" t="b">
        <v>0</v>
      </c>
      <c r="O4438">
        <v>0</v>
      </c>
      <c r="P4438">
        <v>0</v>
      </c>
      <c r="Q4438">
        <v>1</v>
      </c>
      <c r="R4438">
        <v>0</v>
      </c>
    </row>
    <row r="4439" spans="1:18" x14ac:dyDescent="0.25">
      <c r="A4439" t="s">
        <v>17</v>
      </c>
      <c r="B4439" t="s">
        <v>63</v>
      </c>
      <c r="C4439">
        <v>2</v>
      </c>
      <c r="D4439">
        <v>2</v>
      </c>
      <c r="E4439">
        <v>2</v>
      </c>
      <c r="F4439" s="15">
        <v>46167</v>
      </c>
      <c r="G4439" t="s">
        <v>548</v>
      </c>
      <c r="H4439">
        <v>4</v>
      </c>
      <c r="I4439">
        <v>2026</v>
      </c>
      <c r="J4439">
        <v>5</v>
      </c>
      <c r="K4439" t="s">
        <v>87</v>
      </c>
      <c r="L4439" t="s">
        <v>7</v>
      </c>
      <c r="M4439" t="s">
        <v>63</v>
      </c>
      <c r="N4439" t="b">
        <v>0</v>
      </c>
      <c r="O4439">
        <v>0</v>
      </c>
      <c r="P4439">
        <v>0</v>
      </c>
      <c r="Q4439">
        <v>1</v>
      </c>
      <c r="R4439">
        <v>0</v>
      </c>
    </row>
    <row r="4440" spans="1:18" x14ac:dyDescent="0.25">
      <c r="A4440" t="s">
        <v>17</v>
      </c>
      <c r="B4440" t="s">
        <v>63</v>
      </c>
      <c r="C4440">
        <v>2</v>
      </c>
      <c r="D4440">
        <v>2</v>
      </c>
      <c r="E4440">
        <v>2</v>
      </c>
      <c r="F4440" s="15">
        <v>46167</v>
      </c>
      <c r="G4440" t="s">
        <v>548</v>
      </c>
      <c r="H4440">
        <v>4</v>
      </c>
      <c r="I4440">
        <v>2026</v>
      </c>
      <c r="J4440">
        <v>5</v>
      </c>
      <c r="K4440" t="s">
        <v>87</v>
      </c>
      <c r="L4440" t="s">
        <v>41</v>
      </c>
      <c r="M4440" t="s">
        <v>63</v>
      </c>
      <c r="N4440" t="b">
        <v>0</v>
      </c>
      <c r="O4440">
        <v>0</v>
      </c>
      <c r="P4440">
        <v>0</v>
      </c>
      <c r="Q4440">
        <v>1</v>
      </c>
      <c r="R4440">
        <v>0</v>
      </c>
    </row>
    <row r="4441" spans="1:18" x14ac:dyDescent="0.25">
      <c r="A4441" t="s">
        <v>17</v>
      </c>
      <c r="B4441" t="s">
        <v>63</v>
      </c>
      <c r="C4441">
        <v>2</v>
      </c>
      <c r="D4441">
        <v>2</v>
      </c>
      <c r="E4441">
        <v>2</v>
      </c>
      <c r="F4441" s="15">
        <v>46167</v>
      </c>
      <c r="G4441" t="s">
        <v>548</v>
      </c>
      <c r="H4441">
        <v>4</v>
      </c>
      <c r="I4441">
        <v>2026</v>
      </c>
      <c r="J4441">
        <v>5</v>
      </c>
      <c r="K4441" t="s">
        <v>87</v>
      </c>
      <c r="L4441" t="s">
        <v>14</v>
      </c>
      <c r="M4441" t="s">
        <v>63</v>
      </c>
      <c r="N4441" t="b">
        <v>0</v>
      </c>
      <c r="O4441">
        <v>0</v>
      </c>
      <c r="P4441">
        <v>0</v>
      </c>
      <c r="Q4441">
        <v>1</v>
      </c>
      <c r="R4441">
        <v>0</v>
      </c>
    </row>
    <row r="4442" spans="1:18" x14ac:dyDescent="0.25">
      <c r="A4442" t="s">
        <v>41</v>
      </c>
      <c r="B4442" t="s">
        <v>63</v>
      </c>
      <c r="C4442">
        <v>3</v>
      </c>
      <c r="D4442">
        <v>2</v>
      </c>
      <c r="E4442">
        <v>2</v>
      </c>
      <c r="F4442" s="15">
        <v>46167</v>
      </c>
      <c r="G4442" t="s">
        <v>548</v>
      </c>
      <c r="H4442">
        <v>4</v>
      </c>
      <c r="I4442">
        <v>2026</v>
      </c>
      <c r="J4442">
        <v>5</v>
      </c>
      <c r="K4442" t="s">
        <v>87</v>
      </c>
      <c r="L4442" t="s">
        <v>7</v>
      </c>
      <c r="M4442" t="s">
        <v>63</v>
      </c>
      <c r="N4442" t="b">
        <v>0</v>
      </c>
      <c r="O4442">
        <v>0</v>
      </c>
      <c r="P4442">
        <v>0</v>
      </c>
      <c r="Q4442">
        <v>1</v>
      </c>
      <c r="R4442">
        <v>0</v>
      </c>
    </row>
    <row r="4443" spans="1:18" x14ac:dyDescent="0.25">
      <c r="A4443" t="s">
        <v>41</v>
      </c>
      <c r="B4443" t="s">
        <v>63</v>
      </c>
      <c r="C4443">
        <v>3</v>
      </c>
      <c r="D4443">
        <v>2</v>
      </c>
      <c r="E4443">
        <v>2</v>
      </c>
      <c r="F4443" s="15">
        <v>46167</v>
      </c>
      <c r="G4443" t="s">
        <v>548</v>
      </c>
      <c r="H4443">
        <v>4</v>
      </c>
      <c r="I4443">
        <v>2026</v>
      </c>
      <c r="J4443">
        <v>5</v>
      </c>
      <c r="K4443" t="s">
        <v>87</v>
      </c>
      <c r="L4443" t="s">
        <v>17</v>
      </c>
      <c r="M4443" t="s">
        <v>63</v>
      </c>
      <c r="N4443" t="b">
        <v>0</v>
      </c>
      <c r="O4443">
        <v>0</v>
      </c>
      <c r="P4443">
        <v>0</v>
      </c>
      <c r="Q4443">
        <v>1</v>
      </c>
      <c r="R4443">
        <v>0</v>
      </c>
    </row>
    <row r="4444" spans="1:18" x14ac:dyDescent="0.25">
      <c r="A4444" t="s">
        <v>41</v>
      </c>
      <c r="B4444" t="s">
        <v>63</v>
      </c>
      <c r="C4444">
        <v>3</v>
      </c>
      <c r="D4444">
        <v>2</v>
      </c>
      <c r="E4444">
        <v>2</v>
      </c>
      <c r="F4444" s="15">
        <v>46167</v>
      </c>
      <c r="G4444" t="s">
        <v>548</v>
      </c>
      <c r="H4444">
        <v>4</v>
      </c>
      <c r="I4444">
        <v>2026</v>
      </c>
      <c r="J4444">
        <v>5</v>
      </c>
      <c r="K4444" t="s">
        <v>87</v>
      </c>
      <c r="L4444" t="s">
        <v>14</v>
      </c>
      <c r="M4444" t="s">
        <v>63</v>
      </c>
      <c r="N4444" t="b">
        <v>0</v>
      </c>
      <c r="O4444">
        <v>0</v>
      </c>
      <c r="P4444">
        <v>0</v>
      </c>
      <c r="Q4444">
        <v>1</v>
      </c>
      <c r="R4444">
        <v>0</v>
      </c>
    </row>
    <row r="4445" spans="1:18" x14ac:dyDescent="0.25">
      <c r="A4445" t="s">
        <v>14</v>
      </c>
      <c r="B4445" t="s">
        <v>63</v>
      </c>
      <c r="C4445">
        <v>4</v>
      </c>
      <c r="D4445">
        <v>2</v>
      </c>
      <c r="E4445">
        <v>2</v>
      </c>
      <c r="F4445" s="15">
        <v>46167</v>
      </c>
      <c r="G4445" t="s">
        <v>548</v>
      </c>
      <c r="H4445">
        <v>4</v>
      </c>
      <c r="I4445">
        <v>2026</v>
      </c>
      <c r="J4445">
        <v>5</v>
      </c>
      <c r="K4445" t="s">
        <v>87</v>
      </c>
      <c r="L4445" t="s">
        <v>7</v>
      </c>
      <c r="M4445" t="s">
        <v>63</v>
      </c>
      <c r="N4445" t="b">
        <v>0</v>
      </c>
      <c r="O4445">
        <v>0</v>
      </c>
      <c r="P4445">
        <v>0</v>
      </c>
      <c r="Q4445">
        <v>1</v>
      </c>
      <c r="R4445">
        <v>0</v>
      </c>
    </row>
    <row r="4446" spans="1:18" x14ac:dyDescent="0.25">
      <c r="A4446" t="s">
        <v>14</v>
      </c>
      <c r="B4446" t="s">
        <v>63</v>
      </c>
      <c r="C4446">
        <v>4</v>
      </c>
      <c r="D4446">
        <v>2</v>
      </c>
      <c r="E4446">
        <v>2</v>
      </c>
      <c r="F4446" s="15">
        <v>46167</v>
      </c>
      <c r="G4446" t="s">
        <v>548</v>
      </c>
      <c r="H4446">
        <v>4</v>
      </c>
      <c r="I4446">
        <v>2026</v>
      </c>
      <c r="J4446">
        <v>5</v>
      </c>
      <c r="K4446" t="s">
        <v>87</v>
      </c>
      <c r="L4446" t="s">
        <v>17</v>
      </c>
      <c r="M4446" t="s">
        <v>63</v>
      </c>
      <c r="N4446" t="b">
        <v>0</v>
      </c>
      <c r="O4446">
        <v>0</v>
      </c>
      <c r="P4446">
        <v>0</v>
      </c>
      <c r="Q4446">
        <v>1</v>
      </c>
      <c r="R4446">
        <v>0</v>
      </c>
    </row>
    <row r="4447" spans="1:18" x14ac:dyDescent="0.25">
      <c r="A4447" t="s">
        <v>14</v>
      </c>
      <c r="B4447" t="s">
        <v>63</v>
      </c>
      <c r="C4447">
        <v>4</v>
      </c>
      <c r="D4447">
        <v>2</v>
      </c>
      <c r="E4447">
        <v>2</v>
      </c>
      <c r="F4447" s="15">
        <v>46167</v>
      </c>
      <c r="G4447" t="s">
        <v>548</v>
      </c>
      <c r="H4447">
        <v>4</v>
      </c>
      <c r="I4447">
        <v>2026</v>
      </c>
      <c r="J4447">
        <v>5</v>
      </c>
      <c r="K4447" t="s">
        <v>87</v>
      </c>
      <c r="L4447" t="s">
        <v>41</v>
      </c>
      <c r="M4447" t="s">
        <v>63</v>
      </c>
      <c r="N4447" t="b">
        <v>0</v>
      </c>
      <c r="O4447">
        <v>0</v>
      </c>
      <c r="P4447">
        <v>0</v>
      </c>
      <c r="Q4447">
        <v>1</v>
      </c>
      <c r="R4447">
        <v>0</v>
      </c>
    </row>
    <row r="4448" spans="1:18" x14ac:dyDescent="0.25">
      <c r="A4448" t="s">
        <v>19</v>
      </c>
      <c r="B4448" t="s">
        <v>6</v>
      </c>
      <c r="C4448">
        <v>1</v>
      </c>
      <c r="D4448">
        <v>3</v>
      </c>
      <c r="E4448">
        <v>2</v>
      </c>
      <c r="F4448" s="15">
        <v>46167</v>
      </c>
      <c r="G4448" t="s">
        <v>549</v>
      </c>
      <c r="H4448">
        <v>4</v>
      </c>
      <c r="I4448">
        <v>2026</v>
      </c>
      <c r="J4448">
        <v>5</v>
      </c>
      <c r="K4448" t="s">
        <v>87</v>
      </c>
      <c r="L4448" t="s">
        <v>540</v>
      </c>
      <c r="M4448" t="s">
        <v>8</v>
      </c>
      <c r="N4448" t="b">
        <v>0</v>
      </c>
      <c r="O4448">
        <v>0</v>
      </c>
      <c r="P4448">
        <v>1</v>
      </c>
      <c r="Q4448">
        <v>0</v>
      </c>
      <c r="R4448">
        <v>1</v>
      </c>
    </row>
    <row r="4449" spans="1:18" x14ac:dyDescent="0.25">
      <c r="A4449" t="s">
        <v>19</v>
      </c>
      <c r="B4449" t="s">
        <v>6</v>
      </c>
      <c r="C4449">
        <v>1</v>
      </c>
      <c r="D4449">
        <v>3</v>
      </c>
      <c r="E4449">
        <v>2</v>
      </c>
      <c r="F4449" s="15">
        <v>46167</v>
      </c>
      <c r="G4449" t="s">
        <v>549</v>
      </c>
      <c r="H4449">
        <v>4</v>
      </c>
      <c r="I4449">
        <v>2026</v>
      </c>
      <c r="J4449">
        <v>5</v>
      </c>
      <c r="K4449" t="s">
        <v>87</v>
      </c>
      <c r="L4449" t="s">
        <v>405</v>
      </c>
      <c r="M4449" t="s">
        <v>6</v>
      </c>
      <c r="N4449" t="b">
        <v>0</v>
      </c>
      <c r="O4449">
        <v>0</v>
      </c>
      <c r="P4449">
        <v>1</v>
      </c>
      <c r="Q4449">
        <v>0</v>
      </c>
      <c r="R4449">
        <v>0</v>
      </c>
    </row>
    <row r="4450" spans="1:18" x14ac:dyDescent="0.25">
      <c r="A4450" t="s">
        <v>19</v>
      </c>
      <c r="B4450" t="s">
        <v>6</v>
      </c>
      <c r="C4450">
        <v>1</v>
      </c>
      <c r="D4450">
        <v>3</v>
      </c>
      <c r="E4450">
        <v>2</v>
      </c>
      <c r="F4450" s="15">
        <v>46167</v>
      </c>
      <c r="G4450" t="s">
        <v>549</v>
      </c>
      <c r="H4450">
        <v>4</v>
      </c>
      <c r="I4450">
        <v>2026</v>
      </c>
      <c r="J4450">
        <v>5</v>
      </c>
      <c r="K4450" t="s">
        <v>87</v>
      </c>
      <c r="L4450" t="s">
        <v>433</v>
      </c>
      <c r="M4450" t="s">
        <v>6</v>
      </c>
      <c r="N4450" t="b">
        <v>0</v>
      </c>
      <c r="O4450">
        <v>0</v>
      </c>
      <c r="P4450">
        <v>1</v>
      </c>
      <c r="Q4450">
        <v>0</v>
      </c>
      <c r="R4450">
        <v>0</v>
      </c>
    </row>
    <row r="4451" spans="1:18" x14ac:dyDescent="0.25">
      <c r="A4451" t="s">
        <v>540</v>
      </c>
      <c r="B4451" t="s">
        <v>8</v>
      </c>
      <c r="C4451">
        <v>2</v>
      </c>
      <c r="D4451">
        <v>3</v>
      </c>
      <c r="E4451">
        <v>2</v>
      </c>
      <c r="F4451" s="15">
        <v>46167</v>
      </c>
      <c r="G4451" t="s">
        <v>549</v>
      </c>
      <c r="H4451">
        <v>4</v>
      </c>
      <c r="I4451">
        <v>2026</v>
      </c>
      <c r="J4451">
        <v>5</v>
      </c>
      <c r="K4451" t="s">
        <v>87</v>
      </c>
      <c r="L4451" t="s">
        <v>19</v>
      </c>
      <c r="M4451" t="s">
        <v>6</v>
      </c>
      <c r="N4451" t="b">
        <v>0</v>
      </c>
      <c r="O4451">
        <v>1</v>
      </c>
      <c r="P4451">
        <v>0</v>
      </c>
      <c r="Q4451">
        <v>0</v>
      </c>
      <c r="R4451">
        <v>0</v>
      </c>
    </row>
    <row r="4452" spans="1:18" x14ac:dyDescent="0.25">
      <c r="A4452" t="s">
        <v>540</v>
      </c>
      <c r="B4452" t="s">
        <v>8</v>
      </c>
      <c r="C4452">
        <v>2</v>
      </c>
      <c r="D4452">
        <v>3</v>
      </c>
      <c r="E4452">
        <v>2</v>
      </c>
      <c r="F4452" s="15">
        <v>46167</v>
      </c>
      <c r="G4452" t="s">
        <v>549</v>
      </c>
      <c r="H4452">
        <v>4</v>
      </c>
      <c r="I4452">
        <v>2026</v>
      </c>
      <c r="J4452">
        <v>5</v>
      </c>
      <c r="K4452" t="s">
        <v>87</v>
      </c>
      <c r="L4452" t="s">
        <v>405</v>
      </c>
      <c r="M4452" t="s">
        <v>6</v>
      </c>
      <c r="N4452" t="b">
        <v>0</v>
      </c>
      <c r="O4452">
        <v>1</v>
      </c>
      <c r="P4452">
        <v>0</v>
      </c>
      <c r="Q4452">
        <v>0</v>
      </c>
      <c r="R4452">
        <v>0</v>
      </c>
    </row>
    <row r="4453" spans="1:18" x14ac:dyDescent="0.25">
      <c r="A4453" t="s">
        <v>540</v>
      </c>
      <c r="B4453" t="s">
        <v>8</v>
      </c>
      <c r="C4453">
        <v>2</v>
      </c>
      <c r="D4453">
        <v>3</v>
      </c>
      <c r="E4453">
        <v>2</v>
      </c>
      <c r="F4453" s="15">
        <v>46167</v>
      </c>
      <c r="G4453" t="s">
        <v>549</v>
      </c>
      <c r="H4453">
        <v>4</v>
      </c>
      <c r="I4453">
        <v>2026</v>
      </c>
      <c r="J4453">
        <v>5</v>
      </c>
      <c r="K4453" t="s">
        <v>87</v>
      </c>
      <c r="L4453" t="s">
        <v>433</v>
      </c>
      <c r="M4453" t="s">
        <v>6</v>
      </c>
      <c r="N4453" t="b">
        <v>0</v>
      </c>
      <c r="O4453">
        <v>1</v>
      </c>
      <c r="P4453">
        <v>0</v>
      </c>
      <c r="Q4453">
        <v>0</v>
      </c>
      <c r="R4453">
        <v>0</v>
      </c>
    </row>
    <row r="4454" spans="1:18" x14ac:dyDescent="0.25">
      <c r="A4454" t="s">
        <v>405</v>
      </c>
      <c r="B4454" t="s">
        <v>6</v>
      </c>
      <c r="C4454">
        <v>3</v>
      </c>
      <c r="D4454">
        <v>3</v>
      </c>
      <c r="E4454">
        <v>2</v>
      </c>
      <c r="F4454" s="15">
        <v>46167</v>
      </c>
      <c r="G4454" t="s">
        <v>549</v>
      </c>
      <c r="H4454">
        <v>4</v>
      </c>
      <c r="I4454">
        <v>2026</v>
      </c>
      <c r="J4454">
        <v>5</v>
      </c>
      <c r="K4454" t="s">
        <v>87</v>
      </c>
      <c r="L4454" t="s">
        <v>19</v>
      </c>
      <c r="M4454" t="s">
        <v>6</v>
      </c>
      <c r="N4454" t="b">
        <v>0</v>
      </c>
      <c r="O4454">
        <v>0</v>
      </c>
      <c r="P4454">
        <v>1</v>
      </c>
      <c r="Q4454">
        <v>0</v>
      </c>
      <c r="R4454">
        <v>0</v>
      </c>
    </row>
    <row r="4455" spans="1:18" x14ac:dyDescent="0.25">
      <c r="A4455" t="s">
        <v>405</v>
      </c>
      <c r="B4455" t="s">
        <v>6</v>
      </c>
      <c r="C4455">
        <v>3</v>
      </c>
      <c r="D4455">
        <v>3</v>
      </c>
      <c r="E4455">
        <v>2</v>
      </c>
      <c r="F4455" s="15">
        <v>46167</v>
      </c>
      <c r="G4455" t="s">
        <v>549</v>
      </c>
      <c r="H4455">
        <v>4</v>
      </c>
      <c r="I4455">
        <v>2026</v>
      </c>
      <c r="J4455">
        <v>5</v>
      </c>
      <c r="K4455" t="s">
        <v>87</v>
      </c>
      <c r="L4455" t="s">
        <v>540</v>
      </c>
      <c r="M4455" t="s">
        <v>8</v>
      </c>
      <c r="N4455" t="b">
        <v>0</v>
      </c>
      <c r="O4455">
        <v>0</v>
      </c>
      <c r="P4455">
        <v>1</v>
      </c>
      <c r="Q4455">
        <v>0</v>
      </c>
      <c r="R4455">
        <v>1</v>
      </c>
    </row>
    <row r="4456" spans="1:18" x14ac:dyDescent="0.25">
      <c r="A4456" t="s">
        <v>405</v>
      </c>
      <c r="B4456" t="s">
        <v>6</v>
      </c>
      <c r="C4456">
        <v>3</v>
      </c>
      <c r="D4456">
        <v>3</v>
      </c>
      <c r="E4456">
        <v>2</v>
      </c>
      <c r="F4456" s="15">
        <v>46167</v>
      </c>
      <c r="G4456" t="s">
        <v>549</v>
      </c>
      <c r="H4456">
        <v>4</v>
      </c>
      <c r="I4456">
        <v>2026</v>
      </c>
      <c r="J4456">
        <v>5</v>
      </c>
      <c r="K4456" t="s">
        <v>87</v>
      </c>
      <c r="L4456" t="s">
        <v>433</v>
      </c>
      <c r="M4456" t="s">
        <v>6</v>
      </c>
      <c r="N4456" t="b">
        <v>0</v>
      </c>
      <c r="O4456">
        <v>0</v>
      </c>
      <c r="P4456">
        <v>1</v>
      </c>
      <c r="Q4456">
        <v>0</v>
      </c>
      <c r="R4456">
        <v>0</v>
      </c>
    </row>
    <row r="4457" spans="1:18" x14ac:dyDescent="0.25">
      <c r="A4457" t="s">
        <v>433</v>
      </c>
      <c r="B4457" t="s">
        <v>6</v>
      </c>
      <c r="C4457">
        <v>4</v>
      </c>
      <c r="D4457">
        <v>3</v>
      </c>
      <c r="E4457">
        <v>2</v>
      </c>
      <c r="F4457" s="15">
        <v>46167</v>
      </c>
      <c r="G4457" t="s">
        <v>549</v>
      </c>
      <c r="H4457">
        <v>4</v>
      </c>
      <c r="I4457">
        <v>2026</v>
      </c>
      <c r="J4457">
        <v>5</v>
      </c>
      <c r="K4457" t="s">
        <v>87</v>
      </c>
      <c r="L4457" t="s">
        <v>19</v>
      </c>
      <c r="M4457" t="s">
        <v>6</v>
      </c>
      <c r="N4457" t="b">
        <v>0</v>
      </c>
      <c r="O4457">
        <v>0</v>
      </c>
      <c r="P4457">
        <v>1</v>
      </c>
      <c r="Q4457">
        <v>0</v>
      </c>
      <c r="R4457">
        <v>0</v>
      </c>
    </row>
    <row r="4458" spans="1:18" x14ac:dyDescent="0.25">
      <c r="A4458" t="s">
        <v>433</v>
      </c>
      <c r="B4458" t="s">
        <v>6</v>
      </c>
      <c r="C4458">
        <v>4</v>
      </c>
      <c r="D4458">
        <v>3</v>
      </c>
      <c r="E4458">
        <v>2</v>
      </c>
      <c r="F4458" s="15">
        <v>46167</v>
      </c>
      <c r="G4458" t="s">
        <v>549</v>
      </c>
      <c r="H4458">
        <v>4</v>
      </c>
      <c r="I4458">
        <v>2026</v>
      </c>
      <c r="J4458">
        <v>5</v>
      </c>
      <c r="K4458" t="s">
        <v>87</v>
      </c>
      <c r="L4458" t="s">
        <v>540</v>
      </c>
      <c r="M4458" t="s">
        <v>8</v>
      </c>
      <c r="N4458" t="b">
        <v>0</v>
      </c>
      <c r="O4458">
        <v>0</v>
      </c>
      <c r="P4458">
        <v>1</v>
      </c>
      <c r="Q4458">
        <v>0</v>
      </c>
      <c r="R4458">
        <v>1</v>
      </c>
    </row>
    <row r="4459" spans="1:18" x14ac:dyDescent="0.25">
      <c r="A4459" t="s">
        <v>433</v>
      </c>
      <c r="B4459" t="s">
        <v>6</v>
      </c>
      <c r="C4459">
        <v>4</v>
      </c>
      <c r="D4459">
        <v>3</v>
      </c>
      <c r="E4459">
        <v>2</v>
      </c>
      <c r="F4459" s="15">
        <v>46167</v>
      </c>
      <c r="G4459" t="s">
        <v>549</v>
      </c>
      <c r="H4459">
        <v>4</v>
      </c>
      <c r="I4459">
        <v>2026</v>
      </c>
      <c r="J4459">
        <v>5</v>
      </c>
      <c r="K4459" t="s">
        <v>87</v>
      </c>
      <c r="L4459" t="s">
        <v>405</v>
      </c>
      <c r="M4459" t="s">
        <v>6</v>
      </c>
      <c r="N4459" t="b">
        <v>0</v>
      </c>
      <c r="O4459">
        <v>0</v>
      </c>
      <c r="P4459">
        <v>1</v>
      </c>
      <c r="Q4459">
        <v>0</v>
      </c>
      <c r="R4459">
        <v>0</v>
      </c>
    </row>
    <row r="4460" spans="1:18" x14ac:dyDescent="0.25">
      <c r="A4460" t="s">
        <v>52</v>
      </c>
      <c r="B4460" t="s">
        <v>6</v>
      </c>
      <c r="C4460">
        <v>1</v>
      </c>
      <c r="D4460">
        <v>4</v>
      </c>
      <c r="E4460">
        <v>2</v>
      </c>
      <c r="F4460" s="15">
        <v>46167</v>
      </c>
      <c r="G4460" t="s">
        <v>550</v>
      </c>
      <c r="H4460">
        <v>3</v>
      </c>
      <c r="I4460">
        <v>2026</v>
      </c>
      <c r="J4460">
        <v>5</v>
      </c>
      <c r="K4460" t="s">
        <v>87</v>
      </c>
      <c r="L4460" t="s">
        <v>351</v>
      </c>
      <c r="M4460" t="s">
        <v>8</v>
      </c>
      <c r="N4460" t="b">
        <v>0</v>
      </c>
      <c r="O4460">
        <v>0</v>
      </c>
      <c r="P4460">
        <v>1</v>
      </c>
      <c r="Q4460">
        <v>0</v>
      </c>
      <c r="R4460">
        <v>1</v>
      </c>
    </row>
    <row r="4461" spans="1:18" x14ac:dyDescent="0.25">
      <c r="A4461" t="s">
        <v>52</v>
      </c>
      <c r="B4461" t="s">
        <v>6</v>
      </c>
      <c r="C4461">
        <v>1</v>
      </c>
      <c r="D4461">
        <v>4</v>
      </c>
      <c r="E4461">
        <v>2</v>
      </c>
      <c r="F4461" s="15">
        <v>46167</v>
      </c>
      <c r="G4461" t="s">
        <v>550</v>
      </c>
      <c r="H4461">
        <v>3</v>
      </c>
      <c r="I4461">
        <v>2026</v>
      </c>
      <c r="J4461">
        <v>5</v>
      </c>
      <c r="K4461" t="s">
        <v>87</v>
      </c>
      <c r="L4461" t="s">
        <v>10</v>
      </c>
      <c r="M4461" t="s">
        <v>6</v>
      </c>
      <c r="N4461" t="b">
        <v>0</v>
      </c>
      <c r="O4461">
        <v>0</v>
      </c>
      <c r="P4461">
        <v>1</v>
      </c>
      <c r="Q4461">
        <v>0</v>
      </c>
      <c r="R4461">
        <v>0</v>
      </c>
    </row>
    <row r="4462" spans="1:18" x14ac:dyDescent="0.25">
      <c r="A4462" t="s">
        <v>351</v>
      </c>
      <c r="B4462" t="s">
        <v>8</v>
      </c>
      <c r="C4462">
        <v>2</v>
      </c>
      <c r="D4462">
        <v>4</v>
      </c>
      <c r="E4462">
        <v>2</v>
      </c>
      <c r="F4462" s="15">
        <v>46167</v>
      </c>
      <c r="G4462" t="s">
        <v>550</v>
      </c>
      <c r="H4462">
        <v>3</v>
      </c>
      <c r="I4462">
        <v>2026</v>
      </c>
      <c r="J4462">
        <v>5</v>
      </c>
      <c r="K4462" t="s">
        <v>87</v>
      </c>
      <c r="L4462" t="s">
        <v>52</v>
      </c>
      <c r="M4462" t="s">
        <v>6</v>
      </c>
      <c r="N4462" t="b">
        <v>0</v>
      </c>
      <c r="O4462">
        <v>1</v>
      </c>
      <c r="P4462">
        <v>0</v>
      </c>
      <c r="Q4462">
        <v>0</v>
      </c>
      <c r="R4462">
        <v>0</v>
      </c>
    </row>
    <row r="4463" spans="1:18" x14ac:dyDescent="0.25">
      <c r="A4463" t="s">
        <v>351</v>
      </c>
      <c r="B4463" t="s">
        <v>8</v>
      </c>
      <c r="C4463">
        <v>2</v>
      </c>
      <c r="D4463">
        <v>4</v>
      </c>
      <c r="E4463">
        <v>2</v>
      </c>
      <c r="F4463" s="15">
        <v>46167</v>
      </c>
      <c r="G4463" t="s">
        <v>550</v>
      </c>
      <c r="H4463">
        <v>3</v>
      </c>
      <c r="I4463">
        <v>2026</v>
      </c>
      <c r="J4463">
        <v>5</v>
      </c>
      <c r="K4463" t="s">
        <v>87</v>
      </c>
      <c r="L4463" t="s">
        <v>10</v>
      </c>
      <c r="M4463" t="s">
        <v>6</v>
      </c>
      <c r="N4463" t="b">
        <v>0</v>
      </c>
      <c r="O4463">
        <v>1</v>
      </c>
      <c r="P4463">
        <v>0</v>
      </c>
      <c r="Q4463">
        <v>0</v>
      </c>
      <c r="R4463">
        <v>0</v>
      </c>
    </row>
    <row r="4464" spans="1:18" x14ac:dyDescent="0.25">
      <c r="A4464" t="s">
        <v>10</v>
      </c>
      <c r="B4464" t="s">
        <v>6</v>
      </c>
      <c r="C4464">
        <v>3</v>
      </c>
      <c r="D4464">
        <v>4</v>
      </c>
      <c r="E4464">
        <v>2</v>
      </c>
      <c r="F4464" s="15">
        <v>46167</v>
      </c>
      <c r="G4464" t="s">
        <v>550</v>
      </c>
      <c r="H4464">
        <v>3</v>
      </c>
      <c r="I4464">
        <v>2026</v>
      </c>
      <c r="J4464">
        <v>5</v>
      </c>
      <c r="K4464" t="s">
        <v>87</v>
      </c>
      <c r="L4464" t="s">
        <v>52</v>
      </c>
      <c r="M4464" t="s">
        <v>6</v>
      </c>
      <c r="N4464" t="b">
        <v>0</v>
      </c>
      <c r="O4464">
        <v>0</v>
      </c>
      <c r="P4464">
        <v>1</v>
      </c>
      <c r="Q4464">
        <v>0</v>
      </c>
      <c r="R4464">
        <v>0</v>
      </c>
    </row>
    <row r="4465" spans="1:18" x14ac:dyDescent="0.25">
      <c r="A4465" t="s">
        <v>10</v>
      </c>
      <c r="B4465" t="s">
        <v>6</v>
      </c>
      <c r="C4465">
        <v>3</v>
      </c>
      <c r="D4465">
        <v>4</v>
      </c>
      <c r="E4465">
        <v>2</v>
      </c>
      <c r="F4465" s="15">
        <v>46167</v>
      </c>
      <c r="G4465" t="s">
        <v>550</v>
      </c>
      <c r="H4465">
        <v>3</v>
      </c>
      <c r="I4465">
        <v>2026</v>
      </c>
      <c r="J4465">
        <v>5</v>
      </c>
      <c r="K4465" t="s">
        <v>87</v>
      </c>
      <c r="L4465" t="s">
        <v>351</v>
      </c>
      <c r="M4465" t="s">
        <v>8</v>
      </c>
      <c r="N4465" t="b">
        <v>0</v>
      </c>
      <c r="O4465">
        <v>0</v>
      </c>
      <c r="P4465">
        <v>1</v>
      </c>
      <c r="Q4465">
        <v>0</v>
      </c>
      <c r="R4465">
        <v>1</v>
      </c>
    </row>
    <row r="4466" spans="1:18" x14ac:dyDescent="0.25">
      <c r="A4466" t="s">
        <v>9</v>
      </c>
      <c r="B4466" t="s">
        <v>6</v>
      </c>
      <c r="C4466">
        <v>1</v>
      </c>
      <c r="D4466">
        <v>1</v>
      </c>
      <c r="E4466">
        <v>1</v>
      </c>
      <c r="F4466" s="15">
        <v>46174</v>
      </c>
      <c r="G4466" t="s">
        <v>555</v>
      </c>
      <c r="H4466">
        <v>4</v>
      </c>
      <c r="I4466">
        <v>2026</v>
      </c>
      <c r="J4466">
        <v>6</v>
      </c>
      <c r="K4466" t="s">
        <v>87</v>
      </c>
      <c r="L4466" t="s">
        <v>51</v>
      </c>
      <c r="M4466" t="s">
        <v>6</v>
      </c>
      <c r="N4466" t="b">
        <v>0</v>
      </c>
      <c r="O4466">
        <v>0</v>
      </c>
      <c r="P4466">
        <v>1</v>
      </c>
      <c r="Q4466">
        <v>0</v>
      </c>
      <c r="R4466">
        <v>0</v>
      </c>
    </row>
    <row r="4467" spans="1:18" x14ac:dyDescent="0.25">
      <c r="A4467" t="s">
        <v>9</v>
      </c>
      <c r="B4467" t="s">
        <v>6</v>
      </c>
      <c r="C4467">
        <v>1</v>
      </c>
      <c r="D4467">
        <v>1</v>
      </c>
      <c r="E4467">
        <v>1</v>
      </c>
      <c r="F4467" s="15">
        <v>46174</v>
      </c>
      <c r="G4467" t="s">
        <v>555</v>
      </c>
      <c r="H4467">
        <v>4</v>
      </c>
      <c r="I4467">
        <v>2026</v>
      </c>
      <c r="J4467">
        <v>6</v>
      </c>
      <c r="K4467" t="s">
        <v>87</v>
      </c>
      <c r="L4467" t="s">
        <v>7</v>
      </c>
      <c r="M4467" t="s">
        <v>8</v>
      </c>
      <c r="N4467" t="b">
        <v>0</v>
      </c>
      <c r="O4467">
        <v>0</v>
      </c>
      <c r="P4467">
        <v>1</v>
      </c>
      <c r="Q4467">
        <v>0</v>
      </c>
      <c r="R4467">
        <v>1</v>
      </c>
    </row>
    <row r="4468" spans="1:18" x14ac:dyDescent="0.25">
      <c r="A4468" t="s">
        <v>9</v>
      </c>
      <c r="B4468" t="s">
        <v>6</v>
      </c>
      <c r="C4468">
        <v>1</v>
      </c>
      <c r="D4468">
        <v>1</v>
      </c>
      <c r="E4468">
        <v>1</v>
      </c>
      <c r="F4468" s="15">
        <v>46174</v>
      </c>
      <c r="G4468" t="s">
        <v>555</v>
      </c>
      <c r="H4468">
        <v>4</v>
      </c>
      <c r="I4468">
        <v>2026</v>
      </c>
      <c r="J4468">
        <v>6</v>
      </c>
      <c r="K4468" t="s">
        <v>87</v>
      </c>
      <c r="L4468" t="s">
        <v>519</v>
      </c>
      <c r="M4468" t="s">
        <v>6</v>
      </c>
      <c r="N4468" t="b">
        <v>0</v>
      </c>
      <c r="O4468">
        <v>0</v>
      </c>
      <c r="P4468">
        <v>1</v>
      </c>
      <c r="Q4468">
        <v>0</v>
      </c>
      <c r="R4468">
        <v>0</v>
      </c>
    </row>
    <row r="4469" spans="1:18" x14ac:dyDescent="0.25">
      <c r="A4469" t="s">
        <v>51</v>
      </c>
      <c r="B4469" t="s">
        <v>6</v>
      </c>
      <c r="C4469">
        <v>2</v>
      </c>
      <c r="D4469">
        <v>1</v>
      </c>
      <c r="E4469">
        <v>1</v>
      </c>
      <c r="F4469" s="15">
        <v>46174</v>
      </c>
      <c r="G4469" t="s">
        <v>555</v>
      </c>
      <c r="H4469">
        <v>4</v>
      </c>
      <c r="I4469">
        <v>2026</v>
      </c>
      <c r="J4469">
        <v>6</v>
      </c>
      <c r="K4469" t="s">
        <v>87</v>
      </c>
      <c r="L4469" t="s">
        <v>9</v>
      </c>
      <c r="M4469" t="s">
        <v>6</v>
      </c>
      <c r="N4469" t="b">
        <v>0</v>
      </c>
      <c r="O4469">
        <v>0</v>
      </c>
      <c r="P4469">
        <v>1</v>
      </c>
      <c r="Q4469">
        <v>0</v>
      </c>
      <c r="R4469">
        <v>0</v>
      </c>
    </row>
    <row r="4470" spans="1:18" x14ac:dyDescent="0.25">
      <c r="A4470" t="s">
        <v>51</v>
      </c>
      <c r="B4470" t="s">
        <v>6</v>
      </c>
      <c r="C4470">
        <v>2</v>
      </c>
      <c r="D4470">
        <v>1</v>
      </c>
      <c r="E4470">
        <v>1</v>
      </c>
      <c r="F4470" s="15">
        <v>46174</v>
      </c>
      <c r="G4470" t="s">
        <v>555</v>
      </c>
      <c r="H4470">
        <v>4</v>
      </c>
      <c r="I4470">
        <v>2026</v>
      </c>
      <c r="J4470">
        <v>6</v>
      </c>
      <c r="K4470" t="s">
        <v>87</v>
      </c>
      <c r="L4470" t="s">
        <v>7</v>
      </c>
      <c r="M4470" t="s">
        <v>8</v>
      </c>
      <c r="N4470" t="b">
        <v>0</v>
      </c>
      <c r="O4470">
        <v>0</v>
      </c>
      <c r="P4470">
        <v>1</v>
      </c>
      <c r="Q4470">
        <v>0</v>
      </c>
      <c r="R4470">
        <v>1</v>
      </c>
    </row>
    <row r="4471" spans="1:18" x14ac:dyDescent="0.25">
      <c r="A4471" t="s">
        <v>51</v>
      </c>
      <c r="B4471" t="s">
        <v>6</v>
      </c>
      <c r="C4471">
        <v>2</v>
      </c>
      <c r="D4471">
        <v>1</v>
      </c>
      <c r="E4471">
        <v>1</v>
      </c>
      <c r="F4471" s="15">
        <v>46174</v>
      </c>
      <c r="G4471" t="s">
        <v>555</v>
      </c>
      <c r="H4471">
        <v>4</v>
      </c>
      <c r="I4471">
        <v>2026</v>
      </c>
      <c r="J4471">
        <v>6</v>
      </c>
      <c r="K4471" t="s">
        <v>87</v>
      </c>
      <c r="L4471" t="s">
        <v>519</v>
      </c>
      <c r="M4471" t="s">
        <v>6</v>
      </c>
      <c r="N4471" t="b">
        <v>0</v>
      </c>
      <c r="O4471">
        <v>0</v>
      </c>
      <c r="P4471">
        <v>1</v>
      </c>
      <c r="Q4471">
        <v>0</v>
      </c>
      <c r="R4471">
        <v>0</v>
      </c>
    </row>
    <row r="4472" spans="1:18" x14ac:dyDescent="0.25">
      <c r="A4472" t="s">
        <v>7</v>
      </c>
      <c r="B4472" t="s">
        <v>8</v>
      </c>
      <c r="C4472">
        <v>3</v>
      </c>
      <c r="D4472">
        <v>1</v>
      </c>
      <c r="E4472">
        <v>1</v>
      </c>
      <c r="F4472" s="15">
        <v>46174</v>
      </c>
      <c r="G4472" t="s">
        <v>555</v>
      </c>
      <c r="H4472">
        <v>4</v>
      </c>
      <c r="I4472">
        <v>2026</v>
      </c>
      <c r="J4472">
        <v>6</v>
      </c>
      <c r="K4472" t="s">
        <v>87</v>
      </c>
      <c r="L4472" t="s">
        <v>9</v>
      </c>
      <c r="M4472" t="s">
        <v>6</v>
      </c>
      <c r="N4472" t="b">
        <v>0</v>
      </c>
      <c r="O4472">
        <v>1</v>
      </c>
      <c r="P4472">
        <v>0</v>
      </c>
      <c r="Q4472">
        <v>0</v>
      </c>
      <c r="R4472">
        <v>0</v>
      </c>
    </row>
    <row r="4473" spans="1:18" x14ac:dyDescent="0.25">
      <c r="A4473" t="s">
        <v>7</v>
      </c>
      <c r="B4473" t="s">
        <v>8</v>
      </c>
      <c r="C4473">
        <v>3</v>
      </c>
      <c r="D4473">
        <v>1</v>
      </c>
      <c r="E4473">
        <v>1</v>
      </c>
      <c r="F4473" s="15">
        <v>46174</v>
      </c>
      <c r="G4473" t="s">
        <v>555</v>
      </c>
      <c r="H4473">
        <v>4</v>
      </c>
      <c r="I4473">
        <v>2026</v>
      </c>
      <c r="J4473">
        <v>6</v>
      </c>
      <c r="K4473" t="s">
        <v>87</v>
      </c>
      <c r="L4473" t="s">
        <v>51</v>
      </c>
      <c r="M4473" t="s">
        <v>6</v>
      </c>
      <c r="N4473" t="b">
        <v>0</v>
      </c>
      <c r="O4473">
        <v>1</v>
      </c>
      <c r="P4473">
        <v>0</v>
      </c>
      <c r="Q4473">
        <v>0</v>
      </c>
      <c r="R4473">
        <v>0</v>
      </c>
    </row>
    <row r="4474" spans="1:18" x14ac:dyDescent="0.25">
      <c r="A4474" t="s">
        <v>7</v>
      </c>
      <c r="B4474" t="s">
        <v>8</v>
      </c>
      <c r="C4474">
        <v>3</v>
      </c>
      <c r="D4474">
        <v>1</v>
      </c>
      <c r="E4474">
        <v>1</v>
      </c>
      <c r="F4474" s="15">
        <v>46174</v>
      </c>
      <c r="G4474" t="s">
        <v>555</v>
      </c>
      <c r="H4474">
        <v>4</v>
      </c>
      <c r="I4474">
        <v>2026</v>
      </c>
      <c r="J4474">
        <v>6</v>
      </c>
      <c r="K4474" t="s">
        <v>87</v>
      </c>
      <c r="L4474" t="s">
        <v>519</v>
      </c>
      <c r="M4474" t="s">
        <v>6</v>
      </c>
      <c r="N4474" t="b">
        <v>0</v>
      </c>
      <c r="O4474">
        <v>1</v>
      </c>
      <c r="P4474">
        <v>0</v>
      </c>
      <c r="Q4474">
        <v>0</v>
      </c>
      <c r="R4474">
        <v>0</v>
      </c>
    </row>
    <row r="4475" spans="1:18" x14ac:dyDescent="0.25">
      <c r="A4475" t="s">
        <v>519</v>
      </c>
      <c r="B4475" t="s">
        <v>6</v>
      </c>
      <c r="C4475">
        <v>4</v>
      </c>
      <c r="D4475">
        <v>1</v>
      </c>
      <c r="E4475">
        <v>1</v>
      </c>
      <c r="F4475" s="15">
        <v>46174</v>
      </c>
      <c r="G4475" t="s">
        <v>555</v>
      </c>
      <c r="H4475">
        <v>4</v>
      </c>
      <c r="I4475">
        <v>2026</v>
      </c>
      <c r="J4475">
        <v>6</v>
      </c>
      <c r="K4475" t="s">
        <v>87</v>
      </c>
      <c r="L4475" t="s">
        <v>9</v>
      </c>
      <c r="M4475" t="s">
        <v>6</v>
      </c>
      <c r="N4475" t="b">
        <v>0</v>
      </c>
      <c r="O4475">
        <v>0</v>
      </c>
      <c r="P4475">
        <v>1</v>
      </c>
      <c r="Q4475">
        <v>0</v>
      </c>
      <c r="R4475">
        <v>0</v>
      </c>
    </row>
    <row r="4476" spans="1:18" x14ac:dyDescent="0.25">
      <c r="A4476" t="s">
        <v>519</v>
      </c>
      <c r="B4476" t="s">
        <v>6</v>
      </c>
      <c r="C4476">
        <v>4</v>
      </c>
      <c r="D4476">
        <v>1</v>
      </c>
      <c r="E4476">
        <v>1</v>
      </c>
      <c r="F4476" s="15">
        <v>46174</v>
      </c>
      <c r="G4476" t="s">
        <v>555</v>
      </c>
      <c r="H4476">
        <v>4</v>
      </c>
      <c r="I4476">
        <v>2026</v>
      </c>
      <c r="J4476">
        <v>6</v>
      </c>
      <c r="K4476" t="s">
        <v>87</v>
      </c>
      <c r="L4476" t="s">
        <v>51</v>
      </c>
      <c r="M4476" t="s">
        <v>6</v>
      </c>
      <c r="N4476" t="b">
        <v>0</v>
      </c>
      <c r="O4476">
        <v>0</v>
      </c>
      <c r="P4476">
        <v>1</v>
      </c>
      <c r="Q4476">
        <v>0</v>
      </c>
      <c r="R4476">
        <v>0</v>
      </c>
    </row>
    <row r="4477" spans="1:18" x14ac:dyDescent="0.25">
      <c r="A4477" t="s">
        <v>519</v>
      </c>
      <c r="B4477" t="s">
        <v>6</v>
      </c>
      <c r="C4477">
        <v>4</v>
      </c>
      <c r="D4477">
        <v>1</v>
      </c>
      <c r="E4477">
        <v>1</v>
      </c>
      <c r="F4477" s="15">
        <v>46174</v>
      </c>
      <c r="G4477" t="s">
        <v>555</v>
      </c>
      <c r="H4477">
        <v>4</v>
      </c>
      <c r="I4477">
        <v>2026</v>
      </c>
      <c r="J4477">
        <v>6</v>
      </c>
      <c r="K4477" t="s">
        <v>87</v>
      </c>
      <c r="L4477" t="s">
        <v>7</v>
      </c>
      <c r="M4477" t="s">
        <v>8</v>
      </c>
      <c r="N4477" t="b">
        <v>0</v>
      </c>
      <c r="O4477">
        <v>0</v>
      </c>
      <c r="P4477">
        <v>1</v>
      </c>
      <c r="Q4477">
        <v>0</v>
      </c>
      <c r="R4477">
        <v>1</v>
      </c>
    </row>
    <row r="4478" spans="1:18" x14ac:dyDescent="0.25">
      <c r="A4478" t="s">
        <v>14</v>
      </c>
      <c r="B4478" t="s">
        <v>63</v>
      </c>
      <c r="C4478">
        <v>1</v>
      </c>
      <c r="D4478">
        <v>2</v>
      </c>
      <c r="E4478">
        <v>1</v>
      </c>
      <c r="F4478" s="15">
        <v>46174</v>
      </c>
      <c r="G4478" t="s">
        <v>556</v>
      </c>
      <c r="H4478">
        <v>4</v>
      </c>
      <c r="I4478">
        <v>2026</v>
      </c>
      <c r="J4478">
        <v>6</v>
      </c>
      <c r="K4478" t="s">
        <v>87</v>
      </c>
      <c r="L4478" t="s">
        <v>325</v>
      </c>
      <c r="M4478" t="s">
        <v>63</v>
      </c>
      <c r="N4478" t="b">
        <v>0</v>
      </c>
      <c r="O4478">
        <v>0</v>
      </c>
      <c r="P4478">
        <v>0</v>
      </c>
      <c r="Q4478">
        <v>1</v>
      </c>
      <c r="R4478">
        <v>0</v>
      </c>
    </row>
    <row r="4479" spans="1:18" x14ac:dyDescent="0.25">
      <c r="A4479" t="s">
        <v>14</v>
      </c>
      <c r="B4479" t="s">
        <v>63</v>
      </c>
      <c r="C4479">
        <v>1</v>
      </c>
      <c r="D4479">
        <v>2</v>
      </c>
      <c r="E4479">
        <v>1</v>
      </c>
      <c r="F4479" s="15">
        <v>46174</v>
      </c>
      <c r="G4479" t="s">
        <v>556</v>
      </c>
      <c r="H4479">
        <v>4</v>
      </c>
      <c r="I4479">
        <v>2026</v>
      </c>
      <c r="J4479">
        <v>6</v>
      </c>
      <c r="K4479" t="s">
        <v>87</v>
      </c>
      <c r="L4479" t="s">
        <v>352</v>
      </c>
      <c r="M4479" t="s">
        <v>63</v>
      </c>
      <c r="N4479" t="b">
        <v>0</v>
      </c>
      <c r="O4479">
        <v>0</v>
      </c>
      <c r="P4479">
        <v>0</v>
      </c>
      <c r="Q4479">
        <v>1</v>
      </c>
      <c r="R4479">
        <v>0</v>
      </c>
    </row>
    <row r="4480" spans="1:18" x14ac:dyDescent="0.25">
      <c r="A4480" t="s">
        <v>14</v>
      </c>
      <c r="B4480" t="s">
        <v>63</v>
      </c>
      <c r="C4480">
        <v>1</v>
      </c>
      <c r="D4480">
        <v>2</v>
      </c>
      <c r="E4480">
        <v>1</v>
      </c>
      <c r="F4480" s="15">
        <v>46174</v>
      </c>
      <c r="G4480" t="s">
        <v>556</v>
      </c>
      <c r="H4480">
        <v>4</v>
      </c>
      <c r="I4480">
        <v>2026</v>
      </c>
      <c r="J4480">
        <v>6</v>
      </c>
      <c r="K4480" t="s">
        <v>87</v>
      </c>
      <c r="L4480" t="s">
        <v>28</v>
      </c>
      <c r="M4480" t="s">
        <v>63</v>
      </c>
      <c r="N4480" t="b">
        <v>0</v>
      </c>
      <c r="O4480">
        <v>0</v>
      </c>
      <c r="P4480">
        <v>0</v>
      </c>
      <c r="Q4480">
        <v>1</v>
      </c>
      <c r="R4480">
        <v>0</v>
      </c>
    </row>
    <row r="4481" spans="1:18" x14ac:dyDescent="0.25">
      <c r="A4481" t="s">
        <v>325</v>
      </c>
      <c r="B4481" t="s">
        <v>63</v>
      </c>
      <c r="C4481">
        <v>2</v>
      </c>
      <c r="D4481">
        <v>2</v>
      </c>
      <c r="E4481">
        <v>1</v>
      </c>
      <c r="F4481" s="15">
        <v>46174</v>
      </c>
      <c r="G4481" t="s">
        <v>556</v>
      </c>
      <c r="H4481">
        <v>4</v>
      </c>
      <c r="I4481">
        <v>2026</v>
      </c>
      <c r="J4481">
        <v>6</v>
      </c>
      <c r="K4481" t="s">
        <v>87</v>
      </c>
      <c r="L4481" t="s">
        <v>14</v>
      </c>
      <c r="M4481" t="s">
        <v>63</v>
      </c>
      <c r="N4481" t="b">
        <v>0</v>
      </c>
      <c r="O4481">
        <v>0</v>
      </c>
      <c r="P4481">
        <v>0</v>
      </c>
      <c r="Q4481">
        <v>1</v>
      </c>
      <c r="R4481">
        <v>0</v>
      </c>
    </row>
    <row r="4482" spans="1:18" x14ac:dyDescent="0.25">
      <c r="A4482" t="s">
        <v>325</v>
      </c>
      <c r="B4482" t="s">
        <v>63</v>
      </c>
      <c r="C4482">
        <v>2</v>
      </c>
      <c r="D4482">
        <v>2</v>
      </c>
      <c r="E4482">
        <v>1</v>
      </c>
      <c r="F4482" s="15">
        <v>46174</v>
      </c>
      <c r="G4482" t="s">
        <v>556</v>
      </c>
      <c r="H4482">
        <v>4</v>
      </c>
      <c r="I4482">
        <v>2026</v>
      </c>
      <c r="J4482">
        <v>6</v>
      </c>
      <c r="K4482" t="s">
        <v>87</v>
      </c>
      <c r="L4482" t="s">
        <v>352</v>
      </c>
      <c r="M4482" t="s">
        <v>63</v>
      </c>
      <c r="N4482" t="b">
        <v>0</v>
      </c>
      <c r="O4482">
        <v>0</v>
      </c>
      <c r="P4482">
        <v>0</v>
      </c>
      <c r="Q4482">
        <v>1</v>
      </c>
      <c r="R4482">
        <v>0</v>
      </c>
    </row>
    <row r="4483" spans="1:18" x14ac:dyDescent="0.25">
      <c r="A4483" t="s">
        <v>325</v>
      </c>
      <c r="B4483" t="s">
        <v>63</v>
      </c>
      <c r="C4483">
        <v>2</v>
      </c>
      <c r="D4483">
        <v>2</v>
      </c>
      <c r="E4483">
        <v>1</v>
      </c>
      <c r="F4483" s="15">
        <v>46174</v>
      </c>
      <c r="G4483" t="s">
        <v>556</v>
      </c>
      <c r="H4483">
        <v>4</v>
      </c>
      <c r="I4483">
        <v>2026</v>
      </c>
      <c r="J4483">
        <v>6</v>
      </c>
      <c r="K4483" t="s">
        <v>87</v>
      </c>
      <c r="L4483" t="s">
        <v>28</v>
      </c>
      <c r="M4483" t="s">
        <v>63</v>
      </c>
      <c r="N4483" t="b">
        <v>0</v>
      </c>
      <c r="O4483">
        <v>0</v>
      </c>
      <c r="P4483">
        <v>0</v>
      </c>
      <c r="Q4483">
        <v>1</v>
      </c>
      <c r="R4483">
        <v>0</v>
      </c>
    </row>
    <row r="4484" spans="1:18" x14ac:dyDescent="0.25">
      <c r="A4484" t="s">
        <v>352</v>
      </c>
      <c r="B4484" t="s">
        <v>63</v>
      </c>
      <c r="C4484">
        <v>3</v>
      </c>
      <c r="D4484">
        <v>2</v>
      </c>
      <c r="E4484">
        <v>1</v>
      </c>
      <c r="F4484" s="15">
        <v>46174</v>
      </c>
      <c r="G4484" t="s">
        <v>556</v>
      </c>
      <c r="H4484">
        <v>4</v>
      </c>
      <c r="I4484">
        <v>2026</v>
      </c>
      <c r="J4484">
        <v>6</v>
      </c>
      <c r="K4484" t="s">
        <v>87</v>
      </c>
      <c r="L4484" t="s">
        <v>14</v>
      </c>
      <c r="M4484" t="s">
        <v>63</v>
      </c>
      <c r="N4484" t="b">
        <v>0</v>
      </c>
      <c r="O4484">
        <v>0</v>
      </c>
      <c r="P4484">
        <v>0</v>
      </c>
      <c r="Q4484">
        <v>1</v>
      </c>
      <c r="R4484">
        <v>0</v>
      </c>
    </row>
    <row r="4485" spans="1:18" x14ac:dyDescent="0.25">
      <c r="A4485" t="s">
        <v>352</v>
      </c>
      <c r="B4485" t="s">
        <v>63</v>
      </c>
      <c r="C4485">
        <v>3</v>
      </c>
      <c r="D4485">
        <v>2</v>
      </c>
      <c r="E4485">
        <v>1</v>
      </c>
      <c r="F4485" s="15">
        <v>46174</v>
      </c>
      <c r="G4485" t="s">
        <v>556</v>
      </c>
      <c r="H4485">
        <v>4</v>
      </c>
      <c r="I4485">
        <v>2026</v>
      </c>
      <c r="J4485">
        <v>6</v>
      </c>
      <c r="K4485" t="s">
        <v>87</v>
      </c>
      <c r="L4485" t="s">
        <v>325</v>
      </c>
      <c r="M4485" t="s">
        <v>63</v>
      </c>
      <c r="N4485" t="b">
        <v>0</v>
      </c>
      <c r="O4485">
        <v>0</v>
      </c>
      <c r="P4485">
        <v>0</v>
      </c>
      <c r="Q4485">
        <v>1</v>
      </c>
      <c r="R4485">
        <v>0</v>
      </c>
    </row>
    <row r="4486" spans="1:18" x14ac:dyDescent="0.25">
      <c r="A4486" t="s">
        <v>352</v>
      </c>
      <c r="B4486" t="s">
        <v>63</v>
      </c>
      <c r="C4486">
        <v>3</v>
      </c>
      <c r="D4486">
        <v>2</v>
      </c>
      <c r="E4486">
        <v>1</v>
      </c>
      <c r="F4486" s="15">
        <v>46174</v>
      </c>
      <c r="G4486" t="s">
        <v>556</v>
      </c>
      <c r="H4486">
        <v>4</v>
      </c>
      <c r="I4486">
        <v>2026</v>
      </c>
      <c r="J4486">
        <v>6</v>
      </c>
      <c r="K4486" t="s">
        <v>87</v>
      </c>
      <c r="L4486" t="s">
        <v>28</v>
      </c>
      <c r="M4486" t="s">
        <v>63</v>
      </c>
      <c r="N4486" t="b">
        <v>0</v>
      </c>
      <c r="O4486">
        <v>0</v>
      </c>
      <c r="P4486">
        <v>0</v>
      </c>
      <c r="Q4486">
        <v>1</v>
      </c>
      <c r="R4486">
        <v>0</v>
      </c>
    </row>
    <row r="4487" spans="1:18" x14ac:dyDescent="0.25">
      <c r="A4487" t="s">
        <v>28</v>
      </c>
      <c r="B4487" t="s">
        <v>63</v>
      </c>
      <c r="C4487">
        <v>4</v>
      </c>
      <c r="D4487">
        <v>2</v>
      </c>
      <c r="E4487">
        <v>1</v>
      </c>
      <c r="F4487" s="15">
        <v>46174</v>
      </c>
      <c r="G4487" t="s">
        <v>556</v>
      </c>
      <c r="H4487">
        <v>4</v>
      </c>
      <c r="I4487">
        <v>2026</v>
      </c>
      <c r="J4487">
        <v>6</v>
      </c>
      <c r="K4487" t="s">
        <v>87</v>
      </c>
      <c r="L4487" t="s">
        <v>14</v>
      </c>
      <c r="M4487" t="s">
        <v>63</v>
      </c>
      <c r="N4487" t="b">
        <v>0</v>
      </c>
      <c r="O4487">
        <v>0</v>
      </c>
      <c r="P4487">
        <v>0</v>
      </c>
      <c r="Q4487">
        <v>1</v>
      </c>
      <c r="R4487">
        <v>0</v>
      </c>
    </row>
    <row r="4488" spans="1:18" x14ac:dyDescent="0.25">
      <c r="A4488" t="s">
        <v>28</v>
      </c>
      <c r="B4488" t="s">
        <v>63</v>
      </c>
      <c r="C4488">
        <v>4</v>
      </c>
      <c r="D4488">
        <v>2</v>
      </c>
      <c r="E4488">
        <v>1</v>
      </c>
      <c r="F4488" s="15">
        <v>46174</v>
      </c>
      <c r="G4488" t="s">
        <v>556</v>
      </c>
      <c r="H4488">
        <v>4</v>
      </c>
      <c r="I4488">
        <v>2026</v>
      </c>
      <c r="J4488">
        <v>6</v>
      </c>
      <c r="K4488" t="s">
        <v>87</v>
      </c>
      <c r="L4488" t="s">
        <v>325</v>
      </c>
      <c r="M4488" t="s">
        <v>63</v>
      </c>
      <c r="N4488" t="b">
        <v>0</v>
      </c>
      <c r="O4488">
        <v>0</v>
      </c>
      <c r="P4488">
        <v>0</v>
      </c>
      <c r="Q4488">
        <v>1</v>
      </c>
      <c r="R4488">
        <v>0</v>
      </c>
    </row>
    <row r="4489" spans="1:18" x14ac:dyDescent="0.25">
      <c r="A4489" t="s">
        <v>28</v>
      </c>
      <c r="B4489" t="s">
        <v>63</v>
      </c>
      <c r="C4489">
        <v>4</v>
      </c>
      <c r="D4489">
        <v>2</v>
      </c>
      <c r="E4489">
        <v>1</v>
      </c>
      <c r="F4489" s="15">
        <v>46174</v>
      </c>
      <c r="G4489" t="s">
        <v>556</v>
      </c>
      <c r="H4489">
        <v>4</v>
      </c>
      <c r="I4489">
        <v>2026</v>
      </c>
      <c r="J4489">
        <v>6</v>
      </c>
      <c r="K4489" t="s">
        <v>87</v>
      </c>
      <c r="L4489" t="s">
        <v>352</v>
      </c>
      <c r="M4489" t="s">
        <v>63</v>
      </c>
      <c r="N4489" t="b">
        <v>0</v>
      </c>
      <c r="O4489">
        <v>0</v>
      </c>
      <c r="P4489">
        <v>0</v>
      </c>
      <c r="Q4489">
        <v>1</v>
      </c>
      <c r="R4489">
        <v>0</v>
      </c>
    </row>
    <row r="4490" spans="1:18" x14ac:dyDescent="0.25">
      <c r="A4490" t="s">
        <v>20</v>
      </c>
      <c r="B4490" t="s">
        <v>8</v>
      </c>
      <c r="C4490">
        <v>1</v>
      </c>
      <c r="D4490">
        <v>3</v>
      </c>
      <c r="E4490">
        <v>1</v>
      </c>
      <c r="F4490" s="15">
        <v>46174</v>
      </c>
      <c r="G4490" t="s">
        <v>557</v>
      </c>
      <c r="H4490">
        <v>4</v>
      </c>
      <c r="I4490">
        <v>2026</v>
      </c>
      <c r="J4490">
        <v>6</v>
      </c>
      <c r="K4490" t="s">
        <v>87</v>
      </c>
      <c r="L4490" t="s">
        <v>351</v>
      </c>
      <c r="M4490" t="s">
        <v>6</v>
      </c>
      <c r="N4490" t="b">
        <v>0</v>
      </c>
      <c r="O4490">
        <v>1</v>
      </c>
      <c r="P4490">
        <v>0</v>
      </c>
      <c r="Q4490">
        <v>0</v>
      </c>
      <c r="R4490">
        <v>0</v>
      </c>
    </row>
    <row r="4491" spans="1:18" x14ac:dyDescent="0.25">
      <c r="A4491" t="s">
        <v>20</v>
      </c>
      <c r="B4491" t="s">
        <v>8</v>
      </c>
      <c r="C4491">
        <v>1</v>
      </c>
      <c r="D4491">
        <v>3</v>
      </c>
      <c r="E4491">
        <v>1</v>
      </c>
      <c r="F4491" s="15">
        <v>46174</v>
      </c>
      <c r="G4491" t="s">
        <v>557</v>
      </c>
      <c r="H4491">
        <v>4</v>
      </c>
      <c r="I4491">
        <v>2026</v>
      </c>
      <c r="J4491">
        <v>6</v>
      </c>
      <c r="K4491" t="s">
        <v>87</v>
      </c>
      <c r="L4491" t="s">
        <v>17</v>
      </c>
      <c r="M4491" t="s">
        <v>6</v>
      </c>
      <c r="N4491" t="b">
        <v>0</v>
      </c>
      <c r="O4491">
        <v>1</v>
      </c>
      <c r="P4491">
        <v>0</v>
      </c>
      <c r="Q4491">
        <v>0</v>
      </c>
      <c r="R4491">
        <v>0</v>
      </c>
    </row>
    <row r="4492" spans="1:18" x14ac:dyDescent="0.25">
      <c r="A4492" t="s">
        <v>20</v>
      </c>
      <c r="B4492" t="s">
        <v>8</v>
      </c>
      <c r="C4492">
        <v>1</v>
      </c>
      <c r="D4492">
        <v>3</v>
      </c>
      <c r="E4492">
        <v>1</v>
      </c>
      <c r="F4492" s="15">
        <v>46174</v>
      </c>
      <c r="G4492" t="s">
        <v>557</v>
      </c>
      <c r="H4492">
        <v>4</v>
      </c>
      <c r="I4492">
        <v>2026</v>
      </c>
      <c r="J4492">
        <v>6</v>
      </c>
      <c r="K4492" t="s">
        <v>87</v>
      </c>
      <c r="L4492" t="s">
        <v>465</v>
      </c>
      <c r="M4492" t="s">
        <v>6</v>
      </c>
      <c r="N4492" t="b">
        <v>0</v>
      </c>
      <c r="O4492">
        <v>1</v>
      </c>
      <c r="P4492">
        <v>0</v>
      </c>
      <c r="Q4492">
        <v>0</v>
      </c>
      <c r="R4492">
        <v>0</v>
      </c>
    </row>
    <row r="4493" spans="1:18" x14ac:dyDescent="0.25">
      <c r="A4493" t="s">
        <v>351</v>
      </c>
      <c r="B4493" t="s">
        <v>6</v>
      </c>
      <c r="C4493">
        <v>2</v>
      </c>
      <c r="D4493">
        <v>3</v>
      </c>
      <c r="E4493">
        <v>1</v>
      </c>
      <c r="F4493" s="15">
        <v>46174</v>
      </c>
      <c r="G4493" t="s">
        <v>557</v>
      </c>
      <c r="H4493">
        <v>4</v>
      </c>
      <c r="I4493">
        <v>2026</v>
      </c>
      <c r="J4493">
        <v>6</v>
      </c>
      <c r="K4493" t="s">
        <v>87</v>
      </c>
      <c r="L4493" t="s">
        <v>20</v>
      </c>
      <c r="M4493" t="s">
        <v>8</v>
      </c>
      <c r="N4493" t="b">
        <v>0</v>
      </c>
      <c r="O4493">
        <v>0</v>
      </c>
      <c r="P4493">
        <v>1</v>
      </c>
      <c r="Q4493">
        <v>0</v>
      </c>
      <c r="R4493">
        <v>1</v>
      </c>
    </row>
    <row r="4494" spans="1:18" x14ac:dyDescent="0.25">
      <c r="A4494" t="s">
        <v>351</v>
      </c>
      <c r="B4494" t="s">
        <v>6</v>
      </c>
      <c r="C4494">
        <v>2</v>
      </c>
      <c r="D4494">
        <v>3</v>
      </c>
      <c r="E4494">
        <v>1</v>
      </c>
      <c r="F4494" s="15">
        <v>46174</v>
      </c>
      <c r="G4494" t="s">
        <v>557</v>
      </c>
      <c r="H4494">
        <v>4</v>
      </c>
      <c r="I4494">
        <v>2026</v>
      </c>
      <c r="J4494">
        <v>6</v>
      </c>
      <c r="K4494" t="s">
        <v>87</v>
      </c>
      <c r="L4494" t="s">
        <v>17</v>
      </c>
      <c r="M4494" t="s">
        <v>6</v>
      </c>
      <c r="N4494" t="b">
        <v>0</v>
      </c>
      <c r="O4494">
        <v>0</v>
      </c>
      <c r="P4494">
        <v>1</v>
      </c>
      <c r="Q4494">
        <v>0</v>
      </c>
      <c r="R4494">
        <v>0</v>
      </c>
    </row>
    <row r="4495" spans="1:18" x14ac:dyDescent="0.25">
      <c r="A4495" t="s">
        <v>351</v>
      </c>
      <c r="B4495" t="s">
        <v>6</v>
      </c>
      <c r="C4495">
        <v>2</v>
      </c>
      <c r="D4495">
        <v>3</v>
      </c>
      <c r="E4495">
        <v>1</v>
      </c>
      <c r="F4495" s="15">
        <v>46174</v>
      </c>
      <c r="G4495" t="s">
        <v>557</v>
      </c>
      <c r="H4495">
        <v>4</v>
      </c>
      <c r="I4495">
        <v>2026</v>
      </c>
      <c r="J4495">
        <v>6</v>
      </c>
      <c r="K4495" t="s">
        <v>87</v>
      </c>
      <c r="L4495" t="s">
        <v>465</v>
      </c>
      <c r="M4495" t="s">
        <v>6</v>
      </c>
      <c r="N4495" t="b">
        <v>0</v>
      </c>
      <c r="O4495">
        <v>0</v>
      </c>
      <c r="P4495">
        <v>1</v>
      </c>
      <c r="Q4495">
        <v>0</v>
      </c>
      <c r="R4495">
        <v>0</v>
      </c>
    </row>
    <row r="4496" spans="1:18" x14ac:dyDescent="0.25">
      <c r="A4496" t="s">
        <v>17</v>
      </c>
      <c r="B4496" t="s">
        <v>6</v>
      </c>
      <c r="C4496">
        <v>3</v>
      </c>
      <c r="D4496">
        <v>3</v>
      </c>
      <c r="E4496">
        <v>1</v>
      </c>
      <c r="F4496" s="15">
        <v>46174</v>
      </c>
      <c r="G4496" t="s">
        <v>557</v>
      </c>
      <c r="H4496">
        <v>4</v>
      </c>
      <c r="I4496">
        <v>2026</v>
      </c>
      <c r="J4496">
        <v>6</v>
      </c>
      <c r="K4496" t="s">
        <v>87</v>
      </c>
      <c r="L4496" t="s">
        <v>20</v>
      </c>
      <c r="M4496" t="s">
        <v>8</v>
      </c>
      <c r="N4496" t="b">
        <v>0</v>
      </c>
      <c r="O4496">
        <v>0</v>
      </c>
      <c r="P4496">
        <v>1</v>
      </c>
      <c r="Q4496">
        <v>0</v>
      </c>
      <c r="R4496">
        <v>1</v>
      </c>
    </row>
    <row r="4497" spans="1:18" x14ac:dyDescent="0.25">
      <c r="A4497" t="s">
        <v>17</v>
      </c>
      <c r="B4497" t="s">
        <v>6</v>
      </c>
      <c r="C4497">
        <v>3</v>
      </c>
      <c r="D4497">
        <v>3</v>
      </c>
      <c r="E4497">
        <v>1</v>
      </c>
      <c r="F4497" s="15">
        <v>46174</v>
      </c>
      <c r="G4497" t="s">
        <v>557</v>
      </c>
      <c r="H4497">
        <v>4</v>
      </c>
      <c r="I4497">
        <v>2026</v>
      </c>
      <c r="J4497">
        <v>6</v>
      </c>
      <c r="K4497" t="s">
        <v>87</v>
      </c>
      <c r="L4497" t="s">
        <v>351</v>
      </c>
      <c r="M4497" t="s">
        <v>6</v>
      </c>
      <c r="N4497" t="b">
        <v>0</v>
      </c>
      <c r="O4497">
        <v>0</v>
      </c>
      <c r="P4497">
        <v>1</v>
      </c>
      <c r="Q4497">
        <v>0</v>
      </c>
      <c r="R4497">
        <v>0</v>
      </c>
    </row>
    <row r="4498" spans="1:18" x14ac:dyDescent="0.25">
      <c r="A4498" t="s">
        <v>17</v>
      </c>
      <c r="B4498" t="s">
        <v>6</v>
      </c>
      <c r="C4498">
        <v>3</v>
      </c>
      <c r="D4498">
        <v>3</v>
      </c>
      <c r="E4498">
        <v>1</v>
      </c>
      <c r="F4498" s="15">
        <v>46174</v>
      </c>
      <c r="G4498" t="s">
        <v>557</v>
      </c>
      <c r="H4498">
        <v>4</v>
      </c>
      <c r="I4498">
        <v>2026</v>
      </c>
      <c r="J4498">
        <v>6</v>
      </c>
      <c r="K4498" t="s">
        <v>87</v>
      </c>
      <c r="L4498" t="s">
        <v>465</v>
      </c>
      <c r="M4498" t="s">
        <v>6</v>
      </c>
      <c r="N4498" t="b">
        <v>0</v>
      </c>
      <c r="O4498">
        <v>0</v>
      </c>
      <c r="P4498">
        <v>1</v>
      </c>
      <c r="Q4498">
        <v>0</v>
      </c>
      <c r="R4498">
        <v>0</v>
      </c>
    </row>
    <row r="4499" spans="1:18" x14ac:dyDescent="0.25">
      <c r="A4499" t="s">
        <v>465</v>
      </c>
      <c r="B4499" t="s">
        <v>6</v>
      </c>
      <c r="C4499">
        <v>4</v>
      </c>
      <c r="D4499">
        <v>3</v>
      </c>
      <c r="E4499">
        <v>1</v>
      </c>
      <c r="F4499" s="15">
        <v>46174</v>
      </c>
      <c r="G4499" t="s">
        <v>557</v>
      </c>
      <c r="H4499">
        <v>4</v>
      </c>
      <c r="I4499">
        <v>2026</v>
      </c>
      <c r="J4499">
        <v>6</v>
      </c>
      <c r="K4499" t="s">
        <v>87</v>
      </c>
      <c r="L4499" t="s">
        <v>20</v>
      </c>
      <c r="M4499" t="s">
        <v>8</v>
      </c>
      <c r="N4499" t="b">
        <v>0</v>
      </c>
      <c r="O4499">
        <v>0</v>
      </c>
      <c r="P4499">
        <v>1</v>
      </c>
      <c r="Q4499">
        <v>0</v>
      </c>
      <c r="R4499">
        <v>1</v>
      </c>
    </row>
    <row r="4500" spans="1:18" x14ac:dyDescent="0.25">
      <c r="A4500" t="s">
        <v>465</v>
      </c>
      <c r="B4500" t="s">
        <v>6</v>
      </c>
      <c r="C4500">
        <v>4</v>
      </c>
      <c r="D4500">
        <v>3</v>
      </c>
      <c r="E4500">
        <v>1</v>
      </c>
      <c r="F4500" s="15">
        <v>46174</v>
      </c>
      <c r="G4500" t="s">
        <v>557</v>
      </c>
      <c r="H4500">
        <v>4</v>
      </c>
      <c r="I4500">
        <v>2026</v>
      </c>
      <c r="J4500">
        <v>6</v>
      </c>
      <c r="K4500" t="s">
        <v>87</v>
      </c>
      <c r="L4500" t="s">
        <v>351</v>
      </c>
      <c r="M4500" t="s">
        <v>6</v>
      </c>
      <c r="N4500" t="b">
        <v>0</v>
      </c>
      <c r="O4500">
        <v>0</v>
      </c>
      <c r="P4500">
        <v>1</v>
      </c>
      <c r="Q4500">
        <v>0</v>
      </c>
      <c r="R4500">
        <v>0</v>
      </c>
    </row>
    <row r="4501" spans="1:18" x14ac:dyDescent="0.25">
      <c r="A4501" t="s">
        <v>465</v>
      </c>
      <c r="B4501" t="s">
        <v>6</v>
      </c>
      <c r="C4501">
        <v>4</v>
      </c>
      <c r="D4501">
        <v>3</v>
      </c>
      <c r="E4501">
        <v>1</v>
      </c>
      <c r="F4501" s="15">
        <v>46174</v>
      </c>
      <c r="G4501" t="s">
        <v>557</v>
      </c>
      <c r="H4501">
        <v>4</v>
      </c>
      <c r="I4501">
        <v>2026</v>
      </c>
      <c r="J4501">
        <v>6</v>
      </c>
      <c r="K4501" t="s">
        <v>87</v>
      </c>
      <c r="L4501" t="s">
        <v>17</v>
      </c>
      <c r="M4501" t="s">
        <v>6</v>
      </c>
      <c r="N4501" t="b">
        <v>0</v>
      </c>
      <c r="O4501">
        <v>0</v>
      </c>
      <c r="P4501">
        <v>1</v>
      </c>
      <c r="Q4501">
        <v>0</v>
      </c>
      <c r="R4501">
        <v>0</v>
      </c>
    </row>
    <row r="4502" spans="1:18" x14ac:dyDescent="0.25">
      <c r="A4502" t="s">
        <v>19</v>
      </c>
      <c r="B4502" t="s">
        <v>6</v>
      </c>
      <c r="C4502">
        <v>1</v>
      </c>
      <c r="D4502">
        <v>4</v>
      </c>
      <c r="E4502">
        <v>1</v>
      </c>
      <c r="F4502" s="15">
        <v>46174</v>
      </c>
      <c r="G4502" t="s">
        <v>558</v>
      </c>
      <c r="H4502">
        <v>3</v>
      </c>
      <c r="I4502">
        <v>2026</v>
      </c>
      <c r="J4502">
        <v>6</v>
      </c>
      <c r="K4502" t="s">
        <v>87</v>
      </c>
      <c r="L4502" t="s">
        <v>552</v>
      </c>
      <c r="M4502" t="s">
        <v>6</v>
      </c>
      <c r="N4502" t="b">
        <v>0</v>
      </c>
      <c r="O4502">
        <v>0</v>
      </c>
      <c r="P4502">
        <v>1</v>
      </c>
      <c r="Q4502">
        <v>0</v>
      </c>
      <c r="R4502">
        <v>0</v>
      </c>
    </row>
    <row r="4503" spans="1:18" x14ac:dyDescent="0.25">
      <c r="A4503" t="s">
        <v>19</v>
      </c>
      <c r="B4503" t="s">
        <v>6</v>
      </c>
      <c r="C4503">
        <v>1</v>
      </c>
      <c r="D4503">
        <v>4</v>
      </c>
      <c r="E4503">
        <v>1</v>
      </c>
      <c r="F4503" s="15">
        <v>46174</v>
      </c>
      <c r="G4503" t="s">
        <v>558</v>
      </c>
      <c r="H4503">
        <v>3</v>
      </c>
      <c r="I4503">
        <v>2026</v>
      </c>
      <c r="J4503">
        <v>6</v>
      </c>
      <c r="K4503" t="s">
        <v>87</v>
      </c>
      <c r="L4503" t="s">
        <v>326</v>
      </c>
      <c r="M4503" t="s">
        <v>8</v>
      </c>
      <c r="N4503" t="b">
        <v>0</v>
      </c>
      <c r="O4503">
        <v>0</v>
      </c>
      <c r="P4503">
        <v>1</v>
      </c>
      <c r="Q4503">
        <v>0</v>
      </c>
      <c r="R4503">
        <v>1</v>
      </c>
    </row>
    <row r="4504" spans="1:18" x14ac:dyDescent="0.25">
      <c r="A4504" t="s">
        <v>552</v>
      </c>
      <c r="B4504" t="s">
        <v>6</v>
      </c>
      <c r="C4504">
        <v>2</v>
      </c>
      <c r="D4504">
        <v>4</v>
      </c>
      <c r="E4504">
        <v>1</v>
      </c>
      <c r="F4504" s="15">
        <v>46174</v>
      </c>
      <c r="G4504" t="s">
        <v>558</v>
      </c>
      <c r="H4504">
        <v>3</v>
      </c>
      <c r="I4504">
        <v>2026</v>
      </c>
      <c r="J4504">
        <v>6</v>
      </c>
      <c r="K4504" t="s">
        <v>87</v>
      </c>
      <c r="L4504" t="s">
        <v>19</v>
      </c>
      <c r="M4504" t="s">
        <v>6</v>
      </c>
      <c r="N4504" t="b">
        <v>0</v>
      </c>
      <c r="O4504">
        <v>0</v>
      </c>
      <c r="P4504">
        <v>1</v>
      </c>
      <c r="Q4504">
        <v>0</v>
      </c>
      <c r="R4504">
        <v>0</v>
      </c>
    </row>
    <row r="4505" spans="1:18" x14ac:dyDescent="0.25">
      <c r="A4505" t="s">
        <v>552</v>
      </c>
      <c r="B4505" t="s">
        <v>6</v>
      </c>
      <c r="C4505">
        <v>2</v>
      </c>
      <c r="D4505">
        <v>4</v>
      </c>
      <c r="E4505">
        <v>1</v>
      </c>
      <c r="F4505" s="15">
        <v>46174</v>
      </c>
      <c r="G4505" t="s">
        <v>558</v>
      </c>
      <c r="H4505">
        <v>3</v>
      </c>
      <c r="I4505">
        <v>2026</v>
      </c>
      <c r="J4505">
        <v>6</v>
      </c>
      <c r="K4505" t="s">
        <v>87</v>
      </c>
      <c r="L4505" t="s">
        <v>326</v>
      </c>
      <c r="M4505" t="s">
        <v>8</v>
      </c>
      <c r="N4505" t="b">
        <v>0</v>
      </c>
      <c r="O4505">
        <v>0</v>
      </c>
      <c r="P4505">
        <v>1</v>
      </c>
      <c r="Q4505">
        <v>0</v>
      </c>
      <c r="R4505">
        <v>1</v>
      </c>
    </row>
    <row r="4506" spans="1:18" x14ac:dyDescent="0.25">
      <c r="A4506" t="s">
        <v>326</v>
      </c>
      <c r="B4506" t="s">
        <v>8</v>
      </c>
      <c r="C4506">
        <v>3</v>
      </c>
      <c r="D4506">
        <v>4</v>
      </c>
      <c r="E4506">
        <v>1</v>
      </c>
      <c r="F4506" s="15">
        <v>46174</v>
      </c>
      <c r="G4506" t="s">
        <v>558</v>
      </c>
      <c r="H4506">
        <v>3</v>
      </c>
      <c r="I4506">
        <v>2026</v>
      </c>
      <c r="J4506">
        <v>6</v>
      </c>
      <c r="K4506" t="s">
        <v>87</v>
      </c>
      <c r="L4506" t="s">
        <v>19</v>
      </c>
      <c r="M4506" t="s">
        <v>6</v>
      </c>
      <c r="N4506" t="b">
        <v>0</v>
      </c>
      <c r="O4506">
        <v>1</v>
      </c>
      <c r="P4506">
        <v>0</v>
      </c>
      <c r="Q4506">
        <v>0</v>
      </c>
      <c r="R4506">
        <v>0</v>
      </c>
    </row>
    <row r="4507" spans="1:18" x14ac:dyDescent="0.25">
      <c r="A4507" t="s">
        <v>326</v>
      </c>
      <c r="B4507" t="s">
        <v>8</v>
      </c>
      <c r="C4507">
        <v>3</v>
      </c>
      <c r="D4507">
        <v>4</v>
      </c>
      <c r="E4507">
        <v>1</v>
      </c>
      <c r="F4507" s="15">
        <v>46174</v>
      </c>
      <c r="G4507" t="s">
        <v>558</v>
      </c>
      <c r="H4507">
        <v>3</v>
      </c>
      <c r="I4507">
        <v>2026</v>
      </c>
      <c r="J4507">
        <v>6</v>
      </c>
      <c r="K4507" t="s">
        <v>87</v>
      </c>
      <c r="L4507" t="s">
        <v>552</v>
      </c>
      <c r="M4507" t="s">
        <v>6</v>
      </c>
      <c r="N4507" t="b">
        <v>0</v>
      </c>
      <c r="O4507">
        <v>1</v>
      </c>
      <c r="P4507">
        <v>0</v>
      </c>
      <c r="Q4507">
        <v>0</v>
      </c>
      <c r="R4507">
        <v>0</v>
      </c>
    </row>
    <row r="4508" spans="1:18" x14ac:dyDescent="0.25">
      <c r="A4508" t="s">
        <v>553</v>
      </c>
      <c r="B4508" t="s">
        <v>6</v>
      </c>
      <c r="C4508">
        <v>1</v>
      </c>
      <c r="D4508">
        <v>5</v>
      </c>
      <c r="E4508">
        <v>1</v>
      </c>
      <c r="F4508" s="15">
        <v>46174</v>
      </c>
      <c r="G4508" t="s">
        <v>559</v>
      </c>
      <c r="H4508">
        <v>3</v>
      </c>
      <c r="I4508">
        <v>2026</v>
      </c>
      <c r="J4508">
        <v>6</v>
      </c>
      <c r="K4508" t="s">
        <v>87</v>
      </c>
      <c r="L4508" t="s">
        <v>405</v>
      </c>
      <c r="M4508" t="s">
        <v>8</v>
      </c>
      <c r="N4508" t="b">
        <v>0</v>
      </c>
      <c r="O4508">
        <v>0</v>
      </c>
      <c r="P4508">
        <v>1</v>
      </c>
      <c r="Q4508">
        <v>0</v>
      </c>
      <c r="R4508">
        <v>1</v>
      </c>
    </row>
    <row r="4509" spans="1:18" x14ac:dyDescent="0.25">
      <c r="A4509" t="s">
        <v>553</v>
      </c>
      <c r="B4509" t="s">
        <v>6</v>
      </c>
      <c r="C4509">
        <v>1</v>
      </c>
      <c r="D4509">
        <v>5</v>
      </c>
      <c r="E4509">
        <v>1</v>
      </c>
      <c r="F4509" s="15">
        <v>46174</v>
      </c>
      <c r="G4509" t="s">
        <v>559</v>
      </c>
      <c r="H4509">
        <v>3</v>
      </c>
      <c r="I4509">
        <v>2026</v>
      </c>
      <c r="J4509">
        <v>6</v>
      </c>
      <c r="K4509" t="s">
        <v>87</v>
      </c>
      <c r="L4509" t="s">
        <v>13</v>
      </c>
      <c r="M4509" t="s">
        <v>6</v>
      </c>
      <c r="N4509" t="b">
        <v>0</v>
      </c>
      <c r="O4509">
        <v>0</v>
      </c>
      <c r="P4509">
        <v>1</v>
      </c>
      <c r="Q4509">
        <v>0</v>
      </c>
      <c r="R4509">
        <v>0</v>
      </c>
    </row>
    <row r="4510" spans="1:18" x14ac:dyDescent="0.25">
      <c r="A4510" t="s">
        <v>405</v>
      </c>
      <c r="B4510" t="s">
        <v>8</v>
      </c>
      <c r="C4510">
        <v>2</v>
      </c>
      <c r="D4510">
        <v>5</v>
      </c>
      <c r="E4510">
        <v>1</v>
      </c>
      <c r="F4510" s="15">
        <v>46174</v>
      </c>
      <c r="G4510" t="s">
        <v>559</v>
      </c>
      <c r="H4510">
        <v>3</v>
      </c>
      <c r="I4510">
        <v>2026</v>
      </c>
      <c r="J4510">
        <v>6</v>
      </c>
      <c r="K4510" t="s">
        <v>87</v>
      </c>
      <c r="L4510" t="s">
        <v>553</v>
      </c>
      <c r="M4510" t="s">
        <v>6</v>
      </c>
      <c r="N4510" t="b">
        <v>0</v>
      </c>
      <c r="O4510">
        <v>1</v>
      </c>
      <c r="P4510">
        <v>0</v>
      </c>
      <c r="Q4510">
        <v>0</v>
      </c>
      <c r="R4510">
        <v>0</v>
      </c>
    </row>
    <row r="4511" spans="1:18" x14ac:dyDescent="0.25">
      <c r="A4511" t="s">
        <v>405</v>
      </c>
      <c r="B4511" t="s">
        <v>8</v>
      </c>
      <c r="C4511">
        <v>2</v>
      </c>
      <c r="D4511">
        <v>5</v>
      </c>
      <c r="E4511">
        <v>1</v>
      </c>
      <c r="F4511" s="15">
        <v>46174</v>
      </c>
      <c r="G4511" t="s">
        <v>559</v>
      </c>
      <c r="H4511">
        <v>3</v>
      </c>
      <c r="I4511">
        <v>2026</v>
      </c>
      <c r="J4511">
        <v>6</v>
      </c>
      <c r="K4511" t="s">
        <v>87</v>
      </c>
      <c r="L4511" t="s">
        <v>13</v>
      </c>
      <c r="M4511" t="s">
        <v>6</v>
      </c>
      <c r="N4511" t="b">
        <v>0</v>
      </c>
      <c r="O4511">
        <v>1</v>
      </c>
      <c r="P4511">
        <v>0</v>
      </c>
      <c r="Q4511">
        <v>0</v>
      </c>
      <c r="R4511">
        <v>0</v>
      </c>
    </row>
    <row r="4512" spans="1:18" x14ac:dyDescent="0.25">
      <c r="A4512" t="s">
        <v>13</v>
      </c>
      <c r="B4512" t="s">
        <v>6</v>
      </c>
      <c r="C4512">
        <v>3</v>
      </c>
      <c r="D4512">
        <v>5</v>
      </c>
      <c r="E4512">
        <v>1</v>
      </c>
      <c r="F4512" s="15">
        <v>46174</v>
      </c>
      <c r="G4512" t="s">
        <v>559</v>
      </c>
      <c r="H4512">
        <v>3</v>
      </c>
      <c r="I4512">
        <v>2026</v>
      </c>
      <c r="J4512">
        <v>6</v>
      </c>
      <c r="K4512" t="s">
        <v>87</v>
      </c>
      <c r="L4512" t="s">
        <v>553</v>
      </c>
      <c r="M4512" t="s">
        <v>6</v>
      </c>
      <c r="N4512" t="b">
        <v>0</v>
      </c>
      <c r="O4512">
        <v>0</v>
      </c>
      <c r="P4512">
        <v>1</v>
      </c>
      <c r="Q4512">
        <v>0</v>
      </c>
      <c r="R4512">
        <v>0</v>
      </c>
    </row>
    <row r="4513" spans="1:18" x14ac:dyDescent="0.25">
      <c r="A4513" t="s">
        <v>13</v>
      </c>
      <c r="B4513" t="s">
        <v>6</v>
      </c>
      <c r="C4513">
        <v>3</v>
      </c>
      <c r="D4513">
        <v>5</v>
      </c>
      <c r="E4513">
        <v>1</v>
      </c>
      <c r="F4513" s="15">
        <v>46174</v>
      </c>
      <c r="G4513" t="s">
        <v>559</v>
      </c>
      <c r="H4513">
        <v>3</v>
      </c>
      <c r="I4513">
        <v>2026</v>
      </c>
      <c r="J4513">
        <v>6</v>
      </c>
      <c r="K4513" t="s">
        <v>87</v>
      </c>
      <c r="L4513" t="s">
        <v>405</v>
      </c>
      <c r="M4513" t="s">
        <v>8</v>
      </c>
      <c r="N4513" t="b">
        <v>0</v>
      </c>
      <c r="O4513">
        <v>0</v>
      </c>
      <c r="P4513">
        <v>1</v>
      </c>
      <c r="Q4513">
        <v>0</v>
      </c>
      <c r="R4513">
        <v>1</v>
      </c>
    </row>
    <row r="4514" spans="1:18" x14ac:dyDescent="0.25">
      <c r="A4514" t="s">
        <v>554</v>
      </c>
      <c r="B4514" t="s">
        <v>8</v>
      </c>
      <c r="C4514">
        <v>1</v>
      </c>
      <c r="D4514">
        <v>6</v>
      </c>
      <c r="E4514">
        <v>1</v>
      </c>
      <c r="F4514" s="15">
        <v>46174</v>
      </c>
      <c r="G4514" t="s">
        <v>560</v>
      </c>
      <c r="H4514">
        <v>3</v>
      </c>
      <c r="I4514">
        <v>2026</v>
      </c>
      <c r="J4514">
        <v>6</v>
      </c>
      <c r="K4514" t="s">
        <v>87</v>
      </c>
      <c r="L4514" t="s">
        <v>52</v>
      </c>
      <c r="M4514" t="s">
        <v>6</v>
      </c>
      <c r="N4514" t="b">
        <v>0</v>
      </c>
      <c r="O4514">
        <v>1</v>
      </c>
      <c r="P4514">
        <v>0</v>
      </c>
      <c r="Q4514">
        <v>0</v>
      </c>
      <c r="R4514">
        <v>0</v>
      </c>
    </row>
    <row r="4515" spans="1:18" x14ac:dyDescent="0.25">
      <c r="A4515" t="s">
        <v>554</v>
      </c>
      <c r="B4515" t="s">
        <v>8</v>
      </c>
      <c r="C4515">
        <v>1</v>
      </c>
      <c r="D4515">
        <v>6</v>
      </c>
      <c r="E4515">
        <v>1</v>
      </c>
      <c r="F4515" s="15">
        <v>46174</v>
      </c>
      <c r="G4515" t="s">
        <v>560</v>
      </c>
      <c r="H4515">
        <v>3</v>
      </c>
      <c r="I4515">
        <v>2026</v>
      </c>
      <c r="J4515">
        <v>6</v>
      </c>
      <c r="K4515" t="s">
        <v>87</v>
      </c>
      <c r="L4515" t="s">
        <v>363</v>
      </c>
      <c r="M4515" t="s">
        <v>6</v>
      </c>
      <c r="N4515" t="b">
        <v>0</v>
      </c>
      <c r="O4515">
        <v>1</v>
      </c>
      <c r="P4515">
        <v>0</v>
      </c>
      <c r="Q4515">
        <v>0</v>
      </c>
      <c r="R4515">
        <v>0</v>
      </c>
    </row>
    <row r="4516" spans="1:18" x14ac:dyDescent="0.25">
      <c r="A4516" t="s">
        <v>52</v>
      </c>
      <c r="B4516" t="s">
        <v>6</v>
      </c>
      <c r="C4516">
        <v>2</v>
      </c>
      <c r="D4516">
        <v>6</v>
      </c>
      <c r="E4516">
        <v>1</v>
      </c>
      <c r="F4516" s="15">
        <v>46174</v>
      </c>
      <c r="G4516" t="s">
        <v>560</v>
      </c>
      <c r="H4516">
        <v>3</v>
      </c>
      <c r="I4516">
        <v>2026</v>
      </c>
      <c r="J4516">
        <v>6</v>
      </c>
      <c r="K4516" t="s">
        <v>87</v>
      </c>
      <c r="L4516" t="s">
        <v>554</v>
      </c>
      <c r="M4516" t="s">
        <v>8</v>
      </c>
      <c r="N4516" t="b">
        <v>0</v>
      </c>
      <c r="O4516">
        <v>0</v>
      </c>
      <c r="P4516">
        <v>1</v>
      </c>
      <c r="Q4516">
        <v>0</v>
      </c>
      <c r="R4516">
        <v>1</v>
      </c>
    </row>
    <row r="4517" spans="1:18" x14ac:dyDescent="0.25">
      <c r="A4517" t="s">
        <v>52</v>
      </c>
      <c r="B4517" t="s">
        <v>6</v>
      </c>
      <c r="C4517">
        <v>2</v>
      </c>
      <c r="D4517">
        <v>6</v>
      </c>
      <c r="E4517">
        <v>1</v>
      </c>
      <c r="F4517" s="15">
        <v>46174</v>
      </c>
      <c r="G4517" t="s">
        <v>560</v>
      </c>
      <c r="H4517">
        <v>3</v>
      </c>
      <c r="I4517">
        <v>2026</v>
      </c>
      <c r="J4517">
        <v>6</v>
      </c>
      <c r="K4517" t="s">
        <v>87</v>
      </c>
      <c r="L4517" t="s">
        <v>363</v>
      </c>
      <c r="M4517" t="s">
        <v>6</v>
      </c>
      <c r="N4517" t="b">
        <v>0</v>
      </c>
      <c r="O4517">
        <v>0</v>
      </c>
      <c r="P4517">
        <v>1</v>
      </c>
      <c r="Q4517">
        <v>0</v>
      </c>
      <c r="R4517">
        <v>0</v>
      </c>
    </row>
    <row r="4518" spans="1:18" x14ac:dyDescent="0.25">
      <c r="A4518" t="s">
        <v>363</v>
      </c>
      <c r="B4518" t="s">
        <v>6</v>
      </c>
      <c r="C4518">
        <v>3</v>
      </c>
      <c r="D4518">
        <v>6</v>
      </c>
      <c r="E4518">
        <v>1</v>
      </c>
      <c r="F4518" s="15">
        <v>46174</v>
      </c>
      <c r="G4518" t="s">
        <v>560</v>
      </c>
      <c r="H4518">
        <v>3</v>
      </c>
      <c r="I4518">
        <v>2026</v>
      </c>
      <c r="J4518">
        <v>6</v>
      </c>
      <c r="K4518" t="s">
        <v>87</v>
      </c>
      <c r="L4518" t="s">
        <v>554</v>
      </c>
      <c r="M4518" t="s">
        <v>8</v>
      </c>
      <c r="N4518" t="b">
        <v>0</v>
      </c>
      <c r="O4518">
        <v>0</v>
      </c>
      <c r="P4518">
        <v>1</v>
      </c>
      <c r="Q4518">
        <v>0</v>
      </c>
      <c r="R4518">
        <v>1</v>
      </c>
    </row>
    <row r="4519" spans="1:18" x14ac:dyDescent="0.25">
      <c r="A4519" t="s">
        <v>363</v>
      </c>
      <c r="B4519" t="s">
        <v>6</v>
      </c>
      <c r="C4519">
        <v>3</v>
      </c>
      <c r="D4519">
        <v>6</v>
      </c>
      <c r="E4519">
        <v>1</v>
      </c>
      <c r="F4519" s="15">
        <v>46174</v>
      </c>
      <c r="G4519" t="s">
        <v>560</v>
      </c>
      <c r="H4519">
        <v>3</v>
      </c>
      <c r="I4519">
        <v>2026</v>
      </c>
      <c r="J4519">
        <v>6</v>
      </c>
      <c r="K4519" t="s">
        <v>87</v>
      </c>
      <c r="L4519" t="s">
        <v>52</v>
      </c>
      <c r="M4519" t="s">
        <v>6</v>
      </c>
      <c r="N4519" t="b">
        <v>0</v>
      </c>
      <c r="O4519">
        <v>0</v>
      </c>
      <c r="P4519">
        <v>1</v>
      </c>
      <c r="Q4519">
        <v>0</v>
      </c>
      <c r="R4519">
        <v>0</v>
      </c>
    </row>
    <row r="4520" spans="1:18" x14ac:dyDescent="0.25">
      <c r="A4520" t="s">
        <v>519</v>
      </c>
      <c r="B4520" t="s">
        <v>8</v>
      </c>
      <c r="C4520">
        <v>1</v>
      </c>
      <c r="D4520">
        <v>1</v>
      </c>
      <c r="E4520">
        <v>2</v>
      </c>
      <c r="F4520" s="15">
        <v>46174</v>
      </c>
      <c r="G4520" t="s">
        <v>561</v>
      </c>
      <c r="H4520">
        <v>3</v>
      </c>
      <c r="I4520">
        <v>2026</v>
      </c>
      <c r="J4520">
        <v>6</v>
      </c>
      <c r="K4520" t="s">
        <v>87</v>
      </c>
      <c r="L4520" t="s">
        <v>20</v>
      </c>
      <c r="M4520" t="s">
        <v>6</v>
      </c>
      <c r="N4520" t="b">
        <v>0</v>
      </c>
      <c r="O4520">
        <v>1</v>
      </c>
      <c r="P4520">
        <v>0</v>
      </c>
      <c r="Q4520">
        <v>0</v>
      </c>
      <c r="R4520">
        <v>0</v>
      </c>
    </row>
    <row r="4521" spans="1:18" x14ac:dyDescent="0.25">
      <c r="A4521" t="s">
        <v>519</v>
      </c>
      <c r="B4521" t="s">
        <v>8</v>
      </c>
      <c r="C4521">
        <v>1</v>
      </c>
      <c r="D4521">
        <v>1</v>
      </c>
      <c r="E4521">
        <v>2</v>
      </c>
      <c r="F4521" s="15">
        <v>46174</v>
      </c>
      <c r="G4521" t="s">
        <v>561</v>
      </c>
      <c r="H4521">
        <v>3</v>
      </c>
      <c r="I4521">
        <v>2026</v>
      </c>
      <c r="J4521">
        <v>6</v>
      </c>
      <c r="K4521" t="s">
        <v>87</v>
      </c>
      <c r="L4521" t="s">
        <v>9</v>
      </c>
      <c r="M4521" t="s">
        <v>6</v>
      </c>
      <c r="N4521" t="b">
        <v>0</v>
      </c>
      <c r="O4521">
        <v>1</v>
      </c>
      <c r="P4521">
        <v>0</v>
      </c>
      <c r="Q4521">
        <v>0</v>
      </c>
      <c r="R4521">
        <v>0</v>
      </c>
    </row>
    <row r="4522" spans="1:18" x14ac:dyDescent="0.25">
      <c r="A4522" t="s">
        <v>20</v>
      </c>
      <c r="B4522" t="s">
        <v>6</v>
      </c>
      <c r="C4522">
        <v>2</v>
      </c>
      <c r="D4522">
        <v>1</v>
      </c>
      <c r="E4522">
        <v>2</v>
      </c>
      <c r="F4522" s="15">
        <v>46174</v>
      </c>
      <c r="G4522" t="s">
        <v>561</v>
      </c>
      <c r="H4522">
        <v>3</v>
      </c>
      <c r="I4522">
        <v>2026</v>
      </c>
      <c r="J4522">
        <v>6</v>
      </c>
      <c r="K4522" t="s">
        <v>87</v>
      </c>
      <c r="L4522" t="s">
        <v>519</v>
      </c>
      <c r="M4522" t="s">
        <v>8</v>
      </c>
      <c r="N4522" t="b">
        <v>0</v>
      </c>
      <c r="O4522">
        <v>0</v>
      </c>
      <c r="P4522">
        <v>1</v>
      </c>
      <c r="Q4522">
        <v>0</v>
      </c>
      <c r="R4522">
        <v>1</v>
      </c>
    </row>
    <row r="4523" spans="1:18" x14ac:dyDescent="0.25">
      <c r="A4523" t="s">
        <v>20</v>
      </c>
      <c r="B4523" t="s">
        <v>6</v>
      </c>
      <c r="C4523">
        <v>2</v>
      </c>
      <c r="D4523">
        <v>1</v>
      </c>
      <c r="E4523">
        <v>2</v>
      </c>
      <c r="F4523" s="15">
        <v>46174</v>
      </c>
      <c r="G4523" t="s">
        <v>561</v>
      </c>
      <c r="H4523">
        <v>3</v>
      </c>
      <c r="I4523">
        <v>2026</v>
      </c>
      <c r="J4523">
        <v>6</v>
      </c>
      <c r="K4523" t="s">
        <v>87</v>
      </c>
      <c r="L4523" t="s">
        <v>9</v>
      </c>
      <c r="M4523" t="s">
        <v>6</v>
      </c>
      <c r="N4523" t="b">
        <v>0</v>
      </c>
      <c r="O4523">
        <v>0</v>
      </c>
      <c r="P4523">
        <v>1</v>
      </c>
      <c r="Q4523">
        <v>0</v>
      </c>
      <c r="R4523">
        <v>0</v>
      </c>
    </row>
    <row r="4524" spans="1:18" x14ac:dyDescent="0.25">
      <c r="A4524" t="s">
        <v>9</v>
      </c>
      <c r="B4524" t="s">
        <v>6</v>
      </c>
      <c r="C4524">
        <v>3</v>
      </c>
      <c r="D4524">
        <v>1</v>
      </c>
      <c r="E4524">
        <v>2</v>
      </c>
      <c r="F4524" s="15">
        <v>46174</v>
      </c>
      <c r="G4524" t="s">
        <v>561</v>
      </c>
      <c r="H4524">
        <v>3</v>
      </c>
      <c r="I4524">
        <v>2026</v>
      </c>
      <c r="J4524">
        <v>6</v>
      </c>
      <c r="K4524" t="s">
        <v>87</v>
      </c>
      <c r="L4524" t="s">
        <v>519</v>
      </c>
      <c r="M4524" t="s">
        <v>8</v>
      </c>
      <c r="N4524" t="b">
        <v>0</v>
      </c>
      <c r="O4524">
        <v>0</v>
      </c>
      <c r="P4524">
        <v>1</v>
      </c>
      <c r="Q4524">
        <v>0</v>
      </c>
      <c r="R4524">
        <v>1</v>
      </c>
    </row>
    <row r="4525" spans="1:18" x14ac:dyDescent="0.25">
      <c r="A4525" t="s">
        <v>9</v>
      </c>
      <c r="B4525" t="s">
        <v>6</v>
      </c>
      <c r="C4525">
        <v>3</v>
      </c>
      <c r="D4525">
        <v>1</v>
      </c>
      <c r="E4525">
        <v>2</v>
      </c>
      <c r="F4525" s="15">
        <v>46174</v>
      </c>
      <c r="G4525" t="s">
        <v>561</v>
      </c>
      <c r="H4525">
        <v>3</v>
      </c>
      <c r="I4525">
        <v>2026</v>
      </c>
      <c r="J4525">
        <v>6</v>
      </c>
      <c r="K4525" t="s">
        <v>87</v>
      </c>
      <c r="L4525" t="s">
        <v>20</v>
      </c>
      <c r="M4525" t="s">
        <v>6</v>
      </c>
      <c r="N4525" t="b">
        <v>0</v>
      </c>
      <c r="O4525">
        <v>0</v>
      </c>
      <c r="P4525">
        <v>1</v>
      </c>
      <c r="Q4525">
        <v>0</v>
      </c>
      <c r="R4525">
        <v>0</v>
      </c>
    </row>
    <row r="4526" spans="1:18" x14ac:dyDescent="0.25">
      <c r="A4526" t="s">
        <v>465</v>
      </c>
      <c r="B4526" t="s">
        <v>63</v>
      </c>
      <c r="C4526">
        <v>1</v>
      </c>
      <c r="D4526">
        <v>2</v>
      </c>
      <c r="E4526">
        <v>2</v>
      </c>
      <c r="F4526" s="15">
        <v>46174</v>
      </c>
      <c r="G4526" t="s">
        <v>562</v>
      </c>
      <c r="H4526">
        <v>3</v>
      </c>
      <c r="I4526">
        <v>2026</v>
      </c>
      <c r="J4526">
        <v>6</v>
      </c>
      <c r="K4526" t="s">
        <v>87</v>
      </c>
      <c r="L4526" t="s">
        <v>17</v>
      </c>
      <c r="M4526" t="s">
        <v>63</v>
      </c>
      <c r="N4526" t="b">
        <v>0</v>
      </c>
      <c r="O4526">
        <v>0</v>
      </c>
      <c r="P4526">
        <v>0</v>
      </c>
      <c r="Q4526">
        <v>1</v>
      </c>
      <c r="R4526">
        <v>0</v>
      </c>
    </row>
    <row r="4527" spans="1:18" x14ac:dyDescent="0.25">
      <c r="A4527" t="s">
        <v>465</v>
      </c>
      <c r="B4527" t="s">
        <v>63</v>
      </c>
      <c r="C4527">
        <v>1</v>
      </c>
      <c r="D4527">
        <v>2</v>
      </c>
      <c r="E4527">
        <v>2</v>
      </c>
      <c r="F4527" s="15">
        <v>46174</v>
      </c>
      <c r="G4527" t="s">
        <v>562</v>
      </c>
      <c r="H4527">
        <v>3</v>
      </c>
      <c r="I4527">
        <v>2026</v>
      </c>
      <c r="J4527">
        <v>6</v>
      </c>
      <c r="K4527" t="s">
        <v>87</v>
      </c>
      <c r="L4527" t="s">
        <v>51</v>
      </c>
      <c r="M4527" t="s">
        <v>63</v>
      </c>
      <c r="N4527" t="b">
        <v>0</v>
      </c>
      <c r="O4527">
        <v>0</v>
      </c>
      <c r="P4527">
        <v>0</v>
      </c>
      <c r="Q4527">
        <v>1</v>
      </c>
      <c r="R4527">
        <v>0</v>
      </c>
    </row>
    <row r="4528" spans="1:18" x14ac:dyDescent="0.25">
      <c r="A4528" t="s">
        <v>17</v>
      </c>
      <c r="B4528" t="s">
        <v>63</v>
      </c>
      <c r="C4528">
        <v>2</v>
      </c>
      <c r="D4528">
        <v>2</v>
      </c>
      <c r="E4528">
        <v>2</v>
      </c>
      <c r="F4528" s="15">
        <v>46174</v>
      </c>
      <c r="G4528" t="s">
        <v>562</v>
      </c>
      <c r="H4528">
        <v>3</v>
      </c>
      <c r="I4528">
        <v>2026</v>
      </c>
      <c r="J4528">
        <v>6</v>
      </c>
      <c r="K4528" t="s">
        <v>87</v>
      </c>
      <c r="L4528" t="s">
        <v>465</v>
      </c>
      <c r="M4528" t="s">
        <v>63</v>
      </c>
      <c r="N4528" t="b">
        <v>0</v>
      </c>
      <c r="O4528">
        <v>0</v>
      </c>
      <c r="P4528">
        <v>0</v>
      </c>
      <c r="Q4528">
        <v>1</v>
      </c>
      <c r="R4528">
        <v>0</v>
      </c>
    </row>
    <row r="4529" spans="1:18" x14ac:dyDescent="0.25">
      <c r="A4529" t="s">
        <v>17</v>
      </c>
      <c r="B4529" t="s">
        <v>63</v>
      </c>
      <c r="C4529">
        <v>2</v>
      </c>
      <c r="D4529">
        <v>2</v>
      </c>
      <c r="E4529">
        <v>2</v>
      </c>
      <c r="F4529" s="15">
        <v>46174</v>
      </c>
      <c r="G4529" t="s">
        <v>562</v>
      </c>
      <c r="H4529">
        <v>3</v>
      </c>
      <c r="I4529">
        <v>2026</v>
      </c>
      <c r="J4529">
        <v>6</v>
      </c>
      <c r="K4529" t="s">
        <v>87</v>
      </c>
      <c r="L4529" t="s">
        <v>51</v>
      </c>
      <c r="M4529" t="s">
        <v>63</v>
      </c>
      <c r="N4529" t="b">
        <v>0</v>
      </c>
      <c r="O4529">
        <v>0</v>
      </c>
      <c r="P4529">
        <v>0</v>
      </c>
      <c r="Q4529">
        <v>1</v>
      </c>
      <c r="R4529">
        <v>0</v>
      </c>
    </row>
    <row r="4530" spans="1:18" x14ac:dyDescent="0.25">
      <c r="A4530" t="s">
        <v>51</v>
      </c>
      <c r="B4530" t="s">
        <v>63</v>
      </c>
      <c r="C4530">
        <v>3</v>
      </c>
      <c r="D4530">
        <v>2</v>
      </c>
      <c r="E4530">
        <v>2</v>
      </c>
      <c r="F4530" s="15">
        <v>46174</v>
      </c>
      <c r="G4530" t="s">
        <v>562</v>
      </c>
      <c r="H4530">
        <v>3</v>
      </c>
      <c r="I4530">
        <v>2026</v>
      </c>
      <c r="J4530">
        <v>6</v>
      </c>
      <c r="K4530" t="s">
        <v>87</v>
      </c>
      <c r="L4530" t="s">
        <v>465</v>
      </c>
      <c r="M4530" t="s">
        <v>63</v>
      </c>
      <c r="N4530" t="b">
        <v>0</v>
      </c>
      <c r="O4530">
        <v>0</v>
      </c>
      <c r="P4530">
        <v>0</v>
      </c>
      <c r="Q4530">
        <v>1</v>
      </c>
      <c r="R4530">
        <v>0</v>
      </c>
    </row>
    <row r="4531" spans="1:18" x14ac:dyDescent="0.25">
      <c r="A4531" t="s">
        <v>51</v>
      </c>
      <c r="B4531" t="s">
        <v>63</v>
      </c>
      <c r="C4531">
        <v>3</v>
      </c>
      <c r="D4531">
        <v>2</v>
      </c>
      <c r="E4531">
        <v>2</v>
      </c>
      <c r="F4531" s="15">
        <v>46174</v>
      </c>
      <c r="G4531" t="s">
        <v>562</v>
      </c>
      <c r="H4531">
        <v>3</v>
      </c>
      <c r="I4531">
        <v>2026</v>
      </c>
      <c r="J4531">
        <v>6</v>
      </c>
      <c r="K4531" t="s">
        <v>87</v>
      </c>
      <c r="L4531" t="s">
        <v>17</v>
      </c>
      <c r="M4531" t="s">
        <v>63</v>
      </c>
      <c r="N4531" t="b">
        <v>0</v>
      </c>
      <c r="O4531">
        <v>0</v>
      </c>
      <c r="P4531">
        <v>0</v>
      </c>
      <c r="Q4531">
        <v>1</v>
      </c>
      <c r="R4531">
        <v>0</v>
      </c>
    </row>
    <row r="4532" spans="1:18" x14ac:dyDescent="0.25">
      <c r="A4532" t="s">
        <v>7</v>
      </c>
      <c r="B4532" t="s">
        <v>6</v>
      </c>
      <c r="C4532">
        <v>1</v>
      </c>
      <c r="D4532">
        <v>3</v>
      </c>
      <c r="E4532">
        <v>2</v>
      </c>
      <c r="F4532" s="15">
        <v>46174</v>
      </c>
      <c r="G4532" t="s">
        <v>563</v>
      </c>
      <c r="H4532">
        <v>3</v>
      </c>
      <c r="I4532">
        <v>2026</v>
      </c>
      <c r="J4532">
        <v>6</v>
      </c>
      <c r="K4532" t="s">
        <v>87</v>
      </c>
      <c r="L4532" t="s">
        <v>352</v>
      </c>
      <c r="M4532" t="s">
        <v>8</v>
      </c>
      <c r="N4532" t="b">
        <v>0</v>
      </c>
      <c r="O4532">
        <v>0</v>
      </c>
      <c r="P4532">
        <v>1</v>
      </c>
      <c r="Q4532">
        <v>0</v>
      </c>
      <c r="R4532">
        <v>1</v>
      </c>
    </row>
    <row r="4533" spans="1:18" x14ac:dyDescent="0.25">
      <c r="A4533" t="s">
        <v>7</v>
      </c>
      <c r="B4533" t="s">
        <v>6</v>
      </c>
      <c r="C4533">
        <v>1</v>
      </c>
      <c r="D4533">
        <v>3</v>
      </c>
      <c r="E4533">
        <v>2</v>
      </c>
      <c r="F4533" s="15">
        <v>46174</v>
      </c>
      <c r="G4533" t="s">
        <v>563</v>
      </c>
      <c r="H4533">
        <v>3</v>
      </c>
      <c r="I4533">
        <v>2026</v>
      </c>
      <c r="J4533">
        <v>6</v>
      </c>
      <c r="K4533" t="s">
        <v>87</v>
      </c>
      <c r="L4533" t="s">
        <v>351</v>
      </c>
      <c r="M4533" t="s">
        <v>6</v>
      </c>
      <c r="N4533" t="b">
        <v>0</v>
      </c>
      <c r="O4533">
        <v>0</v>
      </c>
      <c r="P4533">
        <v>1</v>
      </c>
      <c r="Q4533">
        <v>0</v>
      </c>
      <c r="R4533">
        <v>0</v>
      </c>
    </row>
    <row r="4534" spans="1:18" x14ac:dyDescent="0.25">
      <c r="A4534" t="s">
        <v>352</v>
      </c>
      <c r="B4534" t="s">
        <v>8</v>
      </c>
      <c r="C4534">
        <v>2</v>
      </c>
      <c r="D4534">
        <v>3</v>
      </c>
      <c r="E4534">
        <v>2</v>
      </c>
      <c r="F4534" s="15">
        <v>46174</v>
      </c>
      <c r="G4534" t="s">
        <v>563</v>
      </c>
      <c r="H4534">
        <v>3</v>
      </c>
      <c r="I4534">
        <v>2026</v>
      </c>
      <c r="J4534">
        <v>6</v>
      </c>
      <c r="K4534" t="s">
        <v>87</v>
      </c>
      <c r="L4534" t="s">
        <v>7</v>
      </c>
      <c r="M4534" t="s">
        <v>6</v>
      </c>
      <c r="N4534" t="b">
        <v>0</v>
      </c>
      <c r="O4534">
        <v>1</v>
      </c>
      <c r="P4534">
        <v>0</v>
      </c>
      <c r="Q4534">
        <v>0</v>
      </c>
      <c r="R4534">
        <v>0</v>
      </c>
    </row>
    <row r="4535" spans="1:18" x14ac:dyDescent="0.25">
      <c r="A4535" t="s">
        <v>352</v>
      </c>
      <c r="B4535" t="s">
        <v>8</v>
      </c>
      <c r="C4535">
        <v>2</v>
      </c>
      <c r="D4535">
        <v>3</v>
      </c>
      <c r="E4535">
        <v>2</v>
      </c>
      <c r="F4535" s="15">
        <v>46174</v>
      </c>
      <c r="G4535" t="s">
        <v>563</v>
      </c>
      <c r="H4535">
        <v>3</v>
      </c>
      <c r="I4535">
        <v>2026</v>
      </c>
      <c r="J4535">
        <v>6</v>
      </c>
      <c r="K4535" t="s">
        <v>87</v>
      </c>
      <c r="L4535" t="s">
        <v>351</v>
      </c>
      <c r="M4535" t="s">
        <v>6</v>
      </c>
      <c r="N4535" t="b">
        <v>0</v>
      </c>
      <c r="O4535">
        <v>1</v>
      </c>
      <c r="P4535">
        <v>0</v>
      </c>
      <c r="Q4535">
        <v>0</v>
      </c>
      <c r="R4535">
        <v>0</v>
      </c>
    </row>
    <row r="4536" spans="1:18" x14ac:dyDescent="0.25">
      <c r="A4536" t="s">
        <v>351</v>
      </c>
      <c r="B4536" t="s">
        <v>6</v>
      </c>
      <c r="C4536">
        <v>3</v>
      </c>
      <c r="D4536">
        <v>3</v>
      </c>
      <c r="E4536">
        <v>2</v>
      </c>
      <c r="F4536" s="15">
        <v>46174</v>
      </c>
      <c r="G4536" t="s">
        <v>563</v>
      </c>
      <c r="H4536">
        <v>3</v>
      </c>
      <c r="I4536">
        <v>2026</v>
      </c>
      <c r="J4536">
        <v>6</v>
      </c>
      <c r="K4536" t="s">
        <v>87</v>
      </c>
      <c r="L4536" t="s">
        <v>7</v>
      </c>
      <c r="M4536" t="s">
        <v>6</v>
      </c>
      <c r="N4536" t="b">
        <v>0</v>
      </c>
      <c r="O4536">
        <v>0</v>
      </c>
      <c r="P4536">
        <v>1</v>
      </c>
      <c r="Q4536">
        <v>0</v>
      </c>
      <c r="R4536">
        <v>0</v>
      </c>
    </row>
    <row r="4537" spans="1:18" x14ac:dyDescent="0.25">
      <c r="A4537" t="s">
        <v>351</v>
      </c>
      <c r="B4537" t="s">
        <v>6</v>
      </c>
      <c r="C4537">
        <v>3</v>
      </c>
      <c r="D4537">
        <v>3</v>
      </c>
      <c r="E4537">
        <v>2</v>
      </c>
      <c r="F4537" s="15">
        <v>46174</v>
      </c>
      <c r="G4537" t="s">
        <v>563</v>
      </c>
      <c r="H4537">
        <v>3</v>
      </c>
      <c r="I4537">
        <v>2026</v>
      </c>
      <c r="J4537">
        <v>6</v>
      </c>
      <c r="K4537" t="s">
        <v>87</v>
      </c>
      <c r="L4537" t="s">
        <v>352</v>
      </c>
      <c r="M4537" t="s">
        <v>8</v>
      </c>
      <c r="N4537" t="b">
        <v>0</v>
      </c>
      <c r="O4537">
        <v>0</v>
      </c>
      <c r="P4537">
        <v>1</v>
      </c>
      <c r="Q4537">
        <v>0</v>
      </c>
      <c r="R4537">
        <v>1</v>
      </c>
    </row>
    <row r="4538" spans="1:18" x14ac:dyDescent="0.25">
      <c r="A4538" t="s">
        <v>405</v>
      </c>
      <c r="B4538" t="s">
        <v>8</v>
      </c>
      <c r="C4538">
        <v>1</v>
      </c>
      <c r="D4538">
        <v>4</v>
      </c>
      <c r="E4538">
        <v>2</v>
      </c>
      <c r="F4538" s="15">
        <v>46174</v>
      </c>
      <c r="G4538" t="s">
        <v>564</v>
      </c>
      <c r="H4538">
        <v>4</v>
      </c>
      <c r="I4538">
        <v>2026</v>
      </c>
      <c r="J4538">
        <v>6</v>
      </c>
      <c r="K4538" t="s">
        <v>87</v>
      </c>
      <c r="L4538" t="s">
        <v>52</v>
      </c>
      <c r="M4538" t="s">
        <v>6</v>
      </c>
      <c r="N4538" t="b">
        <v>0</v>
      </c>
      <c r="O4538">
        <v>1</v>
      </c>
      <c r="P4538">
        <v>0</v>
      </c>
      <c r="Q4538">
        <v>0</v>
      </c>
      <c r="R4538">
        <v>0</v>
      </c>
    </row>
    <row r="4539" spans="1:18" x14ac:dyDescent="0.25">
      <c r="A4539" t="s">
        <v>405</v>
      </c>
      <c r="B4539" t="s">
        <v>8</v>
      </c>
      <c r="C4539">
        <v>1</v>
      </c>
      <c r="D4539">
        <v>4</v>
      </c>
      <c r="E4539">
        <v>2</v>
      </c>
      <c r="F4539" s="15">
        <v>46174</v>
      </c>
      <c r="G4539" t="s">
        <v>564</v>
      </c>
      <c r="H4539">
        <v>4</v>
      </c>
      <c r="I4539">
        <v>2026</v>
      </c>
      <c r="J4539">
        <v>6</v>
      </c>
      <c r="K4539" t="s">
        <v>87</v>
      </c>
      <c r="L4539" t="s">
        <v>325</v>
      </c>
      <c r="M4539" t="s">
        <v>6</v>
      </c>
      <c r="N4539" t="b">
        <v>0</v>
      </c>
      <c r="O4539">
        <v>1</v>
      </c>
      <c r="P4539">
        <v>0</v>
      </c>
      <c r="Q4539">
        <v>0</v>
      </c>
      <c r="R4539">
        <v>0</v>
      </c>
    </row>
    <row r="4540" spans="1:18" x14ac:dyDescent="0.25">
      <c r="A4540" t="s">
        <v>405</v>
      </c>
      <c r="B4540" t="s">
        <v>8</v>
      </c>
      <c r="C4540">
        <v>1</v>
      </c>
      <c r="D4540">
        <v>4</v>
      </c>
      <c r="E4540">
        <v>2</v>
      </c>
      <c r="F4540" s="15">
        <v>46174</v>
      </c>
      <c r="G4540" t="s">
        <v>564</v>
      </c>
      <c r="H4540">
        <v>4</v>
      </c>
      <c r="I4540">
        <v>2026</v>
      </c>
      <c r="J4540">
        <v>6</v>
      </c>
      <c r="K4540" t="s">
        <v>87</v>
      </c>
      <c r="L4540" t="s">
        <v>552</v>
      </c>
      <c r="M4540" t="s">
        <v>6</v>
      </c>
      <c r="N4540" t="b">
        <v>0</v>
      </c>
      <c r="O4540">
        <v>1</v>
      </c>
      <c r="P4540">
        <v>0</v>
      </c>
      <c r="Q4540">
        <v>0</v>
      </c>
      <c r="R4540">
        <v>0</v>
      </c>
    </row>
    <row r="4541" spans="1:18" x14ac:dyDescent="0.25">
      <c r="A4541" t="s">
        <v>52</v>
      </c>
      <c r="B4541" t="s">
        <v>6</v>
      </c>
      <c r="C4541">
        <v>2</v>
      </c>
      <c r="D4541">
        <v>4</v>
      </c>
      <c r="E4541">
        <v>2</v>
      </c>
      <c r="F4541" s="15">
        <v>46174</v>
      </c>
      <c r="G4541" t="s">
        <v>564</v>
      </c>
      <c r="H4541">
        <v>4</v>
      </c>
      <c r="I4541">
        <v>2026</v>
      </c>
      <c r="J4541">
        <v>6</v>
      </c>
      <c r="K4541" t="s">
        <v>87</v>
      </c>
      <c r="L4541" t="s">
        <v>405</v>
      </c>
      <c r="M4541" t="s">
        <v>8</v>
      </c>
      <c r="N4541" t="b">
        <v>0</v>
      </c>
      <c r="O4541">
        <v>0</v>
      </c>
      <c r="P4541">
        <v>1</v>
      </c>
      <c r="Q4541">
        <v>0</v>
      </c>
      <c r="R4541">
        <v>1</v>
      </c>
    </row>
    <row r="4542" spans="1:18" x14ac:dyDescent="0.25">
      <c r="A4542" t="s">
        <v>52</v>
      </c>
      <c r="B4542" t="s">
        <v>6</v>
      </c>
      <c r="C4542">
        <v>2</v>
      </c>
      <c r="D4542">
        <v>4</v>
      </c>
      <c r="E4542">
        <v>2</v>
      </c>
      <c r="F4542" s="15">
        <v>46174</v>
      </c>
      <c r="G4542" t="s">
        <v>564</v>
      </c>
      <c r="H4542">
        <v>4</v>
      </c>
      <c r="I4542">
        <v>2026</v>
      </c>
      <c r="J4542">
        <v>6</v>
      </c>
      <c r="K4542" t="s">
        <v>87</v>
      </c>
      <c r="L4542" t="s">
        <v>325</v>
      </c>
      <c r="M4542" t="s">
        <v>6</v>
      </c>
      <c r="N4542" t="b">
        <v>0</v>
      </c>
      <c r="O4542">
        <v>0</v>
      </c>
      <c r="P4542">
        <v>1</v>
      </c>
      <c r="Q4542">
        <v>0</v>
      </c>
      <c r="R4542">
        <v>0</v>
      </c>
    </row>
    <row r="4543" spans="1:18" x14ac:dyDescent="0.25">
      <c r="A4543" t="s">
        <v>52</v>
      </c>
      <c r="B4543" t="s">
        <v>6</v>
      </c>
      <c r="C4543">
        <v>2</v>
      </c>
      <c r="D4543">
        <v>4</v>
      </c>
      <c r="E4543">
        <v>2</v>
      </c>
      <c r="F4543" s="15">
        <v>46174</v>
      </c>
      <c r="G4543" t="s">
        <v>564</v>
      </c>
      <c r="H4543">
        <v>4</v>
      </c>
      <c r="I4543">
        <v>2026</v>
      </c>
      <c r="J4543">
        <v>6</v>
      </c>
      <c r="K4543" t="s">
        <v>87</v>
      </c>
      <c r="L4543" t="s">
        <v>552</v>
      </c>
      <c r="M4543" t="s">
        <v>6</v>
      </c>
      <c r="N4543" t="b">
        <v>0</v>
      </c>
      <c r="O4543">
        <v>0</v>
      </c>
      <c r="P4543">
        <v>1</v>
      </c>
      <c r="Q4543">
        <v>0</v>
      </c>
      <c r="R4543">
        <v>0</v>
      </c>
    </row>
    <row r="4544" spans="1:18" x14ac:dyDescent="0.25">
      <c r="A4544" t="s">
        <v>325</v>
      </c>
      <c r="B4544" t="s">
        <v>6</v>
      </c>
      <c r="C4544">
        <v>3</v>
      </c>
      <c r="D4544">
        <v>4</v>
      </c>
      <c r="E4544">
        <v>2</v>
      </c>
      <c r="F4544" s="15">
        <v>46174</v>
      </c>
      <c r="G4544" t="s">
        <v>564</v>
      </c>
      <c r="H4544">
        <v>4</v>
      </c>
      <c r="I4544">
        <v>2026</v>
      </c>
      <c r="J4544">
        <v>6</v>
      </c>
      <c r="K4544" t="s">
        <v>87</v>
      </c>
      <c r="L4544" t="s">
        <v>405</v>
      </c>
      <c r="M4544" t="s">
        <v>8</v>
      </c>
      <c r="N4544" t="b">
        <v>0</v>
      </c>
      <c r="O4544">
        <v>0</v>
      </c>
      <c r="P4544">
        <v>1</v>
      </c>
      <c r="Q4544">
        <v>0</v>
      </c>
      <c r="R4544">
        <v>1</v>
      </c>
    </row>
    <row r="4545" spans="1:18" x14ac:dyDescent="0.25">
      <c r="A4545" t="s">
        <v>325</v>
      </c>
      <c r="B4545" t="s">
        <v>6</v>
      </c>
      <c r="C4545">
        <v>3</v>
      </c>
      <c r="D4545">
        <v>4</v>
      </c>
      <c r="E4545">
        <v>2</v>
      </c>
      <c r="F4545" s="15">
        <v>46174</v>
      </c>
      <c r="G4545" t="s">
        <v>564</v>
      </c>
      <c r="H4545">
        <v>4</v>
      </c>
      <c r="I4545">
        <v>2026</v>
      </c>
      <c r="J4545">
        <v>6</v>
      </c>
      <c r="K4545" t="s">
        <v>87</v>
      </c>
      <c r="L4545" t="s">
        <v>52</v>
      </c>
      <c r="M4545" t="s">
        <v>6</v>
      </c>
      <c r="N4545" t="b">
        <v>0</v>
      </c>
      <c r="O4545">
        <v>0</v>
      </c>
      <c r="P4545">
        <v>1</v>
      </c>
      <c r="Q4545">
        <v>0</v>
      </c>
      <c r="R4545">
        <v>0</v>
      </c>
    </row>
    <row r="4546" spans="1:18" x14ac:dyDescent="0.25">
      <c r="A4546" t="s">
        <v>325</v>
      </c>
      <c r="B4546" t="s">
        <v>6</v>
      </c>
      <c r="C4546">
        <v>3</v>
      </c>
      <c r="D4546">
        <v>4</v>
      </c>
      <c r="E4546">
        <v>2</v>
      </c>
      <c r="F4546" s="15">
        <v>46174</v>
      </c>
      <c r="G4546" t="s">
        <v>564</v>
      </c>
      <c r="H4546">
        <v>4</v>
      </c>
      <c r="I4546">
        <v>2026</v>
      </c>
      <c r="J4546">
        <v>6</v>
      </c>
      <c r="K4546" t="s">
        <v>87</v>
      </c>
      <c r="L4546" t="s">
        <v>552</v>
      </c>
      <c r="M4546" t="s">
        <v>6</v>
      </c>
      <c r="N4546" t="b">
        <v>0</v>
      </c>
      <c r="O4546">
        <v>0</v>
      </c>
      <c r="P4546">
        <v>1</v>
      </c>
      <c r="Q4546">
        <v>0</v>
      </c>
      <c r="R4546">
        <v>0</v>
      </c>
    </row>
    <row r="4547" spans="1:18" x14ac:dyDescent="0.25">
      <c r="A4547" t="s">
        <v>552</v>
      </c>
      <c r="B4547" t="s">
        <v>6</v>
      </c>
      <c r="C4547">
        <v>4</v>
      </c>
      <c r="D4547">
        <v>4</v>
      </c>
      <c r="E4547">
        <v>2</v>
      </c>
      <c r="F4547" s="15">
        <v>46174</v>
      </c>
      <c r="G4547" t="s">
        <v>564</v>
      </c>
      <c r="H4547">
        <v>4</v>
      </c>
      <c r="I4547">
        <v>2026</v>
      </c>
      <c r="J4547">
        <v>6</v>
      </c>
      <c r="K4547" t="s">
        <v>87</v>
      </c>
      <c r="L4547" t="s">
        <v>405</v>
      </c>
      <c r="M4547" t="s">
        <v>8</v>
      </c>
      <c r="N4547" t="b">
        <v>0</v>
      </c>
      <c r="O4547">
        <v>0</v>
      </c>
      <c r="P4547">
        <v>1</v>
      </c>
      <c r="Q4547">
        <v>0</v>
      </c>
      <c r="R4547">
        <v>1</v>
      </c>
    </row>
    <row r="4548" spans="1:18" x14ac:dyDescent="0.25">
      <c r="A4548" t="s">
        <v>552</v>
      </c>
      <c r="B4548" t="s">
        <v>6</v>
      </c>
      <c r="C4548">
        <v>4</v>
      </c>
      <c r="D4548">
        <v>4</v>
      </c>
      <c r="E4548">
        <v>2</v>
      </c>
      <c r="F4548" s="15">
        <v>46174</v>
      </c>
      <c r="G4548" t="s">
        <v>564</v>
      </c>
      <c r="H4548">
        <v>4</v>
      </c>
      <c r="I4548">
        <v>2026</v>
      </c>
      <c r="J4548">
        <v>6</v>
      </c>
      <c r="K4548" t="s">
        <v>87</v>
      </c>
      <c r="L4548" t="s">
        <v>52</v>
      </c>
      <c r="M4548" t="s">
        <v>6</v>
      </c>
      <c r="N4548" t="b">
        <v>0</v>
      </c>
      <c r="O4548">
        <v>0</v>
      </c>
      <c r="P4548">
        <v>1</v>
      </c>
      <c r="Q4548">
        <v>0</v>
      </c>
      <c r="R4548">
        <v>0</v>
      </c>
    </row>
    <row r="4549" spans="1:18" x14ac:dyDescent="0.25">
      <c r="A4549" t="s">
        <v>552</v>
      </c>
      <c r="B4549" t="s">
        <v>6</v>
      </c>
      <c r="C4549">
        <v>4</v>
      </c>
      <c r="D4549">
        <v>4</v>
      </c>
      <c r="E4549">
        <v>2</v>
      </c>
      <c r="F4549" s="15">
        <v>46174</v>
      </c>
      <c r="G4549" t="s">
        <v>564</v>
      </c>
      <c r="H4549">
        <v>4</v>
      </c>
      <c r="I4549">
        <v>2026</v>
      </c>
      <c r="J4549">
        <v>6</v>
      </c>
      <c r="K4549" t="s">
        <v>87</v>
      </c>
      <c r="L4549" t="s">
        <v>325</v>
      </c>
      <c r="M4549" t="s">
        <v>6</v>
      </c>
      <c r="N4549" t="b">
        <v>0</v>
      </c>
      <c r="O4549">
        <v>0</v>
      </c>
      <c r="P4549">
        <v>1</v>
      </c>
      <c r="Q4549">
        <v>0</v>
      </c>
      <c r="R4549">
        <v>0</v>
      </c>
    </row>
    <row r="4550" spans="1:18" x14ac:dyDescent="0.25">
      <c r="A4550" t="s">
        <v>28</v>
      </c>
      <c r="B4550" t="s">
        <v>6</v>
      </c>
      <c r="C4550">
        <v>1</v>
      </c>
      <c r="D4550">
        <v>5</v>
      </c>
      <c r="E4550">
        <v>2</v>
      </c>
      <c r="F4550" s="15">
        <v>46174</v>
      </c>
      <c r="G4550" t="s">
        <v>565</v>
      </c>
      <c r="H4550">
        <v>4</v>
      </c>
      <c r="I4550">
        <v>2026</v>
      </c>
      <c r="J4550">
        <v>6</v>
      </c>
      <c r="K4550" t="s">
        <v>87</v>
      </c>
      <c r="L4550" t="s">
        <v>553</v>
      </c>
      <c r="M4550" t="s">
        <v>6</v>
      </c>
      <c r="N4550" t="b">
        <v>0</v>
      </c>
      <c r="O4550">
        <v>0</v>
      </c>
      <c r="P4550">
        <v>1</v>
      </c>
      <c r="Q4550">
        <v>0</v>
      </c>
      <c r="R4550">
        <v>0</v>
      </c>
    </row>
    <row r="4551" spans="1:18" x14ac:dyDescent="0.25">
      <c r="A4551" t="s">
        <v>28</v>
      </c>
      <c r="B4551" t="s">
        <v>6</v>
      </c>
      <c r="C4551">
        <v>1</v>
      </c>
      <c r="D4551">
        <v>5</v>
      </c>
      <c r="E4551">
        <v>2</v>
      </c>
      <c r="F4551" s="15">
        <v>46174</v>
      </c>
      <c r="G4551" t="s">
        <v>565</v>
      </c>
      <c r="H4551">
        <v>4</v>
      </c>
      <c r="I4551">
        <v>2026</v>
      </c>
      <c r="J4551">
        <v>6</v>
      </c>
      <c r="K4551" t="s">
        <v>87</v>
      </c>
      <c r="L4551" t="s">
        <v>554</v>
      </c>
      <c r="M4551" t="s">
        <v>6</v>
      </c>
      <c r="N4551" t="b">
        <v>0</v>
      </c>
      <c r="O4551">
        <v>0</v>
      </c>
      <c r="P4551">
        <v>1</v>
      </c>
      <c r="Q4551">
        <v>0</v>
      </c>
      <c r="R4551">
        <v>0</v>
      </c>
    </row>
    <row r="4552" spans="1:18" x14ac:dyDescent="0.25">
      <c r="A4552" t="s">
        <v>28</v>
      </c>
      <c r="B4552" t="s">
        <v>6</v>
      </c>
      <c r="C4552">
        <v>1</v>
      </c>
      <c r="D4552">
        <v>5</v>
      </c>
      <c r="E4552">
        <v>2</v>
      </c>
      <c r="F4552" s="15">
        <v>46174</v>
      </c>
      <c r="G4552" t="s">
        <v>565</v>
      </c>
      <c r="H4552">
        <v>4</v>
      </c>
      <c r="I4552">
        <v>2026</v>
      </c>
      <c r="J4552">
        <v>6</v>
      </c>
      <c r="K4552" t="s">
        <v>87</v>
      </c>
      <c r="L4552" t="s">
        <v>19</v>
      </c>
      <c r="M4552" t="s">
        <v>8</v>
      </c>
      <c r="N4552" t="b">
        <v>0</v>
      </c>
      <c r="O4552">
        <v>0</v>
      </c>
      <c r="P4552">
        <v>1</v>
      </c>
      <c r="Q4552">
        <v>0</v>
      </c>
      <c r="R4552">
        <v>1</v>
      </c>
    </row>
    <row r="4553" spans="1:18" x14ac:dyDescent="0.25">
      <c r="A4553" t="s">
        <v>553</v>
      </c>
      <c r="B4553" t="s">
        <v>6</v>
      </c>
      <c r="C4553">
        <v>2</v>
      </c>
      <c r="D4553">
        <v>5</v>
      </c>
      <c r="E4553">
        <v>2</v>
      </c>
      <c r="F4553" s="15">
        <v>46174</v>
      </c>
      <c r="G4553" t="s">
        <v>565</v>
      </c>
      <c r="H4553">
        <v>4</v>
      </c>
      <c r="I4553">
        <v>2026</v>
      </c>
      <c r="J4553">
        <v>6</v>
      </c>
      <c r="K4553" t="s">
        <v>87</v>
      </c>
      <c r="L4553" t="s">
        <v>28</v>
      </c>
      <c r="M4553" t="s">
        <v>6</v>
      </c>
      <c r="N4553" t="b">
        <v>0</v>
      </c>
      <c r="O4553">
        <v>0</v>
      </c>
      <c r="P4553">
        <v>1</v>
      </c>
      <c r="Q4553">
        <v>0</v>
      </c>
      <c r="R4553">
        <v>0</v>
      </c>
    </row>
    <row r="4554" spans="1:18" x14ac:dyDescent="0.25">
      <c r="A4554" t="s">
        <v>553</v>
      </c>
      <c r="B4554" t="s">
        <v>6</v>
      </c>
      <c r="C4554">
        <v>2</v>
      </c>
      <c r="D4554">
        <v>5</v>
      </c>
      <c r="E4554">
        <v>2</v>
      </c>
      <c r="F4554" s="15">
        <v>46174</v>
      </c>
      <c r="G4554" t="s">
        <v>565</v>
      </c>
      <c r="H4554">
        <v>4</v>
      </c>
      <c r="I4554">
        <v>2026</v>
      </c>
      <c r="J4554">
        <v>6</v>
      </c>
      <c r="K4554" t="s">
        <v>87</v>
      </c>
      <c r="L4554" t="s">
        <v>554</v>
      </c>
      <c r="M4554" t="s">
        <v>6</v>
      </c>
      <c r="N4554" t="b">
        <v>0</v>
      </c>
      <c r="O4554">
        <v>0</v>
      </c>
      <c r="P4554">
        <v>1</v>
      </c>
      <c r="Q4554">
        <v>0</v>
      </c>
      <c r="R4554">
        <v>0</v>
      </c>
    </row>
    <row r="4555" spans="1:18" x14ac:dyDescent="0.25">
      <c r="A4555" t="s">
        <v>553</v>
      </c>
      <c r="B4555" t="s">
        <v>6</v>
      </c>
      <c r="C4555">
        <v>2</v>
      </c>
      <c r="D4555">
        <v>5</v>
      </c>
      <c r="E4555">
        <v>2</v>
      </c>
      <c r="F4555" s="15">
        <v>46174</v>
      </c>
      <c r="G4555" t="s">
        <v>565</v>
      </c>
      <c r="H4555">
        <v>4</v>
      </c>
      <c r="I4555">
        <v>2026</v>
      </c>
      <c r="J4555">
        <v>6</v>
      </c>
      <c r="K4555" t="s">
        <v>87</v>
      </c>
      <c r="L4555" t="s">
        <v>19</v>
      </c>
      <c r="M4555" t="s">
        <v>8</v>
      </c>
      <c r="N4555" t="b">
        <v>0</v>
      </c>
      <c r="O4555">
        <v>0</v>
      </c>
      <c r="P4555">
        <v>1</v>
      </c>
      <c r="Q4555">
        <v>0</v>
      </c>
      <c r="R4555">
        <v>1</v>
      </c>
    </row>
    <row r="4556" spans="1:18" x14ac:dyDescent="0.25">
      <c r="A4556" t="s">
        <v>554</v>
      </c>
      <c r="B4556" t="s">
        <v>6</v>
      </c>
      <c r="C4556">
        <v>3</v>
      </c>
      <c r="D4556">
        <v>5</v>
      </c>
      <c r="E4556">
        <v>2</v>
      </c>
      <c r="F4556" s="15">
        <v>46174</v>
      </c>
      <c r="G4556" t="s">
        <v>565</v>
      </c>
      <c r="H4556">
        <v>4</v>
      </c>
      <c r="I4556">
        <v>2026</v>
      </c>
      <c r="J4556">
        <v>6</v>
      </c>
      <c r="K4556" t="s">
        <v>87</v>
      </c>
      <c r="L4556" t="s">
        <v>28</v>
      </c>
      <c r="M4556" t="s">
        <v>6</v>
      </c>
      <c r="N4556" t="b">
        <v>0</v>
      </c>
      <c r="O4556">
        <v>0</v>
      </c>
      <c r="P4556">
        <v>1</v>
      </c>
      <c r="Q4556">
        <v>0</v>
      </c>
      <c r="R4556">
        <v>0</v>
      </c>
    </row>
    <row r="4557" spans="1:18" x14ac:dyDescent="0.25">
      <c r="A4557" t="s">
        <v>554</v>
      </c>
      <c r="B4557" t="s">
        <v>6</v>
      </c>
      <c r="C4557">
        <v>3</v>
      </c>
      <c r="D4557">
        <v>5</v>
      </c>
      <c r="E4557">
        <v>2</v>
      </c>
      <c r="F4557" s="15">
        <v>46174</v>
      </c>
      <c r="G4557" t="s">
        <v>565</v>
      </c>
      <c r="H4557">
        <v>4</v>
      </c>
      <c r="I4557">
        <v>2026</v>
      </c>
      <c r="J4557">
        <v>6</v>
      </c>
      <c r="K4557" t="s">
        <v>87</v>
      </c>
      <c r="L4557" t="s">
        <v>553</v>
      </c>
      <c r="M4557" t="s">
        <v>6</v>
      </c>
      <c r="N4557" t="b">
        <v>0</v>
      </c>
      <c r="O4557">
        <v>0</v>
      </c>
      <c r="P4557">
        <v>1</v>
      </c>
      <c r="Q4557">
        <v>0</v>
      </c>
      <c r="R4557">
        <v>0</v>
      </c>
    </row>
    <row r="4558" spans="1:18" x14ac:dyDescent="0.25">
      <c r="A4558" t="s">
        <v>554</v>
      </c>
      <c r="B4558" t="s">
        <v>6</v>
      </c>
      <c r="C4558">
        <v>3</v>
      </c>
      <c r="D4558">
        <v>5</v>
      </c>
      <c r="E4558">
        <v>2</v>
      </c>
      <c r="F4558" s="15">
        <v>46174</v>
      </c>
      <c r="G4558" t="s">
        <v>565</v>
      </c>
      <c r="H4558">
        <v>4</v>
      </c>
      <c r="I4558">
        <v>2026</v>
      </c>
      <c r="J4558">
        <v>6</v>
      </c>
      <c r="K4558" t="s">
        <v>87</v>
      </c>
      <c r="L4558" t="s">
        <v>19</v>
      </c>
      <c r="M4558" t="s">
        <v>8</v>
      </c>
      <c r="N4558" t="b">
        <v>0</v>
      </c>
      <c r="O4558">
        <v>0</v>
      </c>
      <c r="P4558">
        <v>1</v>
      </c>
      <c r="Q4558">
        <v>0</v>
      </c>
      <c r="R4558">
        <v>1</v>
      </c>
    </row>
    <row r="4559" spans="1:18" x14ac:dyDescent="0.25">
      <c r="A4559" t="s">
        <v>19</v>
      </c>
      <c r="B4559" t="s">
        <v>8</v>
      </c>
      <c r="C4559">
        <v>4</v>
      </c>
      <c r="D4559">
        <v>5</v>
      </c>
      <c r="E4559">
        <v>2</v>
      </c>
      <c r="F4559" s="15">
        <v>46174</v>
      </c>
      <c r="G4559" t="s">
        <v>565</v>
      </c>
      <c r="H4559">
        <v>4</v>
      </c>
      <c r="I4559">
        <v>2026</v>
      </c>
      <c r="J4559">
        <v>6</v>
      </c>
      <c r="K4559" t="s">
        <v>87</v>
      </c>
      <c r="L4559" t="s">
        <v>28</v>
      </c>
      <c r="M4559" t="s">
        <v>6</v>
      </c>
      <c r="N4559" t="b">
        <v>0</v>
      </c>
      <c r="O4559">
        <v>1</v>
      </c>
      <c r="P4559">
        <v>0</v>
      </c>
      <c r="Q4559">
        <v>0</v>
      </c>
      <c r="R4559">
        <v>0</v>
      </c>
    </row>
    <row r="4560" spans="1:18" x14ac:dyDescent="0.25">
      <c r="A4560" t="s">
        <v>19</v>
      </c>
      <c r="B4560" t="s">
        <v>8</v>
      </c>
      <c r="C4560">
        <v>4</v>
      </c>
      <c r="D4560">
        <v>5</v>
      </c>
      <c r="E4560">
        <v>2</v>
      </c>
      <c r="F4560" s="15">
        <v>46174</v>
      </c>
      <c r="G4560" t="s">
        <v>565</v>
      </c>
      <c r="H4560">
        <v>4</v>
      </c>
      <c r="I4560">
        <v>2026</v>
      </c>
      <c r="J4560">
        <v>6</v>
      </c>
      <c r="K4560" t="s">
        <v>87</v>
      </c>
      <c r="L4560" t="s">
        <v>553</v>
      </c>
      <c r="M4560" t="s">
        <v>6</v>
      </c>
      <c r="N4560" t="b">
        <v>0</v>
      </c>
      <c r="O4560">
        <v>1</v>
      </c>
      <c r="P4560">
        <v>0</v>
      </c>
      <c r="Q4560">
        <v>0</v>
      </c>
      <c r="R4560">
        <v>0</v>
      </c>
    </row>
    <row r="4561" spans="1:18" x14ac:dyDescent="0.25">
      <c r="A4561" t="s">
        <v>19</v>
      </c>
      <c r="B4561" t="s">
        <v>8</v>
      </c>
      <c r="C4561">
        <v>4</v>
      </c>
      <c r="D4561">
        <v>5</v>
      </c>
      <c r="E4561">
        <v>2</v>
      </c>
      <c r="F4561" s="15">
        <v>46174</v>
      </c>
      <c r="G4561" t="s">
        <v>565</v>
      </c>
      <c r="H4561">
        <v>4</v>
      </c>
      <c r="I4561">
        <v>2026</v>
      </c>
      <c r="J4561">
        <v>6</v>
      </c>
      <c r="K4561" t="s">
        <v>87</v>
      </c>
      <c r="L4561" t="s">
        <v>554</v>
      </c>
      <c r="M4561" t="s">
        <v>6</v>
      </c>
      <c r="N4561" t="b">
        <v>0</v>
      </c>
      <c r="O4561">
        <v>1</v>
      </c>
      <c r="P4561">
        <v>0</v>
      </c>
      <c r="Q4561">
        <v>0</v>
      </c>
      <c r="R4561">
        <v>0</v>
      </c>
    </row>
    <row r="4562" spans="1:18" x14ac:dyDescent="0.25">
      <c r="A4562" t="s">
        <v>13</v>
      </c>
      <c r="B4562" t="s">
        <v>63</v>
      </c>
      <c r="C4562">
        <v>1</v>
      </c>
      <c r="D4562">
        <v>6</v>
      </c>
      <c r="E4562">
        <v>2</v>
      </c>
      <c r="F4562" s="15">
        <v>46174</v>
      </c>
      <c r="G4562" t="s">
        <v>566</v>
      </c>
      <c r="H4562">
        <v>4</v>
      </c>
      <c r="I4562">
        <v>2026</v>
      </c>
      <c r="J4562">
        <v>6</v>
      </c>
      <c r="K4562" t="s">
        <v>87</v>
      </c>
      <c r="L4562" t="s">
        <v>326</v>
      </c>
      <c r="M4562" t="s">
        <v>63</v>
      </c>
      <c r="N4562" t="b">
        <v>0</v>
      </c>
      <c r="O4562">
        <v>0</v>
      </c>
      <c r="P4562">
        <v>0</v>
      </c>
      <c r="Q4562">
        <v>1</v>
      </c>
      <c r="R4562">
        <v>0</v>
      </c>
    </row>
    <row r="4563" spans="1:18" x14ac:dyDescent="0.25">
      <c r="A4563" t="s">
        <v>13</v>
      </c>
      <c r="B4563" t="s">
        <v>63</v>
      </c>
      <c r="C4563">
        <v>1</v>
      </c>
      <c r="D4563">
        <v>6</v>
      </c>
      <c r="E4563">
        <v>2</v>
      </c>
      <c r="F4563" s="15">
        <v>46174</v>
      </c>
      <c r="G4563" t="s">
        <v>566</v>
      </c>
      <c r="H4563">
        <v>4</v>
      </c>
      <c r="I4563">
        <v>2026</v>
      </c>
      <c r="J4563">
        <v>6</v>
      </c>
      <c r="K4563" t="s">
        <v>87</v>
      </c>
      <c r="L4563" t="s">
        <v>363</v>
      </c>
      <c r="M4563" t="s">
        <v>63</v>
      </c>
      <c r="N4563" t="b">
        <v>0</v>
      </c>
      <c r="O4563">
        <v>0</v>
      </c>
      <c r="P4563">
        <v>0</v>
      </c>
      <c r="Q4563">
        <v>1</v>
      </c>
      <c r="R4563">
        <v>0</v>
      </c>
    </row>
    <row r="4564" spans="1:18" x14ac:dyDescent="0.25">
      <c r="A4564" t="s">
        <v>13</v>
      </c>
      <c r="B4564" t="s">
        <v>63</v>
      </c>
      <c r="C4564">
        <v>1</v>
      </c>
      <c r="D4564">
        <v>6</v>
      </c>
      <c r="E4564">
        <v>2</v>
      </c>
      <c r="F4564" s="15">
        <v>46174</v>
      </c>
      <c r="G4564" t="s">
        <v>566</v>
      </c>
      <c r="H4564">
        <v>4</v>
      </c>
      <c r="I4564">
        <v>2026</v>
      </c>
      <c r="J4564">
        <v>6</v>
      </c>
      <c r="K4564" t="s">
        <v>87</v>
      </c>
      <c r="L4564" t="s">
        <v>14</v>
      </c>
      <c r="M4564" t="s">
        <v>63</v>
      </c>
      <c r="N4564" t="b">
        <v>0</v>
      </c>
      <c r="O4564">
        <v>0</v>
      </c>
      <c r="P4564">
        <v>0</v>
      </c>
      <c r="Q4564">
        <v>1</v>
      </c>
      <c r="R4564">
        <v>0</v>
      </c>
    </row>
    <row r="4565" spans="1:18" x14ac:dyDescent="0.25">
      <c r="A4565" t="s">
        <v>326</v>
      </c>
      <c r="B4565" t="s">
        <v>63</v>
      </c>
      <c r="C4565">
        <v>2</v>
      </c>
      <c r="D4565">
        <v>6</v>
      </c>
      <c r="E4565">
        <v>2</v>
      </c>
      <c r="F4565" s="15">
        <v>46174</v>
      </c>
      <c r="G4565" t="s">
        <v>566</v>
      </c>
      <c r="H4565">
        <v>4</v>
      </c>
      <c r="I4565">
        <v>2026</v>
      </c>
      <c r="J4565">
        <v>6</v>
      </c>
      <c r="K4565" t="s">
        <v>87</v>
      </c>
      <c r="L4565" t="s">
        <v>13</v>
      </c>
      <c r="M4565" t="s">
        <v>63</v>
      </c>
      <c r="N4565" t="b">
        <v>0</v>
      </c>
      <c r="O4565">
        <v>0</v>
      </c>
      <c r="P4565">
        <v>0</v>
      </c>
      <c r="Q4565">
        <v>1</v>
      </c>
      <c r="R4565">
        <v>0</v>
      </c>
    </row>
    <row r="4566" spans="1:18" x14ac:dyDescent="0.25">
      <c r="A4566" t="s">
        <v>326</v>
      </c>
      <c r="B4566" t="s">
        <v>63</v>
      </c>
      <c r="C4566">
        <v>2</v>
      </c>
      <c r="D4566">
        <v>6</v>
      </c>
      <c r="E4566">
        <v>2</v>
      </c>
      <c r="F4566" s="15">
        <v>46174</v>
      </c>
      <c r="G4566" t="s">
        <v>566</v>
      </c>
      <c r="H4566">
        <v>4</v>
      </c>
      <c r="I4566">
        <v>2026</v>
      </c>
      <c r="J4566">
        <v>6</v>
      </c>
      <c r="K4566" t="s">
        <v>87</v>
      </c>
      <c r="L4566" t="s">
        <v>363</v>
      </c>
      <c r="M4566" t="s">
        <v>63</v>
      </c>
      <c r="N4566" t="b">
        <v>0</v>
      </c>
      <c r="O4566">
        <v>0</v>
      </c>
      <c r="P4566">
        <v>0</v>
      </c>
      <c r="Q4566">
        <v>1</v>
      </c>
      <c r="R4566">
        <v>0</v>
      </c>
    </row>
    <row r="4567" spans="1:18" x14ac:dyDescent="0.25">
      <c r="A4567" t="s">
        <v>326</v>
      </c>
      <c r="B4567" t="s">
        <v>63</v>
      </c>
      <c r="C4567">
        <v>2</v>
      </c>
      <c r="D4567">
        <v>6</v>
      </c>
      <c r="E4567">
        <v>2</v>
      </c>
      <c r="F4567" s="15">
        <v>46174</v>
      </c>
      <c r="G4567" t="s">
        <v>566</v>
      </c>
      <c r="H4567">
        <v>4</v>
      </c>
      <c r="I4567">
        <v>2026</v>
      </c>
      <c r="J4567">
        <v>6</v>
      </c>
      <c r="K4567" t="s">
        <v>87</v>
      </c>
      <c r="L4567" t="s">
        <v>14</v>
      </c>
      <c r="M4567" t="s">
        <v>63</v>
      </c>
      <c r="N4567" t="b">
        <v>0</v>
      </c>
      <c r="O4567">
        <v>0</v>
      </c>
      <c r="P4567">
        <v>0</v>
      </c>
      <c r="Q4567">
        <v>1</v>
      </c>
      <c r="R4567">
        <v>0</v>
      </c>
    </row>
    <row r="4568" spans="1:18" x14ac:dyDescent="0.25">
      <c r="A4568" t="s">
        <v>363</v>
      </c>
      <c r="B4568" t="s">
        <v>63</v>
      </c>
      <c r="C4568">
        <v>3</v>
      </c>
      <c r="D4568">
        <v>6</v>
      </c>
      <c r="E4568">
        <v>2</v>
      </c>
      <c r="F4568" s="15">
        <v>46174</v>
      </c>
      <c r="G4568" t="s">
        <v>566</v>
      </c>
      <c r="H4568">
        <v>4</v>
      </c>
      <c r="I4568">
        <v>2026</v>
      </c>
      <c r="J4568">
        <v>6</v>
      </c>
      <c r="K4568" t="s">
        <v>87</v>
      </c>
      <c r="L4568" t="s">
        <v>13</v>
      </c>
      <c r="M4568" t="s">
        <v>63</v>
      </c>
      <c r="N4568" t="b">
        <v>0</v>
      </c>
      <c r="O4568">
        <v>0</v>
      </c>
      <c r="P4568">
        <v>0</v>
      </c>
      <c r="Q4568">
        <v>1</v>
      </c>
      <c r="R4568">
        <v>0</v>
      </c>
    </row>
    <row r="4569" spans="1:18" x14ac:dyDescent="0.25">
      <c r="A4569" t="s">
        <v>363</v>
      </c>
      <c r="B4569" t="s">
        <v>63</v>
      </c>
      <c r="C4569">
        <v>3</v>
      </c>
      <c r="D4569">
        <v>6</v>
      </c>
      <c r="E4569">
        <v>2</v>
      </c>
      <c r="F4569" s="15">
        <v>46174</v>
      </c>
      <c r="G4569" t="s">
        <v>566</v>
      </c>
      <c r="H4569">
        <v>4</v>
      </c>
      <c r="I4569">
        <v>2026</v>
      </c>
      <c r="J4569">
        <v>6</v>
      </c>
      <c r="K4569" t="s">
        <v>87</v>
      </c>
      <c r="L4569" t="s">
        <v>326</v>
      </c>
      <c r="M4569" t="s">
        <v>63</v>
      </c>
      <c r="N4569" t="b">
        <v>0</v>
      </c>
      <c r="O4569">
        <v>0</v>
      </c>
      <c r="P4569">
        <v>0</v>
      </c>
      <c r="Q4569">
        <v>1</v>
      </c>
      <c r="R4569">
        <v>0</v>
      </c>
    </row>
    <row r="4570" spans="1:18" x14ac:dyDescent="0.25">
      <c r="A4570" t="s">
        <v>363</v>
      </c>
      <c r="B4570" t="s">
        <v>63</v>
      </c>
      <c r="C4570">
        <v>3</v>
      </c>
      <c r="D4570">
        <v>6</v>
      </c>
      <c r="E4570">
        <v>2</v>
      </c>
      <c r="F4570" s="15">
        <v>46174</v>
      </c>
      <c r="G4570" t="s">
        <v>566</v>
      </c>
      <c r="H4570">
        <v>4</v>
      </c>
      <c r="I4570">
        <v>2026</v>
      </c>
      <c r="J4570">
        <v>6</v>
      </c>
      <c r="K4570" t="s">
        <v>87</v>
      </c>
      <c r="L4570" t="s">
        <v>14</v>
      </c>
      <c r="M4570" t="s">
        <v>63</v>
      </c>
      <c r="N4570" t="b">
        <v>0</v>
      </c>
      <c r="O4570">
        <v>0</v>
      </c>
      <c r="P4570">
        <v>0</v>
      </c>
      <c r="Q4570">
        <v>1</v>
      </c>
      <c r="R4570">
        <v>0</v>
      </c>
    </row>
    <row r="4571" spans="1:18" x14ac:dyDescent="0.25">
      <c r="A4571" t="s">
        <v>14</v>
      </c>
      <c r="B4571" t="s">
        <v>63</v>
      </c>
      <c r="C4571">
        <v>4</v>
      </c>
      <c r="D4571">
        <v>6</v>
      </c>
      <c r="E4571">
        <v>2</v>
      </c>
      <c r="F4571" s="15">
        <v>46174</v>
      </c>
      <c r="G4571" t="s">
        <v>566</v>
      </c>
      <c r="H4571">
        <v>4</v>
      </c>
      <c r="I4571">
        <v>2026</v>
      </c>
      <c r="J4571">
        <v>6</v>
      </c>
      <c r="K4571" t="s">
        <v>87</v>
      </c>
      <c r="L4571" t="s">
        <v>13</v>
      </c>
      <c r="M4571" t="s">
        <v>63</v>
      </c>
      <c r="N4571" t="b">
        <v>0</v>
      </c>
      <c r="O4571">
        <v>0</v>
      </c>
      <c r="P4571">
        <v>0</v>
      </c>
      <c r="Q4571">
        <v>1</v>
      </c>
      <c r="R4571">
        <v>0</v>
      </c>
    </row>
    <row r="4572" spans="1:18" x14ac:dyDescent="0.25">
      <c r="A4572" t="s">
        <v>14</v>
      </c>
      <c r="B4572" t="s">
        <v>63</v>
      </c>
      <c r="C4572">
        <v>4</v>
      </c>
      <c r="D4572">
        <v>6</v>
      </c>
      <c r="E4572">
        <v>2</v>
      </c>
      <c r="F4572" s="15">
        <v>46174</v>
      </c>
      <c r="G4572" t="s">
        <v>566</v>
      </c>
      <c r="H4572">
        <v>4</v>
      </c>
      <c r="I4572">
        <v>2026</v>
      </c>
      <c r="J4572">
        <v>6</v>
      </c>
      <c r="K4572" t="s">
        <v>87</v>
      </c>
      <c r="L4572" t="s">
        <v>326</v>
      </c>
      <c r="M4572" t="s">
        <v>63</v>
      </c>
      <c r="N4572" t="b">
        <v>0</v>
      </c>
      <c r="O4572">
        <v>0</v>
      </c>
      <c r="P4572">
        <v>0</v>
      </c>
      <c r="Q4572">
        <v>1</v>
      </c>
      <c r="R4572">
        <v>0</v>
      </c>
    </row>
    <row r="4573" spans="1:18" x14ac:dyDescent="0.25">
      <c r="A4573" t="s">
        <v>14</v>
      </c>
      <c r="B4573" t="s">
        <v>63</v>
      </c>
      <c r="C4573">
        <v>4</v>
      </c>
      <c r="D4573">
        <v>6</v>
      </c>
      <c r="E4573">
        <v>2</v>
      </c>
      <c r="F4573" s="15">
        <v>46174</v>
      </c>
      <c r="G4573" t="s">
        <v>566</v>
      </c>
      <c r="H4573">
        <v>4</v>
      </c>
      <c r="I4573">
        <v>2026</v>
      </c>
      <c r="J4573">
        <v>6</v>
      </c>
      <c r="K4573" t="s">
        <v>87</v>
      </c>
      <c r="L4573" t="s">
        <v>363</v>
      </c>
      <c r="M4573" t="s">
        <v>63</v>
      </c>
      <c r="N4573" t="b">
        <v>0</v>
      </c>
      <c r="O4573">
        <v>0</v>
      </c>
      <c r="P4573">
        <v>0</v>
      </c>
      <c r="Q4573">
        <v>1</v>
      </c>
      <c r="R4573">
        <v>0</v>
      </c>
    </row>
    <row r="4574" spans="1:18" x14ac:dyDescent="0.25">
      <c r="A4574" t="s">
        <v>13</v>
      </c>
      <c r="B4574" t="s">
        <v>8</v>
      </c>
      <c r="C4574">
        <v>1</v>
      </c>
      <c r="D4574">
        <v>1</v>
      </c>
      <c r="E4574">
        <v>1</v>
      </c>
      <c r="F4574" s="15">
        <v>46182</v>
      </c>
      <c r="G4574" t="s">
        <v>568</v>
      </c>
      <c r="H4574">
        <v>4</v>
      </c>
      <c r="I4574">
        <v>2026</v>
      </c>
      <c r="J4574">
        <v>6</v>
      </c>
      <c r="K4574" t="s">
        <v>87</v>
      </c>
      <c r="L4574" t="s">
        <v>433</v>
      </c>
      <c r="M4574" t="s">
        <v>6</v>
      </c>
      <c r="N4574" t="b">
        <v>0</v>
      </c>
      <c r="O4574">
        <v>1</v>
      </c>
      <c r="P4574">
        <v>0</v>
      </c>
      <c r="Q4574">
        <v>0</v>
      </c>
      <c r="R4574">
        <v>0</v>
      </c>
    </row>
    <row r="4575" spans="1:18" x14ac:dyDescent="0.25">
      <c r="A4575" t="s">
        <v>13</v>
      </c>
      <c r="B4575" t="s">
        <v>8</v>
      </c>
      <c r="C4575">
        <v>1</v>
      </c>
      <c r="D4575">
        <v>1</v>
      </c>
      <c r="E4575">
        <v>1</v>
      </c>
      <c r="F4575" s="15">
        <v>46182</v>
      </c>
      <c r="G4575" t="s">
        <v>568</v>
      </c>
      <c r="H4575">
        <v>4</v>
      </c>
      <c r="I4575">
        <v>2026</v>
      </c>
      <c r="J4575">
        <v>6</v>
      </c>
      <c r="K4575" t="s">
        <v>87</v>
      </c>
      <c r="L4575" t="s">
        <v>352</v>
      </c>
      <c r="M4575" t="s">
        <v>6</v>
      </c>
      <c r="N4575" t="b">
        <v>0</v>
      </c>
      <c r="O4575">
        <v>1</v>
      </c>
      <c r="P4575">
        <v>0</v>
      </c>
      <c r="Q4575">
        <v>0</v>
      </c>
      <c r="R4575">
        <v>0</v>
      </c>
    </row>
    <row r="4576" spans="1:18" x14ac:dyDescent="0.25">
      <c r="A4576" t="s">
        <v>13</v>
      </c>
      <c r="B4576" t="s">
        <v>8</v>
      </c>
      <c r="C4576">
        <v>1</v>
      </c>
      <c r="D4576">
        <v>1</v>
      </c>
      <c r="E4576">
        <v>1</v>
      </c>
      <c r="F4576" s="15">
        <v>46182</v>
      </c>
      <c r="G4576" t="s">
        <v>568</v>
      </c>
      <c r="H4576">
        <v>4</v>
      </c>
      <c r="I4576">
        <v>2026</v>
      </c>
      <c r="J4576">
        <v>6</v>
      </c>
      <c r="K4576" t="s">
        <v>87</v>
      </c>
      <c r="L4576" t="s">
        <v>363</v>
      </c>
      <c r="M4576" t="s">
        <v>6</v>
      </c>
      <c r="N4576" t="b">
        <v>0</v>
      </c>
      <c r="O4576">
        <v>1</v>
      </c>
      <c r="P4576">
        <v>0</v>
      </c>
      <c r="Q4576">
        <v>0</v>
      </c>
      <c r="R4576">
        <v>0</v>
      </c>
    </row>
    <row r="4577" spans="1:18" x14ac:dyDescent="0.25">
      <c r="A4577" t="s">
        <v>433</v>
      </c>
      <c r="B4577" t="s">
        <v>6</v>
      </c>
      <c r="C4577">
        <v>2</v>
      </c>
      <c r="D4577">
        <v>1</v>
      </c>
      <c r="E4577">
        <v>1</v>
      </c>
      <c r="F4577" s="15">
        <v>46182</v>
      </c>
      <c r="G4577" t="s">
        <v>568</v>
      </c>
      <c r="H4577">
        <v>4</v>
      </c>
      <c r="I4577">
        <v>2026</v>
      </c>
      <c r="J4577">
        <v>6</v>
      </c>
      <c r="K4577" t="s">
        <v>87</v>
      </c>
      <c r="L4577" t="s">
        <v>13</v>
      </c>
      <c r="M4577" t="s">
        <v>8</v>
      </c>
      <c r="N4577" t="b">
        <v>0</v>
      </c>
      <c r="O4577">
        <v>0</v>
      </c>
      <c r="P4577">
        <v>1</v>
      </c>
      <c r="Q4577">
        <v>0</v>
      </c>
      <c r="R4577">
        <v>1</v>
      </c>
    </row>
    <row r="4578" spans="1:18" x14ac:dyDescent="0.25">
      <c r="A4578" t="s">
        <v>433</v>
      </c>
      <c r="B4578" t="s">
        <v>6</v>
      </c>
      <c r="C4578">
        <v>2</v>
      </c>
      <c r="D4578">
        <v>1</v>
      </c>
      <c r="E4578">
        <v>1</v>
      </c>
      <c r="F4578" s="15">
        <v>46182</v>
      </c>
      <c r="G4578" t="s">
        <v>568</v>
      </c>
      <c r="H4578">
        <v>4</v>
      </c>
      <c r="I4578">
        <v>2026</v>
      </c>
      <c r="J4578">
        <v>6</v>
      </c>
      <c r="K4578" t="s">
        <v>87</v>
      </c>
      <c r="L4578" t="s">
        <v>352</v>
      </c>
      <c r="M4578" t="s">
        <v>6</v>
      </c>
      <c r="N4578" t="b">
        <v>0</v>
      </c>
      <c r="O4578">
        <v>0</v>
      </c>
      <c r="P4578">
        <v>1</v>
      </c>
      <c r="Q4578">
        <v>0</v>
      </c>
      <c r="R4578">
        <v>0</v>
      </c>
    </row>
    <row r="4579" spans="1:18" x14ac:dyDescent="0.25">
      <c r="A4579" t="s">
        <v>433</v>
      </c>
      <c r="B4579" t="s">
        <v>6</v>
      </c>
      <c r="C4579">
        <v>2</v>
      </c>
      <c r="D4579">
        <v>1</v>
      </c>
      <c r="E4579">
        <v>1</v>
      </c>
      <c r="F4579" s="15">
        <v>46182</v>
      </c>
      <c r="G4579" t="s">
        <v>568</v>
      </c>
      <c r="H4579">
        <v>4</v>
      </c>
      <c r="I4579">
        <v>2026</v>
      </c>
      <c r="J4579">
        <v>6</v>
      </c>
      <c r="K4579" t="s">
        <v>87</v>
      </c>
      <c r="L4579" t="s">
        <v>363</v>
      </c>
      <c r="M4579" t="s">
        <v>6</v>
      </c>
      <c r="N4579" t="b">
        <v>0</v>
      </c>
      <c r="O4579">
        <v>0</v>
      </c>
      <c r="P4579">
        <v>1</v>
      </c>
      <c r="Q4579">
        <v>0</v>
      </c>
      <c r="R4579">
        <v>0</v>
      </c>
    </row>
    <row r="4580" spans="1:18" x14ac:dyDescent="0.25">
      <c r="A4580" t="s">
        <v>352</v>
      </c>
      <c r="B4580" t="s">
        <v>6</v>
      </c>
      <c r="C4580">
        <v>3</v>
      </c>
      <c r="D4580">
        <v>1</v>
      </c>
      <c r="E4580">
        <v>1</v>
      </c>
      <c r="F4580" s="15">
        <v>46182</v>
      </c>
      <c r="G4580" t="s">
        <v>568</v>
      </c>
      <c r="H4580">
        <v>4</v>
      </c>
      <c r="I4580">
        <v>2026</v>
      </c>
      <c r="J4580">
        <v>6</v>
      </c>
      <c r="K4580" t="s">
        <v>87</v>
      </c>
      <c r="L4580" t="s">
        <v>13</v>
      </c>
      <c r="M4580" t="s">
        <v>8</v>
      </c>
      <c r="N4580" t="b">
        <v>0</v>
      </c>
      <c r="O4580">
        <v>0</v>
      </c>
      <c r="P4580">
        <v>1</v>
      </c>
      <c r="Q4580">
        <v>0</v>
      </c>
      <c r="R4580">
        <v>1</v>
      </c>
    </row>
    <row r="4581" spans="1:18" x14ac:dyDescent="0.25">
      <c r="A4581" t="s">
        <v>352</v>
      </c>
      <c r="B4581" t="s">
        <v>6</v>
      </c>
      <c r="C4581">
        <v>3</v>
      </c>
      <c r="D4581">
        <v>1</v>
      </c>
      <c r="E4581">
        <v>1</v>
      </c>
      <c r="F4581" s="15">
        <v>46182</v>
      </c>
      <c r="G4581" t="s">
        <v>568</v>
      </c>
      <c r="H4581">
        <v>4</v>
      </c>
      <c r="I4581">
        <v>2026</v>
      </c>
      <c r="J4581">
        <v>6</v>
      </c>
      <c r="K4581" t="s">
        <v>87</v>
      </c>
      <c r="L4581" t="s">
        <v>433</v>
      </c>
      <c r="M4581" t="s">
        <v>6</v>
      </c>
      <c r="N4581" t="b">
        <v>0</v>
      </c>
      <c r="O4581">
        <v>0</v>
      </c>
      <c r="P4581">
        <v>1</v>
      </c>
      <c r="Q4581">
        <v>0</v>
      </c>
      <c r="R4581">
        <v>0</v>
      </c>
    </row>
    <row r="4582" spans="1:18" x14ac:dyDescent="0.25">
      <c r="A4582" t="s">
        <v>352</v>
      </c>
      <c r="B4582" t="s">
        <v>6</v>
      </c>
      <c r="C4582">
        <v>3</v>
      </c>
      <c r="D4582">
        <v>1</v>
      </c>
      <c r="E4582">
        <v>1</v>
      </c>
      <c r="F4582" s="15">
        <v>46182</v>
      </c>
      <c r="G4582" t="s">
        <v>568</v>
      </c>
      <c r="H4582">
        <v>4</v>
      </c>
      <c r="I4582">
        <v>2026</v>
      </c>
      <c r="J4582">
        <v>6</v>
      </c>
      <c r="K4582" t="s">
        <v>87</v>
      </c>
      <c r="L4582" t="s">
        <v>363</v>
      </c>
      <c r="M4582" t="s">
        <v>6</v>
      </c>
      <c r="N4582" t="b">
        <v>0</v>
      </c>
      <c r="O4582">
        <v>0</v>
      </c>
      <c r="P4582">
        <v>1</v>
      </c>
      <c r="Q4582">
        <v>0</v>
      </c>
      <c r="R4582">
        <v>0</v>
      </c>
    </row>
    <row r="4583" spans="1:18" x14ac:dyDescent="0.25">
      <c r="A4583" t="s">
        <v>363</v>
      </c>
      <c r="B4583" t="s">
        <v>6</v>
      </c>
      <c r="C4583">
        <v>4</v>
      </c>
      <c r="D4583">
        <v>1</v>
      </c>
      <c r="E4583">
        <v>1</v>
      </c>
      <c r="F4583" s="15">
        <v>46182</v>
      </c>
      <c r="G4583" t="s">
        <v>568</v>
      </c>
      <c r="H4583">
        <v>4</v>
      </c>
      <c r="I4583">
        <v>2026</v>
      </c>
      <c r="J4583">
        <v>6</v>
      </c>
      <c r="K4583" t="s">
        <v>87</v>
      </c>
      <c r="L4583" t="s">
        <v>13</v>
      </c>
      <c r="M4583" t="s">
        <v>8</v>
      </c>
      <c r="N4583" t="b">
        <v>0</v>
      </c>
      <c r="O4583">
        <v>0</v>
      </c>
      <c r="P4583">
        <v>1</v>
      </c>
      <c r="Q4583">
        <v>0</v>
      </c>
      <c r="R4583">
        <v>1</v>
      </c>
    </row>
    <row r="4584" spans="1:18" x14ac:dyDescent="0.25">
      <c r="A4584" t="s">
        <v>363</v>
      </c>
      <c r="B4584" t="s">
        <v>6</v>
      </c>
      <c r="C4584">
        <v>4</v>
      </c>
      <c r="D4584">
        <v>1</v>
      </c>
      <c r="E4584">
        <v>1</v>
      </c>
      <c r="F4584" s="15">
        <v>46182</v>
      </c>
      <c r="G4584" t="s">
        <v>568</v>
      </c>
      <c r="H4584">
        <v>4</v>
      </c>
      <c r="I4584">
        <v>2026</v>
      </c>
      <c r="J4584">
        <v>6</v>
      </c>
      <c r="K4584" t="s">
        <v>87</v>
      </c>
      <c r="L4584" t="s">
        <v>433</v>
      </c>
      <c r="M4584" t="s">
        <v>6</v>
      </c>
      <c r="N4584" t="b">
        <v>0</v>
      </c>
      <c r="O4584">
        <v>0</v>
      </c>
      <c r="P4584">
        <v>1</v>
      </c>
      <c r="Q4584">
        <v>0</v>
      </c>
      <c r="R4584">
        <v>0</v>
      </c>
    </row>
    <row r="4585" spans="1:18" x14ac:dyDescent="0.25">
      <c r="A4585" t="s">
        <v>363</v>
      </c>
      <c r="B4585" t="s">
        <v>6</v>
      </c>
      <c r="C4585">
        <v>4</v>
      </c>
      <c r="D4585">
        <v>1</v>
      </c>
      <c r="E4585">
        <v>1</v>
      </c>
      <c r="F4585" s="15">
        <v>46182</v>
      </c>
      <c r="G4585" t="s">
        <v>568</v>
      </c>
      <c r="H4585">
        <v>4</v>
      </c>
      <c r="I4585">
        <v>2026</v>
      </c>
      <c r="J4585">
        <v>6</v>
      </c>
      <c r="K4585" t="s">
        <v>87</v>
      </c>
      <c r="L4585" t="s">
        <v>352</v>
      </c>
      <c r="M4585" t="s">
        <v>6</v>
      </c>
      <c r="N4585" t="b">
        <v>0</v>
      </c>
      <c r="O4585">
        <v>0</v>
      </c>
      <c r="P4585">
        <v>1</v>
      </c>
      <c r="Q4585">
        <v>0</v>
      </c>
      <c r="R4585">
        <v>0</v>
      </c>
    </row>
    <row r="4586" spans="1:18" x14ac:dyDescent="0.25">
      <c r="A4586" t="s">
        <v>9</v>
      </c>
      <c r="B4586" t="s">
        <v>6</v>
      </c>
      <c r="C4586">
        <v>1</v>
      </c>
      <c r="D4586">
        <v>2</v>
      </c>
      <c r="E4586">
        <v>1</v>
      </c>
      <c r="F4586" s="15">
        <v>46182</v>
      </c>
      <c r="G4586" t="s">
        <v>569</v>
      </c>
      <c r="H4586">
        <v>4</v>
      </c>
      <c r="I4586">
        <v>2026</v>
      </c>
      <c r="J4586">
        <v>6</v>
      </c>
      <c r="K4586" t="s">
        <v>87</v>
      </c>
      <c r="L4586" t="s">
        <v>14</v>
      </c>
      <c r="M4586" t="s">
        <v>8</v>
      </c>
      <c r="N4586" t="b">
        <v>0</v>
      </c>
      <c r="O4586">
        <v>0</v>
      </c>
      <c r="P4586">
        <v>1</v>
      </c>
      <c r="Q4586">
        <v>0</v>
      </c>
      <c r="R4586">
        <v>1</v>
      </c>
    </row>
    <row r="4587" spans="1:18" x14ac:dyDescent="0.25">
      <c r="A4587" t="s">
        <v>9</v>
      </c>
      <c r="B4587" t="s">
        <v>6</v>
      </c>
      <c r="C4587">
        <v>1</v>
      </c>
      <c r="D4587">
        <v>2</v>
      </c>
      <c r="E4587">
        <v>1</v>
      </c>
      <c r="F4587" s="15">
        <v>46182</v>
      </c>
      <c r="G4587" t="s">
        <v>569</v>
      </c>
      <c r="H4587">
        <v>4</v>
      </c>
      <c r="I4587">
        <v>2026</v>
      </c>
      <c r="J4587">
        <v>6</v>
      </c>
      <c r="K4587" t="s">
        <v>87</v>
      </c>
      <c r="L4587" t="s">
        <v>7</v>
      </c>
      <c r="M4587" t="s">
        <v>6</v>
      </c>
      <c r="N4587" t="b">
        <v>0</v>
      </c>
      <c r="O4587">
        <v>0</v>
      </c>
      <c r="P4587">
        <v>1</v>
      </c>
      <c r="Q4587">
        <v>0</v>
      </c>
      <c r="R4587">
        <v>0</v>
      </c>
    </row>
    <row r="4588" spans="1:18" x14ac:dyDescent="0.25">
      <c r="A4588" t="s">
        <v>9</v>
      </c>
      <c r="B4588" t="s">
        <v>6</v>
      </c>
      <c r="C4588">
        <v>1</v>
      </c>
      <c r="D4588">
        <v>2</v>
      </c>
      <c r="E4588">
        <v>1</v>
      </c>
      <c r="F4588" s="15">
        <v>46182</v>
      </c>
      <c r="G4588" t="s">
        <v>569</v>
      </c>
      <c r="H4588">
        <v>4</v>
      </c>
      <c r="I4588">
        <v>2026</v>
      </c>
      <c r="J4588">
        <v>6</v>
      </c>
      <c r="K4588" t="s">
        <v>87</v>
      </c>
      <c r="L4588" t="s">
        <v>540</v>
      </c>
      <c r="M4588" t="s">
        <v>6</v>
      </c>
      <c r="N4588" t="b">
        <v>0</v>
      </c>
      <c r="O4588">
        <v>0</v>
      </c>
      <c r="P4588">
        <v>1</v>
      </c>
      <c r="Q4588">
        <v>0</v>
      </c>
      <c r="R4588">
        <v>0</v>
      </c>
    </row>
    <row r="4589" spans="1:18" x14ac:dyDescent="0.25">
      <c r="A4589" t="s">
        <v>14</v>
      </c>
      <c r="B4589" t="s">
        <v>8</v>
      </c>
      <c r="C4589">
        <v>2</v>
      </c>
      <c r="D4589">
        <v>2</v>
      </c>
      <c r="E4589">
        <v>1</v>
      </c>
      <c r="F4589" s="15">
        <v>46182</v>
      </c>
      <c r="G4589" t="s">
        <v>569</v>
      </c>
      <c r="H4589">
        <v>4</v>
      </c>
      <c r="I4589">
        <v>2026</v>
      </c>
      <c r="J4589">
        <v>6</v>
      </c>
      <c r="K4589" t="s">
        <v>87</v>
      </c>
      <c r="L4589" t="s">
        <v>9</v>
      </c>
      <c r="M4589" t="s">
        <v>6</v>
      </c>
      <c r="N4589" t="b">
        <v>0</v>
      </c>
      <c r="O4589">
        <v>1</v>
      </c>
      <c r="P4589">
        <v>0</v>
      </c>
      <c r="Q4589">
        <v>0</v>
      </c>
      <c r="R4589">
        <v>0</v>
      </c>
    </row>
    <row r="4590" spans="1:18" x14ac:dyDescent="0.25">
      <c r="A4590" t="s">
        <v>14</v>
      </c>
      <c r="B4590" t="s">
        <v>8</v>
      </c>
      <c r="C4590">
        <v>2</v>
      </c>
      <c r="D4590">
        <v>2</v>
      </c>
      <c r="E4590">
        <v>1</v>
      </c>
      <c r="F4590" s="15">
        <v>46182</v>
      </c>
      <c r="G4590" t="s">
        <v>569</v>
      </c>
      <c r="H4590">
        <v>4</v>
      </c>
      <c r="I4590">
        <v>2026</v>
      </c>
      <c r="J4590">
        <v>6</v>
      </c>
      <c r="K4590" t="s">
        <v>87</v>
      </c>
      <c r="L4590" t="s">
        <v>7</v>
      </c>
      <c r="M4590" t="s">
        <v>6</v>
      </c>
      <c r="N4590" t="b">
        <v>0</v>
      </c>
      <c r="O4590">
        <v>1</v>
      </c>
      <c r="P4590">
        <v>0</v>
      </c>
      <c r="Q4590">
        <v>0</v>
      </c>
      <c r="R4590">
        <v>0</v>
      </c>
    </row>
    <row r="4591" spans="1:18" x14ac:dyDescent="0.25">
      <c r="A4591" t="s">
        <v>14</v>
      </c>
      <c r="B4591" t="s">
        <v>8</v>
      </c>
      <c r="C4591">
        <v>2</v>
      </c>
      <c r="D4591">
        <v>2</v>
      </c>
      <c r="E4591">
        <v>1</v>
      </c>
      <c r="F4591" s="15">
        <v>46182</v>
      </c>
      <c r="G4591" t="s">
        <v>569</v>
      </c>
      <c r="H4591">
        <v>4</v>
      </c>
      <c r="I4591">
        <v>2026</v>
      </c>
      <c r="J4591">
        <v>6</v>
      </c>
      <c r="K4591" t="s">
        <v>87</v>
      </c>
      <c r="L4591" t="s">
        <v>540</v>
      </c>
      <c r="M4591" t="s">
        <v>6</v>
      </c>
      <c r="N4591" t="b">
        <v>0</v>
      </c>
      <c r="O4591">
        <v>1</v>
      </c>
      <c r="P4591">
        <v>0</v>
      </c>
      <c r="Q4591">
        <v>0</v>
      </c>
      <c r="R4591">
        <v>0</v>
      </c>
    </row>
    <row r="4592" spans="1:18" x14ac:dyDescent="0.25">
      <c r="A4592" t="s">
        <v>7</v>
      </c>
      <c r="B4592" t="s">
        <v>6</v>
      </c>
      <c r="C4592">
        <v>3</v>
      </c>
      <c r="D4592">
        <v>2</v>
      </c>
      <c r="E4592">
        <v>1</v>
      </c>
      <c r="F4592" s="15">
        <v>46182</v>
      </c>
      <c r="G4592" t="s">
        <v>569</v>
      </c>
      <c r="H4592">
        <v>4</v>
      </c>
      <c r="I4592">
        <v>2026</v>
      </c>
      <c r="J4592">
        <v>6</v>
      </c>
      <c r="K4592" t="s">
        <v>87</v>
      </c>
      <c r="L4592" t="s">
        <v>9</v>
      </c>
      <c r="M4592" t="s">
        <v>6</v>
      </c>
      <c r="N4592" t="b">
        <v>0</v>
      </c>
      <c r="O4592">
        <v>0</v>
      </c>
      <c r="P4592">
        <v>1</v>
      </c>
      <c r="Q4592">
        <v>0</v>
      </c>
      <c r="R4592">
        <v>0</v>
      </c>
    </row>
    <row r="4593" spans="1:18" x14ac:dyDescent="0.25">
      <c r="A4593" t="s">
        <v>7</v>
      </c>
      <c r="B4593" t="s">
        <v>6</v>
      </c>
      <c r="C4593">
        <v>3</v>
      </c>
      <c r="D4593">
        <v>2</v>
      </c>
      <c r="E4593">
        <v>1</v>
      </c>
      <c r="F4593" s="15">
        <v>46182</v>
      </c>
      <c r="G4593" t="s">
        <v>569</v>
      </c>
      <c r="H4593">
        <v>4</v>
      </c>
      <c r="I4593">
        <v>2026</v>
      </c>
      <c r="J4593">
        <v>6</v>
      </c>
      <c r="K4593" t="s">
        <v>87</v>
      </c>
      <c r="L4593" t="s">
        <v>14</v>
      </c>
      <c r="M4593" t="s">
        <v>8</v>
      </c>
      <c r="N4593" t="b">
        <v>0</v>
      </c>
      <c r="O4593">
        <v>0</v>
      </c>
      <c r="P4593">
        <v>1</v>
      </c>
      <c r="Q4593">
        <v>0</v>
      </c>
      <c r="R4593">
        <v>1</v>
      </c>
    </row>
    <row r="4594" spans="1:18" x14ac:dyDescent="0.25">
      <c r="A4594" t="s">
        <v>7</v>
      </c>
      <c r="B4594" t="s">
        <v>6</v>
      </c>
      <c r="C4594">
        <v>3</v>
      </c>
      <c r="D4594">
        <v>2</v>
      </c>
      <c r="E4594">
        <v>1</v>
      </c>
      <c r="F4594" s="15">
        <v>46182</v>
      </c>
      <c r="G4594" t="s">
        <v>569</v>
      </c>
      <c r="H4594">
        <v>4</v>
      </c>
      <c r="I4594">
        <v>2026</v>
      </c>
      <c r="J4594">
        <v>6</v>
      </c>
      <c r="K4594" t="s">
        <v>87</v>
      </c>
      <c r="L4594" t="s">
        <v>540</v>
      </c>
      <c r="M4594" t="s">
        <v>6</v>
      </c>
      <c r="N4594" t="b">
        <v>0</v>
      </c>
      <c r="O4594">
        <v>0</v>
      </c>
      <c r="P4594">
        <v>1</v>
      </c>
      <c r="Q4594">
        <v>0</v>
      </c>
      <c r="R4594">
        <v>0</v>
      </c>
    </row>
    <row r="4595" spans="1:18" x14ac:dyDescent="0.25">
      <c r="A4595" t="s">
        <v>540</v>
      </c>
      <c r="B4595" t="s">
        <v>6</v>
      </c>
      <c r="C4595">
        <v>4</v>
      </c>
      <c r="D4595">
        <v>2</v>
      </c>
      <c r="E4595">
        <v>1</v>
      </c>
      <c r="F4595" s="15">
        <v>46182</v>
      </c>
      <c r="G4595" t="s">
        <v>569</v>
      </c>
      <c r="H4595">
        <v>4</v>
      </c>
      <c r="I4595">
        <v>2026</v>
      </c>
      <c r="J4595">
        <v>6</v>
      </c>
      <c r="K4595" t="s">
        <v>87</v>
      </c>
      <c r="L4595" t="s">
        <v>9</v>
      </c>
      <c r="M4595" t="s">
        <v>6</v>
      </c>
      <c r="N4595" t="b">
        <v>0</v>
      </c>
      <c r="O4595">
        <v>0</v>
      </c>
      <c r="P4595">
        <v>1</v>
      </c>
      <c r="Q4595">
        <v>0</v>
      </c>
      <c r="R4595">
        <v>0</v>
      </c>
    </row>
    <row r="4596" spans="1:18" x14ac:dyDescent="0.25">
      <c r="A4596" t="s">
        <v>540</v>
      </c>
      <c r="B4596" t="s">
        <v>6</v>
      </c>
      <c r="C4596">
        <v>4</v>
      </c>
      <c r="D4596">
        <v>2</v>
      </c>
      <c r="E4596">
        <v>1</v>
      </c>
      <c r="F4596" s="15">
        <v>46182</v>
      </c>
      <c r="G4596" t="s">
        <v>569</v>
      </c>
      <c r="H4596">
        <v>4</v>
      </c>
      <c r="I4596">
        <v>2026</v>
      </c>
      <c r="J4596">
        <v>6</v>
      </c>
      <c r="K4596" t="s">
        <v>87</v>
      </c>
      <c r="L4596" t="s">
        <v>14</v>
      </c>
      <c r="M4596" t="s">
        <v>8</v>
      </c>
      <c r="N4596" t="b">
        <v>0</v>
      </c>
      <c r="O4596">
        <v>0</v>
      </c>
      <c r="P4596">
        <v>1</v>
      </c>
      <c r="Q4596">
        <v>0</v>
      </c>
      <c r="R4596">
        <v>1</v>
      </c>
    </row>
    <row r="4597" spans="1:18" x14ac:dyDescent="0.25">
      <c r="A4597" t="s">
        <v>540</v>
      </c>
      <c r="B4597" t="s">
        <v>6</v>
      </c>
      <c r="C4597">
        <v>4</v>
      </c>
      <c r="D4597">
        <v>2</v>
      </c>
      <c r="E4597">
        <v>1</v>
      </c>
      <c r="F4597" s="15">
        <v>46182</v>
      </c>
      <c r="G4597" t="s">
        <v>569</v>
      </c>
      <c r="H4597">
        <v>4</v>
      </c>
      <c r="I4597">
        <v>2026</v>
      </c>
      <c r="J4597">
        <v>6</v>
      </c>
      <c r="K4597" t="s">
        <v>87</v>
      </c>
      <c r="L4597" t="s">
        <v>7</v>
      </c>
      <c r="M4597" t="s">
        <v>6</v>
      </c>
      <c r="N4597" t="b">
        <v>0</v>
      </c>
      <c r="O4597">
        <v>0</v>
      </c>
      <c r="P4597">
        <v>1</v>
      </c>
      <c r="Q4597">
        <v>0</v>
      </c>
      <c r="R4597">
        <v>0</v>
      </c>
    </row>
    <row r="4598" spans="1:18" x14ac:dyDescent="0.25">
      <c r="A4598" t="s">
        <v>19</v>
      </c>
      <c r="B4598" t="s">
        <v>63</v>
      </c>
      <c r="C4598">
        <v>1</v>
      </c>
      <c r="D4598">
        <v>3</v>
      </c>
      <c r="E4598">
        <v>1</v>
      </c>
      <c r="F4598" s="15">
        <v>46182</v>
      </c>
      <c r="G4598" t="s">
        <v>570</v>
      </c>
      <c r="H4598">
        <v>4</v>
      </c>
      <c r="I4598">
        <v>2026</v>
      </c>
      <c r="J4598">
        <v>6</v>
      </c>
      <c r="K4598" t="s">
        <v>87</v>
      </c>
      <c r="L4598" t="s">
        <v>519</v>
      </c>
      <c r="M4598" t="s">
        <v>63</v>
      </c>
      <c r="N4598" t="b">
        <v>0</v>
      </c>
      <c r="O4598">
        <v>0</v>
      </c>
      <c r="P4598">
        <v>0</v>
      </c>
      <c r="Q4598">
        <v>1</v>
      </c>
      <c r="R4598">
        <v>0</v>
      </c>
    </row>
    <row r="4599" spans="1:18" x14ac:dyDescent="0.25">
      <c r="A4599" t="s">
        <v>19</v>
      </c>
      <c r="B4599" t="s">
        <v>63</v>
      </c>
      <c r="C4599">
        <v>1</v>
      </c>
      <c r="D4599">
        <v>3</v>
      </c>
      <c r="E4599">
        <v>1</v>
      </c>
      <c r="F4599" s="15">
        <v>46182</v>
      </c>
      <c r="G4599" t="s">
        <v>570</v>
      </c>
      <c r="H4599">
        <v>4</v>
      </c>
      <c r="I4599">
        <v>2026</v>
      </c>
      <c r="J4599">
        <v>6</v>
      </c>
      <c r="K4599" t="s">
        <v>87</v>
      </c>
      <c r="L4599" t="s">
        <v>10</v>
      </c>
      <c r="M4599" t="s">
        <v>63</v>
      </c>
      <c r="N4599" t="b">
        <v>0</v>
      </c>
      <c r="O4599">
        <v>0</v>
      </c>
      <c r="P4599">
        <v>0</v>
      </c>
      <c r="Q4599">
        <v>1</v>
      </c>
      <c r="R4599">
        <v>0</v>
      </c>
    </row>
    <row r="4600" spans="1:18" x14ac:dyDescent="0.25">
      <c r="A4600" t="s">
        <v>19</v>
      </c>
      <c r="B4600" t="s">
        <v>63</v>
      </c>
      <c r="C4600">
        <v>1</v>
      </c>
      <c r="D4600">
        <v>3</v>
      </c>
      <c r="E4600">
        <v>1</v>
      </c>
      <c r="F4600" s="15">
        <v>46182</v>
      </c>
      <c r="G4600" t="s">
        <v>570</v>
      </c>
      <c r="H4600">
        <v>4</v>
      </c>
      <c r="I4600">
        <v>2026</v>
      </c>
      <c r="J4600">
        <v>6</v>
      </c>
      <c r="K4600" t="s">
        <v>87</v>
      </c>
      <c r="L4600" t="s">
        <v>17</v>
      </c>
      <c r="M4600" t="s">
        <v>63</v>
      </c>
      <c r="N4600" t="b">
        <v>0</v>
      </c>
      <c r="O4600">
        <v>0</v>
      </c>
      <c r="P4600">
        <v>0</v>
      </c>
      <c r="Q4600">
        <v>1</v>
      </c>
      <c r="R4600">
        <v>0</v>
      </c>
    </row>
    <row r="4601" spans="1:18" x14ac:dyDescent="0.25">
      <c r="A4601" t="s">
        <v>519</v>
      </c>
      <c r="B4601" t="s">
        <v>63</v>
      </c>
      <c r="C4601">
        <v>2</v>
      </c>
      <c r="D4601">
        <v>3</v>
      </c>
      <c r="E4601">
        <v>1</v>
      </c>
      <c r="F4601" s="15">
        <v>46182</v>
      </c>
      <c r="G4601" t="s">
        <v>570</v>
      </c>
      <c r="H4601">
        <v>4</v>
      </c>
      <c r="I4601">
        <v>2026</v>
      </c>
      <c r="J4601">
        <v>6</v>
      </c>
      <c r="K4601" t="s">
        <v>87</v>
      </c>
      <c r="L4601" t="s">
        <v>19</v>
      </c>
      <c r="M4601" t="s">
        <v>63</v>
      </c>
      <c r="N4601" t="b">
        <v>0</v>
      </c>
      <c r="O4601">
        <v>0</v>
      </c>
      <c r="P4601">
        <v>0</v>
      </c>
      <c r="Q4601">
        <v>1</v>
      </c>
      <c r="R4601">
        <v>0</v>
      </c>
    </row>
    <row r="4602" spans="1:18" x14ac:dyDescent="0.25">
      <c r="A4602" t="s">
        <v>519</v>
      </c>
      <c r="B4602" t="s">
        <v>63</v>
      </c>
      <c r="C4602">
        <v>2</v>
      </c>
      <c r="D4602">
        <v>3</v>
      </c>
      <c r="E4602">
        <v>1</v>
      </c>
      <c r="F4602" s="15">
        <v>46182</v>
      </c>
      <c r="G4602" t="s">
        <v>570</v>
      </c>
      <c r="H4602">
        <v>4</v>
      </c>
      <c r="I4602">
        <v>2026</v>
      </c>
      <c r="J4602">
        <v>6</v>
      </c>
      <c r="K4602" t="s">
        <v>87</v>
      </c>
      <c r="L4602" t="s">
        <v>10</v>
      </c>
      <c r="M4602" t="s">
        <v>63</v>
      </c>
      <c r="N4602" t="b">
        <v>0</v>
      </c>
      <c r="O4602">
        <v>0</v>
      </c>
      <c r="P4602">
        <v>0</v>
      </c>
      <c r="Q4602">
        <v>1</v>
      </c>
      <c r="R4602">
        <v>0</v>
      </c>
    </row>
    <row r="4603" spans="1:18" x14ac:dyDescent="0.25">
      <c r="A4603" t="s">
        <v>519</v>
      </c>
      <c r="B4603" t="s">
        <v>63</v>
      </c>
      <c r="C4603">
        <v>2</v>
      </c>
      <c r="D4603">
        <v>3</v>
      </c>
      <c r="E4603">
        <v>1</v>
      </c>
      <c r="F4603" s="15">
        <v>46182</v>
      </c>
      <c r="G4603" t="s">
        <v>570</v>
      </c>
      <c r="H4603">
        <v>4</v>
      </c>
      <c r="I4603">
        <v>2026</v>
      </c>
      <c r="J4603">
        <v>6</v>
      </c>
      <c r="K4603" t="s">
        <v>87</v>
      </c>
      <c r="L4603" t="s">
        <v>17</v>
      </c>
      <c r="M4603" t="s">
        <v>63</v>
      </c>
      <c r="N4603" t="b">
        <v>0</v>
      </c>
      <c r="O4603">
        <v>0</v>
      </c>
      <c r="P4603">
        <v>0</v>
      </c>
      <c r="Q4603">
        <v>1</v>
      </c>
      <c r="R4603">
        <v>0</v>
      </c>
    </row>
    <row r="4604" spans="1:18" x14ac:dyDescent="0.25">
      <c r="A4604" t="s">
        <v>10</v>
      </c>
      <c r="B4604" t="s">
        <v>63</v>
      </c>
      <c r="C4604">
        <v>3</v>
      </c>
      <c r="D4604">
        <v>3</v>
      </c>
      <c r="E4604">
        <v>1</v>
      </c>
      <c r="F4604" s="15">
        <v>46182</v>
      </c>
      <c r="G4604" t="s">
        <v>570</v>
      </c>
      <c r="H4604">
        <v>4</v>
      </c>
      <c r="I4604">
        <v>2026</v>
      </c>
      <c r="J4604">
        <v>6</v>
      </c>
      <c r="K4604" t="s">
        <v>87</v>
      </c>
      <c r="L4604" t="s">
        <v>19</v>
      </c>
      <c r="M4604" t="s">
        <v>63</v>
      </c>
      <c r="N4604" t="b">
        <v>0</v>
      </c>
      <c r="O4604">
        <v>0</v>
      </c>
      <c r="P4604">
        <v>0</v>
      </c>
      <c r="Q4604">
        <v>1</v>
      </c>
      <c r="R4604">
        <v>0</v>
      </c>
    </row>
    <row r="4605" spans="1:18" x14ac:dyDescent="0.25">
      <c r="A4605" t="s">
        <v>10</v>
      </c>
      <c r="B4605" t="s">
        <v>63</v>
      </c>
      <c r="C4605">
        <v>3</v>
      </c>
      <c r="D4605">
        <v>3</v>
      </c>
      <c r="E4605">
        <v>1</v>
      </c>
      <c r="F4605" s="15">
        <v>46182</v>
      </c>
      <c r="G4605" t="s">
        <v>570</v>
      </c>
      <c r="H4605">
        <v>4</v>
      </c>
      <c r="I4605">
        <v>2026</v>
      </c>
      <c r="J4605">
        <v>6</v>
      </c>
      <c r="K4605" t="s">
        <v>87</v>
      </c>
      <c r="L4605" t="s">
        <v>519</v>
      </c>
      <c r="M4605" t="s">
        <v>63</v>
      </c>
      <c r="N4605" t="b">
        <v>0</v>
      </c>
      <c r="O4605">
        <v>0</v>
      </c>
      <c r="P4605">
        <v>0</v>
      </c>
      <c r="Q4605">
        <v>1</v>
      </c>
      <c r="R4605">
        <v>0</v>
      </c>
    </row>
    <row r="4606" spans="1:18" x14ac:dyDescent="0.25">
      <c r="A4606" t="s">
        <v>10</v>
      </c>
      <c r="B4606" t="s">
        <v>63</v>
      </c>
      <c r="C4606">
        <v>3</v>
      </c>
      <c r="D4606">
        <v>3</v>
      </c>
      <c r="E4606">
        <v>1</v>
      </c>
      <c r="F4606" s="15">
        <v>46182</v>
      </c>
      <c r="G4606" t="s">
        <v>570</v>
      </c>
      <c r="H4606">
        <v>4</v>
      </c>
      <c r="I4606">
        <v>2026</v>
      </c>
      <c r="J4606">
        <v>6</v>
      </c>
      <c r="K4606" t="s">
        <v>87</v>
      </c>
      <c r="L4606" t="s">
        <v>17</v>
      </c>
      <c r="M4606" t="s">
        <v>63</v>
      </c>
      <c r="N4606" t="b">
        <v>0</v>
      </c>
      <c r="O4606">
        <v>0</v>
      </c>
      <c r="P4606">
        <v>0</v>
      </c>
      <c r="Q4606">
        <v>1</v>
      </c>
      <c r="R4606">
        <v>0</v>
      </c>
    </row>
    <row r="4607" spans="1:18" x14ac:dyDescent="0.25">
      <c r="A4607" t="s">
        <v>17</v>
      </c>
      <c r="B4607" t="s">
        <v>63</v>
      </c>
      <c r="C4607">
        <v>4</v>
      </c>
      <c r="D4607">
        <v>3</v>
      </c>
      <c r="E4607">
        <v>1</v>
      </c>
      <c r="F4607" s="15">
        <v>46182</v>
      </c>
      <c r="G4607" t="s">
        <v>570</v>
      </c>
      <c r="H4607">
        <v>4</v>
      </c>
      <c r="I4607">
        <v>2026</v>
      </c>
      <c r="J4607">
        <v>6</v>
      </c>
      <c r="K4607" t="s">
        <v>87</v>
      </c>
      <c r="L4607" t="s">
        <v>19</v>
      </c>
      <c r="M4607" t="s">
        <v>63</v>
      </c>
      <c r="N4607" t="b">
        <v>0</v>
      </c>
      <c r="O4607">
        <v>0</v>
      </c>
      <c r="P4607">
        <v>0</v>
      </c>
      <c r="Q4607">
        <v>1</v>
      </c>
      <c r="R4607">
        <v>0</v>
      </c>
    </row>
    <row r="4608" spans="1:18" x14ac:dyDescent="0.25">
      <c r="A4608" t="s">
        <v>17</v>
      </c>
      <c r="B4608" t="s">
        <v>63</v>
      </c>
      <c r="C4608">
        <v>4</v>
      </c>
      <c r="D4608">
        <v>3</v>
      </c>
      <c r="E4608">
        <v>1</v>
      </c>
      <c r="F4608" s="15">
        <v>46182</v>
      </c>
      <c r="G4608" t="s">
        <v>570</v>
      </c>
      <c r="H4608">
        <v>4</v>
      </c>
      <c r="I4608">
        <v>2026</v>
      </c>
      <c r="J4608">
        <v>6</v>
      </c>
      <c r="K4608" t="s">
        <v>87</v>
      </c>
      <c r="L4608" t="s">
        <v>519</v>
      </c>
      <c r="M4608" t="s">
        <v>63</v>
      </c>
      <c r="N4608" t="b">
        <v>0</v>
      </c>
      <c r="O4608">
        <v>0</v>
      </c>
      <c r="P4608">
        <v>0</v>
      </c>
      <c r="Q4608">
        <v>1</v>
      </c>
      <c r="R4608">
        <v>0</v>
      </c>
    </row>
    <row r="4609" spans="1:18" x14ac:dyDescent="0.25">
      <c r="A4609" t="s">
        <v>17</v>
      </c>
      <c r="B4609" t="s">
        <v>63</v>
      </c>
      <c r="C4609">
        <v>4</v>
      </c>
      <c r="D4609">
        <v>3</v>
      </c>
      <c r="E4609">
        <v>1</v>
      </c>
      <c r="F4609" s="15">
        <v>46182</v>
      </c>
      <c r="G4609" t="s">
        <v>570</v>
      </c>
      <c r="H4609">
        <v>4</v>
      </c>
      <c r="I4609">
        <v>2026</v>
      </c>
      <c r="J4609">
        <v>6</v>
      </c>
      <c r="K4609" t="s">
        <v>87</v>
      </c>
      <c r="L4609" t="s">
        <v>10</v>
      </c>
      <c r="M4609" t="s">
        <v>63</v>
      </c>
      <c r="N4609" t="b">
        <v>0</v>
      </c>
      <c r="O4609">
        <v>0</v>
      </c>
      <c r="P4609">
        <v>0</v>
      </c>
      <c r="Q4609">
        <v>1</v>
      </c>
      <c r="R4609">
        <v>0</v>
      </c>
    </row>
    <row r="4610" spans="1:18" x14ac:dyDescent="0.25">
      <c r="A4610" t="s">
        <v>28</v>
      </c>
      <c r="B4610" t="s">
        <v>63</v>
      </c>
      <c r="C4610">
        <v>1</v>
      </c>
      <c r="D4610">
        <v>4</v>
      </c>
      <c r="E4610">
        <v>1</v>
      </c>
      <c r="F4610" s="15">
        <v>46182</v>
      </c>
      <c r="G4610" t="s">
        <v>571</v>
      </c>
      <c r="H4610">
        <v>4</v>
      </c>
      <c r="I4610">
        <v>2026</v>
      </c>
      <c r="J4610">
        <v>6</v>
      </c>
      <c r="K4610" t="s">
        <v>87</v>
      </c>
      <c r="L4610" t="s">
        <v>20</v>
      </c>
      <c r="M4610" t="s">
        <v>63</v>
      </c>
      <c r="N4610" t="b">
        <v>0</v>
      </c>
      <c r="O4610">
        <v>0</v>
      </c>
      <c r="P4610">
        <v>0</v>
      </c>
      <c r="Q4610">
        <v>1</v>
      </c>
      <c r="R4610">
        <v>0</v>
      </c>
    </row>
    <row r="4611" spans="1:18" x14ac:dyDescent="0.25">
      <c r="A4611" t="s">
        <v>28</v>
      </c>
      <c r="B4611" t="s">
        <v>63</v>
      </c>
      <c r="C4611">
        <v>1</v>
      </c>
      <c r="D4611">
        <v>4</v>
      </c>
      <c r="E4611">
        <v>1</v>
      </c>
      <c r="F4611" s="15">
        <v>46182</v>
      </c>
      <c r="G4611" t="s">
        <v>571</v>
      </c>
      <c r="H4611">
        <v>4</v>
      </c>
      <c r="I4611">
        <v>2026</v>
      </c>
      <c r="J4611">
        <v>6</v>
      </c>
      <c r="K4611" t="s">
        <v>87</v>
      </c>
      <c r="L4611" t="s">
        <v>435</v>
      </c>
      <c r="M4611" t="s">
        <v>63</v>
      </c>
      <c r="N4611" t="b">
        <v>0</v>
      </c>
      <c r="O4611">
        <v>0</v>
      </c>
      <c r="P4611">
        <v>0</v>
      </c>
      <c r="Q4611">
        <v>1</v>
      </c>
      <c r="R4611">
        <v>0</v>
      </c>
    </row>
    <row r="4612" spans="1:18" x14ac:dyDescent="0.25">
      <c r="A4612" t="s">
        <v>28</v>
      </c>
      <c r="B4612" t="s">
        <v>63</v>
      </c>
      <c r="C4612">
        <v>1</v>
      </c>
      <c r="D4612">
        <v>4</v>
      </c>
      <c r="E4612">
        <v>1</v>
      </c>
      <c r="F4612" s="15">
        <v>46182</v>
      </c>
      <c r="G4612" t="s">
        <v>571</v>
      </c>
      <c r="H4612">
        <v>4</v>
      </c>
      <c r="I4612">
        <v>2026</v>
      </c>
      <c r="J4612">
        <v>6</v>
      </c>
      <c r="K4612" t="s">
        <v>87</v>
      </c>
      <c r="L4612" t="s">
        <v>351</v>
      </c>
      <c r="M4612" t="s">
        <v>63</v>
      </c>
      <c r="N4612" t="b">
        <v>0</v>
      </c>
      <c r="O4612">
        <v>0</v>
      </c>
      <c r="P4612">
        <v>0</v>
      </c>
      <c r="Q4612">
        <v>1</v>
      </c>
      <c r="R4612">
        <v>0</v>
      </c>
    </row>
    <row r="4613" spans="1:18" x14ac:dyDescent="0.25">
      <c r="A4613" t="s">
        <v>20</v>
      </c>
      <c r="B4613" t="s">
        <v>63</v>
      </c>
      <c r="C4613">
        <v>2</v>
      </c>
      <c r="D4613">
        <v>4</v>
      </c>
      <c r="E4613">
        <v>1</v>
      </c>
      <c r="F4613" s="15">
        <v>46182</v>
      </c>
      <c r="G4613" t="s">
        <v>571</v>
      </c>
      <c r="H4613">
        <v>4</v>
      </c>
      <c r="I4613">
        <v>2026</v>
      </c>
      <c r="J4613">
        <v>6</v>
      </c>
      <c r="K4613" t="s">
        <v>87</v>
      </c>
      <c r="L4613" t="s">
        <v>28</v>
      </c>
      <c r="M4613" t="s">
        <v>63</v>
      </c>
      <c r="N4613" t="b">
        <v>0</v>
      </c>
      <c r="O4613">
        <v>0</v>
      </c>
      <c r="P4613">
        <v>0</v>
      </c>
      <c r="Q4613">
        <v>1</v>
      </c>
      <c r="R4613">
        <v>0</v>
      </c>
    </row>
    <row r="4614" spans="1:18" x14ac:dyDescent="0.25">
      <c r="A4614" t="s">
        <v>20</v>
      </c>
      <c r="B4614" t="s">
        <v>63</v>
      </c>
      <c r="C4614">
        <v>2</v>
      </c>
      <c r="D4614">
        <v>4</v>
      </c>
      <c r="E4614">
        <v>1</v>
      </c>
      <c r="F4614" s="15">
        <v>46182</v>
      </c>
      <c r="G4614" t="s">
        <v>571</v>
      </c>
      <c r="H4614">
        <v>4</v>
      </c>
      <c r="I4614">
        <v>2026</v>
      </c>
      <c r="J4614">
        <v>6</v>
      </c>
      <c r="K4614" t="s">
        <v>87</v>
      </c>
      <c r="L4614" t="s">
        <v>435</v>
      </c>
      <c r="M4614" t="s">
        <v>63</v>
      </c>
      <c r="N4614" t="b">
        <v>0</v>
      </c>
      <c r="O4614">
        <v>0</v>
      </c>
      <c r="P4614">
        <v>0</v>
      </c>
      <c r="Q4614">
        <v>1</v>
      </c>
      <c r="R4614">
        <v>0</v>
      </c>
    </row>
    <row r="4615" spans="1:18" x14ac:dyDescent="0.25">
      <c r="A4615" t="s">
        <v>20</v>
      </c>
      <c r="B4615" t="s">
        <v>63</v>
      </c>
      <c r="C4615">
        <v>2</v>
      </c>
      <c r="D4615">
        <v>4</v>
      </c>
      <c r="E4615">
        <v>1</v>
      </c>
      <c r="F4615" s="15">
        <v>46182</v>
      </c>
      <c r="G4615" t="s">
        <v>571</v>
      </c>
      <c r="H4615">
        <v>4</v>
      </c>
      <c r="I4615">
        <v>2026</v>
      </c>
      <c r="J4615">
        <v>6</v>
      </c>
      <c r="K4615" t="s">
        <v>87</v>
      </c>
      <c r="L4615" t="s">
        <v>351</v>
      </c>
      <c r="M4615" t="s">
        <v>63</v>
      </c>
      <c r="N4615" t="b">
        <v>0</v>
      </c>
      <c r="O4615">
        <v>0</v>
      </c>
      <c r="P4615">
        <v>0</v>
      </c>
      <c r="Q4615">
        <v>1</v>
      </c>
      <c r="R4615">
        <v>0</v>
      </c>
    </row>
    <row r="4616" spans="1:18" x14ac:dyDescent="0.25">
      <c r="A4616" t="s">
        <v>435</v>
      </c>
      <c r="B4616" t="s">
        <v>63</v>
      </c>
      <c r="C4616">
        <v>3</v>
      </c>
      <c r="D4616">
        <v>4</v>
      </c>
      <c r="E4616">
        <v>1</v>
      </c>
      <c r="F4616" s="15">
        <v>46182</v>
      </c>
      <c r="G4616" t="s">
        <v>571</v>
      </c>
      <c r="H4616">
        <v>4</v>
      </c>
      <c r="I4616">
        <v>2026</v>
      </c>
      <c r="J4616">
        <v>6</v>
      </c>
      <c r="K4616" t="s">
        <v>87</v>
      </c>
      <c r="L4616" t="s">
        <v>28</v>
      </c>
      <c r="M4616" t="s">
        <v>63</v>
      </c>
      <c r="N4616" t="b">
        <v>0</v>
      </c>
      <c r="O4616">
        <v>0</v>
      </c>
      <c r="P4616">
        <v>0</v>
      </c>
      <c r="Q4616">
        <v>1</v>
      </c>
      <c r="R4616">
        <v>0</v>
      </c>
    </row>
    <row r="4617" spans="1:18" x14ac:dyDescent="0.25">
      <c r="A4617" t="s">
        <v>435</v>
      </c>
      <c r="B4617" t="s">
        <v>63</v>
      </c>
      <c r="C4617">
        <v>3</v>
      </c>
      <c r="D4617">
        <v>4</v>
      </c>
      <c r="E4617">
        <v>1</v>
      </c>
      <c r="F4617" s="15">
        <v>46182</v>
      </c>
      <c r="G4617" t="s">
        <v>571</v>
      </c>
      <c r="H4617">
        <v>4</v>
      </c>
      <c r="I4617">
        <v>2026</v>
      </c>
      <c r="J4617">
        <v>6</v>
      </c>
      <c r="K4617" t="s">
        <v>87</v>
      </c>
      <c r="L4617" t="s">
        <v>20</v>
      </c>
      <c r="M4617" t="s">
        <v>63</v>
      </c>
      <c r="N4617" t="b">
        <v>0</v>
      </c>
      <c r="O4617">
        <v>0</v>
      </c>
      <c r="P4617">
        <v>0</v>
      </c>
      <c r="Q4617">
        <v>1</v>
      </c>
      <c r="R4617">
        <v>0</v>
      </c>
    </row>
    <row r="4618" spans="1:18" x14ac:dyDescent="0.25">
      <c r="A4618" t="s">
        <v>435</v>
      </c>
      <c r="B4618" t="s">
        <v>63</v>
      </c>
      <c r="C4618">
        <v>3</v>
      </c>
      <c r="D4618">
        <v>4</v>
      </c>
      <c r="E4618">
        <v>1</v>
      </c>
      <c r="F4618" s="15">
        <v>46182</v>
      </c>
      <c r="G4618" t="s">
        <v>571</v>
      </c>
      <c r="H4618">
        <v>4</v>
      </c>
      <c r="I4618">
        <v>2026</v>
      </c>
      <c r="J4618">
        <v>6</v>
      </c>
      <c r="K4618" t="s">
        <v>87</v>
      </c>
      <c r="L4618" t="s">
        <v>351</v>
      </c>
      <c r="M4618" t="s">
        <v>63</v>
      </c>
      <c r="N4618" t="b">
        <v>0</v>
      </c>
      <c r="O4618">
        <v>0</v>
      </c>
      <c r="P4618">
        <v>0</v>
      </c>
      <c r="Q4618">
        <v>1</v>
      </c>
      <c r="R4618">
        <v>0</v>
      </c>
    </row>
    <row r="4619" spans="1:18" x14ac:dyDescent="0.25">
      <c r="A4619" t="s">
        <v>351</v>
      </c>
      <c r="B4619" t="s">
        <v>63</v>
      </c>
      <c r="C4619">
        <v>4</v>
      </c>
      <c r="D4619">
        <v>4</v>
      </c>
      <c r="E4619">
        <v>1</v>
      </c>
      <c r="F4619" s="15">
        <v>46182</v>
      </c>
      <c r="G4619" t="s">
        <v>571</v>
      </c>
      <c r="H4619">
        <v>4</v>
      </c>
      <c r="I4619">
        <v>2026</v>
      </c>
      <c r="J4619">
        <v>6</v>
      </c>
      <c r="K4619" t="s">
        <v>87</v>
      </c>
      <c r="L4619" t="s">
        <v>28</v>
      </c>
      <c r="M4619" t="s">
        <v>63</v>
      </c>
      <c r="N4619" t="b">
        <v>0</v>
      </c>
      <c r="O4619">
        <v>0</v>
      </c>
      <c r="P4619">
        <v>0</v>
      </c>
      <c r="Q4619">
        <v>1</v>
      </c>
      <c r="R4619">
        <v>0</v>
      </c>
    </row>
    <row r="4620" spans="1:18" x14ac:dyDescent="0.25">
      <c r="A4620" t="s">
        <v>351</v>
      </c>
      <c r="B4620" t="s">
        <v>63</v>
      </c>
      <c r="C4620">
        <v>4</v>
      </c>
      <c r="D4620">
        <v>4</v>
      </c>
      <c r="E4620">
        <v>1</v>
      </c>
      <c r="F4620" s="15">
        <v>46182</v>
      </c>
      <c r="G4620" t="s">
        <v>571</v>
      </c>
      <c r="H4620">
        <v>4</v>
      </c>
      <c r="I4620">
        <v>2026</v>
      </c>
      <c r="J4620">
        <v>6</v>
      </c>
      <c r="K4620" t="s">
        <v>87</v>
      </c>
      <c r="L4620" t="s">
        <v>20</v>
      </c>
      <c r="M4620" t="s">
        <v>63</v>
      </c>
      <c r="N4620" t="b">
        <v>0</v>
      </c>
      <c r="O4620">
        <v>0</v>
      </c>
      <c r="P4620">
        <v>0</v>
      </c>
      <c r="Q4620">
        <v>1</v>
      </c>
      <c r="R4620">
        <v>0</v>
      </c>
    </row>
    <row r="4621" spans="1:18" x14ac:dyDescent="0.25">
      <c r="A4621" t="s">
        <v>351</v>
      </c>
      <c r="B4621" t="s">
        <v>63</v>
      </c>
      <c r="C4621">
        <v>4</v>
      </c>
      <c r="D4621">
        <v>4</v>
      </c>
      <c r="E4621">
        <v>1</v>
      </c>
      <c r="F4621" s="15">
        <v>46182</v>
      </c>
      <c r="G4621" t="s">
        <v>571</v>
      </c>
      <c r="H4621">
        <v>4</v>
      </c>
      <c r="I4621">
        <v>2026</v>
      </c>
      <c r="J4621">
        <v>6</v>
      </c>
      <c r="K4621" t="s">
        <v>87</v>
      </c>
      <c r="L4621" t="s">
        <v>435</v>
      </c>
      <c r="M4621" t="s">
        <v>63</v>
      </c>
      <c r="N4621" t="b">
        <v>0</v>
      </c>
      <c r="O4621">
        <v>0</v>
      </c>
      <c r="P4621">
        <v>0</v>
      </c>
      <c r="Q4621">
        <v>1</v>
      </c>
      <c r="R4621">
        <v>0</v>
      </c>
    </row>
    <row r="4622" spans="1:18" x14ac:dyDescent="0.25">
      <c r="A4622" t="s">
        <v>11</v>
      </c>
      <c r="B4622" t="s">
        <v>8</v>
      </c>
      <c r="C4622">
        <v>1</v>
      </c>
      <c r="D4622">
        <v>5</v>
      </c>
      <c r="E4622">
        <v>1</v>
      </c>
      <c r="F4622" s="15">
        <v>46182</v>
      </c>
      <c r="G4622" t="s">
        <v>572</v>
      </c>
      <c r="H4622">
        <v>4</v>
      </c>
      <c r="I4622">
        <v>2026</v>
      </c>
      <c r="J4622">
        <v>6</v>
      </c>
      <c r="K4622" t="s">
        <v>87</v>
      </c>
      <c r="L4622" t="s">
        <v>405</v>
      </c>
      <c r="M4622" t="s">
        <v>6</v>
      </c>
      <c r="N4622" t="b">
        <v>0</v>
      </c>
      <c r="O4622">
        <v>1</v>
      </c>
      <c r="P4622">
        <v>0</v>
      </c>
      <c r="Q4622">
        <v>0</v>
      </c>
      <c r="R4622">
        <v>0</v>
      </c>
    </row>
    <row r="4623" spans="1:18" x14ac:dyDescent="0.25">
      <c r="A4623" t="s">
        <v>11</v>
      </c>
      <c r="B4623" t="s">
        <v>8</v>
      </c>
      <c r="C4623">
        <v>1</v>
      </c>
      <c r="D4623">
        <v>5</v>
      </c>
      <c r="E4623">
        <v>1</v>
      </c>
      <c r="F4623" s="15">
        <v>46182</v>
      </c>
      <c r="G4623" t="s">
        <v>572</v>
      </c>
      <c r="H4623">
        <v>4</v>
      </c>
      <c r="I4623">
        <v>2026</v>
      </c>
      <c r="J4623">
        <v>6</v>
      </c>
      <c r="K4623" t="s">
        <v>87</v>
      </c>
      <c r="L4623" t="s">
        <v>567</v>
      </c>
      <c r="M4623" t="s">
        <v>6</v>
      </c>
      <c r="N4623" t="b">
        <v>0</v>
      </c>
      <c r="O4623">
        <v>1</v>
      </c>
      <c r="P4623">
        <v>0</v>
      </c>
      <c r="Q4623">
        <v>0</v>
      </c>
      <c r="R4623">
        <v>0</v>
      </c>
    </row>
    <row r="4624" spans="1:18" x14ac:dyDescent="0.25">
      <c r="A4624" t="s">
        <v>11</v>
      </c>
      <c r="B4624" t="s">
        <v>8</v>
      </c>
      <c r="C4624">
        <v>1</v>
      </c>
      <c r="D4624">
        <v>5</v>
      </c>
      <c r="E4624">
        <v>1</v>
      </c>
      <c r="F4624" s="15">
        <v>46182</v>
      </c>
      <c r="G4624" t="s">
        <v>572</v>
      </c>
      <c r="H4624">
        <v>4</v>
      </c>
      <c r="I4624">
        <v>2026</v>
      </c>
      <c r="J4624">
        <v>6</v>
      </c>
      <c r="K4624" t="s">
        <v>87</v>
      </c>
      <c r="L4624" t="s">
        <v>41</v>
      </c>
      <c r="M4624" t="s">
        <v>6</v>
      </c>
      <c r="N4624" t="b">
        <v>0</v>
      </c>
      <c r="O4624">
        <v>1</v>
      </c>
      <c r="P4624">
        <v>0</v>
      </c>
      <c r="Q4624">
        <v>0</v>
      </c>
      <c r="R4624">
        <v>0</v>
      </c>
    </row>
    <row r="4625" spans="1:18" x14ac:dyDescent="0.25">
      <c r="A4625" t="s">
        <v>405</v>
      </c>
      <c r="B4625" t="s">
        <v>6</v>
      </c>
      <c r="C4625">
        <v>2</v>
      </c>
      <c r="D4625">
        <v>5</v>
      </c>
      <c r="E4625">
        <v>1</v>
      </c>
      <c r="F4625" s="15">
        <v>46182</v>
      </c>
      <c r="G4625" t="s">
        <v>572</v>
      </c>
      <c r="H4625">
        <v>4</v>
      </c>
      <c r="I4625">
        <v>2026</v>
      </c>
      <c r="J4625">
        <v>6</v>
      </c>
      <c r="K4625" t="s">
        <v>87</v>
      </c>
      <c r="L4625" t="s">
        <v>11</v>
      </c>
      <c r="M4625" t="s">
        <v>8</v>
      </c>
      <c r="N4625" t="b">
        <v>0</v>
      </c>
      <c r="O4625">
        <v>0</v>
      </c>
      <c r="P4625">
        <v>1</v>
      </c>
      <c r="Q4625">
        <v>0</v>
      </c>
      <c r="R4625">
        <v>1</v>
      </c>
    </row>
    <row r="4626" spans="1:18" x14ac:dyDescent="0.25">
      <c r="A4626" t="s">
        <v>405</v>
      </c>
      <c r="B4626" t="s">
        <v>6</v>
      </c>
      <c r="C4626">
        <v>2</v>
      </c>
      <c r="D4626">
        <v>5</v>
      </c>
      <c r="E4626">
        <v>1</v>
      </c>
      <c r="F4626" s="15">
        <v>46182</v>
      </c>
      <c r="G4626" t="s">
        <v>572</v>
      </c>
      <c r="H4626">
        <v>4</v>
      </c>
      <c r="I4626">
        <v>2026</v>
      </c>
      <c r="J4626">
        <v>6</v>
      </c>
      <c r="K4626" t="s">
        <v>87</v>
      </c>
      <c r="L4626" t="s">
        <v>567</v>
      </c>
      <c r="M4626" t="s">
        <v>6</v>
      </c>
      <c r="N4626" t="b">
        <v>0</v>
      </c>
      <c r="O4626">
        <v>0</v>
      </c>
      <c r="P4626">
        <v>1</v>
      </c>
      <c r="Q4626">
        <v>0</v>
      </c>
      <c r="R4626">
        <v>0</v>
      </c>
    </row>
    <row r="4627" spans="1:18" x14ac:dyDescent="0.25">
      <c r="A4627" t="s">
        <v>405</v>
      </c>
      <c r="B4627" t="s">
        <v>6</v>
      </c>
      <c r="C4627">
        <v>2</v>
      </c>
      <c r="D4627">
        <v>5</v>
      </c>
      <c r="E4627">
        <v>1</v>
      </c>
      <c r="F4627" s="15">
        <v>46182</v>
      </c>
      <c r="G4627" t="s">
        <v>572</v>
      </c>
      <c r="H4627">
        <v>4</v>
      </c>
      <c r="I4627">
        <v>2026</v>
      </c>
      <c r="J4627">
        <v>6</v>
      </c>
      <c r="K4627" t="s">
        <v>87</v>
      </c>
      <c r="L4627" t="s">
        <v>41</v>
      </c>
      <c r="M4627" t="s">
        <v>6</v>
      </c>
      <c r="N4627" t="b">
        <v>0</v>
      </c>
      <c r="O4627">
        <v>0</v>
      </c>
      <c r="P4627">
        <v>1</v>
      </c>
      <c r="Q4627">
        <v>0</v>
      </c>
      <c r="R4627">
        <v>0</v>
      </c>
    </row>
    <row r="4628" spans="1:18" x14ac:dyDescent="0.25">
      <c r="A4628" t="s">
        <v>567</v>
      </c>
      <c r="B4628" t="s">
        <v>6</v>
      </c>
      <c r="C4628">
        <v>3</v>
      </c>
      <c r="D4628">
        <v>5</v>
      </c>
      <c r="E4628">
        <v>1</v>
      </c>
      <c r="F4628" s="15">
        <v>46182</v>
      </c>
      <c r="G4628" t="s">
        <v>572</v>
      </c>
      <c r="H4628">
        <v>4</v>
      </c>
      <c r="I4628">
        <v>2026</v>
      </c>
      <c r="J4628">
        <v>6</v>
      </c>
      <c r="K4628" t="s">
        <v>87</v>
      </c>
      <c r="L4628" t="s">
        <v>11</v>
      </c>
      <c r="M4628" t="s">
        <v>8</v>
      </c>
      <c r="N4628" t="b">
        <v>0</v>
      </c>
      <c r="O4628">
        <v>0</v>
      </c>
      <c r="P4628">
        <v>1</v>
      </c>
      <c r="Q4628">
        <v>0</v>
      </c>
      <c r="R4628">
        <v>1</v>
      </c>
    </row>
    <row r="4629" spans="1:18" x14ac:dyDescent="0.25">
      <c r="A4629" t="s">
        <v>567</v>
      </c>
      <c r="B4629" t="s">
        <v>6</v>
      </c>
      <c r="C4629">
        <v>3</v>
      </c>
      <c r="D4629">
        <v>5</v>
      </c>
      <c r="E4629">
        <v>1</v>
      </c>
      <c r="F4629" s="15">
        <v>46182</v>
      </c>
      <c r="G4629" t="s">
        <v>572</v>
      </c>
      <c r="H4629">
        <v>4</v>
      </c>
      <c r="I4629">
        <v>2026</v>
      </c>
      <c r="J4629">
        <v>6</v>
      </c>
      <c r="K4629" t="s">
        <v>87</v>
      </c>
      <c r="L4629" t="s">
        <v>405</v>
      </c>
      <c r="M4629" t="s">
        <v>6</v>
      </c>
      <c r="N4629" t="b">
        <v>0</v>
      </c>
      <c r="O4629">
        <v>0</v>
      </c>
      <c r="P4629">
        <v>1</v>
      </c>
      <c r="Q4629">
        <v>0</v>
      </c>
      <c r="R4629">
        <v>0</v>
      </c>
    </row>
    <row r="4630" spans="1:18" x14ac:dyDescent="0.25">
      <c r="A4630" t="s">
        <v>567</v>
      </c>
      <c r="B4630" t="s">
        <v>6</v>
      </c>
      <c r="C4630">
        <v>3</v>
      </c>
      <c r="D4630">
        <v>5</v>
      </c>
      <c r="E4630">
        <v>1</v>
      </c>
      <c r="F4630" s="15">
        <v>46182</v>
      </c>
      <c r="G4630" t="s">
        <v>572</v>
      </c>
      <c r="H4630">
        <v>4</v>
      </c>
      <c r="I4630">
        <v>2026</v>
      </c>
      <c r="J4630">
        <v>6</v>
      </c>
      <c r="K4630" t="s">
        <v>87</v>
      </c>
      <c r="L4630" t="s">
        <v>41</v>
      </c>
      <c r="M4630" t="s">
        <v>6</v>
      </c>
      <c r="N4630" t="b">
        <v>0</v>
      </c>
      <c r="O4630">
        <v>0</v>
      </c>
      <c r="P4630">
        <v>1</v>
      </c>
      <c r="Q4630">
        <v>0</v>
      </c>
      <c r="R4630">
        <v>0</v>
      </c>
    </row>
    <row r="4631" spans="1:18" x14ac:dyDescent="0.25">
      <c r="A4631" t="s">
        <v>41</v>
      </c>
      <c r="B4631" t="s">
        <v>6</v>
      </c>
      <c r="C4631">
        <v>4</v>
      </c>
      <c r="D4631">
        <v>5</v>
      </c>
      <c r="E4631">
        <v>1</v>
      </c>
      <c r="F4631" s="15">
        <v>46182</v>
      </c>
      <c r="G4631" t="s">
        <v>572</v>
      </c>
      <c r="H4631">
        <v>4</v>
      </c>
      <c r="I4631">
        <v>2026</v>
      </c>
      <c r="J4631">
        <v>6</v>
      </c>
      <c r="K4631" t="s">
        <v>87</v>
      </c>
      <c r="L4631" t="s">
        <v>11</v>
      </c>
      <c r="M4631" t="s">
        <v>8</v>
      </c>
      <c r="N4631" t="b">
        <v>0</v>
      </c>
      <c r="O4631">
        <v>0</v>
      </c>
      <c r="P4631">
        <v>1</v>
      </c>
      <c r="Q4631">
        <v>0</v>
      </c>
      <c r="R4631">
        <v>1</v>
      </c>
    </row>
    <row r="4632" spans="1:18" x14ac:dyDescent="0.25">
      <c r="A4632" t="s">
        <v>41</v>
      </c>
      <c r="B4632" t="s">
        <v>6</v>
      </c>
      <c r="C4632">
        <v>4</v>
      </c>
      <c r="D4632">
        <v>5</v>
      </c>
      <c r="E4632">
        <v>1</v>
      </c>
      <c r="F4632" s="15">
        <v>46182</v>
      </c>
      <c r="G4632" t="s">
        <v>572</v>
      </c>
      <c r="H4632">
        <v>4</v>
      </c>
      <c r="I4632">
        <v>2026</v>
      </c>
      <c r="J4632">
        <v>6</v>
      </c>
      <c r="K4632" t="s">
        <v>87</v>
      </c>
      <c r="L4632" t="s">
        <v>405</v>
      </c>
      <c r="M4632" t="s">
        <v>6</v>
      </c>
      <c r="N4632" t="b">
        <v>0</v>
      </c>
      <c r="O4632">
        <v>0</v>
      </c>
      <c r="P4632">
        <v>1</v>
      </c>
      <c r="Q4632">
        <v>0</v>
      </c>
      <c r="R4632">
        <v>0</v>
      </c>
    </row>
    <row r="4633" spans="1:18" x14ac:dyDescent="0.25">
      <c r="A4633" t="s">
        <v>41</v>
      </c>
      <c r="B4633" t="s">
        <v>6</v>
      </c>
      <c r="C4633">
        <v>4</v>
      </c>
      <c r="D4633">
        <v>5</v>
      </c>
      <c r="E4633">
        <v>1</v>
      </c>
      <c r="F4633" s="15">
        <v>46182</v>
      </c>
      <c r="G4633" t="s">
        <v>572</v>
      </c>
      <c r="H4633">
        <v>4</v>
      </c>
      <c r="I4633">
        <v>2026</v>
      </c>
      <c r="J4633">
        <v>6</v>
      </c>
      <c r="K4633" t="s">
        <v>87</v>
      </c>
      <c r="L4633" t="s">
        <v>567</v>
      </c>
      <c r="M4633" t="s">
        <v>6</v>
      </c>
      <c r="N4633" t="b">
        <v>0</v>
      </c>
      <c r="O4633">
        <v>0</v>
      </c>
      <c r="P4633">
        <v>1</v>
      </c>
      <c r="Q4633">
        <v>0</v>
      </c>
      <c r="R4633">
        <v>0</v>
      </c>
    </row>
    <row r="4634" spans="1:18" x14ac:dyDescent="0.25">
      <c r="A4634" t="s">
        <v>11</v>
      </c>
      <c r="B4634" t="s">
        <v>6</v>
      </c>
      <c r="C4634">
        <v>1</v>
      </c>
      <c r="D4634">
        <v>1</v>
      </c>
      <c r="E4634">
        <v>2</v>
      </c>
      <c r="F4634" s="15">
        <v>46182</v>
      </c>
      <c r="G4634" t="s">
        <v>573</v>
      </c>
      <c r="H4634">
        <v>4</v>
      </c>
      <c r="I4634">
        <v>2026</v>
      </c>
      <c r="J4634">
        <v>6</v>
      </c>
      <c r="K4634" t="s">
        <v>87</v>
      </c>
      <c r="L4634" t="s">
        <v>13</v>
      </c>
      <c r="M4634" t="s">
        <v>8</v>
      </c>
      <c r="N4634" t="b">
        <v>0</v>
      </c>
      <c r="O4634">
        <v>0</v>
      </c>
      <c r="P4634">
        <v>1</v>
      </c>
      <c r="Q4634">
        <v>0</v>
      </c>
      <c r="R4634">
        <v>1</v>
      </c>
    </row>
    <row r="4635" spans="1:18" x14ac:dyDescent="0.25">
      <c r="A4635" t="s">
        <v>11</v>
      </c>
      <c r="B4635" t="s">
        <v>6</v>
      </c>
      <c r="C4635">
        <v>1</v>
      </c>
      <c r="D4635">
        <v>1</v>
      </c>
      <c r="E4635">
        <v>2</v>
      </c>
      <c r="F4635" s="15">
        <v>46182</v>
      </c>
      <c r="G4635" t="s">
        <v>573</v>
      </c>
      <c r="H4635">
        <v>4</v>
      </c>
      <c r="I4635">
        <v>2026</v>
      </c>
      <c r="J4635">
        <v>6</v>
      </c>
      <c r="K4635" t="s">
        <v>87</v>
      </c>
      <c r="L4635" t="s">
        <v>14</v>
      </c>
      <c r="M4635" t="s">
        <v>6</v>
      </c>
      <c r="N4635" t="b">
        <v>0</v>
      </c>
      <c r="O4635">
        <v>0</v>
      </c>
      <c r="P4635">
        <v>1</v>
      </c>
      <c r="Q4635">
        <v>0</v>
      </c>
      <c r="R4635">
        <v>0</v>
      </c>
    </row>
    <row r="4636" spans="1:18" x14ac:dyDescent="0.25">
      <c r="A4636" t="s">
        <v>11</v>
      </c>
      <c r="B4636" t="s">
        <v>6</v>
      </c>
      <c r="C4636">
        <v>1</v>
      </c>
      <c r="D4636">
        <v>1</v>
      </c>
      <c r="E4636">
        <v>2</v>
      </c>
      <c r="F4636" s="15">
        <v>46182</v>
      </c>
      <c r="G4636" t="s">
        <v>573</v>
      </c>
      <c r="H4636">
        <v>4</v>
      </c>
      <c r="I4636">
        <v>2026</v>
      </c>
      <c r="J4636">
        <v>6</v>
      </c>
      <c r="K4636" t="s">
        <v>87</v>
      </c>
      <c r="L4636" t="s">
        <v>20</v>
      </c>
      <c r="M4636" t="s">
        <v>6</v>
      </c>
      <c r="N4636" t="b">
        <v>0</v>
      </c>
      <c r="O4636">
        <v>0</v>
      </c>
      <c r="P4636">
        <v>1</v>
      </c>
      <c r="Q4636">
        <v>0</v>
      </c>
      <c r="R4636">
        <v>0</v>
      </c>
    </row>
    <row r="4637" spans="1:18" x14ac:dyDescent="0.25">
      <c r="A4637" t="s">
        <v>13</v>
      </c>
      <c r="B4637" t="s">
        <v>8</v>
      </c>
      <c r="C4637">
        <v>2</v>
      </c>
      <c r="D4637">
        <v>1</v>
      </c>
      <c r="E4637">
        <v>2</v>
      </c>
      <c r="F4637" s="15">
        <v>46182</v>
      </c>
      <c r="G4637" t="s">
        <v>573</v>
      </c>
      <c r="H4637">
        <v>4</v>
      </c>
      <c r="I4637">
        <v>2026</v>
      </c>
      <c r="J4637">
        <v>6</v>
      </c>
      <c r="K4637" t="s">
        <v>87</v>
      </c>
      <c r="L4637" t="s">
        <v>11</v>
      </c>
      <c r="M4637" t="s">
        <v>6</v>
      </c>
      <c r="N4637" t="b">
        <v>0</v>
      </c>
      <c r="O4637">
        <v>1</v>
      </c>
      <c r="P4637">
        <v>0</v>
      </c>
      <c r="Q4637">
        <v>0</v>
      </c>
      <c r="R4637">
        <v>0</v>
      </c>
    </row>
    <row r="4638" spans="1:18" x14ac:dyDescent="0.25">
      <c r="A4638" t="s">
        <v>13</v>
      </c>
      <c r="B4638" t="s">
        <v>8</v>
      </c>
      <c r="C4638">
        <v>2</v>
      </c>
      <c r="D4638">
        <v>1</v>
      </c>
      <c r="E4638">
        <v>2</v>
      </c>
      <c r="F4638" s="15">
        <v>46182</v>
      </c>
      <c r="G4638" t="s">
        <v>573</v>
      </c>
      <c r="H4638">
        <v>4</v>
      </c>
      <c r="I4638">
        <v>2026</v>
      </c>
      <c r="J4638">
        <v>6</v>
      </c>
      <c r="K4638" t="s">
        <v>87</v>
      </c>
      <c r="L4638" t="s">
        <v>14</v>
      </c>
      <c r="M4638" t="s">
        <v>6</v>
      </c>
      <c r="N4638" t="b">
        <v>0</v>
      </c>
      <c r="O4638">
        <v>1</v>
      </c>
      <c r="P4638">
        <v>0</v>
      </c>
      <c r="Q4638">
        <v>0</v>
      </c>
      <c r="R4638">
        <v>0</v>
      </c>
    </row>
    <row r="4639" spans="1:18" x14ac:dyDescent="0.25">
      <c r="A4639" t="s">
        <v>13</v>
      </c>
      <c r="B4639" t="s">
        <v>8</v>
      </c>
      <c r="C4639">
        <v>2</v>
      </c>
      <c r="D4639">
        <v>1</v>
      </c>
      <c r="E4639">
        <v>2</v>
      </c>
      <c r="F4639" s="15">
        <v>46182</v>
      </c>
      <c r="G4639" t="s">
        <v>573</v>
      </c>
      <c r="H4639">
        <v>4</v>
      </c>
      <c r="I4639">
        <v>2026</v>
      </c>
      <c r="J4639">
        <v>6</v>
      </c>
      <c r="K4639" t="s">
        <v>87</v>
      </c>
      <c r="L4639" t="s">
        <v>20</v>
      </c>
      <c r="M4639" t="s">
        <v>6</v>
      </c>
      <c r="N4639" t="b">
        <v>0</v>
      </c>
      <c r="O4639">
        <v>1</v>
      </c>
      <c r="P4639">
        <v>0</v>
      </c>
      <c r="Q4639">
        <v>0</v>
      </c>
      <c r="R4639">
        <v>0</v>
      </c>
    </row>
    <row r="4640" spans="1:18" x14ac:dyDescent="0.25">
      <c r="A4640" t="s">
        <v>14</v>
      </c>
      <c r="B4640" t="s">
        <v>6</v>
      </c>
      <c r="C4640">
        <v>3</v>
      </c>
      <c r="D4640">
        <v>1</v>
      </c>
      <c r="E4640">
        <v>2</v>
      </c>
      <c r="F4640" s="15">
        <v>46182</v>
      </c>
      <c r="G4640" t="s">
        <v>573</v>
      </c>
      <c r="H4640">
        <v>4</v>
      </c>
      <c r="I4640">
        <v>2026</v>
      </c>
      <c r="J4640">
        <v>6</v>
      </c>
      <c r="K4640" t="s">
        <v>87</v>
      </c>
      <c r="L4640" t="s">
        <v>11</v>
      </c>
      <c r="M4640" t="s">
        <v>6</v>
      </c>
      <c r="N4640" t="b">
        <v>0</v>
      </c>
      <c r="O4640">
        <v>0</v>
      </c>
      <c r="P4640">
        <v>1</v>
      </c>
      <c r="Q4640">
        <v>0</v>
      </c>
      <c r="R4640">
        <v>0</v>
      </c>
    </row>
    <row r="4641" spans="1:18" x14ac:dyDescent="0.25">
      <c r="A4641" t="s">
        <v>14</v>
      </c>
      <c r="B4641" t="s">
        <v>6</v>
      </c>
      <c r="C4641">
        <v>3</v>
      </c>
      <c r="D4641">
        <v>1</v>
      </c>
      <c r="E4641">
        <v>2</v>
      </c>
      <c r="F4641" s="15">
        <v>46182</v>
      </c>
      <c r="G4641" t="s">
        <v>573</v>
      </c>
      <c r="H4641">
        <v>4</v>
      </c>
      <c r="I4641">
        <v>2026</v>
      </c>
      <c r="J4641">
        <v>6</v>
      </c>
      <c r="K4641" t="s">
        <v>87</v>
      </c>
      <c r="L4641" t="s">
        <v>13</v>
      </c>
      <c r="M4641" t="s">
        <v>8</v>
      </c>
      <c r="N4641" t="b">
        <v>0</v>
      </c>
      <c r="O4641">
        <v>0</v>
      </c>
      <c r="P4641">
        <v>1</v>
      </c>
      <c r="Q4641">
        <v>0</v>
      </c>
      <c r="R4641">
        <v>1</v>
      </c>
    </row>
    <row r="4642" spans="1:18" x14ac:dyDescent="0.25">
      <c r="A4642" t="s">
        <v>14</v>
      </c>
      <c r="B4642" t="s">
        <v>6</v>
      </c>
      <c r="C4642">
        <v>3</v>
      </c>
      <c r="D4642">
        <v>1</v>
      </c>
      <c r="E4642">
        <v>2</v>
      </c>
      <c r="F4642" s="15">
        <v>46182</v>
      </c>
      <c r="G4642" t="s">
        <v>573</v>
      </c>
      <c r="H4642">
        <v>4</v>
      </c>
      <c r="I4642">
        <v>2026</v>
      </c>
      <c r="J4642">
        <v>6</v>
      </c>
      <c r="K4642" t="s">
        <v>87</v>
      </c>
      <c r="L4642" t="s">
        <v>20</v>
      </c>
      <c r="M4642" t="s">
        <v>6</v>
      </c>
      <c r="N4642" t="b">
        <v>0</v>
      </c>
      <c r="O4642">
        <v>0</v>
      </c>
      <c r="P4642">
        <v>1</v>
      </c>
      <c r="Q4642">
        <v>0</v>
      </c>
      <c r="R4642">
        <v>0</v>
      </c>
    </row>
    <row r="4643" spans="1:18" x14ac:dyDescent="0.25">
      <c r="A4643" t="s">
        <v>20</v>
      </c>
      <c r="B4643" t="s">
        <v>6</v>
      </c>
      <c r="C4643">
        <v>4</v>
      </c>
      <c r="D4643">
        <v>1</v>
      </c>
      <c r="E4643">
        <v>2</v>
      </c>
      <c r="F4643" s="15">
        <v>46182</v>
      </c>
      <c r="G4643" t="s">
        <v>573</v>
      </c>
      <c r="H4643">
        <v>4</v>
      </c>
      <c r="I4643">
        <v>2026</v>
      </c>
      <c r="J4643">
        <v>6</v>
      </c>
      <c r="K4643" t="s">
        <v>87</v>
      </c>
      <c r="L4643" t="s">
        <v>11</v>
      </c>
      <c r="M4643" t="s">
        <v>6</v>
      </c>
      <c r="N4643" t="b">
        <v>0</v>
      </c>
      <c r="O4643">
        <v>0</v>
      </c>
      <c r="P4643">
        <v>1</v>
      </c>
      <c r="Q4643">
        <v>0</v>
      </c>
      <c r="R4643">
        <v>0</v>
      </c>
    </row>
    <row r="4644" spans="1:18" x14ac:dyDescent="0.25">
      <c r="A4644" t="s">
        <v>20</v>
      </c>
      <c r="B4644" t="s">
        <v>6</v>
      </c>
      <c r="C4644">
        <v>4</v>
      </c>
      <c r="D4644">
        <v>1</v>
      </c>
      <c r="E4644">
        <v>2</v>
      </c>
      <c r="F4644" s="15">
        <v>46182</v>
      </c>
      <c r="G4644" t="s">
        <v>573</v>
      </c>
      <c r="H4644">
        <v>4</v>
      </c>
      <c r="I4644">
        <v>2026</v>
      </c>
      <c r="J4644">
        <v>6</v>
      </c>
      <c r="K4644" t="s">
        <v>87</v>
      </c>
      <c r="L4644" t="s">
        <v>13</v>
      </c>
      <c r="M4644" t="s">
        <v>8</v>
      </c>
      <c r="N4644" t="b">
        <v>0</v>
      </c>
      <c r="O4644">
        <v>0</v>
      </c>
      <c r="P4644">
        <v>1</v>
      </c>
      <c r="Q4644">
        <v>0</v>
      </c>
      <c r="R4644">
        <v>1</v>
      </c>
    </row>
    <row r="4645" spans="1:18" x14ac:dyDescent="0.25">
      <c r="A4645" t="s">
        <v>20</v>
      </c>
      <c r="B4645" t="s">
        <v>6</v>
      </c>
      <c r="C4645">
        <v>4</v>
      </c>
      <c r="D4645">
        <v>1</v>
      </c>
      <c r="E4645">
        <v>2</v>
      </c>
      <c r="F4645" s="15">
        <v>46182</v>
      </c>
      <c r="G4645" t="s">
        <v>573</v>
      </c>
      <c r="H4645">
        <v>4</v>
      </c>
      <c r="I4645">
        <v>2026</v>
      </c>
      <c r="J4645">
        <v>6</v>
      </c>
      <c r="K4645" t="s">
        <v>87</v>
      </c>
      <c r="L4645" t="s">
        <v>14</v>
      </c>
      <c r="M4645" t="s">
        <v>6</v>
      </c>
      <c r="N4645" t="b">
        <v>0</v>
      </c>
      <c r="O4645">
        <v>0</v>
      </c>
      <c r="P4645">
        <v>1</v>
      </c>
      <c r="Q4645">
        <v>0</v>
      </c>
      <c r="R4645">
        <v>0</v>
      </c>
    </row>
    <row r="4646" spans="1:18" x14ac:dyDescent="0.25">
      <c r="A4646" t="s">
        <v>41</v>
      </c>
      <c r="B4646" t="s">
        <v>8</v>
      </c>
      <c r="C4646">
        <v>1</v>
      </c>
      <c r="D4646">
        <v>2</v>
      </c>
      <c r="E4646">
        <v>2</v>
      </c>
      <c r="F4646" s="15">
        <v>46182</v>
      </c>
      <c r="G4646" t="s">
        <v>574</v>
      </c>
      <c r="H4646">
        <v>4</v>
      </c>
      <c r="I4646">
        <v>2026</v>
      </c>
      <c r="J4646">
        <v>6</v>
      </c>
      <c r="K4646" t="s">
        <v>87</v>
      </c>
      <c r="L4646" t="s">
        <v>17</v>
      </c>
      <c r="M4646" t="s">
        <v>6</v>
      </c>
      <c r="N4646" t="b">
        <v>0</v>
      </c>
      <c r="O4646">
        <v>1</v>
      </c>
      <c r="P4646">
        <v>0</v>
      </c>
      <c r="Q4646">
        <v>0</v>
      </c>
      <c r="R4646">
        <v>0</v>
      </c>
    </row>
    <row r="4647" spans="1:18" x14ac:dyDescent="0.25">
      <c r="A4647" t="s">
        <v>41</v>
      </c>
      <c r="B4647" t="s">
        <v>8</v>
      </c>
      <c r="C4647">
        <v>1</v>
      </c>
      <c r="D4647">
        <v>2</v>
      </c>
      <c r="E4647">
        <v>2</v>
      </c>
      <c r="F4647" s="15">
        <v>46182</v>
      </c>
      <c r="G4647" t="s">
        <v>574</v>
      </c>
      <c r="H4647">
        <v>4</v>
      </c>
      <c r="I4647">
        <v>2026</v>
      </c>
      <c r="J4647">
        <v>6</v>
      </c>
      <c r="K4647" t="s">
        <v>87</v>
      </c>
      <c r="L4647" t="s">
        <v>352</v>
      </c>
      <c r="M4647" t="s">
        <v>6</v>
      </c>
      <c r="N4647" t="b">
        <v>0</v>
      </c>
      <c r="O4647">
        <v>1</v>
      </c>
      <c r="P4647">
        <v>0</v>
      </c>
      <c r="Q4647">
        <v>0</v>
      </c>
      <c r="R4647">
        <v>0</v>
      </c>
    </row>
    <row r="4648" spans="1:18" x14ac:dyDescent="0.25">
      <c r="A4648" t="s">
        <v>41</v>
      </c>
      <c r="B4648" t="s">
        <v>8</v>
      </c>
      <c r="C4648">
        <v>1</v>
      </c>
      <c r="D4648">
        <v>2</v>
      </c>
      <c r="E4648">
        <v>2</v>
      </c>
      <c r="F4648" s="15">
        <v>46182</v>
      </c>
      <c r="G4648" t="s">
        <v>574</v>
      </c>
      <c r="H4648">
        <v>4</v>
      </c>
      <c r="I4648">
        <v>2026</v>
      </c>
      <c r="J4648">
        <v>6</v>
      </c>
      <c r="K4648" t="s">
        <v>87</v>
      </c>
      <c r="L4648" t="s">
        <v>435</v>
      </c>
      <c r="M4648" t="s">
        <v>6</v>
      </c>
      <c r="N4648" t="b">
        <v>0</v>
      </c>
      <c r="O4648">
        <v>1</v>
      </c>
      <c r="P4648">
        <v>0</v>
      </c>
      <c r="Q4648">
        <v>0</v>
      </c>
      <c r="R4648">
        <v>0</v>
      </c>
    </row>
    <row r="4649" spans="1:18" x14ac:dyDescent="0.25">
      <c r="A4649" t="s">
        <v>17</v>
      </c>
      <c r="B4649" t="s">
        <v>6</v>
      </c>
      <c r="C4649">
        <v>2</v>
      </c>
      <c r="D4649">
        <v>2</v>
      </c>
      <c r="E4649">
        <v>2</v>
      </c>
      <c r="F4649" s="15">
        <v>46182</v>
      </c>
      <c r="G4649" t="s">
        <v>574</v>
      </c>
      <c r="H4649">
        <v>4</v>
      </c>
      <c r="I4649">
        <v>2026</v>
      </c>
      <c r="J4649">
        <v>6</v>
      </c>
      <c r="K4649" t="s">
        <v>87</v>
      </c>
      <c r="L4649" t="s">
        <v>41</v>
      </c>
      <c r="M4649" t="s">
        <v>8</v>
      </c>
      <c r="N4649" t="b">
        <v>0</v>
      </c>
      <c r="O4649">
        <v>0</v>
      </c>
      <c r="P4649">
        <v>1</v>
      </c>
      <c r="Q4649">
        <v>0</v>
      </c>
      <c r="R4649">
        <v>1</v>
      </c>
    </row>
    <row r="4650" spans="1:18" x14ac:dyDescent="0.25">
      <c r="A4650" t="s">
        <v>17</v>
      </c>
      <c r="B4650" t="s">
        <v>6</v>
      </c>
      <c r="C4650">
        <v>2</v>
      </c>
      <c r="D4650">
        <v>2</v>
      </c>
      <c r="E4650">
        <v>2</v>
      </c>
      <c r="F4650" s="15">
        <v>46182</v>
      </c>
      <c r="G4650" t="s">
        <v>574</v>
      </c>
      <c r="H4650">
        <v>4</v>
      </c>
      <c r="I4650">
        <v>2026</v>
      </c>
      <c r="J4650">
        <v>6</v>
      </c>
      <c r="K4650" t="s">
        <v>87</v>
      </c>
      <c r="L4650" t="s">
        <v>352</v>
      </c>
      <c r="M4650" t="s">
        <v>6</v>
      </c>
      <c r="N4650" t="b">
        <v>0</v>
      </c>
      <c r="O4650">
        <v>0</v>
      </c>
      <c r="P4650">
        <v>1</v>
      </c>
      <c r="Q4650">
        <v>0</v>
      </c>
      <c r="R4650">
        <v>0</v>
      </c>
    </row>
    <row r="4651" spans="1:18" x14ac:dyDescent="0.25">
      <c r="A4651" t="s">
        <v>17</v>
      </c>
      <c r="B4651" t="s">
        <v>6</v>
      </c>
      <c r="C4651">
        <v>2</v>
      </c>
      <c r="D4651">
        <v>2</v>
      </c>
      <c r="E4651">
        <v>2</v>
      </c>
      <c r="F4651" s="15">
        <v>46182</v>
      </c>
      <c r="G4651" t="s">
        <v>574</v>
      </c>
      <c r="H4651">
        <v>4</v>
      </c>
      <c r="I4651">
        <v>2026</v>
      </c>
      <c r="J4651">
        <v>6</v>
      </c>
      <c r="K4651" t="s">
        <v>87</v>
      </c>
      <c r="L4651" t="s">
        <v>435</v>
      </c>
      <c r="M4651" t="s">
        <v>6</v>
      </c>
      <c r="N4651" t="b">
        <v>0</v>
      </c>
      <c r="O4651">
        <v>0</v>
      </c>
      <c r="P4651">
        <v>1</v>
      </c>
      <c r="Q4651">
        <v>0</v>
      </c>
      <c r="R4651">
        <v>0</v>
      </c>
    </row>
    <row r="4652" spans="1:18" x14ac:dyDescent="0.25">
      <c r="A4652" t="s">
        <v>352</v>
      </c>
      <c r="B4652" t="s">
        <v>6</v>
      </c>
      <c r="C4652">
        <v>3</v>
      </c>
      <c r="D4652">
        <v>2</v>
      </c>
      <c r="E4652">
        <v>2</v>
      </c>
      <c r="F4652" s="15">
        <v>46182</v>
      </c>
      <c r="G4652" t="s">
        <v>574</v>
      </c>
      <c r="H4652">
        <v>4</v>
      </c>
      <c r="I4652">
        <v>2026</v>
      </c>
      <c r="J4652">
        <v>6</v>
      </c>
      <c r="K4652" t="s">
        <v>87</v>
      </c>
      <c r="L4652" t="s">
        <v>41</v>
      </c>
      <c r="M4652" t="s">
        <v>8</v>
      </c>
      <c r="N4652" t="b">
        <v>0</v>
      </c>
      <c r="O4652">
        <v>0</v>
      </c>
      <c r="P4652">
        <v>1</v>
      </c>
      <c r="Q4652">
        <v>0</v>
      </c>
      <c r="R4652">
        <v>1</v>
      </c>
    </row>
    <row r="4653" spans="1:18" x14ac:dyDescent="0.25">
      <c r="A4653" t="s">
        <v>352</v>
      </c>
      <c r="B4653" t="s">
        <v>6</v>
      </c>
      <c r="C4653">
        <v>3</v>
      </c>
      <c r="D4653">
        <v>2</v>
      </c>
      <c r="E4653">
        <v>2</v>
      </c>
      <c r="F4653" s="15">
        <v>46182</v>
      </c>
      <c r="G4653" t="s">
        <v>574</v>
      </c>
      <c r="H4653">
        <v>4</v>
      </c>
      <c r="I4653">
        <v>2026</v>
      </c>
      <c r="J4653">
        <v>6</v>
      </c>
      <c r="K4653" t="s">
        <v>87</v>
      </c>
      <c r="L4653" t="s">
        <v>17</v>
      </c>
      <c r="M4653" t="s">
        <v>6</v>
      </c>
      <c r="N4653" t="b">
        <v>0</v>
      </c>
      <c r="O4653">
        <v>0</v>
      </c>
      <c r="P4653">
        <v>1</v>
      </c>
      <c r="Q4653">
        <v>0</v>
      </c>
      <c r="R4653">
        <v>0</v>
      </c>
    </row>
    <row r="4654" spans="1:18" x14ac:dyDescent="0.25">
      <c r="A4654" t="s">
        <v>352</v>
      </c>
      <c r="B4654" t="s">
        <v>6</v>
      </c>
      <c r="C4654">
        <v>3</v>
      </c>
      <c r="D4654">
        <v>2</v>
      </c>
      <c r="E4654">
        <v>2</v>
      </c>
      <c r="F4654" s="15">
        <v>46182</v>
      </c>
      <c r="G4654" t="s">
        <v>574</v>
      </c>
      <c r="H4654">
        <v>4</v>
      </c>
      <c r="I4654">
        <v>2026</v>
      </c>
      <c r="J4654">
        <v>6</v>
      </c>
      <c r="K4654" t="s">
        <v>87</v>
      </c>
      <c r="L4654" t="s">
        <v>435</v>
      </c>
      <c r="M4654" t="s">
        <v>6</v>
      </c>
      <c r="N4654" t="b">
        <v>0</v>
      </c>
      <c r="O4654">
        <v>0</v>
      </c>
      <c r="P4654">
        <v>1</v>
      </c>
      <c r="Q4654">
        <v>0</v>
      </c>
      <c r="R4654">
        <v>0</v>
      </c>
    </row>
    <row r="4655" spans="1:18" x14ac:dyDescent="0.25">
      <c r="A4655" t="s">
        <v>435</v>
      </c>
      <c r="B4655" t="s">
        <v>6</v>
      </c>
      <c r="C4655">
        <v>4</v>
      </c>
      <c r="D4655">
        <v>2</v>
      </c>
      <c r="E4655">
        <v>2</v>
      </c>
      <c r="F4655" s="15">
        <v>46182</v>
      </c>
      <c r="G4655" t="s">
        <v>574</v>
      </c>
      <c r="H4655">
        <v>4</v>
      </c>
      <c r="I4655">
        <v>2026</v>
      </c>
      <c r="J4655">
        <v>6</v>
      </c>
      <c r="K4655" t="s">
        <v>87</v>
      </c>
      <c r="L4655" t="s">
        <v>41</v>
      </c>
      <c r="M4655" t="s">
        <v>8</v>
      </c>
      <c r="N4655" t="b">
        <v>0</v>
      </c>
      <c r="O4655">
        <v>0</v>
      </c>
      <c r="P4655">
        <v>1</v>
      </c>
      <c r="Q4655">
        <v>0</v>
      </c>
      <c r="R4655">
        <v>1</v>
      </c>
    </row>
    <row r="4656" spans="1:18" x14ac:dyDescent="0.25">
      <c r="A4656" t="s">
        <v>435</v>
      </c>
      <c r="B4656" t="s">
        <v>6</v>
      </c>
      <c r="C4656">
        <v>4</v>
      </c>
      <c r="D4656">
        <v>2</v>
      </c>
      <c r="E4656">
        <v>2</v>
      </c>
      <c r="F4656" s="15">
        <v>46182</v>
      </c>
      <c r="G4656" t="s">
        <v>574</v>
      </c>
      <c r="H4656">
        <v>4</v>
      </c>
      <c r="I4656">
        <v>2026</v>
      </c>
      <c r="J4656">
        <v>6</v>
      </c>
      <c r="K4656" t="s">
        <v>87</v>
      </c>
      <c r="L4656" t="s">
        <v>17</v>
      </c>
      <c r="M4656" t="s">
        <v>6</v>
      </c>
      <c r="N4656" t="b">
        <v>0</v>
      </c>
      <c r="O4656">
        <v>0</v>
      </c>
      <c r="P4656">
        <v>1</v>
      </c>
      <c r="Q4656">
        <v>0</v>
      </c>
      <c r="R4656">
        <v>0</v>
      </c>
    </row>
    <row r="4657" spans="1:18" x14ac:dyDescent="0.25">
      <c r="A4657" t="s">
        <v>435</v>
      </c>
      <c r="B4657" t="s">
        <v>6</v>
      </c>
      <c r="C4657">
        <v>4</v>
      </c>
      <c r="D4657">
        <v>2</v>
      </c>
      <c r="E4657">
        <v>2</v>
      </c>
      <c r="F4657" s="15">
        <v>46182</v>
      </c>
      <c r="G4657" t="s">
        <v>574</v>
      </c>
      <c r="H4657">
        <v>4</v>
      </c>
      <c r="I4657">
        <v>2026</v>
      </c>
      <c r="J4657">
        <v>6</v>
      </c>
      <c r="K4657" t="s">
        <v>87</v>
      </c>
      <c r="L4657" t="s">
        <v>352</v>
      </c>
      <c r="M4657" t="s">
        <v>6</v>
      </c>
      <c r="N4657" t="b">
        <v>0</v>
      </c>
      <c r="O4657">
        <v>0</v>
      </c>
      <c r="P4657">
        <v>1</v>
      </c>
      <c r="Q4657">
        <v>0</v>
      </c>
      <c r="R4657">
        <v>0</v>
      </c>
    </row>
    <row r="4658" spans="1:18" x14ac:dyDescent="0.25">
      <c r="A4658" t="s">
        <v>351</v>
      </c>
      <c r="B4658" t="s">
        <v>63</v>
      </c>
      <c r="C4658">
        <v>1</v>
      </c>
      <c r="D4658">
        <v>3</v>
      </c>
      <c r="E4658">
        <v>2</v>
      </c>
      <c r="F4658" s="15">
        <v>46182</v>
      </c>
      <c r="G4658" t="s">
        <v>575</v>
      </c>
      <c r="H4658">
        <v>4</v>
      </c>
      <c r="I4658">
        <v>2026</v>
      </c>
      <c r="J4658">
        <v>6</v>
      </c>
      <c r="K4658" t="s">
        <v>87</v>
      </c>
      <c r="L4658" t="s">
        <v>363</v>
      </c>
      <c r="M4658" t="s">
        <v>63</v>
      </c>
      <c r="N4658" t="b">
        <v>0</v>
      </c>
      <c r="O4658">
        <v>0</v>
      </c>
      <c r="P4658">
        <v>0</v>
      </c>
      <c r="Q4658">
        <v>1</v>
      </c>
      <c r="R4658">
        <v>0</v>
      </c>
    </row>
    <row r="4659" spans="1:18" x14ac:dyDescent="0.25">
      <c r="A4659" t="s">
        <v>351</v>
      </c>
      <c r="B4659" t="s">
        <v>63</v>
      </c>
      <c r="C4659">
        <v>1</v>
      </c>
      <c r="D4659">
        <v>3</v>
      </c>
      <c r="E4659">
        <v>2</v>
      </c>
      <c r="F4659" s="15">
        <v>46182</v>
      </c>
      <c r="G4659" t="s">
        <v>575</v>
      </c>
      <c r="H4659">
        <v>4</v>
      </c>
      <c r="I4659">
        <v>2026</v>
      </c>
      <c r="J4659">
        <v>6</v>
      </c>
      <c r="K4659" t="s">
        <v>87</v>
      </c>
      <c r="L4659" t="s">
        <v>10</v>
      </c>
      <c r="M4659" t="s">
        <v>63</v>
      </c>
      <c r="N4659" t="b">
        <v>0</v>
      </c>
      <c r="O4659">
        <v>0</v>
      </c>
      <c r="P4659">
        <v>0</v>
      </c>
      <c r="Q4659">
        <v>1</v>
      </c>
      <c r="R4659">
        <v>0</v>
      </c>
    </row>
    <row r="4660" spans="1:18" x14ac:dyDescent="0.25">
      <c r="A4660" t="s">
        <v>351</v>
      </c>
      <c r="B4660" t="s">
        <v>63</v>
      </c>
      <c r="C4660">
        <v>1</v>
      </c>
      <c r="D4660">
        <v>3</v>
      </c>
      <c r="E4660">
        <v>2</v>
      </c>
      <c r="F4660" s="15">
        <v>46182</v>
      </c>
      <c r="G4660" t="s">
        <v>575</v>
      </c>
      <c r="H4660">
        <v>4</v>
      </c>
      <c r="I4660">
        <v>2026</v>
      </c>
      <c r="J4660">
        <v>6</v>
      </c>
      <c r="K4660" t="s">
        <v>87</v>
      </c>
      <c r="L4660" t="s">
        <v>9</v>
      </c>
      <c r="M4660" t="s">
        <v>63</v>
      </c>
      <c r="N4660" t="b">
        <v>0</v>
      </c>
      <c r="O4660">
        <v>0</v>
      </c>
      <c r="P4660">
        <v>0</v>
      </c>
      <c r="Q4660">
        <v>1</v>
      </c>
      <c r="R4660">
        <v>0</v>
      </c>
    </row>
    <row r="4661" spans="1:18" x14ac:dyDescent="0.25">
      <c r="A4661" t="s">
        <v>363</v>
      </c>
      <c r="B4661" t="s">
        <v>63</v>
      </c>
      <c r="C4661">
        <v>2</v>
      </c>
      <c r="D4661">
        <v>3</v>
      </c>
      <c r="E4661">
        <v>2</v>
      </c>
      <c r="F4661" s="15">
        <v>46182</v>
      </c>
      <c r="G4661" t="s">
        <v>575</v>
      </c>
      <c r="H4661">
        <v>4</v>
      </c>
      <c r="I4661">
        <v>2026</v>
      </c>
      <c r="J4661">
        <v>6</v>
      </c>
      <c r="K4661" t="s">
        <v>87</v>
      </c>
      <c r="L4661" t="s">
        <v>351</v>
      </c>
      <c r="M4661" t="s">
        <v>63</v>
      </c>
      <c r="N4661" t="b">
        <v>0</v>
      </c>
      <c r="O4661">
        <v>0</v>
      </c>
      <c r="P4661">
        <v>0</v>
      </c>
      <c r="Q4661">
        <v>1</v>
      </c>
      <c r="R4661">
        <v>0</v>
      </c>
    </row>
    <row r="4662" spans="1:18" x14ac:dyDescent="0.25">
      <c r="A4662" t="s">
        <v>363</v>
      </c>
      <c r="B4662" t="s">
        <v>63</v>
      </c>
      <c r="C4662">
        <v>2</v>
      </c>
      <c r="D4662">
        <v>3</v>
      </c>
      <c r="E4662">
        <v>2</v>
      </c>
      <c r="F4662" s="15">
        <v>46182</v>
      </c>
      <c r="G4662" t="s">
        <v>575</v>
      </c>
      <c r="H4662">
        <v>4</v>
      </c>
      <c r="I4662">
        <v>2026</v>
      </c>
      <c r="J4662">
        <v>6</v>
      </c>
      <c r="K4662" t="s">
        <v>87</v>
      </c>
      <c r="L4662" t="s">
        <v>10</v>
      </c>
      <c r="M4662" t="s">
        <v>63</v>
      </c>
      <c r="N4662" t="b">
        <v>0</v>
      </c>
      <c r="O4662">
        <v>0</v>
      </c>
      <c r="P4662">
        <v>0</v>
      </c>
      <c r="Q4662">
        <v>1</v>
      </c>
      <c r="R4662">
        <v>0</v>
      </c>
    </row>
    <row r="4663" spans="1:18" x14ac:dyDescent="0.25">
      <c r="A4663" t="s">
        <v>363</v>
      </c>
      <c r="B4663" t="s">
        <v>63</v>
      </c>
      <c r="C4663">
        <v>2</v>
      </c>
      <c r="D4663">
        <v>3</v>
      </c>
      <c r="E4663">
        <v>2</v>
      </c>
      <c r="F4663" s="15">
        <v>46182</v>
      </c>
      <c r="G4663" t="s">
        <v>575</v>
      </c>
      <c r="H4663">
        <v>4</v>
      </c>
      <c r="I4663">
        <v>2026</v>
      </c>
      <c r="J4663">
        <v>6</v>
      </c>
      <c r="K4663" t="s">
        <v>87</v>
      </c>
      <c r="L4663" t="s">
        <v>9</v>
      </c>
      <c r="M4663" t="s">
        <v>63</v>
      </c>
      <c r="N4663" t="b">
        <v>0</v>
      </c>
      <c r="O4663">
        <v>0</v>
      </c>
      <c r="P4663">
        <v>0</v>
      </c>
      <c r="Q4663">
        <v>1</v>
      </c>
      <c r="R4663">
        <v>0</v>
      </c>
    </row>
    <row r="4664" spans="1:18" x14ac:dyDescent="0.25">
      <c r="A4664" t="s">
        <v>10</v>
      </c>
      <c r="B4664" t="s">
        <v>63</v>
      </c>
      <c r="C4664">
        <v>3</v>
      </c>
      <c r="D4664">
        <v>3</v>
      </c>
      <c r="E4664">
        <v>2</v>
      </c>
      <c r="F4664" s="15">
        <v>46182</v>
      </c>
      <c r="G4664" t="s">
        <v>575</v>
      </c>
      <c r="H4664">
        <v>4</v>
      </c>
      <c r="I4664">
        <v>2026</v>
      </c>
      <c r="J4664">
        <v>6</v>
      </c>
      <c r="K4664" t="s">
        <v>87</v>
      </c>
      <c r="L4664" t="s">
        <v>351</v>
      </c>
      <c r="M4664" t="s">
        <v>63</v>
      </c>
      <c r="N4664" t="b">
        <v>0</v>
      </c>
      <c r="O4664">
        <v>0</v>
      </c>
      <c r="P4664">
        <v>0</v>
      </c>
      <c r="Q4664">
        <v>1</v>
      </c>
      <c r="R4664">
        <v>0</v>
      </c>
    </row>
    <row r="4665" spans="1:18" x14ac:dyDescent="0.25">
      <c r="A4665" t="s">
        <v>10</v>
      </c>
      <c r="B4665" t="s">
        <v>63</v>
      </c>
      <c r="C4665">
        <v>3</v>
      </c>
      <c r="D4665">
        <v>3</v>
      </c>
      <c r="E4665">
        <v>2</v>
      </c>
      <c r="F4665" s="15">
        <v>46182</v>
      </c>
      <c r="G4665" t="s">
        <v>575</v>
      </c>
      <c r="H4665">
        <v>4</v>
      </c>
      <c r="I4665">
        <v>2026</v>
      </c>
      <c r="J4665">
        <v>6</v>
      </c>
      <c r="K4665" t="s">
        <v>87</v>
      </c>
      <c r="L4665" t="s">
        <v>363</v>
      </c>
      <c r="M4665" t="s">
        <v>63</v>
      </c>
      <c r="N4665" t="b">
        <v>0</v>
      </c>
      <c r="O4665">
        <v>0</v>
      </c>
      <c r="P4665">
        <v>0</v>
      </c>
      <c r="Q4665">
        <v>1</v>
      </c>
      <c r="R4665">
        <v>0</v>
      </c>
    </row>
    <row r="4666" spans="1:18" x14ac:dyDescent="0.25">
      <c r="A4666" t="s">
        <v>10</v>
      </c>
      <c r="B4666" t="s">
        <v>63</v>
      </c>
      <c r="C4666">
        <v>3</v>
      </c>
      <c r="D4666">
        <v>3</v>
      </c>
      <c r="E4666">
        <v>2</v>
      </c>
      <c r="F4666" s="15">
        <v>46182</v>
      </c>
      <c r="G4666" t="s">
        <v>575</v>
      </c>
      <c r="H4666">
        <v>4</v>
      </c>
      <c r="I4666">
        <v>2026</v>
      </c>
      <c r="J4666">
        <v>6</v>
      </c>
      <c r="K4666" t="s">
        <v>87</v>
      </c>
      <c r="L4666" t="s">
        <v>9</v>
      </c>
      <c r="M4666" t="s">
        <v>63</v>
      </c>
      <c r="N4666" t="b">
        <v>0</v>
      </c>
      <c r="O4666">
        <v>0</v>
      </c>
      <c r="P4666">
        <v>0</v>
      </c>
      <c r="Q4666">
        <v>1</v>
      </c>
      <c r="R4666">
        <v>0</v>
      </c>
    </row>
    <row r="4667" spans="1:18" x14ac:dyDescent="0.25">
      <c r="A4667" t="s">
        <v>9</v>
      </c>
      <c r="B4667" t="s">
        <v>63</v>
      </c>
      <c r="C4667">
        <v>4</v>
      </c>
      <c r="D4667">
        <v>3</v>
      </c>
      <c r="E4667">
        <v>2</v>
      </c>
      <c r="F4667" s="15">
        <v>46182</v>
      </c>
      <c r="G4667" t="s">
        <v>575</v>
      </c>
      <c r="H4667">
        <v>4</v>
      </c>
      <c r="I4667">
        <v>2026</v>
      </c>
      <c r="J4667">
        <v>6</v>
      </c>
      <c r="K4667" t="s">
        <v>87</v>
      </c>
      <c r="L4667" t="s">
        <v>351</v>
      </c>
      <c r="M4667" t="s">
        <v>63</v>
      </c>
      <c r="N4667" t="b">
        <v>0</v>
      </c>
      <c r="O4667">
        <v>0</v>
      </c>
      <c r="P4667">
        <v>0</v>
      </c>
      <c r="Q4667">
        <v>1</v>
      </c>
      <c r="R4667">
        <v>0</v>
      </c>
    </row>
    <row r="4668" spans="1:18" x14ac:dyDescent="0.25">
      <c r="A4668" t="s">
        <v>9</v>
      </c>
      <c r="B4668" t="s">
        <v>63</v>
      </c>
      <c r="C4668">
        <v>4</v>
      </c>
      <c r="D4668">
        <v>3</v>
      </c>
      <c r="E4668">
        <v>2</v>
      </c>
      <c r="F4668" s="15">
        <v>46182</v>
      </c>
      <c r="G4668" t="s">
        <v>575</v>
      </c>
      <c r="H4668">
        <v>4</v>
      </c>
      <c r="I4668">
        <v>2026</v>
      </c>
      <c r="J4668">
        <v>6</v>
      </c>
      <c r="K4668" t="s">
        <v>87</v>
      </c>
      <c r="L4668" t="s">
        <v>363</v>
      </c>
      <c r="M4668" t="s">
        <v>63</v>
      </c>
      <c r="N4668" t="b">
        <v>0</v>
      </c>
      <c r="O4668">
        <v>0</v>
      </c>
      <c r="P4668">
        <v>0</v>
      </c>
      <c r="Q4668">
        <v>1</v>
      </c>
      <c r="R4668">
        <v>0</v>
      </c>
    </row>
    <row r="4669" spans="1:18" x14ac:dyDescent="0.25">
      <c r="A4669" t="s">
        <v>9</v>
      </c>
      <c r="B4669" t="s">
        <v>63</v>
      </c>
      <c r="C4669">
        <v>4</v>
      </c>
      <c r="D4669">
        <v>3</v>
      </c>
      <c r="E4669">
        <v>2</v>
      </c>
      <c r="F4669" s="15">
        <v>46182</v>
      </c>
      <c r="G4669" t="s">
        <v>575</v>
      </c>
      <c r="H4669">
        <v>4</v>
      </c>
      <c r="I4669">
        <v>2026</v>
      </c>
      <c r="J4669">
        <v>6</v>
      </c>
      <c r="K4669" t="s">
        <v>87</v>
      </c>
      <c r="L4669" t="s">
        <v>10</v>
      </c>
      <c r="M4669" t="s">
        <v>63</v>
      </c>
      <c r="N4669" t="b">
        <v>0</v>
      </c>
      <c r="O4669">
        <v>0</v>
      </c>
      <c r="P4669">
        <v>0</v>
      </c>
      <c r="Q4669">
        <v>1</v>
      </c>
      <c r="R4669">
        <v>0</v>
      </c>
    </row>
    <row r="4670" spans="1:18" x14ac:dyDescent="0.25">
      <c r="A4670" t="s">
        <v>540</v>
      </c>
      <c r="B4670" t="s">
        <v>6</v>
      </c>
      <c r="C4670">
        <v>1</v>
      </c>
      <c r="D4670">
        <v>4</v>
      </c>
      <c r="E4670">
        <v>2</v>
      </c>
      <c r="F4670" s="15">
        <v>46182</v>
      </c>
      <c r="G4670" t="s">
        <v>576</v>
      </c>
      <c r="H4670">
        <v>4</v>
      </c>
      <c r="I4670">
        <v>2026</v>
      </c>
      <c r="J4670">
        <v>6</v>
      </c>
      <c r="K4670" t="s">
        <v>87</v>
      </c>
      <c r="L4670" t="s">
        <v>405</v>
      </c>
      <c r="M4670" t="s">
        <v>8</v>
      </c>
      <c r="N4670" t="b">
        <v>0</v>
      </c>
      <c r="O4670">
        <v>0</v>
      </c>
      <c r="P4670">
        <v>1</v>
      </c>
      <c r="Q4670">
        <v>0</v>
      </c>
      <c r="R4670">
        <v>1</v>
      </c>
    </row>
    <row r="4671" spans="1:18" x14ac:dyDescent="0.25">
      <c r="A4671" t="s">
        <v>540</v>
      </c>
      <c r="B4671" t="s">
        <v>6</v>
      </c>
      <c r="C4671">
        <v>1</v>
      </c>
      <c r="D4671">
        <v>4</v>
      </c>
      <c r="E4671">
        <v>2</v>
      </c>
      <c r="F4671" s="15">
        <v>46182</v>
      </c>
      <c r="G4671" t="s">
        <v>576</v>
      </c>
      <c r="H4671">
        <v>4</v>
      </c>
      <c r="I4671">
        <v>2026</v>
      </c>
      <c r="J4671">
        <v>6</v>
      </c>
      <c r="K4671" t="s">
        <v>87</v>
      </c>
      <c r="L4671" t="s">
        <v>28</v>
      </c>
      <c r="M4671" t="s">
        <v>6</v>
      </c>
      <c r="N4671" t="b">
        <v>0</v>
      </c>
      <c r="O4671">
        <v>0</v>
      </c>
      <c r="P4671">
        <v>1</v>
      </c>
      <c r="Q4671">
        <v>0</v>
      </c>
      <c r="R4671">
        <v>0</v>
      </c>
    </row>
    <row r="4672" spans="1:18" x14ac:dyDescent="0.25">
      <c r="A4672" t="s">
        <v>540</v>
      </c>
      <c r="B4672" t="s">
        <v>6</v>
      </c>
      <c r="C4672">
        <v>1</v>
      </c>
      <c r="D4672">
        <v>4</v>
      </c>
      <c r="E4672">
        <v>2</v>
      </c>
      <c r="F4672" s="15">
        <v>46182</v>
      </c>
      <c r="G4672" t="s">
        <v>576</v>
      </c>
      <c r="H4672">
        <v>4</v>
      </c>
      <c r="I4672">
        <v>2026</v>
      </c>
      <c r="J4672">
        <v>6</v>
      </c>
      <c r="K4672" t="s">
        <v>87</v>
      </c>
      <c r="L4672" t="s">
        <v>19</v>
      </c>
      <c r="M4672" t="s">
        <v>6</v>
      </c>
      <c r="N4672" t="b">
        <v>0</v>
      </c>
      <c r="O4672">
        <v>0</v>
      </c>
      <c r="P4672">
        <v>1</v>
      </c>
      <c r="Q4672">
        <v>0</v>
      </c>
      <c r="R4672">
        <v>0</v>
      </c>
    </row>
    <row r="4673" spans="1:18" x14ac:dyDescent="0.25">
      <c r="A4673" t="s">
        <v>405</v>
      </c>
      <c r="B4673" t="s">
        <v>8</v>
      </c>
      <c r="C4673">
        <v>2</v>
      </c>
      <c r="D4673">
        <v>4</v>
      </c>
      <c r="E4673">
        <v>2</v>
      </c>
      <c r="F4673" s="15">
        <v>46182</v>
      </c>
      <c r="G4673" t="s">
        <v>576</v>
      </c>
      <c r="H4673">
        <v>4</v>
      </c>
      <c r="I4673">
        <v>2026</v>
      </c>
      <c r="J4673">
        <v>6</v>
      </c>
      <c r="K4673" t="s">
        <v>87</v>
      </c>
      <c r="L4673" t="s">
        <v>540</v>
      </c>
      <c r="M4673" t="s">
        <v>6</v>
      </c>
      <c r="N4673" t="b">
        <v>0</v>
      </c>
      <c r="O4673">
        <v>1</v>
      </c>
      <c r="P4673">
        <v>0</v>
      </c>
      <c r="Q4673">
        <v>0</v>
      </c>
      <c r="R4673">
        <v>0</v>
      </c>
    </row>
    <row r="4674" spans="1:18" x14ac:dyDescent="0.25">
      <c r="A4674" t="s">
        <v>405</v>
      </c>
      <c r="B4674" t="s">
        <v>8</v>
      </c>
      <c r="C4674">
        <v>2</v>
      </c>
      <c r="D4674">
        <v>4</v>
      </c>
      <c r="E4674">
        <v>2</v>
      </c>
      <c r="F4674" s="15">
        <v>46182</v>
      </c>
      <c r="G4674" t="s">
        <v>576</v>
      </c>
      <c r="H4674">
        <v>4</v>
      </c>
      <c r="I4674">
        <v>2026</v>
      </c>
      <c r="J4674">
        <v>6</v>
      </c>
      <c r="K4674" t="s">
        <v>87</v>
      </c>
      <c r="L4674" t="s">
        <v>28</v>
      </c>
      <c r="M4674" t="s">
        <v>6</v>
      </c>
      <c r="N4674" t="b">
        <v>0</v>
      </c>
      <c r="O4674">
        <v>1</v>
      </c>
      <c r="P4674">
        <v>0</v>
      </c>
      <c r="Q4674">
        <v>0</v>
      </c>
      <c r="R4674">
        <v>0</v>
      </c>
    </row>
    <row r="4675" spans="1:18" x14ac:dyDescent="0.25">
      <c r="A4675" t="s">
        <v>405</v>
      </c>
      <c r="B4675" t="s">
        <v>8</v>
      </c>
      <c r="C4675">
        <v>2</v>
      </c>
      <c r="D4675">
        <v>4</v>
      </c>
      <c r="E4675">
        <v>2</v>
      </c>
      <c r="F4675" s="15">
        <v>46182</v>
      </c>
      <c r="G4675" t="s">
        <v>576</v>
      </c>
      <c r="H4675">
        <v>4</v>
      </c>
      <c r="I4675">
        <v>2026</v>
      </c>
      <c r="J4675">
        <v>6</v>
      </c>
      <c r="K4675" t="s">
        <v>87</v>
      </c>
      <c r="L4675" t="s">
        <v>19</v>
      </c>
      <c r="M4675" t="s">
        <v>6</v>
      </c>
      <c r="N4675" t="b">
        <v>0</v>
      </c>
      <c r="O4675">
        <v>1</v>
      </c>
      <c r="P4675">
        <v>0</v>
      </c>
      <c r="Q4675">
        <v>0</v>
      </c>
      <c r="R4675">
        <v>0</v>
      </c>
    </row>
    <row r="4676" spans="1:18" x14ac:dyDescent="0.25">
      <c r="A4676" t="s">
        <v>28</v>
      </c>
      <c r="B4676" t="s">
        <v>6</v>
      </c>
      <c r="C4676">
        <v>3</v>
      </c>
      <c r="D4676">
        <v>4</v>
      </c>
      <c r="E4676">
        <v>2</v>
      </c>
      <c r="F4676" s="15">
        <v>46182</v>
      </c>
      <c r="G4676" t="s">
        <v>576</v>
      </c>
      <c r="H4676">
        <v>4</v>
      </c>
      <c r="I4676">
        <v>2026</v>
      </c>
      <c r="J4676">
        <v>6</v>
      </c>
      <c r="K4676" t="s">
        <v>87</v>
      </c>
      <c r="L4676" t="s">
        <v>540</v>
      </c>
      <c r="M4676" t="s">
        <v>6</v>
      </c>
      <c r="N4676" t="b">
        <v>0</v>
      </c>
      <c r="O4676">
        <v>0</v>
      </c>
      <c r="P4676">
        <v>1</v>
      </c>
      <c r="Q4676">
        <v>0</v>
      </c>
      <c r="R4676">
        <v>0</v>
      </c>
    </row>
    <row r="4677" spans="1:18" x14ac:dyDescent="0.25">
      <c r="A4677" t="s">
        <v>28</v>
      </c>
      <c r="B4677" t="s">
        <v>6</v>
      </c>
      <c r="C4677">
        <v>3</v>
      </c>
      <c r="D4677">
        <v>4</v>
      </c>
      <c r="E4677">
        <v>2</v>
      </c>
      <c r="F4677" s="15">
        <v>46182</v>
      </c>
      <c r="G4677" t="s">
        <v>576</v>
      </c>
      <c r="H4677">
        <v>4</v>
      </c>
      <c r="I4677">
        <v>2026</v>
      </c>
      <c r="J4677">
        <v>6</v>
      </c>
      <c r="K4677" t="s">
        <v>87</v>
      </c>
      <c r="L4677" t="s">
        <v>405</v>
      </c>
      <c r="M4677" t="s">
        <v>8</v>
      </c>
      <c r="N4677" t="b">
        <v>0</v>
      </c>
      <c r="O4677">
        <v>0</v>
      </c>
      <c r="P4677">
        <v>1</v>
      </c>
      <c r="Q4677">
        <v>0</v>
      </c>
      <c r="R4677">
        <v>1</v>
      </c>
    </row>
    <row r="4678" spans="1:18" x14ac:dyDescent="0.25">
      <c r="A4678" t="s">
        <v>28</v>
      </c>
      <c r="B4678" t="s">
        <v>6</v>
      </c>
      <c r="C4678">
        <v>3</v>
      </c>
      <c r="D4678">
        <v>4</v>
      </c>
      <c r="E4678">
        <v>2</v>
      </c>
      <c r="F4678" s="15">
        <v>46182</v>
      </c>
      <c r="G4678" t="s">
        <v>576</v>
      </c>
      <c r="H4678">
        <v>4</v>
      </c>
      <c r="I4678">
        <v>2026</v>
      </c>
      <c r="J4678">
        <v>6</v>
      </c>
      <c r="K4678" t="s">
        <v>87</v>
      </c>
      <c r="L4678" t="s">
        <v>19</v>
      </c>
      <c r="M4678" t="s">
        <v>6</v>
      </c>
      <c r="N4678" t="b">
        <v>0</v>
      </c>
      <c r="O4678">
        <v>0</v>
      </c>
      <c r="P4678">
        <v>1</v>
      </c>
      <c r="Q4678">
        <v>0</v>
      </c>
      <c r="R4678">
        <v>0</v>
      </c>
    </row>
    <row r="4679" spans="1:18" x14ac:dyDescent="0.25">
      <c r="A4679" t="s">
        <v>19</v>
      </c>
      <c r="B4679" t="s">
        <v>6</v>
      </c>
      <c r="C4679">
        <v>4</v>
      </c>
      <c r="D4679">
        <v>4</v>
      </c>
      <c r="E4679">
        <v>2</v>
      </c>
      <c r="F4679" s="15">
        <v>46182</v>
      </c>
      <c r="G4679" t="s">
        <v>576</v>
      </c>
      <c r="H4679">
        <v>4</v>
      </c>
      <c r="I4679">
        <v>2026</v>
      </c>
      <c r="J4679">
        <v>6</v>
      </c>
      <c r="K4679" t="s">
        <v>87</v>
      </c>
      <c r="L4679" t="s">
        <v>540</v>
      </c>
      <c r="M4679" t="s">
        <v>6</v>
      </c>
      <c r="N4679" t="b">
        <v>0</v>
      </c>
      <c r="O4679">
        <v>0</v>
      </c>
      <c r="P4679">
        <v>1</v>
      </c>
      <c r="Q4679">
        <v>0</v>
      </c>
      <c r="R4679">
        <v>0</v>
      </c>
    </row>
    <row r="4680" spans="1:18" x14ac:dyDescent="0.25">
      <c r="A4680" t="s">
        <v>19</v>
      </c>
      <c r="B4680" t="s">
        <v>6</v>
      </c>
      <c r="C4680">
        <v>4</v>
      </c>
      <c r="D4680">
        <v>4</v>
      </c>
      <c r="E4680">
        <v>2</v>
      </c>
      <c r="F4680" s="15">
        <v>46182</v>
      </c>
      <c r="G4680" t="s">
        <v>576</v>
      </c>
      <c r="H4680">
        <v>4</v>
      </c>
      <c r="I4680">
        <v>2026</v>
      </c>
      <c r="J4680">
        <v>6</v>
      </c>
      <c r="K4680" t="s">
        <v>87</v>
      </c>
      <c r="L4680" t="s">
        <v>405</v>
      </c>
      <c r="M4680" t="s">
        <v>8</v>
      </c>
      <c r="N4680" t="b">
        <v>0</v>
      </c>
      <c r="O4680">
        <v>0</v>
      </c>
      <c r="P4680">
        <v>1</v>
      </c>
      <c r="Q4680">
        <v>0</v>
      </c>
      <c r="R4680">
        <v>1</v>
      </c>
    </row>
    <row r="4681" spans="1:18" x14ac:dyDescent="0.25">
      <c r="A4681" t="s">
        <v>19</v>
      </c>
      <c r="B4681" t="s">
        <v>6</v>
      </c>
      <c r="C4681">
        <v>4</v>
      </c>
      <c r="D4681">
        <v>4</v>
      </c>
      <c r="E4681">
        <v>2</v>
      </c>
      <c r="F4681" s="15">
        <v>46182</v>
      </c>
      <c r="G4681" t="s">
        <v>576</v>
      </c>
      <c r="H4681">
        <v>4</v>
      </c>
      <c r="I4681">
        <v>2026</v>
      </c>
      <c r="J4681">
        <v>6</v>
      </c>
      <c r="K4681" t="s">
        <v>87</v>
      </c>
      <c r="L4681" t="s">
        <v>28</v>
      </c>
      <c r="M4681" t="s">
        <v>6</v>
      </c>
      <c r="N4681" t="b">
        <v>0</v>
      </c>
      <c r="O4681">
        <v>0</v>
      </c>
      <c r="P4681">
        <v>1</v>
      </c>
      <c r="Q4681">
        <v>0</v>
      </c>
      <c r="R4681">
        <v>0</v>
      </c>
    </row>
    <row r="4682" spans="1:18" x14ac:dyDescent="0.25">
      <c r="A4682" t="s">
        <v>433</v>
      </c>
      <c r="B4682" t="s">
        <v>6</v>
      </c>
      <c r="C4682">
        <v>1</v>
      </c>
      <c r="D4682">
        <v>5</v>
      </c>
      <c r="E4682">
        <v>2</v>
      </c>
      <c r="F4682" s="15">
        <v>46182</v>
      </c>
      <c r="G4682" t="s">
        <v>577</v>
      </c>
      <c r="H4682">
        <v>4</v>
      </c>
      <c r="I4682">
        <v>2026</v>
      </c>
      <c r="J4682">
        <v>6</v>
      </c>
      <c r="K4682" t="s">
        <v>87</v>
      </c>
      <c r="L4682" t="s">
        <v>7</v>
      </c>
      <c r="M4682" t="s">
        <v>8</v>
      </c>
      <c r="N4682" t="b">
        <v>0</v>
      </c>
      <c r="O4682">
        <v>0</v>
      </c>
      <c r="P4682">
        <v>1</v>
      </c>
      <c r="Q4682">
        <v>0</v>
      </c>
      <c r="R4682">
        <v>1</v>
      </c>
    </row>
    <row r="4683" spans="1:18" x14ac:dyDescent="0.25">
      <c r="A4683" t="s">
        <v>433</v>
      </c>
      <c r="B4683" t="s">
        <v>6</v>
      </c>
      <c r="C4683">
        <v>1</v>
      </c>
      <c r="D4683">
        <v>5</v>
      </c>
      <c r="E4683">
        <v>2</v>
      </c>
      <c r="F4683" s="15">
        <v>46182</v>
      </c>
      <c r="G4683" t="s">
        <v>577</v>
      </c>
      <c r="H4683">
        <v>4</v>
      </c>
      <c r="I4683">
        <v>2026</v>
      </c>
      <c r="J4683">
        <v>6</v>
      </c>
      <c r="K4683" t="s">
        <v>87</v>
      </c>
      <c r="L4683" t="s">
        <v>519</v>
      </c>
      <c r="M4683" t="s">
        <v>6</v>
      </c>
      <c r="N4683" t="b">
        <v>0</v>
      </c>
      <c r="O4683">
        <v>0</v>
      </c>
      <c r="P4683">
        <v>1</v>
      </c>
      <c r="Q4683">
        <v>0</v>
      </c>
      <c r="R4683">
        <v>0</v>
      </c>
    </row>
    <row r="4684" spans="1:18" x14ac:dyDescent="0.25">
      <c r="A4684" t="s">
        <v>433</v>
      </c>
      <c r="B4684" t="s">
        <v>6</v>
      </c>
      <c r="C4684">
        <v>1</v>
      </c>
      <c r="D4684">
        <v>5</v>
      </c>
      <c r="E4684">
        <v>2</v>
      </c>
      <c r="F4684" s="15">
        <v>46182</v>
      </c>
      <c r="G4684" t="s">
        <v>577</v>
      </c>
      <c r="H4684">
        <v>4</v>
      </c>
      <c r="I4684">
        <v>2026</v>
      </c>
      <c r="J4684">
        <v>6</v>
      </c>
      <c r="K4684" t="s">
        <v>87</v>
      </c>
      <c r="L4684" t="s">
        <v>567</v>
      </c>
      <c r="M4684" t="s">
        <v>6</v>
      </c>
      <c r="N4684" t="b">
        <v>0</v>
      </c>
      <c r="O4684">
        <v>0</v>
      </c>
      <c r="P4684">
        <v>1</v>
      </c>
      <c r="Q4684">
        <v>0</v>
      </c>
      <c r="R4684">
        <v>0</v>
      </c>
    </row>
    <row r="4685" spans="1:18" x14ac:dyDescent="0.25">
      <c r="A4685" t="s">
        <v>7</v>
      </c>
      <c r="B4685" t="s">
        <v>8</v>
      </c>
      <c r="C4685">
        <v>2</v>
      </c>
      <c r="D4685">
        <v>5</v>
      </c>
      <c r="E4685">
        <v>2</v>
      </c>
      <c r="F4685" s="15">
        <v>46182</v>
      </c>
      <c r="G4685" t="s">
        <v>577</v>
      </c>
      <c r="H4685">
        <v>4</v>
      </c>
      <c r="I4685">
        <v>2026</v>
      </c>
      <c r="J4685">
        <v>6</v>
      </c>
      <c r="K4685" t="s">
        <v>87</v>
      </c>
      <c r="L4685" t="s">
        <v>433</v>
      </c>
      <c r="M4685" t="s">
        <v>6</v>
      </c>
      <c r="N4685" t="b">
        <v>0</v>
      </c>
      <c r="O4685">
        <v>1</v>
      </c>
      <c r="P4685">
        <v>0</v>
      </c>
      <c r="Q4685">
        <v>0</v>
      </c>
      <c r="R4685">
        <v>0</v>
      </c>
    </row>
    <row r="4686" spans="1:18" x14ac:dyDescent="0.25">
      <c r="A4686" t="s">
        <v>7</v>
      </c>
      <c r="B4686" t="s">
        <v>8</v>
      </c>
      <c r="C4686">
        <v>2</v>
      </c>
      <c r="D4686">
        <v>5</v>
      </c>
      <c r="E4686">
        <v>2</v>
      </c>
      <c r="F4686" s="15">
        <v>46182</v>
      </c>
      <c r="G4686" t="s">
        <v>577</v>
      </c>
      <c r="H4686">
        <v>4</v>
      </c>
      <c r="I4686">
        <v>2026</v>
      </c>
      <c r="J4686">
        <v>6</v>
      </c>
      <c r="K4686" t="s">
        <v>87</v>
      </c>
      <c r="L4686" t="s">
        <v>519</v>
      </c>
      <c r="M4686" t="s">
        <v>6</v>
      </c>
      <c r="N4686" t="b">
        <v>0</v>
      </c>
      <c r="O4686">
        <v>1</v>
      </c>
      <c r="P4686">
        <v>0</v>
      </c>
      <c r="Q4686">
        <v>0</v>
      </c>
      <c r="R4686">
        <v>0</v>
      </c>
    </row>
    <row r="4687" spans="1:18" x14ac:dyDescent="0.25">
      <c r="A4687" t="s">
        <v>7</v>
      </c>
      <c r="B4687" t="s">
        <v>8</v>
      </c>
      <c r="C4687">
        <v>2</v>
      </c>
      <c r="D4687">
        <v>5</v>
      </c>
      <c r="E4687">
        <v>2</v>
      </c>
      <c r="F4687" s="15">
        <v>46182</v>
      </c>
      <c r="G4687" t="s">
        <v>577</v>
      </c>
      <c r="H4687">
        <v>4</v>
      </c>
      <c r="I4687">
        <v>2026</v>
      </c>
      <c r="J4687">
        <v>6</v>
      </c>
      <c r="K4687" t="s">
        <v>87</v>
      </c>
      <c r="L4687" t="s">
        <v>567</v>
      </c>
      <c r="M4687" t="s">
        <v>6</v>
      </c>
      <c r="N4687" t="b">
        <v>0</v>
      </c>
      <c r="O4687">
        <v>1</v>
      </c>
      <c r="P4687">
        <v>0</v>
      </c>
      <c r="Q4687">
        <v>0</v>
      </c>
      <c r="R4687">
        <v>0</v>
      </c>
    </row>
    <row r="4688" spans="1:18" x14ac:dyDescent="0.25">
      <c r="A4688" t="s">
        <v>519</v>
      </c>
      <c r="B4688" t="s">
        <v>6</v>
      </c>
      <c r="C4688">
        <v>3</v>
      </c>
      <c r="D4688">
        <v>5</v>
      </c>
      <c r="E4688">
        <v>2</v>
      </c>
      <c r="F4688" s="15">
        <v>46182</v>
      </c>
      <c r="G4688" t="s">
        <v>577</v>
      </c>
      <c r="H4688">
        <v>4</v>
      </c>
      <c r="I4688">
        <v>2026</v>
      </c>
      <c r="J4688">
        <v>6</v>
      </c>
      <c r="K4688" t="s">
        <v>87</v>
      </c>
      <c r="L4688" t="s">
        <v>433</v>
      </c>
      <c r="M4688" t="s">
        <v>6</v>
      </c>
      <c r="N4688" t="b">
        <v>0</v>
      </c>
      <c r="O4688">
        <v>0</v>
      </c>
      <c r="P4688">
        <v>1</v>
      </c>
      <c r="Q4688">
        <v>0</v>
      </c>
      <c r="R4688">
        <v>0</v>
      </c>
    </row>
    <row r="4689" spans="1:18" x14ac:dyDescent="0.25">
      <c r="A4689" t="s">
        <v>519</v>
      </c>
      <c r="B4689" t="s">
        <v>6</v>
      </c>
      <c r="C4689">
        <v>3</v>
      </c>
      <c r="D4689">
        <v>5</v>
      </c>
      <c r="E4689">
        <v>2</v>
      </c>
      <c r="F4689" s="15">
        <v>46182</v>
      </c>
      <c r="G4689" t="s">
        <v>577</v>
      </c>
      <c r="H4689">
        <v>4</v>
      </c>
      <c r="I4689">
        <v>2026</v>
      </c>
      <c r="J4689">
        <v>6</v>
      </c>
      <c r="K4689" t="s">
        <v>87</v>
      </c>
      <c r="L4689" t="s">
        <v>7</v>
      </c>
      <c r="M4689" t="s">
        <v>8</v>
      </c>
      <c r="N4689" t="b">
        <v>0</v>
      </c>
      <c r="O4689">
        <v>0</v>
      </c>
      <c r="P4689">
        <v>1</v>
      </c>
      <c r="Q4689">
        <v>0</v>
      </c>
      <c r="R4689">
        <v>1</v>
      </c>
    </row>
    <row r="4690" spans="1:18" x14ac:dyDescent="0.25">
      <c r="A4690" t="s">
        <v>519</v>
      </c>
      <c r="B4690" t="s">
        <v>6</v>
      </c>
      <c r="C4690">
        <v>3</v>
      </c>
      <c r="D4690">
        <v>5</v>
      </c>
      <c r="E4690">
        <v>2</v>
      </c>
      <c r="F4690" s="15">
        <v>46182</v>
      </c>
      <c r="G4690" t="s">
        <v>577</v>
      </c>
      <c r="H4690">
        <v>4</v>
      </c>
      <c r="I4690">
        <v>2026</v>
      </c>
      <c r="J4690">
        <v>6</v>
      </c>
      <c r="K4690" t="s">
        <v>87</v>
      </c>
      <c r="L4690" t="s">
        <v>567</v>
      </c>
      <c r="M4690" t="s">
        <v>6</v>
      </c>
      <c r="N4690" t="b">
        <v>0</v>
      </c>
      <c r="O4690">
        <v>0</v>
      </c>
      <c r="P4690">
        <v>1</v>
      </c>
      <c r="Q4690">
        <v>0</v>
      </c>
      <c r="R4690">
        <v>0</v>
      </c>
    </row>
    <row r="4691" spans="1:18" x14ac:dyDescent="0.25">
      <c r="A4691" t="s">
        <v>567</v>
      </c>
      <c r="B4691" t="s">
        <v>6</v>
      </c>
      <c r="C4691">
        <v>4</v>
      </c>
      <c r="D4691">
        <v>5</v>
      </c>
      <c r="E4691">
        <v>2</v>
      </c>
      <c r="F4691" s="15">
        <v>46182</v>
      </c>
      <c r="G4691" t="s">
        <v>577</v>
      </c>
      <c r="H4691">
        <v>4</v>
      </c>
      <c r="I4691">
        <v>2026</v>
      </c>
      <c r="J4691">
        <v>6</v>
      </c>
      <c r="K4691" t="s">
        <v>87</v>
      </c>
      <c r="L4691" t="s">
        <v>433</v>
      </c>
      <c r="M4691" t="s">
        <v>6</v>
      </c>
      <c r="N4691" t="b">
        <v>0</v>
      </c>
      <c r="O4691">
        <v>0</v>
      </c>
      <c r="P4691">
        <v>1</v>
      </c>
      <c r="Q4691">
        <v>0</v>
      </c>
      <c r="R4691">
        <v>0</v>
      </c>
    </row>
    <row r="4692" spans="1:18" x14ac:dyDescent="0.25">
      <c r="A4692" t="s">
        <v>567</v>
      </c>
      <c r="B4692" t="s">
        <v>6</v>
      </c>
      <c r="C4692">
        <v>4</v>
      </c>
      <c r="D4692">
        <v>5</v>
      </c>
      <c r="E4692">
        <v>2</v>
      </c>
      <c r="F4692" s="15">
        <v>46182</v>
      </c>
      <c r="G4692" t="s">
        <v>577</v>
      </c>
      <c r="H4692">
        <v>4</v>
      </c>
      <c r="I4692">
        <v>2026</v>
      </c>
      <c r="J4692">
        <v>6</v>
      </c>
      <c r="K4692" t="s">
        <v>87</v>
      </c>
      <c r="L4692" t="s">
        <v>7</v>
      </c>
      <c r="M4692" t="s">
        <v>8</v>
      </c>
      <c r="N4692" t="b">
        <v>0</v>
      </c>
      <c r="O4692">
        <v>0</v>
      </c>
      <c r="P4692">
        <v>1</v>
      </c>
      <c r="Q4692">
        <v>0</v>
      </c>
      <c r="R4692">
        <v>1</v>
      </c>
    </row>
    <row r="4693" spans="1:18" x14ac:dyDescent="0.25">
      <c r="A4693" t="s">
        <v>567</v>
      </c>
      <c r="B4693" t="s">
        <v>6</v>
      </c>
      <c r="C4693">
        <v>4</v>
      </c>
      <c r="D4693">
        <v>5</v>
      </c>
      <c r="E4693">
        <v>2</v>
      </c>
      <c r="F4693" s="15">
        <v>46182</v>
      </c>
      <c r="G4693" t="s">
        <v>577</v>
      </c>
      <c r="H4693">
        <v>4</v>
      </c>
      <c r="I4693">
        <v>2026</v>
      </c>
      <c r="J4693">
        <v>6</v>
      </c>
      <c r="K4693" t="s">
        <v>87</v>
      </c>
      <c r="L4693" t="s">
        <v>519</v>
      </c>
      <c r="M4693" t="s">
        <v>6</v>
      </c>
      <c r="N4693" t="b">
        <v>0</v>
      </c>
      <c r="O4693">
        <v>0</v>
      </c>
      <c r="P4693">
        <v>1</v>
      </c>
      <c r="Q4693">
        <v>0</v>
      </c>
      <c r="R4693">
        <v>0</v>
      </c>
    </row>
    <row r="4694" spans="1:18" x14ac:dyDescent="0.25">
      <c r="A4694" t="s">
        <v>11</v>
      </c>
      <c r="B4694" t="s">
        <v>6</v>
      </c>
      <c r="C4694">
        <v>1</v>
      </c>
      <c r="D4694">
        <v>1</v>
      </c>
      <c r="E4694">
        <v>1</v>
      </c>
      <c r="F4694" s="15">
        <v>46188</v>
      </c>
      <c r="G4694" t="s">
        <v>580</v>
      </c>
      <c r="H4694">
        <v>4</v>
      </c>
      <c r="I4694">
        <v>2026</v>
      </c>
      <c r="J4694">
        <v>6</v>
      </c>
      <c r="K4694" t="s">
        <v>87</v>
      </c>
      <c r="L4694" t="s">
        <v>325</v>
      </c>
      <c r="M4694" t="s">
        <v>6</v>
      </c>
      <c r="N4694" t="b">
        <v>0</v>
      </c>
      <c r="O4694">
        <v>0</v>
      </c>
      <c r="P4694">
        <v>1</v>
      </c>
      <c r="Q4694">
        <v>0</v>
      </c>
      <c r="R4694">
        <v>0</v>
      </c>
    </row>
    <row r="4695" spans="1:18" x14ac:dyDescent="0.25">
      <c r="A4695" t="s">
        <v>11</v>
      </c>
      <c r="B4695" t="s">
        <v>6</v>
      </c>
      <c r="C4695">
        <v>1</v>
      </c>
      <c r="D4695">
        <v>1</v>
      </c>
      <c r="E4695">
        <v>1</v>
      </c>
      <c r="F4695" s="15">
        <v>46188</v>
      </c>
      <c r="G4695" t="s">
        <v>580</v>
      </c>
      <c r="H4695">
        <v>4</v>
      </c>
      <c r="I4695">
        <v>2026</v>
      </c>
      <c r="J4695">
        <v>6</v>
      </c>
      <c r="K4695" t="s">
        <v>87</v>
      </c>
      <c r="L4695" t="s">
        <v>28</v>
      </c>
      <c r="M4695" t="s">
        <v>8</v>
      </c>
      <c r="N4695" t="b">
        <v>0</v>
      </c>
      <c r="O4695">
        <v>0</v>
      </c>
      <c r="P4695">
        <v>1</v>
      </c>
      <c r="Q4695">
        <v>0</v>
      </c>
      <c r="R4695">
        <v>1</v>
      </c>
    </row>
    <row r="4696" spans="1:18" x14ac:dyDescent="0.25">
      <c r="A4696" t="s">
        <v>11</v>
      </c>
      <c r="B4696" t="s">
        <v>6</v>
      </c>
      <c r="C4696">
        <v>1</v>
      </c>
      <c r="D4696">
        <v>1</v>
      </c>
      <c r="E4696">
        <v>1</v>
      </c>
      <c r="F4696" s="15">
        <v>46188</v>
      </c>
      <c r="G4696" t="s">
        <v>580</v>
      </c>
      <c r="H4696">
        <v>4</v>
      </c>
      <c r="I4696">
        <v>2026</v>
      </c>
      <c r="J4696">
        <v>6</v>
      </c>
      <c r="K4696" t="s">
        <v>87</v>
      </c>
      <c r="L4696" t="s">
        <v>578</v>
      </c>
      <c r="M4696" t="s">
        <v>6</v>
      </c>
      <c r="N4696" t="b">
        <v>0</v>
      </c>
      <c r="O4696">
        <v>0</v>
      </c>
      <c r="P4696">
        <v>1</v>
      </c>
      <c r="Q4696">
        <v>0</v>
      </c>
      <c r="R4696">
        <v>0</v>
      </c>
    </row>
    <row r="4697" spans="1:18" x14ac:dyDescent="0.25">
      <c r="A4697" t="s">
        <v>325</v>
      </c>
      <c r="B4697" t="s">
        <v>6</v>
      </c>
      <c r="C4697">
        <v>2</v>
      </c>
      <c r="D4697">
        <v>1</v>
      </c>
      <c r="E4697">
        <v>1</v>
      </c>
      <c r="F4697" s="15">
        <v>46188</v>
      </c>
      <c r="G4697" t="s">
        <v>580</v>
      </c>
      <c r="H4697">
        <v>4</v>
      </c>
      <c r="I4697">
        <v>2026</v>
      </c>
      <c r="J4697">
        <v>6</v>
      </c>
      <c r="K4697" t="s">
        <v>87</v>
      </c>
      <c r="L4697" t="s">
        <v>11</v>
      </c>
      <c r="M4697" t="s">
        <v>6</v>
      </c>
      <c r="N4697" t="b">
        <v>0</v>
      </c>
      <c r="O4697">
        <v>0</v>
      </c>
      <c r="P4697">
        <v>1</v>
      </c>
      <c r="Q4697">
        <v>0</v>
      </c>
      <c r="R4697">
        <v>0</v>
      </c>
    </row>
    <row r="4698" spans="1:18" x14ac:dyDescent="0.25">
      <c r="A4698" t="s">
        <v>325</v>
      </c>
      <c r="B4698" t="s">
        <v>6</v>
      </c>
      <c r="C4698">
        <v>2</v>
      </c>
      <c r="D4698">
        <v>1</v>
      </c>
      <c r="E4698">
        <v>1</v>
      </c>
      <c r="F4698" s="15">
        <v>46188</v>
      </c>
      <c r="G4698" t="s">
        <v>580</v>
      </c>
      <c r="H4698">
        <v>4</v>
      </c>
      <c r="I4698">
        <v>2026</v>
      </c>
      <c r="J4698">
        <v>6</v>
      </c>
      <c r="K4698" t="s">
        <v>87</v>
      </c>
      <c r="L4698" t="s">
        <v>28</v>
      </c>
      <c r="M4698" t="s">
        <v>8</v>
      </c>
      <c r="N4698" t="b">
        <v>0</v>
      </c>
      <c r="O4698">
        <v>0</v>
      </c>
      <c r="P4698">
        <v>1</v>
      </c>
      <c r="Q4698">
        <v>0</v>
      </c>
      <c r="R4698">
        <v>1</v>
      </c>
    </row>
    <row r="4699" spans="1:18" x14ac:dyDescent="0.25">
      <c r="A4699" t="s">
        <v>325</v>
      </c>
      <c r="B4699" t="s">
        <v>6</v>
      </c>
      <c r="C4699">
        <v>2</v>
      </c>
      <c r="D4699">
        <v>1</v>
      </c>
      <c r="E4699">
        <v>1</v>
      </c>
      <c r="F4699" s="15">
        <v>46188</v>
      </c>
      <c r="G4699" t="s">
        <v>580</v>
      </c>
      <c r="H4699">
        <v>4</v>
      </c>
      <c r="I4699">
        <v>2026</v>
      </c>
      <c r="J4699">
        <v>6</v>
      </c>
      <c r="K4699" t="s">
        <v>87</v>
      </c>
      <c r="L4699" t="s">
        <v>578</v>
      </c>
      <c r="M4699" t="s">
        <v>6</v>
      </c>
      <c r="N4699" t="b">
        <v>0</v>
      </c>
      <c r="O4699">
        <v>0</v>
      </c>
      <c r="P4699">
        <v>1</v>
      </c>
      <c r="Q4699">
        <v>0</v>
      </c>
      <c r="R4699">
        <v>0</v>
      </c>
    </row>
    <row r="4700" spans="1:18" x14ac:dyDescent="0.25">
      <c r="A4700" t="s">
        <v>28</v>
      </c>
      <c r="B4700" t="s">
        <v>8</v>
      </c>
      <c r="C4700">
        <v>3</v>
      </c>
      <c r="D4700">
        <v>1</v>
      </c>
      <c r="E4700">
        <v>1</v>
      </c>
      <c r="F4700" s="15">
        <v>46188</v>
      </c>
      <c r="G4700" t="s">
        <v>580</v>
      </c>
      <c r="H4700">
        <v>4</v>
      </c>
      <c r="I4700">
        <v>2026</v>
      </c>
      <c r="J4700">
        <v>6</v>
      </c>
      <c r="K4700" t="s">
        <v>87</v>
      </c>
      <c r="L4700" t="s">
        <v>11</v>
      </c>
      <c r="M4700" t="s">
        <v>6</v>
      </c>
      <c r="N4700" t="b">
        <v>0</v>
      </c>
      <c r="O4700">
        <v>1</v>
      </c>
      <c r="P4700">
        <v>0</v>
      </c>
      <c r="Q4700">
        <v>0</v>
      </c>
      <c r="R4700">
        <v>0</v>
      </c>
    </row>
    <row r="4701" spans="1:18" x14ac:dyDescent="0.25">
      <c r="A4701" t="s">
        <v>28</v>
      </c>
      <c r="B4701" t="s">
        <v>8</v>
      </c>
      <c r="C4701">
        <v>3</v>
      </c>
      <c r="D4701">
        <v>1</v>
      </c>
      <c r="E4701">
        <v>1</v>
      </c>
      <c r="F4701" s="15">
        <v>46188</v>
      </c>
      <c r="G4701" t="s">
        <v>580</v>
      </c>
      <c r="H4701">
        <v>4</v>
      </c>
      <c r="I4701">
        <v>2026</v>
      </c>
      <c r="J4701">
        <v>6</v>
      </c>
      <c r="K4701" t="s">
        <v>87</v>
      </c>
      <c r="L4701" t="s">
        <v>325</v>
      </c>
      <c r="M4701" t="s">
        <v>6</v>
      </c>
      <c r="N4701" t="b">
        <v>0</v>
      </c>
      <c r="O4701">
        <v>1</v>
      </c>
      <c r="P4701">
        <v>0</v>
      </c>
      <c r="Q4701">
        <v>0</v>
      </c>
      <c r="R4701">
        <v>0</v>
      </c>
    </row>
    <row r="4702" spans="1:18" x14ac:dyDescent="0.25">
      <c r="A4702" t="s">
        <v>28</v>
      </c>
      <c r="B4702" t="s">
        <v>8</v>
      </c>
      <c r="C4702">
        <v>3</v>
      </c>
      <c r="D4702">
        <v>1</v>
      </c>
      <c r="E4702">
        <v>1</v>
      </c>
      <c r="F4702" s="15">
        <v>46188</v>
      </c>
      <c r="G4702" t="s">
        <v>580</v>
      </c>
      <c r="H4702">
        <v>4</v>
      </c>
      <c r="I4702">
        <v>2026</v>
      </c>
      <c r="J4702">
        <v>6</v>
      </c>
      <c r="K4702" t="s">
        <v>87</v>
      </c>
      <c r="L4702" t="s">
        <v>578</v>
      </c>
      <c r="M4702" t="s">
        <v>6</v>
      </c>
      <c r="N4702" t="b">
        <v>0</v>
      </c>
      <c r="O4702">
        <v>1</v>
      </c>
      <c r="P4702">
        <v>0</v>
      </c>
      <c r="Q4702">
        <v>0</v>
      </c>
      <c r="R4702">
        <v>0</v>
      </c>
    </row>
    <row r="4703" spans="1:18" x14ac:dyDescent="0.25">
      <c r="A4703" t="s">
        <v>578</v>
      </c>
      <c r="B4703" t="s">
        <v>6</v>
      </c>
      <c r="C4703">
        <v>4</v>
      </c>
      <c r="D4703">
        <v>1</v>
      </c>
      <c r="E4703">
        <v>1</v>
      </c>
      <c r="F4703" s="15">
        <v>46188</v>
      </c>
      <c r="G4703" t="s">
        <v>580</v>
      </c>
      <c r="H4703">
        <v>4</v>
      </c>
      <c r="I4703">
        <v>2026</v>
      </c>
      <c r="J4703">
        <v>6</v>
      </c>
      <c r="K4703" t="s">
        <v>87</v>
      </c>
      <c r="L4703" t="s">
        <v>11</v>
      </c>
      <c r="M4703" t="s">
        <v>6</v>
      </c>
      <c r="N4703" t="b">
        <v>0</v>
      </c>
      <c r="O4703">
        <v>0</v>
      </c>
      <c r="P4703">
        <v>1</v>
      </c>
      <c r="Q4703">
        <v>0</v>
      </c>
      <c r="R4703">
        <v>0</v>
      </c>
    </row>
    <row r="4704" spans="1:18" x14ac:dyDescent="0.25">
      <c r="A4704" t="s">
        <v>578</v>
      </c>
      <c r="B4704" t="s">
        <v>6</v>
      </c>
      <c r="C4704">
        <v>4</v>
      </c>
      <c r="D4704">
        <v>1</v>
      </c>
      <c r="E4704">
        <v>1</v>
      </c>
      <c r="F4704" s="15">
        <v>46188</v>
      </c>
      <c r="G4704" t="s">
        <v>580</v>
      </c>
      <c r="H4704">
        <v>4</v>
      </c>
      <c r="I4704">
        <v>2026</v>
      </c>
      <c r="J4704">
        <v>6</v>
      </c>
      <c r="K4704" t="s">
        <v>87</v>
      </c>
      <c r="L4704" t="s">
        <v>325</v>
      </c>
      <c r="M4704" t="s">
        <v>6</v>
      </c>
      <c r="N4704" t="b">
        <v>0</v>
      </c>
      <c r="O4704">
        <v>0</v>
      </c>
      <c r="P4704">
        <v>1</v>
      </c>
      <c r="Q4704">
        <v>0</v>
      </c>
      <c r="R4704">
        <v>0</v>
      </c>
    </row>
    <row r="4705" spans="1:18" x14ac:dyDescent="0.25">
      <c r="A4705" t="s">
        <v>578</v>
      </c>
      <c r="B4705" t="s">
        <v>6</v>
      </c>
      <c r="C4705">
        <v>4</v>
      </c>
      <c r="D4705">
        <v>1</v>
      </c>
      <c r="E4705">
        <v>1</v>
      </c>
      <c r="F4705" s="15">
        <v>46188</v>
      </c>
      <c r="G4705" t="s">
        <v>580</v>
      </c>
      <c r="H4705">
        <v>4</v>
      </c>
      <c r="I4705">
        <v>2026</v>
      </c>
      <c r="J4705">
        <v>6</v>
      </c>
      <c r="K4705" t="s">
        <v>87</v>
      </c>
      <c r="L4705" t="s">
        <v>28</v>
      </c>
      <c r="M4705" t="s">
        <v>8</v>
      </c>
      <c r="N4705" t="b">
        <v>0</v>
      </c>
      <c r="O4705">
        <v>0</v>
      </c>
      <c r="P4705">
        <v>1</v>
      </c>
      <c r="Q4705">
        <v>0</v>
      </c>
      <c r="R4705">
        <v>1</v>
      </c>
    </row>
    <row r="4706" spans="1:18" x14ac:dyDescent="0.25">
      <c r="A4706" t="s">
        <v>363</v>
      </c>
      <c r="B4706" t="s">
        <v>63</v>
      </c>
      <c r="C4706">
        <v>1</v>
      </c>
      <c r="D4706">
        <v>2</v>
      </c>
      <c r="E4706">
        <v>1</v>
      </c>
      <c r="F4706" s="15">
        <v>46188</v>
      </c>
      <c r="G4706" t="s">
        <v>581</v>
      </c>
      <c r="H4706">
        <v>4</v>
      </c>
      <c r="I4706">
        <v>2026</v>
      </c>
      <c r="J4706">
        <v>6</v>
      </c>
      <c r="K4706" t="s">
        <v>87</v>
      </c>
      <c r="L4706" t="s">
        <v>15</v>
      </c>
      <c r="M4706" t="s">
        <v>63</v>
      </c>
      <c r="N4706" t="b">
        <v>0</v>
      </c>
      <c r="O4706">
        <v>0</v>
      </c>
      <c r="P4706">
        <v>0</v>
      </c>
      <c r="Q4706">
        <v>1</v>
      </c>
      <c r="R4706">
        <v>0</v>
      </c>
    </row>
    <row r="4707" spans="1:18" x14ac:dyDescent="0.25">
      <c r="A4707" t="s">
        <v>363</v>
      </c>
      <c r="B4707" t="s">
        <v>63</v>
      </c>
      <c r="C4707">
        <v>1</v>
      </c>
      <c r="D4707">
        <v>2</v>
      </c>
      <c r="E4707">
        <v>1</v>
      </c>
      <c r="F4707" s="15">
        <v>46188</v>
      </c>
      <c r="G4707" t="s">
        <v>581</v>
      </c>
      <c r="H4707">
        <v>4</v>
      </c>
      <c r="I4707">
        <v>2026</v>
      </c>
      <c r="J4707">
        <v>6</v>
      </c>
      <c r="K4707" t="s">
        <v>87</v>
      </c>
      <c r="L4707" t="s">
        <v>7</v>
      </c>
      <c r="M4707" t="s">
        <v>63</v>
      </c>
      <c r="N4707" t="b">
        <v>0</v>
      </c>
      <c r="O4707">
        <v>0</v>
      </c>
      <c r="P4707">
        <v>0</v>
      </c>
      <c r="Q4707">
        <v>1</v>
      </c>
      <c r="R4707">
        <v>0</v>
      </c>
    </row>
    <row r="4708" spans="1:18" x14ac:dyDescent="0.25">
      <c r="A4708" t="s">
        <v>363</v>
      </c>
      <c r="B4708" t="s">
        <v>63</v>
      </c>
      <c r="C4708">
        <v>1</v>
      </c>
      <c r="D4708">
        <v>2</v>
      </c>
      <c r="E4708">
        <v>1</v>
      </c>
      <c r="F4708" s="15">
        <v>46188</v>
      </c>
      <c r="G4708" t="s">
        <v>581</v>
      </c>
      <c r="H4708">
        <v>4</v>
      </c>
      <c r="I4708">
        <v>2026</v>
      </c>
      <c r="J4708">
        <v>6</v>
      </c>
      <c r="K4708" t="s">
        <v>87</v>
      </c>
      <c r="L4708" t="s">
        <v>10</v>
      </c>
      <c r="M4708" t="s">
        <v>63</v>
      </c>
      <c r="N4708" t="b">
        <v>0</v>
      </c>
      <c r="O4708">
        <v>0</v>
      </c>
      <c r="P4708">
        <v>0</v>
      </c>
      <c r="Q4708">
        <v>1</v>
      </c>
      <c r="R4708">
        <v>0</v>
      </c>
    </row>
    <row r="4709" spans="1:18" x14ac:dyDescent="0.25">
      <c r="A4709" t="s">
        <v>15</v>
      </c>
      <c r="B4709" t="s">
        <v>63</v>
      </c>
      <c r="C4709">
        <v>2</v>
      </c>
      <c r="D4709">
        <v>2</v>
      </c>
      <c r="E4709">
        <v>1</v>
      </c>
      <c r="F4709" s="15">
        <v>46188</v>
      </c>
      <c r="G4709" t="s">
        <v>581</v>
      </c>
      <c r="H4709">
        <v>4</v>
      </c>
      <c r="I4709">
        <v>2026</v>
      </c>
      <c r="J4709">
        <v>6</v>
      </c>
      <c r="K4709" t="s">
        <v>87</v>
      </c>
      <c r="L4709" t="s">
        <v>363</v>
      </c>
      <c r="M4709" t="s">
        <v>63</v>
      </c>
      <c r="N4709" t="b">
        <v>0</v>
      </c>
      <c r="O4709">
        <v>0</v>
      </c>
      <c r="P4709">
        <v>0</v>
      </c>
      <c r="Q4709">
        <v>1</v>
      </c>
      <c r="R4709">
        <v>0</v>
      </c>
    </row>
    <row r="4710" spans="1:18" x14ac:dyDescent="0.25">
      <c r="A4710" t="s">
        <v>15</v>
      </c>
      <c r="B4710" t="s">
        <v>63</v>
      </c>
      <c r="C4710">
        <v>2</v>
      </c>
      <c r="D4710">
        <v>2</v>
      </c>
      <c r="E4710">
        <v>1</v>
      </c>
      <c r="F4710" s="15">
        <v>46188</v>
      </c>
      <c r="G4710" t="s">
        <v>581</v>
      </c>
      <c r="H4710">
        <v>4</v>
      </c>
      <c r="I4710">
        <v>2026</v>
      </c>
      <c r="J4710">
        <v>6</v>
      </c>
      <c r="K4710" t="s">
        <v>87</v>
      </c>
      <c r="L4710" t="s">
        <v>7</v>
      </c>
      <c r="M4710" t="s">
        <v>63</v>
      </c>
      <c r="N4710" t="b">
        <v>0</v>
      </c>
      <c r="O4710">
        <v>0</v>
      </c>
      <c r="P4710">
        <v>0</v>
      </c>
      <c r="Q4710">
        <v>1</v>
      </c>
      <c r="R4710">
        <v>0</v>
      </c>
    </row>
    <row r="4711" spans="1:18" x14ac:dyDescent="0.25">
      <c r="A4711" t="s">
        <v>15</v>
      </c>
      <c r="B4711" t="s">
        <v>63</v>
      </c>
      <c r="C4711">
        <v>2</v>
      </c>
      <c r="D4711">
        <v>2</v>
      </c>
      <c r="E4711">
        <v>1</v>
      </c>
      <c r="F4711" s="15">
        <v>46188</v>
      </c>
      <c r="G4711" t="s">
        <v>581</v>
      </c>
      <c r="H4711">
        <v>4</v>
      </c>
      <c r="I4711">
        <v>2026</v>
      </c>
      <c r="J4711">
        <v>6</v>
      </c>
      <c r="K4711" t="s">
        <v>87</v>
      </c>
      <c r="L4711" t="s">
        <v>10</v>
      </c>
      <c r="M4711" t="s">
        <v>63</v>
      </c>
      <c r="N4711" t="b">
        <v>0</v>
      </c>
      <c r="O4711">
        <v>0</v>
      </c>
      <c r="P4711">
        <v>0</v>
      </c>
      <c r="Q4711">
        <v>1</v>
      </c>
      <c r="R4711">
        <v>0</v>
      </c>
    </row>
    <row r="4712" spans="1:18" x14ac:dyDescent="0.25">
      <c r="A4712" t="s">
        <v>7</v>
      </c>
      <c r="B4712" t="s">
        <v>63</v>
      </c>
      <c r="C4712">
        <v>3</v>
      </c>
      <c r="D4712">
        <v>2</v>
      </c>
      <c r="E4712">
        <v>1</v>
      </c>
      <c r="F4712" s="15">
        <v>46188</v>
      </c>
      <c r="G4712" t="s">
        <v>581</v>
      </c>
      <c r="H4712">
        <v>4</v>
      </c>
      <c r="I4712">
        <v>2026</v>
      </c>
      <c r="J4712">
        <v>6</v>
      </c>
      <c r="K4712" t="s">
        <v>87</v>
      </c>
      <c r="L4712" t="s">
        <v>363</v>
      </c>
      <c r="M4712" t="s">
        <v>63</v>
      </c>
      <c r="N4712" t="b">
        <v>0</v>
      </c>
      <c r="O4712">
        <v>0</v>
      </c>
      <c r="P4712">
        <v>0</v>
      </c>
      <c r="Q4712">
        <v>1</v>
      </c>
      <c r="R4712">
        <v>0</v>
      </c>
    </row>
    <row r="4713" spans="1:18" x14ac:dyDescent="0.25">
      <c r="A4713" t="s">
        <v>7</v>
      </c>
      <c r="B4713" t="s">
        <v>63</v>
      </c>
      <c r="C4713">
        <v>3</v>
      </c>
      <c r="D4713">
        <v>2</v>
      </c>
      <c r="E4713">
        <v>1</v>
      </c>
      <c r="F4713" s="15">
        <v>46188</v>
      </c>
      <c r="G4713" t="s">
        <v>581</v>
      </c>
      <c r="H4713">
        <v>4</v>
      </c>
      <c r="I4713">
        <v>2026</v>
      </c>
      <c r="J4713">
        <v>6</v>
      </c>
      <c r="K4713" t="s">
        <v>87</v>
      </c>
      <c r="L4713" t="s">
        <v>15</v>
      </c>
      <c r="M4713" t="s">
        <v>63</v>
      </c>
      <c r="N4713" t="b">
        <v>0</v>
      </c>
      <c r="O4713">
        <v>0</v>
      </c>
      <c r="P4713">
        <v>0</v>
      </c>
      <c r="Q4713">
        <v>1</v>
      </c>
      <c r="R4713">
        <v>0</v>
      </c>
    </row>
    <row r="4714" spans="1:18" x14ac:dyDescent="0.25">
      <c r="A4714" t="s">
        <v>7</v>
      </c>
      <c r="B4714" t="s">
        <v>63</v>
      </c>
      <c r="C4714">
        <v>3</v>
      </c>
      <c r="D4714">
        <v>2</v>
      </c>
      <c r="E4714">
        <v>1</v>
      </c>
      <c r="F4714" s="15">
        <v>46188</v>
      </c>
      <c r="G4714" t="s">
        <v>581</v>
      </c>
      <c r="H4714">
        <v>4</v>
      </c>
      <c r="I4714">
        <v>2026</v>
      </c>
      <c r="J4714">
        <v>6</v>
      </c>
      <c r="K4714" t="s">
        <v>87</v>
      </c>
      <c r="L4714" t="s">
        <v>10</v>
      </c>
      <c r="M4714" t="s">
        <v>63</v>
      </c>
      <c r="N4714" t="b">
        <v>0</v>
      </c>
      <c r="O4714">
        <v>0</v>
      </c>
      <c r="P4714">
        <v>0</v>
      </c>
      <c r="Q4714">
        <v>1</v>
      </c>
      <c r="R4714">
        <v>0</v>
      </c>
    </row>
    <row r="4715" spans="1:18" x14ac:dyDescent="0.25">
      <c r="A4715" t="s">
        <v>10</v>
      </c>
      <c r="B4715" t="s">
        <v>63</v>
      </c>
      <c r="C4715">
        <v>4</v>
      </c>
      <c r="D4715">
        <v>2</v>
      </c>
      <c r="E4715">
        <v>1</v>
      </c>
      <c r="F4715" s="15">
        <v>46188</v>
      </c>
      <c r="G4715" t="s">
        <v>581</v>
      </c>
      <c r="H4715">
        <v>4</v>
      </c>
      <c r="I4715">
        <v>2026</v>
      </c>
      <c r="J4715">
        <v>6</v>
      </c>
      <c r="K4715" t="s">
        <v>87</v>
      </c>
      <c r="L4715" t="s">
        <v>363</v>
      </c>
      <c r="M4715" t="s">
        <v>63</v>
      </c>
      <c r="N4715" t="b">
        <v>0</v>
      </c>
      <c r="O4715">
        <v>0</v>
      </c>
      <c r="P4715">
        <v>0</v>
      </c>
      <c r="Q4715">
        <v>1</v>
      </c>
      <c r="R4715">
        <v>0</v>
      </c>
    </row>
    <row r="4716" spans="1:18" x14ac:dyDescent="0.25">
      <c r="A4716" t="s">
        <v>10</v>
      </c>
      <c r="B4716" t="s">
        <v>63</v>
      </c>
      <c r="C4716">
        <v>4</v>
      </c>
      <c r="D4716">
        <v>2</v>
      </c>
      <c r="E4716">
        <v>1</v>
      </c>
      <c r="F4716" s="15">
        <v>46188</v>
      </c>
      <c r="G4716" t="s">
        <v>581</v>
      </c>
      <c r="H4716">
        <v>4</v>
      </c>
      <c r="I4716">
        <v>2026</v>
      </c>
      <c r="J4716">
        <v>6</v>
      </c>
      <c r="K4716" t="s">
        <v>87</v>
      </c>
      <c r="L4716" t="s">
        <v>15</v>
      </c>
      <c r="M4716" t="s">
        <v>63</v>
      </c>
      <c r="N4716" t="b">
        <v>0</v>
      </c>
      <c r="O4716">
        <v>0</v>
      </c>
      <c r="P4716">
        <v>0</v>
      </c>
      <c r="Q4716">
        <v>1</v>
      </c>
      <c r="R4716">
        <v>0</v>
      </c>
    </row>
    <row r="4717" spans="1:18" x14ac:dyDescent="0.25">
      <c r="A4717" t="s">
        <v>10</v>
      </c>
      <c r="B4717" t="s">
        <v>63</v>
      </c>
      <c r="C4717">
        <v>4</v>
      </c>
      <c r="D4717">
        <v>2</v>
      </c>
      <c r="E4717">
        <v>1</v>
      </c>
      <c r="F4717" s="15">
        <v>46188</v>
      </c>
      <c r="G4717" t="s">
        <v>581</v>
      </c>
      <c r="H4717">
        <v>4</v>
      </c>
      <c r="I4717">
        <v>2026</v>
      </c>
      <c r="J4717">
        <v>6</v>
      </c>
      <c r="K4717" t="s">
        <v>87</v>
      </c>
      <c r="L4717" t="s">
        <v>7</v>
      </c>
      <c r="M4717" t="s">
        <v>63</v>
      </c>
      <c r="N4717" t="b">
        <v>0</v>
      </c>
      <c r="O4717">
        <v>0</v>
      </c>
      <c r="P4717">
        <v>0</v>
      </c>
      <c r="Q4717">
        <v>1</v>
      </c>
      <c r="R4717">
        <v>0</v>
      </c>
    </row>
    <row r="4718" spans="1:18" x14ac:dyDescent="0.25">
      <c r="A4718" t="s">
        <v>51</v>
      </c>
      <c r="B4718" t="s">
        <v>6</v>
      </c>
      <c r="C4718">
        <v>1</v>
      </c>
      <c r="D4718">
        <v>3</v>
      </c>
      <c r="E4718">
        <v>1</v>
      </c>
      <c r="F4718" s="15">
        <v>46188</v>
      </c>
      <c r="G4718" t="s">
        <v>582</v>
      </c>
      <c r="H4718">
        <v>4</v>
      </c>
      <c r="I4718">
        <v>2026</v>
      </c>
      <c r="J4718">
        <v>6</v>
      </c>
      <c r="K4718" t="s">
        <v>87</v>
      </c>
      <c r="L4718" t="s">
        <v>19</v>
      </c>
      <c r="M4718" t="s">
        <v>6</v>
      </c>
      <c r="N4718" t="b">
        <v>0</v>
      </c>
      <c r="O4718">
        <v>0</v>
      </c>
      <c r="P4718">
        <v>1</v>
      </c>
      <c r="Q4718">
        <v>0</v>
      </c>
      <c r="R4718">
        <v>0</v>
      </c>
    </row>
    <row r="4719" spans="1:18" x14ac:dyDescent="0.25">
      <c r="A4719" t="s">
        <v>51</v>
      </c>
      <c r="B4719" t="s">
        <v>6</v>
      </c>
      <c r="C4719">
        <v>1</v>
      </c>
      <c r="D4719">
        <v>3</v>
      </c>
      <c r="E4719">
        <v>1</v>
      </c>
      <c r="F4719" s="15">
        <v>46188</v>
      </c>
      <c r="G4719" t="s">
        <v>582</v>
      </c>
      <c r="H4719">
        <v>4</v>
      </c>
      <c r="I4719">
        <v>2026</v>
      </c>
      <c r="J4719">
        <v>6</v>
      </c>
      <c r="K4719" t="s">
        <v>87</v>
      </c>
      <c r="L4719" t="s">
        <v>579</v>
      </c>
      <c r="M4719" t="s">
        <v>6</v>
      </c>
      <c r="N4719" t="b">
        <v>0</v>
      </c>
      <c r="O4719">
        <v>0</v>
      </c>
      <c r="P4719">
        <v>1</v>
      </c>
      <c r="Q4719">
        <v>0</v>
      </c>
      <c r="R4719">
        <v>0</v>
      </c>
    </row>
    <row r="4720" spans="1:18" x14ac:dyDescent="0.25">
      <c r="A4720" t="s">
        <v>51</v>
      </c>
      <c r="B4720" t="s">
        <v>6</v>
      </c>
      <c r="C4720">
        <v>1</v>
      </c>
      <c r="D4720">
        <v>3</v>
      </c>
      <c r="E4720">
        <v>1</v>
      </c>
      <c r="F4720" s="15">
        <v>46188</v>
      </c>
      <c r="G4720" t="s">
        <v>582</v>
      </c>
      <c r="H4720">
        <v>4</v>
      </c>
      <c r="I4720">
        <v>2026</v>
      </c>
      <c r="J4720">
        <v>6</v>
      </c>
      <c r="K4720" t="s">
        <v>87</v>
      </c>
      <c r="L4720" t="s">
        <v>14</v>
      </c>
      <c r="M4720" t="s">
        <v>8</v>
      </c>
      <c r="N4720" t="b">
        <v>0</v>
      </c>
      <c r="O4720">
        <v>0</v>
      </c>
      <c r="P4720">
        <v>1</v>
      </c>
      <c r="Q4720">
        <v>0</v>
      </c>
      <c r="R4720">
        <v>1</v>
      </c>
    </row>
    <row r="4721" spans="1:18" x14ac:dyDescent="0.25">
      <c r="A4721" t="s">
        <v>19</v>
      </c>
      <c r="B4721" t="s">
        <v>6</v>
      </c>
      <c r="C4721">
        <v>2</v>
      </c>
      <c r="D4721">
        <v>3</v>
      </c>
      <c r="E4721">
        <v>1</v>
      </c>
      <c r="F4721" s="15">
        <v>46188</v>
      </c>
      <c r="G4721" t="s">
        <v>582</v>
      </c>
      <c r="H4721">
        <v>4</v>
      </c>
      <c r="I4721">
        <v>2026</v>
      </c>
      <c r="J4721">
        <v>6</v>
      </c>
      <c r="K4721" t="s">
        <v>87</v>
      </c>
      <c r="L4721" t="s">
        <v>51</v>
      </c>
      <c r="M4721" t="s">
        <v>6</v>
      </c>
      <c r="N4721" t="b">
        <v>0</v>
      </c>
      <c r="O4721">
        <v>0</v>
      </c>
      <c r="P4721">
        <v>1</v>
      </c>
      <c r="Q4721">
        <v>0</v>
      </c>
      <c r="R4721">
        <v>0</v>
      </c>
    </row>
    <row r="4722" spans="1:18" x14ac:dyDescent="0.25">
      <c r="A4722" t="s">
        <v>19</v>
      </c>
      <c r="B4722" t="s">
        <v>6</v>
      </c>
      <c r="C4722">
        <v>2</v>
      </c>
      <c r="D4722">
        <v>3</v>
      </c>
      <c r="E4722">
        <v>1</v>
      </c>
      <c r="F4722" s="15">
        <v>46188</v>
      </c>
      <c r="G4722" t="s">
        <v>582</v>
      </c>
      <c r="H4722">
        <v>4</v>
      </c>
      <c r="I4722">
        <v>2026</v>
      </c>
      <c r="J4722">
        <v>6</v>
      </c>
      <c r="K4722" t="s">
        <v>87</v>
      </c>
      <c r="L4722" t="s">
        <v>579</v>
      </c>
      <c r="M4722" t="s">
        <v>6</v>
      </c>
      <c r="N4722" t="b">
        <v>0</v>
      </c>
      <c r="O4722">
        <v>0</v>
      </c>
      <c r="P4722">
        <v>1</v>
      </c>
      <c r="Q4722">
        <v>0</v>
      </c>
      <c r="R4722">
        <v>0</v>
      </c>
    </row>
    <row r="4723" spans="1:18" x14ac:dyDescent="0.25">
      <c r="A4723" t="s">
        <v>19</v>
      </c>
      <c r="B4723" t="s">
        <v>6</v>
      </c>
      <c r="C4723">
        <v>2</v>
      </c>
      <c r="D4723">
        <v>3</v>
      </c>
      <c r="E4723">
        <v>1</v>
      </c>
      <c r="F4723" s="15">
        <v>46188</v>
      </c>
      <c r="G4723" t="s">
        <v>582</v>
      </c>
      <c r="H4723">
        <v>4</v>
      </c>
      <c r="I4723">
        <v>2026</v>
      </c>
      <c r="J4723">
        <v>6</v>
      </c>
      <c r="K4723" t="s">
        <v>87</v>
      </c>
      <c r="L4723" t="s">
        <v>14</v>
      </c>
      <c r="M4723" t="s">
        <v>8</v>
      </c>
      <c r="N4723" t="b">
        <v>0</v>
      </c>
      <c r="O4723">
        <v>0</v>
      </c>
      <c r="P4723">
        <v>1</v>
      </c>
      <c r="Q4723">
        <v>0</v>
      </c>
      <c r="R4723">
        <v>1</v>
      </c>
    </row>
    <row r="4724" spans="1:18" x14ac:dyDescent="0.25">
      <c r="A4724" t="s">
        <v>579</v>
      </c>
      <c r="B4724" t="s">
        <v>6</v>
      </c>
      <c r="C4724">
        <v>3</v>
      </c>
      <c r="D4724">
        <v>3</v>
      </c>
      <c r="E4724">
        <v>1</v>
      </c>
      <c r="F4724" s="15">
        <v>46188</v>
      </c>
      <c r="G4724" t="s">
        <v>582</v>
      </c>
      <c r="H4724">
        <v>4</v>
      </c>
      <c r="I4724">
        <v>2026</v>
      </c>
      <c r="J4724">
        <v>6</v>
      </c>
      <c r="K4724" t="s">
        <v>87</v>
      </c>
      <c r="L4724" t="s">
        <v>51</v>
      </c>
      <c r="M4724" t="s">
        <v>6</v>
      </c>
      <c r="N4724" t="b">
        <v>0</v>
      </c>
      <c r="O4724">
        <v>0</v>
      </c>
      <c r="P4724">
        <v>1</v>
      </c>
      <c r="Q4724">
        <v>0</v>
      </c>
      <c r="R4724">
        <v>0</v>
      </c>
    </row>
    <row r="4725" spans="1:18" x14ac:dyDescent="0.25">
      <c r="A4725" t="s">
        <v>579</v>
      </c>
      <c r="B4725" t="s">
        <v>6</v>
      </c>
      <c r="C4725">
        <v>3</v>
      </c>
      <c r="D4725">
        <v>3</v>
      </c>
      <c r="E4725">
        <v>1</v>
      </c>
      <c r="F4725" s="15">
        <v>46188</v>
      </c>
      <c r="G4725" t="s">
        <v>582</v>
      </c>
      <c r="H4725">
        <v>4</v>
      </c>
      <c r="I4725">
        <v>2026</v>
      </c>
      <c r="J4725">
        <v>6</v>
      </c>
      <c r="K4725" t="s">
        <v>87</v>
      </c>
      <c r="L4725" t="s">
        <v>19</v>
      </c>
      <c r="M4725" t="s">
        <v>6</v>
      </c>
      <c r="N4725" t="b">
        <v>0</v>
      </c>
      <c r="O4725">
        <v>0</v>
      </c>
      <c r="P4725">
        <v>1</v>
      </c>
      <c r="Q4725">
        <v>0</v>
      </c>
      <c r="R4725">
        <v>0</v>
      </c>
    </row>
    <row r="4726" spans="1:18" x14ac:dyDescent="0.25">
      <c r="A4726" t="s">
        <v>579</v>
      </c>
      <c r="B4726" t="s">
        <v>6</v>
      </c>
      <c r="C4726">
        <v>3</v>
      </c>
      <c r="D4726">
        <v>3</v>
      </c>
      <c r="E4726">
        <v>1</v>
      </c>
      <c r="F4726" s="15">
        <v>46188</v>
      </c>
      <c r="G4726" t="s">
        <v>582</v>
      </c>
      <c r="H4726">
        <v>4</v>
      </c>
      <c r="I4726">
        <v>2026</v>
      </c>
      <c r="J4726">
        <v>6</v>
      </c>
      <c r="K4726" t="s">
        <v>87</v>
      </c>
      <c r="L4726" t="s">
        <v>14</v>
      </c>
      <c r="M4726" t="s">
        <v>8</v>
      </c>
      <c r="N4726" t="b">
        <v>0</v>
      </c>
      <c r="O4726">
        <v>0</v>
      </c>
      <c r="P4726">
        <v>1</v>
      </c>
      <c r="Q4726">
        <v>0</v>
      </c>
      <c r="R4726">
        <v>1</v>
      </c>
    </row>
    <row r="4727" spans="1:18" x14ac:dyDescent="0.25">
      <c r="A4727" t="s">
        <v>14</v>
      </c>
      <c r="B4727" t="s">
        <v>8</v>
      </c>
      <c r="C4727">
        <v>4</v>
      </c>
      <c r="D4727">
        <v>3</v>
      </c>
      <c r="E4727">
        <v>1</v>
      </c>
      <c r="F4727" s="15">
        <v>46188</v>
      </c>
      <c r="G4727" t="s">
        <v>582</v>
      </c>
      <c r="H4727">
        <v>4</v>
      </c>
      <c r="I4727">
        <v>2026</v>
      </c>
      <c r="J4727">
        <v>6</v>
      </c>
      <c r="K4727" t="s">
        <v>87</v>
      </c>
      <c r="L4727" t="s">
        <v>51</v>
      </c>
      <c r="M4727" t="s">
        <v>6</v>
      </c>
      <c r="N4727" t="b">
        <v>0</v>
      </c>
      <c r="O4727">
        <v>1</v>
      </c>
      <c r="P4727">
        <v>0</v>
      </c>
      <c r="Q4727">
        <v>0</v>
      </c>
      <c r="R4727">
        <v>0</v>
      </c>
    </row>
    <row r="4728" spans="1:18" x14ac:dyDescent="0.25">
      <c r="A4728" t="s">
        <v>14</v>
      </c>
      <c r="B4728" t="s">
        <v>8</v>
      </c>
      <c r="C4728">
        <v>4</v>
      </c>
      <c r="D4728">
        <v>3</v>
      </c>
      <c r="E4728">
        <v>1</v>
      </c>
      <c r="F4728" s="15">
        <v>46188</v>
      </c>
      <c r="G4728" t="s">
        <v>582</v>
      </c>
      <c r="H4728">
        <v>4</v>
      </c>
      <c r="I4728">
        <v>2026</v>
      </c>
      <c r="J4728">
        <v>6</v>
      </c>
      <c r="K4728" t="s">
        <v>87</v>
      </c>
      <c r="L4728" t="s">
        <v>19</v>
      </c>
      <c r="M4728" t="s">
        <v>6</v>
      </c>
      <c r="N4728" t="b">
        <v>0</v>
      </c>
      <c r="O4728">
        <v>1</v>
      </c>
      <c r="P4728">
        <v>0</v>
      </c>
      <c r="Q4728">
        <v>0</v>
      </c>
      <c r="R4728">
        <v>0</v>
      </c>
    </row>
    <row r="4729" spans="1:18" x14ac:dyDescent="0.25">
      <c r="A4729" t="s">
        <v>14</v>
      </c>
      <c r="B4729" t="s">
        <v>8</v>
      </c>
      <c r="C4729">
        <v>4</v>
      </c>
      <c r="D4729">
        <v>3</v>
      </c>
      <c r="E4729">
        <v>1</v>
      </c>
      <c r="F4729" s="15">
        <v>46188</v>
      </c>
      <c r="G4729" t="s">
        <v>582</v>
      </c>
      <c r="H4729">
        <v>4</v>
      </c>
      <c r="I4729">
        <v>2026</v>
      </c>
      <c r="J4729">
        <v>6</v>
      </c>
      <c r="K4729" t="s">
        <v>87</v>
      </c>
      <c r="L4729" t="s">
        <v>579</v>
      </c>
      <c r="M4729" t="s">
        <v>6</v>
      </c>
      <c r="N4729" t="b">
        <v>0</v>
      </c>
      <c r="O4729">
        <v>1</v>
      </c>
      <c r="P4729">
        <v>0</v>
      </c>
      <c r="Q4729">
        <v>0</v>
      </c>
      <c r="R4729">
        <v>0</v>
      </c>
    </row>
    <row r="4730" spans="1:18" x14ac:dyDescent="0.25">
      <c r="A4730" t="s">
        <v>352</v>
      </c>
      <c r="B4730" t="s">
        <v>6</v>
      </c>
      <c r="C4730">
        <v>1</v>
      </c>
      <c r="D4730">
        <v>4</v>
      </c>
      <c r="E4730">
        <v>1</v>
      </c>
      <c r="F4730" s="15">
        <v>46188</v>
      </c>
      <c r="G4730" t="s">
        <v>583</v>
      </c>
      <c r="H4730">
        <v>4</v>
      </c>
      <c r="I4730">
        <v>2026</v>
      </c>
      <c r="J4730">
        <v>6</v>
      </c>
      <c r="K4730" t="s">
        <v>87</v>
      </c>
      <c r="L4730" t="s">
        <v>9</v>
      </c>
      <c r="M4730" t="s">
        <v>8</v>
      </c>
      <c r="N4730" t="b">
        <v>0</v>
      </c>
      <c r="O4730">
        <v>0</v>
      </c>
      <c r="P4730">
        <v>1</v>
      </c>
      <c r="Q4730">
        <v>0</v>
      </c>
      <c r="R4730">
        <v>1</v>
      </c>
    </row>
    <row r="4731" spans="1:18" x14ac:dyDescent="0.25">
      <c r="A4731" t="s">
        <v>352</v>
      </c>
      <c r="B4731" t="s">
        <v>6</v>
      </c>
      <c r="C4731">
        <v>1</v>
      </c>
      <c r="D4731">
        <v>4</v>
      </c>
      <c r="E4731">
        <v>1</v>
      </c>
      <c r="F4731" s="15">
        <v>46188</v>
      </c>
      <c r="G4731" t="s">
        <v>583</v>
      </c>
      <c r="H4731">
        <v>4</v>
      </c>
      <c r="I4731">
        <v>2026</v>
      </c>
      <c r="J4731">
        <v>6</v>
      </c>
      <c r="K4731" t="s">
        <v>87</v>
      </c>
      <c r="L4731" t="s">
        <v>402</v>
      </c>
      <c r="M4731" t="s">
        <v>6</v>
      </c>
      <c r="N4731" t="b">
        <v>0</v>
      </c>
      <c r="O4731">
        <v>0</v>
      </c>
      <c r="P4731">
        <v>1</v>
      </c>
      <c r="Q4731">
        <v>0</v>
      </c>
      <c r="R4731">
        <v>0</v>
      </c>
    </row>
    <row r="4732" spans="1:18" x14ac:dyDescent="0.25">
      <c r="A4732" t="s">
        <v>352</v>
      </c>
      <c r="B4732" t="s">
        <v>6</v>
      </c>
      <c r="C4732">
        <v>1</v>
      </c>
      <c r="D4732">
        <v>4</v>
      </c>
      <c r="E4732">
        <v>1</v>
      </c>
      <c r="F4732" s="15">
        <v>46188</v>
      </c>
      <c r="G4732" t="s">
        <v>583</v>
      </c>
      <c r="H4732">
        <v>4</v>
      </c>
      <c r="I4732">
        <v>2026</v>
      </c>
      <c r="J4732">
        <v>6</v>
      </c>
      <c r="K4732" t="s">
        <v>87</v>
      </c>
      <c r="L4732" t="s">
        <v>405</v>
      </c>
      <c r="M4732" t="s">
        <v>6</v>
      </c>
      <c r="N4732" t="b">
        <v>0</v>
      </c>
      <c r="O4732">
        <v>0</v>
      </c>
      <c r="P4732">
        <v>1</v>
      </c>
      <c r="Q4732">
        <v>0</v>
      </c>
      <c r="R4732">
        <v>0</v>
      </c>
    </row>
    <row r="4733" spans="1:18" x14ac:dyDescent="0.25">
      <c r="A4733" t="s">
        <v>9</v>
      </c>
      <c r="B4733" t="s">
        <v>8</v>
      </c>
      <c r="C4733">
        <v>2</v>
      </c>
      <c r="D4733">
        <v>4</v>
      </c>
      <c r="E4733">
        <v>1</v>
      </c>
      <c r="F4733" s="15">
        <v>46188</v>
      </c>
      <c r="G4733" t="s">
        <v>583</v>
      </c>
      <c r="H4733">
        <v>4</v>
      </c>
      <c r="I4733">
        <v>2026</v>
      </c>
      <c r="J4733">
        <v>6</v>
      </c>
      <c r="K4733" t="s">
        <v>87</v>
      </c>
      <c r="L4733" t="s">
        <v>352</v>
      </c>
      <c r="M4733" t="s">
        <v>6</v>
      </c>
      <c r="N4733" t="b">
        <v>0</v>
      </c>
      <c r="O4733">
        <v>1</v>
      </c>
      <c r="P4733">
        <v>0</v>
      </c>
      <c r="Q4733">
        <v>0</v>
      </c>
      <c r="R4733">
        <v>0</v>
      </c>
    </row>
    <row r="4734" spans="1:18" x14ac:dyDescent="0.25">
      <c r="A4734" t="s">
        <v>9</v>
      </c>
      <c r="B4734" t="s">
        <v>8</v>
      </c>
      <c r="C4734">
        <v>2</v>
      </c>
      <c r="D4734">
        <v>4</v>
      </c>
      <c r="E4734">
        <v>1</v>
      </c>
      <c r="F4734" s="15">
        <v>46188</v>
      </c>
      <c r="G4734" t="s">
        <v>583</v>
      </c>
      <c r="H4734">
        <v>4</v>
      </c>
      <c r="I4734">
        <v>2026</v>
      </c>
      <c r="J4734">
        <v>6</v>
      </c>
      <c r="K4734" t="s">
        <v>87</v>
      </c>
      <c r="L4734" t="s">
        <v>402</v>
      </c>
      <c r="M4734" t="s">
        <v>6</v>
      </c>
      <c r="N4734" t="b">
        <v>0</v>
      </c>
      <c r="O4734">
        <v>1</v>
      </c>
      <c r="P4734">
        <v>0</v>
      </c>
      <c r="Q4734">
        <v>0</v>
      </c>
      <c r="R4734">
        <v>0</v>
      </c>
    </row>
    <row r="4735" spans="1:18" x14ac:dyDescent="0.25">
      <c r="A4735" t="s">
        <v>9</v>
      </c>
      <c r="B4735" t="s">
        <v>8</v>
      </c>
      <c r="C4735">
        <v>2</v>
      </c>
      <c r="D4735">
        <v>4</v>
      </c>
      <c r="E4735">
        <v>1</v>
      </c>
      <c r="F4735" s="15">
        <v>46188</v>
      </c>
      <c r="G4735" t="s">
        <v>583</v>
      </c>
      <c r="H4735">
        <v>4</v>
      </c>
      <c r="I4735">
        <v>2026</v>
      </c>
      <c r="J4735">
        <v>6</v>
      </c>
      <c r="K4735" t="s">
        <v>87</v>
      </c>
      <c r="L4735" t="s">
        <v>405</v>
      </c>
      <c r="M4735" t="s">
        <v>6</v>
      </c>
      <c r="N4735" t="b">
        <v>0</v>
      </c>
      <c r="O4735">
        <v>1</v>
      </c>
      <c r="P4735">
        <v>0</v>
      </c>
      <c r="Q4735">
        <v>0</v>
      </c>
      <c r="R4735">
        <v>0</v>
      </c>
    </row>
    <row r="4736" spans="1:18" x14ac:dyDescent="0.25">
      <c r="A4736" t="s">
        <v>402</v>
      </c>
      <c r="B4736" t="s">
        <v>6</v>
      </c>
      <c r="C4736">
        <v>3</v>
      </c>
      <c r="D4736">
        <v>4</v>
      </c>
      <c r="E4736">
        <v>1</v>
      </c>
      <c r="F4736" s="15">
        <v>46188</v>
      </c>
      <c r="G4736" t="s">
        <v>583</v>
      </c>
      <c r="H4736">
        <v>4</v>
      </c>
      <c r="I4736">
        <v>2026</v>
      </c>
      <c r="J4736">
        <v>6</v>
      </c>
      <c r="K4736" t="s">
        <v>87</v>
      </c>
      <c r="L4736" t="s">
        <v>352</v>
      </c>
      <c r="M4736" t="s">
        <v>6</v>
      </c>
      <c r="N4736" t="b">
        <v>0</v>
      </c>
      <c r="O4736">
        <v>0</v>
      </c>
      <c r="P4736">
        <v>1</v>
      </c>
      <c r="Q4736">
        <v>0</v>
      </c>
      <c r="R4736">
        <v>0</v>
      </c>
    </row>
    <row r="4737" spans="1:18" x14ac:dyDescent="0.25">
      <c r="A4737" t="s">
        <v>402</v>
      </c>
      <c r="B4737" t="s">
        <v>6</v>
      </c>
      <c r="C4737">
        <v>3</v>
      </c>
      <c r="D4737">
        <v>4</v>
      </c>
      <c r="E4737">
        <v>1</v>
      </c>
      <c r="F4737" s="15">
        <v>46188</v>
      </c>
      <c r="G4737" t="s">
        <v>583</v>
      </c>
      <c r="H4737">
        <v>4</v>
      </c>
      <c r="I4737">
        <v>2026</v>
      </c>
      <c r="J4737">
        <v>6</v>
      </c>
      <c r="K4737" t="s">
        <v>87</v>
      </c>
      <c r="L4737" t="s">
        <v>9</v>
      </c>
      <c r="M4737" t="s">
        <v>8</v>
      </c>
      <c r="N4737" t="b">
        <v>0</v>
      </c>
      <c r="O4737">
        <v>0</v>
      </c>
      <c r="P4737">
        <v>1</v>
      </c>
      <c r="Q4737">
        <v>0</v>
      </c>
      <c r="R4737">
        <v>1</v>
      </c>
    </row>
    <row r="4738" spans="1:18" x14ac:dyDescent="0.25">
      <c r="A4738" t="s">
        <v>402</v>
      </c>
      <c r="B4738" t="s">
        <v>6</v>
      </c>
      <c r="C4738">
        <v>3</v>
      </c>
      <c r="D4738">
        <v>4</v>
      </c>
      <c r="E4738">
        <v>1</v>
      </c>
      <c r="F4738" s="15">
        <v>46188</v>
      </c>
      <c r="G4738" t="s">
        <v>583</v>
      </c>
      <c r="H4738">
        <v>4</v>
      </c>
      <c r="I4738">
        <v>2026</v>
      </c>
      <c r="J4738">
        <v>6</v>
      </c>
      <c r="K4738" t="s">
        <v>87</v>
      </c>
      <c r="L4738" t="s">
        <v>405</v>
      </c>
      <c r="M4738" t="s">
        <v>6</v>
      </c>
      <c r="N4738" t="b">
        <v>0</v>
      </c>
      <c r="O4738">
        <v>0</v>
      </c>
      <c r="P4738">
        <v>1</v>
      </c>
      <c r="Q4738">
        <v>0</v>
      </c>
      <c r="R4738">
        <v>0</v>
      </c>
    </row>
    <row r="4739" spans="1:18" x14ac:dyDescent="0.25">
      <c r="A4739" t="s">
        <v>405</v>
      </c>
      <c r="B4739" t="s">
        <v>6</v>
      </c>
      <c r="C4739">
        <v>4</v>
      </c>
      <c r="D4739">
        <v>4</v>
      </c>
      <c r="E4739">
        <v>1</v>
      </c>
      <c r="F4739" s="15">
        <v>46188</v>
      </c>
      <c r="G4739" t="s">
        <v>583</v>
      </c>
      <c r="H4739">
        <v>4</v>
      </c>
      <c r="I4739">
        <v>2026</v>
      </c>
      <c r="J4739">
        <v>6</v>
      </c>
      <c r="K4739" t="s">
        <v>87</v>
      </c>
      <c r="L4739" t="s">
        <v>352</v>
      </c>
      <c r="M4739" t="s">
        <v>6</v>
      </c>
      <c r="N4739" t="b">
        <v>0</v>
      </c>
      <c r="O4739">
        <v>0</v>
      </c>
      <c r="P4739">
        <v>1</v>
      </c>
      <c r="Q4739">
        <v>0</v>
      </c>
      <c r="R4739">
        <v>0</v>
      </c>
    </row>
    <row r="4740" spans="1:18" x14ac:dyDescent="0.25">
      <c r="A4740" t="s">
        <v>405</v>
      </c>
      <c r="B4740" t="s">
        <v>6</v>
      </c>
      <c r="C4740">
        <v>4</v>
      </c>
      <c r="D4740">
        <v>4</v>
      </c>
      <c r="E4740">
        <v>1</v>
      </c>
      <c r="F4740" s="15">
        <v>46188</v>
      </c>
      <c r="G4740" t="s">
        <v>583</v>
      </c>
      <c r="H4740">
        <v>4</v>
      </c>
      <c r="I4740">
        <v>2026</v>
      </c>
      <c r="J4740">
        <v>6</v>
      </c>
      <c r="K4740" t="s">
        <v>87</v>
      </c>
      <c r="L4740" t="s">
        <v>9</v>
      </c>
      <c r="M4740" t="s">
        <v>8</v>
      </c>
      <c r="N4740" t="b">
        <v>0</v>
      </c>
      <c r="O4740">
        <v>0</v>
      </c>
      <c r="P4740">
        <v>1</v>
      </c>
      <c r="Q4740">
        <v>0</v>
      </c>
      <c r="R4740">
        <v>1</v>
      </c>
    </row>
    <row r="4741" spans="1:18" x14ac:dyDescent="0.25">
      <c r="A4741" t="s">
        <v>405</v>
      </c>
      <c r="B4741" t="s">
        <v>6</v>
      </c>
      <c r="C4741">
        <v>4</v>
      </c>
      <c r="D4741">
        <v>4</v>
      </c>
      <c r="E4741">
        <v>1</v>
      </c>
      <c r="F4741" s="15">
        <v>46188</v>
      </c>
      <c r="G4741" t="s">
        <v>583</v>
      </c>
      <c r="H4741">
        <v>4</v>
      </c>
      <c r="I4741">
        <v>2026</v>
      </c>
      <c r="J4741">
        <v>6</v>
      </c>
      <c r="K4741" t="s">
        <v>87</v>
      </c>
      <c r="L4741" t="s">
        <v>402</v>
      </c>
      <c r="M4741" t="s">
        <v>6</v>
      </c>
      <c r="N4741" t="b">
        <v>0</v>
      </c>
      <c r="O4741">
        <v>0</v>
      </c>
      <c r="P4741">
        <v>1</v>
      </c>
      <c r="Q4741">
        <v>0</v>
      </c>
      <c r="R4741">
        <v>0</v>
      </c>
    </row>
    <row r="4742" spans="1:18" x14ac:dyDescent="0.25">
      <c r="A4742" t="s">
        <v>519</v>
      </c>
      <c r="B4742" t="s">
        <v>8</v>
      </c>
      <c r="C4742">
        <v>1</v>
      </c>
      <c r="D4742">
        <v>5</v>
      </c>
      <c r="E4742">
        <v>1</v>
      </c>
      <c r="F4742" s="15">
        <v>46188</v>
      </c>
      <c r="G4742" t="s">
        <v>584</v>
      </c>
      <c r="H4742">
        <v>3</v>
      </c>
      <c r="I4742">
        <v>2026</v>
      </c>
      <c r="J4742">
        <v>6</v>
      </c>
      <c r="K4742" t="s">
        <v>87</v>
      </c>
      <c r="L4742" t="s">
        <v>433</v>
      </c>
      <c r="M4742" t="s">
        <v>6</v>
      </c>
      <c r="N4742" t="b">
        <v>0</v>
      </c>
      <c r="O4742">
        <v>1</v>
      </c>
      <c r="P4742">
        <v>0</v>
      </c>
      <c r="Q4742">
        <v>0</v>
      </c>
      <c r="R4742">
        <v>0</v>
      </c>
    </row>
    <row r="4743" spans="1:18" x14ac:dyDescent="0.25">
      <c r="A4743" t="s">
        <v>519</v>
      </c>
      <c r="B4743" t="s">
        <v>8</v>
      </c>
      <c r="C4743">
        <v>1</v>
      </c>
      <c r="D4743">
        <v>5</v>
      </c>
      <c r="E4743">
        <v>1</v>
      </c>
      <c r="F4743" s="15">
        <v>46188</v>
      </c>
      <c r="G4743" t="s">
        <v>584</v>
      </c>
      <c r="H4743">
        <v>3</v>
      </c>
      <c r="I4743">
        <v>2026</v>
      </c>
      <c r="J4743">
        <v>6</v>
      </c>
      <c r="K4743" t="s">
        <v>87</v>
      </c>
      <c r="L4743" t="s">
        <v>435</v>
      </c>
      <c r="M4743" t="s">
        <v>6</v>
      </c>
      <c r="N4743" t="b">
        <v>0</v>
      </c>
      <c r="O4743">
        <v>1</v>
      </c>
      <c r="P4743">
        <v>0</v>
      </c>
      <c r="Q4743">
        <v>0</v>
      </c>
      <c r="R4743">
        <v>0</v>
      </c>
    </row>
    <row r="4744" spans="1:18" x14ac:dyDescent="0.25">
      <c r="A4744" t="s">
        <v>433</v>
      </c>
      <c r="B4744" t="s">
        <v>6</v>
      </c>
      <c r="C4744">
        <v>2</v>
      </c>
      <c r="D4744">
        <v>5</v>
      </c>
      <c r="E4744">
        <v>1</v>
      </c>
      <c r="F4744" s="15">
        <v>46188</v>
      </c>
      <c r="G4744" t="s">
        <v>584</v>
      </c>
      <c r="H4744">
        <v>3</v>
      </c>
      <c r="I4744">
        <v>2026</v>
      </c>
      <c r="J4744">
        <v>6</v>
      </c>
      <c r="K4744" t="s">
        <v>87</v>
      </c>
      <c r="L4744" t="s">
        <v>519</v>
      </c>
      <c r="M4744" t="s">
        <v>8</v>
      </c>
      <c r="N4744" t="b">
        <v>0</v>
      </c>
      <c r="O4744">
        <v>0</v>
      </c>
      <c r="P4744">
        <v>1</v>
      </c>
      <c r="Q4744">
        <v>0</v>
      </c>
      <c r="R4744">
        <v>1</v>
      </c>
    </row>
    <row r="4745" spans="1:18" x14ac:dyDescent="0.25">
      <c r="A4745" t="s">
        <v>433</v>
      </c>
      <c r="B4745" t="s">
        <v>6</v>
      </c>
      <c r="C4745">
        <v>2</v>
      </c>
      <c r="D4745">
        <v>5</v>
      </c>
      <c r="E4745">
        <v>1</v>
      </c>
      <c r="F4745" s="15">
        <v>46188</v>
      </c>
      <c r="G4745" t="s">
        <v>584</v>
      </c>
      <c r="H4745">
        <v>3</v>
      </c>
      <c r="I4745">
        <v>2026</v>
      </c>
      <c r="J4745">
        <v>6</v>
      </c>
      <c r="K4745" t="s">
        <v>87</v>
      </c>
      <c r="L4745" t="s">
        <v>435</v>
      </c>
      <c r="M4745" t="s">
        <v>6</v>
      </c>
      <c r="N4745" t="b">
        <v>0</v>
      </c>
      <c r="O4745">
        <v>0</v>
      </c>
      <c r="P4745">
        <v>1</v>
      </c>
      <c r="Q4745">
        <v>0</v>
      </c>
      <c r="R4745">
        <v>0</v>
      </c>
    </row>
    <row r="4746" spans="1:18" x14ac:dyDescent="0.25">
      <c r="A4746" t="s">
        <v>435</v>
      </c>
      <c r="B4746" t="s">
        <v>6</v>
      </c>
      <c r="C4746">
        <v>3</v>
      </c>
      <c r="D4746">
        <v>5</v>
      </c>
      <c r="E4746">
        <v>1</v>
      </c>
      <c r="F4746" s="15">
        <v>46188</v>
      </c>
      <c r="G4746" t="s">
        <v>584</v>
      </c>
      <c r="H4746">
        <v>3</v>
      </c>
      <c r="I4746">
        <v>2026</v>
      </c>
      <c r="J4746">
        <v>6</v>
      </c>
      <c r="K4746" t="s">
        <v>87</v>
      </c>
      <c r="L4746" t="s">
        <v>519</v>
      </c>
      <c r="M4746" t="s">
        <v>8</v>
      </c>
      <c r="N4746" t="b">
        <v>0</v>
      </c>
      <c r="O4746">
        <v>0</v>
      </c>
      <c r="P4746">
        <v>1</v>
      </c>
      <c r="Q4746">
        <v>0</v>
      </c>
      <c r="R4746">
        <v>1</v>
      </c>
    </row>
    <row r="4747" spans="1:18" x14ac:dyDescent="0.25">
      <c r="A4747" t="s">
        <v>435</v>
      </c>
      <c r="B4747" t="s">
        <v>6</v>
      </c>
      <c r="C4747">
        <v>3</v>
      </c>
      <c r="D4747">
        <v>5</v>
      </c>
      <c r="E4747">
        <v>1</v>
      </c>
      <c r="F4747" s="15">
        <v>46188</v>
      </c>
      <c r="G4747" t="s">
        <v>584</v>
      </c>
      <c r="H4747">
        <v>3</v>
      </c>
      <c r="I4747">
        <v>2026</v>
      </c>
      <c r="J4747">
        <v>6</v>
      </c>
      <c r="K4747" t="s">
        <v>87</v>
      </c>
      <c r="L4747" t="s">
        <v>433</v>
      </c>
      <c r="M4747" t="s">
        <v>6</v>
      </c>
      <c r="N4747" t="b">
        <v>0</v>
      </c>
      <c r="O4747">
        <v>0</v>
      </c>
      <c r="P4747">
        <v>1</v>
      </c>
      <c r="Q4747">
        <v>0</v>
      </c>
      <c r="R4747">
        <v>0</v>
      </c>
    </row>
    <row r="4748" spans="1:18" x14ac:dyDescent="0.25">
      <c r="A4748" t="s">
        <v>14</v>
      </c>
      <c r="B4748" t="s">
        <v>8</v>
      </c>
      <c r="C4748">
        <v>1</v>
      </c>
      <c r="D4748">
        <v>1</v>
      </c>
      <c r="E4748">
        <v>2</v>
      </c>
      <c r="F4748" s="15">
        <v>46188</v>
      </c>
      <c r="G4748" t="s">
        <v>585</v>
      </c>
      <c r="H4748">
        <v>4</v>
      </c>
      <c r="I4748">
        <v>2026</v>
      </c>
      <c r="J4748">
        <v>6</v>
      </c>
      <c r="K4748" t="s">
        <v>87</v>
      </c>
      <c r="L4748" t="s">
        <v>9</v>
      </c>
      <c r="M4748" t="s">
        <v>6</v>
      </c>
      <c r="N4748" t="b">
        <v>0</v>
      </c>
      <c r="O4748">
        <v>1</v>
      </c>
      <c r="P4748">
        <v>0</v>
      </c>
      <c r="Q4748">
        <v>0</v>
      </c>
      <c r="R4748">
        <v>0</v>
      </c>
    </row>
    <row r="4749" spans="1:18" x14ac:dyDescent="0.25">
      <c r="A4749" t="s">
        <v>14</v>
      </c>
      <c r="B4749" t="s">
        <v>8</v>
      </c>
      <c r="C4749">
        <v>1</v>
      </c>
      <c r="D4749">
        <v>1</v>
      </c>
      <c r="E4749">
        <v>2</v>
      </c>
      <c r="F4749" s="15">
        <v>46188</v>
      </c>
      <c r="G4749" t="s">
        <v>585</v>
      </c>
      <c r="H4749">
        <v>4</v>
      </c>
      <c r="I4749">
        <v>2026</v>
      </c>
      <c r="J4749">
        <v>6</v>
      </c>
      <c r="K4749" t="s">
        <v>87</v>
      </c>
      <c r="L4749" t="s">
        <v>28</v>
      </c>
      <c r="M4749" t="s">
        <v>6</v>
      </c>
      <c r="N4749" t="b">
        <v>0</v>
      </c>
      <c r="O4749">
        <v>1</v>
      </c>
      <c r="P4749">
        <v>0</v>
      </c>
      <c r="Q4749">
        <v>0</v>
      </c>
      <c r="R4749">
        <v>0</v>
      </c>
    </row>
    <row r="4750" spans="1:18" x14ac:dyDescent="0.25">
      <c r="A4750" t="s">
        <v>14</v>
      </c>
      <c r="B4750" t="s">
        <v>8</v>
      </c>
      <c r="C4750">
        <v>1</v>
      </c>
      <c r="D4750">
        <v>1</v>
      </c>
      <c r="E4750">
        <v>2</v>
      </c>
      <c r="F4750" s="15">
        <v>46188</v>
      </c>
      <c r="G4750" t="s">
        <v>585</v>
      </c>
      <c r="H4750">
        <v>4</v>
      </c>
      <c r="I4750">
        <v>2026</v>
      </c>
      <c r="J4750">
        <v>6</v>
      </c>
      <c r="K4750" t="s">
        <v>87</v>
      </c>
      <c r="L4750" t="s">
        <v>519</v>
      </c>
      <c r="M4750" t="s">
        <v>6</v>
      </c>
      <c r="N4750" t="b">
        <v>0</v>
      </c>
      <c r="O4750">
        <v>1</v>
      </c>
      <c r="P4750">
        <v>0</v>
      </c>
      <c r="Q4750">
        <v>0</v>
      </c>
      <c r="R4750">
        <v>0</v>
      </c>
    </row>
    <row r="4751" spans="1:18" x14ac:dyDescent="0.25">
      <c r="A4751" t="s">
        <v>9</v>
      </c>
      <c r="B4751" t="s">
        <v>6</v>
      </c>
      <c r="C4751">
        <v>2</v>
      </c>
      <c r="D4751">
        <v>1</v>
      </c>
      <c r="E4751">
        <v>2</v>
      </c>
      <c r="F4751" s="15">
        <v>46188</v>
      </c>
      <c r="G4751" t="s">
        <v>585</v>
      </c>
      <c r="H4751">
        <v>4</v>
      </c>
      <c r="I4751">
        <v>2026</v>
      </c>
      <c r="J4751">
        <v>6</v>
      </c>
      <c r="K4751" t="s">
        <v>87</v>
      </c>
      <c r="L4751" t="s">
        <v>14</v>
      </c>
      <c r="M4751" t="s">
        <v>8</v>
      </c>
      <c r="N4751" t="b">
        <v>0</v>
      </c>
      <c r="O4751">
        <v>0</v>
      </c>
      <c r="P4751">
        <v>1</v>
      </c>
      <c r="Q4751">
        <v>0</v>
      </c>
      <c r="R4751">
        <v>1</v>
      </c>
    </row>
    <row r="4752" spans="1:18" x14ac:dyDescent="0.25">
      <c r="A4752" t="s">
        <v>9</v>
      </c>
      <c r="B4752" t="s">
        <v>6</v>
      </c>
      <c r="C4752">
        <v>2</v>
      </c>
      <c r="D4752">
        <v>1</v>
      </c>
      <c r="E4752">
        <v>2</v>
      </c>
      <c r="F4752" s="15">
        <v>46188</v>
      </c>
      <c r="G4752" t="s">
        <v>585</v>
      </c>
      <c r="H4752">
        <v>4</v>
      </c>
      <c r="I4752">
        <v>2026</v>
      </c>
      <c r="J4752">
        <v>6</v>
      </c>
      <c r="K4752" t="s">
        <v>87</v>
      </c>
      <c r="L4752" t="s">
        <v>28</v>
      </c>
      <c r="M4752" t="s">
        <v>6</v>
      </c>
      <c r="N4752" t="b">
        <v>0</v>
      </c>
      <c r="O4752">
        <v>0</v>
      </c>
      <c r="P4752">
        <v>1</v>
      </c>
      <c r="Q4752">
        <v>0</v>
      </c>
      <c r="R4752">
        <v>0</v>
      </c>
    </row>
    <row r="4753" spans="1:18" x14ac:dyDescent="0.25">
      <c r="A4753" t="s">
        <v>9</v>
      </c>
      <c r="B4753" t="s">
        <v>6</v>
      </c>
      <c r="C4753">
        <v>2</v>
      </c>
      <c r="D4753">
        <v>1</v>
      </c>
      <c r="E4753">
        <v>2</v>
      </c>
      <c r="F4753" s="15">
        <v>46188</v>
      </c>
      <c r="G4753" t="s">
        <v>585</v>
      </c>
      <c r="H4753">
        <v>4</v>
      </c>
      <c r="I4753">
        <v>2026</v>
      </c>
      <c r="J4753">
        <v>6</v>
      </c>
      <c r="K4753" t="s">
        <v>87</v>
      </c>
      <c r="L4753" t="s">
        <v>519</v>
      </c>
      <c r="M4753" t="s">
        <v>6</v>
      </c>
      <c r="N4753" t="b">
        <v>0</v>
      </c>
      <c r="O4753">
        <v>0</v>
      </c>
      <c r="P4753">
        <v>1</v>
      </c>
      <c r="Q4753">
        <v>0</v>
      </c>
      <c r="R4753">
        <v>0</v>
      </c>
    </row>
    <row r="4754" spans="1:18" x14ac:dyDescent="0.25">
      <c r="A4754" t="s">
        <v>28</v>
      </c>
      <c r="B4754" t="s">
        <v>6</v>
      </c>
      <c r="C4754">
        <v>3</v>
      </c>
      <c r="D4754">
        <v>1</v>
      </c>
      <c r="E4754">
        <v>2</v>
      </c>
      <c r="F4754" s="15">
        <v>46188</v>
      </c>
      <c r="G4754" t="s">
        <v>585</v>
      </c>
      <c r="H4754">
        <v>4</v>
      </c>
      <c r="I4754">
        <v>2026</v>
      </c>
      <c r="J4754">
        <v>6</v>
      </c>
      <c r="K4754" t="s">
        <v>87</v>
      </c>
      <c r="L4754" t="s">
        <v>14</v>
      </c>
      <c r="M4754" t="s">
        <v>8</v>
      </c>
      <c r="N4754" t="b">
        <v>0</v>
      </c>
      <c r="O4754">
        <v>0</v>
      </c>
      <c r="P4754">
        <v>1</v>
      </c>
      <c r="Q4754">
        <v>0</v>
      </c>
      <c r="R4754">
        <v>1</v>
      </c>
    </row>
    <row r="4755" spans="1:18" x14ac:dyDescent="0.25">
      <c r="A4755" t="s">
        <v>28</v>
      </c>
      <c r="B4755" t="s">
        <v>6</v>
      </c>
      <c r="C4755">
        <v>3</v>
      </c>
      <c r="D4755">
        <v>1</v>
      </c>
      <c r="E4755">
        <v>2</v>
      </c>
      <c r="F4755" s="15">
        <v>46188</v>
      </c>
      <c r="G4755" t="s">
        <v>585</v>
      </c>
      <c r="H4755">
        <v>4</v>
      </c>
      <c r="I4755">
        <v>2026</v>
      </c>
      <c r="J4755">
        <v>6</v>
      </c>
      <c r="K4755" t="s">
        <v>87</v>
      </c>
      <c r="L4755" t="s">
        <v>9</v>
      </c>
      <c r="M4755" t="s">
        <v>6</v>
      </c>
      <c r="N4755" t="b">
        <v>0</v>
      </c>
      <c r="O4755">
        <v>0</v>
      </c>
      <c r="P4755">
        <v>1</v>
      </c>
      <c r="Q4755">
        <v>0</v>
      </c>
      <c r="R4755">
        <v>0</v>
      </c>
    </row>
    <row r="4756" spans="1:18" x14ac:dyDescent="0.25">
      <c r="A4756" t="s">
        <v>28</v>
      </c>
      <c r="B4756" t="s">
        <v>6</v>
      </c>
      <c r="C4756">
        <v>3</v>
      </c>
      <c r="D4756">
        <v>1</v>
      </c>
      <c r="E4756">
        <v>2</v>
      </c>
      <c r="F4756" s="15">
        <v>46188</v>
      </c>
      <c r="G4756" t="s">
        <v>585</v>
      </c>
      <c r="H4756">
        <v>4</v>
      </c>
      <c r="I4756">
        <v>2026</v>
      </c>
      <c r="J4756">
        <v>6</v>
      </c>
      <c r="K4756" t="s">
        <v>87</v>
      </c>
      <c r="L4756" t="s">
        <v>519</v>
      </c>
      <c r="M4756" t="s">
        <v>6</v>
      </c>
      <c r="N4756" t="b">
        <v>0</v>
      </c>
      <c r="O4756">
        <v>0</v>
      </c>
      <c r="P4756">
        <v>1</v>
      </c>
      <c r="Q4756">
        <v>0</v>
      </c>
      <c r="R4756">
        <v>0</v>
      </c>
    </row>
    <row r="4757" spans="1:18" x14ac:dyDescent="0.25">
      <c r="A4757" t="s">
        <v>519</v>
      </c>
      <c r="B4757" t="s">
        <v>6</v>
      </c>
      <c r="C4757">
        <v>4</v>
      </c>
      <c r="D4757">
        <v>1</v>
      </c>
      <c r="E4757">
        <v>2</v>
      </c>
      <c r="F4757" s="15">
        <v>46188</v>
      </c>
      <c r="G4757" t="s">
        <v>585</v>
      </c>
      <c r="H4757">
        <v>4</v>
      </c>
      <c r="I4757">
        <v>2026</v>
      </c>
      <c r="J4757">
        <v>6</v>
      </c>
      <c r="K4757" t="s">
        <v>87</v>
      </c>
      <c r="L4757" t="s">
        <v>14</v>
      </c>
      <c r="M4757" t="s">
        <v>8</v>
      </c>
      <c r="N4757" t="b">
        <v>0</v>
      </c>
      <c r="O4757">
        <v>0</v>
      </c>
      <c r="P4757">
        <v>1</v>
      </c>
      <c r="Q4757">
        <v>0</v>
      </c>
      <c r="R4757">
        <v>1</v>
      </c>
    </row>
    <row r="4758" spans="1:18" x14ac:dyDescent="0.25">
      <c r="A4758" t="s">
        <v>519</v>
      </c>
      <c r="B4758" t="s">
        <v>6</v>
      </c>
      <c r="C4758">
        <v>4</v>
      </c>
      <c r="D4758">
        <v>1</v>
      </c>
      <c r="E4758">
        <v>2</v>
      </c>
      <c r="F4758" s="15">
        <v>46188</v>
      </c>
      <c r="G4758" t="s">
        <v>585</v>
      </c>
      <c r="H4758">
        <v>4</v>
      </c>
      <c r="I4758">
        <v>2026</v>
      </c>
      <c r="J4758">
        <v>6</v>
      </c>
      <c r="K4758" t="s">
        <v>87</v>
      </c>
      <c r="L4758" t="s">
        <v>9</v>
      </c>
      <c r="M4758" t="s">
        <v>6</v>
      </c>
      <c r="N4758" t="b">
        <v>0</v>
      </c>
      <c r="O4758">
        <v>0</v>
      </c>
      <c r="P4758">
        <v>1</v>
      </c>
      <c r="Q4758">
        <v>0</v>
      </c>
      <c r="R4758">
        <v>0</v>
      </c>
    </row>
    <row r="4759" spans="1:18" x14ac:dyDescent="0.25">
      <c r="A4759" t="s">
        <v>519</v>
      </c>
      <c r="B4759" t="s">
        <v>6</v>
      </c>
      <c r="C4759">
        <v>4</v>
      </c>
      <c r="D4759">
        <v>1</v>
      </c>
      <c r="E4759">
        <v>2</v>
      </c>
      <c r="F4759" s="15">
        <v>46188</v>
      </c>
      <c r="G4759" t="s">
        <v>585</v>
      </c>
      <c r="H4759">
        <v>4</v>
      </c>
      <c r="I4759">
        <v>2026</v>
      </c>
      <c r="J4759">
        <v>6</v>
      </c>
      <c r="K4759" t="s">
        <v>87</v>
      </c>
      <c r="L4759" t="s">
        <v>28</v>
      </c>
      <c r="M4759" t="s">
        <v>6</v>
      </c>
      <c r="N4759" t="b">
        <v>0</v>
      </c>
      <c r="O4759">
        <v>0</v>
      </c>
      <c r="P4759">
        <v>1</v>
      </c>
      <c r="Q4759">
        <v>0</v>
      </c>
      <c r="R4759">
        <v>0</v>
      </c>
    </row>
    <row r="4760" spans="1:18" x14ac:dyDescent="0.25">
      <c r="A4760" t="s">
        <v>433</v>
      </c>
      <c r="B4760" t="s">
        <v>6</v>
      </c>
      <c r="C4760">
        <v>1</v>
      </c>
      <c r="D4760">
        <v>2</v>
      </c>
      <c r="E4760">
        <v>2</v>
      </c>
      <c r="F4760" s="15">
        <v>46188</v>
      </c>
      <c r="G4760" t="s">
        <v>586</v>
      </c>
      <c r="H4760">
        <v>4</v>
      </c>
      <c r="I4760">
        <v>2026</v>
      </c>
      <c r="J4760">
        <v>6</v>
      </c>
      <c r="K4760" t="s">
        <v>87</v>
      </c>
      <c r="L4760" t="s">
        <v>15</v>
      </c>
      <c r="M4760" t="s">
        <v>6</v>
      </c>
      <c r="N4760" t="b">
        <v>0</v>
      </c>
      <c r="O4760">
        <v>0</v>
      </c>
      <c r="P4760">
        <v>1</v>
      </c>
      <c r="Q4760">
        <v>0</v>
      </c>
      <c r="R4760">
        <v>0</v>
      </c>
    </row>
    <row r="4761" spans="1:18" x14ac:dyDescent="0.25">
      <c r="A4761" t="s">
        <v>433</v>
      </c>
      <c r="B4761" t="s">
        <v>6</v>
      </c>
      <c r="C4761">
        <v>1</v>
      </c>
      <c r="D4761">
        <v>2</v>
      </c>
      <c r="E4761">
        <v>2</v>
      </c>
      <c r="F4761" s="15">
        <v>46188</v>
      </c>
      <c r="G4761" t="s">
        <v>586</v>
      </c>
      <c r="H4761">
        <v>4</v>
      </c>
      <c r="I4761">
        <v>2026</v>
      </c>
      <c r="J4761">
        <v>6</v>
      </c>
      <c r="K4761" t="s">
        <v>87</v>
      </c>
      <c r="L4761" t="s">
        <v>11</v>
      </c>
      <c r="M4761" t="s">
        <v>8</v>
      </c>
      <c r="N4761" t="b">
        <v>0</v>
      </c>
      <c r="O4761">
        <v>0</v>
      </c>
      <c r="P4761">
        <v>1</v>
      </c>
      <c r="Q4761">
        <v>0</v>
      </c>
      <c r="R4761">
        <v>1</v>
      </c>
    </row>
    <row r="4762" spans="1:18" x14ac:dyDescent="0.25">
      <c r="A4762" t="s">
        <v>433</v>
      </c>
      <c r="B4762" t="s">
        <v>6</v>
      </c>
      <c r="C4762">
        <v>1</v>
      </c>
      <c r="D4762">
        <v>2</v>
      </c>
      <c r="E4762">
        <v>2</v>
      </c>
      <c r="F4762" s="15">
        <v>46188</v>
      </c>
      <c r="G4762" t="s">
        <v>586</v>
      </c>
      <c r="H4762">
        <v>4</v>
      </c>
      <c r="I4762">
        <v>2026</v>
      </c>
      <c r="J4762">
        <v>6</v>
      </c>
      <c r="K4762" t="s">
        <v>87</v>
      </c>
      <c r="L4762" t="s">
        <v>51</v>
      </c>
      <c r="M4762" t="s">
        <v>6</v>
      </c>
      <c r="N4762" t="b">
        <v>0</v>
      </c>
      <c r="O4762">
        <v>0</v>
      </c>
      <c r="P4762">
        <v>1</v>
      </c>
      <c r="Q4762">
        <v>0</v>
      </c>
      <c r="R4762">
        <v>0</v>
      </c>
    </row>
    <row r="4763" spans="1:18" x14ac:dyDescent="0.25">
      <c r="A4763" t="s">
        <v>15</v>
      </c>
      <c r="B4763" t="s">
        <v>6</v>
      </c>
      <c r="C4763">
        <v>2</v>
      </c>
      <c r="D4763">
        <v>2</v>
      </c>
      <c r="E4763">
        <v>2</v>
      </c>
      <c r="F4763" s="15">
        <v>46188</v>
      </c>
      <c r="G4763" t="s">
        <v>586</v>
      </c>
      <c r="H4763">
        <v>4</v>
      </c>
      <c r="I4763">
        <v>2026</v>
      </c>
      <c r="J4763">
        <v>6</v>
      </c>
      <c r="K4763" t="s">
        <v>87</v>
      </c>
      <c r="L4763" t="s">
        <v>433</v>
      </c>
      <c r="M4763" t="s">
        <v>6</v>
      </c>
      <c r="N4763" t="b">
        <v>0</v>
      </c>
      <c r="O4763">
        <v>0</v>
      </c>
      <c r="P4763">
        <v>1</v>
      </c>
      <c r="Q4763">
        <v>0</v>
      </c>
      <c r="R4763">
        <v>0</v>
      </c>
    </row>
    <row r="4764" spans="1:18" x14ac:dyDescent="0.25">
      <c r="A4764" t="s">
        <v>15</v>
      </c>
      <c r="B4764" t="s">
        <v>6</v>
      </c>
      <c r="C4764">
        <v>2</v>
      </c>
      <c r="D4764">
        <v>2</v>
      </c>
      <c r="E4764">
        <v>2</v>
      </c>
      <c r="F4764" s="15">
        <v>46188</v>
      </c>
      <c r="G4764" t="s">
        <v>586</v>
      </c>
      <c r="H4764">
        <v>4</v>
      </c>
      <c r="I4764">
        <v>2026</v>
      </c>
      <c r="J4764">
        <v>6</v>
      </c>
      <c r="K4764" t="s">
        <v>87</v>
      </c>
      <c r="L4764" t="s">
        <v>11</v>
      </c>
      <c r="M4764" t="s">
        <v>8</v>
      </c>
      <c r="N4764" t="b">
        <v>0</v>
      </c>
      <c r="O4764">
        <v>0</v>
      </c>
      <c r="P4764">
        <v>1</v>
      </c>
      <c r="Q4764">
        <v>0</v>
      </c>
      <c r="R4764">
        <v>1</v>
      </c>
    </row>
    <row r="4765" spans="1:18" x14ac:dyDescent="0.25">
      <c r="A4765" t="s">
        <v>15</v>
      </c>
      <c r="B4765" t="s">
        <v>6</v>
      </c>
      <c r="C4765">
        <v>2</v>
      </c>
      <c r="D4765">
        <v>2</v>
      </c>
      <c r="E4765">
        <v>2</v>
      </c>
      <c r="F4765" s="15">
        <v>46188</v>
      </c>
      <c r="G4765" t="s">
        <v>586</v>
      </c>
      <c r="H4765">
        <v>4</v>
      </c>
      <c r="I4765">
        <v>2026</v>
      </c>
      <c r="J4765">
        <v>6</v>
      </c>
      <c r="K4765" t="s">
        <v>87</v>
      </c>
      <c r="L4765" t="s">
        <v>51</v>
      </c>
      <c r="M4765" t="s">
        <v>6</v>
      </c>
      <c r="N4765" t="b">
        <v>0</v>
      </c>
      <c r="O4765">
        <v>0</v>
      </c>
      <c r="P4765">
        <v>1</v>
      </c>
      <c r="Q4765">
        <v>0</v>
      </c>
      <c r="R4765">
        <v>0</v>
      </c>
    </row>
    <row r="4766" spans="1:18" x14ac:dyDescent="0.25">
      <c r="A4766" t="s">
        <v>11</v>
      </c>
      <c r="B4766" t="s">
        <v>8</v>
      </c>
      <c r="C4766">
        <v>3</v>
      </c>
      <c r="D4766">
        <v>2</v>
      </c>
      <c r="E4766">
        <v>2</v>
      </c>
      <c r="F4766" s="15">
        <v>46188</v>
      </c>
      <c r="G4766" t="s">
        <v>586</v>
      </c>
      <c r="H4766">
        <v>4</v>
      </c>
      <c r="I4766">
        <v>2026</v>
      </c>
      <c r="J4766">
        <v>6</v>
      </c>
      <c r="K4766" t="s">
        <v>87</v>
      </c>
      <c r="L4766" t="s">
        <v>433</v>
      </c>
      <c r="M4766" t="s">
        <v>6</v>
      </c>
      <c r="N4766" t="b">
        <v>0</v>
      </c>
      <c r="O4766">
        <v>1</v>
      </c>
      <c r="P4766">
        <v>0</v>
      </c>
      <c r="Q4766">
        <v>0</v>
      </c>
      <c r="R4766">
        <v>0</v>
      </c>
    </row>
    <row r="4767" spans="1:18" x14ac:dyDescent="0.25">
      <c r="A4767" t="s">
        <v>11</v>
      </c>
      <c r="B4767" t="s">
        <v>8</v>
      </c>
      <c r="C4767">
        <v>3</v>
      </c>
      <c r="D4767">
        <v>2</v>
      </c>
      <c r="E4767">
        <v>2</v>
      </c>
      <c r="F4767" s="15">
        <v>46188</v>
      </c>
      <c r="G4767" t="s">
        <v>586</v>
      </c>
      <c r="H4767">
        <v>4</v>
      </c>
      <c r="I4767">
        <v>2026</v>
      </c>
      <c r="J4767">
        <v>6</v>
      </c>
      <c r="K4767" t="s">
        <v>87</v>
      </c>
      <c r="L4767" t="s">
        <v>15</v>
      </c>
      <c r="M4767" t="s">
        <v>6</v>
      </c>
      <c r="N4767" t="b">
        <v>0</v>
      </c>
      <c r="O4767">
        <v>1</v>
      </c>
      <c r="P4767">
        <v>0</v>
      </c>
      <c r="Q4767">
        <v>0</v>
      </c>
      <c r="R4767">
        <v>0</v>
      </c>
    </row>
    <row r="4768" spans="1:18" x14ac:dyDescent="0.25">
      <c r="A4768" t="s">
        <v>11</v>
      </c>
      <c r="B4768" t="s">
        <v>8</v>
      </c>
      <c r="C4768">
        <v>3</v>
      </c>
      <c r="D4768">
        <v>2</v>
      </c>
      <c r="E4768">
        <v>2</v>
      </c>
      <c r="F4768" s="15">
        <v>46188</v>
      </c>
      <c r="G4768" t="s">
        <v>586</v>
      </c>
      <c r="H4768">
        <v>4</v>
      </c>
      <c r="I4768">
        <v>2026</v>
      </c>
      <c r="J4768">
        <v>6</v>
      </c>
      <c r="K4768" t="s">
        <v>87</v>
      </c>
      <c r="L4768" t="s">
        <v>51</v>
      </c>
      <c r="M4768" t="s">
        <v>6</v>
      </c>
      <c r="N4768" t="b">
        <v>0</v>
      </c>
      <c r="O4768">
        <v>1</v>
      </c>
      <c r="P4768">
        <v>0</v>
      </c>
      <c r="Q4768">
        <v>0</v>
      </c>
      <c r="R4768">
        <v>0</v>
      </c>
    </row>
    <row r="4769" spans="1:18" x14ac:dyDescent="0.25">
      <c r="A4769" t="s">
        <v>51</v>
      </c>
      <c r="B4769" t="s">
        <v>6</v>
      </c>
      <c r="C4769">
        <v>4</v>
      </c>
      <c r="D4769">
        <v>2</v>
      </c>
      <c r="E4769">
        <v>2</v>
      </c>
      <c r="F4769" s="15">
        <v>46188</v>
      </c>
      <c r="G4769" t="s">
        <v>586</v>
      </c>
      <c r="H4769">
        <v>4</v>
      </c>
      <c r="I4769">
        <v>2026</v>
      </c>
      <c r="J4769">
        <v>6</v>
      </c>
      <c r="K4769" t="s">
        <v>87</v>
      </c>
      <c r="L4769" t="s">
        <v>433</v>
      </c>
      <c r="M4769" t="s">
        <v>6</v>
      </c>
      <c r="N4769" t="b">
        <v>0</v>
      </c>
      <c r="O4769">
        <v>0</v>
      </c>
      <c r="P4769">
        <v>1</v>
      </c>
      <c r="Q4769">
        <v>0</v>
      </c>
      <c r="R4769">
        <v>0</v>
      </c>
    </row>
    <row r="4770" spans="1:18" x14ac:dyDescent="0.25">
      <c r="A4770" t="s">
        <v>51</v>
      </c>
      <c r="B4770" t="s">
        <v>6</v>
      </c>
      <c r="C4770">
        <v>4</v>
      </c>
      <c r="D4770">
        <v>2</v>
      </c>
      <c r="E4770">
        <v>2</v>
      </c>
      <c r="F4770" s="15">
        <v>46188</v>
      </c>
      <c r="G4770" t="s">
        <v>586</v>
      </c>
      <c r="H4770">
        <v>4</v>
      </c>
      <c r="I4770">
        <v>2026</v>
      </c>
      <c r="J4770">
        <v>6</v>
      </c>
      <c r="K4770" t="s">
        <v>87</v>
      </c>
      <c r="L4770" t="s">
        <v>15</v>
      </c>
      <c r="M4770" t="s">
        <v>6</v>
      </c>
      <c r="N4770" t="b">
        <v>0</v>
      </c>
      <c r="O4770">
        <v>0</v>
      </c>
      <c r="P4770">
        <v>1</v>
      </c>
      <c r="Q4770">
        <v>0</v>
      </c>
      <c r="R4770">
        <v>0</v>
      </c>
    </row>
    <row r="4771" spans="1:18" x14ac:dyDescent="0.25">
      <c r="A4771" t="s">
        <v>51</v>
      </c>
      <c r="B4771" t="s">
        <v>6</v>
      </c>
      <c r="C4771">
        <v>4</v>
      </c>
      <c r="D4771">
        <v>2</v>
      </c>
      <c r="E4771">
        <v>2</v>
      </c>
      <c r="F4771" s="15">
        <v>46188</v>
      </c>
      <c r="G4771" t="s">
        <v>586</v>
      </c>
      <c r="H4771">
        <v>4</v>
      </c>
      <c r="I4771">
        <v>2026</v>
      </c>
      <c r="J4771">
        <v>6</v>
      </c>
      <c r="K4771" t="s">
        <v>87</v>
      </c>
      <c r="L4771" t="s">
        <v>11</v>
      </c>
      <c r="M4771" t="s">
        <v>8</v>
      </c>
      <c r="N4771" t="b">
        <v>0</v>
      </c>
      <c r="O4771">
        <v>0</v>
      </c>
      <c r="P4771">
        <v>1</v>
      </c>
      <c r="Q4771">
        <v>0</v>
      </c>
      <c r="R4771">
        <v>1</v>
      </c>
    </row>
    <row r="4772" spans="1:18" x14ac:dyDescent="0.25">
      <c r="A4772" t="s">
        <v>405</v>
      </c>
      <c r="B4772" t="s">
        <v>6</v>
      </c>
      <c r="C4772">
        <v>1</v>
      </c>
      <c r="D4772">
        <v>3</v>
      </c>
      <c r="E4772">
        <v>2</v>
      </c>
      <c r="F4772" s="15">
        <v>46188</v>
      </c>
      <c r="G4772" t="s">
        <v>587</v>
      </c>
      <c r="H4772">
        <v>4</v>
      </c>
      <c r="I4772">
        <v>2026</v>
      </c>
      <c r="J4772">
        <v>6</v>
      </c>
      <c r="K4772" t="s">
        <v>87</v>
      </c>
      <c r="L4772" t="s">
        <v>579</v>
      </c>
      <c r="M4772" t="s">
        <v>6</v>
      </c>
      <c r="N4772" t="b">
        <v>0</v>
      </c>
      <c r="O4772">
        <v>0</v>
      </c>
      <c r="P4772">
        <v>1</v>
      </c>
      <c r="Q4772">
        <v>0</v>
      </c>
      <c r="R4772">
        <v>0</v>
      </c>
    </row>
    <row r="4773" spans="1:18" x14ac:dyDescent="0.25">
      <c r="A4773" t="s">
        <v>405</v>
      </c>
      <c r="B4773" t="s">
        <v>6</v>
      </c>
      <c r="C4773">
        <v>1</v>
      </c>
      <c r="D4773">
        <v>3</v>
      </c>
      <c r="E4773">
        <v>2</v>
      </c>
      <c r="F4773" s="15">
        <v>46188</v>
      </c>
      <c r="G4773" t="s">
        <v>587</v>
      </c>
      <c r="H4773">
        <v>4</v>
      </c>
      <c r="I4773">
        <v>2026</v>
      </c>
      <c r="J4773">
        <v>6</v>
      </c>
      <c r="K4773" t="s">
        <v>87</v>
      </c>
      <c r="L4773" t="s">
        <v>7</v>
      </c>
      <c r="M4773" t="s">
        <v>6</v>
      </c>
      <c r="N4773" t="b">
        <v>0</v>
      </c>
      <c r="O4773">
        <v>0</v>
      </c>
      <c r="P4773">
        <v>1</v>
      </c>
      <c r="Q4773">
        <v>0</v>
      </c>
      <c r="R4773">
        <v>0</v>
      </c>
    </row>
    <row r="4774" spans="1:18" x14ac:dyDescent="0.25">
      <c r="A4774" t="s">
        <v>405</v>
      </c>
      <c r="B4774" t="s">
        <v>6</v>
      </c>
      <c r="C4774">
        <v>1</v>
      </c>
      <c r="D4774">
        <v>3</v>
      </c>
      <c r="E4774">
        <v>2</v>
      </c>
      <c r="F4774" s="15">
        <v>46188</v>
      </c>
      <c r="G4774" t="s">
        <v>587</v>
      </c>
      <c r="H4774">
        <v>4</v>
      </c>
      <c r="I4774">
        <v>2026</v>
      </c>
      <c r="J4774">
        <v>6</v>
      </c>
      <c r="K4774" t="s">
        <v>87</v>
      </c>
      <c r="L4774" t="s">
        <v>325</v>
      </c>
      <c r="M4774" t="s">
        <v>8</v>
      </c>
      <c r="N4774" t="b">
        <v>0</v>
      </c>
      <c r="O4774">
        <v>0</v>
      </c>
      <c r="P4774">
        <v>1</v>
      </c>
      <c r="Q4774">
        <v>0</v>
      </c>
      <c r="R4774">
        <v>1</v>
      </c>
    </row>
    <row r="4775" spans="1:18" x14ac:dyDescent="0.25">
      <c r="A4775" t="s">
        <v>579</v>
      </c>
      <c r="B4775" t="s">
        <v>6</v>
      </c>
      <c r="C4775">
        <v>2</v>
      </c>
      <c r="D4775">
        <v>3</v>
      </c>
      <c r="E4775">
        <v>2</v>
      </c>
      <c r="F4775" s="15">
        <v>46188</v>
      </c>
      <c r="G4775" t="s">
        <v>587</v>
      </c>
      <c r="H4775">
        <v>4</v>
      </c>
      <c r="I4775">
        <v>2026</v>
      </c>
      <c r="J4775">
        <v>6</v>
      </c>
      <c r="K4775" t="s">
        <v>87</v>
      </c>
      <c r="L4775" t="s">
        <v>405</v>
      </c>
      <c r="M4775" t="s">
        <v>6</v>
      </c>
      <c r="N4775" t="b">
        <v>0</v>
      </c>
      <c r="O4775">
        <v>0</v>
      </c>
      <c r="P4775">
        <v>1</v>
      </c>
      <c r="Q4775">
        <v>0</v>
      </c>
      <c r="R4775">
        <v>0</v>
      </c>
    </row>
    <row r="4776" spans="1:18" x14ac:dyDescent="0.25">
      <c r="A4776" t="s">
        <v>579</v>
      </c>
      <c r="B4776" t="s">
        <v>6</v>
      </c>
      <c r="C4776">
        <v>2</v>
      </c>
      <c r="D4776">
        <v>3</v>
      </c>
      <c r="E4776">
        <v>2</v>
      </c>
      <c r="F4776" s="15">
        <v>46188</v>
      </c>
      <c r="G4776" t="s">
        <v>587</v>
      </c>
      <c r="H4776">
        <v>4</v>
      </c>
      <c r="I4776">
        <v>2026</v>
      </c>
      <c r="J4776">
        <v>6</v>
      </c>
      <c r="K4776" t="s">
        <v>87</v>
      </c>
      <c r="L4776" t="s">
        <v>7</v>
      </c>
      <c r="M4776" t="s">
        <v>6</v>
      </c>
      <c r="N4776" t="b">
        <v>0</v>
      </c>
      <c r="O4776">
        <v>0</v>
      </c>
      <c r="P4776">
        <v>1</v>
      </c>
      <c r="Q4776">
        <v>0</v>
      </c>
      <c r="R4776">
        <v>0</v>
      </c>
    </row>
    <row r="4777" spans="1:18" x14ac:dyDescent="0.25">
      <c r="A4777" t="s">
        <v>579</v>
      </c>
      <c r="B4777" t="s">
        <v>6</v>
      </c>
      <c r="C4777">
        <v>2</v>
      </c>
      <c r="D4777">
        <v>3</v>
      </c>
      <c r="E4777">
        <v>2</v>
      </c>
      <c r="F4777" s="15">
        <v>46188</v>
      </c>
      <c r="G4777" t="s">
        <v>587</v>
      </c>
      <c r="H4777">
        <v>4</v>
      </c>
      <c r="I4777">
        <v>2026</v>
      </c>
      <c r="J4777">
        <v>6</v>
      </c>
      <c r="K4777" t="s">
        <v>87</v>
      </c>
      <c r="L4777" t="s">
        <v>325</v>
      </c>
      <c r="M4777" t="s">
        <v>8</v>
      </c>
      <c r="N4777" t="b">
        <v>0</v>
      </c>
      <c r="O4777">
        <v>0</v>
      </c>
      <c r="P4777">
        <v>1</v>
      </c>
      <c r="Q4777">
        <v>0</v>
      </c>
      <c r="R4777">
        <v>1</v>
      </c>
    </row>
    <row r="4778" spans="1:18" x14ac:dyDescent="0.25">
      <c r="A4778" t="s">
        <v>7</v>
      </c>
      <c r="B4778" t="s">
        <v>6</v>
      </c>
      <c r="C4778">
        <v>3</v>
      </c>
      <c r="D4778">
        <v>3</v>
      </c>
      <c r="E4778">
        <v>2</v>
      </c>
      <c r="F4778" s="15">
        <v>46188</v>
      </c>
      <c r="G4778" t="s">
        <v>587</v>
      </c>
      <c r="H4778">
        <v>4</v>
      </c>
      <c r="I4778">
        <v>2026</v>
      </c>
      <c r="J4778">
        <v>6</v>
      </c>
      <c r="K4778" t="s">
        <v>87</v>
      </c>
      <c r="L4778" t="s">
        <v>405</v>
      </c>
      <c r="M4778" t="s">
        <v>6</v>
      </c>
      <c r="N4778" t="b">
        <v>0</v>
      </c>
      <c r="O4778">
        <v>0</v>
      </c>
      <c r="P4778">
        <v>1</v>
      </c>
      <c r="Q4778">
        <v>0</v>
      </c>
      <c r="R4778">
        <v>0</v>
      </c>
    </row>
    <row r="4779" spans="1:18" x14ac:dyDescent="0.25">
      <c r="A4779" t="s">
        <v>7</v>
      </c>
      <c r="B4779" t="s">
        <v>6</v>
      </c>
      <c r="C4779">
        <v>3</v>
      </c>
      <c r="D4779">
        <v>3</v>
      </c>
      <c r="E4779">
        <v>2</v>
      </c>
      <c r="F4779" s="15">
        <v>46188</v>
      </c>
      <c r="G4779" t="s">
        <v>587</v>
      </c>
      <c r="H4779">
        <v>4</v>
      </c>
      <c r="I4779">
        <v>2026</v>
      </c>
      <c r="J4779">
        <v>6</v>
      </c>
      <c r="K4779" t="s">
        <v>87</v>
      </c>
      <c r="L4779" t="s">
        <v>579</v>
      </c>
      <c r="M4779" t="s">
        <v>6</v>
      </c>
      <c r="N4779" t="b">
        <v>0</v>
      </c>
      <c r="O4779">
        <v>0</v>
      </c>
      <c r="P4779">
        <v>1</v>
      </c>
      <c r="Q4779">
        <v>0</v>
      </c>
      <c r="R4779">
        <v>0</v>
      </c>
    </row>
    <row r="4780" spans="1:18" x14ac:dyDescent="0.25">
      <c r="A4780" t="s">
        <v>7</v>
      </c>
      <c r="B4780" t="s">
        <v>6</v>
      </c>
      <c r="C4780">
        <v>3</v>
      </c>
      <c r="D4780">
        <v>3</v>
      </c>
      <c r="E4780">
        <v>2</v>
      </c>
      <c r="F4780" s="15">
        <v>46188</v>
      </c>
      <c r="G4780" t="s">
        <v>587</v>
      </c>
      <c r="H4780">
        <v>4</v>
      </c>
      <c r="I4780">
        <v>2026</v>
      </c>
      <c r="J4780">
        <v>6</v>
      </c>
      <c r="K4780" t="s">
        <v>87</v>
      </c>
      <c r="L4780" t="s">
        <v>325</v>
      </c>
      <c r="M4780" t="s">
        <v>8</v>
      </c>
      <c r="N4780" t="b">
        <v>0</v>
      </c>
      <c r="O4780">
        <v>0</v>
      </c>
      <c r="P4780">
        <v>1</v>
      </c>
      <c r="Q4780">
        <v>0</v>
      </c>
      <c r="R4780">
        <v>1</v>
      </c>
    </row>
    <row r="4781" spans="1:18" x14ac:dyDescent="0.25">
      <c r="A4781" t="s">
        <v>325</v>
      </c>
      <c r="B4781" t="s">
        <v>8</v>
      </c>
      <c r="C4781">
        <v>4</v>
      </c>
      <c r="D4781">
        <v>3</v>
      </c>
      <c r="E4781">
        <v>2</v>
      </c>
      <c r="F4781" s="15">
        <v>46188</v>
      </c>
      <c r="G4781" t="s">
        <v>587</v>
      </c>
      <c r="H4781">
        <v>4</v>
      </c>
      <c r="I4781">
        <v>2026</v>
      </c>
      <c r="J4781">
        <v>6</v>
      </c>
      <c r="K4781" t="s">
        <v>87</v>
      </c>
      <c r="L4781" t="s">
        <v>405</v>
      </c>
      <c r="M4781" t="s">
        <v>6</v>
      </c>
      <c r="N4781" t="b">
        <v>0</v>
      </c>
      <c r="O4781">
        <v>1</v>
      </c>
      <c r="P4781">
        <v>0</v>
      </c>
      <c r="Q4781">
        <v>0</v>
      </c>
      <c r="R4781">
        <v>0</v>
      </c>
    </row>
    <row r="4782" spans="1:18" x14ac:dyDescent="0.25">
      <c r="A4782" t="s">
        <v>325</v>
      </c>
      <c r="B4782" t="s">
        <v>8</v>
      </c>
      <c r="C4782">
        <v>4</v>
      </c>
      <c r="D4782">
        <v>3</v>
      </c>
      <c r="E4782">
        <v>2</v>
      </c>
      <c r="F4782" s="15">
        <v>46188</v>
      </c>
      <c r="G4782" t="s">
        <v>587</v>
      </c>
      <c r="H4782">
        <v>4</v>
      </c>
      <c r="I4782">
        <v>2026</v>
      </c>
      <c r="J4782">
        <v>6</v>
      </c>
      <c r="K4782" t="s">
        <v>87</v>
      </c>
      <c r="L4782" t="s">
        <v>579</v>
      </c>
      <c r="M4782" t="s">
        <v>6</v>
      </c>
      <c r="N4782" t="b">
        <v>0</v>
      </c>
      <c r="O4782">
        <v>1</v>
      </c>
      <c r="P4782">
        <v>0</v>
      </c>
      <c r="Q4782">
        <v>0</v>
      </c>
      <c r="R4782">
        <v>0</v>
      </c>
    </row>
    <row r="4783" spans="1:18" x14ac:dyDescent="0.25">
      <c r="A4783" t="s">
        <v>325</v>
      </c>
      <c r="B4783" t="s">
        <v>8</v>
      </c>
      <c r="C4783">
        <v>4</v>
      </c>
      <c r="D4783">
        <v>3</v>
      </c>
      <c r="E4783">
        <v>2</v>
      </c>
      <c r="F4783" s="15">
        <v>46188</v>
      </c>
      <c r="G4783" t="s">
        <v>587</v>
      </c>
      <c r="H4783">
        <v>4</v>
      </c>
      <c r="I4783">
        <v>2026</v>
      </c>
      <c r="J4783">
        <v>6</v>
      </c>
      <c r="K4783" t="s">
        <v>87</v>
      </c>
      <c r="L4783" t="s">
        <v>7</v>
      </c>
      <c r="M4783" t="s">
        <v>6</v>
      </c>
      <c r="N4783" t="b">
        <v>0</v>
      </c>
      <c r="O4783">
        <v>1</v>
      </c>
      <c r="P4783">
        <v>0</v>
      </c>
      <c r="Q4783">
        <v>0</v>
      </c>
      <c r="R4783">
        <v>0</v>
      </c>
    </row>
    <row r="4784" spans="1:18" x14ac:dyDescent="0.25">
      <c r="A4784" t="s">
        <v>10</v>
      </c>
      <c r="B4784" t="s">
        <v>6</v>
      </c>
      <c r="C4784">
        <v>1</v>
      </c>
      <c r="D4784">
        <v>4</v>
      </c>
      <c r="E4784">
        <v>2</v>
      </c>
      <c r="F4784" s="15">
        <v>46188</v>
      </c>
      <c r="G4784" t="s">
        <v>588</v>
      </c>
      <c r="H4784">
        <v>4</v>
      </c>
      <c r="I4784">
        <v>2026</v>
      </c>
      <c r="J4784">
        <v>6</v>
      </c>
      <c r="K4784" t="s">
        <v>87</v>
      </c>
      <c r="L4784" t="s">
        <v>435</v>
      </c>
      <c r="M4784" t="s">
        <v>6</v>
      </c>
      <c r="N4784" t="b">
        <v>0</v>
      </c>
      <c r="O4784">
        <v>0</v>
      </c>
      <c r="P4784">
        <v>1</v>
      </c>
      <c r="Q4784">
        <v>0</v>
      </c>
      <c r="R4784">
        <v>0</v>
      </c>
    </row>
    <row r="4785" spans="1:18" x14ac:dyDescent="0.25">
      <c r="A4785" t="s">
        <v>10</v>
      </c>
      <c r="B4785" t="s">
        <v>6</v>
      </c>
      <c r="C4785">
        <v>1</v>
      </c>
      <c r="D4785">
        <v>4</v>
      </c>
      <c r="E4785">
        <v>2</v>
      </c>
      <c r="F4785" s="15">
        <v>46188</v>
      </c>
      <c r="G4785" t="s">
        <v>588</v>
      </c>
      <c r="H4785">
        <v>4</v>
      </c>
      <c r="I4785">
        <v>2026</v>
      </c>
      <c r="J4785">
        <v>6</v>
      </c>
      <c r="K4785" t="s">
        <v>87</v>
      </c>
      <c r="L4785" t="s">
        <v>578</v>
      </c>
      <c r="M4785" t="s">
        <v>6</v>
      </c>
      <c r="N4785" t="b">
        <v>0</v>
      </c>
      <c r="O4785">
        <v>0</v>
      </c>
      <c r="P4785">
        <v>1</v>
      </c>
      <c r="Q4785">
        <v>0</v>
      </c>
      <c r="R4785">
        <v>0</v>
      </c>
    </row>
    <row r="4786" spans="1:18" x14ac:dyDescent="0.25">
      <c r="A4786" t="s">
        <v>10</v>
      </c>
      <c r="B4786" t="s">
        <v>6</v>
      </c>
      <c r="C4786">
        <v>1</v>
      </c>
      <c r="D4786">
        <v>4</v>
      </c>
      <c r="E4786">
        <v>2</v>
      </c>
      <c r="F4786" s="15">
        <v>46188</v>
      </c>
      <c r="G4786" t="s">
        <v>588</v>
      </c>
      <c r="H4786">
        <v>4</v>
      </c>
      <c r="I4786">
        <v>2026</v>
      </c>
      <c r="J4786">
        <v>6</v>
      </c>
      <c r="K4786" t="s">
        <v>87</v>
      </c>
      <c r="L4786" t="s">
        <v>352</v>
      </c>
      <c r="M4786" t="s">
        <v>8</v>
      </c>
      <c r="N4786" t="b">
        <v>0</v>
      </c>
      <c r="O4786">
        <v>0</v>
      </c>
      <c r="P4786">
        <v>1</v>
      </c>
      <c r="Q4786">
        <v>0</v>
      </c>
      <c r="R4786">
        <v>1</v>
      </c>
    </row>
    <row r="4787" spans="1:18" x14ac:dyDescent="0.25">
      <c r="A4787" t="s">
        <v>435</v>
      </c>
      <c r="B4787" t="s">
        <v>6</v>
      </c>
      <c r="C4787">
        <v>2</v>
      </c>
      <c r="D4787">
        <v>4</v>
      </c>
      <c r="E4787">
        <v>2</v>
      </c>
      <c r="F4787" s="15">
        <v>46188</v>
      </c>
      <c r="G4787" t="s">
        <v>588</v>
      </c>
      <c r="H4787">
        <v>4</v>
      </c>
      <c r="I4787">
        <v>2026</v>
      </c>
      <c r="J4787">
        <v>6</v>
      </c>
      <c r="K4787" t="s">
        <v>87</v>
      </c>
      <c r="L4787" t="s">
        <v>10</v>
      </c>
      <c r="M4787" t="s">
        <v>6</v>
      </c>
      <c r="N4787" t="b">
        <v>0</v>
      </c>
      <c r="O4787">
        <v>0</v>
      </c>
      <c r="P4787">
        <v>1</v>
      </c>
      <c r="Q4787">
        <v>0</v>
      </c>
      <c r="R4787">
        <v>0</v>
      </c>
    </row>
    <row r="4788" spans="1:18" x14ac:dyDescent="0.25">
      <c r="A4788" t="s">
        <v>435</v>
      </c>
      <c r="B4788" t="s">
        <v>6</v>
      </c>
      <c r="C4788">
        <v>2</v>
      </c>
      <c r="D4788">
        <v>4</v>
      </c>
      <c r="E4788">
        <v>2</v>
      </c>
      <c r="F4788" s="15">
        <v>46188</v>
      </c>
      <c r="G4788" t="s">
        <v>588</v>
      </c>
      <c r="H4788">
        <v>4</v>
      </c>
      <c r="I4788">
        <v>2026</v>
      </c>
      <c r="J4788">
        <v>6</v>
      </c>
      <c r="K4788" t="s">
        <v>87</v>
      </c>
      <c r="L4788" t="s">
        <v>578</v>
      </c>
      <c r="M4788" t="s">
        <v>6</v>
      </c>
      <c r="N4788" t="b">
        <v>0</v>
      </c>
      <c r="O4788">
        <v>0</v>
      </c>
      <c r="P4788">
        <v>1</v>
      </c>
      <c r="Q4788">
        <v>0</v>
      </c>
      <c r="R4788">
        <v>0</v>
      </c>
    </row>
    <row r="4789" spans="1:18" x14ac:dyDescent="0.25">
      <c r="A4789" t="s">
        <v>435</v>
      </c>
      <c r="B4789" t="s">
        <v>6</v>
      </c>
      <c r="C4789">
        <v>2</v>
      </c>
      <c r="D4789">
        <v>4</v>
      </c>
      <c r="E4789">
        <v>2</v>
      </c>
      <c r="F4789" s="15">
        <v>46188</v>
      </c>
      <c r="G4789" t="s">
        <v>588</v>
      </c>
      <c r="H4789">
        <v>4</v>
      </c>
      <c r="I4789">
        <v>2026</v>
      </c>
      <c r="J4789">
        <v>6</v>
      </c>
      <c r="K4789" t="s">
        <v>87</v>
      </c>
      <c r="L4789" t="s">
        <v>352</v>
      </c>
      <c r="M4789" t="s">
        <v>8</v>
      </c>
      <c r="N4789" t="b">
        <v>0</v>
      </c>
      <c r="O4789">
        <v>0</v>
      </c>
      <c r="P4789">
        <v>1</v>
      </c>
      <c r="Q4789">
        <v>0</v>
      </c>
      <c r="R4789">
        <v>1</v>
      </c>
    </row>
    <row r="4790" spans="1:18" x14ac:dyDescent="0.25">
      <c r="A4790" t="s">
        <v>578</v>
      </c>
      <c r="B4790" t="s">
        <v>6</v>
      </c>
      <c r="C4790">
        <v>3</v>
      </c>
      <c r="D4790">
        <v>4</v>
      </c>
      <c r="E4790">
        <v>2</v>
      </c>
      <c r="F4790" s="15">
        <v>46188</v>
      </c>
      <c r="G4790" t="s">
        <v>588</v>
      </c>
      <c r="H4790">
        <v>4</v>
      </c>
      <c r="I4790">
        <v>2026</v>
      </c>
      <c r="J4790">
        <v>6</v>
      </c>
      <c r="K4790" t="s">
        <v>87</v>
      </c>
      <c r="L4790" t="s">
        <v>10</v>
      </c>
      <c r="M4790" t="s">
        <v>6</v>
      </c>
      <c r="N4790" t="b">
        <v>0</v>
      </c>
      <c r="O4790">
        <v>0</v>
      </c>
      <c r="P4790">
        <v>1</v>
      </c>
      <c r="Q4790">
        <v>0</v>
      </c>
      <c r="R4790">
        <v>0</v>
      </c>
    </row>
    <row r="4791" spans="1:18" x14ac:dyDescent="0.25">
      <c r="A4791" t="s">
        <v>578</v>
      </c>
      <c r="B4791" t="s">
        <v>6</v>
      </c>
      <c r="C4791">
        <v>3</v>
      </c>
      <c r="D4791">
        <v>4</v>
      </c>
      <c r="E4791">
        <v>2</v>
      </c>
      <c r="F4791" s="15">
        <v>46188</v>
      </c>
      <c r="G4791" t="s">
        <v>588</v>
      </c>
      <c r="H4791">
        <v>4</v>
      </c>
      <c r="I4791">
        <v>2026</v>
      </c>
      <c r="J4791">
        <v>6</v>
      </c>
      <c r="K4791" t="s">
        <v>87</v>
      </c>
      <c r="L4791" t="s">
        <v>435</v>
      </c>
      <c r="M4791" t="s">
        <v>6</v>
      </c>
      <c r="N4791" t="b">
        <v>0</v>
      </c>
      <c r="O4791">
        <v>0</v>
      </c>
      <c r="P4791">
        <v>1</v>
      </c>
      <c r="Q4791">
        <v>0</v>
      </c>
      <c r="R4791">
        <v>0</v>
      </c>
    </row>
    <row r="4792" spans="1:18" x14ac:dyDescent="0.25">
      <c r="A4792" t="s">
        <v>578</v>
      </c>
      <c r="B4792" t="s">
        <v>6</v>
      </c>
      <c r="C4792">
        <v>3</v>
      </c>
      <c r="D4792">
        <v>4</v>
      </c>
      <c r="E4792">
        <v>2</v>
      </c>
      <c r="F4792" s="15">
        <v>46188</v>
      </c>
      <c r="G4792" t="s">
        <v>588</v>
      </c>
      <c r="H4792">
        <v>4</v>
      </c>
      <c r="I4792">
        <v>2026</v>
      </c>
      <c r="J4792">
        <v>6</v>
      </c>
      <c r="K4792" t="s">
        <v>87</v>
      </c>
      <c r="L4792" t="s">
        <v>352</v>
      </c>
      <c r="M4792" t="s">
        <v>8</v>
      </c>
      <c r="N4792" t="b">
        <v>0</v>
      </c>
      <c r="O4792">
        <v>0</v>
      </c>
      <c r="P4792">
        <v>1</v>
      </c>
      <c r="Q4792">
        <v>0</v>
      </c>
      <c r="R4792">
        <v>1</v>
      </c>
    </row>
    <row r="4793" spans="1:18" x14ac:dyDescent="0.25">
      <c r="A4793" t="s">
        <v>352</v>
      </c>
      <c r="B4793" t="s">
        <v>8</v>
      </c>
      <c r="C4793">
        <v>4</v>
      </c>
      <c r="D4793">
        <v>4</v>
      </c>
      <c r="E4793">
        <v>2</v>
      </c>
      <c r="F4793" s="15">
        <v>46188</v>
      </c>
      <c r="G4793" t="s">
        <v>588</v>
      </c>
      <c r="H4793">
        <v>4</v>
      </c>
      <c r="I4793">
        <v>2026</v>
      </c>
      <c r="J4793">
        <v>6</v>
      </c>
      <c r="K4793" t="s">
        <v>87</v>
      </c>
      <c r="L4793" t="s">
        <v>10</v>
      </c>
      <c r="M4793" t="s">
        <v>6</v>
      </c>
      <c r="N4793" t="b">
        <v>0</v>
      </c>
      <c r="O4793">
        <v>1</v>
      </c>
      <c r="P4793">
        <v>0</v>
      </c>
      <c r="Q4793">
        <v>0</v>
      </c>
      <c r="R4793">
        <v>0</v>
      </c>
    </row>
    <row r="4794" spans="1:18" x14ac:dyDescent="0.25">
      <c r="A4794" t="s">
        <v>352</v>
      </c>
      <c r="B4794" t="s">
        <v>8</v>
      </c>
      <c r="C4794">
        <v>4</v>
      </c>
      <c r="D4794">
        <v>4</v>
      </c>
      <c r="E4794">
        <v>2</v>
      </c>
      <c r="F4794" s="15">
        <v>46188</v>
      </c>
      <c r="G4794" t="s">
        <v>588</v>
      </c>
      <c r="H4794">
        <v>4</v>
      </c>
      <c r="I4794">
        <v>2026</v>
      </c>
      <c r="J4794">
        <v>6</v>
      </c>
      <c r="K4794" t="s">
        <v>87</v>
      </c>
      <c r="L4794" t="s">
        <v>435</v>
      </c>
      <c r="M4794" t="s">
        <v>6</v>
      </c>
      <c r="N4794" t="b">
        <v>0</v>
      </c>
      <c r="O4794">
        <v>1</v>
      </c>
      <c r="P4794">
        <v>0</v>
      </c>
      <c r="Q4794">
        <v>0</v>
      </c>
      <c r="R4794">
        <v>0</v>
      </c>
    </row>
    <row r="4795" spans="1:18" x14ac:dyDescent="0.25">
      <c r="A4795" t="s">
        <v>352</v>
      </c>
      <c r="B4795" t="s">
        <v>8</v>
      </c>
      <c r="C4795">
        <v>4</v>
      </c>
      <c r="D4795">
        <v>4</v>
      </c>
      <c r="E4795">
        <v>2</v>
      </c>
      <c r="F4795" s="15">
        <v>46188</v>
      </c>
      <c r="G4795" t="s">
        <v>588</v>
      </c>
      <c r="H4795">
        <v>4</v>
      </c>
      <c r="I4795">
        <v>2026</v>
      </c>
      <c r="J4795">
        <v>6</v>
      </c>
      <c r="K4795" t="s">
        <v>87</v>
      </c>
      <c r="L4795" t="s">
        <v>578</v>
      </c>
      <c r="M4795" t="s">
        <v>6</v>
      </c>
      <c r="N4795" t="b">
        <v>0</v>
      </c>
      <c r="O4795">
        <v>1</v>
      </c>
      <c r="P4795">
        <v>0</v>
      </c>
      <c r="Q4795">
        <v>0</v>
      </c>
      <c r="R4795">
        <v>0</v>
      </c>
    </row>
    <row r="4796" spans="1:18" x14ac:dyDescent="0.25">
      <c r="A4796" t="s">
        <v>402</v>
      </c>
      <c r="B4796" t="s">
        <v>63</v>
      </c>
      <c r="C4796">
        <v>1</v>
      </c>
      <c r="D4796">
        <v>5</v>
      </c>
      <c r="E4796">
        <v>2</v>
      </c>
      <c r="F4796" s="15">
        <v>46188</v>
      </c>
      <c r="G4796" t="s">
        <v>589</v>
      </c>
      <c r="H4796">
        <v>3</v>
      </c>
      <c r="I4796">
        <v>2026</v>
      </c>
      <c r="J4796">
        <v>6</v>
      </c>
      <c r="K4796" t="s">
        <v>87</v>
      </c>
      <c r="L4796" t="s">
        <v>19</v>
      </c>
      <c r="M4796" t="s">
        <v>63</v>
      </c>
      <c r="N4796" t="b">
        <v>0</v>
      </c>
      <c r="O4796">
        <v>0</v>
      </c>
      <c r="P4796">
        <v>0</v>
      </c>
      <c r="Q4796">
        <v>1</v>
      </c>
      <c r="R4796">
        <v>0</v>
      </c>
    </row>
    <row r="4797" spans="1:18" x14ac:dyDescent="0.25">
      <c r="A4797" t="s">
        <v>402</v>
      </c>
      <c r="B4797" t="s">
        <v>63</v>
      </c>
      <c r="C4797">
        <v>1</v>
      </c>
      <c r="D4797">
        <v>5</v>
      </c>
      <c r="E4797">
        <v>2</v>
      </c>
      <c r="F4797" s="15">
        <v>46188</v>
      </c>
      <c r="G4797" t="s">
        <v>589</v>
      </c>
      <c r="H4797">
        <v>3</v>
      </c>
      <c r="I4797">
        <v>2026</v>
      </c>
      <c r="J4797">
        <v>6</v>
      </c>
      <c r="K4797" t="s">
        <v>87</v>
      </c>
      <c r="L4797" t="s">
        <v>363</v>
      </c>
      <c r="M4797" t="s">
        <v>63</v>
      </c>
      <c r="N4797" t="b">
        <v>0</v>
      </c>
      <c r="O4797">
        <v>0</v>
      </c>
      <c r="P4797">
        <v>0</v>
      </c>
      <c r="Q4797">
        <v>1</v>
      </c>
      <c r="R4797">
        <v>0</v>
      </c>
    </row>
    <row r="4798" spans="1:18" x14ac:dyDescent="0.25">
      <c r="A4798" t="s">
        <v>19</v>
      </c>
      <c r="B4798" t="s">
        <v>63</v>
      </c>
      <c r="C4798">
        <v>2</v>
      </c>
      <c r="D4798">
        <v>5</v>
      </c>
      <c r="E4798">
        <v>2</v>
      </c>
      <c r="F4798" s="15">
        <v>46188</v>
      </c>
      <c r="G4798" t="s">
        <v>589</v>
      </c>
      <c r="H4798">
        <v>3</v>
      </c>
      <c r="I4798">
        <v>2026</v>
      </c>
      <c r="J4798">
        <v>6</v>
      </c>
      <c r="K4798" t="s">
        <v>87</v>
      </c>
      <c r="L4798" t="s">
        <v>402</v>
      </c>
      <c r="M4798" t="s">
        <v>63</v>
      </c>
      <c r="N4798" t="b">
        <v>0</v>
      </c>
      <c r="O4798">
        <v>0</v>
      </c>
      <c r="P4798">
        <v>0</v>
      </c>
      <c r="Q4798">
        <v>1</v>
      </c>
      <c r="R4798">
        <v>0</v>
      </c>
    </row>
    <row r="4799" spans="1:18" x14ac:dyDescent="0.25">
      <c r="A4799" t="s">
        <v>19</v>
      </c>
      <c r="B4799" t="s">
        <v>63</v>
      </c>
      <c r="C4799">
        <v>2</v>
      </c>
      <c r="D4799">
        <v>5</v>
      </c>
      <c r="E4799">
        <v>2</v>
      </c>
      <c r="F4799" s="15">
        <v>46188</v>
      </c>
      <c r="G4799" t="s">
        <v>589</v>
      </c>
      <c r="H4799">
        <v>3</v>
      </c>
      <c r="I4799">
        <v>2026</v>
      </c>
      <c r="J4799">
        <v>6</v>
      </c>
      <c r="K4799" t="s">
        <v>87</v>
      </c>
      <c r="L4799" t="s">
        <v>363</v>
      </c>
      <c r="M4799" t="s">
        <v>63</v>
      </c>
      <c r="N4799" t="b">
        <v>0</v>
      </c>
      <c r="O4799">
        <v>0</v>
      </c>
      <c r="P4799">
        <v>0</v>
      </c>
      <c r="Q4799">
        <v>1</v>
      </c>
      <c r="R4799">
        <v>0</v>
      </c>
    </row>
    <row r="4800" spans="1:18" x14ac:dyDescent="0.25">
      <c r="A4800" t="s">
        <v>363</v>
      </c>
      <c r="B4800" t="s">
        <v>63</v>
      </c>
      <c r="C4800">
        <v>3</v>
      </c>
      <c r="D4800">
        <v>5</v>
      </c>
      <c r="E4800">
        <v>2</v>
      </c>
      <c r="F4800" s="15">
        <v>46188</v>
      </c>
      <c r="G4800" t="s">
        <v>589</v>
      </c>
      <c r="H4800">
        <v>3</v>
      </c>
      <c r="I4800">
        <v>2026</v>
      </c>
      <c r="J4800">
        <v>6</v>
      </c>
      <c r="K4800" t="s">
        <v>87</v>
      </c>
      <c r="L4800" t="s">
        <v>402</v>
      </c>
      <c r="M4800" t="s">
        <v>63</v>
      </c>
      <c r="N4800" t="b">
        <v>0</v>
      </c>
      <c r="O4800">
        <v>0</v>
      </c>
      <c r="P4800">
        <v>0</v>
      </c>
      <c r="Q4800">
        <v>1</v>
      </c>
      <c r="R4800">
        <v>0</v>
      </c>
    </row>
    <row r="4801" spans="1:18" x14ac:dyDescent="0.25">
      <c r="A4801" t="s">
        <v>363</v>
      </c>
      <c r="B4801" t="s">
        <v>63</v>
      </c>
      <c r="C4801">
        <v>3</v>
      </c>
      <c r="D4801">
        <v>5</v>
      </c>
      <c r="E4801">
        <v>2</v>
      </c>
      <c r="F4801" s="15">
        <v>46188</v>
      </c>
      <c r="G4801" t="s">
        <v>589</v>
      </c>
      <c r="H4801">
        <v>3</v>
      </c>
      <c r="I4801">
        <v>2026</v>
      </c>
      <c r="J4801">
        <v>6</v>
      </c>
      <c r="K4801" t="s">
        <v>87</v>
      </c>
      <c r="L4801" t="s">
        <v>19</v>
      </c>
      <c r="M4801" t="s">
        <v>63</v>
      </c>
      <c r="N4801" t="b">
        <v>0</v>
      </c>
      <c r="O4801">
        <v>0</v>
      </c>
      <c r="P4801">
        <v>0</v>
      </c>
      <c r="Q4801">
        <v>1</v>
      </c>
      <c r="R4801">
        <v>0</v>
      </c>
    </row>
    <row r="4802" spans="1:18" x14ac:dyDescent="0.25">
      <c r="A4802" t="s">
        <v>578</v>
      </c>
      <c r="B4802" t="s">
        <v>6</v>
      </c>
      <c r="C4802">
        <v>1</v>
      </c>
      <c r="D4802">
        <v>1</v>
      </c>
      <c r="E4802">
        <v>1</v>
      </c>
      <c r="F4802" s="15">
        <v>46195</v>
      </c>
      <c r="G4802" t="s">
        <v>593</v>
      </c>
      <c r="H4802">
        <v>4</v>
      </c>
      <c r="I4802">
        <v>2026</v>
      </c>
      <c r="J4802">
        <v>6</v>
      </c>
      <c r="K4802" t="s">
        <v>87</v>
      </c>
      <c r="L4802" t="s">
        <v>9</v>
      </c>
      <c r="M4802" t="s">
        <v>6</v>
      </c>
      <c r="N4802" t="b">
        <v>0</v>
      </c>
      <c r="O4802">
        <v>0</v>
      </c>
      <c r="P4802">
        <v>1</v>
      </c>
      <c r="Q4802">
        <v>0</v>
      </c>
      <c r="R4802">
        <v>0</v>
      </c>
    </row>
    <row r="4803" spans="1:18" x14ac:dyDescent="0.25">
      <c r="A4803" t="s">
        <v>578</v>
      </c>
      <c r="B4803" t="s">
        <v>6</v>
      </c>
      <c r="C4803">
        <v>1</v>
      </c>
      <c r="D4803">
        <v>1</v>
      </c>
      <c r="E4803">
        <v>1</v>
      </c>
      <c r="F4803" s="15">
        <v>46195</v>
      </c>
      <c r="G4803" t="s">
        <v>593</v>
      </c>
      <c r="H4803">
        <v>4</v>
      </c>
      <c r="I4803">
        <v>2026</v>
      </c>
      <c r="J4803">
        <v>6</v>
      </c>
      <c r="K4803" t="s">
        <v>87</v>
      </c>
      <c r="L4803" t="s">
        <v>14</v>
      </c>
      <c r="M4803" t="s">
        <v>8</v>
      </c>
      <c r="N4803" t="b">
        <v>0</v>
      </c>
      <c r="O4803">
        <v>0</v>
      </c>
      <c r="P4803">
        <v>1</v>
      </c>
      <c r="Q4803">
        <v>0</v>
      </c>
      <c r="R4803">
        <v>1</v>
      </c>
    </row>
    <row r="4804" spans="1:18" x14ac:dyDescent="0.25">
      <c r="A4804" t="s">
        <v>578</v>
      </c>
      <c r="B4804" t="s">
        <v>6</v>
      </c>
      <c r="C4804">
        <v>1</v>
      </c>
      <c r="D4804">
        <v>1</v>
      </c>
      <c r="E4804">
        <v>1</v>
      </c>
      <c r="F4804" s="15">
        <v>46195</v>
      </c>
      <c r="G4804" t="s">
        <v>593</v>
      </c>
      <c r="H4804">
        <v>4</v>
      </c>
      <c r="I4804">
        <v>2026</v>
      </c>
      <c r="J4804">
        <v>6</v>
      </c>
      <c r="K4804" t="s">
        <v>87</v>
      </c>
      <c r="L4804" t="s">
        <v>28</v>
      </c>
      <c r="M4804" t="s">
        <v>6</v>
      </c>
      <c r="N4804" t="b">
        <v>0</v>
      </c>
      <c r="O4804">
        <v>0</v>
      </c>
      <c r="P4804">
        <v>1</v>
      </c>
      <c r="Q4804">
        <v>0</v>
      </c>
      <c r="R4804">
        <v>0</v>
      </c>
    </row>
    <row r="4805" spans="1:18" x14ac:dyDescent="0.25">
      <c r="A4805" t="s">
        <v>9</v>
      </c>
      <c r="B4805" t="s">
        <v>6</v>
      </c>
      <c r="C4805">
        <v>2</v>
      </c>
      <c r="D4805">
        <v>1</v>
      </c>
      <c r="E4805">
        <v>1</v>
      </c>
      <c r="F4805" s="15">
        <v>46195</v>
      </c>
      <c r="G4805" t="s">
        <v>593</v>
      </c>
      <c r="H4805">
        <v>4</v>
      </c>
      <c r="I4805">
        <v>2026</v>
      </c>
      <c r="J4805">
        <v>6</v>
      </c>
      <c r="K4805" t="s">
        <v>87</v>
      </c>
      <c r="L4805" t="s">
        <v>578</v>
      </c>
      <c r="M4805" t="s">
        <v>6</v>
      </c>
      <c r="N4805" t="b">
        <v>0</v>
      </c>
      <c r="O4805">
        <v>0</v>
      </c>
      <c r="P4805">
        <v>1</v>
      </c>
      <c r="Q4805">
        <v>0</v>
      </c>
      <c r="R4805">
        <v>0</v>
      </c>
    </row>
    <row r="4806" spans="1:18" x14ac:dyDescent="0.25">
      <c r="A4806" t="s">
        <v>9</v>
      </c>
      <c r="B4806" t="s">
        <v>6</v>
      </c>
      <c r="C4806">
        <v>2</v>
      </c>
      <c r="D4806">
        <v>1</v>
      </c>
      <c r="E4806">
        <v>1</v>
      </c>
      <c r="F4806" s="15">
        <v>46195</v>
      </c>
      <c r="G4806" t="s">
        <v>593</v>
      </c>
      <c r="H4806">
        <v>4</v>
      </c>
      <c r="I4806">
        <v>2026</v>
      </c>
      <c r="J4806">
        <v>6</v>
      </c>
      <c r="K4806" t="s">
        <v>87</v>
      </c>
      <c r="L4806" t="s">
        <v>14</v>
      </c>
      <c r="M4806" t="s">
        <v>8</v>
      </c>
      <c r="N4806" t="b">
        <v>0</v>
      </c>
      <c r="O4806">
        <v>0</v>
      </c>
      <c r="P4806">
        <v>1</v>
      </c>
      <c r="Q4806">
        <v>0</v>
      </c>
      <c r="R4806">
        <v>1</v>
      </c>
    </row>
    <row r="4807" spans="1:18" x14ac:dyDescent="0.25">
      <c r="A4807" t="s">
        <v>9</v>
      </c>
      <c r="B4807" t="s">
        <v>6</v>
      </c>
      <c r="C4807">
        <v>2</v>
      </c>
      <c r="D4807">
        <v>1</v>
      </c>
      <c r="E4807">
        <v>1</v>
      </c>
      <c r="F4807" s="15">
        <v>46195</v>
      </c>
      <c r="G4807" t="s">
        <v>593</v>
      </c>
      <c r="H4807">
        <v>4</v>
      </c>
      <c r="I4807">
        <v>2026</v>
      </c>
      <c r="J4807">
        <v>6</v>
      </c>
      <c r="K4807" t="s">
        <v>87</v>
      </c>
      <c r="L4807" t="s">
        <v>28</v>
      </c>
      <c r="M4807" t="s">
        <v>6</v>
      </c>
      <c r="N4807" t="b">
        <v>0</v>
      </c>
      <c r="O4807">
        <v>0</v>
      </c>
      <c r="P4807">
        <v>1</v>
      </c>
      <c r="Q4807">
        <v>0</v>
      </c>
      <c r="R4807">
        <v>0</v>
      </c>
    </row>
    <row r="4808" spans="1:18" x14ac:dyDescent="0.25">
      <c r="A4808" t="s">
        <v>14</v>
      </c>
      <c r="B4808" t="s">
        <v>8</v>
      </c>
      <c r="C4808">
        <v>3</v>
      </c>
      <c r="D4808">
        <v>1</v>
      </c>
      <c r="E4808">
        <v>1</v>
      </c>
      <c r="F4808" s="15">
        <v>46195</v>
      </c>
      <c r="G4808" t="s">
        <v>593</v>
      </c>
      <c r="H4808">
        <v>4</v>
      </c>
      <c r="I4808">
        <v>2026</v>
      </c>
      <c r="J4808">
        <v>6</v>
      </c>
      <c r="K4808" t="s">
        <v>87</v>
      </c>
      <c r="L4808" t="s">
        <v>578</v>
      </c>
      <c r="M4808" t="s">
        <v>6</v>
      </c>
      <c r="N4808" t="b">
        <v>0</v>
      </c>
      <c r="O4808">
        <v>1</v>
      </c>
      <c r="P4808">
        <v>0</v>
      </c>
      <c r="Q4808">
        <v>0</v>
      </c>
      <c r="R4808">
        <v>0</v>
      </c>
    </row>
    <row r="4809" spans="1:18" x14ac:dyDescent="0.25">
      <c r="A4809" t="s">
        <v>14</v>
      </c>
      <c r="B4809" t="s">
        <v>8</v>
      </c>
      <c r="C4809">
        <v>3</v>
      </c>
      <c r="D4809">
        <v>1</v>
      </c>
      <c r="E4809">
        <v>1</v>
      </c>
      <c r="F4809" s="15">
        <v>46195</v>
      </c>
      <c r="G4809" t="s">
        <v>593</v>
      </c>
      <c r="H4809">
        <v>4</v>
      </c>
      <c r="I4809">
        <v>2026</v>
      </c>
      <c r="J4809">
        <v>6</v>
      </c>
      <c r="K4809" t="s">
        <v>87</v>
      </c>
      <c r="L4809" t="s">
        <v>9</v>
      </c>
      <c r="M4809" t="s">
        <v>6</v>
      </c>
      <c r="N4809" t="b">
        <v>0</v>
      </c>
      <c r="O4809">
        <v>1</v>
      </c>
      <c r="P4809">
        <v>0</v>
      </c>
      <c r="Q4809">
        <v>0</v>
      </c>
      <c r="R4809">
        <v>0</v>
      </c>
    </row>
    <row r="4810" spans="1:18" x14ac:dyDescent="0.25">
      <c r="A4810" t="s">
        <v>14</v>
      </c>
      <c r="B4810" t="s">
        <v>8</v>
      </c>
      <c r="C4810">
        <v>3</v>
      </c>
      <c r="D4810">
        <v>1</v>
      </c>
      <c r="E4810">
        <v>1</v>
      </c>
      <c r="F4810" s="15">
        <v>46195</v>
      </c>
      <c r="G4810" t="s">
        <v>593</v>
      </c>
      <c r="H4810">
        <v>4</v>
      </c>
      <c r="I4810">
        <v>2026</v>
      </c>
      <c r="J4810">
        <v>6</v>
      </c>
      <c r="K4810" t="s">
        <v>87</v>
      </c>
      <c r="L4810" t="s">
        <v>28</v>
      </c>
      <c r="M4810" t="s">
        <v>6</v>
      </c>
      <c r="N4810" t="b">
        <v>0</v>
      </c>
      <c r="O4810">
        <v>1</v>
      </c>
      <c r="P4810">
        <v>0</v>
      </c>
      <c r="Q4810">
        <v>0</v>
      </c>
      <c r="R4810">
        <v>0</v>
      </c>
    </row>
    <row r="4811" spans="1:18" x14ac:dyDescent="0.25">
      <c r="A4811" t="s">
        <v>28</v>
      </c>
      <c r="B4811" t="s">
        <v>6</v>
      </c>
      <c r="C4811">
        <v>4</v>
      </c>
      <c r="D4811">
        <v>1</v>
      </c>
      <c r="E4811">
        <v>1</v>
      </c>
      <c r="F4811" s="15">
        <v>46195</v>
      </c>
      <c r="G4811" t="s">
        <v>593</v>
      </c>
      <c r="H4811">
        <v>4</v>
      </c>
      <c r="I4811">
        <v>2026</v>
      </c>
      <c r="J4811">
        <v>6</v>
      </c>
      <c r="K4811" t="s">
        <v>87</v>
      </c>
      <c r="L4811" t="s">
        <v>578</v>
      </c>
      <c r="M4811" t="s">
        <v>6</v>
      </c>
      <c r="N4811" t="b">
        <v>0</v>
      </c>
      <c r="O4811">
        <v>0</v>
      </c>
      <c r="P4811">
        <v>1</v>
      </c>
      <c r="Q4811">
        <v>0</v>
      </c>
      <c r="R4811">
        <v>0</v>
      </c>
    </row>
    <row r="4812" spans="1:18" x14ac:dyDescent="0.25">
      <c r="A4812" t="s">
        <v>28</v>
      </c>
      <c r="B4812" t="s">
        <v>6</v>
      </c>
      <c r="C4812">
        <v>4</v>
      </c>
      <c r="D4812">
        <v>1</v>
      </c>
      <c r="E4812">
        <v>1</v>
      </c>
      <c r="F4812" s="15">
        <v>46195</v>
      </c>
      <c r="G4812" t="s">
        <v>593</v>
      </c>
      <c r="H4812">
        <v>4</v>
      </c>
      <c r="I4812">
        <v>2026</v>
      </c>
      <c r="J4812">
        <v>6</v>
      </c>
      <c r="K4812" t="s">
        <v>87</v>
      </c>
      <c r="L4812" t="s">
        <v>9</v>
      </c>
      <c r="M4812" t="s">
        <v>6</v>
      </c>
      <c r="N4812" t="b">
        <v>0</v>
      </c>
      <c r="O4812">
        <v>0</v>
      </c>
      <c r="P4812">
        <v>1</v>
      </c>
      <c r="Q4812">
        <v>0</v>
      </c>
      <c r="R4812">
        <v>0</v>
      </c>
    </row>
    <row r="4813" spans="1:18" x14ac:dyDescent="0.25">
      <c r="A4813" t="s">
        <v>28</v>
      </c>
      <c r="B4813" t="s">
        <v>6</v>
      </c>
      <c r="C4813">
        <v>4</v>
      </c>
      <c r="D4813">
        <v>1</v>
      </c>
      <c r="E4813">
        <v>1</v>
      </c>
      <c r="F4813" s="15">
        <v>46195</v>
      </c>
      <c r="G4813" t="s">
        <v>593</v>
      </c>
      <c r="H4813">
        <v>4</v>
      </c>
      <c r="I4813">
        <v>2026</v>
      </c>
      <c r="J4813">
        <v>6</v>
      </c>
      <c r="K4813" t="s">
        <v>87</v>
      </c>
      <c r="L4813" t="s">
        <v>14</v>
      </c>
      <c r="M4813" t="s">
        <v>8</v>
      </c>
      <c r="N4813" t="b">
        <v>0</v>
      </c>
      <c r="O4813">
        <v>0</v>
      </c>
      <c r="P4813">
        <v>1</v>
      </c>
      <c r="Q4813">
        <v>0</v>
      </c>
      <c r="R4813">
        <v>1</v>
      </c>
    </row>
    <row r="4814" spans="1:18" x14ac:dyDescent="0.25">
      <c r="A4814" t="s">
        <v>10</v>
      </c>
      <c r="B4814" t="s">
        <v>63</v>
      </c>
      <c r="C4814">
        <v>1</v>
      </c>
      <c r="D4814">
        <v>2</v>
      </c>
      <c r="E4814">
        <v>1</v>
      </c>
      <c r="F4814" s="15">
        <v>46195</v>
      </c>
      <c r="G4814" t="s">
        <v>594</v>
      </c>
      <c r="H4814">
        <v>4</v>
      </c>
      <c r="I4814">
        <v>2026</v>
      </c>
      <c r="J4814">
        <v>6</v>
      </c>
      <c r="K4814" t="s">
        <v>87</v>
      </c>
      <c r="L4814" t="s">
        <v>405</v>
      </c>
      <c r="M4814" t="s">
        <v>63</v>
      </c>
      <c r="N4814" t="b">
        <v>0</v>
      </c>
      <c r="O4814">
        <v>0</v>
      </c>
      <c r="P4814">
        <v>0</v>
      </c>
      <c r="Q4814">
        <v>1</v>
      </c>
      <c r="R4814">
        <v>0</v>
      </c>
    </row>
    <row r="4815" spans="1:18" x14ac:dyDescent="0.25">
      <c r="A4815" t="s">
        <v>10</v>
      </c>
      <c r="B4815" t="s">
        <v>63</v>
      </c>
      <c r="C4815">
        <v>1</v>
      </c>
      <c r="D4815">
        <v>2</v>
      </c>
      <c r="E4815">
        <v>1</v>
      </c>
      <c r="F4815" s="15">
        <v>46195</v>
      </c>
      <c r="G4815" t="s">
        <v>594</v>
      </c>
      <c r="H4815">
        <v>4</v>
      </c>
      <c r="I4815">
        <v>2026</v>
      </c>
      <c r="J4815">
        <v>6</v>
      </c>
      <c r="K4815" t="s">
        <v>87</v>
      </c>
      <c r="L4815" t="s">
        <v>352</v>
      </c>
      <c r="M4815" t="s">
        <v>63</v>
      </c>
      <c r="N4815" t="b">
        <v>0</v>
      </c>
      <c r="O4815">
        <v>0</v>
      </c>
      <c r="P4815">
        <v>0</v>
      </c>
      <c r="Q4815">
        <v>1</v>
      </c>
      <c r="R4815">
        <v>0</v>
      </c>
    </row>
    <row r="4816" spans="1:18" x14ac:dyDescent="0.25">
      <c r="A4816" t="s">
        <v>10</v>
      </c>
      <c r="B4816" t="s">
        <v>63</v>
      </c>
      <c r="C4816">
        <v>1</v>
      </c>
      <c r="D4816">
        <v>2</v>
      </c>
      <c r="E4816">
        <v>1</v>
      </c>
      <c r="F4816" s="15">
        <v>46195</v>
      </c>
      <c r="G4816" t="s">
        <v>594</v>
      </c>
      <c r="H4816">
        <v>4</v>
      </c>
      <c r="I4816">
        <v>2026</v>
      </c>
      <c r="J4816">
        <v>6</v>
      </c>
      <c r="K4816" t="s">
        <v>87</v>
      </c>
      <c r="L4816" t="s">
        <v>351</v>
      </c>
      <c r="M4816" t="s">
        <v>63</v>
      </c>
      <c r="N4816" t="b">
        <v>0</v>
      </c>
      <c r="O4816">
        <v>0</v>
      </c>
      <c r="P4816">
        <v>0</v>
      </c>
      <c r="Q4816">
        <v>1</v>
      </c>
      <c r="R4816">
        <v>0</v>
      </c>
    </row>
    <row r="4817" spans="1:18" x14ac:dyDescent="0.25">
      <c r="A4817" t="s">
        <v>405</v>
      </c>
      <c r="B4817" t="s">
        <v>63</v>
      </c>
      <c r="C4817">
        <v>2</v>
      </c>
      <c r="D4817">
        <v>2</v>
      </c>
      <c r="E4817">
        <v>1</v>
      </c>
      <c r="F4817" s="15">
        <v>46195</v>
      </c>
      <c r="G4817" t="s">
        <v>594</v>
      </c>
      <c r="H4817">
        <v>4</v>
      </c>
      <c r="I4817">
        <v>2026</v>
      </c>
      <c r="J4817">
        <v>6</v>
      </c>
      <c r="K4817" t="s">
        <v>87</v>
      </c>
      <c r="L4817" t="s">
        <v>10</v>
      </c>
      <c r="M4817" t="s">
        <v>63</v>
      </c>
      <c r="N4817" t="b">
        <v>0</v>
      </c>
      <c r="O4817">
        <v>0</v>
      </c>
      <c r="P4817">
        <v>0</v>
      </c>
      <c r="Q4817">
        <v>1</v>
      </c>
      <c r="R4817">
        <v>0</v>
      </c>
    </row>
    <row r="4818" spans="1:18" x14ac:dyDescent="0.25">
      <c r="A4818" t="s">
        <v>405</v>
      </c>
      <c r="B4818" t="s">
        <v>63</v>
      </c>
      <c r="C4818">
        <v>2</v>
      </c>
      <c r="D4818">
        <v>2</v>
      </c>
      <c r="E4818">
        <v>1</v>
      </c>
      <c r="F4818" s="15">
        <v>46195</v>
      </c>
      <c r="G4818" t="s">
        <v>594</v>
      </c>
      <c r="H4818">
        <v>4</v>
      </c>
      <c r="I4818">
        <v>2026</v>
      </c>
      <c r="J4818">
        <v>6</v>
      </c>
      <c r="K4818" t="s">
        <v>87</v>
      </c>
      <c r="L4818" t="s">
        <v>352</v>
      </c>
      <c r="M4818" t="s">
        <v>63</v>
      </c>
      <c r="N4818" t="b">
        <v>0</v>
      </c>
      <c r="O4818">
        <v>0</v>
      </c>
      <c r="P4818">
        <v>0</v>
      </c>
      <c r="Q4818">
        <v>1</v>
      </c>
      <c r="R4818">
        <v>0</v>
      </c>
    </row>
    <row r="4819" spans="1:18" x14ac:dyDescent="0.25">
      <c r="A4819" t="s">
        <v>405</v>
      </c>
      <c r="B4819" t="s">
        <v>63</v>
      </c>
      <c r="C4819">
        <v>2</v>
      </c>
      <c r="D4819">
        <v>2</v>
      </c>
      <c r="E4819">
        <v>1</v>
      </c>
      <c r="F4819" s="15">
        <v>46195</v>
      </c>
      <c r="G4819" t="s">
        <v>594</v>
      </c>
      <c r="H4819">
        <v>4</v>
      </c>
      <c r="I4819">
        <v>2026</v>
      </c>
      <c r="J4819">
        <v>6</v>
      </c>
      <c r="K4819" t="s">
        <v>87</v>
      </c>
      <c r="L4819" t="s">
        <v>351</v>
      </c>
      <c r="M4819" t="s">
        <v>63</v>
      </c>
      <c r="N4819" t="b">
        <v>0</v>
      </c>
      <c r="O4819">
        <v>0</v>
      </c>
      <c r="P4819">
        <v>0</v>
      </c>
      <c r="Q4819">
        <v>1</v>
      </c>
      <c r="R4819">
        <v>0</v>
      </c>
    </row>
    <row r="4820" spans="1:18" x14ac:dyDescent="0.25">
      <c r="A4820" t="s">
        <v>352</v>
      </c>
      <c r="B4820" t="s">
        <v>63</v>
      </c>
      <c r="C4820">
        <v>3</v>
      </c>
      <c r="D4820">
        <v>2</v>
      </c>
      <c r="E4820">
        <v>1</v>
      </c>
      <c r="F4820" s="15">
        <v>46195</v>
      </c>
      <c r="G4820" t="s">
        <v>594</v>
      </c>
      <c r="H4820">
        <v>4</v>
      </c>
      <c r="I4820">
        <v>2026</v>
      </c>
      <c r="J4820">
        <v>6</v>
      </c>
      <c r="K4820" t="s">
        <v>87</v>
      </c>
      <c r="L4820" t="s">
        <v>10</v>
      </c>
      <c r="M4820" t="s">
        <v>63</v>
      </c>
      <c r="N4820" t="b">
        <v>0</v>
      </c>
      <c r="O4820">
        <v>0</v>
      </c>
      <c r="P4820">
        <v>0</v>
      </c>
      <c r="Q4820">
        <v>1</v>
      </c>
      <c r="R4820">
        <v>0</v>
      </c>
    </row>
    <row r="4821" spans="1:18" x14ac:dyDescent="0.25">
      <c r="A4821" t="s">
        <v>352</v>
      </c>
      <c r="B4821" t="s">
        <v>63</v>
      </c>
      <c r="C4821">
        <v>3</v>
      </c>
      <c r="D4821">
        <v>2</v>
      </c>
      <c r="E4821">
        <v>1</v>
      </c>
      <c r="F4821" s="15">
        <v>46195</v>
      </c>
      <c r="G4821" t="s">
        <v>594</v>
      </c>
      <c r="H4821">
        <v>4</v>
      </c>
      <c r="I4821">
        <v>2026</v>
      </c>
      <c r="J4821">
        <v>6</v>
      </c>
      <c r="K4821" t="s">
        <v>87</v>
      </c>
      <c r="L4821" t="s">
        <v>405</v>
      </c>
      <c r="M4821" t="s">
        <v>63</v>
      </c>
      <c r="N4821" t="b">
        <v>0</v>
      </c>
      <c r="O4821">
        <v>0</v>
      </c>
      <c r="P4821">
        <v>0</v>
      </c>
      <c r="Q4821">
        <v>1</v>
      </c>
      <c r="R4821">
        <v>0</v>
      </c>
    </row>
    <row r="4822" spans="1:18" x14ac:dyDescent="0.25">
      <c r="A4822" t="s">
        <v>352</v>
      </c>
      <c r="B4822" t="s">
        <v>63</v>
      </c>
      <c r="C4822">
        <v>3</v>
      </c>
      <c r="D4822">
        <v>2</v>
      </c>
      <c r="E4822">
        <v>1</v>
      </c>
      <c r="F4822" s="15">
        <v>46195</v>
      </c>
      <c r="G4822" t="s">
        <v>594</v>
      </c>
      <c r="H4822">
        <v>4</v>
      </c>
      <c r="I4822">
        <v>2026</v>
      </c>
      <c r="J4822">
        <v>6</v>
      </c>
      <c r="K4822" t="s">
        <v>87</v>
      </c>
      <c r="L4822" t="s">
        <v>351</v>
      </c>
      <c r="M4822" t="s">
        <v>63</v>
      </c>
      <c r="N4822" t="b">
        <v>0</v>
      </c>
      <c r="O4822">
        <v>0</v>
      </c>
      <c r="P4822">
        <v>0</v>
      </c>
      <c r="Q4822">
        <v>1</v>
      </c>
      <c r="R4822">
        <v>0</v>
      </c>
    </row>
    <row r="4823" spans="1:18" x14ac:dyDescent="0.25">
      <c r="A4823" t="s">
        <v>351</v>
      </c>
      <c r="B4823" t="s">
        <v>63</v>
      </c>
      <c r="C4823">
        <v>4</v>
      </c>
      <c r="D4823">
        <v>2</v>
      </c>
      <c r="E4823">
        <v>1</v>
      </c>
      <c r="F4823" s="15">
        <v>46195</v>
      </c>
      <c r="G4823" t="s">
        <v>594</v>
      </c>
      <c r="H4823">
        <v>4</v>
      </c>
      <c r="I4823">
        <v>2026</v>
      </c>
      <c r="J4823">
        <v>6</v>
      </c>
      <c r="K4823" t="s">
        <v>87</v>
      </c>
      <c r="L4823" t="s">
        <v>10</v>
      </c>
      <c r="M4823" t="s">
        <v>63</v>
      </c>
      <c r="N4823" t="b">
        <v>0</v>
      </c>
      <c r="O4823">
        <v>0</v>
      </c>
      <c r="P4823">
        <v>0</v>
      </c>
      <c r="Q4823">
        <v>1</v>
      </c>
      <c r="R4823">
        <v>0</v>
      </c>
    </row>
    <row r="4824" spans="1:18" x14ac:dyDescent="0.25">
      <c r="A4824" t="s">
        <v>351</v>
      </c>
      <c r="B4824" t="s">
        <v>63</v>
      </c>
      <c r="C4824">
        <v>4</v>
      </c>
      <c r="D4824">
        <v>2</v>
      </c>
      <c r="E4824">
        <v>1</v>
      </c>
      <c r="F4824" s="15">
        <v>46195</v>
      </c>
      <c r="G4824" t="s">
        <v>594</v>
      </c>
      <c r="H4824">
        <v>4</v>
      </c>
      <c r="I4824">
        <v>2026</v>
      </c>
      <c r="J4824">
        <v>6</v>
      </c>
      <c r="K4824" t="s">
        <v>87</v>
      </c>
      <c r="L4824" t="s">
        <v>405</v>
      </c>
      <c r="M4824" t="s">
        <v>63</v>
      </c>
      <c r="N4824" t="b">
        <v>0</v>
      </c>
      <c r="O4824">
        <v>0</v>
      </c>
      <c r="P4824">
        <v>0</v>
      </c>
      <c r="Q4824">
        <v>1</v>
      </c>
      <c r="R4824">
        <v>0</v>
      </c>
    </row>
    <row r="4825" spans="1:18" x14ac:dyDescent="0.25">
      <c r="A4825" t="s">
        <v>351</v>
      </c>
      <c r="B4825" t="s">
        <v>63</v>
      </c>
      <c r="C4825">
        <v>4</v>
      </c>
      <c r="D4825">
        <v>2</v>
      </c>
      <c r="E4825">
        <v>1</v>
      </c>
      <c r="F4825" s="15">
        <v>46195</v>
      </c>
      <c r="G4825" t="s">
        <v>594</v>
      </c>
      <c r="H4825">
        <v>4</v>
      </c>
      <c r="I4825">
        <v>2026</v>
      </c>
      <c r="J4825">
        <v>6</v>
      </c>
      <c r="K4825" t="s">
        <v>87</v>
      </c>
      <c r="L4825" t="s">
        <v>352</v>
      </c>
      <c r="M4825" t="s">
        <v>63</v>
      </c>
      <c r="N4825" t="b">
        <v>0</v>
      </c>
      <c r="O4825">
        <v>0</v>
      </c>
      <c r="P4825">
        <v>0</v>
      </c>
      <c r="Q4825">
        <v>1</v>
      </c>
      <c r="R4825">
        <v>0</v>
      </c>
    </row>
    <row r="4826" spans="1:18" x14ac:dyDescent="0.25">
      <c r="A4826" t="s">
        <v>7</v>
      </c>
      <c r="B4826" t="s">
        <v>6</v>
      </c>
      <c r="C4826">
        <v>1</v>
      </c>
      <c r="D4826">
        <v>3</v>
      </c>
      <c r="E4826">
        <v>1</v>
      </c>
      <c r="F4826" s="15">
        <v>46195</v>
      </c>
      <c r="G4826" t="s">
        <v>595</v>
      </c>
      <c r="H4826">
        <v>4</v>
      </c>
      <c r="I4826">
        <v>2026</v>
      </c>
      <c r="J4826">
        <v>6</v>
      </c>
      <c r="K4826" t="s">
        <v>87</v>
      </c>
      <c r="L4826" t="s">
        <v>15</v>
      </c>
      <c r="M4826" t="s">
        <v>6</v>
      </c>
      <c r="N4826" t="b">
        <v>0</v>
      </c>
      <c r="O4826">
        <v>0</v>
      </c>
      <c r="P4826">
        <v>1</v>
      </c>
      <c r="Q4826">
        <v>0</v>
      </c>
      <c r="R4826">
        <v>0</v>
      </c>
    </row>
    <row r="4827" spans="1:18" x14ac:dyDescent="0.25">
      <c r="A4827" t="s">
        <v>7</v>
      </c>
      <c r="B4827" t="s">
        <v>6</v>
      </c>
      <c r="C4827">
        <v>1</v>
      </c>
      <c r="D4827">
        <v>3</v>
      </c>
      <c r="E4827">
        <v>1</v>
      </c>
      <c r="F4827" s="15">
        <v>46195</v>
      </c>
      <c r="G4827" t="s">
        <v>595</v>
      </c>
      <c r="H4827">
        <v>4</v>
      </c>
      <c r="I4827">
        <v>2026</v>
      </c>
      <c r="J4827">
        <v>6</v>
      </c>
      <c r="K4827" t="s">
        <v>87</v>
      </c>
      <c r="L4827" t="s">
        <v>567</v>
      </c>
      <c r="M4827" t="s">
        <v>8</v>
      </c>
      <c r="N4827" t="b">
        <v>0</v>
      </c>
      <c r="O4827">
        <v>0</v>
      </c>
      <c r="P4827">
        <v>1</v>
      </c>
      <c r="Q4827">
        <v>0</v>
      </c>
      <c r="R4827">
        <v>1</v>
      </c>
    </row>
    <row r="4828" spans="1:18" x14ac:dyDescent="0.25">
      <c r="A4828" t="s">
        <v>7</v>
      </c>
      <c r="B4828" t="s">
        <v>6</v>
      </c>
      <c r="C4828">
        <v>1</v>
      </c>
      <c r="D4828">
        <v>3</v>
      </c>
      <c r="E4828">
        <v>1</v>
      </c>
      <c r="F4828" s="15">
        <v>46195</v>
      </c>
      <c r="G4828" t="s">
        <v>595</v>
      </c>
      <c r="H4828">
        <v>4</v>
      </c>
      <c r="I4828">
        <v>2026</v>
      </c>
      <c r="J4828">
        <v>6</v>
      </c>
      <c r="K4828" t="s">
        <v>87</v>
      </c>
      <c r="L4828" t="s">
        <v>590</v>
      </c>
      <c r="M4828" t="s">
        <v>6</v>
      </c>
      <c r="N4828" t="b">
        <v>0</v>
      </c>
      <c r="O4828">
        <v>0</v>
      </c>
      <c r="P4828">
        <v>1</v>
      </c>
      <c r="Q4828">
        <v>0</v>
      </c>
      <c r="R4828">
        <v>0</v>
      </c>
    </row>
    <row r="4829" spans="1:18" x14ac:dyDescent="0.25">
      <c r="A4829" t="s">
        <v>15</v>
      </c>
      <c r="B4829" t="s">
        <v>6</v>
      </c>
      <c r="C4829">
        <v>2</v>
      </c>
      <c r="D4829">
        <v>3</v>
      </c>
      <c r="E4829">
        <v>1</v>
      </c>
      <c r="F4829" s="15">
        <v>46195</v>
      </c>
      <c r="G4829" t="s">
        <v>595</v>
      </c>
      <c r="H4829">
        <v>4</v>
      </c>
      <c r="I4829">
        <v>2026</v>
      </c>
      <c r="J4829">
        <v>6</v>
      </c>
      <c r="K4829" t="s">
        <v>87</v>
      </c>
      <c r="L4829" t="s">
        <v>7</v>
      </c>
      <c r="M4829" t="s">
        <v>6</v>
      </c>
      <c r="N4829" t="b">
        <v>0</v>
      </c>
      <c r="O4829">
        <v>0</v>
      </c>
      <c r="P4829">
        <v>1</v>
      </c>
      <c r="Q4829">
        <v>0</v>
      </c>
      <c r="R4829">
        <v>0</v>
      </c>
    </row>
    <row r="4830" spans="1:18" x14ac:dyDescent="0.25">
      <c r="A4830" t="s">
        <v>15</v>
      </c>
      <c r="B4830" t="s">
        <v>6</v>
      </c>
      <c r="C4830">
        <v>2</v>
      </c>
      <c r="D4830">
        <v>3</v>
      </c>
      <c r="E4830">
        <v>1</v>
      </c>
      <c r="F4830" s="15">
        <v>46195</v>
      </c>
      <c r="G4830" t="s">
        <v>595</v>
      </c>
      <c r="H4830">
        <v>4</v>
      </c>
      <c r="I4830">
        <v>2026</v>
      </c>
      <c r="J4830">
        <v>6</v>
      </c>
      <c r="K4830" t="s">
        <v>87</v>
      </c>
      <c r="L4830" t="s">
        <v>567</v>
      </c>
      <c r="M4830" t="s">
        <v>8</v>
      </c>
      <c r="N4830" t="b">
        <v>0</v>
      </c>
      <c r="O4830">
        <v>0</v>
      </c>
      <c r="P4830">
        <v>1</v>
      </c>
      <c r="Q4830">
        <v>0</v>
      </c>
      <c r="R4830">
        <v>1</v>
      </c>
    </row>
    <row r="4831" spans="1:18" x14ac:dyDescent="0.25">
      <c r="A4831" t="s">
        <v>15</v>
      </c>
      <c r="B4831" t="s">
        <v>6</v>
      </c>
      <c r="C4831">
        <v>2</v>
      </c>
      <c r="D4831">
        <v>3</v>
      </c>
      <c r="E4831">
        <v>1</v>
      </c>
      <c r="F4831" s="15">
        <v>46195</v>
      </c>
      <c r="G4831" t="s">
        <v>595</v>
      </c>
      <c r="H4831">
        <v>4</v>
      </c>
      <c r="I4831">
        <v>2026</v>
      </c>
      <c r="J4831">
        <v>6</v>
      </c>
      <c r="K4831" t="s">
        <v>87</v>
      </c>
      <c r="L4831" t="s">
        <v>590</v>
      </c>
      <c r="M4831" t="s">
        <v>6</v>
      </c>
      <c r="N4831" t="b">
        <v>0</v>
      </c>
      <c r="O4831">
        <v>0</v>
      </c>
      <c r="P4831">
        <v>1</v>
      </c>
      <c r="Q4831">
        <v>0</v>
      </c>
      <c r="R4831">
        <v>0</v>
      </c>
    </row>
    <row r="4832" spans="1:18" x14ac:dyDescent="0.25">
      <c r="A4832" t="s">
        <v>567</v>
      </c>
      <c r="B4832" t="s">
        <v>8</v>
      </c>
      <c r="C4832">
        <v>3</v>
      </c>
      <c r="D4832">
        <v>3</v>
      </c>
      <c r="E4832">
        <v>1</v>
      </c>
      <c r="F4832" s="15">
        <v>46195</v>
      </c>
      <c r="G4832" t="s">
        <v>595</v>
      </c>
      <c r="H4832">
        <v>4</v>
      </c>
      <c r="I4832">
        <v>2026</v>
      </c>
      <c r="J4832">
        <v>6</v>
      </c>
      <c r="K4832" t="s">
        <v>87</v>
      </c>
      <c r="L4832" t="s">
        <v>7</v>
      </c>
      <c r="M4832" t="s">
        <v>6</v>
      </c>
      <c r="N4832" t="b">
        <v>0</v>
      </c>
      <c r="O4832">
        <v>1</v>
      </c>
      <c r="P4832">
        <v>0</v>
      </c>
      <c r="Q4832">
        <v>0</v>
      </c>
      <c r="R4832">
        <v>0</v>
      </c>
    </row>
    <row r="4833" spans="1:18" x14ac:dyDescent="0.25">
      <c r="A4833" t="s">
        <v>567</v>
      </c>
      <c r="B4833" t="s">
        <v>8</v>
      </c>
      <c r="C4833">
        <v>3</v>
      </c>
      <c r="D4833">
        <v>3</v>
      </c>
      <c r="E4833">
        <v>1</v>
      </c>
      <c r="F4833" s="15">
        <v>46195</v>
      </c>
      <c r="G4833" t="s">
        <v>595</v>
      </c>
      <c r="H4833">
        <v>4</v>
      </c>
      <c r="I4833">
        <v>2026</v>
      </c>
      <c r="J4833">
        <v>6</v>
      </c>
      <c r="K4833" t="s">
        <v>87</v>
      </c>
      <c r="L4833" t="s">
        <v>15</v>
      </c>
      <c r="M4833" t="s">
        <v>6</v>
      </c>
      <c r="N4833" t="b">
        <v>0</v>
      </c>
      <c r="O4833">
        <v>1</v>
      </c>
      <c r="P4833">
        <v>0</v>
      </c>
      <c r="Q4833">
        <v>0</v>
      </c>
      <c r="R4833">
        <v>0</v>
      </c>
    </row>
    <row r="4834" spans="1:18" x14ac:dyDescent="0.25">
      <c r="A4834" t="s">
        <v>567</v>
      </c>
      <c r="B4834" t="s">
        <v>8</v>
      </c>
      <c r="C4834">
        <v>3</v>
      </c>
      <c r="D4834">
        <v>3</v>
      </c>
      <c r="E4834">
        <v>1</v>
      </c>
      <c r="F4834" s="15">
        <v>46195</v>
      </c>
      <c r="G4834" t="s">
        <v>595</v>
      </c>
      <c r="H4834">
        <v>4</v>
      </c>
      <c r="I4834">
        <v>2026</v>
      </c>
      <c r="J4834">
        <v>6</v>
      </c>
      <c r="K4834" t="s">
        <v>87</v>
      </c>
      <c r="L4834" t="s">
        <v>590</v>
      </c>
      <c r="M4834" t="s">
        <v>6</v>
      </c>
      <c r="N4834" t="b">
        <v>0</v>
      </c>
      <c r="O4834">
        <v>1</v>
      </c>
      <c r="P4834">
        <v>0</v>
      </c>
      <c r="Q4834">
        <v>0</v>
      </c>
      <c r="R4834">
        <v>0</v>
      </c>
    </row>
    <row r="4835" spans="1:18" x14ac:dyDescent="0.25">
      <c r="A4835" t="s">
        <v>590</v>
      </c>
      <c r="B4835" t="s">
        <v>6</v>
      </c>
      <c r="C4835">
        <v>4</v>
      </c>
      <c r="D4835">
        <v>3</v>
      </c>
      <c r="E4835">
        <v>1</v>
      </c>
      <c r="F4835" s="15">
        <v>46195</v>
      </c>
      <c r="G4835" t="s">
        <v>595</v>
      </c>
      <c r="H4835">
        <v>4</v>
      </c>
      <c r="I4835">
        <v>2026</v>
      </c>
      <c r="J4835">
        <v>6</v>
      </c>
      <c r="K4835" t="s">
        <v>87</v>
      </c>
      <c r="L4835" t="s">
        <v>7</v>
      </c>
      <c r="M4835" t="s">
        <v>6</v>
      </c>
      <c r="N4835" t="b">
        <v>0</v>
      </c>
      <c r="O4835">
        <v>0</v>
      </c>
      <c r="P4835">
        <v>1</v>
      </c>
      <c r="Q4835">
        <v>0</v>
      </c>
      <c r="R4835">
        <v>0</v>
      </c>
    </row>
    <row r="4836" spans="1:18" x14ac:dyDescent="0.25">
      <c r="A4836" t="s">
        <v>590</v>
      </c>
      <c r="B4836" t="s">
        <v>6</v>
      </c>
      <c r="C4836">
        <v>4</v>
      </c>
      <c r="D4836">
        <v>3</v>
      </c>
      <c r="E4836">
        <v>1</v>
      </c>
      <c r="F4836" s="15">
        <v>46195</v>
      </c>
      <c r="G4836" t="s">
        <v>595</v>
      </c>
      <c r="H4836">
        <v>4</v>
      </c>
      <c r="I4836">
        <v>2026</v>
      </c>
      <c r="J4836">
        <v>6</v>
      </c>
      <c r="K4836" t="s">
        <v>87</v>
      </c>
      <c r="L4836" t="s">
        <v>15</v>
      </c>
      <c r="M4836" t="s">
        <v>6</v>
      </c>
      <c r="N4836" t="b">
        <v>0</v>
      </c>
      <c r="O4836">
        <v>0</v>
      </c>
      <c r="P4836">
        <v>1</v>
      </c>
      <c r="Q4836">
        <v>0</v>
      </c>
      <c r="R4836">
        <v>0</v>
      </c>
    </row>
    <row r="4837" spans="1:18" x14ac:dyDescent="0.25">
      <c r="A4837" t="s">
        <v>590</v>
      </c>
      <c r="B4837" t="s">
        <v>6</v>
      </c>
      <c r="C4837">
        <v>4</v>
      </c>
      <c r="D4837">
        <v>3</v>
      </c>
      <c r="E4837">
        <v>1</v>
      </c>
      <c r="F4837" s="15">
        <v>46195</v>
      </c>
      <c r="G4837" t="s">
        <v>595</v>
      </c>
      <c r="H4837">
        <v>4</v>
      </c>
      <c r="I4837">
        <v>2026</v>
      </c>
      <c r="J4837">
        <v>6</v>
      </c>
      <c r="K4837" t="s">
        <v>87</v>
      </c>
      <c r="L4837" t="s">
        <v>567</v>
      </c>
      <c r="M4837" t="s">
        <v>8</v>
      </c>
      <c r="N4837" t="b">
        <v>0</v>
      </c>
      <c r="O4837">
        <v>0</v>
      </c>
      <c r="P4837">
        <v>1</v>
      </c>
      <c r="Q4837">
        <v>0</v>
      </c>
      <c r="R4837">
        <v>1</v>
      </c>
    </row>
    <row r="4838" spans="1:18" x14ac:dyDescent="0.25">
      <c r="A4838" t="s">
        <v>540</v>
      </c>
      <c r="B4838" t="s">
        <v>63</v>
      </c>
      <c r="C4838">
        <v>1</v>
      </c>
      <c r="D4838">
        <v>4</v>
      </c>
      <c r="E4838">
        <v>1</v>
      </c>
      <c r="F4838" s="15">
        <v>46195</v>
      </c>
      <c r="G4838" t="s">
        <v>596</v>
      </c>
      <c r="H4838">
        <v>4</v>
      </c>
      <c r="I4838">
        <v>2026</v>
      </c>
      <c r="J4838">
        <v>6</v>
      </c>
      <c r="K4838" t="s">
        <v>87</v>
      </c>
      <c r="L4838" t="s">
        <v>326</v>
      </c>
      <c r="M4838" t="s">
        <v>63</v>
      </c>
      <c r="N4838" t="b">
        <v>0</v>
      </c>
      <c r="O4838">
        <v>0</v>
      </c>
      <c r="P4838">
        <v>0</v>
      </c>
      <c r="Q4838">
        <v>1</v>
      </c>
      <c r="R4838">
        <v>0</v>
      </c>
    </row>
    <row r="4839" spans="1:18" x14ac:dyDescent="0.25">
      <c r="A4839" t="s">
        <v>540</v>
      </c>
      <c r="B4839" t="s">
        <v>63</v>
      </c>
      <c r="C4839">
        <v>1</v>
      </c>
      <c r="D4839">
        <v>4</v>
      </c>
      <c r="E4839">
        <v>1</v>
      </c>
      <c r="F4839" s="15">
        <v>46195</v>
      </c>
      <c r="G4839" t="s">
        <v>596</v>
      </c>
      <c r="H4839">
        <v>4</v>
      </c>
      <c r="I4839">
        <v>2026</v>
      </c>
      <c r="J4839">
        <v>6</v>
      </c>
      <c r="K4839" t="s">
        <v>87</v>
      </c>
      <c r="L4839" t="s">
        <v>591</v>
      </c>
      <c r="M4839" t="s">
        <v>63</v>
      </c>
      <c r="N4839" t="b">
        <v>0</v>
      </c>
      <c r="O4839">
        <v>0</v>
      </c>
      <c r="P4839">
        <v>0</v>
      </c>
      <c r="Q4839">
        <v>1</v>
      </c>
      <c r="R4839">
        <v>0</v>
      </c>
    </row>
    <row r="4840" spans="1:18" x14ac:dyDescent="0.25">
      <c r="A4840" t="s">
        <v>540</v>
      </c>
      <c r="B4840" t="s">
        <v>63</v>
      </c>
      <c r="C4840">
        <v>1</v>
      </c>
      <c r="D4840">
        <v>4</v>
      </c>
      <c r="E4840">
        <v>1</v>
      </c>
      <c r="F4840" s="15">
        <v>46195</v>
      </c>
      <c r="G4840" t="s">
        <v>596</v>
      </c>
      <c r="H4840">
        <v>4</v>
      </c>
      <c r="I4840">
        <v>2026</v>
      </c>
      <c r="J4840">
        <v>6</v>
      </c>
      <c r="K4840" t="s">
        <v>87</v>
      </c>
      <c r="L4840" t="s">
        <v>363</v>
      </c>
      <c r="M4840" t="s">
        <v>63</v>
      </c>
      <c r="N4840" t="b">
        <v>0</v>
      </c>
      <c r="O4840">
        <v>0</v>
      </c>
      <c r="P4840">
        <v>0</v>
      </c>
      <c r="Q4840">
        <v>1</v>
      </c>
      <c r="R4840">
        <v>0</v>
      </c>
    </row>
    <row r="4841" spans="1:18" x14ac:dyDescent="0.25">
      <c r="A4841" t="s">
        <v>326</v>
      </c>
      <c r="B4841" t="s">
        <v>63</v>
      </c>
      <c r="C4841">
        <v>2</v>
      </c>
      <c r="D4841">
        <v>4</v>
      </c>
      <c r="E4841">
        <v>1</v>
      </c>
      <c r="F4841" s="15">
        <v>46195</v>
      </c>
      <c r="G4841" t="s">
        <v>596</v>
      </c>
      <c r="H4841">
        <v>4</v>
      </c>
      <c r="I4841">
        <v>2026</v>
      </c>
      <c r="J4841">
        <v>6</v>
      </c>
      <c r="K4841" t="s">
        <v>87</v>
      </c>
      <c r="L4841" t="s">
        <v>540</v>
      </c>
      <c r="M4841" t="s">
        <v>63</v>
      </c>
      <c r="N4841" t="b">
        <v>0</v>
      </c>
      <c r="O4841">
        <v>0</v>
      </c>
      <c r="P4841">
        <v>0</v>
      </c>
      <c r="Q4841">
        <v>1</v>
      </c>
      <c r="R4841">
        <v>0</v>
      </c>
    </row>
    <row r="4842" spans="1:18" x14ac:dyDescent="0.25">
      <c r="A4842" t="s">
        <v>326</v>
      </c>
      <c r="B4842" t="s">
        <v>63</v>
      </c>
      <c r="C4842">
        <v>2</v>
      </c>
      <c r="D4842">
        <v>4</v>
      </c>
      <c r="E4842">
        <v>1</v>
      </c>
      <c r="F4842" s="15">
        <v>46195</v>
      </c>
      <c r="G4842" t="s">
        <v>596</v>
      </c>
      <c r="H4842">
        <v>4</v>
      </c>
      <c r="I4842">
        <v>2026</v>
      </c>
      <c r="J4842">
        <v>6</v>
      </c>
      <c r="K4842" t="s">
        <v>87</v>
      </c>
      <c r="L4842" t="s">
        <v>591</v>
      </c>
      <c r="M4842" t="s">
        <v>63</v>
      </c>
      <c r="N4842" t="b">
        <v>0</v>
      </c>
      <c r="O4842">
        <v>0</v>
      </c>
      <c r="P4842">
        <v>0</v>
      </c>
      <c r="Q4842">
        <v>1</v>
      </c>
      <c r="R4842">
        <v>0</v>
      </c>
    </row>
    <row r="4843" spans="1:18" x14ac:dyDescent="0.25">
      <c r="A4843" t="s">
        <v>326</v>
      </c>
      <c r="B4843" t="s">
        <v>63</v>
      </c>
      <c r="C4843">
        <v>2</v>
      </c>
      <c r="D4843">
        <v>4</v>
      </c>
      <c r="E4843">
        <v>1</v>
      </c>
      <c r="F4843" s="15">
        <v>46195</v>
      </c>
      <c r="G4843" t="s">
        <v>596</v>
      </c>
      <c r="H4843">
        <v>4</v>
      </c>
      <c r="I4843">
        <v>2026</v>
      </c>
      <c r="J4843">
        <v>6</v>
      </c>
      <c r="K4843" t="s">
        <v>87</v>
      </c>
      <c r="L4843" t="s">
        <v>363</v>
      </c>
      <c r="M4843" t="s">
        <v>63</v>
      </c>
      <c r="N4843" t="b">
        <v>0</v>
      </c>
      <c r="O4843">
        <v>0</v>
      </c>
      <c r="P4843">
        <v>0</v>
      </c>
      <c r="Q4843">
        <v>1</v>
      </c>
      <c r="R4843">
        <v>0</v>
      </c>
    </row>
    <row r="4844" spans="1:18" x14ac:dyDescent="0.25">
      <c r="A4844" t="s">
        <v>591</v>
      </c>
      <c r="B4844" t="s">
        <v>63</v>
      </c>
      <c r="C4844">
        <v>3</v>
      </c>
      <c r="D4844">
        <v>4</v>
      </c>
      <c r="E4844">
        <v>1</v>
      </c>
      <c r="F4844" s="15">
        <v>46195</v>
      </c>
      <c r="G4844" t="s">
        <v>596</v>
      </c>
      <c r="H4844">
        <v>4</v>
      </c>
      <c r="I4844">
        <v>2026</v>
      </c>
      <c r="J4844">
        <v>6</v>
      </c>
      <c r="K4844" t="s">
        <v>87</v>
      </c>
      <c r="L4844" t="s">
        <v>540</v>
      </c>
      <c r="M4844" t="s">
        <v>63</v>
      </c>
      <c r="N4844" t="b">
        <v>0</v>
      </c>
      <c r="O4844">
        <v>0</v>
      </c>
      <c r="P4844">
        <v>0</v>
      </c>
      <c r="Q4844">
        <v>1</v>
      </c>
      <c r="R4844">
        <v>0</v>
      </c>
    </row>
    <row r="4845" spans="1:18" x14ac:dyDescent="0.25">
      <c r="A4845" t="s">
        <v>591</v>
      </c>
      <c r="B4845" t="s">
        <v>63</v>
      </c>
      <c r="C4845">
        <v>3</v>
      </c>
      <c r="D4845">
        <v>4</v>
      </c>
      <c r="E4845">
        <v>1</v>
      </c>
      <c r="F4845" s="15">
        <v>46195</v>
      </c>
      <c r="G4845" t="s">
        <v>596</v>
      </c>
      <c r="H4845">
        <v>4</v>
      </c>
      <c r="I4845">
        <v>2026</v>
      </c>
      <c r="J4845">
        <v>6</v>
      </c>
      <c r="K4845" t="s">
        <v>87</v>
      </c>
      <c r="L4845" t="s">
        <v>326</v>
      </c>
      <c r="M4845" t="s">
        <v>63</v>
      </c>
      <c r="N4845" t="b">
        <v>0</v>
      </c>
      <c r="O4845">
        <v>0</v>
      </c>
      <c r="P4845">
        <v>0</v>
      </c>
      <c r="Q4845">
        <v>1</v>
      </c>
      <c r="R4845">
        <v>0</v>
      </c>
    </row>
    <row r="4846" spans="1:18" x14ac:dyDescent="0.25">
      <c r="A4846" t="s">
        <v>591</v>
      </c>
      <c r="B4846" t="s">
        <v>63</v>
      </c>
      <c r="C4846">
        <v>3</v>
      </c>
      <c r="D4846">
        <v>4</v>
      </c>
      <c r="E4846">
        <v>1</v>
      </c>
      <c r="F4846" s="15">
        <v>46195</v>
      </c>
      <c r="G4846" t="s">
        <v>596</v>
      </c>
      <c r="H4846">
        <v>4</v>
      </c>
      <c r="I4846">
        <v>2026</v>
      </c>
      <c r="J4846">
        <v>6</v>
      </c>
      <c r="K4846" t="s">
        <v>87</v>
      </c>
      <c r="L4846" t="s">
        <v>363</v>
      </c>
      <c r="M4846" t="s">
        <v>63</v>
      </c>
      <c r="N4846" t="b">
        <v>0</v>
      </c>
      <c r="O4846">
        <v>0</v>
      </c>
      <c r="P4846">
        <v>0</v>
      </c>
      <c r="Q4846">
        <v>1</v>
      </c>
      <c r="R4846">
        <v>0</v>
      </c>
    </row>
    <row r="4847" spans="1:18" x14ac:dyDescent="0.25">
      <c r="A4847" t="s">
        <v>363</v>
      </c>
      <c r="B4847" t="s">
        <v>63</v>
      </c>
      <c r="C4847">
        <v>4</v>
      </c>
      <c r="D4847">
        <v>4</v>
      </c>
      <c r="E4847">
        <v>1</v>
      </c>
      <c r="F4847" s="15">
        <v>46195</v>
      </c>
      <c r="G4847" t="s">
        <v>596</v>
      </c>
      <c r="H4847">
        <v>4</v>
      </c>
      <c r="I4847">
        <v>2026</v>
      </c>
      <c r="J4847">
        <v>6</v>
      </c>
      <c r="K4847" t="s">
        <v>87</v>
      </c>
      <c r="L4847" t="s">
        <v>540</v>
      </c>
      <c r="M4847" t="s">
        <v>63</v>
      </c>
      <c r="N4847" t="b">
        <v>0</v>
      </c>
      <c r="O4847">
        <v>0</v>
      </c>
      <c r="P4847">
        <v>0</v>
      </c>
      <c r="Q4847">
        <v>1</v>
      </c>
      <c r="R4847">
        <v>0</v>
      </c>
    </row>
    <row r="4848" spans="1:18" x14ac:dyDescent="0.25">
      <c r="A4848" t="s">
        <v>363</v>
      </c>
      <c r="B4848" t="s">
        <v>63</v>
      </c>
      <c r="C4848">
        <v>4</v>
      </c>
      <c r="D4848">
        <v>4</v>
      </c>
      <c r="E4848">
        <v>1</v>
      </c>
      <c r="F4848" s="15">
        <v>46195</v>
      </c>
      <c r="G4848" t="s">
        <v>596</v>
      </c>
      <c r="H4848">
        <v>4</v>
      </c>
      <c r="I4848">
        <v>2026</v>
      </c>
      <c r="J4848">
        <v>6</v>
      </c>
      <c r="K4848" t="s">
        <v>87</v>
      </c>
      <c r="L4848" t="s">
        <v>326</v>
      </c>
      <c r="M4848" t="s">
        <v>63</v>
      </c>
      <c r="N4848" t="b">
        <v>0</v>
      </c>
      <c r="O4848">
        <v>0</v>
      </c>
      <c r="P4848">
        <v>0</v>
      </c>
      <c r="Q4848">
        <v>1</v>
      </c>
      <c r="R4848">
        <v>0</v>
      </c>
    </row>
    <row r="4849" spans="1:18" x14ac:dyDescent="0.25">
      <c r="A4849" t="s">
        <v>363</v>
      </c>
      <c r="B4849" t="s">
        <v>63</v>
      </c>
      <c r="C4849">
        <v>4</v>
      </c>
      <c r="D4849">
        <v>4</v>
      </c>
      <c r="E4849">
        <v>1</v>
      </c>
      <c r="F4849" s="15">
        <v>46195</v>
      </c>
      <c r="G4849" t="s">
        <v>596</v>
      </c>
      <c r="H4849">
        <v>4</v>
      </c>
      <c r="I4849">
        <v>2026</v>
      </c>
      <c r="J4849">
        <v>6</v>
      </c>
      <c r="K4849" t="s">
        <v>87</v>
      </c>
      <c r="L4849" t="s">
        <v>591</v>
      </c>
      <c r="M4849" t="s">
        <v>63</v>
      </c>
      <c r="N4849" t="b">
        <v>0</v>
      </c>
      <c r="O4849">
        <v>0</v>
      </c>
      <c r="P4849">
        <v>0</v>
      </c>
      <c r="Q4849">
        <v>1</v>
      </c>
      <c r="R4849">
        <v>0</v>
      </c>
    </row>
    <row r="4850" spans="1:18" x14ac:dyDescent="0.25">
      <c r="A4850" t="s">
        <v>17</v>
      </c>
      <c r="B4850" t="s">
        <v>63</v>
      </c>
      <c r="C4850">
        <v>1</v>
      </c>
      <c r="D4850">
        <v>5</v>
      </c>
      <c r="E4850">
        <v>1</v>
      </c>
      <c r="F4850" s="15">
        <v>46195</v>
      </c>
      <c r="G4850" t="s">
        <v>597</v>
      </c>
      <c r="H4850">
        <v>4</v>
      </c>
      <c r="I4850">
        <v>2026</v>
      </c>
      <c r="J4850">
        <v>6</v>
      </c>
      <c r="K4850" t="s">
        <v>87</v>
      </c>
      <c r="L4850" t="s">
        <v>41</v>
      </c>
      <c r="M4850" t="s">
        <v>63</v>
      </c>
      <c r="N4850" t="b">
        <v>0</v>
      </c>
      <c r="O4850">
        <v>0</v>
      </c>
      <c r="P4850">
        <v>0</v>
      </c>
      <c r="Q4850">
        <v>1</v>
      </c>
      <c r="R4850">
        <v>0</v>
      </c>
    </row>
    <row r="4851" spans="1:18" x14ac:dyDescent="0.25">
      <c r="A4851" t="s">
        <v>17</v>
      </c>
      <c r="B4851" t="s">
        <v>63</v>
      </c>
      <c r="C4851">
        <v>1</v>
      </c>
      <c r="D4851">
        <v>5</v>
      </c>
      <c r="E4851">
        <v>1</v>
      </c>
      <c r="F4851" s="15">
        <v>46195</v>
      </c>
      <c r="G4851" t="s">
        <v>597</v>
      </c>
      <c r="H4851">
        <v>4</v>
      </c>
      <c r="I4851">
        <v>2026</v>
      </c>
      <c r="J4851">
        <v>6</v>
      </c>
      <c r="K4851" t="s">
        <v>87</v>
      </c>
      <c r="L4851" t="s">
        <v>592</v>
      </c>
      <c r="M4851" t="s">
        <v>63</v>
      </c>
      <c r="N4851" t="b">
        <v>0</v>
      </c>
      <c r="O4851">
        <v>0</v>
      </c>
      <c r="P4851">
        <v>0</v>
      </c>
      <c r="Q4851">
        <v>1</v>
      </c>
      <c r="R4851">
        <v>0</v>
      </c>
    </row>
    <row r="4852" spans="1:18" x14ac:dyDescent="0.25">
      <c r="A4852" t="s">
        <v>17</v>
      </c>
      <c r="B4852" t="s">
        <v>63</v>
      </c>
      <c r="C4852">
        <v>1</v>
      </c>
      <c r="D4852">
        <v>5</v>
      </c>
      <c r="E4852">
        <v>1</v>
      </c>
      <c r="F4852" s="15">
        <v>46195</v>
      </c>
      <c r="G4852" t="s">
        <v>597</v>
      </c>
      <c r="H4852">
        <v>4</v>
      </c>
      <c r="I4852">
        <v>2026</v>
      </c>
      <c r="J4852">
        <v>6</v>
      </c>
      <c r="K4852" t="s">
        <v>87</v>
      </c>
      <c r="L4852" t="s">
        <v>433</v>
      </c>
      <c r="M4852" t="s">
        <v>63</v>
      </c>
      <c r="N4852" t="b">
        <v>0</v>
      </c>
      <c r="O4852">
        <v>0</v>
      </c>
      <c r="P4852">
        <v>0</v>
      </c>
      <c r="Q4852">
        <v>1</v>
      </c>
      <c r="R4852">
        <v>0</v>
      </c>
    </row>
    <row r="4853" spans="1:18" x14ac:dyDescent="0.25">
      <c r="A4853" t="s">
        <v>41</v>
      </c>
      <c r="B4853" t="s">
        <v>63</v>
      </c>
      <c r="C4853">
        <v>2</v>
      </c>
      <c r="D4853">
        <v>5</v>
      </c>
      <c r="E4853">
        <v>1</v>
      </c>
      <c r="F4853" s="15">
        <v>46195</v>
      </c>
      <c r="G4853" t="s">
        <v>597</v>
      </c>
      <c r="H4853">
        <v>4</v>
      </c>
      <c r="I4853">
        <v>2026</v>
      </c>
      <c r="J4853">
        <v>6</v>
      </c>
      <c r="K4853" t="s">
        <v>87</v>
      </c>
      <c r="L4853" t="s">
        <v>17</v>
      </c>
      <c r="M4853" t="s">
        <v>63</v>
      </c>
      <c r="N4853" t="b">
        <v>0</v>
      </c>
      <c r="O4853">
        <v>0</v>
      </c>
      <c r="P4853">
        <v>0</v>
      </c>
      <c r="Q4853">
        <v>1</v>
      </c>
      <c r="R4853">
        <v>0</v>
      </c>
    </row>
    <row r="4854" spans="1:18" x14ac:dyDescent="0.25">
      <c r="A4854" t="s">
        <v>41</v>
      </c>
      <c r="B4854" t="s">
        <v>63</v>
      </c>
      <c r="C4854">
        <v>2</v>
      </c>
      <c r="D4854">
        <v>5</v>
      </c>
      <c r="E4854">
        <v>1</v>
      </c>
      <c r="F4854" s="15">
        <v>46195</v>
      </c>
      <c r="G4854" t="s">
        <v>597</v>
      </c>
      <c r="H4854">
        <v>4</v>
      </c>
      <c r="I4854">
        <v>2026</v>
      </c>
      <c r="J4854">
        <v>6</v>
      </c>
      <c r="K4854" t="s">
        <v>87</v>
      </c>
      <c r="L4854" t="s">
        <v>592</v>
      </c>
      <c r="M4854" t="s">
        <v>63</v>
      </c>
      <c r="N4854" t="b">
        <v>0</v>
      </c>
      <c r="O4854">
        <v>0</v>
      </c>
      <c r="P4854">
        <v>0</v>
      </c>
      <c r="Q4854">
        <v>1</v>
      </c>
      <c r="R4854">
        <v>0</v>
      </c>
    </row>
    <row r="4855" spans="1:18" x14ac:dyDescent="0.25">
      <c r="A4855" t="s">
        <v>41</v>
      </c>
      <c r="B4855" t="s">
        <v>63</v>
      </c>
      <c r="C4855">
        <v>2</v>
      </c>
      <c r="D4855">
        <v>5</v>
      </c>
      <c r="E4855">
        <v>1</v>
      </c>
      <c r="F4855" s="15">
        <v>46195</v>
      </c>
      <c r="G4855" t="s">
        <v>597</v>
      </c>
      <c r="H4855">
        <v>4</v>
      </c>
      <c r="I4855">
        <v>2026</v>
      </c>
      <c r="J4855">
        <v>6</v>
      </c>
      <c r="K4855" t="s">
        <v>87</v>
      </c>
      <c r="L4855" t="s">
        <v>433</v>
      </c>
      <c r="M4855" t="s">
        <v>63</v>
      </c>
      <c r="N4855" t="b">
        <v>0</v>
      </c>
      <c r="O4855">
        <v>0</v>
      </c>
      <c r="P4855">
        <v>0</v>
      </c>
      <c r="Q4855">
        <v>1</v>
      </c>
      <c r="R4855">
        <v>0</v>
      </c>
    </row>
    <row r="4856" spans="1:18" x14ac:dyDescent="0.25">
      <c r="A4856" t="s">
        <v>592</v>
      </c>
      <c r="B4856" t="s">
        <v>63</v>
      </c>
      <c r="C4856">
        <v>3</v>
      </c>
      <c r="D4856">
        <v>5</v>
      </c>
      <c r="E4856">
        <v>1</v>
      </c>
      <c r="F4856" s="15">
        <v>46195</v>
      </c>
      <c r="G4856" t="s">
        <v>597</v>
      </c>
      <c r="H4856">
        <v>4</v>
      </c>
      <c r="I4856">
        <v>2026</v>
      </c>
      <c r="J4856">
        <v>6</v>
      </c>
      <c r="K4856" t="s">
        <v>87</v>
      </c>
      <c r="L4856" t="s">
        <v>17</v>
      </c>
      <c r="M4856" t="s">
        <v>63</v>
      </c>
      <c r="N4856" t="b">
        <v>0</v>
      </c>
      <c r="O4856">
        <v>0</v>
      </c>
      <c r="P4856">
        <v>0</v>
      </c>
      <c r="Q4856">
        <v>1</v>
      </c>
      <c r="R4856">
        <v>0</v>
      </c>
    </row>
    <row r="4857" spans="1:18" x14ac:dyDescent="0.25">
      <c r="A4857" t="s">
        <v>592</v>
      </c>
      <c r="B4857" t="s">
        <v>63</v>
      </c>
      <c r="C4857">
        <v>3</v>
      </c>
      <c r="D4857">
        <v>5</v>
      </c>
      <c r="E4857">
        <v>1</v>
      </c>
      <c r="F4857" s="15">
        <v>46195</v>
      </c>
      <c r="G4857" t="s">
        <v>597</v>
      </c>
      <c r="H4857">
        <v>4</v>
      </c>
      <c r="I4857">
        <v>2026</v>
      </c>
      <c r="J4857">
        <v>6</v>
      </c>
      <c r="K4857" t="s">
        <v>87</v>
      </c>
      <c r="L4857" t="s">
        <v>41</v>
      </c>
      <c r="M4857" t="s">
        <v>63</v>
      </c>
      <c r="N4857" t="b">
        <v>0</v>
      </c>
      <c r="O4857">
        <v>0</v>
      </c>
      <c r="P4857">
        <v>0</v>
      </c>
      <c r="Q4857">
        <v>1</v>
      </c>
      <c r="R4857">
        <v>0</v>
      </c>
    </row>
    <row r="4858" spans="1:18" x14ac:dyDescent="0.25">
      <c r="A4858" t="s">
        <v>592</v>
      </c>
      <c r="B4858" t="s">
        <v>63</v>
      </c>
      <c r="C4858">
        <v>3</v>
      </c>
      <c r="D4858">
        <v>5</v>
      </c>
      <c r="E4858">
        <v>1</v>
      </c>
      <c r="F4858" s="15">
        <v>46195</v>
      </c>
      <c r="G4858" t="s">
        <v>597</v>
      </c>
      <c r="H4858">
        <v>4</v>
      </c>
      <c r="I4858">
        <v>2026</v>
      </c>
      <c r="J4858">
        <v>6</v>
      </c>
      <c r="K4858" t="s">
        <v>87</v>
      </c>
      <c r="L4858" t="s">
        <v>433</v>
      </c>
      <c r="M4858" t="s">
        <v>63</v>
      </c>
      <c r="N4858" t="b">
        <v>0</v>
      </c>
      <c r="O4858">
        <v>0</v>
      </c>
      <c r="P4858">
        <v>0</v>
      </c>
      <c r="Q4858">
        <v>1</v>
      </c>
      <c r="R4858">
        <v>0</v>
      </c>
    </row>
    <row r="4859" spans="1:18" x14ac:dyDescent="0.25">
      <c r="A4859" t="s">
        <v>433</v>
      </c>
      <c r="B4859" t="s">
        <v>63</v>
      </c>
      <c r="C4859">
        <v>4</v>
      </c>
      <c r="D4859">
        <v>5</v>
      </c>
      <c r="E4859">
        <v>1</v>
      </c>
      <c r="F4859" s="15">
        <v>46195</v>
      </c>
      <c r="G4859" t="s">
        <v>597</v>
      </c>
      <c r="H4859">
        <v>4</v>
      </c>
      <c r="I4859">
        <v>2026</v>
      </c>
      <c r="J4859">
        <v>6</v>
      </c>
      <c r="K4859" t="s">
        <v>87</v>
      </c>
      <c r="L4859" t="s">
        <v>17</v>
      </c>
      <c r="M4859" t="s">
        <v>63</v>
      </c>
      <c r="N4859" t="b">
        <v>0</v>
      </c>
      <c r="O4859">
        <v>0</v>
      </c>
      <c r="P4859">
        <v>0</v>
      </c>
      <c r="Q4859">
        <v>1</v>
      </c>
      <c r="R4859">
        <v>0</v>
      </c>
    </row>
    <row r="4860" spans="1:18" x14ac:dyDescent="0.25">
      <c r="A4860" t="s">
        <v>433</v>
      </c>
      <c r="B4860" t="s">
        <v>63</v>
      </c>
      <c r="C4860">
        <v>4</v>
      </c>
      <c r="D4860">
        <v>5</v>
      </c>
      <c r="E4860">
        <v>1</v>
      </c>
      <c r="F4860" s="15">
        <v>46195</v>
      </c>
      <c r="G4860" t="s">
        <v>597</v>
      </c>
      <c r="H4860">
        <v>4</v>
      </c>
      <c r="I4860">
        <v>2026</v>
      </c>
      <c r="J4860">
        <v>6</v>
      </c>
      <c r="K4860" t="s">
        <v>87</v>
      </c>
      <c r="L4860" t="s">
        <v>41</v>
      </c>
      <c r="M4860" t="s">
        <v>63</v>
      </c>
      <c r="N4860" t="b">
        <v>0</v>
      </c>
      <c r="O4860">
        <v>0</v>
      </c>
      <c r="P4860">
        <v>0</v>
      </c>
      <c r="Q4860">
        <v>1</v>
      </c>
      <c r="R4860">
        <v>0</v>
      </c>
    </row>
    <row r="4861" spans="1:18" x14ac:dyDescent="0.25">
      <c r="A4861" t="s">
        <v>433</v>
      </c>
      <c r="B4861" t="s">
        <v>63</v>
      </c>
      <c r="C4861">
        <v>4</v>
      </c>
      <c r="D4861">
        <v>5</v>
      </c>
      <c r="E4861">
        <v>1</v>
      </c>
      <c r="F4861" s="15">
        <v>46195</v>
      </c>
      <c r="G4861" t="s">
        <v>597</v>
      </c>
      <c r="H4861">
        <v>4</v>
      </c>
      <c r="I4861">
        <v>2026</v>
      </c>
      <c r="J4861">
        <v>6</v>
      </c>
      <c r="K4861" t="s">
        <v>87</v>
      </c>
      <c r="L4861" t="s">
        <v>592</v>
      </c>
      <c r="M4861" t="s">
        <v>63</v>
      </c>
      <c r="N4861" t="b">
        <v>0</v>
      </c>
      <c r="O4861">
        <v>0</v>
      </c>
      <c r="P4861">
        <v>0</v>
      </c>
      <c r="Q4861">
        <v>1</v>
      </c>
      <c r="R4861">
        <v>0</v>
      </c>
    </row>
    <row r="4862" spans="1:18" x14ac:dyDescent="0.25">
      <c r="A4862" t="s">
        <v>19</v>
      </c>
      <c r="B4862" t="s">
        <v>8</v>
      </c>
      <c r="C4862">
        <v>1</v>
      </c>
      <c r="D4862">
        <v>6</v>
      </c>
      <c r="E4862">
        <v>1</v>
      </c>
      <c r="F4862" s="15">
        <v>46195</v>
      </c>
      <c r="G4862" t="s">
        <v>598</v>
      </c>
      <c r="H4862">
        <v>3</v>
      </c>
      <c r="I4862">
        <v>2026</v>
      </c>
      <c r="J4862">
        <v>6</v>
      </c>
      <c r="K4862" t="s">
        <v>87</v>
      </c>
      <c r="L4862" t="s">
        <v>519</v>
      </c>
      <c r="M4862" t="s">
        <v>6</v>
      </c>
      <c r="N4862" t="b">
        <v>0</v>
      </c>
      <c r="O4862">
        <v>1</v>
      </c>
      <c r="P4862">
        <v>0</v>
      </c>
      <c r="Q4862">
        <v>0</v>
      </c>
      <c r="R4862">
        <v>0</v>
      </c>
    </row>
    <row r="4863" spans="1:18" x14ac:dyDescent="0.25">
      <c r="A4863" t="s">
        <v>19</v>
      </c>
      <c r="B4863" t="s">
        <v>8</v>
      </c>
      <c r="C4863">
        <v>1</v>
      </c>
      <c r="D4863">
        <v>6</v>
      </c>
      <c r="E4863">
        <v>1</v>
      </c>
      <c r="F4863" s="15">
        <v>46195</v>
      </c>
      <c r="G4863" t="s">
        <v>598</v>
      </c>
      <c r="H4863">
        <v>3</v>
      </c>
      <c r="I4863">
        <v>2026</v>
      </c>
      <c r="J4863">
        <v>6</v>
      </c>
      <c r="K4863" t="s">
        <v>87</v>
      </c>
      <c r="L4863" t="s">
        <v>20</v>
      </c>
      <c r="M4863" t="s">
        <v>6</v>
      </c>
      <c r="N4863" t="b">
        <v>0</v>
      </c>
      <c r="O4863">
        <v>1</v>
      </c>
      <c r="P4863">
        <v>0</v>
      </c>
      <c r="Q4863">
        <v>0</v>
      </c>
      <c r="R4863">
        <v>0</v>
      </c>
    </row>
    <row r="4864" spans="1:18" x14ac:dyDescent="0.25">
      <c r="A4864" t="s">
        <v>519</v>
      </c>
      <c r="B4864" t="s">
        <v>6</v>
      </c>
      <c r="C4864">
        <v>2</v>
      </c>
      <c r="D4864">
        <v>6</v>
      </c>
      <c r="E4864">
        <v>1</v>
      </c>
      <c r="F4864" s="15">
        <v>46195</v>
      </c>
      <c r="G4864" t="s">
        <v>598</v>
      </c>
      <c r="H4864">
        <v>3</v>
      </c>
      <c r="I4864">
        <v>2026</v>
      </c>
      <c r="J4864">
        <v>6</v>
      </c>
      <c r="K4864" t="s">
        <v>87</v>
      </c>
      <c r="L4864" t="s">
        <v>19</v>
      </c>
      <c r="M4864" t="s">
        <v>8</v>
      </c>
      <c r="N4864" t="b">
        <v>0</v>
      </c>
      <c r="O4864">
        <v>0</v>
      </c>
      <c r="P4864">
        <v>1</v>
      </c>
      <c r="Q4864">
        <v>0</v>
      </c>
      <c r="R4864">
        <v>1</v>
      </c>
    </row>
    <row r="4865" spans="1:18" x14ac:dyDescent="0.25">
      <c r="A4865" t="s">
        <v>519</v>
      </c>
      <c r="B4865" t="s">
        <v>6</v>
      </c>
      <c r="C4865">
        <v>2</v>
      </c>
      <c r="D4865">
        <v>6</v>
      </c>
      <c r="E4865">
        <v>1</v>
      </c>
      <c r="F4865" s="15">
        <v>46195</v>
      </c>
      <c r="G4865" t="s">
        <v>598</v>
      </c>
      <c r="H4865">
        <v>3</v>
      </c>
      <c r="I4865">
        <v>2026</v>
      </c>
      <c r="J4865">
        <v>6</v>
      </c>
      <c r="K4865" t="s">
        <v>87</v>
      </c>
      <c r="L4865" t="s">
        <v>20</v>
      </c>
      <c r="M4865" t="s">
        <v>6</v>
      </c>
      <c r="N4865" t="b">
        <v>0</v>
      </c>
      <c r="O4865">
        <v>0</v>
      </c>
      <c r="P4865">
        <v>1</v>
      </c>
      <c r="Q4865">
        <v>0</v>
      </c>
      <c r="R4865">
        <v>0</v>
      </c>
    </row>
    <row r="4866" spans="1:18" x14ac:dyDescent="0.25">
      <c r="A4866" t="s">
        <v>20</v>
      </c>
      <c r="B4866" t="s">
        <v>6</v>
      </c>
      <c r="C4866">
        <v>3</v>
      </c>
      <c r="D4866">
        <v>6</v>
      </c>
      <c r="E4866">
        <v>1</v>
      </c>
      <c r="F4866" s="15">
        <v>46195</v>
      </c>
      <c r="G4866" t="s">
        <v>598</v>
      </c>
      <c r="H4866">
        <v>3</v>
      </c>
      <c r="I4866">
        <v>2026</v>
      </c>
      <c r="J4866">
        <v>6</v>
      </c>
      <c r="K4866" t="s">
        <v>87</v>
      </c>
      <c r="L4866" t="s">
        <v>19</v>
      </c>
      <c r="M4866" t="s">
        <v>8</v>
      </c>
      <c r="N4866" t="b">
        <v>0</v>
      </c>
      <c r="O4866">
        <v>0</v>
      </c>
      <c r="P4866">
        <v>1</v>
      </c>
      <c r="Q4866">
        <v>0</v>
      </c>
      <c r="R4866">
        <v>1</v>
      </c>
    </row>
    <row r="4867" spans="1:18" x14ac:dyDescent="0.25">
      <c r="A4867" t="s">
        <v>20</v>
      </c>
      <c r="B4867" t="s">
        <v>6</v>
      </c>
      <c r="C4867">
        <v>3</v>
      </c>
      <c r="D4867">
        <v>6</v>
      </c>
      <c r="E4867">
        <v>1</v>
      </c>
      <c r="F4867" s="15">
        <v>46195</v>
      </c>
      <c r="G4867" t="s">
        <v>598</v>
      </c>
      <c r="H4867">
        <v>3</v>
      </c>
      <c r="I4867">
        <v>2026</v>
      </c>
      <c r="J4867">
        <v>6</v>
      </c>
      <c r="K4867" t="s">
        <v>87</v>
      </c>
      <c r="L4867" t="s">
        <v>519</v>
      </c>
      <c r="M4867" t="s">
        <v>6</v>
      </c>
      <c r="N4867" t="b">
        <v>0</v>
      </c>
      <c r="O4867">
        <v>0</v>
      </c>
      <c r="P4867">
        <v>1</v>
      </c>
      <c r="Q4867">
        <v>0</v>
      </c>
      <c r="R4867">
        <v>0</v>
      </c>
    </row>
    <row r="4868" spans="1:18" x14ac:dyDescent="0.25">
      <c r="A4868" t="s">
        <v>433</v>
      </c>
      <c r="B4868" t="s">
        <v>6</v>
      </c>
      <c r="C4868">
        <v>1</v>
      </c>
      <c r="D4868">
        <v>1</v>
      </c>
      <c r="E4868">
        <v>2</v>
      </c>
      <c r="F4868" s="15">
        <v>46195</v>
      </c>
      <c r="G4868" t="s">
        <v>599</v>
      </c>
      <c r="H4868">
        <v>4</v>
      </c>
      <c r="I4868">
        <v>2026</v>
      </c>
      <c r="J4868">
        <v>6</v>
      </c>
      <c r="K4868" t="s">
        <v>87</v>
      </c>
      <c r="L4868" t="s">
        <v>540</v>
      </c>
      <c r="M4868" t="s">
        <v>6</v>
      </c>
      <c r="N4868" t="b">
        <v>0</v>
      </c>
      <c r="O4868">
        <v>0</v>
      </c>
      <c r="P4868">
        <v>1</v>
      </c>
      <c r="Q4868">
        <v>0</v>
      </c>
      <c r="R4868">
        <v>0</v>
      </c>
    </row>
    <row r="4869" spans="1:18" x14ac:dyDescent="0.25">
      <c r="A4869" t="s">
        <v>433</v>
      </c>
      <c r="B4869" t="s">
        <v>6</v>
      </c>
      <c r="C4869">
        <v>1</v>
      </c>
      <c r="D4869">
        <v>1</v>
      </c>
      <c r="E4869">
        <v>2</v>
      </c>
      <c r="F4869" s="15">
        <v>46195</v>
      </c>
      <c r="G4869" t="s">
        <v>599</v>
      </c>
      <c r="H4869">
        <v>4</v>
      </c>
      <c r="I4869">
        <v>2026</v>
      </c>
      <c r="J4869">
        <v>6</v>
      </c>
      <c r="K4869" t="s">
        <v>87</v>
      </c>
      <c r="L4869" t="s">
        <v>13</v>
      </c>
      <c r="M4869" t="s">
        <v>8</v>
      </c>
      <c r="N4869" t="b">
        <v>0</v>
      </c>
      <c r="O4869">
        <v>0</v>
      </c>
      <c r="P4869">
        <v>1</v>
      </c>
      <c r="Q4869">
        <v>0</v>
      </c>
      <c r="R4869">
        <v>1</v>
      </c>
    </row>
    <row r="4870" spans="1:18" x14ac:dyDescent="0.25">
      <c r="A4870" t="s">
        <v>433</v>
      </c>
      <c r="B4870" t="s">
        <v>6</v>
      </c>
      <c r="C4870">
        <v>1</v>
      </c>
      <c r="D4870">
        <v>1</v>
      </c>
      <c r="E4870">
        <v>2</v>
      </c>
      <c r="F4870" s="15">
        <v>46195</v>
      </c>
      <c r="G4870" t="s">
        <v>599</v>
      </c>
      <c r="H4870">
        <v>4</v>
      </c>
      <c r="I4870">
        <v>2026</v>
      </c>
      <c r="J4870">
        <v>6</v>
      </c>
      <c r="K4870" t="s">
        <v>87</v>
      </c>
      <c r="L4870" t="s">
        <v>405</v>
      </c>
      <c r="M4870" t="s">
        <v>6</v>
      </c>
      <c r="N4870" t="b">
        <v>0</v>
      </c>
      <c r="O4870">
        <v>0</v>
      </c>
      <c r="P4870">
        <v>1</v>
      </c>
      <c r="Q4870">
        <v>0</v>
      </c>
      <c r="R4870">
        <v>0</v>
      </c>
    </row>
    <row r="4871" spans="1:18" x14ac:dyDescent="0.25">
      <c r="A4871" t="s">
        <v>540</v>
      </c>
      <c r="B4871" t="s">
        <v>6</v>
      </c>
      <c r="C4871">
        <v>2</v>
      </c>
      <c r="D4871">
        <v>1</v>
      </c>
      <c r="E4871">
        <v>2</v>
      </c>
      <c r="F4871" s="15">
        <v>46195</v>
      </c>
      <c r="G4871" t="s">
        <v>599</v>
      </c>
      <c r="H4871">
        <v>4</v>
      </c>
      <c r="I4871">
        <v>2026</v>
      </c>
      <c r="J4871">
        <v>6</v>
      </c>
      <c r="K4871" t="s">
        <v>87</v>
      </c>
      <c r="L4871" t="s">
        <v>433</v>
      </c>
      <c r="M4871" t="s">
        <v>6</v>
      </c>
      <c r="N4871" t="b">
        <v>0</v>
      </c>
      <c r="O4871">
        <v>0</v>
      </c>
      <c r="P4871">
        <v>1</v>
      </c>
      <c r="Q4871">
        <v>0</v>
      </c>
      <c r="R4871">
        <v>0</v>
      </c>
    </row>
    <row r="4872" spans="1:18" x14ac:dyDescent="0.25">
      <c r="A4872" t="s">
        <v>540</v>
      </c>
      <c r="B4872" t="s">
        <v>6</v>
      </c>
      <c r="C4872">
        <v>2</v>
      </c>
      <c r="D4872">
        <v>1</v>
      </c>
      <c r="E4872">
        <v>2</v>
      </c>
      <c r="F4872" s="15">
        <v>46195</v>
      </c>
      <c r="G4872" t="s">
        <v>599</v>
      </c>
      <c r="H4872">
        <v>4</v>
      </c>
      <c r="I4872">
        <v>2026</v>
      </c>
      <c r="J4872">
        <v>6</v>
      </c>
      <c r="K4872" t="s">
        <v>87</v>
      </c>
      <c r="L4872" t="s">
        <v>13</v>
      </c>
      <c r="M4872" t="s">
        <v>8</v>
      </c>
      <c r="N4872" t="b">
        <v>0</v>
      </c>
      <c r="O4872">
        <v>0</v>
      </c>
      <c r="P4872">
        <v>1</v>
      </c>
      <c r="Q4872">
        <v>0</v>
      </c>
      <c r="R4872">
        <v>1</v>
      </c>
    </row>
    <row r="4873" spans="1:18" x14ac:dyDescent="0.25">
      <c r="A4873" t="s">
        <v>540</v>
      </c>
      <c r="B4873" t="s">
        <v>6</v>
      </c>
      <c r="C4873">
        <v>2</v>
      </c>
      <c r="D4873">
        <v>1</v>
      </c>
      <c r="E4873">
        <v>2</v>
      </c>
      <c r="F4873" s="15">
        <v>46195</v>
      </c>
      <c r="G4873" t="s">
        <v>599</v>
      </c>
      <c r="H4873">
        <v>4</v>
      </c>
      <c r="I4873">
        <v>2026</v>
      </c>
      <c r="J4873">
        <v>6</v>
      </c>
      <c r="K4873" t="s">
        <v>87</v>
      </c>
      <c r="L4873" t="s">
        <v>405</v>
      </c>
      <c r="M4873" t="s">
        <v>6</v>
      </c>
      <c r="N4873" t="b">
        <v>0</v>
      </c>
      <c r="O4873">
        <v>0</v>
      </c>
      <c r="P4873">
        <v>1</v>
      </c>
      <c r="Q4873">
        <v>0</v>
      </c>
      <c r="R4873">
        <v>0</v>
      </c>
    </row>
    <row r="4874" spans="1:18" x14ac:dyDescent="0.25">
      <c r="A4874" t="s">
        <v>13</v>
      </c>
      <c r="B4874" t="s">
        <v>8</v>
      </c>
      <c r="C4874">
        <v>3</v>
      </c>
      <c r="D4874">
        <v>1</v>
      </c>
      <c r="E4874">
        <v>2</v>
      </c>
      <c r="F4874" s="15">
        <v>46195</v>
      </c>
      <c r="G4874" t="s">
        <v>599</v>
      </c>
      <c r="H4874">
        <v>4</v>
      </c>
      <c r="I4874">
        <v>2026</v>
      </c>
      <c r="J4874">
        <v>6</v>
      </c>
      <c r="K4874" t="s">
        <v>87</v>
      </c>
      <c r="L4874" t="s">
        <v>433</v>
      </c>
      <c r="M4874" t="s">
        <v>6</v>
      </c>
      <c r="N4874" t="b">
        <v>0</v>
      </c>
      <c r="O4874">
        <v>1</v>
      </c>
      <c r="P4874">
        <v>0</v>
      </c>
      <c r="Q4874">
        <v>0</v>
      </c>
      <c r="R4874">
        <v>0</v>
      </c>
    </row>
    <row r="4875" spans="1:18" x14ac:dyDescent="0.25">
      <c r="A4875" t="s">
        <v>13</v>
      </c>
      <c r="B4875" t="s">
        <v>8</v>
      </c>
      <c r="C4875">
        <v>3</v>
      </c>
      <c r="D4875">
        <v>1</v>
      </c>
      <c r="E4875">
        <v>2</v>
      </c>
      <c r="F4875" s="15">
        <v>46195</v>
      </c>
      <c r="G4875" t="s">
        <v>599</v>
      </c>
      <c r="H4875">
        <v>4</v>
      </c>
      <c r="I4875">
        <v>2026</v>
      </c>
      <c r="J4875">
        <v>6</v>
      </c>
      <c r="K4875" t="s">
        <v>87</v>
      </c>
      <c r="L4875" t="s">
        <v>540</v>
      </c>
      <c r="M4875" t="s">
        <v>6</v>
      </c>
      <c r="N4875" t="b">
        <v>0</v>
      </c>
      <c r="O4875">
        <v>1</v>
      </c>
      <c r="P4875">
        <v>0</v>
      </c>
      <c r="Q4875">
        <v>0</v>
      </c>
      <c r="R4875">
        <v>0</v>
      </c>
    </row>
    <row r="4876" spans="1:18" x14ac:dyDescent="0.25">
      <c r="A4876" t="s">
        <v>13</v>
      </c>
      <c r="B4876" t="s">
        <v>8</v>
      </c>
      <c r="C4876">
        <v>3</v>
      </c>
      <c r="D4876">
        <v>1</v>
      </c>
      <c r="E4876">
        <v>2</v>
      </c>
      <c r="F4876" s="15">
        <v>46195</v>
      </c>
      <c r="G4876" t="s">
        <v>599</v>
      </c>
      <c r="H4876">
        <v>4</v>
      </c>
      <c r="I4876">
        <v>2026</v>
      </c>
      <c r="J4876">
        <v>6</v>
      </c>
      <c r="K4876" t="s">
        <v>87</v>
      </c>
      <c r="L4876" t="s">
        <v>405</v>
      </c>
      <c r="M4876" t="s">
        <v>6</v>
      </c>
      <c r="N4876" t="b">
        <v>0</v>
      </c>
      <c r="O4876">
        <v>1</v>
      </c>
      <c r="P4876">
        <v>0</v>
      </c>
      <c r="Q4876">
        <v>0</v>
      </c>
      <c r="R4876">
        <v>0</v>
      </c>
    </row>
    <row r="4877" spans="1:18" x14ac:dyDescent="0.25">
      <c r="A4877" t="s">
        <v>405</v>
      </c>
      <c r="B4877" t="s">
        <v>6</v>
      </c>
      <c r="C4877">
        <v>4</v>
      </c>
      <c r="D4877">
        <v>1</v>
      </c>
      <c r="E4877">
        <v>2</v>
      </c>
      <c r="F4877" s="15">
        <v>46195</v>
      </c>
      <c r="G4877" t="s">
        <v>599</v>
      </c>
      <c r="H4877">
        <v>4</v>
      </c>
      <c r="I4877">
        <v>2026</v>
      </c>
      <c r="J4877">
        <v>6</v>
      </c>
      <c r="K4877" t="s">
        <v>87</v>
      </c>
      <c r="L4877" t="s">
        <v>433</v>
      </c>
      <c r="M4877" t="s">
        <v>6</v>
      </c>
      <c r="N4877" t="b">
        <v>0</v>
      </c>
      <c r="O4877">
        <v>0</v>
      </c>
      <c r="P4877">
        <v>1</v>
      </c>
      <c r="Q4877">
        <v>0</v>
      </c>
      <c r="R4877">
        <v>0</v>
      </c>
    </row>
    <row r="4878" spans="1:18" x14ac:dyDescent="0.25">
      <c r="A4878" t="s">
        <v>405</v>
      </c>
      <c r="B4878" t="s">
        <v>6</v>
      </c>
      <c r="C4878">
        <v>4</v>
      </c>
      <c r="D4878">
        <v>1</v>
      </c>
      <c r="E4878">
        <v>2</v>
      </c>
      <c r="F4878" s="15">
        <v>46195</v>
      </c>
      <c r="G4878" t="s">
        <v>599</v>
      </c>
      <c r="H4878">
        <v>4</v>
      </c>
      <c r="I4878">
        <v>2026</v>
      </c>
      <c r="J4878">
        <v>6</v>
      </c>
      <c r="K4878" t="s">
        <v>87</v>
      </c>
      <c r="L4878" t="s">
        <v>540</v>
      </c>
      <c r="M4878" t="s">
        <v>6</v>
      </c>
      <c r="N4878" t="b">
        <v>0</v>
      </c>
      <c r="O4878">
        <v>0</v>
      </c>
      <c r="P4878">
        <v>1</v>
      </c>
      <c r="Q4878">
        <v>0</v>
      </c>
      <c r="R4878">
        <v>0</v>
      </c>
    </row>
    <row r="4879" spans="1:18" x14ac:dyDescent="0.25">
      <c r="A4879" t="s">
        <v>405</v>
      </c>
      <c r="B4879" t="s">
        <v>6</v>
      </c>
      <c r="C4879">
        <v>4</v>
      </c>
      <c r="D4879">
        <v>1</v>
      </c>
      <c r="E4879">
        <v>2</v>
      </c>
      <c r="F4879" s="15">
        <v>46195</v>
      </c>
      <c r="G4879" t="s">
        <v>599</v>
      </c>
      <c r="H4879">
        <v>4</v>
      </c>
      <c r="I4879">
        <v>2026</v>
      </c>
      <c r="J4879">
        <v>6</v>
      </c>
      <c r="K4879" t="s">
        <v>87</v>
      </c>
      <c r="L4879" t="s">
        <v>13</v>
      </c>
      <c r="M4879" t="s">
        <v>8</v>
      </c>
      <c r="N4879" t="b">
        <v>0</v>
      </c>
      <c r="O4879">
        <v>0</v>
      </c>
      <c r="P4879">
        <v>1</v>
      </c>
      <c r="Q4879">
        <v>0</v>
      </c>
      <c r="R4879">
        <v>1</v>
      </c>
    </row>
    <row r="4880" spans="1:18" x14ac:dyDescent="0.25">
      <c r="A4880" t="s">
        <v>351</v>
      </c>
      <c r="B4880" t="s">
        <v>8</v>
      </c>
      <c r="C4880">
        <v>1</v>
      </c>
      <c r="D4880">
        <v>2</v>
      </c>
      <c r="E4880">
        <v>2</v>
      </c>
      <c r="F4880" s="15">
        <v>46195</v>
      </c>
      <c r="G4880" t="s">
        <v>600</v>
      </c>
      <c r="H4880">
        <v>4</v>
      </c>
      <c r="I4880">
        <v>2026</v>
      </c>
      <c r="J4880">
        <v>6</v>
      </c>
      <c r="K4880" t="s">
        <v>87</v>
      </c>
      <c r="L4880" t="s">
        <v>9</v>
      </c>
      <c r="M4880" t="s">
        <v>6</v>
      </c>
      <c r="N4880" t="b">
        <v>0</v>
      </c>
      <c r="O4880">
        <v>1</v>
      </c>
      <c r="P4880">
        <v>0</v>
      </c>
      <c r="Q4880">
        <v>0</v>
      </c>
      <c r="R4880">
        <v>0</v>
      </c>
    </row>
    <row r="4881" spans="1:18" x14ac:dyDescent="0.25">
      <c r="A4881" t="s">
        <v>351</v>
      </c>
      <c r="B4881" t="s">
        <v>8</v>
      </c>
      <c r="C4881">
        <v>1</v>
      </c>
      <c r="D4881">
        <v>2</v>
      </c>
      <c r="E4881">
        <v>2</v>
      </c>
      <c r="F4881" s="15">
        <v>46195</v>
      </c>
      <c r="G4881" t="s">
        <v>600</v>
      </c>
      <c r="H4881">
        <v>4</v>
      </c>
      <c r="I4881">
        <v>2026</v>
      </c>
      <c r="J4881">
        <v>6</v>
      </c>
      <c r="K4881" t="s">
        <v>87</v>
      </c>
      <c r="L4881" t="s">
        <v>19</v>
      </c>
      <c r="M4881" t="s">
        <v>6</v>
      </c>
      <c r="N4881" t="b">
        <v>0</v>
      </c>
      <c r="O4881">
        <v>1</v>
      </c>
      <c r="P4881">
        <v>0</v>
      </c>
      <c r="Q4881">
        <v>0</v>
      </c>
      <c r="R4881">
        <v>0</v>
      </c>
    </row>
    <row r="4882" spans="1:18" x14ac:dyDescent="0.25">
      <c r="A4882" t="s">
        <v>351</v>
      </c>
      <c r="B4882" t="s">
        <v>8</v>
      </c>
      <c r="C4882">
        <v>1</v>
      </c>
      <c r="D4882">
        <v>2</v>
      </c>
      <c r="E4882">
        <v>2</v>
      </c>
      <c r="F4882" s="15">
        <v>46195</v>
      </c>
      <c r="G4882" t="s">
        <v>600</v>
      </c>
      <c r="H4882">
        <v>4</v>
      </c>
      <c r="I4882">
        <v>2026</v>
      </c>
      <c r="J4882">
        <v>6</v>
      </c>
      <c r="K4882" t="s">
        <v>87</v>
      </c>
      <c r="L4882" t="s">
        <v>591</v>
      </c>
      <c r="M4882" t="s">
        <v>6</v>
      </c>
      <c r="N4882" t="b">
        <v>0</v>
      </c>
      <c r="O4882">
        <v>1</v>
      </c>
      <c r="P4882">
        <v>0</v>
      </c>
      <c r="Q4882">
        <v>0</v>
      </c>
      <c r="R4882">
        <v>0</v>
      </c>
    </row>
    <row r="4883" spans="1:18" x14ac:dyDescent="0.25">
      <c r="A4883" t="s">
        <v>9</v>
      </c>
      <c r="B4883" t="s">
        <v>6</v>
      </c>
      <c r="C4883">
        <v>2</v>
      </c>
      <c r="D4883">
        <v>2</v>
      </c>
      <c r="E4883">
        <v>2</v>
      </c>
      <c r="F4883" s="15">
        <v>46195</v>
      </c>
      <c r="G4883" t="s">
        <v>600</v>
      </c>
      <c r="H4883">
        <v>4</v>
      </c>
      <c r="I4883">
        <v>2026</v>
      </c>
      <c r="J4883">
        <v>6</v>
      </c>
      <c r="K4883" t="s">
        <v>87</v>
      </c>
      <c r="L4883" t="s">
        <v>351</v>
      </c>
      <c r="M4883" t="s">
        <v>8</v>
      </c>
      <c r="N4883" t="b">
        <v>0</v>
      </c>
      <c r="O4883">
        <v>0</v>
      </c>
      <c r="P4883">
        <v>1</v>
      </c>
      <c r="Q4883">
        <v>0</v>
      </c>
      <c r="R4883">
        <v>1</v>
      </c>
    </row>
    <row r="4884" spans="1:18" x14ac:dyDescent="0.25">
      <c r="A4884" t="s">
        <v>9</v>
      </c>
      <c r="B4884" t="s">
        <v>6</v>
      </c>
      <c r="C4884">
        <v>2</v>
      </c>
      <c r="D4884">
        <v>2</v>
      </c>
      <c r="E4884">
        <v>2</v>
      </c>
      <c r="F4884" s="15">
        <v>46195</v>
      </c>
      <c r="G4884" t="s">
        <v>600</v>
      </c>
      <c r="H4884">
        <v>4</v>
      </c>
      <c r="I4884">
        <v>2026</v>
      </c>
      <c r="J4884">
        <v>6</v>
      </c>
      <c r="K4884" t="s">
        <v>87</v>
      </c>
      <c r="L4884" t="s">
        <v>19</v>
      </c>
      <c r="M4884" t="s">
        <v>6</v>
      </c>
      <c r="N4884" t="b">
        <v>0</v>
      </c>
      <c r="O4884">
        <v>0</v>
      </c>
      <c r="P4884">
        <v>1</v>
      </c>
      <c r="Q4884">
        <v>0</v>
      </c>
      <c r="R4884">
        <v>0</v>
      </c>
    </row>
    <row r="4885" spans="1:18" x14ac:dyDescent="0.25">
      <c r="A4885" t="s">
        <v>9</v>
      </c>
      <c r="B4885" t="s">
        <v>6</v>
      </c>
      <c r="C4885">
        <v>2</v>
      </c>
      <c r="D4885">
        <v>2</v>
      </c>
      <c r="E4885">
        <v>2</v>
      </c>
      <c r="F4885" s="15">
        <v>46195</v>
      </c>
      <c r="G4885" t="s">
        <v>600</v>
      </c>
      <c r="H4885">
        <v>4</v>
      </c>
      <c r="I4885">
        <v>2026</v>
      </c>
      <c r="J4885">
        <v>6</v>
      </c>
      <c r="K4885" t="s">
        <v>87</v>
      </c>
      <c r="L4885" t="s">
        <v>591</v>
      </c>
      <c r="M4885" t="s">
        <v>6</v>
      </c>
      <c r="N4885" t="b">
        <v>0</v>
      </c>
      <c r="O4885">
        <v>0</v>
      </c>
      <c r="P4885">
        <v>1</v>
      </c>
      <c r="Q4885">
        <v>0</v>
      </c>
      <c r="R4885">
        <v>0</v>
      </c>
    </row>
    <row r="4886" spans="1:18" x14ac:dyDescent="0.25">
      <c r="A4886" t="s">
        <v>19</v>
      </c>
      <c r="B4886" t="s">
        <v>6</v>
      </c>
      <c r="C4886">
        <v>3</v>
      </c>
      <c r="D4886">
        <v>2</v>
      </c>
      <c r="E4886">
        <v>2</v>
      </c>
      <c r="F4886" s="15">
        <v>46195</v>
      </c>
      <c r="G4886" t="s">
        <v>600</v>
      </c>
      <c r="H4886">
        <v>4</v>
      </c>
      <c r="I4886">
        <v>2026</v>
      </c>
      <c r="J4886">
        <v>6</v>
      </c>
      <c r="K4886" t="s">
        <v>87</v>
      </c>
      <c r="L4886" t="s">
        <v>351</v>
      </c>
      <c r="M4886" t="s">
        <v>8</v>
      </c>
      <c r="N4886" t="b">
        <v>0</v>
      </c>
      <c r="O4886">
        <v>0</v>
      </c>
      <c r="P4886">
        <v>1</v>
      </c>
      <c r="Q4886">
        <v>0</v>
      </c>
      <c r="R4886">
        <v>1</v>
      </c>
    </row>
    <row r="4887" spans="1:18" x14ac:dyDescent="0.25">
      <c r="A4887" t="s">
        <v>19</v>
      </c>
      <c r="B4887" t="s">
        <v>6</v>
      </c>
      <c r="C4887">
        <v>3</v>
      </c>
      <c r="D4887">
        <v>2</v>
      </c>
      <c r="E4887">
        <v>2</v>
      </c>
      <c r="F4887" s="15">
        <v>46195</v>
      </c>
      <c r="G4887" t="s">
        <v>600</v>
      </c>
      <c r="H4887">
        <v>4</v>
      </c>
      <c r="I4887">
        <v>2026</v>
      </c>
      <c r="J4887">
        <v>6</v>
      </c>
      <c r="K4887" t="s">
        <v>87</v>
      </c>
      <c r="L4887" t="s">
        <v>9</v>
      </c>
      <c r="M4887" t="s">
        <v>6</v>
      </c>
      <c r="N4887" t="b">
        <v>0</v>
      </c>
      <c r="O4887">
        <v>0</v>
      </c>
      <c r="P4887">
        <v>1</v>
      </c>
      <c r="Q4887">
        <v>0</v>
      </c>
      <c r="R4887">
        <v>0</v>
      </c>
    </row>
    <row r="4888" spans="1:18" x14ac:dyDescent="0.25">
      <c r="A4888" t="s">
        <v>19</v>
      </c>
      <c r="B4888" t="s">
        <v>6</v>
      </c>
      <c r="C4888">
        <v>3</v>
      </c>
      <c r="D4888">
        <v>2</v>
      </c>
      <c r="E4888">
        <v>2</v>
      </c>
      <c r="F4888" s="15">
        <v>46195</v>
      </c>
      <c r="G4888" t="s">
        <v>600</v>
      </c>
      <c r="H4888">
        <v>4</v>
      </c>
      <c r="I4888">
        <v>2026</v>
      </c>
      <c r="J4888">
        <v>6</v>
      </c>
      <c r="K4888" t="s">
        <v>87</v>
      </c>
      <c r="L4888" t="s">
        <v>591</v>
      </c>
      <c r="M4888" t="s">
        <v>6</v>
      </c>
      <c r="N4888" t="b">
        <v>0</v>
      </c>
      <c r="O4888">
        <v>0</v>
      </c>
      <c r="P4888">
        <v>1</v>
      </c>
      <c r="Q4888">
        <v>0</v>
      </c>
      <c r="R4888">
        <v>0</v>
      </c>
    </row>
    <row r="4889" spans="1:18" x14ac:dyDescent="0.25">
      <c r="A4889" t="s">
        <v>591</v>
      </c>
      <c r="B4889" t="s">
        <v>6</v>
      </c>
      <c r="C4889">
        <v>4</v>
      </c>
      <c r="D4889">
        <v>2</v>
      </c>
      <c r="E4889">
        <v>2</v>
      </c>
      <c r="F4889" s="15">
        <v>46195</v>
      </c>
      <c r="G4889" t="s">
        <v>600</v>
      </c>
      <c r="H4889">
        <v>4</v>
      </c>
      <c r="I4889">
        <v>2026</v>
      </c>
      <c r="J4889">
        <v>6</v>
      </c>
      <c r="K4889" t="s">
        <v>87</v>
      </c>
      <c r="L4889" t="s">
        <v>351</v>
      </c>
      <c r="M4889" t="s">
        <v>8</v>
      </c>
      <c r="N4889" t="b">
        <v>0</v>
      </c>
      <c r="O4889">
        <v>0</v>
      </c>
      <c r="P4889">
        <v>1</v>
      </c>
      <c r="Q4889">
        <v>0</v>
      </c>
      <c r="R4889">
        <v>1</v>
      </c>
    </row>
    <row r="4890" spans="1:18" x14ac:dyDescent="0.25">
      <c r="A4890" t="s">
        <v>591</v>
      </c>
      <c r="B4890" t="s">
        <v>6</v>
      </c>
      <c r="C4890">
        <v>4</v>
      </c>
      <c r="D4890">
        <v>2</v>
      </c>
      <c r="E4890">
        <v>2</v>
      </c>
      <c r="F4890" s="15">
        <v>46195</v>
      </c>
      <c r="G4890" t="s">
        <v>600</v>
      </c>
      <c r="H4890">
        <v>4</v>
      </c>
      <c r="I4890">
        <v>2026</v>
      </c>
      <c r="J4890">
        <v>6</v>
      </c>
      <c r="K4890" t="s">
        <v>87</v>
      </c>
      <c r="L4890" t="s">
        <v>9</v>
      </c>
      <c r="M4890" t="s">
        <v>6</v>
      </c>
      <c r="N4890" t="b">
        <v>0</v>
      </c>
      <c r="O4890">
        <v>0</v>
      </c>
      <c r="P4890">
        <v>1</v>
      </c>
      <c r="Q4890">
        <v>0</v>
      </c>
      <c r="R4890">
        <v>0</v>
      </c>
    </row>
    <row r="4891" spans="1:18" x14ac:dyDescent="0.25">
      <c r="A4891" t="s">
        <v>591</v>
      </c>
      <c r="B4891" t="s">
        <v>6</v>
      </c>
      <c r="C4891">
        <v>4</v>
      </c>
      <c r="D4891">
        <v>2</v>
      </c>
      <c r="E4891">
        <v>2</v>
      </c>
      <c r="F4891" s="15">
        <v>46195</v>
      </c>
      <c r="G4891" t="s">
        <v>600</v>
      </c>
      <c r="H4891">
        <v>4</v>
      </c>
      <c r="I4891">
        <v>2026</v>
      </c>
      <c r="J4891">
        <v>6</v>
      </c>
      <c r="K4891" t="s">
        <v>87</v>
      </c>
      <c r="L4891" t="s">
        <v>19</v>
      </c>
      <c r="M4891" t="s">
        <v>6</v>
      </c>
      <c r="N4891" t="b">
        <v>0</v>
      </c>
      <c r="O4891">
        <v>0</v>
      </c>
      <c r="P4891">
        <v>1</v>
      </c>
      <c r="Q4891">
        <v>0</v>
      </c>
      <c r="R4891">
        <v>0</v>
      </c>
    </row>
    <row r="4892" spans="1:18" x14ac:dyDescent="0.25">
      <c r="A4892" t="s">
        <v>592</v>
      </c>
      <c r="B4892" t="s">
        <v>6</v>
      </c>
      <c r="C4892">
        <v>1</v>
      </c>
      <c r="D4892">
        <v>3</v>
      </c>
      <c r="E4892">
        <v>2</v>
      </c>
      <c r="F4892" s="15">
        <v>46195</v>
      </c>
      <c r="G4892" t="s">
        <v>601</v>
      </c>
      <c r="H4892">
        <v>4</v>
      </c>
      <c r="I4892">
        <v>2026</v>
      </c>
      <c r="J4892">
        <v>6</v>
      </c>
      <c r="K4892" t="s">
        <v>87</v>
      </c>
      <c r="L4892" t="s">
        <v>363</v>
      </c>
      <c r="M4892" t="s">
        <v>8</v>
      </c>
      <c r="N4892" t="b">
        <v>0</v>
      </c>
      <c r="O4892">
        <v>0</v>
      </c>
      <c r="P4892">
        <v>1</v>
      </c>
      <c r="Q4892">
        <v>0</v>
      </c>
      <c r="R4892">
        <v>1</v>
      </c>
    </row>
    <row r="4893" spans="1:18" x14ac:dyDescent="0.25">
      <c r="A4893" t="s">
        <v>592</v>
      </c>
      <c r="B4893" t="s">
        <v>6</v>
      </c>
      <c r="C4893">
        <v>1</v>
      </c>
      <c r="D4893">
        <v>3</v>
      </c>
      <c r="E4893">
        <v>2</v>
      </c>
      <c r="F4893" s="15">
        <v>46195</v>
      </c>
      <c r="G4893" t="s">
        <v>601</v>
      </c>
      <c r="H4893">
        <v>4</v>
      </c>
      <c r="I4893">
        <v>2026</v>
      </c>
      <c r="J4893">
        <v>6</v>
      </c>
      <c r="K4893" t="s">
        <v>87</v>
      </c>
      <c r="L4893" t="s">
        <v>590</v>
      </c>
      <c r="M4893" t="s">
        <v>6</v>
      </c>
      <c r="N4893" t="b">
        <v>0</v>
      </c>
      <c r="O4893">
        <v>0</v>
      </c>
      <c r="P4893">
        <v>1</v>
      </c>
      <c r="Q4893">
        <v>0</v>
      </c>
      <c r="R4893">
        <v>0</v>
      </c>
    </row>
    <row r="4894" spans="1:18" x14ac:dyDescent="0.25">
      <c r="A4894" t="s">
        <v>592</v>
      </c>
      <c r="B4894" t="s">
        <v>6</v>
      </c>
      <c r="C4894">
        <v>1</v>
      </c>
      <c r="D4894">
        <v>3</v>
      </c>
      <c r="E4894">
        <v>2</v>
      </c>
      <c r="F4894" s="15">
        <v>46195</v>
      </c>
      <c r="G4894" t="s">
        <v>601</v>
      </c>
      <c r="H4894">
        <v>4</v>
      </c>
      <c r="I4894">
        <v>2026</v>
      </c>
      <c r="J4894">
        <v>6</v>
      </c>
      <c r="K4894" t="s">
        <v>87</v>
      </c>
      <c r="L4894" t="s">
        <v>567</v>
      </c>
      <c r="M4894" t="s">
        <v>6</v>
      </c>
      <c r="N4894" t="b">
        <v>0</v>
      </c>
      <c r="O4894">
        <v>0</v>
      </c>
      <c r="P4894">
        <v>1</v>
      </c>
      <c r="Q4894">
        <v>0</v>
      </c>
      <c r="R4894">
        <v>0</v>
      </c>
    </row>
    <row r="4895" spans="1:18" x14ac:dyDescent="0.25">
      <c r="A4895" t="s">
        <v>363</v>
      </c>
      <c r="B4895" t="s">
        <v>8</v>
      </c>
      <c r="C4895">
        <v>2</v>
      </c>
      <c r="D4895">
        <v>3</v>
      </c>
      <c r="E4895">
        <v>2</v>
      </c>
      <c r="F4895" s="15">
        <v>46195</v>
      </c>
      <c r="G4895" t="s">
        <v>601</v>
      </c>
      <c r="H4895">
        <v>4</v>
      </c>
      <c r="I4895">
        <v>2026</v>
      </c>
      <c r="J4895">
        <v>6</v>
      </c>
      <c r="K4895" t="s">
        <v>87</v>
      </c>
      <c r="L4895" t="s">
        <v>592</v>
      </c>
      <c r="M4895" t="s">
        <v>6</v>
      </c>
      <c r="N4895" t="b">
        <v>0</v>
      </c>
      <c r="O4895">
        <v>1</v>
      </c>
      <c r="P4895">
        <v>0</v>
      </c>
      <c r="Q4895">
        <v>0</v>
      </c>
      <c r="R4895">
        <v>0</v>
      </c>
    </row>
    <row r="4896" spans="1:18" x14ac:dyDescent="0.25">
      <c r="A4896" t="s">
        <v>363</v>
      </c>
      <c r="B4896" t="s">
        <v>8</v>
      </c>
      <c r="C4896">
        <v>2</v>
      </c>
      <c r="D4896">
        <v>3</v>
      </c>
      <c r="E4896">
        <v>2</v>
      </c>
      <c r="F4896" s="15">
        <v>46195</v>
      </c>
      <c r="G4896" t="s">
        <v>601</v>
      </c>
      <c r="H4896">
        <v>4</v>
      </c>
      <c r="I4896">
        <v>2026</v>
      </c>
      <c r="J4896">
        <v>6</v>
      </c>
      <c r="K4896" t="s">
        <v>87</v>
      </c>
      <c r="L4896" t="s">
        <v>590</v>
      </c>
      <c r="M4896" t="s">
        <v>6</v>
      </c>
      <c r="N4896" t="b">
        <v>0</v>
      </c>
      <c r="O4896">
        <v>1</v>
      </c>
      <c r="P4896">
        <v>0</v>
      </c>
      <c r="Q4896">
        <v>0</v>
      </c>
      <c r="R4896">
        <v>0</v>
      </c>
    </row>
    <row r="4897" spans="1:18" x14ac:dyDescent="0.25">
      <c r="A4897" t="s">
        <v>363</v>
      </c>
      <c r="B4897" t="s">
        <v>8</v>
      </c>
      <c r="C4897">
        <v>2</v>
      </c>
      <c r="D4897">
        <v>3</v>
      </c>
      <c r="E4897">
        <v>2</v>
      </c>
      <c r="F4897" s="15">
        <v>46195</v>
      </c>
      <c r="G4897" t="s">
        <v>601</v>
      </c>
      <c r="H4897">
        <v>4</v>
      </c>
      <c r="I4897">
        <v>2026</v>
      </c>
      <c r="J4897">
        <v>6</v>
      </c>
      <c r="K4897" t="s">
        <v>87</v>
      </c>
      <c r="L4897" t="s">
        <v>567</v>
      </c>
      <c r="M4897" t="s">
        <v>6</v>
      </c>
      <c r="N4897" t="b">
        <v>0</v>
      </c>
      <c r="O4897">
        <v>1</v>
      </c>
      <c r="P4897">
        <v>0</v>
      </c>
      <c r="Q4897">
        <v>0</v>
      </c>
      <c r="R4897">
        <v>0</v>
      </c>
    </row>
    <row r="4898" spans="1:18" x14ac:dyDescent="0.25">
      <c r="A4898" t="s">
        <v>590</v>
      </c>
      <c r="B4898" t="s">
        <v>6</v>
      </c>
      <c r="C4898">
        <v>3</v>
      </c>
      <c r="D4898">
        <v>3</v>
      </c>
      <c r="E4898">
        <v>2</v>
      </c>
      <c r="F4898" s="15">
        <v>46195</v>
      </c>
      <c r="G4898" t="s">
        <v>601</v>
      </c>
      <c r="H4898">
        <v>4</v>
      </c>
      <c r="I4898">
        <v>2026</v>
      </c>
      <c r="J4898">
        <v>6</v>
      </c>
      <c r="K4898" t="s">
        <v>87</v>
      </c>
      <c r="L4898" t="s">
        <v>592</v>
      </c>
      <c r="M4898" t="s">
        <v>6</v>
      </c>
      <c r="N4898" t="b">
        <v>0</v>
      </c>
      <c r="O4898">
        <v>0</v>
      </c>
      <c r="P4898">
        <v>1</v>
      </c>
      <c r="Q4898">
        <v>0</v>
      </c>
      <c r="R4898">
        <v>0</v>
      </c>
    </row>
    <row r="4899" spans="1:18" x14ac:dyDescent="0.25">
      <c r="A4899" t="s">
        <v>590</v>
      </c>
      <c r="B4899" t="s">
        <v>6</v>
      </c>
      <c r="C4899">
        <v>3</v>
      </c>
      <c r="D4899">
        <v>3</v>
      </c>
      <c r="E4899">
        <v>2</v>
      </c>
      <c r="F4899" s="15">
        <v>46195</v>
      </c>
      <c r="G4899" t="s">
        <v>601</v>
      </c>
      <c r="H4899">
        <v>4</v>
      </c>
      <c r="I4899">
        <v>2026</v>
      </c>
      <c r="J4899">
        <v>6</v>
      </c>
      <c r="K4899" t="s">
        <v>87</v>
      </c>
      <c r="L4899" t="s">
        <v>363</v>
      </c>
      <c r="M4899" t="s">
        <v>8</v>
      </c>
      <c r="N4899" t="b">
        <v>0</v>
      </c>
      <c r="O4899">
        <v>0</v>
      </c>
      <c r="P4899">
        <v>1</v>
      </c>
      <c r="Q4899">
        <v>0</v>
      </c>
      <c r="R4899">
        <v>1</v>
      </c>
    </row>
    <row r="4900" spans="1:18" x14ac:dyDescent="0.25">
      <c r="A4900" t="s">
        <v>590</v>
      </c>
      <c r="B4900" t="s">
        <v>6</v>
      </c>
      <c r="C4900">
        <v>3</v>
      </c>
      <c r="D4900">
        <v>3</v>
      </c>
      <c r="E4900">
        <v>2</v>
      </c>
      <c r="F4900" s="15">
        <v>46195</v>
      </c>
      <c r="G4900" t="s">
        <v>601</v>
      </c>
      <c r="H4900">
        <v>4</v>
      </c>
      <c r="I4900">
        <v>2026</v>
      </c>
      <c r="J4900">
        <v>6</v>
      </c>
      <c r="K4900" t="s">
        <v>87</v>
      </c>
      <c r="L4900" t="s">
        <v>567</v>
      </c>
      <c r="M4900" t="s">
        <v>6</v>
      </c>
      <c r="N4900" t="b">
        <v>0</v>
      </c>
      <c r="O4900">
        <v>0</v>
      </c>
      <c r="P4900">
        <v>1</v>
      </c>
      <c r="Q4900">
        <v>0</v>
      </c>
      <c r="R4900">
        <v>0</v>
      </c>
    </row>
    <row r="4901" spans="1:18" x14ac:dyDescent="0.25">
      <c r="A4901" t="s">
        <v>567</v>
      </c>
      <c r="B4901" t="s">
        <v>6</v>
      </c>
      <c r="C4901">
        <v>4</v>
      </c>
      <c r="D4901">
        <v>3</v>
      </c>
      <c r="E4901">
        <v>2</v>
      </c>
      <c r="F4901" s="15">
        <v>46195</v>
      </c>
      <c r="G4901" t="s">
        <v>601</v>
      </c>
      <c r="H4901">
        <v>4</v>
      </c>
      <c r="I4901">
        <v>2026</v>
      </c>
      <c r="J4901">
        <v>6</v>
      </c>
      <c r="K4901" t="s">
        <v>87</v>
      </c>
      <c r="L4901" t="s">
        <v>592</v>
      </c>
      <c r="M4901" t="s">
        <v>6</v>
      </c>
      <c r="N4901" t="b">
        <v>0</v>
      </c>
      <c r="O4901">
        <v>0</v>
      </c>
      <c r="P4901">
        <v>1</v>
      </c>
      <c r="Q4901">
        <v>0</v>
      </c>
      <c r="R4901">
        <v>0</v>
      </c>
    </row>
    <row r="4902" spans="1:18" x14ac:dyDescent="0.25">
      <c r="A4902" t="s">
        <v>567</v>
      </c>
      <c r="B4902" t="s">
        <v>6</v>
      </c>
      <c r="C4902">
        <v>4</v>
      </c>
      <c r="D4902">
        <v>3</v>
      </c>
      <c r="E4902">
        <v>2</v>
      </c>
      <c r="F4902" s="15">
        <v>46195</v>
      </c>
      <c r="G4902" t="s">
        <v>601</v>
      </c>
      <c r="H4902">
        <v>4</v>
      </c>
      <c r="I4902">
        <v>2026</v>
      </c>
      <c r="J4902">
        <v>6</v>
      </c>
      <c r="K4902" t="s">
        <v>87</v>
      </c>
      <c r="L4902" t="s">
        <v>363</v>
      </c>
      <c r="M4902" t="s">
        <v>8</v>
      </c>
      <c r="N4902" t="b">
        <v>0</v>
      </c>
      <c r="O4902">
        <v>0</v>
      </c>
      <c r="P4902">
        <v>1</v>
      </c>
      <c r="Q4902">
        <v>0</v>
      </c>
      <c r="R4902">
        <v>1</v>
      </c>
    </row>
    <row r="4903" spans="1:18" x14ac:dyDescent="0.25">
      <c r="A4903" t="s">
        <v>567</v>
      </c>
      <c r="B4903" t="s">
        <v>6</v>
      </c>
      <c r="C4903">
        <v>4</v>
      </c>
      <c r="D4903">
        <v>3</v>
      </c>
      <c r="E4903">
        <v>2</v>
      </c>
      <c r="F4903" s="15">
        <v>46195</v>
      </c>
      <c r="G4903" t="s">
        <v>601</v>
      </c>
      <c r="H4903">
        <v>4</v>
      </c>
      <c r="I4903">
        <v>2026</v>
      </c>
      <c r="J4903">
        <v>6</v>
      </c>
      <c r="K4903" t="s">
        <v>87</v>
      </c>
      <c r="L4903" t="s">
        <v>590</v>
      </c>
      <c r="M4903" t="s">
        <v>6</v>
      </c>
      <c r="N4903" t="b">
        <v>0</v>
      </c>
      <c r="O4903">
        <v>0</v>
      </c>
      <c r="P4903">
        <v>1</v>
      </c>
      <c r="Q4903">
        <v>0</v>
      </c>
      <c r="R4903">
        <v>0</v>
      </c>
    </row>
    <row r="4904" spans="1:18" x14ac:dyDescent="0.25">
      <c r="A4904" t="s">
        <v>352</v>
      </c>
      <c r="B4904" t="s">
        <v>8</v>
      </c>
      <c r="C4904">
        <v>1</v>
      </c>
      <c r="D4904">
        <v>4</v>
      </c>
      <c r="E4904">
        <v>2</v>
      </c>
      <c r="F4904" s="15">
        <v>46195</v>
      </c>
      <c r="G4904" t="s">
        <v>602</v>
      </c>
      <c r="H4904">
        <v>4</v>
      </c>
      <c r="I4904">
        <v>2026</v>
      </c>
      <c r="J4904">
        <v>6</v>
      </c>
      <c r="K4904" t="s">
        <v>87</v>
      </c>
      <c r="L4904" t="s">
        <v>14</v>
      </c>
      <c r="M4904" t="s">
        <v>6</v>
      </c>
      <c r="N4904" t="b">
        <v>0</v>
      </c>
      <c r="O4904">
        <v>1</v>
      </c>
      <c r="P4904">
        <v>0</v>
      </c>
      <c r="Q4904">
        <v>0</v>
      </c>
      <c r="R4904">
        <v>0</v>
      </c>
    </row>
    <row r="4905" spans="1:18" x14ac:dyDescent="0.25">
      <c r="A4905" t="s">
        <v>352</v>
      </c>
      <c r="B4905" t="s">
        <v>8</v>
      </c>
      <c r="C4905">
        <v>1</v>
      </c>
      <c r="D4905">
        <v>4</v>
      </c>
      <c r="E4905">
        <v>2</v>
      </c>
      <c r="F4905" s="15">
        <v>46195</v>
      </c>
      <c r="G4905" t="s">
        <v>602</v>
      </c>
      <c r="H4905">
        <v>4</v>
      </c>
      <c r="I4905">
        <v>2026</v>
      </c>
      <c r="J4905">
        <v>6</v>
      </c>
      <c r="K4905" t="s">
        <v>87</v>
      </c>
      <c r="L4905" t="s">
        <v>41</v>
      </c>
      <c r="M4905" t="s">
        <v>6</v>
      </c>
      <c r="N4905" t="b">
        <v>0</v>
      </c>
      <c r="O4905">
        <v>1</v>
      </c>
      <c r="P4905">
        <v>0</v>
      </c>
      <c r="Q4905">
        <v>0</v>
      </c>
      <c r="R4905">
        <v>0</v>
      </c>
    </row>
    <row r="4906" spans="1:18" x14ac:dyDescent="0.25">
      <c r="A4906" t="s">
        <v>352</v>
      </c>
      <c r="B4906" t="s">
        <v>8</v>
      </c>
      <c r="C4906">
        <v>1</v>
      </c>
      <c r="D4906">
        <v>4</v>
      </c>
      <c r="E4906">
        <v>2</v>
      </c>
      <c r="F4906" s="15">
        <v>46195</v>
      </c>
      <c r="G4906" t="s">
        <v>602</v>
      </c>
      <c r="H4906">
        <v>4</v>
      </c>
      <c r="I4906">
        <v>2026</v>
      </c>
      <c r="J4906">
        <v>6</v>
      </c>
      <c r="K4906" t="s">
        <v>87</v>
      </c>
      <c r="L4906" t="s">
        <v>326</v>
      </c>
      <c r="M4906" t="s">
        <v>6</v>
      </c>
      <c r="N4906" t="b">
        <v>0</v>
      </c>
      <c r="O4906">
        <v>1</v>
      </c>
      <c r="P4906">
        <v>0</v>
      </c>
      <c r="Q4906">
        <v>0</v>
      </c>
      <c r="R4906">
        <v>0</v>
      </c>
    </row>
    <row r="4907" spans="1:18" x14ac:dyDescent="0.25">
      <c r="A4907" t="s">
        <v>14</v>
      </c>
      <c r="B4907" t="s">
        <v>6</v>
      </c>
      <c r="C4907">
        <v>2</v>
      </c>
      <c r="D4907">
        <v>4</v>
      </c>
      <c r="E4907">
        <v>2</v>
      </c>
      <c r="F4907" s="15">
        <v>46195</v>
      </c>
      <c r="G4907" t="s">
        <v>602</v>
      </c>
      <c r="H4907">
        <v>4</v>
      </c>
      <c r="I4907">
        <v>2026</v>
      </c>
      <c r="J4907">
        <v>6</v>
      </c>
      <c r="K4907" t="s">
        <v>87</v>
      </c>
      <c r="L4907" t="s">
        <v>352</v>
      </c>
      <c r="M4907" t="s">
        <v>8</v>
      </c>
      <c r="N4907" t="b">
        <v>0</v>
      </c>
      <c r="O4907">
        <v>0</v>
      </c>
      <c r="P4907">
        <v>1</v>
      </c>
      <c r="Q4907">
        <v>0</v>
      </c>
      <c r="R4907">
        <v>1</v>
      </c>
    </row>
    <row r="4908" spans="1:18" x14ac:dyDescent="0.25">
      <c r="A4908" t="s">
        <v>14</v>
      </c>
      <c r="B4908" t="s">
        <v>6</v>
      </c>
      <c r="C4908">
        <v>2</v>
      </c>
      <c r="D4908">
        <v>4</v>
      </c>
      <c r="E4908">
        <v>2</v>
      </c>
      <c r="F4908" s="15">
        <v>46195</v>
      </c>
      <c r="G4908" t="s">
        <v>602</v>
      </c>
      <c r="H4908">
        <v>4</v>
      </c>
      <c r="I4908">
        <v>2026</v>
      </c>
      <c r="J4908">
        <v>6</v>
      </c>
      <c r="K4908" t="s">
        <v>87</v>
      </c>
      <c r="L4908" t="s">
        <v>41</v>
      </c>
      <c r="M4908" t="s">
        <v>6</v>
      </c>
      <c r="N4908" t="b">
        <v>0</v>
      </c>
      <c r="O4908">
        <v>0</v>
      </c>
      <c r="P4908">
        <v>1</v>
      </c>
      <c r="Q4908">
        <v>0</v>
      </c>
      <c r="R4908">
        <v>0</v>
      </c>
    </row>
    <row r="4909" spans="1:18" x14ac:dyDescent="0.25">
      <c r="A4909" t="s">
        <v>14</v>
      </c>
      <c r="B4909" t="s">
        <v>6</v>
      </c>
      <c r="C4909">
        <v>2</v>
      </c>
      <c r="D4909">
        <v>4</v>
      </c>
      <c r="E4909">
        <v>2</v>
      </c>
      <c r="F4909" s="15">
        <v>46195</v>
      </c>
      <c r="G4909" t="s">
        <v>602</v>
      </c>
      <c r="H4909">
        <v>4</v>
      </c>
      <c r="I4909">
        <v>2026</v>
      </c>
      <c r="J4909">
        <v>6</v>
      </c>
      <c r="K4909" t="s">
        <v>87</v>
      </c>
      <c r="L4909" t="s">
        <v>326</v>
      </c>
      <c r="M4909" t="s">
        <v>6</v>
      </c>
      <c r="N4909" t="b">
        <v>0</v>
      </c>
      <c r="O4909">
        <v>0</v>
      </c>
      <c r="P4909">
        <v>1</v>
      </c>
      <c r="Q4909">
        <v>0</v>
      </c>
      <c r="R4909">
        <v>0</v>
      </c>
    </row>
    <row r="4910" spans="1:18" x14ac:dyDescent="0.25">
      <c r="A4910" t="s">
        <v>41</v>
      </c>
      <c r="B4910" t="s">
        <v>6</v>
      </c>
      <c r="C4910">
        <v>3</v>
      </c>
      <c r="D4910">
        <v>4</v>
      </c>
      <c r="E4910">
        <v>2</v>
      </c>
      <c r="F4910" s="15">
        <v>46195</v>
      </c>
      <c r="G4910" t="s">
        <v>602</v>
      </c>
      <c r="H4910">
        <v>4</v>
      </c>
      <c r="I4910">
        <v>2026</v>
      </c>
      <c r="J4910">
        <v>6</v>
      </c>
      <c r="K4910" t="s">
        <v>87</v>
      </c>
      <c r="L4910" t="s">
        <v>352</v>
      </c>
      <c r="M4910" t="s">
        <v>8</v>
      </c>
      <c r="N4910" t="b">
        <v>0</v>
      </c>
      <c r="O4910">
        <v>0</v>
      </c>
      <c r="P4910">
        <v>1</v>
      </c>
      <c r="Q4910">
        <v>0</v>
      </c>
      <c r="R4910">
        <v>1</v>
      </c>
    </row>
    <row r="4911" spans="1:18" x14ac:dyDescent="0.25">
      <c r="A4911" t="s">
        <v>41</v>
      </c>
      <c r="B4911" t="s">
        <v>6</v>
      </c>
      <c r="C4911">
        <v>3</v>
      </c>
      <c r="D4911">
        <v>4</v>
      </c>
      <c r="E4911">
        <v>2</v>
      </c>
      <c r="F4911" s="15">
        <v>46195</v>
      </c>
      <c r="G4911" t="s">
        <v>602</v>
      </c>
      <c r="H4911">
        <v>4</v>
      </c>
      <c r="I4911">
        <v>2026</v>
      </c>
      <c r="J4911">
        <v>6</v>
      </c>
      <c r="K4911" t="s">
        <v>87</v>
      </c>
      <c r="L4911" t="s">
        <v>14</v>
      </c>
      <c r="M4911" t="s">
        <v>6</v>
      </c>
      <c r="N4911" t="b">
        <v>0</v>
      </c>
      <c r="O4911">
        <v>0</v>
      </c>
      <c r="P4911">
        <v>1</v>
      </c>
      <c r="Q4911">
        <v>0</v>
      </c>
      <c r="R4911">
        <v>0</v>
      </c>
    </row>
    <row r="4912" spans="1:18" x14ac:dyDescent="0.25">
      <c r="A4912" t="s">
        <v>41</v>
      </c>
      <c r="B4912" t="s">
        <v>6</v>
      </c>
      <c r="C4912">
        <v>3</v>
      </c>
      <c r="D4912">
        <v>4</v>
      </c>
      <c r="E4912">
        <v>2</v>
      </c>
      <c r="F4912" s="15">
        <v>46195</v>
      </c>
      <c r="G4912" t="s">
        <v>602</v>
      </c>
      <c r="H4912">
        <v>4</v>
      </c>
      <c r="I4912">
        <v>2026</v>
      </c>
      <c r="J4912">
        <v>6</v>
      </c>
      <c r="K4912" t="s">
        <v>87</v>
      </c>
      <c r="L4912" t="s">
        <v>326</v>
      </c>
      <c r="M4912" t="s">
        <v>6</v>
      </c>
      <c r="N4912" t="b">
        <v>0</v>
      </c>
      <c r="O4912">
        <v>0</v>
      </c>
      <c r="P4912">
        <v>1</v>
      </c>
      <c r="Q4912">
        <v>0</v>
      </c>
      <c r="R4912">
        <v>0</v>
      </c>
    </row>
    <row r="4913" spans="1:18" x14ac:dyDescent="0.25">
      <c r="A4913" t="s">
        <v>326</v>
      </c>
      <c r="B4913" t="s">
        <v>6</v>
      </c>
      <c r="C4913">
        <v>4</v>
      </c>
      <c r="D4913">
        <v>4</v>
      </c>
      <c r="E4913">
        <v>2</v>
      </c>
      <c r="F4913" s="15">
        <v>46195</v>
      </c>
      <c r="G4913" t="s">
        <v>602</v>
      </c>
      <c r="H4913">
        <v>4</v>
      </c>
      <c r="I4913">
        <v>2026</v>
      </c>
      <c r="J4913">
        <v>6</v>
      </c>
      <c r="K4913" t="s">
        <v>87</v>
      </c>
      <c r="L4913" t="s">
        <v>352</v>
      </c>
      <c r="M4913" t="s">
        <v>8</v>
      </c>
      <c r="N4913" t="b">
        <v>0</v>
      </c>
      <c r="O4913">
        <v>0</v>
      </c>
      <c r="P4913">
        <v>1</v>
      </c>
      <c r="Q4913">
        <v>0</v>
      </c>
      <c r="R4913">
        <v>1</v>
      </c>
    </row>
    <row r="4914" spans="1:18" x14ac:dyDescent="0.25">
      <c r="A4914" t="s">
        <v>326</v>
      </c>
      <c r="B4914" t="s">
        <v>6</v>
      </c>
      <c r="C4914">
        <v>4</v>
      </c>
      <c r="D4914">
        <v>4</v>
      </c>
      <c r="E4914">
        <v>2</v>
      </c>
      <c r="F4914" s="15">
        <v>46195</v>
      </c>
      <c r="G4914" t="s">
        <v>602</v>
      </c>
      <c r="H4914">
        <v>4</v>
      </c>
      <c r="I4914">
        <v>2026</v>
      </c>
      <c r="J4914">
        <v>6</v>
      </c>
      <c r="K4914" t="s">
        <v>87</v>
      </c>
      <c r="L4914" t="s">
        <v>14</v>
      </c>
      <c r="M4914" t="s">
        <v>6</v>
      </c>
      <c r="N4914" t="b">
        <v>0</v>
      </c>
      <c r="O4914">
        <v>0</v>
      </c>
      <c r="P4914">
        <v>1</v>
      </c>
      <c r="Q4914">
        <v>0</v>
      </c>
      <c r="R4914">
        <v>0</v>
      </c>
    </row>
    <row r="4915" spans="1:18" x14ac:dyDescent="0.25">
      <c r="A4915" t="s">
        <v>326</v>
      </c>
      <c r="B4915" t="s">
        <v>6</v>
      </c>
      <c r="C4915">
        <v>4</v>
      </c>
      <c r="D4915">
        <v>4</v>
      </c>
      <c r="E4915">
        <v>2</v>
      </c>
      <c r="F4915" s="15">
        <v>46195</v>
      </c>
      <c r="G4915" t="s">
        <v>602</v>
      </c>
      <c r="H4915">
        <v>4</v>
      </c>
      <c r="I4915">
        <v>2026</v>
      </c>
      <c r="J4915">
        <v>6</v>
      </c>
      <c r="K4915" t="s">
        <v>87</v>
      </c>
      <c r="L4915" t="s">
        <v>41</v>
      </c>
      <c r="M4915" t="s">
        <v>6</v>
      </c>
      <c r="N4915" t="b">
        <v>0</v>
      </c>
      <c r="O4915">
        <v>0</v>
      </c>
      <c r="P4915">
        <v>1</v>
      </c>
      <c r="Q4915">
        <v>0</v>
      </c>
      <c r="R4915">
        <v>0</v>
      </c>
    </row>
    <row r="4916" spans="1:18" x14ac:dyDescent="0.25">
      <c r="A4916" t="s">
        <v>519</v>
      </c>
      <c r="B4916" t="s">
        <v>6</v>
      </c>
      <c r="C4916">
        <v>1</v>
      </c>
      <c r="D4916">
        <v>5</v>
      </c>
      <c r="E4916">
        <v>2</v>
      </c>
      <c r="F4916" s="15">
        <v>46195</v>
      </c>
      <c r="G4916" t="s">
        <v>603</v>
      </c>
      <c r="H4916">
        <v>4</v>
      </c>
      <c r="I4916">
        <v>2026</v>
      </c>
      <c r="J4916">
        <v>6</v>
      </c>
      <c r="K4916" t="s">
        <v>87</v>
      </c>
      <c r="L4916" t="s">
        <v>10</v>
      </c>
      <c r="M4916" t="s">
        <v>6</v>
      </c>
      <c r="N4916" t="b">
        <v>0</v>
      </c>
      <c r="O4916">
        <v>0</v>
      </c>
      <c r="P4916">
        <v>1</v>
      </c>
      <c r="Q4916">
        <v>0</v>
      </c>
      <c r="R4916">
        <v>0</v>
      </c>
    </row>
    <row r="4917" spans="1:18" x14ac:dyDescent="0.25">
      <c r="A4917" t="s">
        <v>519</v>
      </c>
      <c r="B4917" t="s">
        <v>6</v>
      </c>
      <c r="C4917">
        <v>1</v>
      </c>
      <c r="D4917">
        <v>5</v>
      </c>
      <c r="E4917">
        <v>2</v>
      </c>
      <c r="F4917" s="15">
        <v>46195</v>
      </c>
      <c r="G4917" t="s">
        <v>603</v>
      </c>
      <c r="H4917">
        <v>4</v>
      </c>
      <c r="I4917">
        <v>2026</v>
      </c>
      <c r="J4917">
        <v>6</v>
      </c>
      <c r="K4917" t="s">
        <v>87</v>
      </c>
      <c r="L4917" t="s">
        <v>578</v>
      </c>
      <c r="M4917" t="s">
        <v>8</v>
      </c>
      <c r="N4917" t="b">
        <v>0</v>
      </c>
      <c r="O4917">
        <v>0</v>
      </c>
      <c r="P4917">
        <v>1</v>
      </c>
      <c r="Q4917">
        <v>0</v>
      </c>
      <c r="R4917">
        <v>1</v>
      </c>
    </row>
    <row r="4918" spans="1:18" x14ac:dyDescent="0.25">
      <c r="A4918" t="s">
        <v>519</v>
      </c>
      <c r="B4918" t="s">
        <v>6</v>
      </c>
      <c r="C4918">
        <v>1</v>
      </c>
      <c r="D4918">
        <v>5</v>
      </c>
      <c r="E4918">
        <v>2</v>
      </c>
      <c r="F4918" s="15">
        <v>46195</v>
      </c>
      <c r="G4918" t="s">
        <v>603</v>
      </c>
      <c r="H4918">
        <v>4</v>
      </c>
      <c r="I4918">
        <v>2026</v>
      </c>
      <c r="J4918">
        <v>6</v>
      </c>
      <c r="K4918" t="s">
        <v>87</v>
      </c>
      <c r="L4918" t="s">
        <v>7</v>
      </c>
      <c r="M4918" t="s">
        <v>6</v>
      </c>
      <c r="N4918" t="b">
        <v>0</v>
      </c>
      <c r="O4918">
        <v>0</v>
      </c>
      <c r="P4918">
        <v>1</v>
      </c>
      <c r="Q4918">
        <v>0</v>
      </c>
      <c r="R4918">
        <v>0</v>
      </c>
    </row>
    <row r="4919" spans="1:18" x14ac:dyDescent="0.25">
      <c r="A4919" t="s">
        <v>10</v>
      </c>
      <c r="B4919" t="s">
        <v>6</v>
      </c>
      <c r="C4919">
        <v>2</v>
      </c>
      <c r="D4919">
        <v>5</v>
      </c>
      <c r="E4919">
        <v>2</v>
      </c>
      <c r="F4919" s="15">
        <v>46195</v>
      </c>
      <c r="G4919" t="s">
        <v>603</v>
      </c>
      <c r="H4919">
        <v>4</v>
      </c>
      <c r="I4919">
        <v>2026</v>
      </c>
      <c r="J4919">
        <v>6</v>
      </c>
      <c r="K4919" t="s">
        <v>87</v>
      </c>
      <c r="L4919" t="s">
        <v>519</v>
      </c>
      <c r="M4919" t="s">
        <v>6</v>
      </c>
      <c r="N4919" t="b">
        <v>0</v>
      </c>
      <c r="O4919">
        <v>0</v>
      </c>
      <c r="P4919">
        <v>1</v>
      </c>
      <c r="Q4919">
        <v>0</v>
      </c>
      <c r="R4919">
        <v>0</v>
      </c>
    </row>
    <row r="4920" spans="1:18" x14ac:dyDescent="0.25">
      <c r="A4920" t="s">
        <v>10</v>
      </c>
      <c r="B4920" t="s">
        <v>6</v>
      </c>
      <c r="C4920">
        <v>2</v>
      </c>
      <c r="D4920">
        <v>5</v>
      </c>
      <c r="E4920">
        <v>2</v>
      </c>
      <c r="F4920" s="15">
        <v>46195</v>
      </c>
      <c r="G4920" t="s">
        <v>603</v>
      </c>
      <c r="H4920">
        <v>4</v>
      </c>
      <c r="I4920">
        <v>2026</v>
      </c>
      <c r="J4920">
        <v>6</v>
      </c>
      <c r="K4920" t="s">
        <v>87</v>
      </c>
      <c r="L4920" t="s">
        <v>578</v>
      </c>
      <c r="M4920" t="s">
        <v>8</v>
      </c>
      <c r="N4920" t="b">
        <v>0</v>
      </c>
      <c r="O4920">
        <v>0</v>
      </c>
      <c r="P4920">
        <v>1</v>
      </c>
      <c r="Q4920">
        <v>0</v>
      </c>
      <c r="R4920">
        <v>1</v>
      </c>
    </row>
    <row r="4921" spans="1:18" x14ac:dyDescent="0.25">
      <c r="A4921" t="s">
        <v>10</v>
      </c>
      <c r="B4921" t="s">
        <v>6</v>
      </c>
      <c r="C4921">
        <v>2</v>
      </c>
      <c r="D4921">
        <v>5</v>
      </c>
      <c r="E4921">
        <v>2</v>
      </c>
      <c r="F4921" s="15">
        <v>46195</v>
      </c>
      <c r="G4921" t="s">
        <v>603</v>
      </c>
      <c r="H4921">
        <v>4</v>
      </c>
      <c r="I4921">
        <v>2026</v>
      </c>
      <c r="J4921">
        <v>6</v>
      </c>
      <c r="K4921" t="s">
        <v>87</v>
      </c>
      <c r="L4921" t="s">
        <v>7</v>
      </c>
      <c r="M4921" t="s">
        <v>6</v>
      </c>
      <c r="N4921" t="b">
        <v>0</v>
      </c>
      <c r="O4921">
        <v>0</v>
      </c>
      <c r="P4921">
        <v>1</v>
      </c>
      <c r="Q4921">
        <v>0</v>
      </c>
      <c r="R4921">
        <v>0</v>
      </c>
    </row>
    <row r="4922" spans="1:18" x14ac:dyDescent="0.25">
      <c r="A4922" t="s">
        <v>578</v>
      </c>
      <c r="B4922" t="s">
        <v>8</v>
      </c>
      <c r="C4922">
        <v>3</v>
      </c>
      <c r="D4922">
        <v>5</v>
      </c>
      <c r="E4922">
        <v>2</v>
      </c>
      <c r="F4922" s="15">
        <v>46195</v>
      </c>
      <c r="G4922" t="s">
        <v>603</v>
      </c>
      <c r="H4922">
        <v>4</v>
      </c>
      <c r="I4922">
        <v>2026</v>
      </c>
      <c r="J4922">
        <v>6</v>
      </c>
      <c r="K4922" t="s">
        <v>87</v>
      </c>
      <c r="L4922" t="s">
        <v>519</v>
      </c>
      <c r="M4922" t="s">
        <v>6</v>
      </c>
      <c r="N4922" t="b">
        <v>0</v>
      </c>
      <c r="O4922">
        <v>1</v>
      </c>
      <c r="P4922">
        <v>0</v>
      </c>
      <c r="Q4922">
        <v>0</v>
      </c>
      <c r="R4922">
        <v>0</v>
      </c>
    </row>
    <row r="4923" spans="1:18" x14ac:dyDescent="0.25">
      <c r="A4923" t="s">
        <v>578</v>
      </c>
      <c r="B4923" t="s">
        <v>8</v>
      </c>
      <c r="C4923">
        <v>3</v>
      </c>
      <c r="D4923">
        <v>5</v>
      </c>
      <c r="E4923">
        <v>2</v>
      </c>
      <c r="F4923" s="15">
        <v>46195</v>
      </c>
      <c r="G4923" t="s">
        <v>603</v>
      </c>
      <c r="H4923">
        <v>4</v>
      </c>
      <c r="I4923">
        <v>2026</v>
      </c>
      <c r="J4923">
        <v>6</v>
      </c>
      <c r="K4923" t="s">
        <v>87</v>
      </c>
      <c r="L4923" t="s">
        <v>10</v>
      </c>
      <c r="M4923" t="s">
        <v>6</v>
      </c>
      <c r="N4923" t="b">
        <v>0</v>
      </c>
      <c r="O4923">
        <v>1</v>
      </c>
      <c r="P4923">
        <v>0</v>
      </c>
      <c r="Q4923">
        <v>0</v>
      </c>
      <c r="R4923">
        <v>0</v>
      </c>
    </row>
    <row r="4924" spans="1:18" x14ac:dyDescent="0.25">
      <c r="A4924" t="s">
        <v>578</v>
      </c>
      <c r="B4924" t="s">
        <v>8</v>
      </c>
      <c r="C4924">
        <v>3</v>
      </c>
      <c r="D4924">
        <v>5</v>
      </c>
      <c r="E4924">
        <v>2</v>
      </c>
      <c r="F4924" s="15">
        <v>46195</v>
      </c>
      <c r="G4924" t="s">
        <v>603</v>
      </c>
      <c r="H4924">
        <v>4</v>
      </c>
      <c r="I4924">
        <v>2026</v>
      </c>
      <c r="J4924">
        <v>6</v>
      </c>
      <c r="K4924" t="s">
        <v>87</v>
      </c>
      <c r="L4924" t="s">
        <v>7</v>
      </c>
      <c r="M4924" t="s">
        <v>6</v>
      </c>
      <c r="N4924" t="b">
        <v>0</v>
      </c>
      <c r="O4924">
        <v>1</v>
      </c>
      <c r="P4924">
        <v>0</v>
      </c>
      <c r="Q4924">
        <v>0</v>
      </c>
      <c r="R4924">
        <v>0</v>
      </c>
    </row>
    <row r="4925" spans="1:18" x14ac:dyDescent="0.25">
      <c r="A4925" t="s">
        <v>7</v>
      </c>
      <c r="B4925" t="s">
        <v>6</v>
      </c>
      <c r="C4925">
        <v>4</v>
      </c>
      <c r="D4925">
        <v>5</v>
      </c>
      <c r="E4925">
        <v>2</v>
      </c>
      <c r="F4925" s="15">
        <v>46195</v>
      </c>
      <c r="G4925" t="s">
        <v>603</v>
      </c>
      <c r="H4925">
        <v>4</v>
      </c>
      <c r="I4925">
        <v>2026</v>
      </c>
      <c r="J4925">
        <v>6</v>
      </c>
      <c r="K4925" t="s">
        <v>87</v>
      </c>
      <c r="L4925" t="s">
        <v>519</v>
      </c>
      <c r="M4925" t="s">
        <v>6</v>
      </c>
      <c r="N4925" t="b">
        <v>0</v>
      </c>
      <c r="O4925">
        <v>0</v>
      </c>
      <c r="P4925">
        <v>1</v>
      </c>
      <c r="Q4925">
        <v>0</v>
      </c>
      <c r="R4925">
        <v>0</v>
      </c>
    </row>
    <row r="4926" spans="1:18" x14ac:dyDescent="0.25">
      <c r="A4926" t="s">
        <v>7</v>
      </c>
      <c r="B4926" t="s">
        <v>6</v>
      </c>
      <c r="C4926">
        <v>4</v>
      </c>
      <c r="D4926">
        <v>5</v>
      </c>
      <c r="E4926">
        <v>2</v>
      </c>
      <c r="F4926" s="15">
        <v>46195</v>
      </c>
      <c r="G4926" t="s">
        <v>603</v>
      </c>
      <c r="H4926">
        <v>4</v>
      </c>
      <c r="I4926">
        <v>2026</v>
      </c>
      <c r="J4926">
        <v>6</v>
      </c>
      <c r="K4926" t="s">
        <v>87</v>
      </c>
      <c r="L4926" t="s">
        <v>10</v>
      </c>
      <c r="M4926" t="s">
        <v>6</v>
      </c>
      <c r="N4926" t="b">
        <v>0</v>
      </c>
      <c r="O4926">
        <v>0</v>
      </c>
      <c r="P4926">
        <v>1</v>
      </c>
      <c r="Q4926">
        <v>0</v>
      </c>
      <c r="R4926">
        <v>0</v>
      </c>
    </row>
    <row r="4927" spans="1:18" x14ac:dyDescent="0.25">
      <c r="A4927" t="s">
        <v>7</v>
      </c>
      <c r="B4927" t="s">
        <v>6</v>
      </c>
      <c r="C4927">
        <v>4</v>
      </c>
      <c r="D4927">
        <v>5</v>
      </c>
      <c r="E4927">
        <v>2</v>
      </c>
      <c r="F4927" s="15">
        <v>46195</v>
      </c>
      <c r="G4927" t="s">
        <v>603</v>
      </c>
      <c r="H4927">
        <v>4</v>
      </c>
      <c r="I4927">
        <v>2026</v>
      </c>
      <c r="J4927">
        <v>6</v>
      </c>
      <c r="K4927" t="s">
        <v>87</v>
      </c>
      <c r="L4927" t="s">
        <v>578</v>
      </c>
      <c r="M4927" t="s">
        <v>8</v>
      </c>
      <c r="N4927" t="b">
        <v>0</v>
      </c>
      <c r="O4927">
        <v>0</v>
      </c>
      <c r="P4927">
        <v>1</v>
      </c>
      <c r="Q4927">
        <v>0</v>
      </c>
      <c r="R4927">
        <v>1</v>
      </c>
    </row>
    <row r="4928" spans="1:18" x14ac:dyDescent="0.25">
      <c r="A4928" t="s">
        <v>28</v>
      </c>
      <c r="B4928" t="s">
        <v>6</v>
      </c>
      <c r="C4928">
        <v>1</v>
      </c>
      <c r="D4928">
        <v>6</v>
      </c>
      <c r="E4928">
        <v>2</v>
      </c>
      <c r="F4928" s="15">
        <v>46195</v>
      </c>
      <c r="G4928" t="s">
        <v>604</v>
      </c>
      <c r="H4928">
        <v>4</v>
      </c>
      <c r="I4928">
        <v>2026</v>
      </c>
      <c r="J4928">
        <v>6</v>
      </c>
      <c r="K4928" t="s">
        <v>87</v>
      </c>
      <c r="L4928" t="s">
        <v>17</v>
      </c>
      <c r="M4928" t="s">
        <v>6</v>
      </c>
      <c r="N4928" t="b">
        <v>0</v>
      </c>
      <c r="O4928">
        <v>0</v>
      </c>
      <c r="P4928">
        <v>1</v>
      </c>
      <c r="Q4928">
        <v>0</v>
      </c>
      <c r="R4928">
        <v>0</v>
      </c>
    </row>
    <row r="4929" spans="1:18" x14ac:dyDescent="0.25">
      <c r="A4929" t="s">
        <v>28</v>
      </c>
      <c r="B4929" t="s">
        <v>6</v>
      </c>
      <c r="C4929">
        <v>1</v>
      </c>
      <c r="D4929">
        <v>6</v>
      </c>
      <c r="E4929">
        <v>2</v>
      </c>
      <c r="F4929" s="15">
        <v>46195</v>
      </c>
      <c r="G4929" t="s">
        <v>604</v>
      </c>
      <c r="H4929">
        <v>4</v>
      </c>
      <c r="I4929">
        <v>2026</v>
      </c>
      <c r="J4929">
        <v>6</v>
      </c>
      <c r="K4929" t="s">
        <v>87</v>
      </c>
      <c r="L4929" t="s">
        <v>15</v>
      </c>
      <c r="M4929" t="s">
        <v>8</v>
      </c>
      <c r="N4929" t="b">
        <v>0</v>
      </c>
      <c r="O4929">
        <v>0</v>
      </c>
      <c r="P4929">
        <v>1</v>
      </c>
      <c r="Q4929">
        <v>0</v>
      </c>
      <c r="R4929">
        <v>1</v>
      </c>
    </row>
    <row r="4930" spans="1:18" x14ac:dyDescent="0.25">
      <c r="A4930" t="s">
        <v>28</v>
      </c>
      <c r="B4930" t="s">
        <v>6</v>
      </c>
      <c r="C4930">
        <v>1</v>
      </c>
      <c r="D4930">
        <v>6</v>
      </c>
      <c r="E4930">
        <v>2</v>
      </c>
      <c r="F4930" s="15">
        <v>46195</v>
      </c>
      <c r="G4930" t="s">
        <v>604</v>
      </c>
      <c r="H4930">
        <v>4</v>
      </c>
      <c r="I4930">
        <v>2026</v>
      </c>
      <c r="J4930">
        <v>6</v>
      </c>
      <c r="K4930" t="s">
        <v>87</v>
      </c>
      <c r="L4930" t="s">
        <v>20</v>
      </c>
      <c r="M4930" t="s">
        <v>6</v>
      </c>
      <c r="N4930" t="b">
        <v>0</v>
      </c>
      <c r="O4930">
        <v>0</v>
      </c>
      <c r="P4930">
        <v>1</v>
      </c>
      <c r="Q4930">
        <v>0</v>
      </c>
      <c r="R4930">
        <v>0</v>
      </c>
    </row>
    <row r="4931" spans="1:18" x14ac:dyDescent="0.25">
      <c r="A4931" t="s">
        <v>17</v>
      </c>
      <c r="B4931" t="s">
        <v>6</v>
      </c>
      <c r="C4931">
        <v>2</v>
      </c>
      <c r="D4931">
        <v>6</v>
      </c>
      <c r="E4931">
        <v>2</v>
      </c>
      <c r="F4931" s="15">
        <v>46195</v>
      </c>
      <c r="G4931" t="s">
        <v>604</v>
      </c>
      <c r="H4931">
        <v>4</v>
      </c>
      <c r="I4931">
        <v>2026</v>
      </c>
      <c r="J4931">
        <v>6</v>
      </c>
      <c r="K4931" t="s">
        <v>87</v>
      </c>
      <c r="L4931" t="s">
        <v>28</v>
      </c>
      <c r="M4931" t="s">
        <v>6</v>
      </c>
      <c r="N4931" t="b">
        <v>0</v>
      </c>
      <c r="O4931">
        <v>0</v>
      </c>
      <c r="P4931">
        <v>1</v>
      </c>
      <c r="Q4931">
        <v>0</v>
      </c>
      <c r="R4931">
        <v>0</v>
      </c>
    </row>
    <row r="4932" spans="1:18" x14ac:dyDescent="0.25">
      <c r="A4932" t="s">
        <v>17</v>
      </c>
      <c r="B4932" t="s">
        <v>6</v>
      </c>
      <c r="C4932">
        <v>2</v>
      </c>
      <c r="D4932">
        <v>6</v>
      </c>
      <c r="E4932">
        <v>2</v>
      </c>
      <c r="F4932" s="15">
        <v>46195</v>
      </c>
      <c r="G4932" t="s">
        <v>604</v>
      </c>
      <c r="H4932">
        <v>4</v>
      </c>
      <c r="I4932">
        <v>2026</v>
      </c>
      <c r="J4932">
        <v>6</v>
      </c>
      <c r="K4932" t="s">
        <v>87</v>
      </c>
      <c r="L4932" t="s">
        <v>15</v>
      </c>
      <c r="M4932" t="s">
        <v>8</v>
      </c>
      <c r="N4932" t="b">
        <v>0</v>
      </c>
      <c r="O4932">
        <v>0</v>
      </c>
      <c r="P4932">
        <v>1</v>
      </c>
      <c r="Q4932">
        <v>0</v>
      </c>
      <c r="R4932">
        <v>1</v>
      </c>
    </row>
    <row r="4933" spans="1:18" x14ac:dyDescent="0.25">
      <c r="A4933" t="s">
        <v>17</v>
      </c>
      <c r="B4933" t="s">
        <v>6</v>
      </c>
      <c r="C4933">
        <v>2</v>
      </c>
      <c r="D4933">
        <v>6</v>
      </c>
      <c r="E4933">
        <v>2</v>
      </c>
      <c r="F4933" s="15">
        <v>46195</v>
      </c>
      <c r="G4933" t="s">
        <v>604</v>
      </c>
      <c r="H4933">
        <v>4</v>
      </c>
      <c r="I4933">
        <v>2026</v>
      </c>
      <c r="J4933">
        <v>6</v>
      </c>
      <c r="K4933" t="s">
        <v>87</v>
      </c>
      <c r="L4933" t="s">
        <v>20</v>
      </c>
      <c r="M4933" t="s">
        <v>6</v>
      </c>
      <c r="N4933" t="b">
        <v>0</v>
      </c>
      <c r="O4933">
        <v>0</v>
      </c>
      <c r="P4933">
        <v>1</v>
      </c>
      <c r="Q4933">
        <v>0</v>
      </c>
      <c r="R4933">
        <v>0</v>
      </c>
    </row>
    <row r="4934" spans="1:18" x14ac:dyDescent="0.25">
      <c r="A4934" t="s">
        <v>15</v>
      </c>
      <c r="B4934" t="s">
        <v>8</v>
      </c>
      <c r="C4934">
        <v>3</v>
      </c>
      <c r="D4934">
        <v>6</v>
      </c>
      <c r="E4934">
        <v>2</v>
      </c>
      <c r="F4934" s="15">
        <v>46195</v>
      </c>
      <c r="G4934" t="s">
        <v>604</v>
      </c>
      <c r="H4934">
        <v>4</v>
      </c>
      <c r="I4934">
        <v>2026</v>
      </c>
      <c r="J4934">
        <v>6</v>
      </c>
      <c r="K4934" t="s">
        <v>87</v>
      </c>
      <c r="L4934" t="s">
        <v>28</v>
      </c>
      <c r="M4934" t="s">
        <v>6</v>
      </c>
      <c r="N4934" t="b">
        <v>0</v>
      </c>
      <c r="O4934">
        <v>1</v>
      </c>
      <c r="P4934">
        <v>0</v>
      </c>
      <c r="Q4934">
        <v>0</v>
      </c>
      <c r="R4934">
        <v>0</v>
      </c>
    </row>
    <row r="4935" spans="1:18" x14ac:dyDescent="0.25">
      <c r="A4935" t="s">
        <v>15</v>
      </c>
      <c r="B4935" t="s">
        <v>8</v>
      </c>
      <c r="C4935">
        <v>3</v>
      </c>
      <c r="D4935">
        <v>6</v>
      </c>
      <c r="E4935">
        <v>2</v>
      </c>
      <c r="F4935" s="15">
        <v>46195</v>
      </c>
      <c r="G4935" t="s">
        <v>604</v>
      </c>
      <c r="H4935">
        <v>4</v>
      </c>
      <c r="I4935">
        <v>2026</v>
      </c>
      <c r="J4935">
        <v>6</v>
      </c>
      <c r="K4935" t="s">
        <v>87</v>
      </c>
      <c r="L4935" t="s">
        <v>17</v>
      </c>
      <c r="M4935" t="s">
        <v>6</v>
      </c>
      <c r="N4935" t="b">
        <v>0</v>
      </c>
      <c r="O4935">
        <v>1</v>
      </c>
      <c r="P4935">
        <v>0</v>
      </c>
      <c r="Q4935">
        <v>0</v>
      </c>
      <c r="R4935">
        <v>0</v>
      </c>
    </row>
    <row r="4936" spans="1:18" x14ac:dyDescent="0.25">
      <c r="A4936" t="s">
        <v>15</v>
      </c>
      <c r="B4936" t="s">
        <v>8</v>
      </c>
      <c r="C4936">
        <v>3</v>
      </c>
      <c r="D4936">
        <v>6</v>
      </c>
      <c r="E4936">
        <v>2</v>
      </c>
      <c r="F4936" s="15">
        <v>46195</v>
      </c>
      <c r="G4936" t="s">
        <v>604</v>
      </c>
      <c r="H4936">
        <v>4</v>
      </c>
      <c r="I4936">
        <v>2026</v>
      </c>
      <c r="J4936">
        <v>6</v>
      </c>
      <c r="K4936" t="s">
        <v>87</v>
      </c>
      <c r="L4936" t="s">
        <v>20</v>
      </c>
      <c r="M4936" t="s">
        <v>6</v>
      </c>
      <c r="N4936" t="b">
        <v>0</v>
      </c>
      <c r="O4936">
        <v>1</v>
      </c>
      <c r="P4936">
        <v>0</v>
      </c>
      <c r="Q4936">
        <v>0</v>
      </c>
      <c r="R4936">
        <v>0</v>
      </c>
    </row>
    <row r="4937" spans="1:18" x14ac:dyDescent="0.25">
      <c r="A4937" t="s">
        <v>20</v>
      </c>
      <c r="B4937" t="s">
        <v>6</v>
      </c>
      <c r="C4937">
        <v>4</v>
      </c>
      <c r="D4937">
        <v>6</v>
      </c>
      <c r="E4937">
        <v>2</v>
      </c>
      <c r="F4937" s="15">
        <v>46195</v>
      </c>
      <c r="G4937" t="s">
        <v>604</v>
      </c>
      <c r="H4937">
        <v>4</v>
      </c>
      <c r="I4937">
        <v>2026</v>
      </c>
      <c r="J4937">
        <v>6</v>
      </c>
      <c r="K4937" t="s">
        <v>87</v>
      </c>
      <c r="L4937" t="s">
        <v>28</v>
      </c>
      <c r="M4937" t="s">
        <v>6</v>
      </c>
      <c r="N4937" t="b">
        <v>0</v>
      </c>
      <c r="O4937">
        <v>0</v>
      </c>
      <c r="P4937">
        <v>1</v>
      </c>
      <c r="Q4937">
        <v>0</v>
      </c>
      <c r="R4937">
        <v>0</v>
      </c>
    </row>
    <row r="4938" spans="1:18" x14ac:dyDescent="0.25">
      <c r="A4938" t="s">
        <v>20</v>
      </c>
      <c r="B4938" t="s">
        <v>6</v>
      </c>
      <c r="C4938">
        <v>4</v>
      </c>
      <c r="D4938">
        <v>6</v>
      </c>
      <c r="E4938">
        <v>2</v>
      </c>
      <c r="F4938" s="15">
        <v>46195</v>
      </c>
      <c r="G4938" t="s">
        <v>604</v>
      </c>
      <c r="H4938">
        <v>4</v>
      </c>
      <c r="I4938">
        <v>2026</v>
      </c>
      <c r="J4938">
        <v>6</v>
      </c>
      <c r="K4938" t="s">
        <v>87</v>
      </c>
      <c r="L4938" t="s">
        <v>17</v>
      </c>
      <c r="M4938" t="s">
        <v>6</v>
      </c>
      <c r="N4938" t="b">
        <v>0</v>
      </c>
      <c r="O4938">
        <v>0</v>
      </c>
      <c r="P4938">
        <v>1</v>
      </c>
      <c r="Q4938">
        <v>0</v>
      </c>
      <c r="R4938">
        <v>0</v>
      </c>
    </row>
    <row r="4939" spans="1:18" x14ac:dyDescent="0.25">
      <c r="A4939" t="s">
        <v>20</v>
      </c>
      <c r="B4939" t="s">
        <v>6</v>
      </c>
      <c r="C4939">
        <v>4</v>
      </c>
      <c r="D4939">
        <v>6</v>
      </c>
      <c r="E4939">
        <v>2</v>
      </c>
      <c r="F4939" s="15">
        <v>46195</v>
      </c>
      <c r="G4939" t="s">
        <v>604</v>
      </c>
      <c r="H4939">
        <v>4</v>
      </c>
      <c r="I4939">
        <v>2026</v>
      </c>
      <c r="J4939">
        <v>6</v>
      </c>
      <c r="K4939" t="s">
        <v>87</v>
      </c>
      <c r="L4939" t="s">
        <v>15</v>
      </c>
      <c r="M4939" t="s">
        <v>8</v>
      </c>
      <c r="N4939" t="b">
        <v>0</v>
      </c>
      <c r="O4939">
        <v>0</v>
      </c>
      <c r="P4939">
        <v>1</v>
      </c>
      <c r="Q4939">
        <v>0</v>
      </c>
      <c r="R4939">
        <v>1</v>
      </c>
    </row>
    <row r="4940" spans="1:18" x14ac:dyDescent="0.25">
      <c r="A4940" t="s">
        <v>20</v>
      </c>
      <c r="B4940" t="s">
        <v>8</v>
      </c>
      <c r="C4940">
        <v>1</v>
      </c>
      <c r="D4940">
        <v>1</v>
      </c>
      <c r="E4940">
        <v>1</v>
      </c>
      <c r="F4940" s="15">
        <v>46202</v>
      </c>
      <c r="G4940" t="s">
        <v>610</v>
      </c>
      <c r="H4940">
        <v>4</v>
      </c>
      <c r="I4940">
        <v>2026</v>
      </c>
      <c r="J4940">
        <v>6</v>
      </c>
      <c r="K4940" t="s">
        <v>87</v>
      </c>
      <c r="L4940" t="s">
        <v>578</v>
      </c>
      <c r="M4940" t="s">
        <v>6</v>
      </c>
      <c r="N4940" t="b">
        <v>0</v>
      </c>
      <c r="O4940">
        <v>1</v>
      </c>
      <c r="P4940">
        <v>0</v>
      </c>
      <c r="Q4940">
        <v>0</v>
      </c>
      <c r="R4940">
        <v>0</v>
      </c>
    </row>
    <row r="4941" spans="1:18" x14ac:dyDescent="0.25">
      <c r="A4941" t="s">
        <v>20</v>
      </c>
      <c r="B4941" t="s">
        <v>8</v>
      </c>
      <c r="C4941">
        <v>1</v>
      </c>
      <c r="D4941">
        <v>1</v>
      </c>
      <c r="E4941">
        <v>1</v>
      </c>
      <c r="F4941" s="15">
        <v>46202</v>
      </c>
      <c r="G4941" t="s">
        <v>610</v>
      </c>
      <c r="H4941">
        <v>4</v>
      </c>
      <c r="I4941">
        <v>2026</v>
      </c>
      <c r="J4941">
        <v>6</v>
      </c>
      <c r="K4941" t="s">
        <v>87</v>
      </c>
      <c r="L4941" t="s">
        <v>605</v>
      </c>
      <c r="M4941" t="s">
        <v>6</v>
      </c>
      <c r="N4941" t="b">
        <v>0</v>
      </c>
      <c r="O4941">
        <v>1</v>
      </c>
      <c r="P4941">
        <v>0</v>
      </c>
      <c r="Q4941">
        <v>0</v>
      </c>
      <c r="R4941">
        <v>0</v>
      </c>
    </row>
    <row r="4942" spans="1:18" x14ac:dyDescent="0.25">
      <c r="A4942" t="s">
        <v>20</v>
      </c>
      <c r="B4942" t="s">
        <v>8</v>
      </c>
      <c r="C4942">
        <v>1</v>
      </c>
      <c r="D4942">
        <v>1</v>
      </c>
      <c r="E4942">
        <v>1</v>
      </c>
      <c r="F4942" s="15">
        <v>46202</v>
      </c>
      <c r="G4942" t="s">
        <v>610</v>
      </c>
      <c r="H4942">
        <v>4</v>
      </c>
      <c r="I4942">
        <v>2026</v>
      </c>
      <c r="J4942">
        <v>6</v>
      </c>
      <c r="K4942" t="s">
        <v>87</v>
      </c>
      <c r="L4942" t="s">
        <v>51</v>
      </c>
      <c r="M4942" t="s">
        <v>6</v>
      </c>
      <c r="N4942" t="b">
        <v>0</v>
      </c>
      <c r="O4942">
        <v>1</v>
      </c>
      <c r="P4942">
        <v>0</v>
      </c>
      <c r="Q4942">
        <v>0</v>
      </c>
      <c r="R4942">
        <v>0</v>
      </c>
    </row>
    <row r="4943" spans="1:18" x14ac:dyDescent="0.25">
      <c r="A4943" t="s">
        <v>578</v>
      </c>
      <c r="B4943" t="s">
        <v>6</v>
      </c>
      <c r="C4943">
        <v>2</v>
      </c>
      <c r="D4943">
        <v>1</v>
      </c>
      <c r="E4943">
        <v>1</v>
      </c>
      <c r="F4943" s="15">
        <v>46202</v>
      </c>
      <c r="G4943" t="s">
        <v>610</v>
      </c>
      <c r="H4943">
        <v>4</v>
      </c>
      <c r="I4943">
        <v>2026</v>
      </c>
      <c r="J4943">
        <v>6</v>
      </c>
      <c r="K4943" t="s">
        <v>87</v>
      </c>
      <c r="L4943" t="s">
        <v>20</v>
      </c>
      <c r="M4943" t="s">
        <v>8</v>
      </c>
      <c r="N4943" t="b">
        <v>0</v>
      </c>
      <c r="O4943">
        <v>0</v>
      </c>
      <c r="P4943">
        <v>1</v>
      </c>
      <c r="Q4943">
        <v>0</v>
      </c>
      <c r="R4943">
        <v>1</v>
      </c>
    </row>
    <row r="4944" spans="1:18" x14ac:dyDescent="0.25">
      <c r="A4944" t="s">
        <v>578</v>
      </c>
      <c r="B4944" t="s">
        <v>6</v>
      </c>
      <c r="C4944">
        <v>2</v>
      </c>
      <c r="D4944">
        <v>1</v>
      </c>
      <c r="E4944">
        <v>1</v>
      </c>
      <c r="F4944" s="15">
        <v>46202</v>
      </c>
      <c r="G4944" t="s">
        <v>610</v>
      </c>
      <c r="H4944">
        <v>4</v>
      </c>
      <c r="I4944">
        <v>2026</v>
      </c>
      <c r="J4944">
        <v>6</v>
      </c>
      <c r="K4944" t="s">
        <v>87</v>
      </c>
      <c r="L4944" t="s">
        <v>605</v>
      </c>
      <c r="M4944" t="s">
        <v>6</v>
      </c>
      <c r="N4944" t="b">
        <v>0</v>
      </c>
      <c r="O4944">
        <v>0</v>
      </c>
      <c r="P4944">
        <v>1</v>
      </c>
      <c r="Q4944">
        <v>0</v>
      </c>
      <c r="R4944">
        <v>0</v>
      </c>
    </row>
    <row r="4945" spans="1:18" x14ac:dyDescent="0.25">
      <c r="A4945" t="s">
        <v>578</v>
      </c>
      <c r="B4945" t="s">
        <v>6</v>
      </c>
      <c r="C4945">
        <v>2</v>
      </c>
      <c r="D4945">
        <v>1</v>
      </c>
      <c r="E4945">
        <v>1</v>
      </c>
      <c r="F4945" s="15">
        <v>46202</v>
      </c>
      <c r="G4945" t="s">
        <v>610</v>
      </c>
      <c r="H4945">
        <v>4</v>
      </c>
      <c r="I4945">
        <v>2026</v>
      </c>
      <c r="J4945">
        <v>6</v>
      </c>
      <c r="K4945" t="s">
        <v>87</v>
      </c>
      <c r="L4945" t="s">
        <v>51</v>
      </c>
      <c r="M4945" t="s">
        <v>6</v>
      </c>
      <c r="N4945" t="b">
        <v>0</v>
      </c>
      <c r="O4945">
        <v>0</v>
      </c>
      <c r="P4945">
        <v>1</v>
      </c>
      <c r="Q4945">
        <v>0</v>
      </c>
      <c r="R4945">
        <v>0</v>
      </c>
    </row>
    <row r="4946" spans="1:18" x14ac:dyDescent="0.25">
      <c r="A4946" t="s">
        <v>605</v>
      </c>
      <c r="B4946" t="s">
        <v>6</v>
      </c>
      <c r="C4946">
        <v>3</v>
      </c>
      <c r="D4946">
        <v>1</v>
      </c>
      <c r="E4946">
        <v>1</v>
      </c>
      <c r="F4946" s="15">
        <v>46202</v>
      </c>
      <c r="G4946" t="s">
        <v>610</v>
      </c>
      <c r="H4946">
        <v>4</v>
      </c>
      <c r="I4946">
        <v>2026</v>
      </c>
      <c r="J4946">
        <v>6</v>
      </c>
      <c r="K4946" t="s">
        <v>87</v>
      </c>
      <c r="L4946" t="s">
        <v>20</v>
      </c>
      <c r="M4946" t="s">
        <v>8</v>
      </c>
      <c r="N4946" t="b">
        <v>0</v>
      </c>
      <c r="O4946">
        <v>0</v>
      </c>
      <c r="P4946">
        <v>1</v>
      </c>
      <c r="Q4946">
        <v>0</v>
      </c>
      <c r="R4946">
        <v>1</v>
      </c>
    </row>
    <row r="4947" spans="1:18" x14ac:dyDescent="0.25">
      <c r="A4947" t="s">
        <v>605</v>
      </c>
      <c r="B4947" t="s">
        <v>6</v>
      </c>
      <c r="C4947">
        <v>3</v>
      </c>
      <c r="D4947">
        <v>1</v>
      </c>
      <c r="E4947">
        <v>1</v>
      </c>
      <c r="F4947" s="15">
        <v>46202</v>
      </c>
      <c r="G4947" t="s">
        <v>610</v>
      </c>
      <c r="H4947">
        <v>4</v>
      </c>
      <c r="I4947">
        <v>2026</v>
      </c>
      <c r="J4947">
        <v>6</v>
      </c>
      <c r="K4947" t="s">
        <v>87</v>
      </c>
      <c r="L4947" t="s">
        <v>578</v>
      </c>
      <c r="M4947" t="s">
        <v>6</v>
      </c>
      <c r="N4947" t="b">
        <v>0</v>
      </c>
      <c r="O4947">
        <v>0</v>
      </c>
      <c r="P4947">
        <v>1</v>
      </c>
      <c r="Q4947">
        <v>0</v>
      </c>
      <c r="R4947">
        <v>0</v>
      </c>
    </row>
    <row r="4948" spans="1:18" x14ac:dyDescent="0.25">
      <c r="A4948" t="s">
        <v>605</v>
      </c>
      <c r="B4948" t="s">
        <v>6</v>
      </c>
      <c r="C4948">
        <v>3</v>
      </c>
      <c r="D4948">
        <v>1</v>
      </c>
      <c r="E4948">
        <v>1</v>
      </c>
      <c r="F4948" s="15">
        <v>46202</v>
      </c>
      <c r="G4948" t="s">
        <v>610</v>
      </c>
      <c r="H4948">
        <v>4</v>
      </c>
      <c r="I4948">
        <v>2026</v>
      </c>
      <c r="J4948">
        <v>6</v>
      </c>
      <c r="K4948" t="s">
        <v>87</v>
      </c>
      <c r="L4948" t="s">
        <v>51</v>
      </c>
      <c r="M4948" t="s">
        <v>6</v>
      </c>
      <c r="N4948" t="b">
        <v>0</v>
      </c>
      <c r="O4948">
        <v>0</v>
      </c>
      <c r="P4948">
        <v>1</v>
      </c>
      <c r="Q4948">
        <v>0</v>
      </c>
      <c r="R4948">
        <v>0</v>
      </c>
    </row>
    <row r="4949" spans="1:18" x14ac:dyDescent="0.25">
      <c r="A4949" t="s">
        <v>51</v>
      </c>
      <c r="B4949" t="s">
        <v>6</v>
      </c>
      <c r="C4949">
        <v>4</v>
      </c>
      <c r="D4949">
        <v>1</v>
      </c>
      <c r="E4949">
        <v>1</v>
      </c>
      <c r="F4949" s="15">
        <v>46202</v>
      </c>
      <c r="G4949" t="s">
        <v>610</v>
      </c>
      <c r="H4949">
        <v>4</v>
      </c>
      <c r="I4949">
        <v>2026</v>
      </c>
      <c r="J4949">
        <v>6</v>
      </c>
      <c r="K4949" t="s">
        <v>87</v>
      </c>
      <c r="L4949" t="s">
        <v>20</v>
      </c>
      <c r="M4949" t="s">
        <v>8</v>
      </c>
      <c r="N4949" t="b">
        <v>0</v>
      </c>
      <c r="O4949">
        <v>0</v>
      </c>
      <c r="P4949">
        <v>1</v>
      </c>
      <c r="Q4949">
        <v>0</v>
      </c>
      <c r="R4949">
        <v>1</v>
      </c>
    </row>
    <row r="4950" spans="1:18" x14ac:dyDescent="0.25">
      <c r="A4950" t="s">
        <v>51</v>
      </c>
      <c r="B4950" t="s">
        <v>6</v>
      </c>
      <c r="C4950">
        <v>4</v>
      </c>
      <c r="D4950">
        <v>1</v>
      </c>
      <c r="E4950">
        <v>1</v>
      </c>
      <c r="F4950" s="15">
        <v>46202</v>
      </c>
      <c r="G4950" t="s">
        <v>610</v>
      </c>
      <c r="H4950">
        <v>4</v>
      </c>
      <c r="I4950">
        <v>2026</v>
      </c>
      <c r="J4950">
        <v>6</v>
      </c>
      <c r="K4950" t="s">
        <v>87</v>
      </c>
      <c r="L4950" t="s">
        <v>578</v>
      </c>
      <c r="M4950" t="s">
        <v>6</v>
      </c>
      <c r="N4950" t="b">
        <v>0</v>
      </c>
      <c r="O4950">
        <v>0</v>
      </c>
      <c r="P4950">
        <v>1</v>
      </c>
      <c r="Q4950">
        <v>0</v>
      </c>
      <c r="R4950">
        <v>0</v>
      </c>
    </row>
    <row r="4951" spans="1:18" x14ac:dyDescent="0.25">
      <c r="A4951" t="s">
        <v>51</v>
      </c>
      <c r="B4951" t="s">
        <v>6</v>
      </c>
      <c r="C4951">
        <v>4</v>
      </c>
      <c r="D4951">
        <v>1</v>
      </c>
      <c r="E4951">
        <v>1</v>
      </c>
      <c r="F4951" s="15">
        <v>46202</v>
      </c>
      <c r="G4951" t="s">
        <v>610</v>
      </c>
      <c r="H4951">
        <v>4</v>
      </c>
      <c r="I4951">
        <v>2026</v>
      </c>
      <c r="J4951">
        <v>6</v>
      </c>
      <c r="K4951" t="s">
        <v>87</v>
      </c>
      <c r="L4951" t="s">
        <v>605</v>
      </c>
      <c r="M4951" t="s">
        <v>6</v>
      </c>
      <c r="N4951" t="b">
        <v>0</v>
      </c>
      <c r="O4951">
        <v>0</v>
      </c>
      <c r="P4951">
        <v>1</v>
      </c>
      <c r="Q4951">
        <v>0</v>
      </c>
      <c r="R4951">
        <v>0</v>
      </c>
    </row>
    <row r="4952" spans="1:18" x14ac:dyDescent="0.25">
      <c r="A4952" t="s">
        <v>10</v>
      </c>
      <c r="B4952" t="s">
        <v>6</v>
      </c>
      <c r="C4952">
        <v>1</v>
      </c>
      <c r="D4952">
        <v>2</v>
      </c>
      <c r="E4952">
        <v>1</v>
      </c>
      <c r="F4952" s="15">
        <v>46202</v>
      </c>
      <c r="G4952" t="s">
        <v>611</v>
      </c>
      <c r="H4952">
        <v>4</v>
      </c>
      <c r="I4952">
        <v>2026</v>
      </c>
      <c r="J4952">
        <v>6</v>
      </c>
      <c r="K4952" t="s">
        <v>87</v>
      </c>
      <c r="L4952" t="s">
        <v>590</v>
      </c>
      <c r="M4952" t="s">
        <v>8</v>
      </c>
      <c r="N4952" t="b">
        <v>0</v>
      </c>
      <c r="O4952">
        <v>0</v>
      </c>
      <c r="P4952">
        <v>1</v>
      </c>
      <c r="Q4952">
        <v>0</v>
      </c>
      <c r="R4952">
        <v>1</v>
      </c>
    </row>
    <row r="4953" spans="1:18" x14ac:dyDescent="0.25">
      <c r="A4953" t="s">
        <v>10</v>
      </c>
      <c r="B4953" t="s">
        <v>6</v>
      </c>
      <c r="C4953">
        <v>1</v>
      </c>
      <c r="D4953">
        <v>2</v>
      </c>
      <c r="E4953">
        <v>1</v>
      </c>
      <c r="F4953" s="15">
        <v>46202</v>
      </c>
      <c r="G4953" t="s">
        <v>611</v>
      </c>
      <c r="H4953">
        <v>4</v>
      </c>
      <c r="I4953">
        <v>2026</v>
      </c>
      <c r="J4953">
        <v>6</v>
      </c>
      <c r="K4953" t="s">
        <v>87</v>
      </c>
      <c r="L4953" t="s">
        <v>519</v>
      </c>
      <c r="M4953" t="s">
        <v>6</v>
      </c>
      <c r="N4953" t="b">
        <v>0</v>
      </c>
      <c r="O4953">
        <v>0</v>
      </c>
      <c r="P4953">
        <v>1</v>
      </c>
      <c r="Q4953">
        <v>0</v>
      </c>
      <c r="R4953">
        <v>0</v>
      </c>
    </row>
    <row r="4954" spans="1:18" x14ac:dyDescent="0.25">
      <c r="A4954" t="s">
        <v>10</v>
      </c>
      <c r="B4954" t="s">
        <v>6</v>
      </c>
      <c r="C4954">
        <v>1</v>
      </c>
      <c r="D4954">
        <v>2</v>
      </c>
      <c r="E4954">
        <v>1</v>
      </c>
      <c r="F4954" s="15">
        <v>46202</v>
      </c>
      <c r="G4954" t="s">
        <v>611</v>
      </c>
      <c r="H4954">
        <v>4</v>
      </c>
      <c r="I4954">
        <v>2026</v>
      </c>
      <c r="J4954">
        <v>6</v>
      </c>
      <c r="K4954" t="s">
        <v>87</v>
      </c>
      <c r="L4954" t="s">
        <v>363</v>
      </c>
      <c r="M4954" t="s">
        <v>6</v>
      </c>
      <c r="N4954" t="b">
        <v>0</v>
      </c>
      <c r="O4954">
        <v>0</v>
      </c>
      <c r="P4954">
        <v>1</v>
      </c>
      <c r="Q4954">
        <v>0</v>
      </c>
      <c r="R4954">
        <v>0</v>
      </c>
    </row>
    <row r="4955" spans="1:18" x14ac:dyDescent="0.25">
      <c r="A4955" t="s">
        <v>590</v>
      </c>
      <c r="B4955" t="s">
        <v>8</v>
      </c>
      <c r="C4955">
        <v>2</v>
      </c>
      <c r="D4955">
        <v>2</v>
      </c>
      <c r="E4955">
        <v>1</v>
      </c>
      <c r="F4955" s="15">
        <v>46202</v>
      </c>
      <c r="G4955" t="s">
        <v>611</v>
      </c>
      <c r="H4955">
        <v>4</v>
      </c>
      <c r="I4955">
        <v>2026</v>
      </c>
      <c r="J4955">
        <v>6</v>
      </c>
      <c r="K4955" t="s">
        <v>87</v>
      </c>
      <c r="L4955" t="s">
        <v>10</v>
      </c>
      <c r="M4955" t="s">
        <v>6</v>
      </c>
      <c r="N4955" t="b">
        <v>0</v>
      </c>
      <c r="O4955">
        <v>1</v>
      </c>
      <c r="P4955">
        <v>0</v>
      </c>
      <c r="Q4955">
        <v>0</v>
      </c>
      <c r="R4955">
        <v>0</v>
      </c>
    </row>
    <row r="4956" spans="1:18" x14ac:dyDescent="0.25">
      <c r="A4956" t="s">
        <v>590</v>
      </c>
      <c r="B4956" t="s">
        <v>8</v>
      </c>
      <c r="C4956">
        <v>2</v>
      </c>
      <c r="D4956">
        <v>2</v>
      </c>
      <c r="E4956">
        <v>1</v>
      </c>
      <c r="F4956" s="15">
        <v>46202</v>
      </c>
      <c r="G4956" t="s">
        <v>611</v>
      </c>
      <c r="H4956">
        <v>4</v>
      </c>
      <c r="I4956">
        <v>2026</v>
      </c>
      <c r="J4956">
        <v>6</v>
      </c>
      <c r="K4956" t="s">
        <v>87</v>
      </c>
      <c r="L4956" t="s">
        <v>519</v>
      </c>
      <c r="M4956" t="s">
        <v>6</v>
      </c>
      <c r="N4956" t="b">
        <v>0</v>
      </c>
      <c r="O4956">
        <v>1</v>
      </c>
      <c r="P4956">
        <v>0</v>
      </c>
      <c r="Q4956">
        <v>0</v>
      </c>
      <c r="R4956">
        <v>0</v>
      </c>
    </row>
    <row r="4957" spans="1:18" x14ac:dyDescent="0.25">
      <c r="A4957" t="s">
        <v>590</v>
      </c>
      <c r="B4957" t="s">
        <v>8</v>
      </c>
      <c r="C4957">
        <v>2</v>
      </c>
      <c r="D4957">
        <v>2</v>
      </c>
      <c r="E4957">
        <v>1</v>
      </c>
      <c r="F4957" s="15">
        <v>46202</v>
      </c>
      <c r="G4957" t="s">
        <v>611</v>
      </c>
      <c r="H4957">
        <v>4</v>
      </c>
      <c r="I4957">
        <v>2026</v>
      </c>
      <c r="J4957">
        <v>6</v>
      </c>
      <c r="K4957" t="s">
        <v>87</v>
      </c>
      <c r="L4957" t="s">
        <v>363</v>
      </c>
      <c r="M4957" t="s">
        <v>6</v>
      </c>
      <c r="N4957" t="b">
        <v>0</v>
      </c>
      <c r="O4957">
        <v>1</v>
      </c>
      <c r="P4957">
        <v>0</v>
      </c>
      <c r="Q4957">
        <v>0</v>
      </c>
      <c r="R4957">
        <v>0</v>
      </c>
    </row>
    <row r="4958" spans="1:18" x14ac:dyDescent="0.25">
      <c r="A4958" t="s">
        <v>519</v>
      </c>
      <c r="B4958" t="s">
        <v>6</v>
      </c>
      <c r="C4958">
        <v>3</v>
      </c>
      <c r="D4958">
        <v>2</v>
      </c>
      <c r="E4958">
        <v>1</v>
      </c>
      <c r="F4958" s="15">
        <v>46202</v>
      </c>
      <c r="G4958" t="s">
        <v>611</v>
      </c>
      <c r="H4958">
        <v>4</v>
      </c>
      <c r="I4958">
        <v>2026</v>
      </c>
      <c r="J4958">
        <v>6</v>
      </c>
      <c r="K4958" t="s">
        <v>87</v>
      </c>
      <c r="L4958" t="s">
        <v>10</v>
      </c>
      <c r="M4958" t="s">
        <v>6</v>
      </c>
      <c r="N4958" t="b">
        <v>0</v>
      </c>
      <c r="O4958">
        <v>0</v>
      </c>
      <c r="P4958">
        <v>1</v>
      </c>
      <c r="Q4958">
        <v>0</v>
      </c>
      <c r="R4958">
        <v>0</v>
      </c>
    </row>
    <row r="4959" spans="1:18" x14ac:dyDescent="0.25">
      <c r="A4959" t="s">
        <v>519</v>
      </c>
      <c r="B4959" t="s">
        <v>6</v>
      </c>
      <c r="C4959">
        <v>3</v>
      </c>
      <c r="D4959">
        <v>2</v>
      </c>
      <c r="E4959">
        <v>1</v>
      </c>
      <c r="F4959" s="15">
        <v>46202</v>
      </c>
      <c r="G4959" t="s">
        <v>611</v>
      </c>
      <c r="H4959">
        <v>4</v>
      </c>
      <c r="I4959">
        <v>2026</v>
      </c>
      <c r="J4959">
        <v>6</v>
      </c>
      <c r="K4959" t="s">
        <v>87</v>
      </c>
      <c r="L4959" t="s">
        <v>590</v>
      </c>
      <c r="M4959" t="s">
        <v>8</v>
      </c>
      <c r="N4959" t="b">
        <v>0</v>
      </c>
      <c r="O4959">
        <v>0</v>
      </c>
      <c r="P4959">
        <v>1</v>
      </c>
      <c r="Q4959">
        <v>0</v>
      </c>
      <c r="R4959">
        <v>1</v>
      </c>
    </row>
    <row r="4960" spans="1:18" x14ac:dyDescent="0.25">
      <c r="A4960" t="s">
        <v>519</v>
      </c>
      <c r="B4960" t="s">
        <v>6</v>
      </c>
      <c r="C4960">
        <v>3</v>
      </c>
      <c r="D4960">
        <v>2</v>
      </c>
      <c r="E4960">
        <v>1</v>
      </c>
      <c r="F4960" s="15">
        <v>46202</v>
      </c>
      <c r="G4960" t="s">
        <v>611</v>
      </c>
      <c r="H4960">
        <v>4</v>
      </c>
      <c r="I4960">
        <v>2026</v>
      </c>
      <c r="J4960">
        <v>6</v>
      </c>
      <c r="K4960" t="s">
        <v>87</v>
      </c>
      <c r="L4960" t="s">
        <v>363</v>
      </c>
      <c r="M4960" t="s">
        <v>6</v>
      </c>
      <c r="N4960" t="b">
        <v>0</v>
      </c>
      <c r="O4960">
        <v>0</v>
      </c>
      <c r="P4960">
        <v>1</v>
      </c>
      <c r="Q4960">
        <v>0</v>
      </c>
      <c r="R4960">
        <v>0</v>
      </c>
    </row>
    <row r="4961" spans="1:18" x14ac:dyDescent="0.25">
      <c r="A4961" t="s">
        <v>363</v>
      </c>
      <c r="B4961" t="s">
        <v>6</v>
      </c>
      <c r="C4961">
        <v>4</v>
      </c>
      <c r="D4961">
        <v>2</v>
      </c>
      <c r="E4961">
        <v>1</v>
      </c>
      <c r="F4961" s="15">
        <v>46202</v>
      </c>
      <c r="G4961" t="s">
        <v>611</v>
      </c>
      <c r="H4961">
        <v>4</v>
      </c>
      <c r="I4961">
        <v>2026</v>
      </c>
      <c r="J4961">
        <v>6</v>
      </c>
      <c r="K4961" t="s">
        <v>87</v>
      </c>
      <c r="L4961" t="s">
        <v>10</v>
      </c>
      <c r="M4961" t="s">
        <v>6</v>
      </c>
      <c r="N4961" t="b">
        <v>0</v>
      </c>
      <c r="O4961">
        <v>0</v>
      </c>
      <c r="P4961">
        <v>1</v>
      </c>
      <c r="Q4961">
        <v>0</v>
      </c>
      <c r="R4961">
        <v>0</v>
      </c>
    </row>
    <row r="4962" spans="1:18" x14ac:dyDescent="0.25">
      <c r="A4962" t="s">
        <v>363</v>
      </c>
      <c r="B4962" t="s">
        <v>6</v>
      </c>
      <c r="C4962">
        <v>4</v>
      </c>
      <c r="D4962">
        <v>2</v>
      </c>
      <c r="E4962">
        <v>1</v>
      </c>
      <c r="F4962" s="15">
        <v>46202</v>
      </c>
      <c r="G4962" t="s">
        <v>611</v>
      </c>
      <c r="H4962">
        <v>4</v>
      </c>
      <c r="I4962">
        <v>2026</v>
      </c>
      <c r="J4962">
        <v>6</v>
      </c>
      <c r="K4962" t="s">
        <v>87</v>
      </c>
      <c r="L4962" t="s">
        <v>590</v>
      </c>
      <c r="M4962" t="s">
        <v>8</v>
      </c>
      <c r="N4962" t="b">
        <v>0</v>
      </c>
      <c r="O4962">
        <v>0</v>
      </c>
      <c r="P4962">
        <v>1</v>
      </c>
      <c r="Q4962">
        <v>0</v>
      </c>
      <c r="R4962">
        <v>1</v>
      </c>
    </row>
    <row r="4963" spans="1:18" x14ac:dyDescent="0.25">
      <c r="A4963" t="s">
        <v>363</v>
      </c>
      <c r="B4963" t="s">
        <v>6</v>
      </c>
      <c r="C4963">
        <v>4</v>
      </c>
      <c r="D4963">
        <v>2</v>
      </c>
      <c r="E4963">
        <v>1</v>
      </c>
      <c r="F4963" s="15">
        <v>46202</v>
      </c>
      <c r="G4963" t="s">
        <v>611</v>
      </c>
      <c r="H4963">
        <v>4</v>
      </c>
      <c r="I4963">
        <v>2026</v>
      </c>
      <c r="J4963">
        <v>6</v>
      </c>
      <c r="K4963" t="s">
        <v>87</v>
      </c>
      <c r="L4963" t="s">
        <v>519</v>
      </c>
      <c r="M4963" t="s">
        <v>6</v>
      </c>
      <c r="N4963" t="b">
        <v>0</v>
      </c>
      <c r="O4963">
        <v>0</v>
      </c>
      <c r="P4963">
        <v>1</v>
      </c>
      <c r="Q4963">
        <v>0</v>
      </c>
      <c r="R4963">
        <v>0</v>
      </c>
    </row>
    <row r="4964" spans="1:18" x14ac:dyDescent="0.25">
      <c r="A4964" t="s">
        <v>352</v>
      </c>
      <c r="B4964" t="s">
        <v>6</v>
      </c>
      <c r="C4964">
        <v>1</v>
      </c>
      <c r="D4964">
        <v>3</v>
      </c>
      <c r="E4964">
        <v>1</v>
      </c>
      <c r="F4964" s="15">
        <v>46202</v>
      </c>
      <c r="G4964" t="s">
        <v>612</v>
      </c>
      <c r="H4964">
        <v>4</v>
      </c>
      <c r="I4964">
        <v>2026</v>
      </c>
      <c r="J4964">
        <v>6</v>
      </c>
      <c r="K4964" t="s">
        <v>87</v>
      </c>
      <c r="L4964" t="s">
        <v>28</v>
      </c>
      <c r="M4964" t="s">
        <v>8</v>
      </c>
      <c r="N4964" t="b">
        <v>0</v>
      </c>
      <c r="O4964">
        <v>0</v>
      </c>
      <c r="P4964">
        <v>1</v>
      </c>
      <c r="Q4964">
        <v>0</v>
      </c>
      <c r="R4964">
        <v>1</v>
      </c>
    </row>
    <row r="4965" spans="1:18" x14ac:dyDescent="0.25">
      <c r="A4965" t="s">
        <v>352</v>
      </c>
      <c r="B4965" t="s">
        <v>6</v>
      </c>
      <c r="C4965">
        <v>1</v>
      </c>
      <c r="D4965">
        <v>3</v>
      </c>
      <c r="E4965">
        <v>1</v>
      </c>
      <c r="F4965" s="15">
        <v>46202</v>
      </c>
      <c r="G4965" t="s">
        <v>612</v>
      </c>
      <c r="H4965">
        <v>4</v>
      </c>
      <c r="I4965">
        <v>2026</v>
      </c>
      <c r="J4965">
        <v>6</v>
      </c>
      <c r="K4965" t="s">
        <v>87</v>
      </c>
      <c r="L4965" t="s">
        <v>27</v>
      </c>
      <c r="M4965" t="s">
        <v>6</v>
      </c>
      <c r="N4965" t="b">
        <v>0</v>
      </c>
      <c r="O4965">
        <v>0</v>
      </c>
      <c r="P4965">
        <v>1</v>
      </c>
      <c r="Q4965">
        <v>0</v>
      </c>
      <c r="R4965">
        <v>0</v>
      </c>
    </row>
    <row r="4966" spans="1:18" x14ac:dyDescent="0.25">
      <c r="A4966" t="s">
        <v>352</v>
      </c>
      <c r="B4966" t="s">
        <v>6</v>
      </c>
      <c r="C4966">
        <v>1</v>
      </c>
      <c r="D4966">
        <v>3</v>
      </c>
      <c r="E4966">
        <v>1</v>
      </c>
      <c r="F4966" s="15">
        <v>46202</v>
      </c>
      <c r="G4966" t="s">
        <v>612</v>
      </c>
      <c r="H4966">
        <v>4</v>
      </c>
      <c r="I4966">
        <v>2026</v>
      </c>
      <c r="J4966">
        <v>6</v>
      </c>
      <c r="K4966" t="s">
        <v>87</v>
      </c>
      <c r="L4966" t="s">
        <v>19</v>
      </c>
      <c r="M4966" t="s">
        <v>6</v>
      </c>
      <c r="N4966" t="b">
        <v>0</v>
      </c>
      <c r="O4966">
        <v>0</v>
      </c>
      <c r="P4966">
        <v>1</v>
      </c>
      <c r="Q4966">
        <v>0</v>
      </c>
      <c r="R4966">
        <v>0</v>
      </c>
    </row>
    <row r="4967" spans="1:18" x14ac:dyDescent="0.25">
      <c r="A4967" t="s">
        <v>28</v>
      </c>
      <c r="B4967" t="s">
        <v>8</v>
      </c>
      <c r="C4967">
        <v>2</v>
      </c>
      <c r="D4967">
        <v>3</v>
      </c>
      <c r="E4967">
        <v>1</v>
      </c>
      <c r="F4967" s="15">
        <v>46202</v>
      </c>
      <c r="G4967" t="s">
        <v>612</v>
      </c>
      <c r="H4967">
        <v>4</v>
      </c>
      <c r="I4967">
        <v>2026</v>
      </c>
      <c r="J4967">
        <v>6</v>
      </c>
      <c r="K4967" t="s">
        <v>87</v>
      </c>
      <c r="L4967" t="s">
        <v>352</v>
      </c>
      <c r="M4967" t="s">
        <v>6</v>
      </c>
      <c r="N4967" t="b">
        <v>0</v>
      </c>
      <c r="O4967">
        <v>1</v>
      </c>
      <c r="P4967">
        <v>0</v>
      </c>
      <c r="Q4967">
        <v>0</v>
      </c>
      <c r="R4967">
        <v>0</v>
      </c>
    </row>
    <row r="4968" spans="1:18" x14ac:dyDescent="0.25">
      <c r="A4968" t="s">
        <v>28</v>
      </c>
      <c r="B4968" t="s">
        <v>8</v>
      </c>
      <c r="C4968">
        <v>2</v>
      </c>
      <c r="D4968">
        <v>3</v>
      </c>
      <c r="E4968">
        <v>1</v>
      </c>
      <c r="F4968" s="15">
        <v>46202</v>
      </c>
      <c r="G4968" t="s">
        <v>612</v>
      </c>
      <c r="H4968">
        <v>4</v>
      </c>
      <c r="I4968">
        <v>2026</v>
      </c>
      <c r="J4968">
        <v>6</v>
      </c>
      <c r="K4968" t="s">
        <v>87</v>
      </c>
      <c r="L4968" t="s">
        <v>27</v>
      </c>
      <c r="M4968" t="s">
        <v>6</v>
      </c>
      <c r="N4968" t="b">
        <v>0</v>
      </c>
      <c r="O4968">
        <v>1</v>
      </c>
      <c r="P4968">
        <v>0</v>
      </c>
      <c r="Q4968">
        <v>0</v>
      </c>
      <c r="R4968">
        <v>0</v>
      </c>
    </row>
    <row r="4969" spans="1:18" x14ac:dyDescent="0.25">
      <c r="A4969" t="s">
        <v>28</v>
      </c>
      <c r="B4969" t="s">
        <v>8</v>
      </c>
      <c r="C4969">
        <v>2</v>
      </c>
      <c r="D4969">
        <v>3</v>
      </c>
      <c r="E4969">
        <v>1</v>
      </c>
      <c r="F4969" s="15">
        <v>46202</v>
      </c>
      <c r="G4969" t="s">
        <v>612</v>
      </c>
      <c r="H4969">
        <v>4</v>
      </c>
      <c r="I4969">
        <v>2026</v>
      </c>
      <c r="J4969">
        <v>6</v>
      </c>
      <c r="K4969" t="s">
        <v>87</v>
      </c>
      <c r="L4969" t="s">
        <v>19</v>
      </c>
      <c r="M4969" t="s">
        <v>6</v>
      </c>
      <c r="N4969" t="b">
        <v>0</v>
      </c>
      <c r="O4969">
        <v>1</v>
      </c>
      <c r="P4969">
        <v>0</v>
      </c>
      <c r="Q4969">
        <v>0</v>
      </c>
      <c r="R4969">
        <v>0</v>
      </c>
    </row>
    <row r="4970" spans="1:18" x14ac:dyDescent="0.25">
      <c r="A4970" t="s">
        <v>27</v>
      </c>
      <c r="B4970" t="s">
        <v>6</v>
      </c>
      <c r="C4970">
        <v>3</v>
      </c>
      <c r="D4970">
        <v>3</v>
      </c>
      <c r="E4970">
        <v>1</v>
      </c>
      <c r="F4970" s="15">
        <v>46202</v>
      </c>
      <c r="G4970" t="s">
        <v>612</v>
      </c>
      <c r="H4970">
        <v>4</v>
      </c>
      <c r="I4970">
        <v>2026</v>
      </c>
      <c r="J4970">
        <v>6</v>
      </c>
      <c r="K4970" t="s">
        <v>87</v>
      </c>
      <c r="L4970" t="s">
        <v>352</v>
      </c>
      <c r="M4970" t="s">
        <v>6</v>
      </c>
      <c r="N4970" t="b">
        <v>0</v>
      </c>
      <c r="O4970">
        <v>0</v>
      </c>
      <c r="P4970">
        <v>1</v>
      </c>
      <c r="Q4970">
        <v>0</v>
      </c>
      <c r="R4970">
        <v>0</v>
      </c>
    </row>
    <row r="4971" spans="1:18" x14ac:dyDescent="0.25">
      <c r="A4971" t="s">
        <v>27</v>
      </c>
      <c r="B4971" t="s">
        <v>6</v>
      </c>
      <c r="C4971">
        <v>3</v>
      </c>
      <c r="D4971">
        <v>3</v>
      </c>
      <c r="E4971">
        <v>1</v>
      </c>
      <c r="F4971" s="15">
        <v>46202</v>
      </c>
      <c r="G4971" t="s">
        <v>612</v>
      </c>
      <c r="H4971">
        <v>4</v>
      </c>
      <c r="I4971">
        <v>2026</v>
      </c>
      <c r="J4971">
        <v>6</v>
      </c>
      <c r="K4971" t="s">
        <v>87</v>
      </c>
      <c r="L4971" t="s">
        <v>28</v>
      </c>
      <c r="M4971" t="s">
        <v>8</v>
      </c>
      <c r="N4971" t="b">
        <v>0</v>
      </c>
      <c r="O4971">
        <v>0</v>
      </c>
      <c r="P4971">
        <v>1</v>
      </c>
      <c r="Q4971">
        <v>0</v>
      </c>
      <c r="R4971">
        <v>1</v>
      </c>
    </row>
    <row r="4972" spans="1:18" x14ac:dyDescent="0.25">
      <c r="A4972" t="s">
        <v>27</v>
      </c>
      <c r="B4972" t="s">
        <v>6</v>
      </c>
      <c r="C4972">
        <v>3</v>
      </c>
      <c r="D4972">
        <v>3</v>
      </c>
      <c r="E4972">
        <v>1</v>
      </c>
      <c r="F4972" s="15">
        <v>46202</v>
      </c>
      <c r="G4972" t="s">
        <v>612</v>
      </c>
      <c r="H4972">
        <v>4</v>
      </c>
      <c r="I4972">
        <v>2026</v>
      </c>
      <c r="J4972">
        <v>6</v>
      </c>
      <c r="K4972" t="s">
        <v>87</v>
      </c>
      <c r="L4972" t="s">
        <v>19</v>
      </c>
      <c r="M4972" t="s">
        <v>6</v>
      </c>
      <c r="N4972" t="b">
        <v>0</v>
      </c>
      <c r="O4972">
        <v>0</v>
      </c>
      <c r="P4972">
        <v>1</v>
      </c>
      <c r="Q4972">
        <v>0</v>
      </c>
      <c r="R4972">
        <v>0</v>
      </c>
    </row>
    <row r="4973" spans="1:18" x14ac:dyDescent="0.25">
      <c r="A4973" t="s">
        <v>19</v>
      </c>
      <c r="B4973" t="s">
        <v>6</v>
      </c>
      <c r="C4973">
        <v>4</v>
      </c>
      <c r="D4973">
        <v>3</v>
      </c>
      <c r="E4973">
        <v>1</v>
      </c>
      <c r="F4973" s="15">
        <v>46202</v>
      </c>
      <c r="G4973" t="s">
        <v>612</v>
      </c>
      <c r="H4973">
        <v>4</v>
      </c>
      <c r="I4973">
        <v>2026</v>
      </c>
      <c r="J4973">
        <v>6</v>
      </c>
      <c r="K4973" t="s">
        <v>87</v>
      </c>
      <c r="L4973" t="s">
        <v>352</v>
      </c>
      <c r="M4973" t="s">
        <v>6</v>
      </c>
      <c r="N4973" t="b">
        <v>0</v>
      </c>
      <c r="O4973">
        <v>0</v>
      </c>
      <c r="P4973">
        <v>1</v>
      </c>
      <c r="Q4973">
        <v>0</v>
      </c>
      <c r="R4973">
        <v>0</v>
      </c>
    </row>
    <row r="4974" spans="1:18" x14ac:dyDescent="0.25">
      <c r="A4974" t="s">
        <v>19</v>
      </c>
      <c r="B4974" t="s">
        <v>6</v>
      </c>
      <c r="C4974">
        <v>4</v>
      </c>
      <c r="D4974">
        <v>3</v>
      </c>
      <c r="E4974">
        <v>1</v>
      </c>
      <c r="F4974" s="15">
        <v>46202</v>
      </c>
      <c r="G4974" t="s">
        <v>612</v>
      </c>
      <c r="H4974">
        <v>4</v>
      </c>
      <c r="I4974">
        <v>2026</v>
      </c>
      <c r="J4974">
        <v>6</v>
      </c>
      <c r="K4974" t="s">
        <v>87</v>
      </c>
      <c r="L4974" t="s">
        <v>28</v>
      </c>
      <c r="M4974" t="s">
        <v>8</v>
      </c>
      <c r="N4974" t="b">
        <v>0</v>
      </c>
      <c r="O4974">
        <v>0</v>
      </c>
      <c r="P4974">
        <v>1</v>
      </c>
      <c r="Q4974">
        <v>0</v>
      </c>
      <c r="R4974">
        <v>1</v>
      </c>
    </row>
    <row r="4975" spans="1:18" x14ac:dyDescent="0.25">
      <c r="A4975" t="s">
        <v>19</v>
      </c>
      <c r="B4975" t="s">
        <v>6</v>
      </c>
      <c r="C4975">
        <v>4</v>
      </c>
      <c r="D4975">
        <v>3</v>
      </c>
      <c r="E4975">
        <v>1</v>
      </c>
      <c r="F4975" s="15">
        <v>46202</v>
      </c>
      <c r="G4975" t="s">
        <v>612</v>
      </c>
      <c r="H4975">
        <v>4</v>
      </c>
      <c r="I4975">
        <v>2026</v>
      </c>
      <c r="J4975">
        <v>6</v>
      </c>
      <c r="K4975" t="s">
        <v>87</v>
      </c>
      <c r="L4975" t="s">
        <v>27</v>
      </c>
      <c r="M4975" t="s">
        <v>6</v>
      </c>
      <c r="N4975" t="b">
        <v>0</v>
      </c>
      <c r="O4975">
        <v>0</v>
      </c>
      <c r="P4975">
        <v>1</v>
      </c>
      <c r="Q4975">
        <v>0</v>
      </c>
      <c r="R4975">
        <v>0</v>
      </c>
    </row>
    <row r="4976" spans="1:18" x14ac:dyDescent="0.25">
      <c r="A4976" t="s">
        <v>405</v>
      </c>
      <c r="B4976" t="s">
        <v>6</v>
      </c>
      <c r="C4976">
        <v>1</v>
      </c>
      <c r="D4976">
        <v>4</v>
      </c>
      <c r="E4976">
        <v>1</v>
      </c>
      <c r="F4976" s="15">
        <v>46202</v>
      </c>
      <c r="G4976" t="s">
        <v>613</v>
      </c>
      <c r="H4976">
        <v>4</v>
      </c>
      <c r="I4976">
        <v>2026</v>
      </c>
      <c r="J4976">
        <v>6</v>
      </c>
      <c r="K4976" t="s">
        <v>87</v>
      </c>
      <c r="L4976" t="s">
        <v>15</v>
      </c>
      <c r="M4976" t="s">
        <v>8</v>
      </c>
      <c r="N4976" t="b">
        <v>0</v>
      </c>
      <c r="O4976">
        <v>0</v>
      </c>
      <c r="P4976">
        <v>1</v>
      </c>
      <c r="Q4976">
        <v>0</v>
      </c>
      <c r="R4976">
        <v>1</v>
      </c>
    </row>
    <row r="4977" spans="1:18" x14ac:dyDescent="0.25">
      <c r="A4977" t="s">
        <v>405</v>
      </c>
      <c r="B4977" t="s">
        <v>6</v>
      </c>
      <c r="C4977">
        <v>1</v>
      </c>
      <c r="D4977">
        <v>4</v>
      </c>
      <c r="E4977">
        <v>1</v>
      </c>
      <c r="F4977" s="15">
        <v>46202</v>
      </c>
      <c r="G4977" t="s">
        <v>613</v>
      </c>
      <c r="H4977">
        <v>4</v>
      </c>
      <c r="I4977">
        <v>2026</v>
      </c>
      <c r="J4977">
        <v>6</v>
      </c>
      <c r="K4977" t="s">
        <v>87</v>
      </c>
      <c r="L4977" t="s">
        <v>11</v>
      </c>
      <c r="M4977" t="s">
        <v>6</v>
      </c>
      <c r="N4977" t="b">
        <v>0</v>
      </c>
      <c r="O4977">
        <v>0</v>
      </c>
      <c r="P4977">
        <v>1</v>
      </c>
      <c r="Q4977">
        <v>0</v>
      </c>
      <c r="R4977">
        <v>0</v>
      </c>
    </row>
    <row r="4978" spans="1:18" x14ac:dyDescent="0.25">
      <c r="A4978" t="s">
        <v>405</v>
      </c>
      <c r="B4978" t="s">
        <v>6</v>
      </c>
      <c r="C4978">
        <v>1</v>
      </c>
      <c r="D4978">
        <v>4</v>
      </c>
      <c r="E4978">
        <v>1</v>
      </c>
      <c r="F4978" s="15">
        <v>46202</v>
      </c>
      <c r="G4978" t="s">
        <v>613</v>
      </c>
      <c r="H4978">
        <v>4</v>
      </c>
      <c r="I4978">
        <v>2026</v>
      </c>
      <c r="J4978">
        <v>6</v>
      </c>
      <c r="K4978" t="s">
        <v>87</v>
      </c>
      <c r="L4978" t="s">
        <v>606</v>
      </c>
      <c r="M4978" t="s">
        <v>6</v>
      </c>
      <c r="N4978" t="b">
        <v>0</v>
      </c>
      <c r="O4978">
        <v>0</v>
      </c>
      <c r="P4978">
        <v>1</v>
      </c>
      <c r="Q4978">
        <v>0</v>
      </c>
      <c r="R4978">
        <v>0</v>
      </c>
    </row>
    <row r="4979" spans="1:18" x14ac:dyDescent="0.25">
      <c r="A4979" t="s">
        <v>15</v>
      </c>
      <c r="B4979" t="s">
        <v>8</v>
      </c>
      <c r="C4979">
        <v>2</v>
      </c>
      <c r="D4979">
        <v>4</v>
      </c>
      <c r="E4979">
        <v>1</v>
      </c>
      <c r="F4979" s="15">
        <v>46202</v>
      </c>
      <c r="G4979" t="s">
        <v>613</v>
      </c>
      <c r="H4979">
        <v>4</v>
      </c>
      <c r="I4979">
        <v>2026</v>
      </c>
      <c r="J4979">
        <v>6</v>
      </c>
      <c r="K4979" t="s">
        <v>87</v>
      </c>
      <c r="L4979" t="s">
        <v>405</v>
      </c>
      <c r="M4979" t="s">
        <v>6</v>
      </c>
      <c r="N4979" t="b">
        <v>0</v>
      </c>
      <c r="O4979">
        <v>1</v>
      </c>
      <c r="P4979">
        <v>0</v>
      </c>
      <c r="Q4979">
        <v>0</v>
      </c>
      <c r="R4979">
        <v>0</v>
      </c>
    </row>
    <row r="4980" spans="1:18" x14ac:dyDescent="0.25">
      <c r="A4980" t="s">
        <v>15</v>
      </c>
      <c r="B4980" t="s">
        <v>8</v>
      </c>
      <c r="C4980">
        <v>2</v>
      </c>
      <c r="D4980">
        <v>4</v>
      </c>
      <c r="E4980">
        <v>1</v>
      </c>
      <c r="F4980" s="15">
        <v>46202</v>
      </c>
      <c r="G4980" t="s">
        <v>613</v>
      </c>
      <c r="H4980">
        <v>4</v>
      </c>
      <c r="I4980">
        <v>2026</v>
      </c>
      <c r="J4980">
        <v>6</v>
      </c>
      <c r="K4980" t="s">
        <v>87</v>
      </c>
      <c r="L4980" t="s">
        <v>11</v>
      </c>
      <c r="M4980" t="s">
        <v>6</v>
      </c>
      <c r="N4980" t="b">
        <v>0</v>
      </c>
      <c r="O4980">
        <v>1</v>
      </c>
      <c r="P4980">
        <v>0</v>
      </c>
      <c r="Q4980">
        <v>0</v>
      </c>
      <c r="R4980">
        <v>0</v>
      </c>
    </row>
    <row r="4981" spans="1:18" x14ac:dyDescent="0.25">
      <c r="A4981" t="s">
        <v>15</v>
      </c>
      <c r="B4981" t="s">
        <v>8</v>
      </c>
      <c r="C4981">
        <v>2</v>
      </c>
      <c r="D4981">
        <v>4</v>
      </c>
      <c r="E4981">
        <v>1</v>
      </c>
      <c r="F4981" s="15">
        <v>46202</v>
      </c>
      <c r="G4981" t="s">
        <v>613</v>
      </c>
      <c r="H4981">
        <v>4</v>
      </c>
      <c r="I4981">
        <v>2026</v>
      </c>
      <c r="J4981">
        <v>6</v>
      </c>
      <c r="K4981" t="s">
        <v>87</v>
      </c>
      <c r="L4981" t="s">
        <v>606</v>
      </c>
      <c r="M4981" t="s">
        <v>6</v>
      </c>
      <c r="N4981" t="b">
        <v>0</v>
      </c>
      <c r="O4981">
        <v>1</v>
      </c>
      <c r="P4981">
        <v>0</v>
      </c>
      <c r="Q4981">
        <v>0</v>
      </c>
      <c r="R4981">
        <v>0</v>
      </c>
    </row>
    <row r="4982" spans="1:18" x14ac:dyDescent="0.25">
      <c r="A4982" t="s">
        <v>11</v>
      </c>
      <c r="B4982" t="s">
        <v>6</v>
      </c>
      <c r="C4982">
        <v>3</v>
      </c>
      <c r="D4982">
        <v>4</v>
      </c>
      <c r="E4982">
        <v>1</v>
      </c>
      <c r="F4982" s="15">
        <v>46202</v>
      </c>
      <c r="G4982" t="s">
        <v>613</v>
      </c>
      <c r="H4982">
        <v>4</v>
      </c>
      <c r="I4982">
        <v>2026</v>
      </c>
      <c r="J4982">
        <v>6</v>
      </c>
      <c r="K4982" t="s">
        <v>87</v>
      </c>
      <c r="L4982" t="s">
        <v>405</v>
      </c>
      <c r="M4982" t="s">
        <v>6</v>
      </c>
      <c r="N4982" t="b">
        <v>0</v>
      </c>
      <c r="O4982">
        <v>0</v>
      </c>
      <c r="P4982">
        <v>1</v>
      </c>
      <c r="Q4982">
        <v>0</v>
      </c>
      <c r="R4982">
        <v>0</v>
      </c>
    </row>
    <row r="4983" spans="1:18" x14ac:dyDescent="0.25">
      <c r="A4983" t="s">
        <v>11</v>
      </c>
      <c r="B4983" t="s">
        <v>6</v>
      </c>
      <c r="C4983">
        <v>3</v>
      </c>
      <c r="D4983">
        <v>4</v>
      </c>
      <c r="E4983">
        <v>1</v>
      </c>
      <c r="F4983" s="15">
        <v>46202</v>
      </c>
      <c r="G4983" t="s">
        <v>613</v>
      </c>
      <c r="H4983">
        <v>4</v>
      </c>
      <c r="I4983">
        <v>2026</v>
      </c>
      <c r="J4983">
        <v>6</v>
      </c>
      <c r="K4983" t="s">
        <v>87</v>
      </c>
      <c r="L4983" t="s">
        <v>15</v>
      </c>
      <c r="M4983" t="s">
        <v>8</v>
      </c>
      <c r="N4983" t="b">
        <v>0</v>
      </c>
      <c r="O4983">
        <v>0</v>
      </c>
      <c r="P4983">
        <v>1</v>
      </c>
      <c r="Q4983">
        <v>0</v>
      </c>
      <c r="R4983">
        <v>1</v>
      </c>
    </row>
    <row r="4984" spans="1:18" x14ac:dyDescent="0.25">
      <c r="A4984" t="s">
        <v>11</v>
      </c>
      <c r="B4984" t="s">
        <v>6</v>
      </c>
      <c r="C4984">
        <v>3</v>
      </c>
      <c r="D4984">
        <v>4</v>
      </c>
      <c r="E4984">
        <v>1</v>
      </c>
      <c r="F4984" s="15">
        <v>46202</v>
      </c>
      <c r="G4984" t="s">
        <v>613</v>
      </c>
      <c r="H4984">
        <v>4</v>
      </c>
      <c r="I4984">
        <v>2026</v>
      </c>
      <c r="J4984">
        <v>6</v>
      </c>
      <c r="K4984" t="s">
        <v>87</v>
      </c>
      <c r="L4984" t="s">
        <v>606</v>
      </c>
      <c r="M4984" t="s">
        <v>6</v>
      </c>
      <c r="N4984" t="b">
        <v>0</v>
      </c>
      <c r="O4984">
        <v>0</v>
      </c>
      <c r="P4984">
        <v>1</v>
      </c>
      <c r="Q4984">
        <v>0</v>
      </c>
      <c r="R4984">
        <v>0</v>
      </c>
    </row>
    <row r="4985" spans="1:18" x14ac:dyDescent="0.25">
      <c r="A4985" t="s">
        <v>606</v>
      </c>
      <c r="B4985" t="s">
        <v>6</v>
      </c>
      <c r="C4985">
        <v>4</v>
      </c>
      <c r="D4985">
        <v>4</v>
      </c>
      <c r="E4985">
        <v>1</v>
      </c>
      <c r="F4985" s="15">
        <v>46202</v>
      </c>
      <c r="G4985" t="s">
        <v>613</v>
      </c>
      <c r="H4985">
        <v>4</v>
      </c>
      <c r="I4985">
        <v>2026</v>
      </c>
      <c r="J4985">
        <v>6</v>
      </c>
      <c r="K4985" t="s">
        <v>87</v>
      </c>
      <c r="L4985" t="s">
        <v>405</v>
      </c>
      <c r="M4985" t="s">
        <v>6</v>
      </c>
      <c r="N4985" t="b">
        <v>0</v>
      </c>
      <c r="O4985">
        <v>0</v>
      </c>
      <c r="P4985">
        <v>1</v>
      </c>
      <c r="Q4985">
        <v>0</v>
      </c>
      <c r="R4985">
        <v>0</v>
      </c>
    </row>
    <row r="4986" spans="1:18" x14ac:dyDescent="0.25">
      <c r="A4986" t="s">
        <v>606</v>
      </c>
      <c r="B4986" t="s">
        <v>6</v>
      </c>
      <c r="C4986">
        <v>4</v>
      </c>
      <c r="D4986">
        <v>4</v>
      </c>
      <c r="E4986">
        <v>1</v>
      </c>
      <c r="F4986" s="15">
        <v>46202</v>
      </c>
      <c r="G4986" t="s">
        <v>613</v>
      </c>
      <c r="H4986">
        <v>4</v>
      </c>
      <c r="I4986">
        <v>2026</v>
      </c>
      <c r="J4986">
        <v>6</v>
      </c>
      <c r="K4986" t="s">
        <v>87</v>
      </c>
      <c r="L4986" t="s">
        <v>15</v>
      </c>
      <c r="M4986" t="s">
        <v>8</v>
      </c>
      <c r="N4986" t="b">
        <v>0</v>
      </c>
      <c r="O4986">
        <v>0</v>
      </c>
      <c r="P4986">
        <v>1</v>
      </c>
      <c r="Q4986">
        <v>0</v>
      </c>
      <c r="R4986">
        <v>1</v>
      </c>
    </row>
    <row r="4987" spans="1:18" x14ac:dyDescent="0.25">
      <c r="A4987" t="s">
        <v>606</v>
      </c>
      <c r="B4987" t="s">
        <v>6</v>
      </c>
      <c r="C4987">
        <v>4</v>
      </c>
      <c r="D4987">
        <v>4</v>
      </c>
      <c r="E4987">
        <v>1</v>
      </c>
      <c r="F4987" s="15">
        <v>46202</v>
      </c>
      <c r="G4987" t="s">
        <v>613</v>
      </c>
      <c r="H4987">
        <v>4</v>
      </c>
      <c r="I4987">
        <v>2026</v>
      </c>
      <c r="J4987">
        <v>6</v>
      </c>
      <c r="K4987" t="s">
        <v>87</v>
      </c>
      <c r="L4987" t="s">
        <v>11</v>
      </c>
      <c r="M4987" t="s">
        <v>6</v>
      </c>
      <c r="N4987" t="b">
        <v>0</v>
      </c>
      <c r="O4987">
        <v>0</v>
      </c>
      <c r="P4987">
        <v>1</v>
      </c>
      <c r="Q4987">
        <v>0</v>
      </c>
      <c r="R4987">
        <v>0</v>
      </c>
    </row>
    <row r="4988" spans="1:18" x14ac:dyDescent="0.25">
      <c r="A4988" t="s">
        <v>326</v>
      </c>
      <c r="B4988" t="s">
        <v>8</v>
      </c>
      <c r="C4988">
        <v>1</v>
      </c>
      <c r="D4988">
        <v>5</v>
      </c>
      <c r="E4988">
        <v>1</v>
      </c>
      <c r="F4988" s="15">
        <v>46202</v>
      </c>
      <c r="G4988" t="s">
        <v>614</v>
      </c>
      <c r="H4988">
        <v>3</v>
      </c>
      <c r="I4988">
        <v>2026</v>
      </c>
      <c r="J4988">
        <v>6</v>
      </c>
      <c r="K4988" t="s">
        <v>87</v>
      </c>
      <c r="L4988" t="s">
        <v>609</v>
      </c>
      <c r="M4988" t="s">
        <v>6</v>
      </c>
      <c r="N4988" t="b">
        <v>0</v>
      </c>
      <c r="O4988">
        <v>1</v>
      </c>
      <c r="P4988">
        <v>0</v>
      </c>
      <c r="Q4988">
        <v>0</v>
      </c>
      <c r="R4988">
        <v>0</v>
      </c>
    </row>
    <row r="4989" spans="1:18" x14ac:dyDescent="0.25">
      <c r="A4989" t="s">
        <v>326</v>
      </c>
      <c r="B4989" t="s">
        <v>8</v>
      </c>
      <c r="C4989">
        <v>1</v>
      </c>
      <c r="D4989">
        <v>5</v>
      </c>
      <c r="E4989">
        <v>1</v>
      </c>
      <c r="F4989" s="15">
        <v>46202</v>
      </c>
      <c r="G4989" t="s">
        <v>614</v>
      </c>
      <c r="H4989">
        <v>3</v>
      </c>
      <c r="I4989">
        <v>2026</v>
      </c>
      <c r="J4989">
        <v>6</v>
      </c>
      <c r="K4989" t="s">
        <v>87</v>
      </c>
      <c r="L4989" t="s">
        <v>7</v>
      </c>
      <c r="M4989" t="s">
        <v>6</v>
      </c>
      <c r="N4989" t="b">
        <v>0</v>
      </c>
      <c r="O4989">
        <v>1</v>
      </c>
      <c r="P4989">
        <v>0</v>
      </c>
      <c r="Q4989">
        <v>0</v>
      </c>
      <c r="R4989">
        <v>0</v>
      </c>
    </row>
    <row r="4990" spans="1:18" x14ac:dyDescent="0.25">
      <c r="A4990" t="s">
        <v>609</v>
      </c>
      <c r="B4990" t="s">
        <v>6</v>
      </c>
      <c r="C4990">
        <v>2</v>
      </c>
      <c r="D4990">
        <v>5</v>
      </c>
      <c r="E4990">
        <v>1</v>
      </c>
      <c r="F4990" s="15">
        <v>46202</v>
      </c>
      <c r="G4990" t="s">
        <v>614</v>
      </c>
      <c r="H4990">
        <v>3</v>
      </c>
      <c r="I4990">
        <v>2026</v>
      </c>
      <c r="J4990">
        <v>6</v>
      </c>
      <c r="K4990" t="s">
        <v>87</v>
      </c>
      <c r="L4990" t="s">
        <v>326</v>
      </c>
      <c r="M4990" t="s">
        <v>8</v>
      </c>
      <c r="N4990" t="b">
        <v>0</v>
      </c>
      <c r="O4990">
        <v>0</v>
      </c>
      <c r="P4990">
        <v>1</v>
      </c>
      <c r="Q4990">
        <v>0</v>
      </c>
      <c r="R4990">
        <v>1</v>
      </c>
    </row>
    <row r="4991" spans="1:18" x14ac:dyDescent="0.25">
      <c r="A4991" t="s">
        <v>609</v>
      </c>
      <c r="B4991" t="s">
        <v>6</v>
      </c>
      <c r="C4991">
        <v>2</v>
      </c>
      <c r="D4991">
        <v>5</v>
      </c>
      <c r="E4991">
        <v>1</v>
      </c>
      <c r="F4991" s="15">
        <v>46202</v>
      </c>
      <c r="G4991" t="s">
        <v>614</v>
      </c>
      <c r="H4991">
        <v>3</v>
      </c>
      <c r="I4991">
        <v>2026</v>
      </c>
      <c r="J4991">
        <v>6</v>
      </c>
      <c r="K4991" t="s">
        <v>87</v>
      </c>
      <c r="L4991" t="s">
        <v>7</v>
      </c>
      <c r="M4991" t="s">
        <v>6</v>
      </c>
      <c r="N4991" t="b">
        <v>0</v>
      </c>
      <c r="O4991">
        <v>0</v>
      </c>
      <c r="P4991">
        <v>1</v>
      </c>
      <c r="Q4991">
        <v>0</v>
      </c>
      <c r="R4991">
        <v>0</v>
      </c>
    </row>
    <row r="4992" spans="1:18" x14ac:dyDescent="0.25">
      <c r="A4992" t="s">
        <v>7</v>
      </c>
      <c r="B4992" t="s">
        <v>6</v>
      </c>
      <c r="C4992">
        <v>3</v>
      </c>
      <c r="D4992">
        <v>5</v>
      </c>
      <c r="E4992">
        <v>1</v>
      </c>
      <c r="F4992" s="15">
        <v>46202</v>
      </c>
      <c r="G4992" t="s">
        <v>614</v>
      </c>
      <c r="H4992">
        <v>3</v>
      </c>
      <c r="I4992">
        <v>2026</v>
      </c>
      <c r="J4992">
        <v>6</v>
      </c>
      <c r="K4992" t="s">
        <v>87</v>
      </c>
      <c r="L4992" t="s">
        <v>326</v>
      </c>
      <c r="M4992" t="s">
        <v>8</v>
      </c>
      <c r="N4992" t="b">
        <v>0</v>
      </c>
      <c r="O4992">
        <v>0</v>
      </c>
      <c r="P4992">
        <v>1</v>
      </c>
      <c r="Q4992">
        <v>0</v>
      </c>
      <c r="R4992">
        <v>1</v>
      </c>
    </row>
    <row r="4993" spans="1:18" x14ac:dyDescent="0.25">
      <c r="A4993" t="s">
        <v>7</v>
      </c>
      <c r="B4993" t="s">
        <v>6</v>
      </c>
      <c r="C4993">
        <v>3</v>
      </c>
      <c r="D4993">
        <v>5</v>
      </c>
      <c r="E4993">
        <v>1</v>
      </c>
      <c r="F4993" s="15">
        <v>46202</v>
      </c>
      <c r="G4993" t="s">
        <v>614</v>
      </c>
      <c r="H4993">
        <v>3</v>
      </c>
      <c r="I4993">
        <v>2026</v>
      </c>
      <c r="J4993">
        <v>6</v>
      </c>
      <c r="K4993" t="s">
        <v>87</v>
      </c>
      <c r="L4993" t="s">
        <v>609</v>
      </c>
      <c r="M4993" t="s">
        <v>6</v>
      </c>
      <c r="N4993" t="b">
        <v>0</v>
      </c>
      <c r="O4993">
        <v>0</v>
      </c>
      <c r="P4993">
        <v>1</v>
      </c>
      <c r="Q4993">
        <v>0</v>
      </c>
      <c r="R4993">
        <v>0</v>
      </c>
    </row>
    <row r="4994" spans="1:18" x14ac:dyDescent="0.25">
      <c r="A4994" t="s">
        <v>351</v>
      </c>
      <c r="B4994" t="s">
        <v>8</v>
      </c>
      <c r="C4994">
        <v>1</v>
      </c>
      <c r="D4994">
        <v>6</v>
      </c>
      <c r="E4994">
        <v>1</v>
      </c>
      <c r="F4994" s="15">
        <v>46202</v>
      </c>
      <c r="G4994" t="s">
        <v>615</v>
      </c>
      <c r="H4994">
        <v>3</v>
      </c>
      <c r="I4994">
        <v>2026</v>
      </c>
      <c r="J4994">
        <v>6</v>
      </c>
      <c r="K4994" t="s">
        <v>87</v>
      </c>
      <c r="L4994" t="s">
        <v>14</v>
      </c>
      <c r="M4994" t="s">
        <v>6</v>
      </c>
      <c r="N4994" t="b">
        <v>0</v>
      </c>
      <c r="O4994">
        <v>1</v>
      </c>
      <c r="P4994">
        <v>0</v>
      </c>
      <c r="Q4994">
        <v>0</v>
      </c>
      <c r="R4994">
        <v>0</v>
      </c>
    </row>
    <row r="4995" spans="1:18" x14ac:dyDescent="0.25">
      <c r="A4995" t="s">
        <v>351</v>
      </c>
      <c r="B4995" t="s">
        <v>8</v>
      </c>
      <c r="C4995">
        <v>1</v>
      </c>
      <c r="D4995">
        <v>6</v>
      </c>
      <c r="E4995">
        <v>1</v>
      </c>
      <c r="F4995" s="15">
        <v>46202</v>
      </c>
      <c r="G4995" t="s">
        <v>615</v>
      </c>
      <c r="H4995">
        <v>3</v>
      </c>
      <c r="I4995">
        <v>2026</v>
      </c>
      <c r="J4995">
        <v>6</v>
      </c>
      <c r="K4995" t="s">
        <v>87</v>
      </c>
      <c r="L4995" t="s">
        <v>607</v>
      </c>
      <c r="M4995" t="s">
        <v>6</v>
      </c>
      <c r="N4995" t="b">
        <v>0</v>
      </c>
      <c r="O4995">
        <v>1</v>
      </c>
      <c r="P4995">
        <v>0</v>
      </c>
      <c r="Q4995">
        <v>0</v>
      </c>
      <c r="R4995">
        <v>0</v>
      </c>
    </row>
    <row r="4996" spans="1:18" x14ac:dyDescent="0.25">
      <c r="A4996" t="s">
        <v>14</v>
      </c>
      <c r="B4996" t="s">
        <v>6</v>
      </c>
      <c r="C4996">
        <v>2</v>
      </c>
      <c r="D4996">
        <v>6</v>
      </c>
      <c r="E4996">
        <v>1</v>
      </c>
      <c r="F4996" s="15">
        <v>46202</v>
      </c>
      <c r="G4996" t="s">
        <v>615</v>
      </c>
      <c r="H4996">
        <v>3</v>
      </c>
      <c r="I4996">
        <v>2026</v>
      </c>
      <c r="J4996">
        <v>6</v>
      </c>
      <c r="K4996" t="s">
        <v>87</v>
      </c>
      <c r="L4996" t="s">
        <v>351</v>
      </c>
      <c r="M4996" t="s">
        <v>8</v>
      </c>
      <c r="N4996" t="b">
        <v>0</v>
      </c>
      <c r="O4996">
        <v>0</v>
      </c>
      <c r="P4996">
        <v>1</v>
      </c>
      <c r="Q4996">
        <v>0</v>
      </c>
      <c r="R4996">
        <v>1</v>
      </c>
    </row>
    <row r="4997" spans="1:18" x14ac:dyDescent="0.25">
      <c r="A4997" t="s">
        <v>14</v>
      </c>
      <c r="B4997" t="s">
        <v>6</v>
      </c>
      <c r="C4997">
        <v>2</v>
      </c>
      <c r="D4997">
        <v>6</v>
      </c>
      <c r="E4997">
        <v>1</v>
      </c>
      <c r="F4997" s="15">
        <v>46202</v>
      </c>
      <c r="G4997" t="s">
        <v>615</v>
      </c>
      <c r="H4997">
        <v>3</v>
      </c>
      <c r="I4997">
        <v>2026</v>
      </c>
      <c r="J4997">
        <v>6</v>
      </c>
      <c r="K4997" t="s">
        <v>87</v>
      </c>
      <c r="L4997" t="s">
        <v>607</v>
      </c>
      <c r="M4997" t="s">
        <v>6</v>
      </c>
      <c r="N4997" t="b">
        <v>0</v>
      </c>
      <c r="O4997">
        <v>0</v>
      </c>
      <c r="P4997">
        <v>1</v>
      </c>
      <c r="Q4997">
        <v>0</v>
      </c>
      <c r="R4997">
        <v>0</v>
      </c>
    </row>
    <row r="4998" spans="1:18" x14ac:dyDescent="0.25">
      <c r="A4998" t="s">
        <v>607</v>
      </c>
      <c r="B4998" t="s">
        <v>6</v>
      </c>
      <c r="C4998">
        <v>3</v>
      </c>
      <c r="D4998">
        <v>6</v>
      </c>
      <c r="E4998">
        <v>1</v>
      </c>
      <c r="F4998" s="15">
        <v>46202</v>
      </c>
      <c r="G4998" t="s">
        <v>615</v>
      </c>
      <c r="H4998">
        <v>3</v>
      </c>
      <c r="I4998">
        <v>2026</v>
      </c>
      <c r="J4998">
        <v>6</v>
      </c>
      <c r="K4998" t="s">
        <v>87</v>
      </c>
      <c r="L4998" t="s">
        <v>351</v>
      </c>
      <c r="M4998" t="s">
        <v>8</v>
      </c>
      <c r="N4998" t="b">
        <v>0</v>
      </c>
      <c r="O4998">
        <v>0</v>
      </c>
      <c r="P4998">
        <v>1</v>
      </c>
      <c r="Q4998">
        <v>0</v>
      </c>
      <c r="R4998">
        <v>1</v>
      </c>
    </row>
    <row r="4999" spans="1:18" x14ac:dyDescent="0.25">
      <c r="A4999" t="s">
        <v>607</v>
      </c>
      <c r="B4999" t="s">
        <v>6</v>
      </c>
      <c r="C4999">
        <v>3</v>
      </c>
      <c r="D4999">
        <v>6</v>
      </c>
      <c r="E4999">
        <v>1</v>
      </c>
      <c r="F4999" s="15">
        <v>46202</v>
      </c>
      <c r="G4999" t="s">
        <v>615</v>
      </c>
      <c r="H4999">
        <v>3</v>
      </c>
      <c r="I4999">
        <v>2026</v>
      </c>
      <c r="J4999">
        <v>6</v>
      </c>
      <c r="K4999" t="s">
        <v>87</v>
      </c>
      <c r="L4999" t="s">
        <v>14</v>
      </c>
      <c r="M4999" t="s">
        <v>6</v>
      </c>
      <c r="N4999" t="b">
        <v>0</v>
      </c>
      <c r="O4999">
        <v>0</v>
      </c>
      <c r="P4999">
        <v>1</v>
      </c>
      <c r="Q4999">
        <v>0</v>
      </c>
      <c r="R4999">
        <v>0</v>
      </c>
    </row>
    <row r="5000" spans="1:18" x14ac:dyDescent="0.25">
      <c r="A5000" t="s">
        <v>7</v>
      </c>
      <c r="B5000" t="s">
        <v>63</v>
      </c>
      <c r="C5000">
        <v>1</v>
      </c>
      <c r="D5000">
        <v>1</v>
      </c>
      <c r="E5000">
        <v>2</v>
      </c>
      <c r="F5000" s="15">
        <v>46202</v>
      </c>
      <c r="G5000" t="s">
        <v>616</v>
      </c>
      <c r="H5000">
        <v>4</v>
      </c>
      <c r="I5000">
        <v>2026</v>
      </c>
      <c r="J5000">
        <v>6</v>
      </c>
      <c r="K5000" t="s">
        <v>87</v>
      </c>
      <c r="L5000" t="s">
        <v>351</v>
      </c>
      <c r="M5000" t="s">
        <v>63</v>
      </c>
      <c r="N5000" t="b">
        <v>0</v>
      </c>
      <c r="O5000">
        <v>0</v>
      </c>
      <c r="P5000">
        <v>0</v>
      </c>
      <c r="Q5000">
        <v>1</v>
      </c>
      <c r="R5000">
        <v>0</v>
      </c>
    </row>
    <row r="5001" spans="1:18" x14ac:dyDescent="0.25">
      <c r="A5001" t="s">
        <v>7</v>
      </c>
      <c r="B5001" t="s">
        <v>63</v>
      </c>
      <c r="C5001">
        <v>1</v>
      </c>
      <c r="D5001">
        <v>1</v>
      </c>
      <c r="E5001">
        <v>2</v>
      </c>
      <c r="F5001" s="15">
        <v>46202</v>
      </c>
      <c r="G5001" t="s">
        <v>616</v>
      </c>
      <c r="H5001">
        <v>4</v>
      </c>
      <c r="I5001">
        <v>2026</v>
      </c>
      <c r="J5001">
        <v>6</v>
      </c>
      <c r="K5001" t="s">
        <v>87</v>
      </c>
      <c r="L5001" t="s">
        <v>352</v>
      </c>
      <c r="M5001" t="s">
        <v>63</v>
      </c>
      <c r="N5001" t="b">
        <v>0</v>
      </c>
      <c r="O5001">
        <v>0</v>
      </c>
      <c r="P5001">
        <v>0</v>
      </c>
      <c r="Q5001">
        <v>1</v>
      </c>
      <c r="R5001">
        <v>0</v>
      </c>
    </row>
    <row r="5002" spans="1:18" x14ac:dyDescent="0.25">
      <c r="A5002" t="s">
        <v>7</v>
      </c>
      <c r="B5002" t="s">
        <v>63</v>
      </c>
      <c r="C5002">
        <v>1</v>
      </c>
      <c r="D5002">
        <v>1</v>
      </c>
      <c r="E5002">
        <v>2</v>
      </c>
      <c r="F5002" s="15">
        <v>46202</v>
      </c>
      <c r="G5002" t="s">
        <v>616</v>
      </c>
      <c r="H5002">
        <v>4</v>
      </c>
      <c r="I5002">
        <v>2026</v>
      </c>
      <c r="J5002">
        <v>6</v>
      </c>
      <c r="K5002" t="s">
        <v>87</v>
      </c>
      <c r="L5002" t="s">
        <v>405</v>
      </c>
      <c r="M5002" t="s">
        <v>63</v>
      </c>
      <c r="N5002" t="b">
        <v>0</v>
      </c>
      <c r="O5002">
        <v>0</v>
      </c>
      <c r="P5002">
        <v>0</v>
      </c>
      <c r="Q5002">
        <v>1</v>
      </c>
      <c r="R5002">
        <v>0</v>
      </c>
    </row>
    <row r="5003" spans="1:18" x14ac:dyDescent="0.25">
      <c r="A5003" t="s">
        <v>351</v>
      </c>
      <c r="B5003" t="s">
        <v>63</v>
      </c>
      <c r="C5003">
        <v>2</v>
      </c>
      <c r="D5003">
        <v>1</v>
      </c>
      <c r="E5003">
        <v>2</v>
      </c>
      <c r="F5003" s="15">
        <v>46202</v>
      </c>
      <c r="G5003" t="s">
        <v>616</v>
      </c>
      <c r="H5003">
        <v>4</v>
      </c>
      <c r="I5003">
        <v>2026</v>
      </c>
      <c r="J5003">
        <v>6</v>
      </c>
      <c r="K5003" t="s">
        <v>87</v>
      </c>
      <c r="L5003" t="s">
        <v>7</v>
      </c>
      <c r="M5003" t="s">
        <v>63</v>
      </c>
      <c r="N5003" t="b">
        <v>0</v>
      </c>
      <c r="O5003">
        <v>0</v>
      </c>
      <c r="P5003">
        <v>0</v>
      </c>
      <c r="Q5003">
        <v>1</v>
      </c>
      <c r="R5003">
        <v>0</v>
      </c>
    </row>
    <row r="5004" spans="1:18" x14ac:dyDescent="0.25">
      <c r="A5004" t="s">
        <v>351</v>
      </c>
      <c r="B5004" t="s">
        <v>63</v>
      </c>
      <c r="C5004">
        <v>2</v>
      </c>
      <c r="D5004">
        <v>1</v>
      </c>
      <c r="E5004">
        <v>2</v>
      </c>
      <c r="F5004" s="15">
        <v>46202</v>
      </c>
      <c r="G5004" t="s">
        <v>616</v>
      </c>
      <c r="H5004">
        <v>4</v>
      </c>
      <c r="I5004">
        <v>2026</v>
      </c>
      <c r="J5004">
        <v>6</v>
      </c>
      <c r="K5004" t="s">
        <v>87</v>
      </c>
      <c r="L5004" t="s">
        <v>352</v>
      </c>
      <c r="M5004" t="s">
        <v>63</v>
      </c>
      <c r="N5004" t="b">
        <v>0</v>
      </c>
      <c r="O5004">
        <v>0</v>
      </c>
      <c r="P5004">
        <v>0</v>
      </c>
      <c r="Q5004">
        <v>1</v>
      </c>
      <c r="R5004">
        <v>0</v>
      </c>
    </row>
    <row r="5005" spans="1:18" x14ac:dyDescent="0.25">
      <c r="A5005" t="s">
        <v>351</v>
      </c>
      <c r="B5005" t="s">
        <v>63</v>
      </c>
      <c r="C5005">
        <v>2</v>
      </c>
      <c r="D5005">
        <v>1</v>
      </c>
      <c r="E5005">
        <v>2</v>
      </c>
      <c r="F5005" s="15">
        <v>46202</v>
      </c>
      <c r="G5005" t="s">
        <v>616</v>
      </c>
      <c r="H5005">
        <v>4</v>
      </c>
      <c r="I5005">
        <v>2026</v>
      </c>
      <c r="J5005">
        <v>6</v>
      </c>
      <c r="K5005" t="s">
        <v>87</v>
      </c>
      <c r="L5005" t="s">
        <v>405</v>
      </c>
      <c r="M5005" t="s">
        <v>63</v>
      </c>
      <c r="N5005" t="b">
        <v>0</v>
      </c>
      <c r="O5005">
        <v>0</v>
      </c>
      <c r="P5005">
        <v>0</v>
      </c>
      <c r="Q5005">
        <v>1</v>
      </c>
      <c r="R5005">
        <v>0</v>
      </c>
    </row>
    <row r="5006" spans="1:18" x14ac:dyDescent="0.25">
      <c r="A5006" t="s">
        <v>352</v>
      </c>
      <c r="B5006" t="s">
        <v>63</v>
      </c>
      <c r="C5006">
        <v>3</v>
      </c>
      <c r="D5006">
        <v>1</v>
      </c>
      <c r="E5006">
        <v>2</v>
      </c>
      <c r="F5006" s="15">
        <v>46202</v>
      </c>
      <c r="G5006" t="s">
        <v>616</v>
      </c>
      <c r="H5006">
        <v>4</v>
      </c>
      <c r="I5006">
        <v>2026</v>
      </c>
      <c r="J5006">
        <v>6</v>
      </c>
      <c r="K5006" t="s">
        <v>87</v>
      </c>
      <c r="L5006" t="s">
        <v>7</v>
      </c>
      <c r="M5006" t="s">
        <v>63</v>
      </c>
      <c r="N5006" t="b">
        <v>0</v>
      </c>
      <c r="O5006">
        <v>0</v>
      </c>
      <c r="P5006">
        <v>0</v>
      </c>
      <c r="Q5006">
        <v>1</v>
      </c>
      <c r="R5006">
        <v>0</v>
      </c>
    </row>
    <row r="5007" spans="1:18" x14ac:dyDescent="0.25">
      <c r="A5007" t="s">
        <v>352</v>
      </c>
      <c r="B5007" t="s">
        <v>63</v>
      </c>
      <c r="C5007">
        <v>3</v>
      </c>
      <c r="D5007">
        <v>1</v>
      </c>
      <c r="E5007">
        <v>2</v>
      </c>
      <c r="F5007" s="15">
        <v>46202</v>
      </c>
      <c r="G5007" t="s">
        <v>616</v>
      </c>
      <c r="H5007">
        <v>4</v>
      </c>
      <c r="I5007">
        <v>2026</v>
      </c>
      <c r="J5007">
        <v>6</v>
      </c>
      <c r="K5007" t="s">
        <v>87</v>
      </c>
      <c r="L5007" t="s">
        <v>351</v>
      </c>
      <c r="M5007" t="s">
        <v>63</v>
      </c>
      <c r="N5007" t="b">
        <v>0</v>
      </c>
      <c r="O5007">
        <v>0</v>
      </c>
      <c r="P5007">
        <v>0</v>
      </c>
      <c r="Q5007">
        <v>1</v>
      </c>
      <c r="R5007">
        <v>0</v>
      </c>
    </row>
    <row r="5008" spans="1:18" x14ac:dyDescent="0.25">
      <c r="A5008" t="s">
        <v>352</v>
      </c>
      <c r="B5008" t="s">
        <v>63</v>
      </c>
      <c r="C5008">
        <v>3</v>
      </c>
      <c r="D5008">
        <v>1</v>
      </c>
      <c r="E5008">
        <v>2</v>
      </c>
      <c r="F5008" s="15">
        <v>46202</v>
      </c>
      <c r="G5008" t="s">
        <v>616</v>
      </c>
      <c r="H5008">
        <v>4</v>
      </c>
      <c r="I5008">
        <v>2026</v>
      </c>
      <c r="J5008">
        <v>6</v>
      </c>
      <c r="K5008" t="s">
        <v>87</v>
      </c>
      <c r="L5008" t="s">
        <v>405</v>
      </c>
      <c r="M5008" t="s">
        <v>63</v>
      </c>
      <c r="N5008" t="b">
        <v>0</v>
      </c>
      <c r="O5008">
        <v>0</v>
      </c>
      <c r="P5008">
        <v>0</v>
      </c>
      <c r="Q5008">
        <v>1</v>
      </c>
      <c r="R5008">
        <v>0</v>
      </c>
    </row>
    <row r="5009" spans="1:18" x14ac:dyDescent="0.25">
      <c r="A5009" t="s">
        <v>405</v>
      </c>
      <c r="B5009" t="s">
        <v>63</v>
      </c>
      <c r="C5009">
        <v>4</v>
      </c>
      <c r="D5009">
        <v>1</v>
      </c>
      <c r="E5009">
        <v>2</v>
      </c>
      <c r="F5009" s="15">
        <v>46202</v>
      </c>
      <c r="G5009" t="s">
        <v>616</v>
      </c>
      <c r="H5009">
        <v>4</v>
      </c>
      <c r="I5009">
        <v>2026</v>
      </c>
      <c r="J5009">
        <v>6</v>
      </c>
      <c r="K5009" t="s">
        <v>87</v>
      </c>
      <c r="L5009" t="s">
        <v>7</v>
      </c>
      <c r="M5009" t="s">
        <v>63</v>
      </c>
      <c r="N5009" t="b">
        <v>0</v>
      </c>
      <c r="O5009">
        <v>0</v>
      </c>
      <c r="P5009">
        <v>0</v>
      </c>
      <c r="Q5009">
        <v>1</v>
      </c>
      <c r="R5009">
        <v>0</v>
      </c>
    </row>
    <row r="5010" spans="1:18" x14ac:dyDescent="0.25">
      <c r="A5010" t="s">
        <v>405</v>
      </c>
      <c r="B5010" t="s">
        <v>63</v>
      </c>
      <c r="C5010">
        <v>4</v>
      </c>
      <c r="D5010">
        <v>1</v>
      </c>
      <c r="E5010">
        <v>2</v>
      </c>
      <c r="F5010" s="15">
        <v>46202</v>
      </c>
      <c r="G5010" t="s">
        <v>616</v>
      </c>
      <c r="H5010">
        <v>4</v>
      </c>
      <c r="I5010">
        <v>2026</v>
      </c>
      <c r="J5010">
        <v>6</v>
      </c>
      <c r="K5010" t="s">
        <v>87</v>
      </c>
      <c r="L5010" t="s">
        <v>351</v>
      </c>
      <c r="M5010" t="s">
        <v>63</v>
      </c>
      <c r="N5010" t="b">
        <v>0</v>
      </c>
      <c r="O5010">
        <v>0</v>
      </c>
      <c r="P5010">
        <v>0</v>
      </c>
      <c r="Q5010">
        <v>1</v>
      </c>
      <c r="R5010">
        <v>0</v>
      </c>
    </row>
    <row r="5011" spans="1:18" x14ac:dyDescent="0.25">
      <c r="A5011" t="s">
        <v>405</v>
      </c>
      <c r="B5011" t="s">
        <v>63</v>
      </c>
      <c r="C5011">
        <v>4</v>
      </c>
      <c r="D5011">
        <v>1</v>
      </c>
      <c r="E5011">
        <v>2</v>
      </c>
      <c r="F5011" s="15">
        <v>46202</v>
      </c>
      <c r="G5011" t="s">
        <v>616</v>
      </c>
      <c r="H5011">
        <v>4</v>
      </c>
      <c r="I5011">
        <v>2026</v>
      </c>
      <c r="J5011">
        <v>6</v>
      </c>
      <c r="K5011" t="s">
        <v>87</v>
      </c>
      <c r="L5011" t="s">
        <v>352</v>
      </c>
      <c r="M5011" t="s">
        <v>63</v>
      </c>
      <c r="N5011" t="b">
        <v>0</v>
      </c>
      <c r="O5011">
        <v>0</v>
      </c>
      <c r="P5011">
        <v>0</v>
      </c>
      <c r="Q5011">
        <v>1</v>
      </c>
      <c r="R5011">
        <v>0</v>
      </c>
    </row>
    <row r="5012" spans="1:18" x14ac:dyDescent="0.25">
      <c r="A5012" t="s">
        <v>19</v>
      </c>
      <c r="B5012" t="s">
        <v>63</v>
      </c>
      <c r="C5012">
        <v>1</v>
      </c>
      <c r="D5012">
        <v>2</v>
      </c>
      <c r="E5012">
        <v>2</v>
      </c>
      <c r="F5012" s="15">
        <v>46202</v>
      </c>
      <c r="G5012" t="s">
        <v>617</v>
      </c>
      <c r="H5012">
        <v>4</v>
      </c>
      <c r="I5012">
        <v>2026</v>
      </c>
      <c r="J5012">
        <v>6</v>
      </c>
      <c r="K5012" t="s">
        <v>87</v>
      </c>
      <c r="L5012" t="s">
        <v>608</v>
      </c>
      <c r="M5012" t="s">
        <v>63</v>
      </c>
      <c r="N5012" t="b">
        <v>0</v>
      </c>
      <c r="O5012">
        <v>0</v>
      </c>
      <c r="P5012">
        <v>0</v>
      </c>
      <c r="Q5012">
        <v>1</v>
      </c>
      <c r="R5012">
        <v>0</v>
      </c>
    </row>
    <row r="5013" spans="1:18" x14ac:dyDescent="0.25">
      <c r="A5013" t="s">
        <v>19</v>
      </c>
      <c r="B5013" t="s">
        <v>63</v>
      </c>
      <c r="C5013">
        <v>1</v>
      </c>
      <c r="D5013">
        <v>2</v>
      </c>
      <c r="E5013">
        <v>2</v>
      </c>
      <c r="F5013" s="15">
        <v>46202</v>
      </c>
      <c r="G5013" t="s">
        <v>617</v>
      </c>
      <c r="H5013">
        <v>4</v>
      </c>
      <c r="I5013">
        <v>2026</v>
      </c>
      <c r="J5013">
        <v>6</v>
      </c>
      <c r="K5013" t="s">
        <v>87</v>
      </c>
      <c r="L5013" t="s">
        <v>326</v>
      </c>
      <c r="M5013" t="s">
        <v>63</v>
      </c>
      <c r="N5013" t="b">
        <v>0</v>
      </c>
      <c r="O5013">
        <v>0</v>
      </c>
      <c r="P5013">
        <v>0</v>
      </c>
      <c r="Q5013">
        <v>1</v>
      </c>
      <c r="R5013">
        <v>0</v>
      </c>
    </row>
    <row r="5014" spans="1:18" x14ac:dyDescent="0.25">
      <c r="A5014" t="s">
        <v>19</v>
      </c>
      <c r="B5014" t="s">
        <v>63</v>
      </c>
      <c r="C5014">
        <v>1</v>
      </c>
      <c r="D5014">
        <v>2</v>
      </c>
      <c r="E5014">
        <v>2</v>
      </c>
      <c r="F5014" s="15">
        <v>46202</v>
      </c>
      <c r="G5014" t="s">
        <v>617</v>
      </c>
      <c r="H5014">
        <v>4</v>
      </c>
      <c r="I5014">
        <v>2026</v>
      </c>
      <c r="J5014">
        <v>6</v>
      </c>
      <c r="K5014" t="s">
        <v>87</v>
      </c>
      <c r="L5014" t="s">
        <v>14</v>
      </c>
      <c r="M5014" t="s">
        <v>63</v>
      </c>
      <c r="N5014" t="b">
        <v>0</v>
      </c>
      <c r="O5014">
        <v>0</v>
      </c>
      <c r="P5014">
        <v>0</v>
      </c>
      <c r="Q5014">
        <v>1</v>
      </c>
      <c r="R5014">
        <v>0</v>
      </c>
    </row>
    <row r="5015" spans="1:18" x14ac:dyDescent="0.25">
      <c r="A5015" t="s">
        <v>608</v>
      </c>
      <c r="B5015" t="s">
        <v>63</v>
      </c>
      <c r="C5015">
        <v>2</v>
      </c>
      <c r="D5015">
        <v>2</v>
      </c>
      <c r="E5015">
        <v>2</v>
      </c>
      <c r="F5015" s="15">
        <v>46202</v>
      </c>
      <c r="G5015" t="s">
        <v>617</v>
      </c>
      <c r="H5015">
        <v>4</v>
      </c>
      <c r="I5015">
        <v>2026</v>
      </c>
      <c r="J5015">
        <v>6</v>
      </c>
      <c r="K5015" t="s">
        <v>87</v>
      </c>
      <c r="L5015" t="s">
        <v>19</v>
      </c>
      <c r="M5015" t="s">
        <v>63</v>
      </c>
      <c r="N5015" t="b">
        <v>0</v>
      </c>
      <c r="O5015">
        <v>0</v>
      </c>
      <c r="P5015">
        <v>0</v>
      </c>
      <c r="Q5015">
        <v>1</v>
      </c>
      <c r="R5015">
        <v>0</v>
      </c>
    </row>
    <row r="5016" spans="1:18" x14ac:dyDescent="0.25">
      <c r="A5016" t="s">
        <v>608</v>
      </c>
      <c r="B5016" t="s">
        <v>63</v>
      </c>
      <c r="C5016">
        <v>2</v>
      </c>
      <c r="D5016">
        <v>2</v>
      </c>
      <c r="E5016">
        <v>2</v>
      </c>
      <c r="F5016" s="15">
        <v>46202</v>
      </c>
      <c r="G5016" t="s">
        <v>617</v>
      </c>
      <c r="H5016">
        <v>4</v>
      </c>
      <c r="I5016">
        <v>2026</v>
      </c>
      <c r="J5016">
        <v>6</v>
      </c>
      <c r="K5016" t="s">
        <v>87</v>
      </c>
      <c r="L5016" t="s">
        <v>326</v>
      </c>
      <c r="M5016" t="s">
        <v>63</v>
      </c>
      <c r="N5016" t="b">
        <v>0</v>
      </c>
      <c r="O5016">
        <v>0</v>
      </c>
      <c r="P5016">
        <v>0</v>
      </c>
      <c r="Q5016">
        <v>1</v>
      </c>
      <c r="R5016">
        <v>0</v>
      </c>
    </row>
    <row r="5017" spans="1:18" x14ac:dyDescent="0.25">
      <c r="A5017" t="s">
        <v>608</v>
      </c>
      <c r="B5017" t="s">
        <v>63</v>
      </c>
      <c r="C5017">
        <v>2</v>
      </c>
      <c r="D5017">
        <v>2</v>
      </c>
      <c r="E5017">
        <v>2</v>
      </c>
      <c r="F5017" s="15">
        <v>46202</v>
      </c>
      <c r="G5017" t="s">
        <v>617</v>
      </c>
      <c r="H5017">
        <v>4</v>
      </c>
      <c r="I5017">
        <v>2026</v>
      </c>
      <c r="J5017">
        <v>6</v>
      </c>
      <c r="K5017" t="s">
        <v>87</v>
      </c>
      <c r="L5017" t="s">
        <v>14</v>
      </c>
      <c r="M5017" t="s">
        <v>63</v>
      </c>
      <c r="N5017" t="b">
        <v>0</v>
      </c>
      <c r="O5017">
        <v>0</v>
      </c>
      <c r="P5017">
        <v>0</v>
      </c>
      <c r="Q5017">
        <v>1</v>
      </c>
      <c r="R5017">
        <v>0</v>
      </c>
    </row>
    <row r="5018" spans="1:18" x14ac:dyDescent="0.25">
      <c r="A5018" t="s">
        <v>326</v>
      </c>
      <c r="B5018" t="s">
        <v>63</v>
      </c>
      <c r="C5018">
        <v>3</v>
      </c>
      <c r="D5018">
        <v>2</v>
      </c>
      <c r="E5018">
        <v>2</v>
      </c>
      <c r="F5018" s="15">
        <v>46202</v>
      </c>
      <c r="G5018" t="s">
        <v>617</v>
      </c>
      <c r="H5018">
        <v>4</v>
      </c>
      <c r="I5018">
        <v>2026</v>
      </c>
      <c r="J5018">
        <v>6</v>
      </c>
      <c r="K5018" t="s">
        <v>87</v>
      </c>
      <c r="L5018" t="s">
        <v>19</v>
      </c>
      <c r="M5018" t="s">
        <v>63</v>
      </c>
      <c r="N5018" t="b">
        <v>0</v>
      </c>
      <c r="O5018">
        <v>0</v>
      </c>
      <c r="P5018">
        <v>0</v>
      </c>
      <c r="Q5018">
        <v>1</v>
      </c>
      <c r="R5018">
        <v>0</v>
      </c>
    </row>
    <row r="5019" spans="1:18" x14ac:dyDescent="0.25">
      <c r="A5019" t="s">
        <v>326</v>
      </c>
      <c r="B5019" t="s">
        <v>63</v>
      </c>
      <c r="C5019">
        <v>3</v>
      </c>
      <c r="D5019">
        <v>2</v>
      </c>
      <c r="E5019">
        <v>2</v>
      </c>
      <c r="F5019" s="15">
        <v>46202</v>
      </c>
      <c r="G5019" t="s">
        <v>617</v>
      </c>
      <c r="H5019">
        <v>4</v>
      </c>
      <c r="I5019">
        <v>2026</v>
      </c>
      <c r="J5019">
        <v>6</v>
      </c>
      <c r="K5019" t="s">
        <v>87</v>
      </c>
      <c r="L5019" t="s">
        <v>608</v>
      </c>
      <c r="M5019" t="s">
        <v>63</v>
      </c>
      <c r="N5019" t="b">
        <v>0</v>
      </c>
      <c r="O5019">
        <v>0</v>
      </c>
      <c r="P5019">
        <v>0</v>
      </c>
      <c r="Q5019">
        <v>1</v>
      </c>
      <c r="R5019">
        <v>0</v>
      </c>
    </row>
    <row r="5020" spans="1:18" x14ac:dyDescent="0.25">
      <c r="A5020" t="s">
        <v>326</v>
      </c>
      <c r="B5020" t="s">
        <v>63</v>
      </c>
      <c r="C5020">
        <v>3</v>
      </c>
      <c r="D5020">
        <v>2</v>
      </c>
      <c r="E5020">
        <v>2</v>
      </c>
      <c r="F5020" s="15">
        <v>46202</v>
      </c>
      <c r="G5020" t="s">
        <v>617</v>
      </c>
      <c r="H5020">
        <v>4</v>
      </c>
      <c r="I5020">
        <v>2026</v>
      </c>
      <c r="J5020">
        <v>6</v>
      </c>
      <c r="K5020" t="s">
        <v>87</v>
      </c>
      <c r="L5020" t="s">
        <v>14</v>
      </c>
      <c r="M5020" t="s">
        <v>63</v>
      </c>
      <c r="N5020" t="b">
        <v>0</v>
      </c>
      <c r="O5020">
        <v>0</v>
      </c>
      <c r="P5020">
        <v>0</v>
      </c>
      <c r="Q5020">
        <v>1</v>
      </c>
      <c r="R5020">
        <v>0</v>
      </c>
    </row>
    <row r="5021" spans="1:18" x14ac:dyDescent="0.25">
      <c r="A5021" t="s">
        <v>14</v>
      </c>
      <c r="B5021" t="s">
        <v>63</v>
      </c>
      <c r="C5021">
        <v>4</v>
      </c>
      <c r="D5021">
        <v>2</v>
      </c>
      <c r="E5021">
        <v>2</v>
      </c>
      <c r="F5021" s="15">
        <v>46202</v>
      </c>
      <c r="G5021" t="s">
        <v>617</v>
      </c>
      <c r="H5021">
        <v>4</v>
      </c>
      <c r="I5021">
        <v>2026</v>
      </c>
      <c r="J5021">
        <v>6</v>
      </c>
      <c r="K5021" t="s">
        <v>87</v>
      </c>
      <c r="L5021" t="s">
        <v>19</v>
      </c>
      <c r="M5021" t="s">
        <v>63</v>
      </c>
      <c r="N5021" t="b">
        <v>0</v>
      </c>
      <c r="O5021">
        <v>0</v>
      </c>
      <c r="P5021">
        <v>0</v>
      </c>
      <c r="Q5021">
        <v>1</v>
      </c>
      <c r="R5021">
        <v>0</v>
      </c>
    </row>
    <row r="5022" spans="1:18" x14ac:dyDescent="0.25">
      <c r="A5022" t="s">
        <v>14</v>
      </c>
      <c r="B5022" t="s">
        <v>63</v>
      </c>
      <c r="C5022">
        <v>4</v>
      </c>
      <c r="D5022">
        <v>2</v>
      </c>
      <c r="E5022">
        <v>2</v>
      </c>
      <c r="F5022" s="15">
        <v>46202</v>
      </c>
      <c r="G5022" t="s">
        <v>617</v>
      </c>
      <c r="H5022">
        <v>4</v>
      </c>
      <c r="I5022">
        <v>2026</v>
      </c>
      <c r="J5022">
        <v>6</v>
      </c>
      <c r="K5022" t="s">
        <v>87</v>
      </c>
      <c r="L5022" t="s">
        <v>608</v>
      </c>
      <c r="M5022" t="s">
        <v>63</v>
      </c>
      <c r="N5022" t="b">
        <v>0</v>
      </c>
      <c r="O5022">
        <v>0</v>
      </c>
      <c r="P5022">
        <v>0</v>
      </c>
      <c r="Q5022">
        <v>1</v>
      </c>
      <c r="R5022">
        <v>0</v>
      </c>
    </row>
    <row r="5023" spans="1:18" x14ac:dyDescent="0.25">
      <c r="A5023" t="s">
        <v>14</v>
      </c>
      <c r="B5023" t="s">
        <v>63</v>
      </c>
      <c r="C5023">
        <v>4</v>
      </c>
      <c r="D5023">
        <v>2</v>
      </c>
      <c r="E5023">
        <v>2</v>
      </c>
      <c r="F5023" s="15">
        <v>46202</v>
      </c>
      <c r="G5023" t="s">
        <v>617</v>
      </c>
      <c r="H5023">
        <v>4</v>
      </c>
      <c r="I5023">
        <v>2026</v>
      </c>
      <c r="J5023">
        <v>6</v>
      </c>
      <c r="K5023" t="s">
        <v>87</v>
      </c>
      <c r="L5023" t="s">
        <v>326</v>
      </c>
      <c r="M5023" t="s">
        <v>63</v>
      </c>
      <c r="N5023" t="b">
        <v>0</v>
      </c>
      <c r="O5023">
        <v>0</v>
      </c>
      <c r="P5023">
        <v>0</v>
      </c>
      <c r="Q5023">
        <v>1</v>
      </c>
      <c r="R5023">
        <v>0</v>
      </c>
    </row>
    <row r="5024" spans="1:18" x14ac:dyDescent="0.25">
      <c r="A5024" t="s">
        <v>28</v>
      </c>
      <c r="B5024" t="s">
        <v>6</v>
      </c>
      <c r="C5024">
        <v>1</v>
      </c>
      <c r="D5024">
        <v>3</v>
      </c>
      <c r="E5024">
        <v>2</v>
      </c>
      <c r="F5024" s="15">
        <v>46202</v>
      </c>
      <c r="G5024" t="s">
        <v>618</v>
      </c>
      <c r="H5024">
        <v>4</v>
      </c>
      <c r="I5024">
        <v>2026</v>
      </c>
      <c r="J5024">
        <v>6</v>
      </c>
      <c r="K5024" t="s">
        <v>87</v>
      </c>
      <c r="L5024" t="s">
        <v>609</v>
      </c>
      <c r="M5024" t="s">
        <v>6</v>
      </c>
      <c r="N5024" t="b">
        <v>0</v>
      </c>
      <c r="O5024">
        <v>0</v>
      </c>
      <c r="P5024">
        <v>1</v>
      </c>
      <c r="Q5024">
        <v>0</v>
      </c>
      <c r="R5024">
        <v>0</v>
      </c>
    </row>
    <row r="5025" spans="1:18" x14ac:dyDescent="0.25">
      <c r="A5025" t="s">
        <v>28</v>
      </c>
      <c r="B5025" t="s">
        <v>6</v>
      </c>
      <c r="C5025">
        <v>1</v>
      </c>
      <c r="D5025">
        <v>3</v>
      </c>
      <c r="E5025">
        <v>2</v>
      </c>
      <c r="F5025" s="15">
        <v>46202</v>
      </c>
      <c r="G5025" t="s">
        <v>618</v>
      </c>
      <c r="H5025">
        <v>4</v>
      </c>
      <c r="I5025">
        <v>2026</v>
      </c>
      <c r="J5025">
        <v>6</v>
      </c>
      <c r="K5025" t="s">
        <v>87</v>
      </c>
      <c r="L5025" t="s">
        <v>607</v>
      </c>
      <c r="M5025" t="s">
        <v>8</v>
      </c>
      <c r="N5025" t="b">
        <v>0</v>
      </c>
      <c r="O5025">
        <v>0</v>
      </c>
      <c r="P5025">
        <v>1</v>
      </c>
      <c r="Q5025">
        <v>0</v>
      </c>
      <c r="R5025">
        <v>1</v>
      </c>
    </row>
    <row r="5026" spans="1:18" x14ac:dyDescent="0.25">
      <c r="A5026" t="s">
        <v>28</v>
      </c>
      <c r="B5026" t="s">
        <v>6</v>
      </c>
      <c r="C5026">
        <v>1</v>
      </c>
      <c r="D5026">
        <v>3</v>
      </c>
      <c r="E5026">
        <v>2</v>
      </c>
      <c r="F5026" s="15">
        <v>46202</v>
      </c>
      <c r="G5026" t="s">
        <v>618</v>
      </c>
      <c r="H5026">
        <v>4</v>
      </c>
      <c r="I5026">
        <v>2026</v>
      </c>
      <c r="J5026">
        <v>6</v>
      </c>
      <c r="K5026" t="s">
        <v>87</v>
      </c>
      <c r="L5026" t="s">
        <v>519</v>
      </c>
      <c r="M5026" t="s">
        <v>6</v>
      </c>
      <c r="N5026" t="b">
        <v>0</v>
      </c>
      <c r="O5026">
        <v>0</v>
      </c>
      <c r="P5026">
        <v>1</v>
      </c>
      <c r="Q5026">
        <v>0</v>
      </c>
      <c r="R5026">
        <v>0</v>
      </c>
    </row>
    <row r="5027" spans="1:18" x14ac:dyDescent="0.25">
      <c r="A5027" t="s">
        <v>609</v>
      </c>
      <c r="B5027" t="s">
        <v>6</v>
      </c>
      <c r="C5027">
        <v>2</v>
      </c>
      <c r="D5027">
        <v>3</v>
      </c>
      <c r="E5027">
        <v>2</v>
      </c>
      <c r="F5027" s="15">
        <v>46202</v>
      </c>
      <c r="G5027" t="s">
        <v>618</v>
      </c>
      <c r="H5027">
        <v>4</v>
      </c>
      <c r="I5027">
        <v>2026</v>
      </c>
      <c r="J5027">
        <v>6</v>
      </c>
      <c r="K5027" t="s">
        <v>87</v>
      </c>
      <c r="L5027" t="s">
        <v>28</v>
      </c>
      <c r="M5027" t="s">
        <v>6</v>
      </c>
      <c r="N5027" t="b">
        <v>0</v>
      </c>
      <c r="O5027">
        <v>0</v>
      </c>
      <c r="P5027">
        <v>1</v>
      </c>
      <c r="Q5027">
        <v>0</v>
      </c>
      <c r="R5027">
        <v>0</v>
      </c>
    </row>
    <row r="5028" spans="1:18" x14ac:dyDescent="0.25">
      <c r="A5028" t="s">
        <v>609</v>
      </c>
      <c r="B5028" t="s">
        <v>6</v>
      </c>
      <c r="C5028">
        <v>2</v>
      </c>
      <c r="D5028">
        <v>3</v>
      </c>
      <c r="E5028">
        <v>2</v>
      </c>
      <c r="F5028" s="15">
        <v>46202</v>
      </c>
      <c r="G5028" t="s">
        <v>618</v>
      </c>
      <c r="H5028">
        <v>4</v>
      </c>
      <c r="I5028">
        <v>2026</v>
      </c>
      <c r="J5028">
        <v>6</v>
      </c>
      <c r="K5028" t="s">
        <v>87</v>
      </c>
      <c r="L5028" t="s">
        <v>607</v>
      </c>
      <c r="M5028" t="s">
        <v>8</v>
      </c>
      <c r="N5028" t="b">
        <v>0</v>
      </c>
      <c r="O5028">
        <v>0</v>
      </c>
      <c r="P5028">
        <v>1</v>
      </c>
      <c r="Q5028">
        <v>0</v>
      </c>
      <c r="R5028">
        <v>1</v>
      </c>
    </row>
    <row r="5029" spans="1:18" x14ac:dyDescent="0.25">
      <c r="A5029" t="s">
        <v>609</v>
      </c>
      <c r="B5029" t="s">
        <v>6</v>
      </c>
      <c r="C5029">
        <v>2</v>
      </c>
      <c r="D5029">
        <v>3</v>
      </c>
      <c r="E5029">
        <v>2</v>
      </c>
      <c r="F5029" s="15">
        <v>46202</v>
      </c>
      <c r="G5029" t="s">
        <v>618</v>
      </c>
      <c r="H5029">
        <v>4</v>
      </c>
      <c r="I5029">
        <v>2026</v>
      </c>
      <c r="J5029">
        <v>6</v>
      </c>
      <c r="K5029" t="s">
        <v>87</v>
      </c>
      <c r="L5029" t="s">
        <v>519</v>
      </c>
      <c r="M5029" t="s">
        <v>6</v>
      </c>
      <c r="N5029" t="b">
        <v>0</v>
      </c>
      <c r="O5029">
        <v>0</v>
      </c>
      <c r="P5029">
        <v>1</v>
      </c>
      <c r="Q5029">
        <v>0</v>
      </c>
      <c r="R5029">
        <v>0</v>
      </c>
    </row>
    <row r="5030" spans="1:18" x14ac:dyDescent="0.25">
      <c r="A5030" t="s">
        <v>607</v>
      </c>
      <c r="B5030" t="s">
        <v>8</v>
      </c>
      <c r="C5030">
        <v>3</v>
      </c>
      <c r="D5030">
        <v>3</v>
      </c>
      <c r="E5030">
        <v>2</v>
      </c>
      <c r="F5030" s="15">
        <v>46202</v>
      </c>
      <c r="G5030" t="s">
        <v>618</v>
      </c>
      <c r="H5030">
        <v>4</v>
      </c>
      <c r="I5030">
        <v>2026</v>
      </c>
      <c r="J5030">
        <v>6</v>
      </c>
      <c r="K5030" t="s">
        <v>87</v>
      </c>
      <c r="L5030" t="s">
        <v>28</v>
      </c>
      <c r="M5030" t="s">
        <v>6</v>
      </c>
      <c r="N5030" t="b">
        <v>0</v>
      </c>
      <c r="O5030">
        <v>1</v>
      </c>
      <c r="P5030">
        <v>0</v>
      </c>
      <c r="Q5030">
        <v>0</v>
      </c>
      <c r="R5030">
        <v>0</v>
      </c>
    </row>
    <row r="5031" spans="1:18" x14ac:dyDescent="0.25">
      <c r="A5031" t="s">
        <v>607</v>
      </c>
      <c r="B5031" t="s">
        <v>8</v>
      </c>
      <c r="C5031">
        <v>3</v>
      </c>
      <c r="D5031">
        <v>3</v>
      </c>
      <c r="E5031">
        <v>2</v>
      </c>
      <c r="F5031" s="15">
        <v>46202</v>
      </c>
      <c r="G5031" t="s">
        <v>618</v>
      </c>
      <c r="H5031">
        <v>4</v>
      </c>
      <c r="I5031">
        <v>2026</v>
      </c>
      <c r="J5031">
        <v>6</v>
      </c>
      <c r="K5031" t="s">
        <v>87</v>
      </c>
      <c r="L5031" t="s">
        <v>609</v>
      </c>
      <c r="M5031" t="s">
        <v>6</v>
      </c>
      <c r="N5031" t="b">
        <v>0</v>
      </c>
      <c r="O5031">
        <v>1</v>
      </c>
      <c r="P5031">
        <v>0</v>
      </c>
      <c r="Q5031">
        <v>0</v>
      </c>
      <c r="R5031">
        <v>0</v>
      </c>
    </row>
    <row r="5032" spans="1:18" x14ac:dyDescent="0.25">
      <c r="A5032" t="s">
        <v>607</v>
      </c>
      <c r="B5032" t="s">
        <v>8</v>
      </c>
      <c r="C5032">
        <v>3</v>
      </c>
      <c r="D5032">
        <v>3</v>
      </c>
      <c r="E5032">
        <v>2</v>
      </c>
      <c r="F5032" s="15">
        <v>46202</v>
      </c>
      <c r="G5032" t="s">
        <v>618</v>
      </c>
      <c r="H5032">
        <v>4</v>
      </c>
      <c r="I5032">
        <v>2026</v>
      </c>
      <c r="J5032">
        <v>6</v>
      </c>
      <c r="K5032" t="s">
        <v>87</v>
      </c>
      <c r="L5032" t="s">
        <v>519</v>
      </c>
      <c r="M5032" t="s">
        <v>6</v>
      </c>
      <c r="N5032" t="b">
        <v>0</v>
      </c>
      <c r="O5032">
        <v>1</v>
      </c>
      <c r="P5032">
        <v>0</v>
      </c>
      <c r="Q5032">
        <v>0</v>
      </c>
      <c r="R5032">
        <v>0</v>
      </c>
    </row>
    <row r="5033" spans="1:18" x14ac:dyDescent="0.25">
      <c r="A5033" t="s">
        <v>519</v>
      </c>
      <c r="B5033" t="s">
        <v>6</v>
      </c>
      <c r="C5033">
        <v>4</v>
      </c>
      <c r="D5033">
        <v>3</v>
      </c>
      <c r="E5033">
        <v>2</v>
      </c>
      <c r="F5033" s="15">
        <v>46202</v>
      </c>
      <c r="G5033" t="s">
        <v>618</v>
      </c>
      <c r="H5033">
        <v>4</v>
      </c>
      <c r="I5033">
        <v>2026</v>
      </c>
      <c r="J5033">
        <v>6</v>
      </c>
      <c r="K5033" t="s">
        <v>87</v>
      </c>
      <c r="L5033" t="s">
        <v>28</v>
      </c>
      <c r="M5033" t="s">
        <v>6</v>
      </c>
      <c r="N5033" t="b">
        <v>0</v>
      </c>
      <c r="O5033">
        <v>0</v>
      </c>
      <c r="P5033">
        <v>1</v>
      </c>
      <c r="Q5033">
        <v>0</v>
      </c>
      <c r="R5033">
        <v>0</v>
      </c>
    </row>
    <row r="5034" spans="1:18" x14ac:dyDescent="0.25">
      <c r="A5034" t="s">
        <v>519</v>
      </c>
      <c r="B5034" t="s">
        <v>6</v>
      </c>
      <c r="C5034">
        <v>4</v>
      </c>
      <c r="D5034">
        <v>3</v>
      </c>
      <c r="E5034">
        <v>2</v>
      </c>
      <c r="F5034" s="15">
        <v>46202</v>
      </c>
      <c r="G5034" t="s">
        <v>618</v>
      </c>
      <c r="H5034">
        <v>4</v>
      </c>
      <c r="I5034">
        <v>2026</v>
      </c>
      <c r="J5034">
        <v>6</v>
      </c>
      <c r="K5034" t="s">
        <v>87</v>
      </c>
      <c r="L5034" t="s">
        <v>609</v>
      </c>
      <c r="M5034" t="s">
        <v>6</v>
      </c>
      <c r="N5034" t="b">
        <v>0</v>
      </c>
      <c r="O5034">
        <v>0</v>
      </c>
      <c r="P5034">
        <v>1</v>
      </c>
      <c r="Q5034">
        <v>0</v>
      </c>
      <c r="R5034">
        <v>0</v>
      </c>
    </row>
    <row r="5035" spans="1:18" x14ac:dyDescent="0.25">
      <c r="A5035" t="s">
        <v>519</v>
      </c>
      <c r="B5035" t="s">
        <v>6</v>
      </c>
      <c r="C5035">
        <v>4</v>
      </c>
      <c r="D5035">
        <v>3</v>
      </c>
      <c r="E5035">
        <v>2</v>
      </c>
      <c r="F5035" s="15">
        <v>46202</v>
      </c>
      <c r="G5035" t="s">
        <v>618</v>
      </c>
      <c r="H5035">
        <v>4</v>
      </c>
      <c r="I5035">
        <v>2026</v>
      </c>
      <c r="J5035">
        <v>6</v>
      </c>
      <c r="K5035" t="s">
        <v>87</v>
      </c>
      <c r="L5035" t="s">
        <v>607</v>
      </c>
      <c r="M5035" t="s">
        <v>8</v>
      </c>
      <c r="N5035" t="b">
        <v>0</v>
      </c>
      <c r="O5035">
        <v>0</v>
      </c>
      <c r="P5035">
        <v>1</v>
      </c>
      <c r="Q5035">
        <v>0</v>
      </c>
      <c r="R5035">
        <v>1</v>
      </c>
    </row>
    <row r="5036" spans="1:18" x14ac:dyDescent="0.25">
      <c r="A5036" t="s">
        <v>51</v>
      </c>
      <c r="B5036" t="s">
        <v>6</v>
      </c>
      <c r="C5036">
        <v>1</v>
      </c>
      <c r="D5036">
        <v>4</v>
      </c>
      <c r="E5036">
        <v>2</v>
      </c>
      <c r="F5036" s="15">
        <v>46202</v>
      </c>
      <c r="G5036" t="s">
        <v>619</v>
      </c>
      <c r="H5036">
        <v>3</v>
      </c>
      <c r="I5036">
        <v>2026</v>
      </c>
      <c r="J5036">
        <v>6</v>
      </c>
      <c r="K5036" t="s">
        <v>87</v>
      </c>
      <c r="L5036" t="s">
        <v>27</v>
      </c>
      <c r="M5036" t="s">
        <v>8</v>
      </c>
      <c r="N5036" t="b">
        <v>0</v>
      </c>
      <c r="O5036">
        <v>0</v>
      </c>
      <c r="P5036">
        <v>1</v>
      </c>
      <c r="Q5036">
        <v>0</v>
      </c>
      <c r="R5036">
        <v>1</v>
      </c>
    </row>
    <row r="5037" spans="1:18" x14ac:dyDescent="0.25">
      <c r="A5037" t="s">
        <v>51</v>
      </c>
      <c r="B5037" t="s">
        <v>6</v>
      </c>
      <c r="C5037">
        <v>1</v>
      </c>
      <c r="D5037">
        <v>4</v>
      </c>
      <c r="E5037">
        <v>2</v>
      </c>
      <c r="F5037" s="15">
        <v>46202</v>
      </c>
      <c r="G5037" t="s">
        <v>619</v>
      </c>
      <c r="H5037">
        <v>3</v>
      </c>
      <c r="I5037">
        <v>2026</v>
      </c>
      <c r="J5037">
        <v>6</v>
      </c>
      <c r="K5037" t="s">
        <v>87</v>
      </c>
      <c r="L5037" t="s">
        <v>15</v>
      </c>
      <c r="M5037" t="s">
        <v>6</v>
      </c>
      <c r="N5037" t="b">
        <v>0</v>
      </c>
      <c r="O5037">
        <v>0</v>
      </c>
      <c r="P5037">
        <v>1</v>
      </c>
      <c r="Q5037">
        <v>0</v>
      </c>
      <c r="R5037">
        <v>0</v>
      </c>
    </row>
    <row r="5038" spans="1:18" x14ac:dyDescent="0.25">
      <c r="A5038" t="s">
        <v>27</v>
      </c>
      <c r="B5038" t="s">
        <v>8</v>
      </c>
      <c r="C5038">
        <v>2</v>
      </c>
      <c r="D5038">
        <v>4</v>
      </c>
      <c r="E5038">
        <v>2</v>
      </c>
      <c r="F5038" s="15">
        <v>46202</v>
      </c>
      <c r="G5038" t="s">
        <v>619</v>
      </c>
      <c r="H5038">
        <v>3</v>
      </c>
      <c r="I5038">
        <v>2026</v>
      </c>
      <c r="J5038">
        <v>6</v>
      </c>
      <c r="K5038" t="s">
        <v>87</v>
      </c>
      <c r="L5038" t="s">
        <v>51</v>
      </c>
      <c r="M5038" t="s">
        <v>6</v>
      </c>
      <c r="N5038" t="b">
        <v>0</v>
      </c>
      <c r="O5038">
        <v>1</v>
      </c>
      <c r="P5038">
        <v>0</v>
      </c>
      <c r="Q5038">
        <v>0</v>
      </c>
      <c r="R5038">
        <v>0</v>
      </c>
    </row>
    <row r="5039" spans="1:18" x14ac:dyDescent="0.25">
      <c r="A5039" t="s">
        <v>27</v>
      </c>
      <c r="B5039" t="s">
        <v>8</v>
      </c>
      <c r="C5039">
        <v>2</v>
      </c>
      <c r="D5039">
        <v>4</v>
      </c>
      <c r="E5039">
        <v>2</v>
      </c>
      <c r="F5039" s="15">
        <v>46202</v>
      </c>
      <c r="G5039" t="s">
        <v>619</v>
      </c>
      <c r="H5039">
        <v>3</v>
      </c>
      <c r="I5039">
        <v>2026</v>
      </c>
      <c r="J5039">
        <v>6</v>
      </c>
      <c r="K5039" t="s">
        <v>87</v>
      </c>
      <c r="L5039" t="s">
        <v>15</v>
      </c>
      <c r="M5039" t="s">
        <v>6</v>
      </c>
      <c r="N5039" t="b">
        <v>0</v>
      </c>
      <c r="O5039">
        <v>1</v>
      </c>
      <c r="P5039">
        <v>0</v>
      </c>
      <c r="Q5039">
        <v>0</v>
      </c>
      <c r="R5039">
        <v>0</v>
      </c>
    </row>
    <row r="5040" spans="1:18" x14ac:dyDescent="0.25">
      <c r="A5040" t="s">
        <v>15</v>
      </c>
      <c r="B5040" t="s">
        <v>6</v>
      </c>
      <c r="C5040">
        <v>3</v>
      </c>
      <c r="D5040">
        <v>4</v>
      </c>
      <c r="E5040">
        <v>2</v>
      </c>
      <c r="F5040" s="15">
        <v>46202</v>
      </c>
      <c r="G5040" t="s">
        <v>619</v>
      </c>
      <c r="H5040">
        <v>3</v>
      </c>
      <c r="I5040">
        <v>2026</v>
      </c>
      <c r="J5040">
        <v>6</v>
      </c>
      <c r="K5040" t="s">
        <v>87</v>
      </c>
      <c r="L5040" t="s">
        <v>51</v>
      </c>
      <c r="M5040" t="s">
        <v>6</v>
      </c>
      <c r="N5040" t="b">
        <v>0</v>
      </c>
      <c r="O5040">
        <v>0</v>
      </c>
      <c r="P5040">
        <v>1</v>
      </c>
      <c r="Q5040">
        <v>0</v>
      </c>
      <c r="R5040">
        <v>0</v>
      </c>
    </row>
    <row r="5041" spans="1:18" x14ac:dyDescent="0.25">
      <c r="A5041" t="s">
        <v>15</v>
      </c>
      <c r="B5041" t="s">
        <v>6</v>
      </c>
      <c r="C5041">
        <v>3</v>
      </c>
      <c r="D5041">
        <v>4</v>
      </c>
      <c r="E5041">
        <v>2</v>
      </c>
      <c r="F5041" s="15">
        <v>46202</v>
      </c>
      <c r="G5041" t="s">
        <v>619</v>
      </c>
      <c r="H5041">
        <v>3</v>
      </c>
      <c r="I5041">
        <v>2026</v>
      </c>
      <c r="J5041">
        <v>6</v>
      </c>
      <c r="K5041" t="s">
        <v>87</v>
      </c>
      <c r="L5041" t="s">
        <v>27</v>
      </c>
      <c r="M5041" t="s">
        <v>8</v>
      </c>
      <c r="N5041" t="b">
        <v>0</v>
      </c>
      <c r="O5041">
        <v>0</v>
      </c>
      <c r="P5041">
        <v>1</v>
      </c>
      <c r="Q5041">
        <v>0</v>
      </c>
      <c r="R5041">
        <v>1</v>
      </c>
    </row>
    <row r="5042" spans="1:18" x14ac:dyDescent="0.25">
      <c r="A5042" t="s">
        <v>20</v>
      </c>
      <c r="B5042" t="s">
        <v>8</v>
      </c>
      <c r="C5042">
        <v>1</v>
      </c>
      <c r="D5042">
        <v>5</v>
      </c>
      <c r="E5042">
        <v>2</v>
      </c>
      <c r="F5042" s="15">
        <v>46202</v>
      </c>
      <c r="G5042" t="s">
        <v>620</v>
      </c>
      <c r="H5042">
        <v>3</v>
      </c>
      <c r="I5042">
        <v>2026</v>
      </c>
      <c r="J5042">
        <v>6</v>
      </c>
      <c r="K5042" t="s">
        <v>87</v>
      </c>
      <c r="L5042" t="s">
        <v>11</v>
      </c>
      <c r="M5042" t="s">
        <v>6</v>
      </c>
      <c r="N5042" t="b">
        <v>0</v>
      </c>
      <c r="O5042">
        <v>1</v>
      </c>
      <c r="P5042">
        <v>0</v>
      </c>
      <c r="Q5042">
        <v>0</v>
      </c>
      <c r="R5042">
        <v>0</v>
      </c>
    </row>
    <row r="5043" spans="1:18" x14ac:dyDescent="0.25">
      <c r="A5043" t="s">
        <v>20</v>
      </c>
      <c r="B5043" t="s">
        <v>8</v>
      </c>
      <c r="C5043">
        <v>1</v>
      </c>
      <c r="D5043">
        <v>5</v>
      </c>
      <c r="E5043">
        <v>2</v>
      </c>
      <c r="F5043" s="15">
        <v>46202</v>
      </c>
      <c r="G5043" t="s">
        <v>620</v>
      </c>
      <c r="H5043">
        <v>3</v>
      </c>
      <c r="I5043">
        <v>2026</v>
      </c>
      <c r="J5043">
        <v>6</v>
      </c>
      <c r="K5043" t="s">
        <v>87</v>
      </c>
      <c r="L5043" t="s">
        <v>10</v>
      </c>
      <c r="M5043" t="s">
        <v>6</v>
      </c>
      <c r="N5043" t="b">
        <v>0</v>
      </c>
      <c r="O5043">
        <v>1</v>
      </c>
      <c r="P5043">
        <v>0</v>
      </c>
      <c r="Q5043">
        <v>0</v>
      </c>
      <c r="R5043">
        <v>0</v>
      </c>
    </row>
    <row r="5044" spans="1:18" x14ac:dyDescent="0.25">
      <c r="A5044" t="s">
        <v>11</v>
      </c>
      <c r="B5044" t="s">
        <v>6</v>
      </c>
      <c r="C5044">
        <v>2</v>
      </c>
      <c r="D5044">
        <v>5</v>
      </c>
      <c r="E5044">
        <v>2</v>
      </c>
      <c r="F5044" s="15">
        <v>46202</v>
      </c>
      <c r="G5044" t="s">
        <v>620</v>
      </c>
      <c r="H5044">
        <v>3</v>
      </c>
      <c r="I5044">
        <v>2026</v>
      </c>
      <c r="J5044">
        <v>6</v>
      </c>
      <c r="K5044" t="s">
        <v>87</v>
      </c>
      <c r="L5044" t="s">
        <v>20</v>
      </c>
      <c r="M5044" t="s">
        <v>8</v>
      </c>
      <c r="N5044" t="b">
        <v>0</v>
      </c>
      <c r="O5044">
        <v>0</v>
      </c>
      <c r="P5044">
        <v>1</v>
      </c>
      <c r="Q5044">
        <v>0</v>
      </c>
      <c r="R5044">
        <v>1</v>
      </c>
    </row>
    <row r="5045" spans="1:18" x14ac:dyDescent="0.25">
      <c r="A5045" t="s">
        <v>11</v>
      </c>
      <c r="B5045" t="s">
        <v>6</v>
      </c>
      <c r="C5045">
        <v>2</v>
      </c>
      <c r="D5045">
        <v>5</v>
      </c>
      <c r="E5045">
        <v>2</v>
      </c>
      <c r="F5045" s="15">
        <v>46202</v>
      </c>
      <c r="G5045" t="s">
        <v>620</v>
      </c>
      <c r="H5045">
        <v>3</v>
      </c>
      <c r="I5045">
        <v>2026</v>
      </c>
      <c r="J5045">
        <v>6</v>
      </c>
      <c r="K5045" t="s">
        <v>87</v>
      </c>
      <c r="L5045" t="s">
        <v>10</v>
      </c>
      <c r="M5045" t="s">
        <v>6</v>
      </c>
      <c r="N5045" t="b">
        <v>0</v>
      </c>
      <c r="O5045">
        <v>0</v>
      </c>
      <c r="P5045">
        <v>1</v>
      </c>
      <c r="Q5045">
        <v>0</v>
      </c>
      <c r="R5045">
        <v>0</v>
      </c>
    </row>
    <row r="5046" spans="1:18" x14ac:dyDescent="0.25">
      <c r="A5046" t="s">
        <v>10</v>
      </c>
      <c r="B5046" t="s">
        <v>6</v>
      </c>
      <c r="C5046">
        <v>3</v>
      </c>
      <c r="D5046">
        <v>5</v>
      </c>
      <c r="E5046">
        <v>2</v>
      </c>
      <c r="F5046" s="15">
        <v>46202</v>
      </c>
      <c r="G5046" t="s">
        <v>620</v>
      </c>
      <c r="H5046">
        <v>3</v>
      </c>
      <c r="I5046">
        <v>2026</v>
      </c>
      <c r="J5046">
        <v>6</v>
      </c>
      <c r="K5046" t="s">
        <v>87</v>
      </c>
      <c r="L5046" t="s">
        <v>20</v>
      </c>
      <c r="M5046" t="s">
        <v>8</v>
      </c>
      <c r="N5046" t="b">
        <v>0</v>
      </c>
      <c r="O5046">
        <v>0</v>
      </c>
      <c r="P5046">
        <v>1</v>
      </c>
      <c r="Q5046">
        <v>0</v>
      </c>
      <c r="R5046">
        <v>1</v>
      </c>
    </row>
    <row r="5047" spans="1:18" x14ac:dyDescent="0.25">
      <c r="A5047" t="s">
        <v>10</v>
      </c>
      <c r="B5047" t="s">
        <v>6</v>
      </c>
      <c r="C5047">
        <v>3</v>
      </c>
      <c r="D5047">
        <v>5</v>
      </c>
      <c r="E5047">
        <v>2</v>
      </c>
      <c r="F5047" s="15">
        <v>46202</v>
      </c>
      <c r="G5047" t="s">
        <v>620</v>
      </c>
      <c r="H5047">
        <v>3</v>
      </c>
      <c r="I5047">
        <v>2026</v>
      </c>
      <c r="J5047">
        <v>6</v>
      </c>
      <c r="K5047" t="s">
        <v>87</v>
      </c>
      <c r="L5047" t="s">
        <v>11</v>
      </c>
      <c r="M5047" t="s">
        <v>6</v>
      </c>
      <c r="N5047" t="b">
        <v>0</v>
      </c>
      <c r="O5047">
        <v>0</v>
      </c>
      <c r="P5047">
        <v>1</v>
      </c>
      <c r="Q5047">
        <v>0</v>
      </c>
      <c r="R5047">
        <v>0</v>
      </c>
    </row>
    <row r="5048" spans="1:18" x14ac:dyDescent="0.25">
      <c r="A5048" t="s">
        <v>363</v>
      </c>
      <c r="B5048" t="s">
        <v>8</v>
      </c>
      <c r="C5048">
        <v>1</v>
      </c>
      <c r="D5048">
        <v>6</v>
      </c>
      <c r="E5048">
        <v>2</v>
      </c>
      <c r="F5048" s="15">
        <v>46202</v>
      </c>
      <c r="G5048" t="s">
        <v>621</v>
      </c>
      <c r="H5048">
        <v>3</v>
      </c>
      <c r="I5048">
        <v>2026</v>
      </c>
      <c r="J5048">
        <v>6</v>
      </c>
      <c r="K5048" t="s">
        <v>87</v>
      </c>
      <c r="L5048" t="s">
        <v>606</v>
      </c>
      <c r="M5048" t="s">
        <v>6</v>
      </c>
      <c r="N5048" t="b">
        <v>0</v>
      </c>
      <c r="O5048">
        <v>1</v>
      </c>
      <c r="P5048">
        <v>0</v>
      </c>
      <c r="Q5048">
        <v>0</v>
      </c>
      <c r="R5048">
        <v>0</v>
      </c>
    </row>
    <row r="5049" spans="1:18" x14ac:dyDescent="0.25">
      <c r="A5049" t="s">
        <v>363</v>
      </c>
      <c r="B5049" t="s">
        <v>8</v>
      </c>
      <c r="C5049">
        <v>1</v>
      </c>
      <c r="D5049">
        <v>6</v>
      </c>
      <c r="E5049">
        <v>2</v>
      </c>
      <c r="F5049" s="15">
        <v>46202</v>
      </c>
      <c r="G5049" t="s">
        <v>621</v>
      </c>
      <c r="H5049">
        <v>3</v>
      </c>
      <c r="I5049">
        <v>2026</v>
      </c>
      <c r="J5049">
        <v>6</v>
      </c>
      <c r="K5049" t="s">
        <v>87</v>
      </c>
      <c r="L5049" t="s">
        <v>578</v>
      </c>
      <c r="M5049" t="s">
        <v>6</v>
      </c>
      <c r="N5049" t="b">
        <v>0</v>
      </c>
      <c r="O5049">
        <v>1</v>
      </c>
      <c r="P5049">
        <v>0</v>
      </c>
      <c r="Q5049">
        <v>0</v>
      </c>
      <c r="R5049">
        <v>0</v>
      </c>
    </row>
    <row r="5050" spans="1:18" x14ac:dyDescent="0.25">
      <c r="A5050" t="s">
        <v>606</v>
      </c>
      <c r="B5050" t="s">
        <v>6</v>
      </c>
      <c r="C5050">
        <v>2</v>
      </c>
      <c r="D5050">
        <v>6</v>
      </c>
      <c r="E5050">
        <v>2</v>
      </c>
      <c r="F5050" s="15">
        <v>46202</v>
      </c>
      <c r="G5050" t="s">
        <v>621</v>
      </c>
      <c r="H5050">
        <v>3</v>
      </c>
      <c r="I5050">
        <v>2026</v>
      </c>
      <c r="J5050">
        <v>6</v>
      </c>
      <c r="K5050" t="s">
        <v>87</v>
      </c>
      <c r="L5050" t="s">
        <v>363</v>
      </c>
      <c r="M5050" t="s">
        <v>8</v>
      </c>
      <c r="N5050" t="b">
        <v>0</v>
      </c>
      <c r="O5050">
        <v>0</v>
      </c>
      <c r="P5050">
        <v>1</v>
      </c>
      <c r="Q5050">
        <v>0</v>
      </c>
      <c r="R5050">
        <v>1</v>
      </c>
    </row>
    <row r="5051" spans="1:18" x14ac:dyDescent="0.25">
      <c r="A5051" t="s">
        <v>606</v>
      </c>
      <c r="B5051" t="s">
        <v>6</v>
      </c>
      <c r="C5051">
        <v>2</v>
      </c>
      <c r="D5051">
        <v>6</v>
      </c>
      <c r="E5051">
        <v>2</v>
      </c>
      <c r="F5051" s="15">
        <v>46202</v>
      </c>
      <c r="G5051" t="s">
        <v>621</v>
      </c>
      <c r="H5051">
        <v>3</v>
      </c>
      <c r="I5051">
        <v>2026</v>
      </c>
      <c r="J5051">
        <v>6</v>
      </c>
      <c r="K5051" t="s">
        <v>87</v>
      </c>
      <c r="L5051" t="s">
        <v>578</v>
      </c>
      <c r="M5051" t="s">
        <v>6</v>
      </c>
      <c r="N5051" t="b">
        <v>0</v>
      </c>
      <c r="O5051">
        <v>0</v>
      </c>
      <c r="P5051">
        <v>1</v>
      </c>
      <c r="Q5051">
        <v>0</v>
      </c>
      <c r="R5051">
        <v>0</v>
      </c>
    </row>
    <row r="5052" spans="1:18" x14ac:dyDescent="0.25">
      <c r="A5052" t="s">
        <v>578</v>
      </c>
      <c r="B5052" t="s">
        <v>6</v>
      </c>
      <c r="C5052">
        <v>3</v>
      </c>
      <c r="D5052">
        <v>6</v>
      </c>
      <c r="E5052">
        <v>2</v>
      </c>
      <c r="F5052" s="15">
        <v>46202</v>
      </c>
      <c r="G5052" t="s">
        <v>621</v>
      </c>
      <c r="H5052">
        <v>3</v>
      </c>
      <c r="I5052">
        <v>2026</v>
      </c>
      <c r="J5052">
        <v>6</v>
      </c>
      <c r="K5052" t="s">
        <v>87</v>
      </c>
      <c r="L5052" t="s">
        <v>363</v>
      </c>
      <c r="M5052" t="s">
        <v>8</v>
      </c>
      <c r="N5052" t="b">
        <v>0</v>
      </c>
      <c r="O5052">
        <v>0</v>
      </c>
      <c r="P5052">
        <v>1</v>
      </c>
      <c r="Q5052">
        <v>0</v>
      </c>
      <c r="R5052">
        <v>1</v>
      </c>
    </row>
    <row r="5053" spans="1:18" x14ac:dyDescent="0.25">
      <c r="A5053" t="s">
        <v>578</v>
      </c>
      <c r="B5053" t="s">
        <v>6</v>
      </c>
      <c r="C5053">
        <v>3</v>
      </c>
      <c r="D5053">
        <v>6</v>
      </c>
      <c r="E5053">
        <v>2</v>
      </c>
      <c r="F5053" s="15">
        <v>46202</v>
      </c>
      <c r="G5053" t="s">
        <v>621</v>
      </c>
      <c r="H5053">
        <v>3</v>
      </c>
      <c r="I5053">
        <v>2026</v>
      </c>
      <c r="J5053">
        <v>6</v>
      </c>
      <c r="K5053" t="s">
        <v>87</v>
      </c>
      <c r="L5053" t="s">
        <v>606</v>
      </c>
      <c r="M5053" t="s">
        <v>6</v>
      </c>
      <c r="N5053" t="b">
        <v>0</v>
      </c>
      <c r="O5053">
        <v>0</v>
      </c>
      <c r="P5053">
        <v>1</v>
      </c>
      <c r="Q5053">
        <v>0</v>
      </c>
      <c r="R5053">
        <v>0</v>
      </c>
    </row>
    <row r="5054" spans="1:18" x14ac:dyDescent="0.25">
      <c r="A5054" t="s">
        <v>326</v>
      </c>
      <c r="B5054" t="s">
        <v>8</v>
      </c>
      <c r="C5054">
        <v>1</v>
      </c>
      <c r="D5054">
        <v>1</v>
      </c>
      <c r="E5054">
        <v>1</v>
      </c>
      <c r="F5054" s="15">
        <v>46209</v>
      </c>
      <c r="G5054" t="s">
        <v>623</v>
      </c>
      <c r="H5054">
        <v>4</v>
      </c>
      <c r="I5054">
        <v>2026</v>
      </c>
      <c r="J5054">
        <v>7</v>
      </c>
      <c r="K5054" t="s">
        <v>87</v>
      </c>
      <c r="L5054" t="s">
        <v>27</v>
      </c>
      <c r="M5054" t="s">
        <v>6</v>
      </c>
      <c r="N5054" t="b">
        <v>0</v>
      </c>
      <c r="O5054">
        <v>1</v>
      </c>
      <c r="P5054">
        <v>0</v>
      </c>
      <c r="Q5054">
        <v>0</v>
      </c>
      <c r="R5054">
        <v>0</v>
      </c>
    </row>
    <row r="5055" spans="1:18" x14ac:dyDescent="0.25">
      <c r="A5055" t="s">
        <v>326</v>
      </c>
      <c r="B5055" t="s">
        <v>8</v>
      </c>
      <c r="C5055">
        <v>1</v>
      </c>
      <c r="D5055">
        <v>1</v>
      </c>
      <c r="E5055">
        <v>1</v>
      </c>
      <c r="F5055" s="15">
        <v>46209</v>
      </c>
      <c r="G5055" t="s">
        <v>623</v>
      </c>
      <c r="H5055">
        <v>4</v>
      </c>
      <c r="I5055">
        <v>2026</v>
      </c>
      <c r="J5055">
        <v>7</v>
      </c>
      <c r="K5055" t="s">
        <v>87</v>
      </c>
      <c r="L5055" t="s">
        <v>325</v>
      </c>
      <c r="M5055" t="s">
        <v>6</v>
      </c>
      <c r="N5055" t="b">
        <v>0</v>
      </c>
      <c r="O5055">
        <v>1</v>
      </c>
      <c r="P5055">
        <v>0</v>
      </c>
      <c r="Q5055">
        <v>0</v>
      </c>
      <c r="R5055">
        <v>0</v>
      </c>
    </row>
    <row r="5056" spans="1:18" x14ac:dyDescent="0.25">
      <c r="A5056" t="s">
        <v>326</v>
      </c>
      <c r="B5056" t="s">
        <v>8</v>
      </c>
      <c r="C5056">
        <v>1</v>
      </c>
      <c r="D5056">
        <v>1</v>
      </c>
      <c r="E5056">
        <v>1</v>
      </c>
      <c r="F5056" s="15">
        <v>46209</v>
      </c>
      <c r="G5056" t="s">
        <v>623</v>
      </c>
      <c r="H5056">
        <v>4</v>
      </c>
      <c r="I5056">
        <v>2026</v>
      </c>
      <c r="J5056">
        <v>7</v>
      </c>
      <c r="K5056" t="s">
        <v>87</v>
      </c>
      <c r="L5056" t="s">
        <v>405</v>
      </c>
      <c r="M5056" t="s">
        <v>6</v>
      </c>
      <c r="N5056" t="b">
        <v>0</v>
      </c>
      <c r="O5056">
        <v>1</v>
      </c>
      <c r="P5056">
        <v>0</v>
      </c>
      <c r="Q5056">
        <v>0</v>
      </c>
      <c r="R5056">
        <v>0</v>
      </c>
    </row>
    <row r="5057" spans="1:18" x14ac:dyDescent="0.25">
      <c r="A5057" t="s">
        <v>27</v>
      </c>
      <c r="B5057" t="s">
        <v>6</v>
      </c>
      <c r="C5057">
        <v>2</v>
      </c>
      <c r="D5057">
        <v>1</v>
      </c>
      <c r="E5057">
        <v>1</v>
      </c>
      <c r="F5057" s="15">
        <v>46209</v>
      </c>
      <c r="G5057" t="s">
        <v>623</v>
      </c>
      <c r="H5057">
        <v>4</v>
      </c>
      <c r="I5057">
        <v>2026</v>
      </c>
      <c r="J5057">
        <v>7</v>
      </c>
      <c r="K5057" t="s">
        <v>87</v>
      </c>
      <c r="L5057" t="s">
        <v>326</v>
      </c>
      <c r="M5057" t="s">
        <v>8</v>
      </c>
      <c r="N5057" t="b">
        <v>0</v>
      </c>
      <c r="O5057">
        <v>0</v>
      </c>
      <c r="P5057">
        <v>1</v>
      </c>
      <c r="Q5057">
        <v>0</v>
      </c>
      <c r="R5057">
        <v>1</v>
      </c>
    </row>
    <row r="5058" spans="1:18" x14ac:dyDescent="0.25">
      <c r="A5058" t="s">
        <v>27</v>
      </c>
      <c r="B5058" t="s">
        <v>6</v>
      </c>
      <c r="C5058">
        <v>2</v>
      </c>
      <c r="D5058">
        <v>1</v>
      </c>
      <c r="E5058">
        <v>1</v>
      </c>
      <c r="F5058" s="15">
        <v>46209</v>
      </c>
      <c r="G5058" t="s">
        <v>623</v>
      </c>
      <c r="H5058">
        <v>4</v>
      </c>
      <c r="I5058">
        <v>2026</v>
      </c>
      <c r="J5058">
        <v>7</v>
      </c>
      <c r="K5058" t="s">
        <v>87</v>
      </c>
      <c r="L5058" t="s">
        <v>325</v>
      </c>
      <c r="M5058" t="s">
        <v>6</v>
      </c>
      <c r="N5058" t="b">
        <v>0</v>
      </c>
      <c r="O5058">
        <v>0</v>
      </c>
      <c r="P5058">
        <v>1</v>
      </c>
      <c r="Q5058">
        <v>0</v>
      </c>
      <c r="R5058">
        <v>0</v>
      </c>
    </row>
    <row r="5059" spans="1:18" x14ac:dyDescent="0.25">
      <c r="A5059" t="s">
        <v>27</v>
      </c>
      <c r="B5059" t="s">
        <v>6</v>
      </c>
      <c r="C5059">
        <v>2</v>
      </c>
      <c r="D5059">
        <v>1</v>
      </c>
      <c r="E5059">
        <v>1</v>
      </c>
      <c r="F5059" s="15">
        <v>46209</v>
      </c>
      <c r="G5059" t="s">
        <v>623</v>
      </c>
      <c r="H5059">
        <v>4</v>
      </c>
      <c r="I5059">
        <v>2026</v>
      </c>
      <c r="J5059">
        <v>7</v>
      </c>
      <c r="K5059" t="s">
        <v>87</v>
      </c>
      <c r="L5059" t="s">
        <v>405</v>
      </c>
      <c r="M5059" t="s">
        <v>6</v>
      </c>
      <c r="N5059" t="b">
        <v>0</v>
      </c>
      <c r="O5059">
        <v>0</v>
      </c>
      <c r="P5059">
        <v>1</v>
      </c>
      <c r="Q5059">
        <v>0</v>
      </c>
      <c r="R5059">
        <v>0</v>
      </c>
    </row>
    <row r="5060" spans="1:18" x14ac:dyDescent="0.25">
      <c r="A5060" t="s">
        <v>325</v>
      </c>
      <c r="B5060" t="s">
        <v>6</v>
      </c>
      <c r="C5060">
        <v>3</v>
      </c>
      <c r="D5060">
        <v>1</v>
      </c>
      <c r="E5060">
        <v>1</v>
      </c>
      <c r="F5060" s="15">
        <v>46209</v>
      </c>
      <c r="G5060" t="s">
        <v>623</v>
      </c>
      <c r="H5060">
        <v>4</v>
      </c>
      <c r="I5060">
        <v>2026</v>
      </c>
      <c r="J5060">
        <v>7</v>
      </c>
      <c r="K5060" t="s">
        <v>87</v>
      </c>
      <c r="L5060" t="s">
        <v>326</v>
      </c>
      <c r="M5060" t="s">
        <v>8</v>
      </c>
      <c r="N5060" t="b">
        <v>0</v>
      </c>
      <c r="O5060">
        <v>0</v>
      </c>
      <c r="P5060">
        <v>1</v>
      </c>
      <c r="Q5060">
        <v>0</v>
      </c>
      <c r="R5060">
        <v>1</v>
      </c>
    </row>
    <row r="5061" spans="1:18" x14ac:dyDescent="0.25">
      <c r="A5061" t="s">
        <v>325</v>
      </c>
      <c r="B5061" t="s">
        <v>6</v>
      </c>
      <c r="C5061">
        <v>3</v>
      </c>
      <c r="D5061">
        <v>1</v>
      </c>
      <c r="E5061">
        <v>1</v>
      </c>
      <c r="F5061" s="15">
        <v>46209</v>
      </c>
      <c r="G5061" t="s">
        <v>623</v>
      </c>
      <c r="H5061">
        <v>4</v>
      </c>
      <c r="I5061">
        <v>2026</v>
      </c>
      <c r="J5061">
        <v>7</v>
      </c>
      <c r="K5061" t="s">
        <v>87</v>
      </c>
      <c r="L5061" t="s">
        <v>27</v>
      </c>
      <c r="M5061" t="s">
        <v>6</v>
      </c>
      <c r="N5061" t="b">
        <v>0</v>
      </c>
      <c r="O5061">
        <v>0</v>
      </c>
      <c r="P5061">
        <v>1</v>
      </c>
      <c r="Q5061">
        <v>0</v>
      </c>
      <c r="R5061">
        <v>0</v>
      </c>
    </row>
    <row r="5062" spans="1:18" x14ac:dyDescent="0.25">
      <c r="A5062" t="s">
        <v>325</v>
      </c>
      <c r="B5062" t="s">
        <v>6</v>
      </c>
      <c r="C5062">
        <v>3</v>
      </c>
      <c r="D5062">
        <v>1</v>
      </c>
      <c r="E5062">
        <v>1</v>
      </c>
      <c r="F5062" s="15">
        <v>46209</v>
      </c>
      <c r="G5062" t="s">
        <v>623</v>
      </c>
      <c r="H5062">
        <v>4</v>
      </c>
      <c r="I5062">
        <v>2026</v>
      </c>
      <c r="J5062">
        <v>7</v>
      </c>
      <c r="K5062" t="s">
        <v>87</v>
      </c>
      <c r="L5062" t="s">
        <v>405</v>
      </c>
      <c r="M5062" t="s">
        <v>6</v>
      </c>
      <c r="N5062" t="b">
        <v>0</v>
      </c>
      <c r="O5062">
        <v>0</v>
      </c>
      <c r="P5062">
        <v>1</v>
      </c>
      <c r="Q5062">
        <v>0</v>
      </c>
      <c r="R5062">
        <v>0</v>
      </c>
    </row>
    <row r="5063" spans="1:18" x14ac:dyDescent="0.25">
      <c r="A5063" t="s">
        <v>405</v>
      </c>
      <c r="B5063" t="s">
        <v>6</v>
      </c>
      <c r="C5063">
        <v>4</v>
      </c>
      <c r="D5063">
        <v>1</v>
      </c>
      <c r="E5063">
        <v>1</v>
      </c>
      <c r="F5063" s="15">
        <v>46209</v>
      </c>
      <c r="G5063" t="s">
        <v>623</v>
      </c>
      <c r="H5063">
        <v>4</v>
      </c>
      <c r="I5063">
        <v>2026</v>
      </c>
      <c r="J5063">
        <v>7</v>
      </c>
      <c r="K5063" t="s">
        <v>87</v>
      </c>
      <c r="L5063" t="s">
        <v>326</v>
      </c>
      <c r="M5063" t="s">
        <v>8</v>
      </c>
      <c r="N5063" t="b">
        <v>0</v>
      </c>
      <c r="O5063">
        <v>0</v>
      </c>
      <c r="P5063">
        <v>1</v>
      </c>
      <c r="Q5063">
        <v>0</v>
      </c>
      <c r="R5063">
        <v>1</v>
      </c>
    </row>
    <row r="5064" spans="1:18" x14ac:dyDescent="0.25">
      <c r="A5064" t="s">
        <v>405</v>
      </c>
      <c r="B5064" t="s">
        <v>6</v>
      </c>
      <c r="C5064">
        <v>4</v>
      </c>
      <c r="D5064">
        <v>1</v>
      </c>
      <c r="E5064">
        <v>1</v>
      </c>
      <c r="F5064" s="15">
        <v>46209</v>
      </c>
      <c r="G5064" t="s">
        <v>623</v>
      </c>
      <c r="H5064">
        <v>4</v>
      </c>
      <c r="I5064">
        <v>2026</v>
      </c>
      <c r="J5064">
        <v>7</v>
      </c>
      <c r="K5064" t="s">
        <v>87</v>
      </c>
      <c r="L5064" t="s">
        <v>27</v>
      </c>
      <c r="M5064" t="s">
        <v>6</v>
      </c>
      <c r="N5064" t="b">
        <v>0</v>
      </c>
      <c r="O5064">
        <v>0</v>
      </c>
      <c r="P5064">
        <v>1</v>
      </c>
      <c r="Q5064">
        <v>0</v>
      </c>
      <c r="R5064">
        <v>0</v>
      </c>
    </row>
    <row r="5065" spans="1:18" x14ac:dyDescent="0.25">
      <c r="A5065" t="s">
        <v>405</v>
      </c>
      <c r="B5065" t="s">
        <v>6</v>
      </c>
      <c r="C5065">
        <v>4</v>
      </c>
      <c r="D5065">
        <v>1</v>
      </c>
      <c r="E5065">
        <v>1</v>
      </c>
      <c r="F5065" s="15">
        <v>46209</v>
      </c>
      <c r="G5065" t="s">
        <v>623</v>
      </c>
      <c r="H5065">
        <v>4</v>
      </c>
      <c r="I5065">
        <v>2026</v>
      </c>
      <c r="J5065">
        <v>7</v>
      </c>
      <c r="K5065" t="s">
        <v>87</v>
      </c>
      <c r="L5065" t="s">
        <v>325</v>
      </c>
      <c r="M5065" t="s">
        <v>6</v>
      </c>
      <c r="N5065" t="b">
        <v>0</v>
      </c>
      <c r="O5065">
        <v>0</v>
      </c>
      <c r="P5065">
        <v>1</v>
      </c>
      <c r="Q5065">
        <v>0</v>
      </c>
      <c r="R5065">
        <v>0</v>
      </c>
    </row>
    <row r="5066" spans="1:18" x14ac:dyDescent="0.25">
      <c r="A5066" t="s">
        <v>19</v>
      </c>
      <c r="B5066" t="s">
        <v>6</v>
      </c>
      <c r="C5066">
        <v>1</v>
      </c>
      <c r="D5066">
        <v>2</v>
      </c>
      <c r="E5066">
        <v>1</v>
      </c>
      <c r="F5066" s="15">
        <v>46209</v>
      </c>
      <c r="G5066" t="s">
        <v>624</v>
      </c>
      <c r="H5066">
        <v>4</v>
      </c>
      <c r="I5066">
        <v>2026</v>
      </c>
      <c r="J5066">
        <v>7</v>
      </c>
      <c r="K5066" t="s">
        <v>87</v>
      </c>
      <c r="L5066" t="s">
        <v>17</v>
      </c>
      <c r="M5066" t="s">
        <v>6</v>
      </c>
      <c r="N5066" t="b">
        <v>0</v>
      </c>
      <c r="O5066">
        <v>0</v>
      </c>
      <c r="P5066">
        <v>1</v>
      </c>
      <c r="Q5066">
        <v>0</v>
      </c>
      <c r="R5066">
        <v>0</v>
      </c>
    </row>
    <row r="5067" spans="1:18" x14ac:dyDescent="0.25">
      <c r="A5067" t="s">
        <v>19</v>
      </c>
      <c r="B5067" t="s">
        <v>6</v>
      </c>
      <c r="C5067">
        <v>1</v>
      </c>
      <c r="D5067">
        <v>2</v>
      </c>
      <c r="E5067">
        <v>1</v>
      </c>
      <c r="F5067" s="15">
        <v>46209</v>
      </c>
      <c r="G5067" t="s">
        <v>624</v>
      </c>
      <c r="H5067">
        <v>4</v>
      </c>
      <c r="I5067">
        <v>2026</v>
      </c>
      <c r="J5067">
        <v>7</v>
      </c>
      <c r="K5067" t="s">
        <v>87</v>
      </c>
      <c r="L5067" t="s">
        <v>352</v>
      </c>
      <c r="M5067" t="s">
        <v>8</v>
      </c>
      <c r="N5067" t="b">
        <v>0</v>
      </c>
      <c r="O5067">
        <v>0</v>
      </c>
      <c r="P5067">
        <v>1</v>
      </c>
      <c r="Q5067">
        <v>0</v>
      </c>
      <c r="R5067">
        <v>1</v>
      </c>
    </row>
    <row r="5068" spans="1:18" x14ac:dyDescent="0.25">
      <c r="A5068" t="s">
        <v>19</v>
      </c>
      <c r="B5068" t="s">
        <v>6</v>
      </c>
      <c r="C5068">
        <v>1</v>
      </c>
      <c r="D5068">
        <v>2</v>
      </c>
      <c r="E5068">
        <v>1</v>
      </c>
      <c r="F5068" s="15">
        <v>46209</v>
      </c>
      <c r="G5068" t="s">
        <v>624</v>
      </c>
      <c r="H5068">
        <v>4</v>
      </c>
      <c r="I5068">
        <v>2026</v>
      </c>
      <c r="J5068">
        <v>7</v>
      </c>
      <c r="K5068" t="s">
        <v>87</v>
      </c>
      <c r="L5068" t="s">
        <v>7</v>
      </c>
      <c r="M5068" t="s">
        <v>6</v>
      </c>
      <c r="N5068" t="b">
        <v>0</v>
      </c>
      <c r="O5068">
        <v>0</v>
      </c>
      <c r="P5068">
        <v>1</v>
      </c>
      <c r="Q5068">
        <v>0</v>
      </c>
      <c r="R5068">
        <v>0</v>
      </c>
    </row>
    <row r="5069" spans="1:18" x14ac:dyDescent="0.25">
      <c r="A5069" t="s">
        <v>17</v>
      </c>
      <c r="B5069" t="s">
        <v>6</v>
      </c>
      <c r="C5069">
        <v>2</v>
      </c>
      <c r="D5069">
        <v>2</v>
      </c>
      <c r="E5069">
        <v>1</v>
      </c>
      <c r="F5069" s="15">
        <v>46209</v>
      </c>
      <c r="G5069" t="s">
        <v>624</v>
      </c>
      <c r="H5069">
        <v>4</v>
      </c>
      <c r="I5069">
        <v>2026</v>
      </c>
      <c r="J5069">
        <v>7</v>
      </c>
      <c r="K5069" t="s">
        <v>87</v>
      </c>
      <c r="L5069" t="s">
        <v>19</v>
      </c>
      <c r="M5069" t="s">
        <v>6</v>
      </c>
      <c r="N5069" t="b">
        <v>0</v>
      </c>
      <c r="O5069">
        <v>0</v>
      </c>
      <c r="P5069">
        <v>1</v>
      </c>
      <c r="Q5069">
        <v>0</v>
      </c>
      <c r="R5069">
        <v>0</v>
      </c>
    </row>
    <row r="5070" spans="1:18" x14ac:dyDescent="0.25">
      <c r="A5070" t="s">
        <v>17</v>
      </c>
      <c r="B5070" t="s">
        <v>6</v>
      </c>
      <c r="C5070">
        <v>2</v>
      </c>
      <c r="D5070">
        <v>2</v>
      </c>
      <c r="E5070">
        <v>1</v>
      </c>
      <c r="F5070" s="15">
        <v>46209</v>
      </c>
      <c r="G5070" t="s">
        <v>624</v>
      </c>
      <c r="H5070">
        <v>4</v>
      </c>
      <c r="I5070">
        <v>2026</v>
      </c>
      <c r="J5070">
        <v>7</v>
      </c>
      <c r="K5070" t="s">
        <v>87</v>
      </c>
      <c r="L5070" t="s">
        <v>352</v>
      </c>
      <c r="M5070" t="s">
        <v>8</v>
      </c>
      <c r="N5070" t="b">
        <v>0</v>
      </c>
      <c r="O5070">
        <v>0</v>
      </c>
      <c r="P5070">
        <v>1</v>
      </c>
      <c r="Q5070">
        <v>0</v>
      </c>
      <c r="R5070">
        <v>1</v>
      </c>
    </row>
    <row r="5071" spans="1:18" x14ac:dyDescent="0.25">
      <c r="A5071" t="s">
        <v>17</v>
      </c>
      <c r="B5071" t="s">
        <v>6</v>
      </c>
      <c r="C5071">
        <v>2</v>
      </c>
      <c r="D5071">
        <v>2</v>
      </c>
      <c r="E5071">
        <v>1</v>
      </c>
      <c r="F5071" s="15">
        <v>46209</v>
      </c>
      <c r="G5071" t="s">
        <v>624</v>
      </c>
      <c r="H5071">
        <v>4</v>
      </c>
      <c r="I5071">
        <v>2026</v>
      </c>
      <c r="J5071">
        <v>7</v>
      </c>
      <c r="K5071" t="s">
        <v>87</v>
      </c>
      <c r="L5071" t="s">
        <v>7</v>
      </c>
      <c r="M5071" t="s">
        <v>6</v>
      </c>
      <c r="N5071" t="b">
        <v>0</v>
      </c>
      <c r="O5071">
        <v>0</v>
      </c>
      <c r="P5071">
        <v>1</v>
      </c>
      <c r="Q5071">
        <v>0</v>
      </c>
      <c r="R5071">
        <v>0</v>
      </c>
    </row>
    <row r="5072" spans="1:18" x14ac:dyDescent="0.25">
      <c r="A5072" t="s">
        <v>352</v>
      </c>
      <c r="B5072" t="s">
        <v>8</v>
      </c>
      <c r="C5072">
        <v>3</v>
      </c>
      <c r="D5072">
        <v>2</v>
      </c>
      <c r="E5072">
        <v>1</v>
      </c>
      <c r="F5072" s="15">
        <v>46209</v>
      </c>
      <c r="G5072" t="s">
        <v>624</v>
      </c>
      <c r="H5072">
        <v>4</v>
      </c>
      <c r="I5072">
        <v>2026</v>
      </c>
      <c r="J5072">
        <v>7</v>
      </c>
      <c r="K5072" t="s">
        <v>87</v>
      </c>
      <c r="L5072" t="s">
        <v>19</v>
      </c>
      <c r="M5072" t="s">
        <v>6</v>
      </c>
      <c r="N5072" t="b">
        <v>0</v>
      </c>
      <c r="O5072">
        <v>1</v>
      </c>
      <c r="P5072">
        <v>0</v>
      </c>
      <c r="Q5072">
        <v>0</v>
      </c>
      <c r="R5072">
        <v>0</v>
      </c>
    </row>
    <row r="5073" spans="1:18" x14ac:dyDescent="0.25">
      <c r="A5073" t="s">
        <v>352</v>
      </c>
      <c r="B5073" t="s">
        <v>8</v>
      </c>
      <c r="C5073">
        <v>3</v>
      </c>
      <c r="D5073">
        <v>2</v>
      </c>
      <c r="E5073">
        <v>1</v>
      </c>
      <c r="F5073" s="15">
        <v>46209</v>
      </c>
      <c r="G5073" t="s">
        <v>624</v>
      </c>
      <c r="H5073">
        <v>4</v>
      </c>
      <c r="I5073">
        <v>2026</v>
      </c>
      <c r="J5073">
        <v>7</v>
      </c>
      <c r="K5073" t="s">
        <v>87</v>
      </c>
      <c r="L5073" t="s">
        <v>17</v>
      </c>
      <c r="M5073" t="s">
        <v>6</v>
      </c>
      <c r="N5073" t="b">
        <v>0</v>
      </c>
      <c r="O5073">
        <v>1</v>
      </c>
      <c r="P5073">
        <v>0</v>
      </c>
      <c r="Q5073">
        <v>0</v>
      </c>
      <c r="R5073">
        <v>0</v>
      </c>
    </row>
    <row r="5074" spans="1:18" x14ac:dyDescent="0.25">
      <c r="A5074" t="s">
        <v>352</v>
      </c>
      <c r="B5074" t="s">
        <v>8</v>
      </c>
      <c r="C5074">
        <v>3</v>
      </c>
      <c r="D5074">
        <v>2</v>
      </c>
      <c r="E5074">
        <v>1</v>
      </c>
      <c r="F5074" s="15">
        <v>46209</v>
      </c>
      <c r="G5074" t="s">
        <v>624</v>
      </c>
      <c r="H5074">
        <v>4</v>
      </c>
      <c r="I5074">
        <v>2026</v>
      </c>
      <c r="J5074">
        <v>7</v>
      </c>
      <c r="K5074" t="s">
        <v>87</v>
      </c>
      <c r="L5074" t="s">
        <v>7</v>
      </c>
      <c r="M5074" t="s">
        <v>6</v>
      </c>
      <c r="N5074" t="b">
        <v>0</v>
      </c>
      <c r="O5074">
        <v>1</v>
      </c>
      <c r="P5074">
        <v>0</v>
      </c>
      <c r="Q5074">
        <v>0</v>
      </c>
      <c r="R5074">
        <v>0</v>
      </c>
    </row>
    <row r="5075" spans="1:18" x14ac:dyDescent="0.25">
      <c r="A5075" t="s">
        <v>7</v>
      </c>
      <c r="B5075" t="s">
        <v>6</v>
      </c>
      <c r="C5075">
        <v>4</v>
      </c>
      <c r="D5075">
        <v>2</v>
      </c>
      <c r="E5075">
        <v>1</v>
      </c>
      <c r="F5075" s="15">
        <v>46209</v>
      </c>
      <c r="G5075" t="s">
        <v>624</v>
      </c>
      <c r="H5075">
        <v>4</v>
      </c>
      <c r="I5075">
        <v>2026</v>
      </c>
      <c r="J5075">
        <v>7</v>
      </c>
      <c r="K5075" t="s">
        <v>87</v>
      </c>
      <c r="L5075" t="s">
        <v>19</v>
      </c>
      <c r="M5075" t="s">
        <v>6</v>
      </c>
      <c r="N5075" t="b">
        <v>0</v>
      </c>
      <c r="O5075">
        <v>0</v>
      </c>
      <c r="P5075">
        <v>1</v>
      </c>
      <c r="Q5075">
        <v>0</v>
      </c>
      <c r="R5075">
        <v>0</v>
      </c>
    </row>
    <row r="5076" spans="1:18" x14ac:dyDescent="0.25">
      <c r="A5076" t="s">
        <v>7</v>
      </c>
      <c r="B5076" t="s">
        <v>6</v>
      </c>
      <c r="C5076">
        <v>4</v>
      </c>
      <c r="D5076">
        <v>2</v>
      </c>
      <c r="E5076">
        <v>1</v>
      </c>
      <c r="F5076" s="15">
        <v>46209</v>
      </c>
      <c r="G5076" t="s">
        <v>624</v>
      </c>
      <c r="H5076">
        <v>4</v>
      </c>
      <c r="I5076">
        <v>2026</v>
      </c>
      <c r="J5076">
        <v>7</v>
      </c>
      <c r="K5076" t="s">
        <v>87</v>
      </c>
      <c r="L5076" t="s">
        <v>17</v>
      </c>
      <c r="M5076" t="s">
        <v>6</v>
      </c>
      <c r="N5076" t="b">
        <v>0</v>
      </c>
      <c r="O5076">
        <v>0</v>
      </c>
      <c r="P5076">
        <v>1</v>
      </c>
      <c r="Q5076">
        <v>0</v>
      </c>
      <c r="R5076">
        <v>0</v>
      </c>
    </row>
    <row r="5077" spans="1:18" x14ac:dyDescent="0.25">
      <c r="A5077" t="s">
        <v>7</v>
      </c>
      <c r="B5077" t="s">
        <v>6</v>
      </c>
      <c r="C5077">
        <v>4</v>
      </c>
      <c r="D5077">
        <v>2</v>
      </c>
      <c r="E5077">
        <v>1</v>
      </c>
      <c r="F5077" s="15">
        <v>46209</v>
      </c>
      <c r="G5077" t="s">
        <v>624</v>
      </c>
      <c r="H5077">
        <v>4</v>
      </c>
      <c r="I5077">
        <v>2026</v>
      </c>
      <c r="J5077">
        <v>7</v>
      </c>
      <c r="K5077" t="s">
        <v>87</v>
      </c>
      <c r="L5077" t="s">
        <v>352</v>
      </c>
      <c r="M5077" t="s">
        <v>8</v>
      </c>
      <c r="N5077" t="b">
        <v>0</v>
      </c>
      <c r="O5077">
        <v>0</v>
      </c>
      <c r="P5077">
        <v>1</v>
      </c>
      <c r="Q5077">
        <v>0</v>
      </c>
      <c r="R5077">
        <v>1</v>
      </c>
    </row>
    <row r="5078" spans="1:18" x14ac:dyDescent="0.25">
      <c r="A5078" t="s">
        <v>622</v>
      </c>
      <c r="B5078" t="s">
        <v>6</v>
      </c>
      <c r="C5078">
        <v>1</v>
      </c>
      <c r="D5078">
        <v>3</v>
      </c>
      <c r="E5078">
        <v>1</v>
      </c>
      <c r="F5078" s="15">
        <v>46209</v>
      </c>
      <c r="G5078" t="s">
        <v>625</v>
      </c>
      <c r="H5078">
        <v>4</v>
      </c>
      <c r="I5078">
        <v>2026</v>
      </c>
      <c r="J5078">
        <v>7</v>
      </c>
      <c r="K5078" t="s">
        <v>87</v>
      </c>
      <c r="L5078" t="s">
        <v>519</v>
      </c>
      <c r="M5078" t="s">
        <v>6</v>
      </c>
      <c r="N5078" t="b">
        <v>0</v>
      </c>
      <c r="O5078">
        <v>0</v>
      </c>
      <c r="P5078">
        <v>1</v>
      </c>
      <c r="Q5078">
        <v>0</v>
      </c>
      <c r="R5078">
        <v>0</v>
      </c>
    </row>
    <row r="5079" spans="1:18" x14ac:dyDescent="0.25">
      <c r="A5079" t="s">
        <v>622</v>
      </c>
      <c r="B5079" t="s">
        <v>6</v>
      </c>
      <c r="C5079">
        <v>1</v>
      </c>
      <c r="D5079">
        <v>3</v>
      </c>
      <c r="E5079">
        <v>1</v>
      </c>
      <c r="F5079" s="15">
        <v>46209</v>
      </c>
      <c r="G5079" t="s">
        <v>625</v>
      </c>
      <c r="H5079">
        <v>4</v>
      </c>
      <c r="I5079">
        <v>2026</v>
      </c>
      <c r="J5079">
        <v>7</v>
      </c>
      <c r="K5079" t="s">
        <v>87</v>
      </c>
      <c r="L5079" t="s">
        <v>13</v>
      </c>
      <c r="M5079" t="s">
        <v>8</v>
      </c>
      <c r="N5079" t="b">
        <v>0</v>
      </c>
      <c r="O5079">
        <v>0</v>
      </c>
      <c r="P5079">
        <v>1</v>
      </c>
      <c r="Q5079">
        <v>0</v>
      </c>
      <c r="R5079">
        <v>1</v>
      </c>
    </row>
    <row r="5080" spans="1:18" x14ac:dyDescent="0.25">
      <c r="A5080" t="s">
        <v>622</v>
      </c>
      <c r="B5080" t="s">
        <v>6</v>
      </c>
      <c r="C5080">
        <v>1</v>
      </c>
      <c r="D5080">
        <v>3</v>
      </c>
      <c r="E5080">
        <v>1</v>
      </c>
      <c r="F5080" s="15">
        <v>46209</v>
      </c>
      <c r="G5080" t="s">
        <v>625</v>
      </c>
      <c r="H5080">
        <v>4</v>
      </c>
      <c r="I5080">
        <v>2026</v>
      </c>
      <c r="J5080">
        <v>7</v>
      </c>
      <c r="K5080" t="s">
        <v>87</v>
      </c>
      <c r="L5080" t="s">
        <v>14</v>
      </c>
      <c r="M5080" t="s">
        <v>6</v>
      </c>
      <c r="N5080" t="b">
        <v>0</v>
      </c>
      <c r="O5080">
        <v>0</v>
      </c>
      <c r="P5080">
        <v>1</v>
      </c>
      <c r="Q5080">
        <v>0</v>
      </c>
      <c r="R5080">
        <v>0</v>
      </c>
    </row>
    <row r="5081" spans="1:18" x14ac:dyDescent="0.25">
      <c r="A5081" t="s">
        <v>519</v>
      </c>
      <c r="B5081" t="s">
        <v>6</v>
      </c>
      <c r="C5081">
        <v>2</v>
      </c>
      <c r="D5081">
        <v>3</v>
      </c>
      <c r="E5081">
        <v>1</v>
      </c>
      <c r="F5081" s="15">
        <v>46209</v>
      </c>
      <c r="G5081" t="s">
        <v>625</v>
      </c>
      <c r="H5081">
        <v>4</v>
      </c>
      <c r="I5081">
        <v>2026</v>
      </c>
      <c r="J5081">
        <v>7</v>
      </c>
      <c r="K5081" t="s">
        <v>87</v>
      </c>
      <c r="L5081" t="s">
        <v>622</v>
      </c>
      <c r="M5081" t="s">
        <v>6</v>
      </c>
      <c r="N5081" t="b">
        <v>0</v>
      </c>
      <c r="O5081">
        <v>0</v>
      </c>
      <c r="P5081">
        <v>1</v>
      </c>
      <c r="Q5081">
        <v>0</v>
      </c>
      <c r="R5081">
        <v>0</v>
      </c>
    </row>
    <row r="5082" spans="1:18" x14ac:dyDescent="0.25">
      <c r="A5082" t="s">
        <v>519</v>
      </c>
      <c r="B5082" t="s">
        <v>6</v>
      </c>
      <c r="C5082">
        <v>2</v>
      </c>
      <c r="D5082">
        <v>3</v>
      </c>
      <c r="E5082">
        <v>1</v>
      </c>
      <c r="F5082" s="15">
        <v>46209</v>
      </c>
      <c r="G5082" t="s">
        <v>625</v>
      </c>
      <c r="H5082">
        <v>4</v>
      </c>
      <c r="I5082">
        <v>2026</v>
      </c>
      <c r="J5082">
        <v>7</v>
      </c>
      <c r="K5082" t="s">
        <v>87</v>
      </c>
      <c r="L5082" t="s">
        <v>13</v>
      </c>
      <c r="M5082" t="s">
        <v>8</v>
      </c>
      <c r="N5082" t="b">
        <v>0</v>
      </c>
      <c r="O5082">
        <v>0</v>
      </c>
      <c r="P5082">
        <v>1</v>
      </c>
      <c r="Q5082">
        <v>0</v>
      </c>
      <c r="R5082">
        <v>1</v>
      </c>
    </row>
    <row r="5083" spans="1:18" x14ac:dyDescent="0.25">
      <c r="A5083" t="s">
        <v>519</v>
      </c>
      <c r="B5083" t="s">
        <v>6</v>
      </c>
      <c r="C5083">
        <v>2</v>
      </c>
      <c r="D5083">
        <v>3</v>
      </c>
      <c r="E5083">
        <v>1</v>
      </c>
      <c r="F5083" s="15">
        <v>46209</v>
      </c>
      <c r="G5083" t="s">
        <v>625</v>
      </c>
      <c r="H5083">
        <v>4</v>
      </c>
      <c r="I5083">
        <v>2026</v>
      </c>
      <c r="J5083">
        <v>7</v>
      </c>
      <c r="K5083" t="s">
        <v>87</v>
      </c>
      <c r="L5083" t="s">
        <v>14</v>
      </c>
      <c r="M5083" t="s">
        <v>6</v>
      </c>
      <c r="N5083" t="b">
        <v>0</v>
      </c>
      <c r="O5083">
        <v>0</v>
      </c>
      <c r="P5083">
        <v>1</v>
      </c>
      <c r="Q5083">
        <v>0</v>
      </c>
      <c r="R5083">
        <v>0</v>
      </c>
    </row>
    <row r="5084" spans="1:18" x14ac:dyDescent="0.25">
      <c r="A5084" t="s">
        <v>13</v>
      </c>
      <c r="B5084" t="s">
        <v>8</v>
      </c>
      <c r="C5084">
        <v>3</v>
      </c>
      <c r="D5084">
        <v>3</v>
      </c>
      <c r="E5084">
        <v>1</v>
      </c>
      <c r="F5084" s="15">
        <v>46209</v>
      </c>
      <c r="G5084" t="s">
        <v>625</v>
      </c>
      <c r="H5084">
        <v>4</v>
      </c>
      <c r="I5084">
        <v>2026</v>
      </c>
      <c r="J5084">
        <v>7</v>
      </c>
      <c r="K5084" t="s">
        <v>87</v>
      </c>
      <c r="L5084" t="s">
        <v>622</v>
      </c>
      <c r="M5084" t="s">
        <v>6</v>
      </c>
      <c r="N5084" t="b">
        <v>0</v>
      </c>
      <c r="O5084">
        <v>1</v>
      </c>
      <c r="P5084">
        <v>0</v>
      </c>
      <c r="Q5084">
        <v>0</v>
      </c>
      <c r="R5084">
        <v>0</v>
      </c>
    </row>
    <row r="5085" spans="1:18" x14ac:dyDescent="0.25">
      <c r="A5085" t="s">
        <v>13</v>
      </c>
      <c r="B5085" t="s">
        <v>8</v>
      </c>
      <c r="C5085">
        <v>3</v>
      </c>
      <c r="D5085">
        <v>3</v>
      </c>
      <c r="E5085">
        <v>1</v>
      </c>
      <c r="F5085" s="15">
        <v>46209</v>
      </c>
      <c r="G5085" t="s">
        <v>625</v>
      </c>
      <c r="H5085">
        <v>4</v>
      </c>
      <c r="I5085">
        <v>2026</v>
      </c>
      <c r="J5085">
        <v>7</v>
      </c>
      <c r="K5085" t="s">
        <v>87</v>
      </c>
      <c r="L5085" t="s">
        <v>519</v>
      </c>
      <c r="M5085" t="s">
        <v>6</v>
      </c>
      <c r="N5085" t="b">
        <v>0</v>
      </c>
      <c r="O5085">
        <v>1</v>
      </c>
      <c r="P5085">
        <v>0</v>
      </c>
      <c r="Q5085">
        <v>0</v>
      </c>
      <c r="R5085">
        <v>0</v>
      </c>
    </row>
    <row r="5086" spans="1:18" x14ac:dyDescent="0.25">
      <c r="A5086" t="s">
        <v>13</v>
      </c>
      <c r="B5086" t="s">
        <v>8</v>
      </c>
      <c r="C5086">
        <v>3</v>
      </c>
      <c r="D5086">
        <v>3</v>
      </c>
      <c r="E5086">
        <v>1</v>
      </c>
      <c r="F5086" s="15">
        <v>46209</v>
      </c>
      <c r="G5086" t="s">
        <v>625</v>
      </c>
      <c r="H5086">
        <v>4</v>
      </c>
      <c r="I5086">
        <v>2026</v>
      </c>
      <c r="J5086">
        <v>7</v>
      </c>
      <c r="K5086" t="s">
        <v>87</v>
      </c>
      <c r="L5086" t="s">
        <v>14</v>
      </c>
      <c r="M5086" t="s">
        <v>6</v>
      </c>
      <c r="N5086" t="b">
        <v>0</v>
      </c>
      <c r="O5086">
        <v>1</v>
      </c>
      <c r="P5086">
        <v>0</v>
      </c>
      <c r="Q5086">
        <v>0</v>
      </c>
      <c r="R5086">
        <v>0</v>
      </c>
    </row>
    <row r="5087" spans="1:18" x14ac:dyDescent="0.25">
      <c r="A5087" t="s">
        <v>14</v>
      </c>
      <c r="B5087" t="s">
        <v>6</v>
      </c>
      <c r="C5087">
        <v>4</v>
      </c>
      <c r="D5087">
        <v>3</v>
      </c>
      <c r="E5087">
        <v>1</v>
      </c>
      <c r="F5087" s="15">
        <v>46209</v>
      </c>
      <c r="G5087" t="s">
        <v>625</v>
      </c>
      <c r="H5087">
        <v>4</v>
      </c>
      <c r="I5087">
        <v>2026</v>
      </c>
      <c r="J5087">
        <v>7</v>
      </c>
      <c r="K5087" t="s">
        <v>87</v>
      </c>
      <c r="L5087" t="s">
        <v>622</v>
      </c>
      <c r="M5087" t="s">
        <v>6</v>
      </c>
      <c r="N5087" t="b">
        <v>0</v>
      </c>
      <c r="O5087">
        <v>0</v>
      </c>
      <c r="P5087">
        <v>1</v>
      </c>
      <c r="Q5087">
        <v>0</v>
      </c>
      <c r="R5087">
        <v>0</v>
      </c>
    </row>
    <row r="5088" spans="1:18" x14ac:dyDescent="0.25">
      <c r="A5088" t="s">
        <v>14</v>
      </c>
      <c r="B5088" t="s">
        <v>6</v>
      </c>
      <c r="C5088">
        <v>4</v>
      </c>
      <c r="D5088">
        <v>3</v>
      </c>
      <c r="E5088">
        <v>1</v>
      </c>
      <c r="F5088" s="15">
        <v>46209</v>
      </c>
      <c r="G5088" t="s">
        <v>625</v>
      </c>
      <c r="H5088">
        <v>4</v>
      </c>
      <c r="I5088">
        <v>2026</v>
      </c>
      <c r="J5088">
        <v>7</v>
      </c>
      <c r="K5088" t="s">
        <v>87</v>
      </c>
      <c r="L5088" t="s">
        <v>519</v>
      </c>
      <c r="M5088" t="s">
        <v>6</v>
      </c>
      <c r="N5088" t="b">
        <v>0</v>
      </c>
      <c r="O5088">
        <v>0</v>
      </c>
      <c r="P5088">
        <v>1</v>
      </c>
      <c r="Q5088">
        <v>0</v>
      </c>
      <c r="R5088">
        <v>0</v>
      </c>
    </row>
    <row r="5089" spans="1:18" x14ac:dyDescent="0.25">
      <c r="A5089" t="s">
        <v>14</v>
      </c>
      <c r="B5089" t="s">
        <v>6</v>
      </c>
      <c r="C5089">
        <v>4</v>
      </c>
      <c r="D5089">
        <v>3</v>
      </c>
      <c r="E5089">
        <v>1</v>
      </c>
      <c r="F5089" s="15">
        <v>46209</v>
      </c>
      <c r="G5089" t="s">
        <v>625</v>
      </c>
      <c r="H5089">
        <v>4</v>
      </c>
      <c r="I5089">
        <v>2026</v>
      </c>
      <c r="J5089">
        <v>7</v>
      </c>
      <c r="K5089" t="s">
        <v>87</v>
      </c>
      <c r="L5089" t="s">
        <v>13</v>
      </c>
      <c r="M5089" t="s">
        <v>8</v>
      </c>
      <c r="N5089" t="b">
        <v>0</v>
      </c>
      <c r="O5089">
        <v>0</v>
      </c>
      <c r="P5089">
        <v>1</v>
      </c>
      <c r="Q5089">
        <v>0</v>
      </c>
      <c r="R5089">
        <v>1</v>
      </c>
    </row>
    <row r="5090" spans="1:18" x14ac:dyDescent="0.25">
      <c r="A5090" t="s">
        <v>433</v>
      </c>
      <c r="B5090" t="s">
        <v>6</v>
      </c>
      <c r="C5090">
        <v>1</v>
      </c>
      <c r="D5090">
        <v>4</v>
      </c>
      <c r="E5090">
        <v>1</v>
      </c>
      <c r="F5090" s="15">
        <v>46209</v>
      </c>
      <c r="G5090" t="s">
        <v>626</v>
      </c>
      <c r="H5090">
        <v>4</v>
      </c>
      <c r="I5090">
        <v>2026</v>
      </c>
      <c r="J5090">
        <v>7</v>
      </c>
      <c r="K5090" t="s">
        <v>87</v>
      </c>
      <c r="L5090" t="s">
        <v>28</v>
      </c>
      <c r="M5090" t="s">
        <v>8</v>
      </c>
      <c r="N5090" t="b">
        <v>0</v>
      </c>
      <c r="O5090">
        <v>0</v>
      </c>
      <c r="P5090">
        <v>1</v>
      </c>
      <c r="Q5090">
        <v>0</v>
      </c>
      <c r="R5090">
        <v>1</v>
      </c>
    </row>
    <row r="5091" spans="1:18" x14ac:dyDescent="0.25">
      <c r="A5091" t="s">
        <v>433</v>
      </c>
      <c r="B5091" t="s">
        <v>6</v>
      </c>
      <c r="C5091">
        <v>1</v>
      </c>
      <c r="D5091">
        <v>4</v>
      </c>
      <c r="E5091">
        <v>1</v>
      </c>
      <c r="F5091" s="15">
        <v>46209</v>
      </c>
      <c r="G5091" t="s">
        <v>626</v>
      </c>
      <c r="H5091">
        <v>4</v>
      </c>
      <c r="I5091">
        <v>2026</v>
      </c>
      <c r="J5091">
        <v>7</v>
      </c>
      <c r="K5091" t="s">
        <v>87</v>
      </c>
      <c r="L5091" t="s">
        <v>567</v>
      </c>
      <c r="M5091" t="s">
        <v>6</v>
      </c>
      <c r="N5091" t="b">
        <v>0</v>
      </c>
      <c r="O5091">
        <v>0</v>
      </c>
      <c r="P5091">
        <v>1</v>
      </c>
      <c r="Q5091">
        <v>0</v>
      </c>
      <c r="R5091">
        <v>0</v>
      </c>
    </row>
    <row r="5092" spans="1:18" x14ac:dyDescent="0.25">
      <c r="A5092" t="s">
        <v>433</v>
      </c>
      <c r="B5092" t="s">
        <v>6</v>
      </c>
      <c r="C5092">
        <v>1</v>
      </c>
      <c r="D5092">
        <v>4</v>
      </c>
      <c r="E5092">
        <v>1</v>
      </c>
      <c r="F5092" s="15">
        <v>46209</v>
      </c>
      <c r="G5092" t="s">
        <v>626</v>
      </c>
      <c r="H5092">
        <v>4</v>
      </c>
      <c r="I5092">
        <v>2026</v>
      </c>
      <c r="J5092">
        <v>7</v>
      </c>
      <c r="K5092" t="s">
        <v>87</v>
      </c>
      <c r="L5092" t="s">
        <v>605</v>
      </c>
      <c r="M5092" t="s">
        <v>6</v>
      </c>
      <c r="N5092" t="b">
        <v>0</v>
      </c>
      <c r="O5092">
        <v>0</v>
      </c>
      <c r="P5092">
        <v>1</v>
      </c>
      <c r="Q5092">
        <v>0</v>
      </c>
      <c r="R5092">
        <v>0</v>
      </c>
    </row>
    <row r="5093" spans="1:18" x14ac:dyDescent="0.25">
      <c r="A5093" t="s">
        <v>28</v>
      </c>
      <c r="B5093" t="s">
        <v>8</v>
      </c>
      <c r="C5093">
        <v>2</v>
      </c>
      <c r="D5093">
        <v>4</v>
      </c>
      <c r="E5093">
        <v>1</v>
      </c>
      <c r="F5093" s="15">
        <v>46209</v>
      </c>
      <c r="G5093" t="s">
        <v>626</v>
      </c>
      <c r="H5093">
        <v>4</v>
      </c>
      <c r="I5093">
        <v>2026</v>
      </c>
      <c r="J5093">
        <v>7</v>
      </c>
      <c r="K5093" t="s">
        <v>87</v>
      </c>
      <c r="L5093" t="s">
        <v>433</v>
      </c>
      <c r="M5093" t="s">
        <v>6</v>
      </c>
      <c r="N5093" t="b">
        <v>0</v>
      </c>
      <c r="O5093">
        <v>1</v>
      </c>
      <c r="P5093">
        <v>0</v>
      </c>
      <c r="Q5093">
        <v>0</v>
      </c>
      <c r="R5093">
        <v>0</v>
      </c>
    </row>
    <row r="5094" spans="1:18" x14ac:dyDescent="0.25">
      <c r="A5094" t="s">
        <v>28</v>
      </c>
      <c r="B5094" t="s">
        <v>8</v>
      </c>
      <c r="C5094">
        <v>2</v>
      </c>
      <c r="D5094">
        <v>4</v>
      </c>
      <c r="E5094">
        <v>1</v>
      </c>
      <c r="F5094" s="15">
        <v>46209</v>
      </c>
      <c r="G5094" t="s">
        <v>626</v>
      </c>
      <c r="H5094">
        <v>4</v>
      </c>
      <c r="I5094">
        <v>2026</v>
      </c>
      <c r="J5094">
        <v>7</v>
      </c>
      <c r="K5094" t="s">
        <v>87</v>
      </c>
      <c r="L5094" t="s">
        <v>567</v>
      </c>
      <c r="M5094" t="s">
        <v>6</v>
      </c>
      <c r="N5094" t="b">
        <v>0</v>
      </c>
      <c r="O5094">
        <v>1</v>
      </c>
      <c r="P5094">
        <v>0</v>
      </c>
      <c r="Q5094">
        <v>0</v>
      </c>
      <c r="R5094">
        <v>0</v>
      </c>
    </row>
    <row r="5095" spans="1:18" x14ac:dyDescent="0.25">
      <c r="A5095" t="s">
        <v>28</v>
      </c>
      <c r="B5095" t="s">
        <v>8</v>
      </c>
      <c r="C5095">
        <v>2</v>
      </c>
      <c r="D5095">
        <v>4</v>
      </c>
      <c r="E5095">
        <v>1</v>
      </c>
      <c r="F5095" s="15">
        <v>46209</v>
      </c>
      <c r="G5095" t="s">
        <v>626</v>
      </c>
      <c r="H5095">
        <v>4</v>
      </c>
      <c r="I5095">
        <v>2026</v>
      </c>
      <c r="J5095">
        <v>7</v>
      </c>
      <c r="K5095" t="s">
        <v>87</v>
      </c>
      <c r="L5095" t="s">
        <v>605</v>
      </c>
      <c r="M5095" t="s">
        <v>6</v>
      </c>
      <c r="N5095" t="b">
        <v>0</v>
      </c>
      <c r="O5095">
        <v>1</v>
      </c>
      <c r="P5095">
        <v>0</v>
      </c>
      <c r="Q5095">
        <v>0</v>
      </c>
      <c r="R5095">
        <v>0</v>
      </c>
    </row>
    <row r="5096" spans="1:18" x14ac:dyDescent="0.25">
      <c r="A5096" t="s">
        <v>567</v>
      </c>
      <c r="B5096" t="s">
        <v>6</v>
      </c>
      <c r="C5096">
        <v>3</v>
      </c>
      <c r="D5096">
        <v>4</v>
      </c>
      <c r="E5096">
        <v>1</v>
      </c>
      <c r="F5096" s="15">
        <v>46209</v>
      </c>
      <c r="G5096" t="s">
        <v>626</v>
      </c>
      <c r="H5096">
        <v>4</v>
      </c>
      <c r="I5096">
        <v>2026</v>
      </c>
      <c r="J5096">
        <v>7</v>
      </c>
      <c r="K5096" t="s">
        <v>87</v>
      </c>
      <c r="L5096" t="s">
        <v>433</v>
      </c>
      <c r="M5096" t="s">
        <v>6</v>
      </c>
      <c r="N5096" t="b">
        <v>0</v>
      </c>
      <c r="O5096">
        <v>0</v>
      </c>
      <c r="P5096">
        <v>1</v>
      </c>
      <c r="Q5096">
        <v>0</v>
      </c>
      <c r="R5096">
        <v>0</v>
      </c>
    </row>
    <row r="5097" spans="1:18" x14ac:dyDescent="0.25">
      <c r="A5097" t="s">
        <v>567</v>
      </c>
      <c r="B5097" t="s">
        <v>6</v>
      </c>
      <c r="C5097">
        <v>3</v>
      </c>
      <c r="D5097">
        <v>4</v>
      </c>
      <c r="E5097">
        <v>1</v>
      </c>
      <c r="F5097" s="15">
        <v>46209</v>
      </c>
      <c r="G5097" t="s">
        <v>626</v>
      </c>
      <c r="H5097">
        <v>4</v>
      </c>
      <c r="I5097">
        <v>2026</v>
      </c>
      <c r="J5097">
        <v>7</v>
      </c>
      <c r="K5097" t="s">
        <v>87</v>
      </c>
      <c r="L5097" t="s">
        <v>28</v>
      </c>
      <c r="M5097" t="s">
        <v>8</v>
      </c>
      <c r="N5097" t="b">
        <v>0</v>
      </c>
      <c r="O5097">
        <v>0</v>
      </c>
      <c r="P5097">
        <v>1</v>
      </c>
      <c r="Q5097">
        <v>0</v>
      </c>
      <c r="R5097">
        <v>1</v>
      </c>
    </row>
    <row r="5098" spans="1:18" x14ac:dyDescent="0.25">
      <c r="A5098" t="s">
        <v>567</v>
      </c>
      <c r="B5098" t="s">
        <v>6</v>
      </c>
      <c r="C5098">
        <v>3</v>
      </c>
      <c r="D5098">
        <v>4</v>
      </c>
      <c r="E5098">
        <v>1</v>
      </c>
      <c r="F5098" s="15">
        <v>46209</v>
      </c>
      <c r="G5098" t="s">
        <v>626</v>
      </c>
      <c r="H5098">
        <v>4</v>
      </c>
      <c r="I5098">
        <v>2026</v>
      </c>
      <c r="J5098">
        <v>7</v>
      </c>
      <c r="K5098" t="s">
        <v>87</v>
      </c>
      <c r="L5098" t="s">
        <v>605</v>
      </c>
      <c r="M5098" t="s">
        <v>6</v>
      </c>
      <c r="N5098" t="b">
        <v>0</v>
      </c>
      <c r="O5098">
        <v>0</v>
      </c>
      <c r="P5098">
        <v>1</v>
      </c>
      <c r="Q5098">
        <v>0</v>
      </c>
      <c r="R5098">
        <v>0</v>
      </c>
    </row>
    <row r="5099" spans="1:18" x14ac:dyDescent="0.25">
      <c r="A5099" t="s">
        <v>605</v>
      </c>
      <c r="B5099" t="s">
        <v>6</v>
      </c>
      <c r="C5099">
        <v>4</v>
      </c>
      <c r="D5099">
        <v>4</v>
      </c>
      <c r="E5099">
        <v>1</v>
      </c>
      <c r="F5099" s="15">
        <v>46209</v>
      </c>
      <c r="G5099" t="s">
        <v>626</v>
      </c>
      <c r="H5099">
        <v>4</v>
      </c>
      <c r="I5099">
        <v>2026</v>
      </c>
      <c r="J5099">
        <v>7</v>
      </c>
      <c r="K5099" t="s">
        <v>87</v>
      </c>
      <c r="L5099" t="s">
        <v>433</v>
      </c>
      <c r="M5099" t="s">
        <v>6</v>
      </c>
      <c r="N5099" t="b">
        <v>0</v>
      </c>
      <c r="O5099">
        <v>0</v>
      </c>
      <c r="P5099">
        <v>1</v>
      </c>
      <c r="Q5099">
        <v>0</v>
      </c>
      <c r="R5099">
        <v>0</v>
      </c>
    </row>
    <row r="5100" spans="1:18" x14ac:dyDescent="0.25">
      <c r="A5100" t="s">
        <v>605</v>
      </c>
      <c r="B5100" t="s">
        <v>6</v>
      </c>
      <c r="C5100">
        <v>4</v>
      </c>
      <c r="D5100">
        <v>4</v>
      </c>
      <c r="E5100">
        <v>1</v>
      </c>
      <c r="F5100" s="15">
        <v>46209</v>
      </c>
      <c r="G5100" t="s">
        <v>626</v>
      </c>
      <c r="H5100">
        <v>4</v>
      </c>
      <c r="I5100">
        <v>2026</v>
      </c>
      <c r="J5100">
        <v>7</v>
      </c>
      <c r="K5100" t="s">
        <v>87</v>
      </c>
      <c r="L5100" t="s">
        <v>28</v>
      </c>
      <c r="M5100" t="s">
        <v>8</v>
      </c>
      <c r="N5100" t="b">
        <v>0</v>
      </c>
      <c r="O5100">
        <v>0</v>
      </c>
      <c r="P5100">
        <v>1</v>
      </c>
      <c r="Q5100">
        <v>0</v>
      </c>
      <c r="R5100">
        <v>1</v>
      </c>
    </row>
    <row r="5101" spans="1:18" x14ac:dyDescent="0.25">
      <c r="A5101" t="s">
        <v>605</v>
      </c>
      <c r="B5101" t="s">
        <v>6</v>
      </c>
      <c r="C5101">
        <v>4</v>
      </c>
      <c r="D5101">
        <v>4</v>
      </c>
      <c r="E5101">
        <v>1</v>
      </c>
      <c r="F5101" s="15">
        <v>46209</v>
      </c>
      <c r="G5101" t="s">
        <v>626</v>
      </c>
      <c r="H5101">
        <v>4</v>
      </c>
      <c r="I5101">
        <v>2026</v>
      </c>
      <c r="J5101">
        <v>7</v>
      </c>
      <c r="K5101" t="s">
        <v>87</v>
      </c>
      <c r="L5101" t="s">
        <v>567</v>
      </c>
      <c r="M5101" t="s">
        <v>6</v>
      </c>
      <c r="N5101" t="b">
        <v>0</v>
      </c>
      <c r="O5101">
        <v>0</v>
      </c>
      <c r="P5101">
        <v>1</v>
      </c>
      <c r="Q5101">
        <v>0</v>
      </c>
      <c r="R5101">
        <v>0</v>
      </c>
    </row>
    <row r="5102" spans="1:18" x14ac:dyDescent="0.25">
      <c r="A5102" t="s">
        <v>435</v>
      </c>
      <c r="B5102" t="s">
        <v>6</v>
      </c>
      <c r="C5102">
        <v>1</v>
      </c>
      <c r="D5102">
        <v>5</v>
      </c>
      <c r="E5102">
        <v>1</v>
      </c>
      <c r="F5102" s="15">
        <v>46209</v>
      </c>
      <c r="G5102" t="s">
        <v>627</v>
      </c>
      <c r="H5102">
        <v>3</v>
      </c>
      <c r="I5102">
        <v>2026</v>
      </c>
      <c r="J5102">
        <v>7</v>
      </c>
      <c r="K5102" t="s">
        <v>87</v>
      </c>
      <c r="L5102" t="s">
        <v>20</v>
      </c>
      <c r="M5102" t="s">
        <v>8</v>
      </c>
      <c r="N5102" t="b">
        <v>0</v>
      </c>
      <c r="O5102">
        <v>0</v>
      </c>
      <c r="P5102">
        <v>1</v>
      </c>
      <c r="Q5102">
        <v>0</v>
      </c>
      <c r="R5102">
        <v>1</v>
      </c>
    </row>
    <row r="5103" spans="1:18" x14ac:dyDescent="0.25">
      <c r="A5103" t="s">
        <v>435</v>
      </c>
      <c r="B5103" t="s">
        <v>6</v>
      </c>
      <c r="C5103">
        <v>1</v>
      </c>
      <c r="D5103">
        <v>5</v>
      </c>
      <c r="E5103">
        <v>1</v>
      </c>
      <c r="F5103" s="15">
        <v>46209</v>
      </c>
      <c r="G5103" t="s">
        <v>627</v>
      </c>
      <c r="H5103">
        <v>3</v>
      </c>
      <c r="I5103">
        <v>2026</v>
      </c>
      <c r="J5103">
        <v>7</v>
      </c>
      <c r="K5103" t="s">
        <v>87</v>
      </c>
      <c r="L5103" t="s">
        <v>41</v>
      </c>
      <c r="M5103" t="s">
        <v>6</v>
      </c>
      <c r="N5103" t="b">
        <v>0</v>
      </c>
      <c r="O5103">
        <v>0</v>
      </c>
      <c r="P5103">
        <v>1</v>
      </c>
      <c r="Q5103">
        <v>0</v>
      </c>
      <c r="R5103">
        <v>0</v>
      </c>
    </row>
    <row r="5104" spans="1:18" x14ac:dyDescent="0.25">
      <c r="A5104" t="s">
        <v>20</v>
      </c>
      <c r="B5104" t="s">
        <v>8</v>
      </c>
      <c r="C5104">
        <v>2</v>
      </c>
      <c r="D5104">
        <v>5</v>
      </c>
      <c r="E5104">
        <v>1</v>
      </c>
      <c r="F5104" s="15">
        <v>46209</v>
      </c>
      <c r="G5104" t="s">
        <v>627</v>
      </c>
      <c r="H5104">
        <v>3</v>
      </c>
      <c r="I5104">
        <v>2026</v>
      </c>
      <c r="J5104">
        <v>7</v>
      </c>
      <c r="K5104" t="s">
        <v>87</v>
      </c>
      <c r="L5104" t="s">
        <v>435</v>
      </c>
      <c r="M5104" t="s">
        <v>6</v>
      </c>
      <c r="N5104" t="b">
        <v>0</v>
      </c>
      <c r="O5104">
        <v>1</v>
      </c>
      <c r="P5104">
        <v>0</v>
      </c>
      <c r="Q5104">
        <v>0</v>
      </c>
      <c r="R5104">
        <v>0</v>
      </c>
    </row>
    <row r="5105" spans="1:18" x14ac:dyDescent="0.25">
      <c r="A5105" t="s">
        <v>20</v>
      </c>
      <c r="B5105" t="s">
        <v>8</v>
      </c>
      <c r="C5105">
        <v>2</v>
      </c>
      <c r="D5105">
        <v>5</v>
      </c>
      <c r="E5105">
        <v>1</v>
      </c>
      <c r="F5105" s="15">
        <v>46209</v>
      </c>
      <c r="G5105" t="s">
        <v>627</v>
      </c>
      <c r="H5105">
        <v>3</v>
      </c>
      <c r="I5105">
        <v>2026</v>
      </c>
      <c r="J5105">
        <v>7</v>
      </c>
      <c r="K5105" t="s">
        <v>87</v>
      </c>
      <c r="L5105" t="s">
        <v>41</v>
      </c>
      <c r="M5105" t="s">
        <v>6</v>
      </c>
      <c r="N5105" t="b">
        <v>0</v>
      </c>
      <c r="O5105">
        <v>1</v>
      </c>
      <c r="P5105">
        <v>0</v>
      </c>
      <c r="Q5105">
        <v>0</v>
      </c>
      <c r="R5105">
        <v>0</v>
      </c>
    </row>
    <row r="5106" spans="1:18" x14ac:dyDescent="0.25">
      <c r="A5106" t="s">
        <v>41</v>
      </c>
      <c r="B5106" t="s">
        <v>6</v>
      </c>
      <c r="C5106">
        <v>3</v>
      </c>
      <c r="D5106">
        <v>5</v>
      </c>
      <c r="E5106">
        <v>1</v>
      </c>
      <c r="F5106" s="15">
        <v>46209</v>
      </c>
      <c r="G5106" t="s">
        <v>627</v>
      </c>
      <c r="H5106">
        <v>3</v>
      </c>
      <c r="I5106">
        <v>2026</v>
      </c>
      <c r="J5106">
        <v>7</v>
      </c>
      <c r="K5106" t="s">
        <v>87</v>
      </c>
      <c r="L5106" t="s">
        <v>435</v>
      </c>
      <c r="M5106" t="s">
        <v>6</v>
      </c>
      <c r="N5106" t="b">
        <v>0</v>
      </c>
      <c r="O5106">
        <v>0</v>
      </c>
      <c r="P5106">
        <v>1</v>
      </c>
      <c r="Q5106">
        <v>0</v>
      </c>
      <c r="R5106">
        <v>0</v>
      </c>
    </row>
    <row r="5107" spans="1:18" x14ac:dyDescent="0.25">
      <c r="A5107" t="s">
        <v>41</v>
      </c>
      <c r="B5107" t="s">
        <v>6</v>
      </c>
      <c r="C5107">
        <v>3</v>
      </c>
      <c r="D5107">
        <v>5</v>
      </c>
      <c r="E5107">
        <v>1</v>
      </c>
      <c r="F5107" s="15">
        <v>46209</v>
      </c>
      <c r="G5107" t="s">
        <v>627</v>
      </c>
      <c r="H5107">
        <v>3</v>
      </c>
      <c r="I5107">
        <v>2026</v>
      </c>
      <c r="J5107">
        <v>7</v>
      </c>
      <c r="K5107" t="s">
        <v>87</v>
      </c>
      <c r="L5107" t="s">
        <v>20</v>
      </c>
      <c r="M5107" t="s">
        <v>8</v>
      </c>
      <c r="N5107" t="b">
        <v>0</v>
      </c>
      <c r="O5107">
        <v>0</v>
      </c>
      <c r="P5107">
        <v>1</v>
      </c>
      <c r="Q5107">
        <v>0</v>
      </c>
      <c r="R5107">
        <v>1</v>
      </c>
    </row>
    <row r="5108" spans="1:18" x14ac:dyDescent="0.25">
      <c r="A5108" t="s">
        <v>15</v>
      </c>
      <c r="B5108" t="s">
        <v>8</v>
      </c>
      <c r="C5108">
        <v>1</v>
      </c>
      <c r="D5108">
        <v>6</v>
      </c>
      <c r="E5108">
        <v>1</v>
      </c>
      <c r="F5108" s="15">
        <v>46209</v>
      </c>
      <c r="G5108" t="s">
        <v>628</v>
      </c>
      <c r="H5108">
        <v>4</v>
      </c>
      <c r="I5108">
        <v>2026</v>
      </c>
      <c r="J5108">
        <v>7</v>
      </c>
      <c r="K5108" t="s">
        <v>87</v>
      </c>
      <c r="L5108" t="s">
        <v>9</v>
      </c>
      <c r="M5108" t="s">
        <v>6</v>
      </c>
      <c r="N5108" t="b">
        <v>0</v>
      </c>
      <c r="O5108">
        <v>1</v>
      </c>
      <c r="P5108">
        <v>0</v>
      </c>
      <c r="Q5108">
        <v>0</v>
      </c>
      <c r="R5108">
        <v>0</v>
      </c>
    </row>
    <row r="5109" spans="1:18" x14ac:dyDescent="0.25">
      <c r="A5109" t="s">
        <v>15</v>
      </c>
      <c r="B5109" t="s">
        <v>8</v>
      </c>
      <c r="C5109">
        <v>1</v>
      </c>
      <c r="D5109">
        <v>6</v>
      </c>
      <c r="E5109">
        <v>1</v>
      </c>
      <c r="F5109" s="15">
        <v>46209</v>
      </c>
      <c r="G5109" t="s">
        <v>628</v>
      </c>
      <c r="H5109">
        <v>4</v>
      </c>
      <c r="I5109">
        <v>2026</v>
      </c>
      <c r="J5109">
        <v>7</v>
      </c>
      <c r="K5109" t="s">
        <v>87</v>
      </c>
      <c r="L5109" t="s">
        <v>578</v>
      </c>
      <c r="M5109" t="s">
        <v>6</v>
      </c>
      <c r="N5109" t="b">
        <v>0</v>
      </c>
      <c r="O5109">
        <v>1</v>
      </c>
      <c r="P5109">
        <v>0</v>
      </c>
      <c r="Q5109">
        <v>0</v>
      </c>
      <c r="R5109">
        <v>0</v>
      </c>
    </row>
    <row r="5110" spans="1:18" x14ac:dyDescent="0.25">
      <c r="A5110" t="s">
        <v>15</v>
      </c>
      <c r="B5110" t="s">
        <v>8</v>
      </c>
      <c r="C5110">
        <v>1</v>
      </c>
      <c r="D5110">
        <v>6</v>
      </c>
      <c r="E5110">
        <v>1</v>
      </c>
      <c r="F5110" s="15">
        <v>46209</v>
      </c>
      <c r="G5110" t="s">
        <v>628</v>
      </c>
      <c r="H5110">
        <v>4</v>
      </c>
      <c r="I5110">
        <v>2026</v>
      </c>
      <c r="J5110">
        <v>7</v>
      </c>
      <c r="K5110" t="s">
        <v>87</v>
      </c>
      <c r="L5110" t="s">
        <v>540</v>
      </c>
      <c r="M5110" t="s">
        <v>6</v>
      </c>
      <c r="N5110" t="b">
        <v>0</v>
      </c>
      <c r="O5110">
        <v>1</v>
      </c>
      <c r="P5110">
        <v>0</v>
      </c>
      <c r="Q5110">
        <v>0</v>
      </c>
      <c r="R5110">
        <v>0</v>
      </c>
    </row>
    <row r="5111" spans="1:18" x14ac:dyDescent="0.25">
      <c r="A5111" t="s">
        <v>9</v>
      </c>
      <c r="B5111" t="s">
        <v>6</v>
      </c>
      <c r="C5111">
        <v>2</v>
      </c>
      <c r="D5111">
        <v>6</v>
      </c>
      <c r="E5111">
        <v>1</v>
      </c>
      <c r="F5111" s="15">
        <v>46209</v>
      </c>
      <c r="G5111" t="s">
        <v>628</v>
      </c>
      <c r="H5111">
        <v>4</v>
      </c>
      <c r="I5111">
        <v>2026</v>
      </c>
      <c r="J5111">
        <v>7</v>
      </c>
      <c r="K5111" t="s">
        <v>87</v>
      </c>
      <c r="L5111" t="s">
        <v>15</v>
      </c>
      <c r="M5111" t="s">
        <v>8</v>
      </c>
      <c r="N5111" t="b">
        <v>0</v>
      </c>
      <c r="O5111">
        <v>0</v>
      </c>
      <c r="P5111">
        <v>1</v>
      </c>
      <c r="Q5111">
        <v>0</v>
      </c>
      <c r="R5111">
        <v>1</v>
      </c>
    </row>
    <row r="5112" spans="1:18" x14ac:dyDescent="0.25">
      <c r="A5112" t="s">
        <v>9</v>
      </c>
      <c r="B5112" t="s">
        <v>6</v>
      </c>
      <c r="C5112">
        <v>2</v>
      </c>
      <c r="D5112">
        <v>6</v>
      </c>
      <c r="E5112">
        <v>1</v>
      </c>
      <c r="F5112" s="15">
        <v>46209</v>
      </c>
      <c r="G5112" t="s">
        <v>628</v>
      </c>
      <c r="H5112">
        <v>4</v>
      </c>
      <c r="I5112">
        <v>2026</v>
      </c>
      <c r="J5112">
        <v>7</v>
      </c>
      <c r="K5112" t="s">
        <v>87</v>
      </c>
      <c r="L5112" t="s">
        <v>578</v>
      </c>
      <c r="M5112" t="s">
        <v>6</v>
      </c>
      <c r="N5112" t="b">
        <v>0</v>
      </c>
      <c r="O5112">
        <v>0</v>
      </c>
      <c r="P5112">
        <v>1</v>
      </c>
      <c r="Q5112">
        <v>0</v>
      </c>
      <c r="R5112">
        <v>0</v>
      </c>
    </row>
    <row r="5113" spans="1:18" x14ac:dyDescent="0.25">
      <c r="A5113" t="s">
        <v>9</v>
      </c>
      <c r="B5113" t="s">
        <v>6</v>
      </c>
      <c r="C5113">
        <v>2</v>
      </c>
      <c r="D5113">
        <v>6</v>
      </c>
      <c r="E5113">
        <v>1</v>
      </c>
      <c r="F5113" s="15">
        <v>46209</v>
      </c>
      <c r="G5113" t="s">
        <v>628</v>
      </c>
      <c r="H5113">
        <v>4</v>
      </c>
      <c r="I5113">
        <v>2026</v>
      </c>
      <c r="J5113">
        <v>7</v>
      </c>
      <c r="K5113" t="s">
        <v>87</v>
      </c>
      <c r="L5113" t="s">
        <v>540</v>
      </c>
      <c r="M5113" t="s">
        <v>6</v>
      </c>
      <c r="N5113" t="b">
        <v>0</v>
      </c>
      <c r="O5113">
        <v>0</v>
      </c>
      <c r="P5113">
        <v>1</v>
      </c>
      <c r="Q5113">
        <v>0</v>
      </c>
      <c r="R5113">
        <v>0</v>
      </c>
    </row>
    <row r="5114" spans="1:18" x14ac:dyDescent="0.25">
      <c r="A5114" t="s">
        <v>578</v>
      </c>
      <c r="B5114" t="s">
        <v>6</v>
      </c>
      <c r="C5114">
        <v>3</v>
      </c>
      <c r="D5114">
        <v>6</v>
      </c>
      <c r="E5114">
        <v>1</v>
      </c>
      <c r="F5114" s="15">
        <v>46209</v>
      </c>
      <c r="G5114" t="s">
        <v>628</v>
      </c>
      <c r="H5114">
        <v>4</v>
      </c>
      <c r="I5114">
        <v>2026</v>
      </c>
      <c r="J5114">
        <v>7</v>
      </c>
      <c r="K5114" t="s">
        <v>87</v>
      </c>
      <c r="L5114" t="s">
        <v>15</v>
      </c>
      <c r="M5114" t="s">
        <v>8</v>
      </c>
      <c r="N5114" t="b">
        <v>0</v>
      </c>
      <c r="O5114">
        <v>0</v>
      </c>
      <c r="P5114">
        <v>1</v>
      </c>
      <c r="Q5114">
        <v>0</v>
      </c>
      <c r="R5114">
        <v>1</v>
      </c>
    </row>
    <row r="5115" spans="1:18" x14ac:dyDescent="0.25">
      <c r="A5115" t="s">
        <v>578</v>
      </c>
      <c r="B5115" t="s">
        <v>6</v>
      </c>
      <c r="C5115">
        <v>3</v>
      </c>
      <c r="D5115">
        <v>6</v>
      </c>
      <c r="E5115">
        <v>1</v>
      </c>
      <c r="F5115" s="15">
        <v>46209</v>
      </c>
      <c r="G5115" t="s">
        <v>628</v>
      </c>
      <c r="H5115">
        <v>4</v>
      </c>
      <c r="I5115">
        <v>2026</v>
      </c>
      <c r="J5115">
        <v>7</v>
      </c>
      <c r="K5115" t="s">
        <v>87</v>
      </c>
      <c r="L5115" t="s">
        <v>9</v>
      </c>
      <c r="M5115" t="s">
        <v>6</v>
      </c>
      <c r="N5115" t="b">
        <v>0</v>
      </c>
      <c r="O5115">
        <v>0</v>
      </c>
      <c r="P5115">
        <v>1</v>
      </c>
      <c r="Q5115">
        <v>0</v>
      </c>
      <c r="R5115">
        <v>0</v>
      </c>
    </row>
    <row r="5116" spans="1:18" x14ac:dyDescent="0.25">
      <c r="A5116" t="s">
        <v>578</v>
      </c>
      <c r="B5116" t="s">
        <v>6</v>
      </c>
      <c r="C5116">
        <v>3</v>
      </c>
      <c r="D5116">
        <v>6</v>
      </c>
      <c r="E5116">
        <v>1</v>
      </c>
      <c r="F5116" s="15">
        <v>46209</v>
      </c>
      <c r="G5116" t="s">
        <v>628</v>
      </c>
      <c r="H5116">
        <v>4</v>
      </c>
      <c r="I5116">
        <v>2026</v>
      </c>
      <c r="J5116">
        <v>7</v>
      </c>
      <c r="K5116" t="s">
        <v>87</v>
      </c>
      <c r="L5116" t="s">
        <v>540</v>
      </c>
      <c r="M5116" t="s">
        <v>6</v>
      </c>
      <c r="N5116" t="b">
        <v>0</v>
      </c>
      <c r="O5116">
        <v>0</v>
      </c>
      <c r="P5116">
        <v>1</v>
      </c>
      <c r="Q5116">
        <v>0</v>
      </c>
      <c r="R5116">
        <v>0</v>
      </c>
    </row>
    <row r="5117" spans="1:18" x14ac:dyDescent="0.25">
      <c r="A5117" t="s">
        <v>540</v>
      </c>
      <c r="B5117" t="s">
        <v>6</v>
      </c>
      <c r="C5117">
        <v>4</v>
      </c>
      <c r="D5117">
        <v>6</v>
      </c>
      <c r="E5117">
        <v>1</v>
      </c>
      <c r="F5117" s="15">
        <v>46209</v>
      </c>
      <c r="G5117" t="s">
        <v>628</v>
      </c>
      <c r="H5117">
        <v>4</v>
      </c>
      <c r="I5117">
        <v>2026</v>
      </c>
      <c r="J5117">
        <v>7</v>
      </c>
      <c r="K5117" t="s">
        <v>87</v>
      </c>
      <c r="L5117" t="s">
        <v>15</v>
      </c>
      <c r="M5117" t="s">
        <v>8</v>
      </c>
      <c r="N5117" t="b">
        <v>0</v>
      </c>
      <c r="O5117">
        <v>0</v>
      </c>
      <c r="P5117">
        <v>1</v>
      </c>
      <c r="Q5117">
        <v>0</v>
      </c>
      <c r="R5117">
        <v>1</v>
      </c>
    </row>
    <row r="5118" spans="1:18" x14ac:dyDescent="0.25">
      <c r="A5118" t="s">
        <v>540</v>
      </c>
      <c r="B5118" t="s">
        <v>6</v>
      </c>
      <c r="C5118">
        <v>4</v>
      </c>
      <c r="D5118">
        <v>6</v>
      </c>
      <c r="E5118">
        <v>1</v>
      </c>
      <c r="F5118" s="15">
        <v>46209</v>
      </c>
      <c r="G5118" t="s">
        <v>628</v>
      </c>
      <c r="H5118">
        <v>4</v>
      </c>
      <c r="I5118">
        <v>2026</v>
      </c>
      <c r="J5118">
        <v>7</v>
      </c>
      <c r="K5118" t="s">
        <v>87</v>
      </c>
      <c r="L5118" t="s">
        <v>9</v>
      </c>
      <c r="M5118" t="s">
        <v>6</v>
      </c>
      <c r="N5118" t="b">
        <v>0</v>
      </c>
      <c r="O5118">
        <v>0</v>
      </c>
      <c r="P5118">
        <v>1</v>
      </c>
      <c r="Q5118">
        <v>0</v>
      </c>
      <c r="R5118">
        <v>0</v>
      </c>
    </row>
    <row r="5119" spans="1:18" x14ac:dyDescent="0.25">
      <c r="A5119" t="s">
        <v>540</v>
      </c>
      <c r="B5119" t="s">
        <v>6</v>
      </c>
      <c r="C5119">
        <v>4</v>
      </c>
      <c r="D5119">
        <v>6</v>
      </c>
      <c r="E5119">
        <v>1</v>
      </c>
      <c r="F5119" s="15">
        <v>46209</v>
      </c>
      <c r="G5119" t="s">
        <v>628</v>
      </c>
      <c r="H5119">
        <v>4</v>
      </c>
      <c r="I5119">
        <v>2026</v>
      </c>
      <c r="J5119">
        <v>7</v>
      </c>
      <c r="K5119" t="s">
        <v>87</v>
      </c>
      <c r="L5119" t="s">
        <v>578</v>
      </c>
      <c r="M5119" t="s">
        <v>6</v>
      </c>
      <c r="N5119" t="b">
        <v>0</v>
      </c>
      <c r="O5119">
        <v>0</v>
      </c>
      <c r="P5119">
        <v>1</v>
      </c>
      <c r="Q5119">
        <v>0</v>
      </c>
      <c r="R5119">
        <v>0</v>
      </c>
    </row>
    <row r="5120" spans="1:18" x14ac:dyDescent="0.25">
      <c r="A5120" t="s">
        <v>578</v>
      </c>
      <c r="B5120" t="s">
        <v>6</v>
      </c>
      <c r="C5120">
        <v>1</v>
      </c>
      <c r="D5120">
        <v>1</v>
      </c>
      <c r="E5120">
        <v>2</v>
      </c>
      <c r="F5120" s="15">
        <v>46209</v>
      </c>
      <c r="G5120" t="s">
        <v>629</v>
      </c>
      <c r="H5120">
        <v>4</v>
      </c>
      <c r="I5120">
        <v>2026</v>
      </c>
      <c r="J5120">
        <v>7</v>
      </c>
      <c r="K5120" t="s">
        <v>87</v>
      </c>
      <c r="L5120" t="s">
        <v>326</v>
      </c>
      <c r="M5120" t="s">
        <v>6</v>
      </c>
      <c r="N5120" t="b">
        <v>0</v>
      </c>
      <c r="O5120">
        <v>0</v>
      </c>
      <c r="P5120">
        <v>1</v>
      </c>
      <c r="Q5120">
        <v>0</v>
      </c>
      <c r="R5120">
        <v>0</v>
      </c>
    </row>
    <row r="5121" spans="1:18" x14ac:dyDescent="0.25">
      <c r="A5121" t="s">
        <v>578</v>
      </c>
      <c r="B5121" t="s">
        <v>6</v>
      </c>
      <c r="C5121">
        <v>1</v>
      </c>
      <c r="D5121">
        <v>1</v>
      </c>
      <c r="E5121">
        <v>2</v>
      </c>
      <c r="F5121" s="15">
        <v>46209</v>
      </c>
      <c r="G5121" t="s">
        <v>629</v>
      </c>
      <c r="H5121">
        <v>4</v>
      </c>
      <c r="I5121">
        <v>2026</v>
      </c>
      <c r="J5121">
        <v>7</v>
      </c>
      <c r="K5121" t="s">
        <v>87</v>
      </c>
      <c r="L5121" t="s">
        <v>15</v>
      </c>
      <c r="M5121" t="s">
        <v>8</v>
      </c>
      <c r="N5121" t="b">
        <v>0</v>
      </c>
      <c r="O5121">
        <v>0</v>
      </c>
      <c r="P5121">
        <v>1</v>
      </c>
      <c r="Q5121">
        <v>0</v>
      </c>
      <c r="R5121">
        <v>1</v>
      </c>
    </row>
    <row r="5122" spans="1:18" x14ac:dyDescent="0.25">
      <c r="A5122" t="s">
        <v>578</v>
      </c>
      <c r="B5122" t="s">
        <v>6</v>
      </c>
      <c r="C5122">
        <v>1</v>
      </c>
      <c r="D5122">
        <v>1</v>
      </c>
      <c r="E5122">
        <v>2</v>
      </c>
      <c r="F5122" s="15">
        <v>46209</v>
      </c>
      <c r="G5122" t="s">
        <v>629</v>
      </c>
      <c r="H5122">
        <v>4</v>
      </c>
      <c r="I5122">
        <v>2026</v>
      </c>
      <c r="J5122">
        <v>7</v>
      </c>
      <c r="K5122" t="s">
        <v>87</v>
      </c>
      <c r="L5122" t="s">
        <v>605</v>
      </c>
      <c r="M5122" t="s">
        <v>6</v>
      </c>
      <c r="N5122" t="b">
        <v>0</v>
      </c>
      <c r="O5122">
        <v>0</v>
      </c>
      <c r="P5122">
        <v>1</v>
      </c>
      <c r="Q5122">
        <v>0</v>
      </c>
      <c r="R5122">
        <v>0</v>
      </c>
    </row>
    <row r="5123" spans="1:18" x14ac:dyDescent="0.25">
      <c r="A5123" t="s">
        <v>326</v>
      </c>
      <c r="B5123" t="s">
        <v>6</v>
      </c>
      <c r="C5123">
        <v>2</v>
      </c>
      <c r="D5123">
        <v>1</v>
      </c>
      <c r="E5123">
        <v>2</v>
      </c>
      <c r="F5123" s="15">
        <v>46209</v>
      </c>
      <c r="G5123" t="s">
        <v>629</v>
      </c>
      <c r="H5123">
        <v>4</v>
      </c>
      <c r="I5123">
        <v>2026</v>
      </c>
      <c r="J5123">
        <v>7</v>
      </c>
      <c r="K5123" t="s">
        <v>87</v>
      </c>
      <c r="L5123" t="s">
        <v>578</v>
      </c>
      <c r="M5123" t="s">
        <v>6</v>
      </c>
      <c r="N5123" t="b">
        <v>0</v>
      </c>
      <c r="O5123">
        <v>0</v>
      </c>
      <c r="P5123">
        <v>1</v>
      </c>
      <c r="Q5123">
        <v>0</v>
      </c>
      <c r="R5123">
        <v>0</v>
      </c>
    </row>
    <row r="5124" spans="1:18" x14ac:dyDescent="0.25">
      <c r="A5124" t="s">
        <v>326</v>
      </c>
      <c r="B5124" t="s">
        <v>6</v>
      </c>
      <c r="C5124">
        <v>2</v>
      </c>
      <c r="D5124">
        <v>1</v>
      </c>
      <c r="E5124">
        <v>2</v>
      </c>
      <c r="F5124" s="15">
        <v>46209</v>
      </c>
      <c r="G5124" t="s">
        <v>629</v>
      </c>
      <c r="H5124">
        <v>4</v>
      </c>
      <c r="I5124">
        <v>2026</v>
      </c>
      <c r="J5124">
        <v>7</v>
      </c>
      <c r="K5124" t="s">
        <v>87</v>
      </c>
      <c r="L5124" t="s">
        <v>15</v>
      </c>
      <c r="M5124" t="s">
        <v>8</v>
      </c>
      <c r="N5124" t="b">
        <v>0</v>
      </c>
      <c r="O5124">
        <v>0</v>
      </c>
      <c r="P5124">
        <v>1</v>
      </c>
      <c r="Q5124">
        <v>0</v>
      </c>
      <c r="R5124">
        <v>1</v>
      </c>
    </row>
    <row r="5125" spans="1:18" x14ac:dyDescent="0.25">
      <c r="A5125" t="s">
        <v>326</v>
      </c>
      <c r="B5125" t="s">
        <v>6</v>
      </c>
      <c r="C5125">
        <v>2</v>
      </c>
      <c r="D5125">
        <v>1</v>
      </c>
      <c r="E5125">
        <v>2</v>
      </c>
      <c r="F5125" s="15">
        <v>46209</v>
      </c>
      <c r="G5125" t="s">
        <v>629</v>
      </c>
      <c r="H5125">
        <v>4</v>
      </c>
      <c r="I5125">
        <v>2026</v>
      </c>
      <c r="J5125">
        <v>7</v>
      </c>
      <c r="K5125" t="s">
        <v>87</v>
      </c>
      <c r="L5125" t="s">
        <v>605</v>
      </c>
      <c r="M5125" t="s">
        <v>6</v>
      </c>
      <c r="N5125" t="b">
        <v>0</v>
      </c>
      <c r="O5125">
        <v>0</v>
      </c>
      <c r="P5125">
        <v>1</v>
      </c>
      <c r="Q5125">
        <v>0</v>
      </c>
      <c r="R5125">
        <v>0</v>
      </c>
    </row>
    <row r="5126" spans="1:18" x14ac:dyDescent="0.25">
      <c r="A5126" t="s">
        <v>15</v>
      </c>
      <c r="B5126" t="s">
        <v>8</v>
      </c>
      <c r="C5126">
        <v>3</v>
      </c>
      <c r="D5126">
        <v>1</v>
      </c>
      <c r="E5126">
        <v>2</v>
      </c>
      <c r="F5126" s="15">
        <v>46209</v>
      </c>
      <c r="G5126" t="s">
        <v>629</v>
      </c>
      <c r="H5126">
        <v>4</v>
      </c>
      <c r="I5126">
        <v>2026</v>
      </c>
      <c r="J5126">
        <v>7</v>
      </c>
      <c r="K5126" t="s">
        <v>87</v>
      </c>
      <c r="L5126" t="s">
        <v>578</v>
      </c>
      <c r="M5126" t="s">
        <v>6</v>
      </c>
      <c r="N5126" t="b">
        <v>0</v>
      </c>
      <c r="O5126">
        <v>1</v>
      </c>
      <c r="P5126">
        <v>0</v>
      </c>
      <c r="Q5126">
        <v>0</v>
      </c>
      <c r="R5126">
        <v>0</v>
      </c>
    </row>
    <row r="5127" spans="1:18" x14ac:dyDescent="0.25">
      <c r="A5127" t="s">
        <v>15</v>
      </c>
      <c r="B5127" t="s">
        <v>8</v>
      </c>
      <c r="C5127">
        <v>3</v>
      </c>
      <c r="D5127">
        <v>1</v>
      </c>
      <c r="E5127">
        <v>2</v>
      </c>
      <c r="F5127" s="15">
        <v>46209</v>
      </c>
      <c r="G5127" t="s">
        <v>629</v>
      </c>
      <c r="H5127">
        <v>4</v>
      </c>
      <c r="I5127">
        <v>2026</v>
      </c>
      <c r="J5127">
        <v>7</v>
      </c>
      <c r="K5127" t="s">
        <v>87</v>
      </c>
      <c r="L5127" t="s">
        <v>326</v>
      </c>
      <c r="M5127" t="s">
        <v>6</v>
      </c>
      <c r="N5127" t="b">
        <v>0</v>
      </c>
      <c r="O5127">
        <v>1</v>
      </c>
      <c r="P5127">
        <v>0</v>
      </c>
      <c r="Q5127">
        <v>0</v>
      </c>
      <c r="R5127">
        <v>0</v>
      </c>
    </row>
    <row r="5128" spans="1:18" x14ac:dyDescent="0.25">
      <c r="A5128" t="s">
        <v>15</v>
      </c>
      <c r="B5128" t="s">
        <v>8</v>
      </c>
      <c r="C5128">
        <v>3</v>
      </c>
      <c r="D5128">
        <v>1</v>
      </c>
      <c r="E5128">
        <v>2</v>
      </c>
      <c r="F5128" s="15">
        <v>46209</v>
      </c>
      <c r="G5128" t="s">
        <v>629</v>
      </c>
      <c r="H5128">
        <v>4</v>
      </c>
      <c r="I5128">
        <v>2026</v>
      </c>
      <c r="J5128">
        <v>7</v>
      </c>
      <c r="K5128" t="s">
        <v>87</v>
      </c>
      <c r="L5128" t="s">
        <v>605</v>
      </c>
      <c r="M5128" t="s">
        <v>6</v>
      </c>
      <c r="N5128" t="b">
        <v>0</v>
      </c>
      <c r="O5128">
        <v>1</v>
      </c>
      <c r="P5128">
        <v>0</v>
      </c>
      <c r="Q5128">
        <v>0</v>
      </c>
      <c r="R5128">
        <v>0</v>
      </c>
    </row>
    <row r="5129" spans="1:18" x14ac:dyDescent="0.25">
      <c r="A5129" t="s">
        <v>605</v>
      </c>
      <c r="B5129" t="s">
        <v>6</v>
      </c>
      <c r="C5129">
        <v>4</v>
      </c>
      <c r="D5129">
        <v>1</v>
      </c>
      <c r="E5129">
        <v>2</v>
      </c>
      <c r="F5129" s="15">
        <v>46209</v>
      </c>
      <c r="G5129" t="s">
        <v>629</v>
      </c>
      <c r="H5129">
        <v>4</v>
      </c>
      <c r="I5129">
        <v>2026</v>
      </c>
      <c r="J5129">
        <v>7</v>
      </c>
      <c r="K5129" t="s">
        <v>87</v>
      </c>
      <c r="L5129" t="s">
        <v>578</v>
      </c>
      <c r="M5129" t="s">
        <v>6</v>
      </c>
      <c r="N5129" t="b">
        <v>0</v>
      </c>
      <c r="O5129">
        <v>0</v>
      </c>
      <c r="P5129">
        <v>1</v>
      </c>
      <c r="Q5129">
        <v>0</v>
      </c>
      <c r="R5129">
        <v>0</v>
      </c>
    </row>
    <row r="5130" spans="1:18" x14ac:dyDescent="0.25">
      <c r="A5130" t="s">
        <v>605</v>
      </c>
      <c r="B5130" t="s">
        <v>6</v>
      </c>
      <c r="C5130">
        <v>4</v>
      </c>
      <c r="D5130">
        <v>1</v>
      </c>
      <c r="E5130">
        <v>2</v>
      </c>
      <c r="F5130" s="15">
        <v>46209</v>
      </c>
      <c r="G5130" t="s">
        <v>629</v>
      </c>
      <c r="H5130">
        <v>4</v>
      </c>
      <c r="I5130">
        <v>2026</v>
      </c>
      <c r="J5130">
        <v>7</v>
      </c>
      <c r="K5130" t="s">
        <v>87</v>
      </c>
      <c r="L5130" t="s">
        <v>326</v>
      </c>
      <c r="M5130" t="s">
        <v>6</v>
      </c>
      <c r="N5130" t="b">
        <v>0</v>
      </c>
      <c r="O5130">
        <v>0</v>
      </c>
      <c r="P5130">
        <v>1</v>
      </c>
      <c r="Q5130">
        <v>0</v>
      </c>
      <c r="R5130">
        <v>0</v>
      </c>
    </row>
    <row r="5131" spans="1:18" x14ac:dyDescent="0.25">
      <c r="A5131" t="s">
        <v>605</v>
      </c>
      <c r="B5131" t="s">
        <v>6</v>
      </c>
      <c r="C5131">
        <v>4</v>
      </c>
      <c r="D5131">
        <v>1</v>
      </c>
      <c r="E5131">
        <v>2</v>
      </c>
      <c r="F5131" s="15">
        <v>46209</v>
      </c>
      <c r="G5131" t="s">
        <v>629</v>
      </c>
      <c r="H5131">
        <v>4</v>
      </c>
      <c r="I5131">
        <v>2026</v>
      </c>
      <c r="J5131">
        <v>7</v>
      </c>
      <c r="K5131" t="s">
        <v>87</v>
      </c>
      <c r="L5131" t="s">
        <v>15</v>
      </c>
      <c r="M5131" t="s">
        <v>8</v>
      </c>
      <c r="N5131" t="b">
        <v>0</v>
      </c>
      <c r="O5131">
        <v>0</v>
      </c>
      <c r="P5131">
        <v>1</v>
      </c>
      <c r="Q5131">
        <v>0</v>
      </c>
      <c r="R5131">
        <v>1</v>
      </c>
    </row>
    <row r="5132" spans="1:18" x14ac:dyDescent="0.25">
      <c r="A5132" t="s">
        <v>19</v>
      </c>
      <c r="B5132" t="s">
        <v>6</v>
      </c>
      <c r="C5132">
        <v>1</v>
      </c>
      <c r="D5132">
        <v>2</v>
      </c>
      <c r="E5132">
        <v>2</v>
      </c>
      <c r="F5132" s="15">
        <v>46209</v>
      </c>
      <c r="G5132" t="s">
        <v>630</v>
      </c>
      <c r="H5132">
        <v>4</v>
      </c>
      <c r="I5132">
        <v>2026</v>
      </c>
      <c r="J5132">
        <v>7</v>
      </c>
      <c r="K5132" t="s">
        <v>87</v>
      </c>
      <c r="L5132" t="s">
        <v>435</v>
      </c>
      <c r="M5132" t="s">
        <v>6</v>
      </c>
      <c r="N5132" t="b">
        <v>0</v>
      </c>
      <c r="O5132">
        <v>0</v>
      </c>
      <c r="P5132">
        <v>1</v>
      </c>
      <c r="Q5132">
        <v>0</v>
      </c>
      <c r="R5132">
        <v>0</v>
      </c>
    </row>
    <row r="5133" spans="1:18" x14ac:dyDescent="0.25">
      <c r="A5133" t="s">
        <v>19</v>
      </c>
      <c r="B5133" t="s">
        <v>6</v>
      </c>
      <c r="C5133">
        <v>1</v>
      </c>
      <c r="D5133">
        <v>2</v>
      </c>
      <c r="E5133">
        <v>2</v>
      </c>
      <c r="F5133" s="15">
        <v>46209</v>
      </c>
      <c r="G5133" t="s">
        <v>630</v>
      </c>
      <c r="H5133">
        <v>4</v>
      </c>
      <c r="I5133">
        <v>2026</v>
      </c>
      <c r="J5133">
        <v>7</v>
      </c>
      <c r="K5133" t="s">
        <v>87</v>
      </c>
      <c r="L5133" t="s">
        <v>519</v>
      </c>
      <c r="M5133" t="s">
        <v>6</v>
      </c>
      <c r="N5133" t="b">
        <v>0</v>
      </c>
      <c r="O5133">
        <v>0</v>
      </c>
      <c r="P5133">
        <v>1</v>
      </c>
      <c r="Q5133">
        <v>0</v>
      </c>
      <c r="R5133">
        <v>0</v>
      </c>
    </row>
    <row r="5134" spans="1:18" x14ac:dyDescent="0.25">
      <c r="A5134" t="s">
        <v>19</v>
      </c>
      <c r="B5134" t="s">
        <v>6</v>
      </c>
      <c r="C5134">
        <v>1</v>
      </c>
      <c r="D5134">
        <v>2</v>
      </c>
      <c r="E5134">
        <v>2</v>
      </c>
      <c r="F5134" s="15">
        <v>46209</v>
      </c>
      <c r="G5134" t="s">
        <v>630</v>
      </c>
      <c r="H5134">
        <v>4</v>
      </c>
      <c r="I5134">
        <v>2026</v>
      </c>
      <c r="J5134">
        <v>7</v>
      </c>
      <c r="K5134" t="s">
        <v>87</v>
      </c>
      <c r="L5134" t="s">
        <v>352</v>
      </c>
      <c r="M5134" t="s">
        <v>8</v>
      </c>
      <c r="N5134" t="b">
        <v>0</v>
      </c>
      <c r="O5134">
        <v>0</v>
      </c>
      <c r="P5134">
        <v>1</v>
      </c>
      <c r="Q5134">
        <v>0</v>
      </c>
      <c r="R5134">
        <v>1</v>
      </c>
    </row>
    <row r="5135" spans="1:18" x14ac:dyDescent="0.25">
      <c r="A5135" t="s">
        <v>435</v>
      </c>
      <c r="B5135" t="s">
        <v>6</v>
      </c>
      <c r="C5135">
        <v>2</v>
      </c>
      <c r="D5135">
        <v>2</v>
      </c>
      <c r="E5135">
        <v>2</v>
      </c>
      <c r="F5135" s="15">
        <v>46209</v>
      </c>
      <c r="G5135" t="s">
        <v>630</v>
      </c>
      <c r="H5135">
        <v>4</v>
      </c>
      <c r="I5135">
        <v>2026</v>
      </c>
      <c r="J5135">
        <v>7</v>
      </c>
      <c r="K5135" t="s">
        <v>87</v>
      </c>
      <c r="L5135" t="s">
        <v>19</v>
      </c>
      <c r="M5135" t="s">
        <v>6</v>
      </c>
      <c r="N5135" t="b">
        <v>0</v>
      </c>
      <c r="O5135">
        <v>0</v>
      </c>
      <c r="P5135">
        <v>1</v>
      </c>
      <c r="Q5135">
        <v>0</v>
      </c>
      <c r="R5135">
        <v>0</v>
      </c>
    </row>
    <row r="5136" spans="1:18" x14ac:dyDescent="0.25">
      <c r="A5136" t="s">
        <v>435</v>
      </c>
      <c r="B5136" t="s">
        <v>6</v>
      </c>
      <c r="C5136">
        <v>2</v>
      </c>
      <c r="D5136">
        <v>2</v>
      </c>
      <c r="E5136">
        <v>2</v>
      </c>
      <c r="F5136" s="15">
        <v>46209</v>
      </c>
      <c r="G5136" t="s">
        <v>630</v>
      </c>
      <c r="H5136">
        <v>4</v>
      </c>
      <c r="I5136">
        <v>2026</v>
      </c>
      <c r="J5136">
        <v>7</v>
      </c>
      <c r="K5136" t="s">
        <v>87</v>
      </c>
      <c r="L5136" t="s">
        <v>519</v>
      </c>
      <c r="M5136" t="s">
        <v>6</v>
      </c>
      <c r="N5136" t="b">
        <v>0</v>
      </c>
      <c r="O5136">
        <v>0</v>
      </c>
      <c r="P5136">
        <v>1</v>
      </c>
      <c r="Q5136">
        <v>0</v>
      </c>
      <c r="R5136">
        <v>0</v>
      </c>
    </row>
    <row r="5137" spans="1:18" x14ac:dyDescent="0.25">
      <c r="A5137" t="s">
        <v>435</v>
      </c>
      <c r="B5137" t="s">
        <v>6</v>
      </c>
      <c r="C5137">
        <v>2</v>
      </c>
      <c r="D5137">
        <v>2</v>
      </c>
      <c r="E5137">
        <v>2</v>
      </c>
      <c r="F5137" s="15">
        <v>46209</v>
      </c>
      <c r="G5137" t="s">
        <v>630</v>
      </c>
      <c r="H5137">
        <v>4</v>
      </c>
      <c r="I5137">
        <v>2026</v>
      </c>
      <c r="J5137">
        <v>7</v>
      </c>
      <c r="K5137" t="s">
        <v>87</v>
      </c>
      <c r="L5137" t="s">
        <v>352</v>
      </c>
      <c r="M5137" t="s">
        <v>8</v>
      </c>
      <c r="N5137" t="b">
        <v>0</v>
      </c>
      <c r="O5137">
        <v>0</v>
      </c>
      <c r="P5137">
        <v>1</v>
      </c>
      <c r="Q5137">
        <v>0</v>
      </c>
      <c r="R5137">
        <v>1</v>
      </c>
    </row>
    <row r="5138" spans="1:18" x14ac:dyDescent="0.25">
      <c r="A5138" t="s">
        <v>519</v>
      </c>
      <c r="B5138" t="s">
        <v>6</v>
      </c>
      <c r="C5138">
        <v>3</v>
      </c>
      <c r="D5138">
        <v>2</v>
      </c>
      <c r="E5138">
        <v>2</v>
      </c>
      <c r="F5138" s="15">
        <v>46209</v>
      </c>
      <c r="G5138" t="s">
        <v>630</v>
      </c>
      <c r="H5138">
        <v>4</v>
      </c>
      <c r="I5138">
        <v>2026</v>
      </c>
      <c r="J5138">
        <v>7</v>
      </c>
      <c r="K5138" t="s">
        <v>87</v>
      </c>
      <c r="L5138" t="s">
        <v>19</v>
      </c>
      <c r="M5138" t="s">
        <v>6</v>
      </c>
      <c r="N5138" t="b">
        <v>0</v>
      </c>
      <c r="O5138">
        <v>0</v>
      </c>
      <c r="P5138">
        <v>1</v>
      </c>
      <c r="Q5138">
        <v>0</v>
      </c>
      <c r="R5138">
        <v>0</v>
      </c>
    </row>
    <row r="5139" spans="1:18" x14ac:dyDescent="0.25">
      <c r="A5139" t="s">
        <v>519</v>
      </c>
      <c r="B5139" t="s">
        <v>6</v>
      </c>
      <c r="C5139">
        <v>3</v>
      </c>
      <c r="D5139">
        <v>2</v>
      </c>
      <c r="E5139">
        <v>2</v>
      </c>
      <c r="F5139" s="15">
        <v>46209</v>
      </c>
      <c r="G5139" t="s">
        <v>630</v>
      </c>
      <c r="H5139">
        <v>4</v>
      </c>
      <c r="I5139">
        <v>2026</v>
      </c>
      <c r="J5139">
        <v>7</v>
      </c>
      <c r="K5139" t="s">
        <v>87</v>
      </c>
      <c r="L5139" t="s">
        <v>435</v>
      </c>
      <c r="M5139" t="s">
        <v>6</v>
      </c>
      <c r="N5139" t="b">
        <v>0</v>
      </c>
      <c r="O5139">
        <v>0</v>
      </c>
      <c r="P5139">
        <v>1</v>
      </c>
      <c r="Q5139">
        <v>0</v>
      </c>
      <c r="R5139">
        <v>0</v>
      </c>
    </row>
    <row r="5140" spans="1:18" x14ac:dyDescent="0.25">
      <c r="A5140" t="s">
        <v>519</v>
      </c>
      <c r="B5140" t="s">
        <v>6</v>
      </c>
      <c r="C5140">
        <v>3</v>
      </c>
      <c r="D5140">
        <v>2</v>
      </c>
      <c r="E5140">
        <v>2</v>
      </c>
      <c r="F5140" s="15">
        <v>46209</v>
      </c>
      <c r="G5140" t="s">
        <v>630</v>
      </c>
      <c r="H5140">
        <v>4</v>
      </c>
      <c r="I5140">
        <v>2026</v>
      </c>
      <c r="J5140">
        <v>7</v>
      </c>
      <c r="K5140" t="s">
        <v>87</v>
      </c>
      <c r="L5140" t="s">
        <v>352</v>
      </c>
      <c r="M5140" t="s">
        <v>8</v>
      </c>
      <c r="N5140" t="b">
        <v>0</v>
      </c>
      <c r="O5140">
        <v>0</v>
      </c>
      <c r="P5140">
        <v>1</v>
      </c>
      <c r="Q5140">
        <v>0</v>
      </c>
      <c r="R5140">
        <v>1</v>
      </c>
    </row>
    <row r="5141" spans="1:18" x14ac:dyDescent="0.25">
      <c r="A5141" t="s">
        <v>352</v>
      </c>
      <c r="B5141" t="s">
        <v>8</v>
      </c>
      <c r="C5141">
        <v>4</v>
      </c>
      <c r="D5141">
        <v>2</v>
      </c>
      <c r="E5141">
        <v>2</v>
      </c>
      <c r="F5141" s="15">
        <v>46209</v>
      </c>
      <c r="G5141" t="s">
        <v>630</v>
      </c>
      <c r="H5141">
        <v>4</v>
      </c>
      <c r="I5141">
        <v>2026</v>
      </c>
      <c r="J5141">
        <v>7</v>
      </c>
      <c r="K5141" t="s">
        <v>87</v>
      </c>
      <c r="L5141" t="s">
        <v>19</v>
      </c>
      <c r="M5141" t="s">
        <v>6</v>
      </c>
      <c r="N5141" t="b">
        <v>0</v>
      </c>
      <c r="O5141">
        <v>1</v>
      </c>
      <c r="P5141">
        <v>0</v>
      </c>
      <c r="Q5141">
        <v>0</v>
      </c>
      <c r="R5141">
        <v>0</v>
      </c>
    </row>
    <row r="5142" spans="1:18" x14ac:dyDescent="0.25">
      <c r="A5142" t="s">
        <v>352</v>
      </c>
      <c r="B5142" t="s">
        <v>8</v>
      </c>
      <c r="C5142">
        <v>4</v>
      </c>
      <c r="D5142">
        <v>2</v>
      </c>
      <c r="E5142">
        <v>2</v>
      </c>
      <c r="F5142" s="15">
        <v>46209</v>
      </c>
      <c r="G5142" t="s">
        <v>630</v>
      </c>
      <c r="H5142">
        <v>4</v>
      </c>
      <c r="I5142">
        <v>2026</v>
      </c>
      <c r="J5142">
        <v>7</v>
      </c>
      <c r="K5142" t="s">
        <v>87</v>
      </c>
      <c r="L5142" t="s">
        <v>435</v>
      </c>
      <c r="M5142" t="s">
        <v>6</v>
      </c>
      <c r="N5142" t="b">
        <v>0</v>
      </c>
      <c r="O5142">
        <v>1</v>
      </c>
      <c r="P5142">
        <v>0</v>
      </c>
      <c r="Q5142">
        <v>0</v>
      </c>
      <c r="R5142">
        <v>0</v>
      </c>
    </row>
    <row r="5143" spans="1:18" x14ac:dyDescent="0.25">
      <c r="A5143" t="s">
        <v>352</v>
      </c>
      <c r="B5143" t="s">
        <v>8</v>
      </c>
      <c r="C5143">
        <v>4</v>
      </c>
      <c r="D5143">
        <v>2</v>
      </c>
      <c r="E5143">
        <v>2</v>
      </c>
      <c r="F5143" s="15">
        <v>46209</v>
      </c>
      <c r="G5143" t="s">
        <v>630</v>
      </c>
      <c r="H5143">
        <v>4</v>
      </c>
      <c r="I5143">
        <v>2026</v>
      </c>
      <c r="J5143">
        <v>7</v>
      </c>
      <c r="K5143" t="s">
        <v>87</v>
      </c>
      <c r="L5143" t="s">
        <v>519</v>
      </c>
      <c r="M5143" t="s">
        <v>6</v>
      </c>
      <c r="N5143" t="b">
        <v>0</v>
      </c>
      <c r="O5143">
        <v>1</v>
      </c>
      <c r="P5143">
        <v>0</v>
      </c>
      <c r="Q5143">
        <v>0</v>
      </c>
      <c r="R5143">
        <v>0</v>
      </c>
    </row>
    <row r="5144" spans="1:18" x14ac:dyDescent="0.25">
      <c r="A5144" t="s">
        <v>9</v>
      </c>
      <c r="B5144" t="s">
        <v>63</v>
      </c>
      <c r="C5144">
        <v>1</v>
      </c>
      <c r="D5144">
        <v>3</v>
      </c>
      <c r="E5144">
        <v>2</v>
      </c>
      <c r="F5144" s="15">
        <v>46209</v>
      </c>
      <c r="G5144" t="s">
        <v>631</v>
      </c>
      <c r="H5144">
        <v>4</v>
      </c>
      <c r="I5144">
        <v>2026</v>
      </c>
      <c r="J5144">
        <v>7</v>
      </c>
      <c r="K5144" t="s">
        <v>87</v>
      </c>
      <c r="L5144" t="s">
        <v>13</v>
      </c>
      <c r="M5144" t="s">
        <v>63</v>
      </c>
      <c r="N5144" t="b">
        <v>0</v>
      </c>
      <c r="O5144">
        <v>0</v>
      </c>
      <c r="P5144">
        <v>0</v>
      </c>
      <c r="Q5144">
        <v>1</v>
      </c>
      <c r="R5144">
        <v>0</v>
      </c>
    </row>
    <row r="5145" spans="1:18" x14ac:dyDescent="0.25">
      <c r="A5145" t="s">
        <v>9</v>
      </c>
      <c r="B5145" t="s">
        <v>63</v>
      </c>
      <c r="C5145">
        <v>1</v>
      </c>
      <c r="D5145">
        <v>3</v>
      </c>
      <c r="E5145">
        <v>2</v>
      </c>
      <c r="F5145" s="15">
        <v>46209</v>
      </c>
      <c r="G5145" t="s">
        <v>631</v>
      </c>
      <c r="H5145">
        <v>4</v>
      </c>
      <c r="I5145">
        <v>2026</v>
      </c>
      <c r="J5145">
        <v>7</v>
      </c>
      <c r="K5145" t="s">
        <v>87</v>
      </c>
      <c r="L5145" t="s">
        <v>540</v>
      </c>
      <c r="M5145" t="s">
        <v>63</v>
      </c>
      <c r="N5145" t="b">
        <v>0</v>
      </c>
      <c r="O5145">
        <v>0</v>
      </c>
      <c r="P5145">
        <v>0</v>
      </c>
      <c r="Q5145">
        <v>1</v>
      </c>
      <c r="R5145">
        <v>0</v>
      </c>
    </row>
    <row r="5146" spans="1:18" x14ac:dyDescent="0.25">
      <c r="A5146" t="s">
        <v>9</v>
      </c>
      <c r="B5146" t="s">
        <v>63</v>
      </c>
      <c r="C5146">
        <v>1</v>
      </c>
      <c r="D5146">
        <v>3</v>
      </c>
      <c r="E5146">
        <v>2</v>
      </c>
      <c r="F5146" s="15">
        <v>46209</v>
      </c>
      <c r="G5146" t="s">
        <v>631</v>
      </c>
      <c r="H5146">
        <v>4</v>
      </c>
      <c r="I5146">
        <v>2026</v>
      </c>
      <c r="J5146">
        <v>7</v>
      </c>
      <c r="K5146" t="s">
        <v>87</v>
      </c>
      <c r="L5146" t="s">
        <v>405</v>
      </c>
      <c r="M5146" t="s">
        <v>63</v>
      </c>
      <c r="N5146" t="b">
        <v>0</v>
      </c>
      <c r="O5146">
        <v>0</v>
      </c>
      <c r="P5146">
        <v>0</v>
      </c>
      <c r="Q5146">
        <v>1</v>
      </c>
      <c r="R5146">
        <v>0</v>
      </c>
    </row>
    <row r="5147" spans="1:18" x14ac:dyDescent="0.25">
      <c r="A5147" t="s">
        <v>13</v>
      </c>
      <c r="B5147" t="s">
        <v>63</v>
      </c>
      <c r="C5147">
        <v>2</v>
      </c>
      <c r="D5147">
        <v>3</v>
      </c>
      <c r="E5147">
        <v>2</v>
      </c>
      <c r="F5147" s="15">
        <v>46209</v>
      </c>
      <c r="G5147" t="s">
        <v>631</v>
      </c>
      <c r="H5147">
        <v>4</v>
      </c>
      <c r="I5147">
        <v>2026</v>
      </c>
      <c r="J5147">
        <v>7</v>
      </c>
      <c r="K5147" t="s">
        <v>87</v>
      </c>
      <c r="L5147" t="s">
        <v>9</v>
      </c>
      <c r="M5147" t="s">
        <v>63</v>
      </c>
      <c r="N5147" t="b">
        <v>0</v>
      </c>
      <c r="O5147">
        <v>0</v>
      </c>
      <c r="P5147">
        <v>0</v>
      </c>
      <c r="Q5147">
        <v>1</v>
      </c>
      <c r="R5147">
        <v>0</v>
      </c>
    </row>
    <row r="5148" spans="1:18" x14ac:dyDescent="0.25">
      <c r="A5148" t="s">
        <v>13</v>
      </c>
      <c r="B5148" t="s">
        <v>63</v>
      </c>
      <c r="C5148">
        <v>2</v>
      </c>
      <c r="D5148">
        <v>3</v>
      </c>
      <c r="E5148">
        <v>2</v>
      </c>
      <c r="F5148" s="15">
        <v>46209</v>
      </c>
      <c r="G5148" t="s">
        <v>631</v>
      </c>
      <c r="H5148">
        <v>4</v>
      </c>
      <c r="I5148">
        <v>2026</v>
      </c>
      <c r="J5148">
        <v>7</v>
      </c>
      <c r="K5148" t="s">
        <v>87</v>
      </c>
      <c r="L5148" t="s">
        <v>540</v>
      </c>
      <c r="M5148" t="s">
        <v>63</v>
      </c>
      <c r="N5148" t="b">
        <v>0</v>
      </c>
      <c r="O5148">
        <v>0</v>
      </c>
      <c r="P5148">
        <v>0</v>
      </c>
      <c r="Q5148">
        <v>1</v>
      </c>
      <c r="R5148">
        <v>0</v>
      </c>
    </row>
    <row r="5149" spans="1:18" x14ac:dyDescent="0.25">
      <c r="A5149" t="s">
        <v>13</v>
      </c>
      <c r="B5149" t="s">
        <v>63</v>
      </c>
      <c r="C5149">
        <v>2</v>
      </c>
      <c r="D5149">
        <v>3</v>
      </c>
      <c r="E5149">
        <v>2</v>
      </c>
      <c r="F5149" s="15">
        <v>46209</v>
      </c>
      <c r="G5149" t="s">
        <v>631</v>
      </c>
      <c r="H5149">
        <v>4</v>
      </c>
      <c r="I5149">
        <v>2026</v>
      </c>
      <c r="J5149">
        <v>7</v>
      </c>
      <c r="K5149" t="s">
        <v>87</v>
      </c>
      <c r="L5149" t="s">
        <v>405</v>
      </c>
      <c r="M5149" t="s">
        <v>63</v>
      </c>
      <c r="N5149" t="b">
        <v>0</v>
      </c>
      <c r="O5149">
        <v>0</v>
      </c>
      <c r="P5149">
        <v>0</v>
      </c>
      <c r="Q5149">
        <v>1</v>
      </c>
      <c r="R5149">
        <v>0</v>
      </c>
    </row>
    <row r="5150" spans="1:18" x14ac:dyDescent="0.25">
      <c r="A5150" t="s">
        <v>540</v>
      </c>
      <c r="B5150" t="s">
        <v>63</v>
      </c>
      <c r="C5150">
        <v>3</v>
      </c>
      <c r="D5150">
        <v>3</v>
      </c>
      <c r="E5150">
        <v>2</v>
      </c>
      <c r="F5150" s="15">
        <v>46209</v>
      </c>
      <c r="G5150" t="s">
        <v>631</v>
      </c>
      <c r="H5150">
        <v>4</v>
      </c>
      <c r="I5150">
        <v>2026</v>
      </c>
      <c r="J5150">
        <v>7</v>
      </c>
      <c r="K5150" t="s">
        <v>87</v>
      </c>
      <c r="L5150" t="s">
        <v>9</v>
      </c>
      <c r="M5150" t="s">
        <v>63</v>
      </c>
      <c r="N5150" t="b">
        <v>0</v>
      </c>
      <c r="O5150">
        <v>0</v>
      </c>
      <c r="P5150">
        <v>0</v>
      </c>
      <c r="Q5150">
        <v>1</v>
      </c>
      <c r="R5150">
        <v>0</v>
      </c>
    </row>
    <row r="5151" spans="1:18" x14ac:dyDescent="0.25">
      <c r="A5151" t="s">
        <v>540</v>
      </c>
      <c r="B5151" t="s">
        <v>63</v>
      </c>
      <c r="C5151">
        <v>3</v>
      </c>
      <c r="D5151">
        <v>3</v>
      </c>
      <c r="E5151">
        <v>2</v>
      </c>
      <c r="F5151" s="15">
        <v>46209</v>
      </c>
      <c r="G5151" t="s">
        <v>631</v>
      </c>
      <c r="H5151">
        <v>4</v>
      </c>
      <c r="I5151">
        <v>2026</v>
      </c>
      <c r="J5151">
        <v>7</v>
      </c>
      <c r="K5151" t="s">
        <v>87</v>
      </c>
      <c r="L5151" t="s">
        <v>13</v>
      </c>
      <c r="M5151" t="s">
        <v>63</v>
      </c>
      <c r="N5151" t="b">
        <v>0</v>
      </c>
      <c r="O5151">
        <v>0</v>
      </c>
      <c r="P5151">
        <v>0</v>
      </c>
      <c r="Q5151">
        <v>1</v>
      </c>
      <c r="R5151">
        <v>0</v>
      </c>
    </row>
    <row r="5152" spans="1:18" x14ac:dyDescent="0.25">
      <c r="A5152" t="s">
        <v>540</v>
      </c>
      <c r="B5152" t="s">
        <v>63</v>
      </c>
      <c r="C5152">
        <v>3</v>
      </c>
      <c r="D5152">
        <v>3</v>
      </c>
      <c r="E5152">
        <v>2</v>
      </c>
      <c r="F5152" s="15">
        <v>46209</v>
      </c>
      <c r="G5152" t="s">
        <v>631</v>
      </c>
      <c r="H5152">
        <v>4</v>
      </c>
      <c r="I5152">
        <v>2026</v>
      </c>
      <c r="J5152">
        <v>7</v>
      </c>
      <c r="K5152" t="s">
        <v>87</v>
      </c>
      <c r="L5152" t="s">
        <v>405</v>
      </c>
      <c r="M5152" t="s">
        <v>63</v>
      </c>
      <c r="N5152" t="b">
        <v>0</v>
      </c>
      <c r="O5152">
        <v>0</v>
      </c>
      <c r="P5152">
        <v>0</v>
      </c>
      <c r="Q5152">
        <v>1</v>
      </c>
      <c r="R5152">
        <v>0</v>
      </c>
    </row>
    <row r="5153" spans="1:18" x14ac:dyDescent="0.25">
      <c r="A5153" t="s">
        <v>405</v>
      </c>
      <c r="B5153" t="s">
        <v>63</v>
      </c>
      <c r="C5153">
        <v>4</v>
      </c>
      <c r="D5153">
        <v>3</v>
      </c>
      <c r="E5153">
        <v>2</v>
      </c>
      <c r="F5153" s="15">
        <v>46209</v>
      </c>
      <c r="G5153" t="s">
        <v>631</v>
      </c>
      <c r="H5153">
        <v>4</v>
      </c>
      <c r="I5153">
        <v>2026</v>
      </c>
      <c r="J5153">
        <v>7</v>
      </c>
      <c r="K5153" t="s">
        <v>87</v>
      </c>
      <c r="L5153" t="s">
        <v>9</v>
      </c>
      <c r="M5153" t="s">
        <v>63</v>
      </c>
      <c r="N5153" t="b">
        <v>0</v>
      </c>
      <c r="O5153">
        <v>0</v>
      </c>
      <c r="P5153">
        <v>0</v>
      </c>
      <c r="Q5153">
        <v>1</v>
      </c>
      <c r="R5153">
        <v>0</v>
      </c>
    </row>
    <row r="5154" spans="1:18" x14ac:dyDescent="0.25">
      <c r="A5154" t="s">
        <v>405</v>
      </c>
      <c r="B5154" t="s">
        <v>63</v>
      </c>
      <c r="C5154">
        <v>4</v>
      </c>
      <c r="D5154">
        <v>3</v>
      </c>
      <c r="E5154">
        <v>2</v>
      </c>
      <c r="F5154" s="15">
        <v>46209</v>
      </c>
      <c r="G5154" t="s">
        <v>631</v>
      </c>
      <c r="H5154">
        <v>4</v>
      </c>
      <c r="I5154">
        <v>2026</v>
      </c>
      <c r="J5154">
        <v>7</v>
      </c>
      <c r="K5154" t="s">
        <v>87</v>
      </c>
      <c r="L5154" t="s">
        <v>13</v>
      </c>
      <c r="M5154" t="s">
        <v>63</v>
      </c>
      <c r="N5154" t="b">
        <v>0</v>
      </c>
      <c r="O5154">
        <v>0</v>
      </c>
      <c r="P5154">
        <v>0</v>
      </c>
      <c r="Q5154">
        <v>1</v>
      </c>
      <c r="R5154">
        <v>0</v>
      </c>
    </row>
    <row r="5155" spans="1:18" x14ac:dyDescent="0.25">
      <c r="A5155" t="s">
        <v>405</v>
      </c>
      <c r="B5155" t="s">
        <v>63</v>
      </c>
      <c r="C5155">
        <v>4</v>
      </c>
      <c r="D5155">
        <v>3</v>
      </c>
      <c r="E5155">
        <v>2</v>
      </c>
      <c r="F5155" s="15">
        <v>46209</v>
      </c>
      <c r="G5155" t="s">
        <v>631</v>
      </c>
      <c r="H5155">
        <v>4</v>
      </c>
      <c r="I5155">
        <v>2026</v>
      </c>
      <c r="J5155">
        <v>7</v>
      </c>
      <c r="K5155" t="s">
        <v>87</v>
      </c>
      <c r="L5155" t="s">
        <v>540</v>
      </c>
      <c r="M5155" t="s">
        <v>63</v>
      </c>
      <c r="N5155" t="b">
        <v>0</v>
      </c>
      <c r="O5155">
        <v>0</v>
      </c>
      <c r="P5155">
        <v>0</v>
      </c>
      <c r="Q5155">
        <v>1</v>
      </c>
      <c r="R5155">
        <v>0</v>
      </c>
    </row>
    <row r="5156" spans="1:18" x14ac:dyDescent="0.25">
      <c r="A5156" t="s">
        <v>41</v>
      </c>
      <c r="B5156" t="s">
        <v>6</v>
      </c>
      <c r="C5156">
        <v>1</v>
      </c>
      <c r="D5156">
        <v>4</v>
      </c>
      <c r="E5156">
        <v>2</v>
      </c>
      <c r="F5156" s="15">
        <v>46209</v>
      </c>
      <c r="G5156" t="s">
        <v>632</v>
      </c>
      <c r="H5156">
        <v>4</v>
      </c>
      <c r="I5156">
        <v>2026</v>
      </c>
      <c r="J5156">
        <v>7</v>
      </c>
      <c r="K5156" t="s">
        <v>87</v>
      </c>
      <c r="L5156" t="s">
        <v>567</v>
      </c>
      <c r="M5156" t="s">
        <v>6</v>
      </c>
      <c r="N5156" t="b">
        <v>0</v>
      </c>
      <c r="O5156">
        <v>0</v>
      </c>
      <c r="P5156">
        <v>1</v>
      </c>
      <c r="Q5156">
        <v>0</v>
      </c>
      <c r="R5156">
        <v>0</v>
      </c>
    </row>
    <row r="5157" spans="1:18" x14ac:dyDescent="0.25">
      <c r="A5157" t="s">
        <v>41</v>
      </c>
      <c r="B5157" t="s">
        <v>6</v>
      </c>
      <c r="C5157">
        <v>1</v>
      </c>
      <c r="D5157">
        <v>4</v>
      </c>
      <c r="E5157">
        <v>2</v>
      </c>
      <c r="F5157" s="15">
        <v>46209</v>
      </c>
      <c r="G5157" t="s">
        <v>632</v>
      </c>
      <c r="H5157">
        <v>4</v>
      </c>
      <c r="I5157">
        <v>2026</v>
      </c>
      <c r="J5157">
        <v>7</v>
      </c>
      <c r="K5157" t="s">
        <v>87</v>
      </c>
      <c r="L5157" t="s">
        <v>325</v>
      </c>
      <c r="M5157" t="s">
        <v>6</v>
      </c>
      <c r="N5157" t="b">
        <v>0</v>
      </c>
      <c r="O5157">
        <v>0</v>
      </c>
      <c r="P5157">
        <v>1</v>
      </c>
      <c r="Q5157">
        <v>0</v>
      </c>
      <c r="R5157">
        <v>0</v>
      </c>
    </row>
    <row r="5158" spans="1:18" x14ac:dyDescent="0.25">
      <c r="A5158" t="s">
        <v>41</v>
      </c>
      <c r="B5158" t="s">
        <v>6</v>
      </c>
      <c r="C5158">
        <v>1</v>
      </c>
      <c r="D5158">
        <v>4</v>
      </c>
      <c r="E5158">
        <v>2</v>
      </c>
      <c r="F5158" s="15">
        <v>46209</v>
      </c>
      <c r="G5158" t="s">
        <v>632</v>
      </c>
      <c r="H5158">
        <v>4</v>
      </c>
      <c r="I5158">
        <v>2026</v>
      </c>
      <c r="J5158">
        <v>7</v>
      </c>
      <c r="K5158" t="s">
        <v>87</v>
      </c>
      <c r="L5158" t="s">
        <v>17</v>
      </c>
      <c r="M5158" t="s">
        <v>8</v>
      </c>
      <c r="N5158" t="b">
        <v>0</v>
      </c>
      <c r="O5158">
        <v>0</v>
      </c>
      <c r="P5158">
        <v>1</v>
      </c>
      <c r="Q5158">
        <v>0</v>
      </c>
      <c r="R5158">
        <v>1</v>
      </c>
    </row>
    <row r="5159" spans="1:18" x14ac:dyDescent="0.25">
      <c r="A5159" t="s">
        <v>567</v>
      </c>
      <c r="B5159" t="s">
        <v>6</v>
      </c>
      <c r="C5159">
        <v>2</v>
      </c>
      <c r="D5159">
        <v>4</v>
      </c>
      <c r="E5159">
        <v>2</v>
      </c>
      <c r="F5159" s="15">
        <v>46209</v>
      </c>
      <c r="G5159" t="s">
        <v>632</v>
      </c>
      <c r="H5159">
        <v>4</v>
      </c>
      <c r="I5159">
        <v>2026</v>
      </c>
      <c r="J5159">
        <v>7</v>
      </c>
      <c r="K5159" t="s">
        <v>87</v>
      </c>
      <c r="L5159" t="s">
        <v>41</v>
      </c>
      <c r="M5159" t="s">
        <v>6</v>
      </c>
      <c r="N5159" t="b">
        <v>0</v>
      </c>
      <c r="O5159">
        <v>0</v>
      </c>
      <c r="P5159">
        <v>1</v>
      </c>
      <c r="Q5159">
        <v>0</v>
      </c>
      <c r="R5159">
        <v>0</v>
      </c>
    </row>
    <row r="5160" spans="1:18" x14ac:dyDescent="0.25">
      <c r="A5160" t="s">
        <v>567</v>
      </c>
      <c r="B5160" t="s">
        <v>6</v>
      </c>
      <c r="C5160">
        <v>2</v>
      </c>
      <c r="D5160">
        <v>4</v>
      </c>
      <c r="E5160">
        <v>2</v>
      </c>
      <c r="F5160" s="15">
        <v>46209</v>
      </c>
      <c r="G5160" t="s">
        <v>632</v>
      </c>
      <c r="H5160">
        <v>4</v>
      </c>
      <c r="I5160">
        <v>2026</v>
      </c>
      <c r="J5160">
        <v>7</v>
      </c>
      <c r="K5160" t="s">
        <v>87</v>
      </c>
      <c r="L5160" t="s">
        <v>325</v>
      </c>
      <c r="M5160" t="s">
        <v>6</v>
      </c>
      <c r="N5160" t="b">
        <v>0</v>
      </c>
      <c r="O5160">
        <v>0</v>
      </c>
      <c r="P5160">
        <v>1</v>
      </c>
      <c r="Q5160">
        <v>0</v>
      </c>
      <c r="R5160">
        <v>0</v>
      </c>
    </row>
    <row r="5161" spans="1:18" x14ac:dyDescent="0.25">
      <c r="A5161" t="s">
        <v>567</v>
      </c>
      <c r="B5161" t="s">
        <v>6</v>
      </c>
      <c r="C5161">
        <v>2</v>
      </c>
      <c r="D5161">
        <v>4</v>
      </c>
      <c r="E5161">
        <v>2</v>
      </c>
      <c r="F5161" s="15">
        <v>46209</v>
      </c>
      <c r="G5161" t="s">
        <v>632</v>
      </c>
      <c r="H5161">
        <v>4</v>
      </c>
      <c r="I5161">
        <v>2026</v>
      </c>
      <c r="J5161">
        <v>7</v>
      </c>
      <c r="K5161" t="s">
        <v>87</v>
      </c>
      <c r="L5161" t="s">
        <v>17</v>
      </c>
      <c r="M5161" t="s">
        <v>8</v>
      </c>
      <c r="N5161" t="b">
        <v>0</v>
      </c>
      <c r="O5161">
        <v>0</v>
      </c>
      <c r="P5161">
        <v>1</v>
      </c>
      <c r="Q5161">
        <v>0</v>
      </c>
      <c r="R5161">
        <v>1</v>
      </c>
    </row>
    <row r="5162" spans="1:18" x14ac:dyDescent="0.25">
      <c r="A5162" t="s">
        <v>325</v>
      </c>
      <c r="B5162" t="s">
        <v>6</v>
      </c>
      <c r="C5162">
        <v>3</v>
      </c>
      <c r="D5162">
        <v>4</v>
      </c>
      <c r="E5162">
        <v>2</v>
      </c>
      <c r="F5162" s="15">
        <v>46209</v>
      </c>
      <c r="G5162" t="s">
        <v>632</v>
      </c>
      <c r="H5162">
        <v>4</v>
      </c>
      <c r="I5162">
        <v>2026</v>
      </c>
      <c r="J5162">
        <v>7</v>
      </c>
      <c r="K5162" t="s">
        <v>87</v>
      </c>
      <c r="L5162" t="s">
        <v>41</v>
      </c>
      <c r="M5162" t="s">
        <v>6</v>
      </c>
      <c r="N5162" t="b">
        <v>0</v>
      </c>
      <c r="O5162">
        <v>0</v>
      </c>
      <c r="P5162">
        <v>1</v>
      </c>
      <c r="Q5162">
        <v>0</v>
      </c>
      <c r="R5162">
        <v>0</v>
      </c>
    </row>
    <row r="5163" spans="1:18" x14ac:dyDescent="0.25">
      <c r="A5163" t="s">
        <v>325</v>
      </c>
      <c r="B5163" t="s">
        <v>6</v>
      </c>
      <c r="C5163">
        <v>3</v>
      </c>
      <c r="D5163">
        <v>4</v>
      </c>
      <c r="E5163">
        <v>2</v>
      </c>
      <c r="F5163" s="15">
        <v>46209</v>
      </c>
      <c r="G5163" t="s">
        <v>632</v>
      </c>
      <c r="H5163">
        <v>4</v>
      </c>
      <c r="I5163">
        <v>2026</v>
      </c>
      <c r="J5163">
        <v>7</v>
      </c>
      <c r="K5163" t="s">
        <v>87</v>
      </c>
      <c r="L5163" t="s">
        <v>567</v>
      </c>
      <c r="M5163" t="s">
        <v>6</v>
      </c>
      <c r="N5163" t="b">
        <v>0</v>
      </c>
      <c r="O5163">
        <v>0</v>
      </c>
      <c r="P5163">
        <v>1</v>
      </c>
      <c r="Q5163">
        <v>0</v>
      </c>
      <c r="R5163">
        <v>0</v>
      </c>
    </row>
    <row r="5164" spans="1:18" x14ac:dyDescent="0.25">
      <c r="A5164" t="s">
        <v>325</v>
      </c>
      <c r="B5164" t="s">
        <v>6</v>
      </c>
      <c r="C5164">
        <v>3</v>
      </c>
      <c r="D5164">
        <v>4</v>
      </c>
      <c r="E5164">
        <v>2</v>
      </c>
      <c r="F5164" s="15">
        <v>46209</v>
      </c>
      <c r="G5164" t="s">
        <v>632</v>
      </c>
      <c r="H5164">
        <v>4</v>
      </c>
      <c r="I5164">
        <v>2026</v>
      </c>
      <c r="J5164">
        <v>7</v>
      </c>
      <c r="K5164" t="s">
        <v>87</v>
      </c>
      <c r="L5164" t="s">
        <v>17</v>
      </c>
      <c r="M5164" t="s">
        <v>8</v>
      </c>
      <c r="N5164" t="b">
        <v>0</v>
      </c>
      <c r="O5164">
        <v>0</v>
      </c>
      <c r="P5164">
        <v>1</v>
      </c>
      <c r="Q5164">
        <v>0</v>
      </c>
      <c r="R5164">
        <v>1</v>
      </c>
    </row>
    <row r="5165" spans="1:18" x14ac:dyDescent="0.25">
      <c r="A5165" t="s">
        <v>17</v>
      </c>
      <c r="B5165" t="s">
        <v>8</v>
      </c>
      <c r="C5165">
        <v>4</v>
      </c>
      <c r="D5165">
        <v>4</v>
      </c>
      <c r="E5165">
        <v>2</v>
      </c>
      <c r="F5165" s="15">
        <v>46209</v>
      </c>
      <c r="G5165" t="s">
        <v>632</v>
      </c>
      <c r="H5165">
        <v>4</v>
      </c>
      <c r="I5165">
        <v>2026</v>
      </c>
      <c r="J5165">
        <v>7</v>
      </c>
      <c r="K5165" t="s">
        <v>87</v>
      </c>
      <c r="L5165" t="s">
        <v>41</v>
      </c>
      <c r="M5165" t="s">
        <v>6</v>
      </c>
      <c r="N5165" t="b">
        <v>0</v>
      </c>
      <c r="O5165">
        <v>1</v>
      </c>
      <c r="P5165">
        <v>0</v>
      </c>
      <c r="Q5165">
        <v>0</v>
      </c>
      <c r="R5165">
        <v>0</v>
      </c>
    </row>
    <row r="5166" spans="1:18" x14ac:dyDescent="0.25">
      <c r="A5166" t="s">
        <v>17</v>
      </c>
      <c r="B5166" t="s">
        <v>8</v>
      </c>
      <c r="C5166">
        <v>4</v>
      </c>
      <c r="D5166">
        <v>4</v>
      </c>
      <c r="E5166">
        <v>2</v>
      </c>
      <c r="F5166" s="15">
        <v>46209</v>
      </c>
      <c r="G5166" t="s">
        <v>632</v>
      </c>
      <c r="H5166">
        <v>4</v>
      </c>
      <c r="I5166">
        <v>2026</v>
      </c>
      <c r="J5166">
        <v>7</v>
      </c>
      <c r="K5166" t="s">
        <v>87</v>
      </c>
      <c r="L5166" t="s">
        <v>567</v>
      </c>
      <c r="M5166" t="s">
        <v>6</v>
      </c>
      <c r="N5166" t="b">
        <v>0</v>
      </c>
      <c r="O5166">
        <v>1</v>
      </c>
      <c r="P5166">
        <v>0</v>
      </c>
      <c r="Q5166">
        <v>0</v>
      </c>
      <c r="R5166">
        <v>0</v>
      </c>
    </row>
    <row r="5167" spans="1:18" x14ac:dyDescent="0.25">
      <c r="A5167" t="s">
        <v>17</v>
      </c>
      <c r="B5167" t="s">
        <v>8</v>
      </c>
      <c r="C5167">
        <v>4</v>
      </c>
      <c r="D5167">
        <v>4</v>
      </c>
      <c r="E5167">
        <v>2</v>
      </c>
      <c r="F5167" s="15">
        <v>46209</v>
      </c>
      <c r="G5167" t="s">
        <v>632</v>
      </c>
      <c r="H5167">
        <v>4</v>
      </c>
      <c r="I5167">
        <v>2026</v>
      </c>
      <c r="J5167">
        <v>7</v>
      </c>
      <c r="K5167" t="s">
        <v>87</v>
      </c>
      <c r="L5167" t="s">
        <v>325</v>
      </c>
      <c r="M5167" t="s">
        <v>6</v>
      </c>
      <c r="N5167" t="b">
        <v>0</v>
      </c>
      <c r="O5167">
        <v>1</v>
      </c>
      <c r="P5167">
        <v>0</v>
      </c>
      <c r="Q5167">
        <v>0</v>
      </c>
      <c r="R5167">
        <v>0</v>
      </c>
    </row>
    <row r="5168" spans="1:18" x14ac:dyDescent="0.25">
      <c r="A5168" t="s">
        <v>20</v>
      </c>
      <c r="B5168" t="s">
        <v>6</v>
      </c>
      <c r="C5168">
        <v>1</v>
      </c>
      <c r="D5168">
        <v>5</v>
      </c>
      <c r="E5168">
        <v>2</v>
      </c>
      <c r="F5168" s="15">
        <v>46209</v>
      </c>
      <c r="G5168" t="s">
        <v>633</v>
      </c>
      <c r="H5168">
        <v>4</v>
      </c>
      <c r="I5168">
        <v>2026</v>
      </c>
      <c r="J5168">
        <v>7</v>
      </c>
      <c r="K5168" t="s">
        <v>87</v>
      </c>
      <c r="L5168" t="s">
        <v>433</v>
      </c>
      <c r="M5168" t="s">
        <v>6</v>
      </c>
      <c r="N5168" t="b">
        <v>0</v>
      </c>
      <c r="O5168">
        <v>0</v>
      </c>
      <c r="P5168">
        <v>1</v>
      </c>
      <c r="Q5168">
        <v>0</v>
      </c>
      <c r="R5168">
        <v>0</v>
      </c>
    </row>
    <row r="5169" spans="1:18" x14ac:dyDescent="0.25">
      <c r="A5169" t="s">
        <v>20</v>
      </c>
      <c r="B5169" t="s">
        <v>6</v>
      </c>
      <c r="C5169">
        <v>1</v>
      </c>
      <c r="D5169">
        <v>5</v>
      </c>
      <c r="E5169">
        <v>2</v>
      </c>
      <c r="F5169" s="15">
        <v>46209</v>
      </c>
      <c r="G5169" t="s">
        <v>633</v>
      </c>
      <c r="H5169">
        <v>4</v>
      </c>
      <c r="I5169">
        <v>2026</v>
      </c>
      <c r="J5169">
        <v>7</v>
      </c>
      <c r="K5169" t="s">
        <v>87</v>
      </c>
      <c r="L5169" t="s">
        <v>28</v>
      </c>
      <c r="M5169" t="s">
        <v>8</v>
      </c>
      <c r="N5169" t="b">
        <v>0</v>
      </c>
      <c r="O5169">
        <v>0</v>
      </c>
      <c r="P5169">
        <v>1</v>
      </c>
      <c r="Q5169">
        <v>0</v>
      </c>
      <c r="R5169">
        <v>1</v>
      </c>
    </row>
    <row r="5170" spans="1:18" x14ac:dyDescent="0.25">
      <c r="A5170" t="s">
        <v>20</v>
      </c>
      <c r="B5170" t="s">
        <v>6</v>
      </c>
      <c r="C5170">
        <v>1</v>
      </c>
      <c r="D5170">
        <v>5</v>
      </c>
      <c r="E5170">
        <v>2</v>
      </c>
      <c r="F5170" s="15">
        <v>46209</v>
      </c>
      <c r="G5170" t="s">
        <v>633</v>
      </c>
      <c r="H5170">
        <v>4</v>
      </c>
      <c r="I5170">
        <v>2026</v>
      </c>
      <c r="J5170">
        <v>7</v>
      </c>
      <c r="K5170" t="s">
        <v>87</v>
      </c>
      <c r="L5170" t="s">
        <v>14</v>
      </c>
      <c r="M5170" t="s">
        <v>6</v>
      </c>
      <c r="N5170" t="b">
        <v>0</v>
      </c>
      <c r="O5170">
        <v>0</v>
      </c>
      <c r="P5170">
        <v>1</v>
      </c>
      <c r="Q5170">
        <v>0</v>
      </c>
      <c r="R5170">
        <v>0</v>
      </c>
    </row>
    <row r="5171" spans="1:18" x14ac:dyDescent="0.25">
      <c r="A5171" t="s">
        <v>433</v>
      </c>
      <c r="B5171" t="s">
        <v>6</v>
      </c>
      <c r="C5171">
        <v>2</v>
      </c>
      <c r="D5171">
        <v>5</v>
      </c>
      <c r="E5171">
        <v>2</v>
      </c>
      <c r="F5171" s="15">
        <v>46209</v>
      </c>
      <c r="G5171" t="s">
        <v>633</v>
      </c>
      <c r="H5171">
        <v>4</v>
      </c>
      <c r="I5171">
        <v>2026</v>
      </c>
      <c r="J5171">
        <v>7</v>
      </c>
      <c r="K5171" t="s">
        <v>87</v>
      </c>
      <c r="L5171" t="s">
        <v>20</v>
      </c>
      <c r="M5171" t="s">
        <v>6</v>
      </c>
      <c r="N5171" t="b">
        <v>0</v>
      </c>
      <c r="O5171">
        <v>0</v>
      </c>
      <c r="P5171">
        <v>1</v>
      </c>
      <c r="Q5171">
        <v>0</v>
      </c>
      <c r="R5171">
        <v>0</v>
      </c>
    </row>
    <row r="5172" spans="1:18" x14ac:dyDescent="0.25">
      <c r="A5172" t="s">
        <v>433</v>
      </c>
      <c r="B5172" t="s">
        <v>6</v>
      </c>
      <c r="C5172">
        <v>2</v>
      </c>
      <c r="D5172">
        <v>5</v>
      </c>
      <c r="E5172">
        <v>2</v>
      </c>
      <c r="F5172" s="15">
        <v>46209</v>
      </c>
      <c r="G5172" t="s">
        <v>633</v>
      </c>
      <c r="H5172">
        <v>4</v>
      </c>
      <c r="I5172">
        <v>2026</v>
      </c>
      <c r="J5172">
        <v>7</v>
      </c>
      <c r="K5172" t="s">
        <v>87</v>
      </c>
      <c r="L5172" t="s">
        <v>28</v>
      </c>
      <c r="M5172" t="s">
        <v>8</v>
      </c>
      <c r="N5172" t="b">
        <v>0</v>
      </c>
      <c r="O5172">
        <v>0</v>
      </c>
      <c r="P5172">
        <v>1</v>
      </c>
      <c r="Q5172">
        <v>0</v>
      </c>
      <c r="R5172">
        <v>1</v>
      </c>
    </row>
    <row r="5173" spans="1:18" x14ac:dyDescent="0.25">
      <c r="A5173" t="s">
        <v>433</v>
      </c>
      <c r="B5173" t="s">
        <v>6</v>
      </c>
      <c r="C5173">
        <v>2</v>
      </c>
      <c r="D5173">
        <v>5</v>
      </c>
      <c r="E5173">
        <v>2</v>
      </c>
      <c r="F5173" s="15">
        <v>46209</v>
      </c>
      <c r="G5173" t="s">
        <v>633</v>
      </c>
      <c r="H5173">
        <v>4</v>
      </c>
      <c r="I5173">
        <v>2026</v>
      </c>
      <c r="J5173">
        <v>7</v>
      </c>
      <c r="K5173" t="s">
        <v>87</v>
      </c>
      <c r="L5173" t="s">
        <v>14</v>
      </c>
      <c r="M5173" t="s">
        <v>6</v>
      </c>
      <c r="N5173" t="b">
        <v>0</v>
      </c>
      <c r="O5173">
        <v>0</v>
      </c>
      <c r="P5173">
        <v>1</v>
      </c>
      <c r="Q5173">
        <v>0</v>
      </c>
      <c r="R5173">
        <v>0</v>
      </c>
    </row>
    <row r="5174" spans="1:18" x14ac:dyDescent="0.25">
      <c r="A5174" t="s">
        <v>28</v>
      </c>
      <c r="B5174" t="s">
        <v>8</v>
      </c>
      <c r="C5174">
        <v>3</v>
      </c>
      <c r="D5174">
        <v>5</v>
      </c>
      <c r="E5174">
        <v>2</v>
      </c>
      <c r="F5174" s="15">
        <v>46209</v>
      </c>
      <c r="G5174" t="s">
        <v>633</v>
      </c>
      <c r="H5174">
        <v>4</v>
      </c>
      <c r="I5174">
        <v>2026</v>
      </c>
      <c r="J5174">
        <v>7</v>
      </c>
      <c r="K5174" t="s">
        <v>87</v>
      </c>
      <c r="L5174" t="s">
        <v>20</v>
      </c>
      <c r="M5174" t="s">
        <v>6</v>
      </c>
      <c r="N5174" t="b">
        <v>0</v>
      </c>
      <c r="O5174">
        <v>1</v>
      </c>
      <c r="P5174">
        <v>0</v>
      </c>
      <c r="Q5174">
        <v>0</v>
      </c>
      <c r="R5174">
        <v>0</v>
      </c>
    </row>
    <row r="5175" spans="1:18" x14ac:dyDescent="0.25">
      <c r="A5175" t="s">
        <v>28</v>
      </c>
      <c r="B5175" t="s">
        <v>8</v>
      </c>
      <c r="C5175">
        <v>3</v>
      </c>
      <c r="D5175">
        <v>5</v>
      </c>
      <c r="E5175">
        <v>2</v>
      </c>
      <c r="F5175" s="15">
        <v>46209</v>
      </c>
      <c r="G5175" t="s">
        <v>633</v>
      </c>
      <c r="H5175">
        <v>4</v>
      </c>
      <c r="I5175">
        <v>2026</v>
      </c>
      <c r="J5175">
        <v>7</v>
      </c>
      <c r="K5175" t="s">
        <v>87</v>
      </c>
      <c r="L5175" t="s">
        <v>433</v>
      </c>
      <c r="M5175" t="s">
        <v>6</v>
      </c>
      <c r="N5175" t="b">
        <v>0</v>
      </c>
      <c r="O5175">
        <v>1</v>
      </c>
      <c r="P5175">
        <v>0</v>
      </c>
      <c r="Q5175">
        <v>0</v>
      </c>
      <c r="R5175">
        <v>0</v>
      </c>
    </row>
    <row r="5176" spans="1:18" x14ac:dyDescent="0.25">
      <c r="A5176" t="s">
        <v>28</v>
      </c>
      <c r="B5176" t="s">
        <v>8</v>
      </c>
      <c r="C5176">
        <v>3</v>
      </c>
      <c r="D5176">
        <v>5</v>
      </c>
      <c r="E5176">
        <v>2</v>
      </c>
      <c r="F5176" s="15">
        <v>46209</v>
      </c>
      <c r="G5176" t="s">
        <v>633</v>
      </c>
      <c r="H5176">
        <v>4</v>
      </c>
      <c r="I5176">
        <v>2026</v>
      </c>
      <c r="J5176">
        <v>7</v>
      </c>
      <c r="K5176" t="s">
        <v>87</v>
      </c>
      <c r="L5176" t="s">
        <v>14</v>
      </c>
      <c r="M5176" t="s">
        <v>6</v>
      </c>
      <c r="N5176" t="b">
        <v>0</v>
      </c>
      <c r="O5176">
        <v>1</v>
      </c>
      <c r="P5176">
        <v>0</v>
      </c>
      <c r="Q5176">
        <v>0</v>
      </c>
      <c r="R5176">
        <v>0</v>
      </c>
    </row>
    <row r="5177" spans="1:18" x14ac:dyDescent="0.25">
      <c r="A5177" t="s">
        <v>14</v>
      </c>
      <c r="B5177" t="s">
        <v>6</v>
      </c>
      <c r="C5177">
        <v>4</v>
      </c>
      <c r="D5177">
        <v>5</v>
      </c>
      <c r="E5177">
        <v>2</v>
      </c>
      <c r="F5177" s="15">
        <v>46209</v>
      </c>
      <c r="G5177" t="s">
        <v>633</v>
      </c>
      <c r="H5177">
        <v>4</v>
      </c>
      <c r="I5177">
        <v>2026</v>
      </c>
      <c r="J5177">
        <v>7</v>
      </c>
      <c r="K5177" t="s">
        <v>87</v>
      </c>
      <c r="L5177" t="s">
        <v>20</v>
      </c>
      <c r="M5177" t="s">
        <v>6</v>
      </c>
      <c r="N5177" t="b">
        <v>0</v>
      </c>
      <c r="O5177">
        <v>0</v>
      </c>
      <c r="P5177">
        <v>1</v>
      </c>
      <c r="Q5177">
        <v>0</v>
      </c>
      <c r="R5177">
        <v>0</v>
      </c>
    </row>
    <row r="5178" spans="1:18" x14ac:dyDescent="0.25">
      <c r="A5178" t="s">
        <v>14</v>
      </c>
      <c r="B5178" t="s">
        <v>6</v>
      </c>
      <c r="C5178">
        <v>4</v>
      </c>
      <c r="D5178">
        <v>5</v>
      </c>
      <c r="E5178">
        <v>2</v>
      </c>
      <c r="F5178" s="15">
        <v>46209</v>
      </c>
      <c r="G5178" t="s">
        <v>633</v>
      </c>
      <c r="H5178">
        <v>4</v>
      </c>
      <c r="I5178">
        <v>2026</v>
      </c>
      <c r="J5178">
        <v>7</v>
      </c>
      <c r="K5178" t="s">
        <v>87</v>
      </c>
      <c r="L5178" t="s">
        <v>433</v>
      </c>
      <c r="M5178" t="s">
        <v>6</v>
      </c>
      <c r="N5178" t="b">
        <v>0</v>
      </c>
      <c r="O5178">
        <v>0</v>
      </c>
      <c r="P5178">
        <v>1</v>
      </c>
      <c r="Q5178">
        <v>0</v>
      </c>
      <c r="R5178">
        <v>0</v>
      </c>
    </row>
    <row r="5179" spans="1:18" x14ac:dyDescent="0.25">
      <c r="A5179" t="s">
        <v>14</v>
      </c>
      <c r="B5179" t="s">
        <v>6</v>
      </c>
      <c r="C5179">
        <v>4</v>
      </c>
      <c r="D5179">
        <v>5</v>
      </c>
      <c r="E5179">
        <v>2</v>
      </c>
      <c r="F5179" s="15">
        <v>46209</v>
      </c>
      <c r="G5179" t="s">
        <v>633</v>
      </c>
      <c r="H5179">
        <v>4</v>
      </c>
      <c r="I5179">
        <v>2026</v>
      </c>
      <c r="J5179">
        <v>7</v>
      </c>
      <c r="K5179" t="s">
        <v>87</v>
      </c>
      <c r="L5179" t="s">
        <v>28</v>
      </c>
      <c r="M5179" t="s">
        <v>8</v>
      </c>
      <c r="N5179" t="b">
        <v>0</v>
      </c>
      <c r="O5179">
        <v>0</v>
      </c>
      <c r="P5179">
        <v>1</v>
      </c>
      <c r="Q5179">
        <v>0</v>
      </c>
      <c r="R5179">
        <v>1</v>
      </c>
    </row>
    <row r="5180" spans="1:18" x14ac:dyDescent="0.25">
      <c r="A5180" t="s">
        <v>7</v>
      </c>
      <c r="B5180" t="s">
        <v>8</v>
      </c>
      <c r="C5180">
        <v>1</v>
      </c>
      <c r="D5180">
        <v>6</v>
      </c>
      <c r="E5180">
        <v>2</v>
      </c>
      <c r="F5180" s="15">
        <v>46209</v>
      </c>
      <c r="G5180" t="s">
        <v>634</v>
      </c>
      <c r="H5180">
        <v>3</v>
      </c>
      <c r="I5180">
        <v>2026</v>
      </c>
      <c r="J5180">
        <v>7</v>
      </c>
      <c r="K5180" t="s">
        <v>87</v>
      </c>
      <c r="L5180" t="s">
        <v>27</v>
      </c>
      <c r="M5180" t="s">
        <v>6</v>
      </c>
      <c r="N5180" t="b">
        <v>0</v>
      </c>
      <c r="O5180">
        <v>1</v>
      </c>
      <c r="P5180">
        <v>0</v>
      </c>
      <c r="Q5180">
        <v>0</v>
      </c>
      <c r="R5180">
        <v>0</v>
      </c>
    </row>
    <row r="5181" spans="1:18" x14ac:dyDescent="0.25">
      <c r="A5181" t="s">
        <v>7</v>
      </c>
      <c r="B5181" t="s">
        <v>8</v>
      </c>
      <c r="C5181">
        <v>1</v>
      </c>
      <c r="D5181">
        <v>6</v>
      </c>
      <c r="E5181">
        <v>2</v>
      </c>
      <c r="F5181" s="15">
        <v>46209</v>
      </c>
      <c r="G5181" t="s">
        <v>634</v>
      </c>
      <c r="H5181">
        <v>3</v>
      </c>
      <c r="I5181">
        <v>2026</v>
      </c>
      <c r="J5181">
        <v>7</v>
      </c>
      <c r="K5181" t="s">
        <v>87</v>
      </c>
      <c r="L5181" t="s">
        <v>622</v>
      </c>
      <c r="M5181" t="s">
        <v>6</v>
      </c>
      <c r="N5181" t="b">
        <v>0</v>
      </c>
      <c r="O5181">
        <v>1</v>
      </c>
      <c r="P5181">
        <v>0</v>
      </c>
      <c r="Q5181">
        <v>0</v>
      </c>
      <c r="R5181">
        <v>0</v>
      </c>
    </row>
    <row r="5182" spans="1:18" x14ac:dyDescent="0.25">
      <c r="A5182" t="s">
        <v>27</v>
      </c>
      <c r="B5182" t="s">
        <v>6</v>
      </c>
      <c r="C5182">
        <v>2</v>
      </c>
      <c r="D5182">
        <v>6</v>
      </c>
      <c r="E5182">
        <v>2</v>
      </c>
      <c r="F5182" s="15">
        <v>46209</v>
      </c>
      <c r="G5182" t="s">
        <v>634</v>
      </c>
      <c r="H5182">
        <v>3</v>
      </c>
      <c r="I5182">
        <v>2026</v>
      </c>
      <c r="J5182">
        <v>7</v>
      </c>
      <c r="K5182" t="s">
        <v>87</v>
      </c>
      <c r="L5182" t="s">
        <v>7</v>
      </c>
      <c r="M5182" t="s">
        <v>8</v>
      </c>
      <c r="N5182" t="b">
        <v>0</v>
      </c>
      <c r="O5182">
        <v>0</v>
      </c>
      <c r="P5182">
        <v>1</v>
      </c>
      <c r="Q5182">
        <v>0</v>
      </c>
      <c r="R5182">
        <v>1</v>
      </c>
    </row>
    <row r="5183" spans="1:18" x14ac:dyDescent="0.25">
      <c r="A5183" t="s">
        <v>27</v>
      </c>
      <c r="B5183" t="s">
        <v>6</v>
      </c>
      <c r="C5183">
        <v>2</v>
      </c>
      <c r="D5183">
        <v>6</v>
      </c>
      <c r="E5183">
        <v>2</v>
      </c>
      <c r="F5183" s="15">
        <v>46209</v>
      </c>
      <c r="G5183" t="s">
        <v>634</v>
      </c>
      <c r="H5183">
        <v>3</v>
      </c>
      <c r="I5183">
        <v>2026</v>
      </c>
      <c r="J5183">
        <v>7</v>
      </c>
      <c r="K5183" t="s">
        <v>87</v>
      </c>
      <c r="L5183" t="s">
        <v>622</v>
      </c>
      <c r="M5183" t="s">
        <v>6</v>
      </c>
      <c r="N5183" t="b">
        <v>0</v>
      </c>
      <c r="O5183">
        <v>0</v>
      </c>
      <c r="P5183">
        <v>1</v>
      </c>
      <c r="Q5183">
        <v>0</v>
      </c>
      <c r="R5183">
        <v>0</v>
      </c>
    </row>
    <row r="5184" spans="1:18" x14ac:dyDescent="0.25">
      <c r="A5184" t="s">
        <v>622</v>
      </c>
      <c r="B5184" t="s">
        <v>6</v>
      </c>
      <c r="C5184">
        <v>3</v>
      </c>
      <c r="D5184">
        <v>6</v>
      </c>
      <c r="E5184">
        <v>2</v>
      </c>
      <c r="F5184" s="15">
        <v>46209</v>
      </c>
      <c r="G5184" t="s">
        <v>634</v>
      </c>
      <c r="H5184">
        <v>3</v>
      </c>
      <c r="I5184">
        <v>2026</v>
      </c>
      <c r="J5184">
        <v>7</v>
      </c>
      <c r="K5184" t="s">
        <v>87</v>
      </c>
      <c r="L5184" t="s">
        <v>7</v>
      </c>
      <c r="M5184" t="s">
        <v>8</v>
      </c>
      <c r="N5184" t="b">
        <v>0</v>
      </c>
      <c r="O5184">
        <v>0</v>
      </c>
      <c r="P5184">
        <v>1</v>
      </c>
      <c r="Q5184">
        <v>0</v>
      </c>
      <c r="R5184">
        <v>1</v>
      </c>
    </row>
    <row r="5185" spans="1:18" x14ac:dyDescent="0.25">
      <c r="A5185" t="s">
        <v>622</v>
      </c>
      <c r="B5185" t="s">
        <v>6</v>
      </c>
      <c r="C5185">
        <v>3</v>
      </c>
      <c r="D5185">
        <v>6</v>
      </c>
      <c r="E5185">
        <v>2</v>
      </c>
      <c r="F5185" s="15">
        <v>46209</v>
      </c>
      <c r="G5185" t="s">
        <v>634</v>
      </c>
      <c r="H5185">
        <v>3</v>
      </c>
      <c r="I5185">
        <v>2026</v>
      </c>
      <c r="J5185">
        <v>7</v>
      </c>
      <c r="K5185" t="s">
        <v>87</v>
      </c>
      <c r="L5185" t="s">
        <v>27</v>
      </c>
      <c r="M5185" t="s">
        <v>6</v>
      </c>
      <c r="N5185" t="b">
        <v>0</v>
      </c>
      <c r="O5185">
        <v>0</v>
      </c>
      <c r="P5185">
        <v>1</v>
      </c>
      <c r="Q5185">
        <v>0</v>
      </c>
      <c r="R5185">
        <v>0</v>
      </c>
    </row>
    <row r="5186" spans="1:18" x14ac:dyDescent="0.25">
      <c r="A5186" t="s">
        <v>13</v>
      </c>
      <c r="B5186" t="s">
        <v>63</v>
      </c>
      <c r="C5186">
        <v>1</v>
      </c>
      <c r="D5186">
        <v>1</v>
      </c>
      <c r="E5186">
        <v>1</v>
      </c>
      <c r="F5186" s="15">
        <v>46216</v>
      </c>
      <c r="G5186" t="s">
        <v>635</v>
      </c>
      <c r="H5186">
        <v>4</v>
      </c>
      <c r="I5186">
        <v>2026</v>
      </c>
      <c r="J5186">
        <v>7</v>
      </c>
      <c r="K5186" t="s">
        <v>87</v>
      </c>
      <c r="L5186" t="s">
        <v>609</v>
      </c>
      <c r="M5186" t="s">
        <v>63</v>
      </c>
      <c r="N5186" t="b">
        <v>0</v>
      </c>
      <c r="O5186">
        <v>0</v>
      </c>
      <c r="P5186">
        <v>0</v>
      </c>
      <c r="Q5186">
        <v>1</v>
      </c>
      <c r="R5186">
        <v>0</v>
      </c>
    </row>
    <row r="5187" spans="1:18" x14ac:dyDescent="0.25">
      <c r="A5187" t="s">
        <v>13</v>
      </c>
      <c r="B5187" t="s">
        <v>63</v>
      </c>
      <c r="C5187">
        <v>1</v>
      </c>
      <c r="D5187">
        <v>1</v>
      </c>
      <c r="E5187">
        <v>1</v>
      </c>
      <c r="F5187" s="15">
        <v>46216</v>
      </c>
      <c r="G5187" t="s">
        <v>635</v>
      </c>
      <c r="H5187">
        <v>4</v>
      </c>
      <c r="I5187">
        <v>2026</v>
      </c>
      <c r="J5187">
        <v>7</v>
      </c>
      <c r="K5187" t="s">
        <v>87</v>
      </c>
      <c r="L5187" t="s">
        <v>9</v>
      </c>
      <c r="M5187" t="s">
        <v>63</v>
      </c>
      <c r="N5187" t="b">
        <v>0</v>
      </c>
      <c r="O5187">
        <v>0</v>
      </c>
      <c r="P5187">
        <v>0</v>
      </c>
      <c r="Q5187">
        <v>1</v>
      </c>
      <c r="R5187">
        <v>0</v>
      </c>
    </row>
    <row r="5188" spans="1:18" x14ac:dyDescent="0.25">
      <c r="A5188" t="s">
        <v>13</v>
      </c>
      <c r="B5188" t="s">
        <v>63</v>
      </c>
      <c r="C5188">
        <v>1</v>
      </c>
      <c r="D5188">
        <v>1</v>
      </c>
      <c r="E5188">
        <v>1</v>
      </c>
      <c r="F5188" s="15">
        <v>46216</v>
      </c>
      <c r="G5188" t="s">
        <v>635</v>
      </c>
      <c r="H5188">
        <v>4</v>
      </c>
      <c r="I5188">
        <v>2026</v>
      </c>
      <c r="J5188">
        <v>7</v>
      </c>
      <c r="K5188" t="s">
        <v>87</v>
      </c>
      <c r="L5188" t="s">
        <v>15</v>
      </c>
      <c r="M5188" t="s">
        <v>63</v>
      </c>
      <c r="N5188" t="b">
        <v>0</v>
      </c>
      <c r="O5188">
        <v>0</v>
      </c>
      <c r="P5188">
        <v>0</v>
      </c>
      <c r="Q5188">
        <v>1</v>
      </c>
      <c r="R5188">
        <v>0</v>
      </c>
    </row>
    <row r="5189" spans="1:18" x14ac:dyDescent="0.25">
      <c r="A5189" t="s">
        <v>609</v>
      </c>
      <c r="B5189" t="s">
        <v>63</v>
      </c>
      <c r="C5189">
        <v>2</v>
      </c>
      <c r="D5189">
        <v>1</v>
      </c>
      <c r="E5189">
        <v>1</v>
      </c>
      <c r="F5189" s="15">
        <v>46216</v>
      </c>
      <c r="G5189" t="s">
        <v>635</v>
      </c>
      <c r="H5189">
        <v>4</v>
      </c>
      <c r="I5189">
        <v>2026</v>
      </c>
      <c r="J5189">
        <v>7</v>
      </c>
      <c r="K5189" t="s">
        <v>87</v>
      </c>
      <c r="L5189" t="s">
        <v>13</v>
      </c>
      <c r="M5189" t="s">
        <v>63</v>
      </c>
      <c r="N5189" t="b">
        <v>0</v>
      </c>
      <c r="O5189">
        <v>0</v>
      </c>
      <c r="P5189">
        <v>0</v>
      </c>
      <c r="Q5189">
        <v>1</v>
      </c>
      <c r="R5189">
        <v>0</v>
      </c>
    </row>
    <row r="5190" spans="1:18" x14ac:dyDescent="0.25">
      <c r="A5190" t="s">
        <v>609</v>
      </c>
      <c r="B5190" t="s">
        <v>63</v>
      </c>
      <c r="C5190">
        <v>2</v>
      </c>
      <c r="D5190">
        <v>1</v>
      </c>
      <c r="E5190">
        <v>1</v>
      </c>
      <c r="F5190" s="15">
        <v>46216</v>
      </c>
      <c r="G5190" t="s">
        <v>635</v>
      </c>
      <c r="H5190">
        <v>4</v>
      </c>
      <c r="I5190">
        <v>2026</v>
      </c>
      <c r="J5190">
        <v>7</v>
      </c>
      <c r="K5190" t="s">
        <v>87</v>
      </c>
      <c r="L5190" t="s">
        <v>9</v>
      </c>
      <c r="M5190" t="s">
        <v>63</v>
      </c>
      <c r="N5190" t="b">
        <v>0</v>
      </c>
      <c r="O5190">
        <v>0</v>
      </c>
      <c r="P5190">
        <v>0</v>
      </c>
      <c r="Q5190">
        <v>1</v>
      </c>
      <c r="R5190">
        <v>0</v>
      </c>
    </row>
    <row r="5191" spans="1:18" x14ac:dyDescent="0.25">
      <c r="A5191" t="s">
        <v>609</v>
      </c>
      <c r="B5191" t="s">
        <v>63</v>
      </c>
      <c r="C5191">
        <v>2</v>
      </c>
      <c r="D5191">
        <v>1</v>
      </c>
      <c r="E5191">
        <v>1</v>
      </c>
      <c r="F5191" s="15">
        <v>46216</v>
      </c>
      <c r="G5191" t="s">
        <v>635</v>
      </c>
      <c r="H5191">
        <v>4</v>
      </c>
      <c r="I5191">
        <v>2026</v>
      </c>
      <c r="J5191">
        <v>7</v>
      </c>
      <c r="K5191" t="s">
        <v>87</v>
      </c>
      <c r="L5191" t="s">
        <v>15</v>
      </c>
      <c r="M5191" t="s">
        <v>63</v>
      </c>
      <c r="N5191" t="b">
        <v>0</v>
      </c>
      <c r="O5191">
        <v>0</v>
      </c>
      <c r="P5191">
        <v>0</v>
      </c>
      <c r="Q5191">
        <v>1</v>
      </c>
      <c r="R5191">
        <v>0</v>
      </c>
    </row>
    <row r="5192" spans="1:18" x14ac:dyDescent="0.25">
      <c r="A5192" t="s">
        <v>9</v>
      </c>
      <c r="B5192" t="s">
        <v>63</v>
      </c>
      <c r="C5192">
        <v>3</v>
      </c>
      <c r="D5192">
        <v>1</v>
      </c>
      <c r="E5192">
        <v>1</v>
      </c>
      <c r="F5192" s="15">
        <v>46216</v>
      </c>
      <c r="G5192" t="s">
        <v>635</v>
      </c>
      <c r="H5192">
        <v>4</v>
      </c>
      <c r="I5192">
        <v>2026</v>
      </c>
      <c r="J5192">
        <v>7</v>
      </c>
      <c r="K5192" t="s">
        <v>87</v>
      </c>
      <c r="L5192" t="s">
        <v>13</v>
      </c>
      <c r="M5192" t="s">
        <v>63</v>
      </c>
      <c r="N5192" t="b">
        <v>0</v>
      </c>
      <c r="O5192">
        <v>0</v>
      </c>
      <c r="P5192">
        <v>0</v>
      </c>
      <c r="Q5192">
        <v>1</v>
      </c>
      <c r="R5192">
        <v>0</v>
      </c>
    </row>
    <row r="5193" spans="1:18" x14ac:dyDescent="0.25">
      <c r="A5193" t="s">
        <v>9</v>
      </c>
      <c r="B5193" t="s">
        <v>63</v>
      </c>
      <c r="C5193">
        <v>3</v>
      </c>
      <c r="D5193">
        <v>1</v>
      </c>
      <c r="E5193">
        <v>1</v>
      </c>
      <c r="F5193" s="15">
        <v>46216</v>
      </c>
      <c r="G5193" t="s">
        <v>635</v>
      </c>
      <c r="H5193">
        <v>4</v>
      </c>
      <c r="I5193">
        <v>2026</v>
      </c>
      <c r="J5193">
        <v>7</v>
      </c>
      <c r="K5193" t="s">
        <v>87</v>
      </c>
      <c r="L5193" t="s">
        <v>609</v>
      </c>
      <c r="M5193" t="s">
        <v>63</v>
      </c>
      <c r="N5193" t="b">
        <v>0</v>
      </c>
      <c r="O5193">
        <v>0</v>
      </c>
      <c r="P5193">
        <v>0</v>
      </c>
      <c r="Q5193">
        <v>1</v>
      </c>
      <c r="R5193">
        <v>0</v>
      </c>
    </row>
    <row r="5194" spans="1:18" x14ac:dyDescent="0.25">
      <c r="A5194" t="s">
        <v>9</v>
      </c>
      <c r="B5194" t="s">
        <v>63</v>
      </c>
      <c r="C5194">
        <v>3</v>
      </c>
      <c r="D5194">
        <v>1</v>
      </c>
      <c r="E5194">
        <v>1</v>
      </c>
      <c r="F5194" s="15">
        <v>46216</v>
      </c>
      <c r="G5194" t="s">
        <v>635</v>
      </c>
      <c r="H5194">
        <v>4</v>
      </c>
      <c r="I5194">
        <v>2026</v>
      </c>
      <c r="J5194">
        <v>7</v>
      </c>
      <c r="K5194" t="s">
        <v>87</v>
      </c>
      <c r="L5194" t="s">
        <v>15</v>
      </c>
      <c r="M5194" t="s">
        <v>63</v>
      </c>
      <c r="N5194" t="b">
        <v>0</v>
      </c>
      <c r="O5194">
        <v>0</v>
      </c>
      <c r="P5194">
        <v>0</v>
      </c>
      <c r="Q5194">
        <v>1</v>
      </c>
      <c r="R5194">
        <v>0</v>
      </c>
    </row>
    <row r="5195" spans="1:18" x14ac:dyDescent="0.25">
      <c r="A5195" t="s">
        <v>15</v>
      </c>
      <c r="B5195" t="s">
        <v>63</v>
      </c>
      <c r="C5195">
        <v>4</v>
      </c>
      <c r="D5195">
        <v>1</v>
      </c>
      <c r="E5195">
        <v>1</v>
      </c>
      <c r="F5195" s="15">
        <v>46216</v>
      </c>
      <c r="G5195" t="s">
        <v>635</v>
      </c>
      <c r="H5195">
        <v>4</v>
      </c>
      <c r="I5195">
        <v>2026</v>
      </c>
      <c r="J5195">
        <v>7</v>
      </c>
      <c r="K5195" t="s">
        <v>87</v>
      </c>
      <c r="L5195" t="s">
        <v>13</v>
      </c>
      <c r="M5195" t="s">
        <v>63</v>
      </c>
      <c r="N5195" t="b">
        <v>0</v>
      </c>
      <c r="O5195">
        <v>0</v>
      </c>
      <c r="P5195">
        <v>0</v>
      </c>
      <c r="Q5195">
        <v>1</v>
      </c>
      <c r="R5195">
        <v>0</v>
      </c>
    </row>
    <row r="5196" spans="1:18" x14ac:dyDescent="0.25">
      <c r="A5196" t="s">
        <v>15</v>
      </c>
      <c r="B5196" t="s">
        <v>63</v>
      </c>
      <c r="C5196">
        <v>4</v>
      </c>
      <c r="D5196">
        <v>1</v>
      </c>
      <c r="E5196">
        <v>1</v>
      </c>
      <c r="F5196" s="15">
        <v>46216</v>
      </c>
      <c r="G5196" t="s">
        <v>635</v>
      </c>
      <c r="H5196">
        <v>4</v>
      </c>
      <c r="I5196">
        <v>2026</v>
      </c>
      <c r="J5196">
        <v>7</v>
      </c>
      <c r="K5196" t="s">
        <v>87</v>
      </c>
      <c r="L5196" t="s">
        <v>609</v>
      </c>
      <c r="M5196" t="s">
        <v>63</v>
      </c>
      <c r="N5196" t="b">
        <v>0</v>
      </c>
      <c r="O5196">
        <v>0</v>
      </c>
      <c r="P5196">
        <v>0</v>
      </c>
      <c r="Q5196">
        <v>1</v>
      </c>
      <c r="R5196">
        <v>0</v>
      </c>
    </row>
    <row r="5197" spans="1:18" x14ac:dyDescent="0.25">
      <c r="A5197" t="s">
        <v>15</v>
      </c>
      <c r="B5197" t="s">
        <v>63</v>
      </c>
      <c r="C5197">
        <v>4</v>
      </c>
      <c r="D5197">
        <v>1</v>
      </c>
      <c r="E5197">
        <v>1</v>
      </c>
      <c r="F5197" s="15">
        <v>46216</v>
      </c>
      <c r="G5197" t="s">
        <v>635</v>
      </c>
      <c r="H5197">
        <v>4</v>
      </c>
      <c r="I5197">
        <v>2026</v>
      </c>
      <c r="J5197">
        <v>7</v>
      </c>
      <c r="K5197" t="s">
        <v>87</v>
      </c>
      <c r="L5197" t="s">
        <v>9</v>
      </c>
      <c r="M5197" t="s">
        <v>63</v>
      </c>
      <c r="N5197" t="b">
        <v>0</v>
      </c>
      <c r="O5197">
        <v>0</v>
      </c>
      <c r="P5197">
        <v>0</v>
      </c>
      <c r="Q5197">
        <v>1</v>
      </c>
      <c r="R5197">
        <v>0</v>
      </c>
    </row>
    <row r="5198" spans="1:18" x14ac:dyDescent="0.25">
      <c r="A5198" t="s">
        <v>622</v>
      </c>
      <c r="B5198" t="s">
        <v>6</v>
      </c>
      <c r="C5198">
        <v>1</v>
      </c>
      <c r="D5198">
        <v>2</v>
      </c>
      <c r="E5198">
        <v>1</v>
      </c>
      <c r="F5198" s="15">
        <v>46216</v>
      </c>
      <c r="G5198" t="s">
        <v>636</v>
      </c>
      <c r="H5198">
        <v>4</v>
      </c>
      <c r="I5198">
        <v>2026</v>
      </c>
      <c r="J5198">
        <v>7</v>
      </c>
      <c r="K5198" t="s">
        <v>87</v>
      </c>
      <c r="L5198" t="s">
        <v>27</v>
      </c>
      <c r="M5198" t="s">
        <v>8</v>
      </c>
      <c r="N5198" t="b">
        <v>0</v>
      </c>
      <c r="O5198">
        <v>0</v>
      </c>
      <c r="P5198">
        <v>1</v>
      </c>
      <c r="Q5198">
        <v>0</v>
      </c>
      <c r="R5198">
        <v>1</v>
      </c>
    </row>
    <row r="5199" spans="1:18" x14ac:dyDescent="0.25">
      <c r="A5199" t="s">
        <v>622</v>
      </c>
      <c r="B5199" t="s">
        <v>6</v>
      </c>
      <c r="C5199">
        <v>1</v>
      </c>
      <c r="D5199">
        <v>2</v>
      </c>
      <c r="E5199">
        <v>1</v>
      </c>
      <c r="F5199" s="15">
        <v>46216</v>
      </c>
      <c r="G5199" t="s">
        <v>636</v>
      </c>
      <c r="H5199">
        <v>4</v>
      </c>
      <c r="I5199">
        <v>2026</v>
      </c>
      <c r="J5199">
        <v>7</v>
      </c>
      <c r="K5199" t="s">
        <v>87</v>
      </c>
      <c r="L5199" t="s">
        <v>51</v>
      </c>
      <c r="M5199" t="s">
        <v>6</v>
      </c>
      <c r="N5199" t="b">
        <v>0</v>
      </c>
      <c r="O5199">
        <v>0</v>
      </c>
      <c r="P5199">
        <v>1</v>
      </c>
      <c r="Q5199">
        <v>0</v>
      </c>
      <c r="R5199">
        <v>0</v>
      </c>
    </row>
    <row r="5200" spans="1:18" x14ac:dyDescent="0.25">
      <c r="A5200" t="s">
        <v>622</v>
      </c>
      <c r="B5200" t="s">
        <v>6</v>
      </c>
      <c r="C5200">
        <v>1</v>
      </c>
      <c r="D5200">
        <v>2</v>
      </c>
      <c r="E5200">
        <v>1</v>
      </c>
      <c r="F5200" s="15">
        <v>46216</v>
      </c>
      <c r="G5200" t="s">
        <v>636</v>
      </c>
      <c r="H5200">
        <v>4</v>
      </c>
      <c r="I5200">
        <v>2026</v>
      </c>
      <c r="J5200">
        <v>7</v>
      </c>
      <c r="K5200" t="s">
        <v>87</v>
      </c>
      <c r="L5200" t="s">
        <v>519</v>
      </c>
      <c r="M5200" t="s">
        <v>6</v>
      </c>
      <c r="N5200" t="b">
        <v>0</v>
      </c>
      <c r="O5200">
        <v>0</v>
      </c>
      <c r="P5200">
        <v>1</v>
      </c>
      <c r="Q5200">
        <v>0</v>
      </c>
      <c r="R5200">
        <v>0</v>
      </c>
    </row>
    <row r="5201" spans="1:18" x14ac:dyDescent="0.25">
      <c r="A5201" t="s">
        <v>27</v>
      </c>
      <c r="B5201" t="s">
        <v>8</v>
      </c>
      <c r="C5201">
        <v>2</v>
      </c>
      <c r="D5201">
        <v>2</v>
      </c>
      <c r="E5201">
        <v>1</v>
      </c>
      <c r="F5201" s="15">
        <v>46216</v>
      </c>
      <c r="G5201" t="s">
        <v>636</v>
      </c>
      <c r="H5201">
        <v>4</v>
      </c>
      <c r="I5201">
        <v>2026</v>
      </c>
      <c r="J5201">
        <v>7</v>
      </c>
      <c r="K5201" t="s">
        <v>87</v>
      </c>
      <c r="L5201" t="s">
        <v>622</v>
      </c>
      <c r="M5201" t="s">
        <v>6</v>
      </c>
      <c r="N5201" t="b">
        <v>0</v>
      </c>
      <c r="O5201">
        <v>1</v>
      </c>
      <c r="P5201">
        <v>0</v>
      </c>
      <c r="Q5201">
        <v>0</v>
      </c>
      <c r="R5201">
        <v>0</v>
      </c>
    </row>
    <row r="5202" spans="1:18" x14ac:dyDescent="0.25">
      <c r="A5202" t="s">
        <v>27</v>
      </c>
      <c r="B5202" t="s">
        <v>8</v>
      </c>
      <c r="C5202">
        <v>2</v>
      </c>
      <c r="D5202">
        <v>2</v>
      </c>
      <c r="E5202">
        <v>1</v>
      </c>
      <c r="F5202" s="15">
        <v>46216</v>
      </c>
      <c r="G5202" t="s">
        <v>636</v>
      </c>
      <c r="H5202">
        <v>4</v>
      </c>
      <c r="I5202">
        <v>2026</v>
      </c>
      <c r="J5202">
        <v>7</v>
      </c>
      <c r="K5202" t="s">
        <v>87</v>
      </c>
      <c r="L5202" t="s">
        <v>51</v>
      </c>
      <c r="M5202" t="s">
        <v>6</v>
      </c>
      <c r="N5202" t="b">
        <v>0</v>
      </c>
      <c r="O5202">
        <v>1</v>
      </c>
      <c r="P5202">
        <v>0</v>
      </c>
      <c r="Q5202">
        <v>0</v>
      </c>
      <c r="R5202">
        <v>0</v>
      </c>
    </row>
    <row r="5203" spans="1:18" x14ac:dyDescent="0.25">
      <c r="A5203" t="s">
        <v>27</v>
      </c>
      <c r="B5203" t="s">
        <v>8</v>
      </c>
      <c r="C5203">
        <v>2</v>
      </c>
      <c r="D5203">
        <v>2</v>
      </c>
      <c r="E5203">
        <v>1</v>
      </c>
      <c r="F5203" s="15">
        <v>46216</v>
      </c>
      <c r="G5203" t="s">
        <v>636</v>
      </c>
      <c r="H5203">
        <v>4</v>
      </c>
      <c r="I5203">
        <v>2026</v>
      </c>
      <c r="J5203">
        <v>7</v>
      </c>
      <c r="K5203" t="s">
        <v>87</v>
      </c>
      <c r="L5203" t="s">
        <v>519</v>
      </c>
      <c r="M5203" t="s">
        <v>6</v>
      </c>
      <c r="N5203" t="b">
        <v>0</v>
      </c>
      <c r="O5203">
        <v>1</v>
      </c>
      <c r="P5203">
        <v>0</v>
      </c>
      <c r="Q5203">
        <v>0</v>
      </c>
      <c r="R5203">
        <v>0</v>
      </c>
    </row>
    <row r="5204" spans="1:18" x14ac:dyDescent="0.25">
      <c r="A5204" t="s">
        <v>51</v>
      </c>
      <c r="B5204" t="s">
        <v>6</v>
      </c>
      <c r="C5204">
        <v>3</v>
      </c>
      <c r="D5204">
        <v>2</v>
      </c>
      <c r="E5204">
        <v>1</v>
      </c>
      <c r="F5204" s="15">
        <v>46216</v>
      </c>
      <c r="G5204" t="s">
        <v>636</v>
      </c>
      <c r="H5204">
        <v>4</v>
      </c>
      <c r="I5204">
        <v>2026</v>
      </c>
      <c r="J5204">
        <v>7</v>
      </c>
      <c r="K5204" t="s">
        <v>87</v>
      </c>
      <c r="L5204" t="s">
        <v>622</v>
      </c>
      <c r="M5204" t="s">
        <v>6</v>
      </c>
      <c r="N5204" t="b">
        <v>0</v>
      </c>
      <c r="O5204">
        <v>0</v>
      </c>
      <c r="P5204">
        <v>1</v>
      </c>
      <c r="Q5204">
        <v>0</v>
      </c>
      <c r="R5204">
        <v>0</v>
      </c>
    </row>
    <row r="5205" spans="1:18" x14ac:dyDescent="0.25">
      <c r="A5205" t="s">
        <v>51</v>
      </c>
      <c r="B5205" t="s">
        <v>6</v>
      </c>
      <c r="C5205">
        <v>3</v>
      </c>
      <c r="D5205">
        <v>2</v>
      </c>
      <c r="E5205">
        <v>1</v>
      </c>
      <c r="F5205" s="15">
        <v>46216</v>
      </c>
      <c r="G5205" t="s">
        <v>636</v>
      </c>
      <c r="H5205">
        <v>4</v>
      </c>
      <c r="I5205">
        <v>2026</v>
      </c>
      <c r="J5205">
        <v>7</v>
      </c>
      <c r="K5205" t="s">
        <v>87</v>
      </c>
      <c r="L5205" t="s">
        <v>27</v>
      </c>
      <c r="M5205" t="s">
        <v>8</v>
      </c>
      <c r="N5205" t="b">
        <v>0</v>
      </c>
      <c r="O5205">
        <v>0</v>
      </c>
      <c r="P5205">
        <v>1</v>
      </c>
      <c r="Q5205">
        <v>0</v>
      </c>
      <c r="R5205">
        <v>1</v>
      </c>
    </row>
    <row r="5206" spans="1:18" x14ac:dyDescent="0.25">
      <c r="A5206" t="s">
        <v>51</v>
      </c>
      <c r="B5206" t="s">
        <v>6</v>
      </c>
      <c r="C5206">
        <v>3</v>
      </c>
      <c r="D5206">
        <v>2</v>
      </c>
      <c r="E5206">
        <v>1</v>
      </c>
      <c r="F5206" s="15">
        <v>46216</v>
      </c>
      <c r="G5206" t="s">
        <v>636</v>
      </c>
      <c r="H5206">
        <v>4</v>
      </c>
      <c r="I5206">
        <v>2026</v>
      </c>
      <c r="J5206">
        <v>7</v>
      </c>
      <c r="K5206" t="s">
        <v>87</v>
      </c>
      <c r="L5206" t="s">
        <v>519</v>
      </c>
      <c r="M5206" t="s">
        <v>6</v>
      </c>
      <c r="N5206" t="b">
        <v>0</v>
      </c>
      <c r="O5206">
        <v>0</v>
      </c>
      <c r="P5206">
        <v>1</v>
      </c>
      <c r="Q5206">
        <v>0</v>
      </c>
      <c r="R5206">
        <v>0</v>
      </c>
    </row>
    <row r="5207" spans="1:18" x14ac:dyDescent="0.25">
      <c r="A5207" t="s">
        <v>519</v>
      </c>
      <c r="B5207" t="s">
        <v>6</v>
      </c>
      <c r="C5207">
        <v>4</v>
      </c>
      <c r="D5207">
        <v>2</v>
      </c>
      <c r="E5207">
        <v>1</v>
      </c>
      <c r="F5207" s="15">
        <v>46216</v>
      </c>
      <c r="G5207" t="s">
        <v>636</v>
      </c>
      <c r="H5207">
        <v>4</v>
      </c>
      <c r="I5207">
        <v>2026</v>
      </c>
      <c r="J5207">
        <v>7</v>
      </c>
      <c r="K5207" t="s">
        <v>87</v>
      </c>
      <c r="L5207" t="s">
        <v>622</v>
      </c>
      <c r="M5207" t="s">
        <v>6</v>
      </c>
      <c r="N5207" t="b">
        <v>0</v>
      </c>
      <c r="O5207">
        <v>0</v>
      </c>
      <c r="P5207">
        <v>1</v>
      </c>
      <c r="Q5207">
        <v>0</v>
      </c>
      <c r="R5207">
        <v>0</v>
      </c>
    </row>
    <row r="5208" spans="1:18" x14ac:dyDescent="0.25">
      <c r="A5208" t="s">
        <v>519</v>
      </c>
      <c r="B5208" t="s">
        <v>6</v>
      </c>
      <c r="C5208">
        <v>4</v>
      </c>
      <c r="D5208">
        <v>2</v>
      </c>
      <c r="E5208">
        <v>1</v>
      </c>
      <c r="F5208" s="15">
        <v>46216</v>
      </c>
      <c r="G5208" t="s">
        <v>636</v>
      </c>
      <c r="H5208">
        <v>4</v>
      </c>
      <c r="I5208">
        <v>2026</v>
      </c>
      <c r="J5208">
        <v>7</v>
      </c>
      <c r="K5208" t="s">
        <v>87</v>
      </c>
      <c r="L5208" t="s">
        <v>27</v>
      </c>
      <c r="M5208" t="s">
        <v>8</v>
      </c>
      <c r="N5208" t="b">
        <v>0</v>
      </c>
      <c r="O5208">
        <v>0</v>
      </c>
      <c r="P5208">
        <v>1</v>
      </c>
      <c r="Q5208">
        <v>0</v>
      </c>
      <c r="R5208">
        <v>1</v>
      </c>
    </row>
    <row r="5209" spans="1:18" x14ac:dyDescent="0.25">
      <c r="A5209" t="s">
        <v>519</v>
      </c>
      <c r="B5209" t="s">
        <v>6</v>
      </c>
      <c r="C5209">
        <v>4</v>
      </c>
      <c r="D5209">
        <v>2</v>
      </c>
      <c r="E5209">
        <v>1</v>
      </c>
      <c r="F5209" s="15">
        <v>46216</v>
      </c>
      <c r="G5209" t="s">
        <v>636</v>
      </c>
      <c r="H5209">
        <v>4</v>
      </c>
      <c r="I5209">
        <v>2026</v>
      </c>
      <c r="J5209">
        <v>7</v>
      </c>
      <c r="K5209" t="s">
        <v>87</v>
      </c>
      <c r="L5209" t="s">
        <v>51</v>
      </c>
      <c r="M5209" t="s">
        <v>6</v>
      </c>
      <c r="N5209" t="b">
        <v>0</v>
      </c>
      <c r="O5209">
        <v>0</v>
      </c>
      <c r="P5209">
        <v>1</v>
      </c>
      <c r="Q5209">
        <v>0</v>
      </c>
      <c r="R5209">
        <v>0</v>
      </c>
    </row>
    <row r="5210" spans="1:18" x14ac:dyDescent="0.25">
      <c r="A5210" t="s">
        <v>325</v>
      </c>
      <c r="B5210" t="s">
        <v>6</v>
      </c>
      <c r="C5210">
        <v>1</v>
      </c>
      <c r="D5210">
        <v>3</v>
      </c>
      <c r="E5210">
        <v>1</v>
      </c>
      <c r="F5210" s="15">
        <v>46216</v>
      </c>
      <c r="G5210" t="s">
        <v>637</v>
      </c>
      <c r="H5210">
        <v>4</v>
      </c>
      <c r="I5210">
        <v>2026</v>
      </c>
      <c r="J5210">
        <v>7</v>
      </c>
      <c r="K5210" t="s">
        <v>87</v>
      </c>
      <c r="L5210" t="s">
        <v>352</v>
      </c>
      <c r="M5210" t="s">
        <v>8</v>
      </c>
      <c r="N5210" t="b">
        <v>0</v>
      </c>
      <c r="O5210">
        <v>0</v>
      </c>
      <c r="P5210">
        <v>1</v>
      </c>
      <c r="Q5210">
        <v>0</v>
      </c>
      <c r="R5210">
        <v>1</v>
      </c>
    </row>
    <row r="5211" spans="1:18" x14ac:dyDescent="0.25">
      <c r="A5211" t="s">
        <v>325</v>
      </c>
      <c r="B5211" t="s">
        <v>6</v>
      </c>
      <c r="C5211">
        <v>1</v>
      </c>
      <c r="D5211">
        <v>3</v>
      </c>
      <c r="E5211">
        <v>1</v>
      </c>
      <c r="F5211" s="15">
        <v>46216</v>
      </c>
      <c r="G5211" t="s">
        <v>637</v>
      </c>
      <c r="H5211">
        <v>4</v>
      </c>
      <c r="I5211">
        <v>2026</v>
      </c>
      <c r="J5211">
        <v>7</v>
      </c>
      <c r="K5211" t="s">
        <v>87</v>
      </c>
      <c r="L5211" t="s">
        <v>578</v>
      </c>
      <c r="M5211" t="s">
        <v>6</v>
      </c>
      <c r="N5211" t="b">
        <v>0</v>
      </c>
      <c r="O5211">
        <v>0</v>
      </c>
      <c r="P5211">
        <v>1</v>
      </c>
      <c r="Q5211">
        <v>0</v>
      </c>
      <c r="R5211">
        <v>0</v>
      </c>
    </row>
    <row r="5212" spans="1:18" x14ac:dyDescent="0.25">
      <c r="A5212" t="s">
        <v>325</v>
      </c>
      <c r="B5212" t="s">
        <v>6</v>
      </c>
      <c r="C5212">
        <v>1</v>
      </c>
      <c r="D5212">
        <v>3</v>
      </c>
      <c r="E5212">
        <v>1</v>
      </c>
      <c r="F5212" s="15">
        <v>46216</v>
      </c>
      <c r="G5212" t="s">
        <v>637</v>
      </c>
      <c r="H5212">
        <v>4</v>
      </c>
      <c r="I5212">
        <v>2026</v>
      </c>
      <c r="J5212">
        <v>7</v>
      </c>
      <c r="K5212" t="s">
        <v>87</v>
      </c>
      <c r="L5212" t="s">
        <v>7</v>
      </c>
      <c r="M5212" t="s">
        <v>6</v>
      </c>
      <c r="N5212" t="b">
        <v>0</v>
      </c>
      <c r="O5212">
        <v>0</v>
      </c>
      <c r="P5212">
        <v>1</v>
      </c>
      <c r="Q5212">
        <v>0</v>
      </c>
      <c r="R5212">
        <v>0</v>
      </c>
    </row>
    <row r="5213" spans="1:18" x14ac:dyDescent="0.25">
      <c r="A5213" t="s">
        <v>352</v>
      </c>
      <c r="B5213" t="s">
        <v>8</v>
      </c>
      <c r="C5213">
        <v>2</v>
      </c>
      <c r="D5213">
        <v>3</v>
      </c>
      <c r="E5213">
        <v>1</v>
      </c>
      <c r="F5213" s="15">
        <v>46216</v>
      </c>
      <c r="G5213" t="s">
        <v>637</v>
      </c>
      <c r="H5213">
        <v>4</v>
      </c>
      <c r="I5213">
        <v>2026</v>
      </c>
      <c r="J5213">
        <v>7</v>
      </c>
      <c r="K5213" t="s">
        <v>87</v>
      </c>
      <c r="L5213" t="s">
        <v>325</v>
      </c>
      <c r="M5213" t="s">
        <v>6</v>
      </c>
      <c r="N5213" t="b">
        <v>0</v>
      </c>
      <c r="O5213">
        <v>1</v>
      </c>
      <c r="P5213">
        <v>0</v>
      </c>
      <c r="Q5213">
        <v>0</v>
      </c>
      <c r="R5213">
        <v>0</v>
      </c>
    </row>
    <row r="5214" spans="1:18" x14ac:dyDescent="0.25">
      <c r="A5214" t="s">
        <v>352</v>
      </c>
      <c r="B5214" t="s">
        <v>8</v>
      </c>
      <c r="C5214">
        <v>2</v>
      </c>
      <c r="D5214">
        <v>3</v>
      </c>
      <c r="E5214">
        <v>1</v>
      </c>
      <c r="F5214" s="15">
        <v>46216</v>
      </c>
      <c r="G5214" t="s">
        <v>637</v>
      </c>
      <c r="H5214">
        <v>4</v>
      </c>
      <c r="I5214">
        <v>2026</v>
      </c>
      <c r="J5214">
        <v>7</v>
      </c>
      <c r="K5214" t="s">
        <v>87</v>
      </c>
      <c r="L5214" t="s">
        <v>578</v>
      </c>
      <c r="M5214" t="s">
        <v>6</v>
      </c>
      <c r="N5214" t="b">
        <v>0</v>
      </c>
      <c r="O5214">
        <v>1</v>
      </c>
      <c r="P5214">
        <v>0</v>
      </c>
      <c r="Q5214">
        <v>0</v>
      </c>
      <c r="R5214">
        <v>0</v>
      </c>
    </row>
    <row r="5215" spans="1:18" x14ac:dyDescent="0.25">
      <c r="A5215" t="s">
        <v>352</v>
      </c>
      <c r="B5215" t="s">
        <v>8</v>
      </c>
      <c r="C5215">
        <v>2</v>
      </c>
      <c r="D5215">
        <v>3</v>
      </c>
      <c r="E5215">
        <v>1</v>
      </c>
      <c r="F5215" s="15">
        <v>46216</v>
      </c>
      <c r="G5215" t="s">
        <v>637</v>
      </c>
      <c r="H5215">
        <v>4</v>
      </c>
      <c r="I5215">
        <v>2026</v>
      </c>
      <c r="J5215">
        <v>7</v>
      </c>
      <c r="K5215" t="s">
        <v>87</v>
      </c>
      <c r="L5215" t="s">
        <v>7</v>
      </c>
      <c r="M5215" t="s">
        <v>6</v>
      </c>
      <c r="N5215" t="b">
        <v>0</v>
      </c>
      <c r="O5215">
        <v>1</v>
      </c>
      <c r="P5215">
        <v>0</v>
      </c>
      <c r="Q5215">
        <v>0</v>
      </c>
      <c r="R5215">
        <v>0</v>
      </c>
    </row>
    <row r="5216" spans="1:18" x14ac:dyDescent="0.25">
      <c r="A5216" t="s">
        <v>578</v>
      </c>
      <c r="B5216" t="s">
        <v>6</v>
      </c>
      <c r="C5216">
        <v>3</v>
      </c>
      <c r="D5216">
        <v>3</v>
      </c>
      <c r="E5216">
        <v>1</v>
      </c>
      <c r="F5216" s="15">
        <v>46216</v>
      </c>
      <c r="G5216" t="s">
        <v>637</v>
      </c>
      <c r="H5216">
        <v>4</v>
      </c>
      <c r="I5216">
        <v>2026</v>
      </c>
      <c r="J5216">
        <v>7</v>
      </c>
      <c r="K5216" t="s">
        <v>87</v>
      </c>
      <c r="L5216" t="s">
        <v>325</v>
      </c>
      <c r="M5216" t="s">
        <v>6</v>
      </c>
      <c r="N5216" t="b">
        <v>0</v>
      </c>
      <c r="O5216">
        <v>0</v>
      </c>
      <c r="P5216">
        <v>1</v>
      </c>
      <c r="Q5216">
        <v>0</v>
      </c>
      <c r="R5216">
        <v>0</v>
      </c>
    </row>
    <row r="5217" spans="1:18" x14ac:dyDescent="0.25">
      <c r="A5217" t="s">
        <v>578</v>
      </c>
      <c r="B5217" t="s">
        <v>6</v>
      </c>
      <c r="C5217">
        <v>3</v>
      </c>
      <c r="D5217">
        <v>3</v>
      </c>
      <c r="E5217">
        <v>1</v>
      </c>
      <c r="F5217" s="15">
        <v>46216</v>
      </c>
      <c r="G5217" t="s">
        <v>637</v>
      </c>
      <c r="H5217">
        <v>4</v>
      </c>
      <c r="I5217">
        <v>2026</v>
      </c>
      <c r="J5217">
        <v>7</v>
      </c>
      <c r="K5217" t="s">
        <v>87</v>
      </c>
      <c r="L5217" t="s">
        <v>352</v>
      </c>
      <c r="M5217" t="s">
        <v>8</v>
      </c>
      <c r="N5217" t="b">
        <v>0</v>
      </c>
      <c r="O5217">
        <v>0</v>
      </c>
      <c r="P5217">
        <v>1</v>
      </c>
      <c r="Q5217">
        <v>0</v>
      </c>
      <c r="R5217">
        <v>1</v>
      </c>
    </row>
    <row r="5218" spans="1:18" x14ac:dyDescent="0.25">
      <c r="A5218" t="s">
        <v>578</v>
      </c>
      <c r="B5218" t="s">
        <v>6</v>
      </c>
      <c r="C5218">
        <v>3</v>
      </c>
      <c r="D5218">
        <v>3</v>
      </c>
      <c r="E5218">
        <v>1</v>
      </c>
      <c r="F5218" s="15">
        <v>46216</v>
      </c>
      <c r="G5218" t="s">
        <v>637</v>
      </c>
      <c r="H5218">
        <v>4</v>
      </c>
      <c r="I5218">
        <v>2026</v>
      </c>
      <c r="J5218">
        <v>7</v>
      </c>
      <c r="K5218" t="s">
        <v>87</v>
      </c>
      <c r="L5218" t="s">
        <v>7</v>
      </c>
      <c r="M5218" t="s">
        <v>6</v>
      </c>
      <c r="N5218" t="b">
        <v>0</v>
      </c>
      <c r="O5218">
        <v>0</v>
      </c>
      <c r="P5218">
        <v>1</v>
      </c>
      <c r="Q5218">
        <v>0</v>
      </c>
      <c r="R5218">
        <v>0</v>
      </c>
    </row>
    <row r="5219" spans="1:18" x14ac:dyDescent="0.25">
      <c r="A5219" t="s">
        <v>7</v>
      </c>
      <c r="B5219" t="s">
        <v>6</v>
      </c>
      <c r="C5219">
        <v>4</v>
      </c>
      <c r="D5219">
        <v>3</v>
      </c>
      <c r="E5219">
        <v>1</v>
      </c>
      <c r="F5219" s="15">
        <v>46216</v>
      </c>
      <c r="G5219" t="s">
        <v>637</v>
      </c>
      <c r="H5219">
        <v>4</v>
      </c>
      <c r="I5219">
        <v>2026</v>
      </c>
      <c r="J5219">
        <v>7</v>
      </c>
      <c r="K5219" t="s">
        <v>87</v>
      </c>
      <c r="L5219" t="s">
        <v>325</v>
      </c>
      <c r="M5219" t="s">
        <v>6</v>
      </c>
      <c r="N5219" t="b">
        <v>0</v>
      </c>
      <c r="O5219">
        <v>0</v>
      </c>
      <c r="P5219">
        <v>1</v>
      </c>
      <c r="Q5219">
        <v>0</v>
      </c>
      <c r="R5219">
        <v>0</v>
      </c>
    </row>
    <row r="5220" spans="1:18" x14ac:dyDescent="0.25">
      <c r="A5220" t="s">
        <v>7</v>
      </c>
      <c r="B5220" t="s">
        <v>6</v>
      </c>
      <c r="C5220">
        <v>4</v>
      </c>
      <c r="D5220">
        <v>3</v>
      </c>
      <c r="E5220">
        <v>1</v>
      </c>
      <c r="F5220" s="15">
        <v>46216</v>
      </c>
      <c r="G5220" t="s">
        <v>637</v>
      </c>
      <c r="H5220">
        <v>4</v>
      </c>
      <c r="I5220">
        <v>2026</v>
      </c>
      <c r="J5220">
        <v>7</v>
      </c>
      <c r="K5220" t="s">
        <v>87</v>
      </c>
      <c r="L5220" t="s">
        <v>352</v>
      </c>
      <c r="M5220" t="s">
        <v>8</v>
      </c>
      <c r="N5220" t="b">
        <v>0</v>
      </c>
      <c r="O5220">
        <v>0</v>
      </c>
      <c r="P5220">
        <v>1</v>
      </c>
      <c r="Q5220">
        <v>0</v>
      </c>
      <c r="R5220">
        <v>1</v>
      </c>
    </row>
    <row r="5221" spans="1:18" x14ac:dyDescent="0.25">
      <c r="A5221" t="s">
        <v>7</v>
      </c>
      <c r="B5221" t="s">
        <v>6</v>
      </c>
      <c r="C5221">
        <v>4</v>
      </c>
      <c r="D5221">
        <v>3</v>
      </c>
      <c r="E5221">
        <v>1</v>
      </c>
      <c r="F5221" s="15">
        <v>46216</v>
      </c>
      <c r="G5221" t="s">
        <v>637</v>
      </c>
      <c r="H5221">
        <v>4</v>
      </c>
      <c r="I5221">
        <v>2026</v>
      </c>
      <c r="J5221">
        <v>7</v>
      </c>
      <c r="K5221" t="s">
        <v>87</v>
      </c>
      <c r="L5221" t="s">
        <v>578</v>
      </c>
      <c r="M5221" t="s">
        <v>6</v>
      </c>
      <c r="N5221" t="b">
        <v>0</v>
      </c>
      <c r="O5221">
        <v>0</v>
      </c>
      <c r="P5221">
        <v>1</v>
      </c>
      <c r="Q5221">
        <v>0</v>
      </c>
      <c r="R5221">
        <v>0</v>
      </c>
    </row>
    <row r="5222" spans="1:18" x14ac:dyDescent="0.25">
      <c r="A5222" t="s">
        <v>351</v>
      </c>
      <c r="B5222" t="s">
        <v>6</v>
      </c>
      <c r="C5222">
        <v>1</v>
      </c>
      <c r="D5222">
        <v>4</v>
      </c>
      <c r="E5222">
        <v>1</v>
      </c>
      <c r="F5222" s="15">
        <v>46216</v>
      </c>
      <c r="G5222" t="s">
        <v>638</v>
      </c>
      <c r="H5222">
        <v>4</v>
      </c>
      <c r="I5222">
        <v>2026</v>
      </c>
      <c r="J5222">
        <v>7</v>
      </c>
      <c r="K5222" t="s">
        <v>87</v>
      </c>
      <c r="L5222" t="s">
        <v>17</v>
      </c>
      <c r="M5222" t="s">
        <v>6</v>
      </c>
      <c r="N5222" t="b">
        <v>0</v>
      </c>
      <c r="O5222">
        <v>0</v>
      </c>
      <c r="P5222">
        <v>1</v>
      </c>
      <c r="Q5222">
        <v>0</v>
      </c>
      <c r="R5222">
        <v>0</v>
      </c>
    </row>
    <row r="5223" spans="1:18" x14ac:dyDescent="0.25">
      <c r="A5223" t="s">
        <v>351</v>
      </c>
      <c r="B5223" t="s">
        <v>6</v>
      </c>
      <c r="C5223">
        <v>1</v>
      </c>
      <c r="D5223">
        <v>4</v>
      </c>
      <c r="E5223">
        <v>1</v>
      </c>
      <c r="F5223" s="15">
        <v>46216</v>
      </c>
      <c r="G5223" t="s">
        <v>638</v>
      </c>
      <c r="H5223">
        <v>4</v>
      </c>
      <c r="I5223">
        <v>2026</v>
      </c>
      <c r="J5223">
        <v>7</v>
      </c>
      <c r="K5223" t="s">
        <v>87</v>
      </c>
      <c r="L5223" t="s">
        <v>20</v>
      </c>
      <c r="M5223" t="s">
        <v>6</v>
      </c>
      <c r="N5223" t="b">
        <v>0</v>
      </c>
      <c r="O5223">
        <v>0</v>
      </c>
      <c r="P5223">
        <v>1</v>
      </c>
      <c r="Q5223">
        <v>0</v>
      </c>
      <c r="R5223">
        <v>0</v>
      </c>
    </row>
    <row r="5224" spans="1:18" x14ac:dyDescent="0.25">
      <c r="A5224" t="s">
        <v>351</v>
      </c>
      <c r="B5224" t="s">
        <v>6</v>
      </c>
      <c r="C5224">
        <v>1</v>
      </c>
      <c r="D5224">
        <v>4</v>
      </c>
      <c r="E5224">
        <v>1</v>
      </c>
      <c r="F5224" s="15">
        <v>46216</v>
      </c>
      <c r="G5224" t="s">
        <v>638</v>
      </c>
      <c r="H5224">
        <v>4</v>
      </c>
      <c r="I5224">
        <v>2026</v>
      </c>
      <c r="J5224">
        <v>7</v>
      </c>
      <c r="K5224" t="s">
        <v>87</v>
      </c>
      <c r="L5224" t="s">
        <v>14</v>
      </c>
      <c r="M5224" t="s">
        <v>8</v>
      </c>
      <c r="N5224" t="b">
        <v>0</v>
      </c>
      <c r="O5224">
        <v>0</v>
      </c>
      <c r="P5224">
        <v>1</v>
      </c>
      <c r="Q5224">
        <v>0</v>
      </c>
      <c r="R5224">
        <v>1</v>
      </c>
    </row>
    <row r="5225" spans="1:18" x14ac:dyDescent="0.25">
      <c r="A5225" t="s">
        <v>17</v>
      </c>
      <c r="B5225" t="s">
        <v>6</v>
      </c>
      <c r="C5225">
        <v>2</v>
      </c>
      <c r="D5225">
        <v>4</v>
      </c>
      <c r="E5225">
        <v>1</v>
      </c>
      <c r="F5225" s="15">
        <v>46216</v>
      </c>
      <c r="G5225" t="s">
        <v>638</v>
      </c>
      <c r="H5225">
        <v>4</v>
      </c>
      <c r="I5225">
        <v>2026</v>
      </c>
      <c r="J5225">
        <v>7</v>
      </c>
      <c r="K5225" t="s">
        <v>87</v>
      </c>
      <c r="L5225" t="s">
        <v>351</v>
      </c>
      <c r="M5225" t="s">
        <v>6</v>
      </c>
      <c r="N5225" t="b">
        <v>0</v>
      </c>
      <c r="O5225">
        <v>0</v>
      </c>
      <c r="P5225">
        <v>1</v>
      </c>
      <c r="Q5225">
        <v>0</v>
      </c>
      <c r="R5225">
        <v>0</v>
      </c>
    </row>
    <row r="5226" spans="1:18" x14ac:dyDescent="0.25">
      <c r="A5226" t="s">
        <v>17</v>
      </c>
      <c r="B5226" t="s">
        <v>6</v>
      </c>
      <c r="C5226">
        <v>2</v>
      </c>
      <c r="D5226">
        <v>4</v>
      </c>
      <c r="E5226">
        <v>1</v>
      </c>
      <c r="F5226" s="15">
        <v>46216</v>
      </c>
      <c r="G5226" t="s">
        <v>638</v>
      </c>
      <c r="H5226">
        <v>4</v>
      </c>
      <c r="I5226">
        <v>2026</v>
      </c>
      <c r="J5226">
        <v>7</v>
      </c>
      <c r="K5226" t="s">
        <v>87</v>
      </c>
      <c r="L5226" t="s">
        <v>20</v>
      </c>
      <c r="M5226" t="s">
        <v>6</v>
      </c>
      <c r="N5226" t="b">
        <v>0</v>
      </c>
      <c r="O5226">
        <v>0</v>
      </c>
      <c r="P5226">
        <v>1</v>
      </c>
      <c r="Q5226">
        <v>0</v>
      </c>
      <c r="R5226">
        <v>0</v>
      </c>
    </row>
    <row r="5227" spans="1:18" x14ac:dyDescent="0.25">
      <c r="A5227" t="s">
        <v>17</v>
      </c>
      <c r="B5227" t="s">
        <v>6</v>
      </c>
      <c r="C5227">
        <v>2</v>
      </c>
      <c r="D5227">
        <v>4</v>
      </c>
      <c r="E5227">
        <v>1</v>
      </c>
      <c r="F5227" s="15">
        <v>46216</v>
      </c>
      <c r="G5227" t="s">
        <v>638</v>
      </c>
      <c r="H5227">
        <v>4</v>
      </c>
      <c r="I5227">
        <v>2026</v>
      </c>
      <c r="J5227">
        <v>7</v>
      </c>
      <c r="K5227" t="s">
        <v>87</v>
      </c>
      <c r="L5227" t="s">
        <v>14</v>
      </c>
      <c r="M5227" t="s">
        <v>8</v>
      </c>
      <c r="N5227" t="b">
        <v>0</v>
      </c>
      <c r="O5227">
        <v>0</v>
      </c>
      <c r="P5227">
        <v>1</v>
      </c>
      <c r="Q5227">
        <v>0</v>
      </c>
      <c r="R5227">
        <v>1</v>
      </c>
    </row>
    <row r="5228" spans="1:18" x14ac:dyDescent="0.25">
      <c r="A5228" t="s">
        <v>20</v>
      </c>
      <c r="B5228" t="s">
        <v>6</v>
      </c>
      <c r="C5228">
        <v>3</v>
      </c>
      <c r="D5228">
        <v>4</v>
      </c>
      <c r="E5228">
        <v>1</v>
      </c>
      <c r="F5228" s="15">
        <v>46216</v>
      </c>
      <c r="G5228" t="s">
        <v>638</v>
      </c>
      <c r="H5228">
        <v>4</v>
      </c>
      <c r="I5228">
        <v>2026</v>
      </c>
      <c r="J5228">
        <v>7</v>
      </c>
      <c r="K5228" t="s">
        <v>87</v>
      </c>
      <c r="L5228" t="s">
        <v>351</v>
      </c>
      <c r="M5228" t="s">
        <v>6</v>
      </c>
      <c r="N5228" t="b">
        <v>0</v>
      </c>
      <c r="O5228">
        <v>0</v>
      </c>
      <c r="P5228">
        <v>1</v>
      </c>
      <c r="Q5228">
        <v>0</v>
      </c>
      <c r="R5228">
        <v>0</v>
      </c>
    </row>
    <row r="5229" spans="1:18" x14ac:dyDescent="0.25">
      <c r="A5229" t="s">
        <v>20</v>
      </c>
      <c r="B5229" t="s">
        <v>6</v>
      </c>
      <c r="C5229">
        <v>3</v>
      </c>
      <c r="D5229">
        <v>4</v>
      </c>
      <c r="E5229">
        <v>1</v>
      </c>
      <c r="F5229" s="15">
        <v>46216</v>
      </c>
      <c r="G5229" t="s">
        <v>638</v>
      </c>
      <c r="H5229">
        <v>4</v>
      </c>
      <c r="I5229">
        <v>2026</v>
      </c>
      <c r="J5229">
        <v>7</v>
      </c>
      <c r="K5229" t="s">
        <v>87</v>
      </c>
      <c r="L5229" t="s">
        <v>17</v>
      </c>
      <c r="M5229" t="s">
        <v>6</v>
      </c>
      <c r="N5229" t="b">
        <v>0</v>
      </c>
      <c r="O5229">
        <v>0</v>
      </c>
      <c r="P5229">
        <v>1</v>
      </c>
      <c r="Q5229">
        <v>0</v>
      </c>
      <c r="R5229">
        <v>0</v>
      </c>
    </row>
    <row r="5230" spans="1:18" x14ac:dyDescent="0.25">
      <c r="A5230" t="s">
        <v>20</v>
      </c>
      <c r="B5230" t="s">
        <v>6</v>
      </c>
      <c r="C5230">
        <v>3</v>
      </c>
      <c r="D5230">
        <v>4</v>
      </c>
      <c r="E5230">
        <v>1</v>
      </c>
      <c r="F5230" s="15">
        <v>46216</v>
      </c>
      <c r="G5230" t="s">
        <v>638</v>
      </c>
      <c r="H5230">
        <v>4</v>
      </c>
      <c r="I5230">
        <v>2026</v>
      </c>
      <c r="J5230">
        <v>7</v>
      </c>
      <c r="K5230" t="s">
        <v>87</v>
      </c>
      <c r="L5230" t="s">
        <v>14</v>
      </c>
      <c r="M5230" t="s">
        <v>8</v>
      </c>
      <c r="N5230" t="b">
        <v>0</v>
      </c>
      <c r="O5230">
        <v>0</v>
      </c>
      <c r="P5230">
        <v>1</v>
      </c>
      <c r="Q5230">
        <v>0</v>
      </c>
      <c r="R5230">
        <v>1</v>
      </c>
    </row>
    <row r="5231" spans="1:18" x14ac:dyDescent="0.25">
      <c r="A5231" t="s">
        <v>14</v>
      </c>
      <c r="B5231" t="s">
        <v>8</v>
      </c>
      <c r="C5231">
        <v>4</v>
      </c>
      <c r="D5231">
        <v>4</v>
      </c>
      <c r="E5231">
        <v>1</v>
      </c>
      <c r="F5231" s="15">
        <v>46216</v>
      </c>
      <c r="G5231" t="s">
        <v>638</v>
      </c>
      <c r="H5231">
        <v>4</v>
      </c>
      <c r="I5231">
        <v>2026</v>
      </c>
      <c r="J5231">
        <v>7</v>
      </c>
      <c r="K5231" t="s">
        <v>87</v>
      </c>
      <c r="L5231" t="s">
        <v>351</v>
      </c>
      <c r="M5231" t="s">
        <v>6</v>
      </c>
      <c r="N5231" t="b">
        <v>0</v>
      </c>
      <c r="O5231">
        <v>1</v>
      </c>
      <c r="P5231">
        <v>0</v>
      </c>
      <c r="Q5231">
        <v>0</v>
      </c>
      <c r="R5231">
        <v>0</v>
      </c>
    </row>
    <row r="5232" spans="1:18" x14ac:dyDescent="0.25">
      <c r="A5232" t="s">
        <v>14</v>
      </c>
      <c r="B5232" t="s">
        <v>8</v>
      </c>
      <c r="C5232">
        <v>4</v>
      </c>
      <c r="D5232">
        <v>4</v>
      </c>
      <c r="E5232">
        <v>1</v>
      </c>
      <c r="F5232" s="15">
        <v>46216</v>
      </c>
      <c r="G5232" t="s">
        <v>638</v>
      </c>
      <c r="H5232">
        <v>4</v>
      </c>
      <c r="I5232">
        <v>2026</v>
      </c>
      <c r="J5232">
        <v>7</v>
      </c>
      <c r="K5232" t="s">
        <v>87</v>
      </c>
      <c r="L5232" t="s">
        <v>17</v>
      </c>
      <c r="M5232" t="s">
        <v>6</v>
      </c>
      <c r="N5232" t="b">
        <v>0</v>
      </c>
      <c r="O5232">
        <v>1</v>
      </c>
      <c r="P5232">
        <v>0</v>
      </c>
      <c r="Q5232">
        <v>0</v>
      </c>
      <c r="R5232">
        <v>0</v>
      </c>
    </row>
    <row r="5233" spans="1:18" x14ac:dyDescent="0.25">
      <c r="A5233" t="s">
        <v>14</v>
      </c>
      <c r="B5233" t="s">
        <v>8</v>
      </c>
      <c r="C5233">
        <v>4</v>
      </c>
      <c r="D5233">
        <v>4</v>
      </c>
      <c r="E5233">
        <v>1</v>
      </c>
      <c r="F5233" s="15">
        <v>46216</v>
      </c>
      <c r="G5233" t="s">
        <v>638</v>
      </c>
      <c r="H5233">
        <v>4</v>
      </c>
      <c r="I5233">
        <v>2026</v>
      </c>
      <c r="J5233">
        <v>7</v>
      </c>
      <c r="K5233" t="s">
        <v>87</v>
      </c>
      <c r="L5233" t="s">
        <v>20</v>
      </c>
      <c r="M5233" t="s">
        <v>6</v>
      </c>
      <c r="N5233" t="b">
        <v>0</v>
      </c>
      <c r="O5233">
        <v>1</v>
      </c>
      <c r="P5233">
        <v>0</v>
      </c>
      <c r="Q5233">
        <v>0</v>
      </c>
      <c r="R5233">
        <v>0</v>
      </c>
    </row>
    <row r="5234" spans="1:18" x14ac:dyDescent="0.25">
      <c r="A5234" t="s">
        <v>19</v>
      </c>
      <c r="B5234" t="s">
        <v>8</v>
      </c>
      <c r="C5234">
        <v>1</v>
      </c>
      <c r="D5234">
        <v>5</v>
      </c>
      <c r="E5234">
        <v>1</v>
      </c>
      <c r="F5234" s="15">
        <v>46216</v>
      </c>
      <c r="G5234" t="s">
        <v>639</v>
      </c>
      <c r="H5234">
        <v>4</v>
      </c>
      <c r="I5234">
        <v>2026</v>
      </c>
      <c r="J5234">
        <v>7</v>
      </c>
      <c r="K5234" t="s">
        <v>87</v>
      </c>
      <c r="L5234" t="s">
        <v>11</v>
      </c>
      <c r="M5234" t="s">
        <v>6</v>
      </c>
      <c r="N5234" t="b">
        <v>0</v>
      </c>
      <c r="O5234">
        <v>1</v>
      </c>
      <c r="P5234">
        <v>0</v>
      </c>
      <c r="Q5234">
        <v>0</v>
      </c>
      <c r="R5234">
        <v>0</v>
      </c>
    </row>
    <row r="5235" spans="1:18" x14ac:dyDescent="0.25">
      <c r="A5235" t="s">
        <v>19</v>
      </c>
      <c r="B5235" t="s">
        <v>8</v>
      </c>
      <c r="C5235">
        <v>1</v>
      </c>
      <c r="D5235">
        <v>5</v>
      </c>
      <c r="E5235">
        <v>1</v>
      </c>
      <c r="F5235" s="15">
        <v>46216</v>
      </c>
      <c r="G5235" t="s">
        <v>639</v>
      </c>
      <c r="H5235">
        <v>4</v>
      </c>
      <c r="I5235">
        <v>2026</v>
      </c>
      <c r="J5235">
        <v>7</v>
      </c>
      <c r="K5235" t="s">
        <v>87</v>
      </c>
      <c r="L5235" t="s">
        <v>405</v>
      </c>
      <c r="M5235" t="s">
        <v>6</v>
      </c>
      <c r="N5235" t="b">
        <v>0</v>
      </c>
      <c r="O5235">
        <v>1</v>
      </c>
      <c r="P5235">
        <v>0</v>
      </c>
      <c r="Q5235">
        <v>0</v>
      </c>
      <c r="R5235">
        <v>0</v>
      </c>
    </row>
    <row r="5236" spans="1:18" x14ac:dyDescent="0.25">
      <c r="A5236" t="s">
        <v>19</v>
      </c>
      <c r="B5236" t="s">
        <v>8</v>
      </c>
      <c r="C5236">
        <v>1</v>
      </c>
      <c r="D5236">
        <v>5</v>
      </c>
      <c r="E5236">
        <v>1</v>
      </c>
      <c r="F5236" s="15">
        <v>46216</v>
      </c>
      <c r="G5236" t="s">
        <v>639</v>
      </c>
      <c r="H5236">
        <v>4</v>
      </c>
      <c r="I5236">
        <v>2026</v>
      </c>
      <c r="J5236">
        <v>7</v>
      </c>
      <c r="K5236" t="s">
        <v>87</v>
      </c>
      <c r="L5236" t="s">
        <v>10</v>
      </c>
      <c r="M5236" t="s">
        <v>6</v>
      </c>
      <c r="N5236" t="b">
        <v>0</v>
      </c>
      <c r="O5236">
        <v>1</v>
      </c>
      <c r="P5236">
        <v>0</v>
      </c>
      <c r="Q5236">
        <v>0</v>
      </c>
      <c r="R5236">
        <v>0</v>
      </c>
    </row>
    <row r="5237" spans="1:18" x14ac:dyDescent="0.25">
      <c r="A5237" t="s">
        <v>11</v>
      </c>
      <c r="B5237" t="s">
        <v>6</v>
      </c>
      <c r="C5237">
        <v>2</v>
      </c>
      <c r="D5237">
        <v>5</v>
      </c>
      <c r="E5237">
        <v>1</v>
      </c>
      <c r="F5237" s="15">
        <v>46216</v>
      </c>
      <c r="G5237" t="s">
        <v>639</v>
      </c>
      <c r="H5237">
        <v>4</v>
      </c>
      <c r="I5237">
        <v>2026</v>
      </c>
      <c r="J5237">
        <v>7</v>
      </c>
      <c r="K5237" t="s">
        <v>87</v>
      </c>
      <c r="L5237" t="s">
        <v>19</v>
      </c>
      <c r="M5237" t="s">
        <v>8</v>
      </c>
      <c r="N5237" t="b">
        <v>0</v>
      </c>
      <c r="O5237">
        <v>0</v>
      </c>
      <c r="P5237">
        <v>1</v>
      </c>
      <c r="Q5237">
        <v>0</v>
      </c>
      <c r="R5237">
        <v>1</v>
      </c>
    </row>
    <row r="5238" spans="1:18" x14ac:dyDescent="0.25">
      <c r="A5238" t="s">
        <v>11</v>
      </c>
      <c r="B5238" t="s">
        <v>6</v>
      </c>
      <c r="C5238">
        <v>2</v>
      </c>
      <c r="D5238">
        <v>5</v>
      </c>
      <c r="E5238">
        <v>1</v>
      </c>
      <c r="F5238" s="15">
        <v>46216</v>
      </c>
      <c r="G5238" t="s">
        <v>639</v>
      </c>
      <c r="H5238">
        <v>4</v>
      </c>
      <c r="I5238">
        <v>2026</v>
      </c>
      <c r="J5238">
        <v>7</v>
      </c>
      <c r="K5238" t="s">
        <v>87</v>
      </c>
      <c r="L5238" t="s">
        <v>405</v>
      </c>
      <c r="M5238" t="s">
        <v>6</v>
      </c>
      <c r="N5238" t="b">
        <v>0</v>
      </c>
      <c r="O5238">
        <v>0</v>
      </c>
      <c r="P5238">
        <v>1</v>
      </c>
      <c r="Q5238">
        <v>0</v>
      </c>
      <c r="R5238">
        <v>0</v>
      </c>
    </row>
    <row r="5239" spans="1:18" x14ac:dyDescent="0.25">
      <c r="A5239" t="s">
        <v>11</v>
      </c>
      <c r="B5239" t="s">
        <v>6</v>
      </c>
      <c r="C5239">
        <v>2</v>
      </c>
      <c r="D5239">
        <v>5</v>
      </c>
      <c r="E5239">
        <v>1</v>
      </c>
      <c r="F5239" s="15">
        <v>46216</v>
      </c>
      <c r="G5239" t="s">
        <v>639</v>
      </c>
      <c r="H5239">
        <v>4</v>
      </c>
      <c r="I5239">
        <v>2026</v>
      </c>
      <c r="J5239">
        <v>7</v>
      </c>
      <c r="K5239" t="s">
        <v>87</v>
      </c>
      <c r="L5239" t="s">
        <v>10</v>
      </c>
      <c r="M5239" t="s">
        <v>6</v>
      </c>
      <c r="N5239" t="b">
        <v>0</v>
      </c>
      <c r="O5239">
        <v>0</v>
      </c>
      <c r="P5239">
        <v>1</v>
      </c>
      <c r="Q5239">
        <v>0</v>
      </c>
      <c r="R5239">
        <v>0</v>
      </c>
    </row>
    <row r="5240" spans="1:18" x14ac:dyDescent="0.25">
      <c r="A5240" t="s">
        <v>405</v>
      </c>
      <c r="B5240" t="s">
        <v>6</v>
      </c>
      <c r="C5240">
        <v>3</v>
      </c>
      <c r="D5240">
        <v>5</v>
      </c>
      <c r="E5240">
        <v>1</v>
      </c>
      <c r="F5240" s="15">
        <v>46216</v>
      </c>
      <c r="G5240" t="s">
        <v>639</v>
      </c>
      <c r="H5240">
        <v>4</v>
      </c>
      <c r="I5240">
        <v>2026</v>
      </c>
      <c r="J5240">
        <v>7</v>
      </c>
      <c r="K5240" t="s">
        <v>87</v>
      </c>
      <c r="L5240" t="s">
        <v>19</v>
      </c>
      <c r="M5240" t="s">
        <v>8</v>
      </c>
      <c r="N5240" t="b">
        <v>0</v>
      </c>
      <c r="O5240">
        <v>0</v>
      </c>
      <c r="P5240">
        <v>1</v>
      </c>
      <c r="Q5240">
        <v>0</v>
      </c>
      <c r="R5240">
        <v>1</v>
      </c>
    </row>
    <row r="5241" spans="1:18" x14ac:dyDescent="0.25">
      <c r="A5241" t="s">
        <v>405</v>
      </c>
      <c r="B5241" t="s">
        <v>6</v>
      </c>
      <c r="C5241">
        <v>3</v>
      </c>
      <c r="D5241">
        <v>5</v>
      </c>
      <c r="E5241">
        <v>1</v>
      </c>
      <c r="F5241" s="15">
        <v>46216</v>
      </c>
      <c r="G5241" t="s">
        <v>639</v>
      </c>
      <c r="H5241">
        <v>4</v>
      </c>
      <c r="I5241">
        <v>2026</v>
      </c>
      <c r="J5241">
        <v>7</v>
      </c>
      <c r="K5241" t="s">
        <v>87</v>
      </c>
      <c r="L5241" t="s">
        <v>11</v>
      </c>
      <c r="M5241" t="s">
        <v>6</v>
      </c>
      <c r="N5241" t="b">
        <v>0</v>
      </c>
      <c r="O5241">
        <v>0</v>
      </c>
      <c r="P5241">
        <v>1</v>
      </c>
      <c r="Q5241">
        <v>0</v>
      </c>
      <c r="R5241">
        <v>0</v>
      </c>
    </row>
    <row r="5242" spans="1:18" x14ac:dyDescent="0.25">
      <c r="A5242" t="s">
        <v>405</v>
      </c>
      <c r="B5242" t="s">
        <v>6</v>
      </c>
      <c r="C5242">
        <v>3</v>
      </c>
      <c r="D5242">
        <v>5</v>
      </c>
      <c r="E5242">
        <v>1</v>
      </c>
      <c r="F5242" s="15">
        <v>46216</v>
      </c>
      <c r="G5242" t="s">
        <v>639</v>
      </c>
      <c r="H5242">
        <v>4</v>
      </c>
      <c r="I5242">
        <v>2026</v>
      </c>
      <c r="J5242">
        <v>7</v>
      </c>
      <c r="K5242" t="s">
        <v>87</v>
      </c>
      <c r="L5242" t="s">
        <v>10</v>
      </c>
      <c r="M5242" t="s">
        <v>6</v>
      </c>
      <c r="N5242" t="b">
        <v>0</v>
      </c>
      <c r="O5242">
        <v>0</v>
      </c>
      <c r="P5242">
        <v>1</v>
      </c>
      <c r="Q5242">
        <v>0</v>
      </c>
      <c r="R5242">
        <v>0</v>
      </c>
    </row>
    <row r="5243" spans="1:18" x14ac:dyDescent="0.25">
      <c r="A5243" t="s">
        <v>10</v>
      </c>
      <c r="B5243" t="s">
        <v>6</v>
      </c>
      <c r="C5243">
        <v>4</v>
      </c>
      <c r="D5243">
        <v>5</v>
      </c>
      <c r="E5243">
        <v>1</v>
      </c>
      <c r="F5243" s="15">
        <v>46216</v>
      </c>
      <c r="G5243" t="s">
        <v>639</v>
      </c>
      <c r="H5243">
        <v>4</v>
      </c>
      <c r="I5243">
        <v>2026</v>
      </c>
      <c r="J5243">
        <v>7</v>
      </c>
      <c r="K5243" t="s">
        <v>87</v>
      </c>
      <c r="L5243" t="s">
        <v>19</v>
      </c>
      <c r="M5243" t="s">
        <v>8</v>
      </c>
      <c r="N5243" t="b">
        <v>0</v>
      </c>
      <c r="O5243">
        <v>0</v>
      </c>
      <c r="P5243">
        <v>1</v>
      </c>
      <c r="Q5243">
        <v>0</v>
      </c>
      <c r="R5243">
        <v>1</v>
      </c>
    </row>
    <row r="5244" spans="1:18" x14ac:dyDescent="0.25">
      <c r="A5244" t="s">
        <v>10</v>
      </c>
      <c r="B5244" t="s">
        <v>6</v>
      </c>
      <c r="C5244">
        <v>4</v>
      </c>
      <c r="D5244">
        <v>5</v>
      </c>
      <c r="E5244">
        <v>1</v>
      </c>
      <c r="F5244" s="15">
        <v>46216</v>
      </c>
      <c r="G5244" t="s">
        <v>639</v>
      </c>
      <c r="H5244">
        <v>4</v>
      </c>
      <c r="I5244">
        <v>2026</v>
      </c>
      <c r="J5244">
        <v>7</v>
      </c>
      <c r="K5244" t="s">
        <v>87</v>
      </c>
      <c r="L5244" t="s">
        <v>11</v>
      </c>
      <c r="M5244" t="s">
        <v>6</v>
      </c>
      <c r="N5244" t="b">
        <v>0</v>
      </c>
      <c r="O5244">
        <v>0</v>
      </c>
      <c r="P5244">
        <v>1</v>
      </c>
      <c r="Q5244">
        <v>0</v>
      </c>
      <c r="R5244">
        <v>0</v>
      </c>
    </row>
    <row r="5245" spans="1:18" x14ac:dyDescent="0.25">
      <c r="A5245" t="s">
        <v>10</v>
      </c>
      <c r="B5245" t="s">
        <v>6</v>
      </c>
      <c r="C5245">
        <v>4</v>
      </c>
      <c r="D5245">
        <v>5</v>
      </c>
      <c r="E5245">
        <v>1</v>
      </c>
      <c r="F5245" s="15">
        <v>46216</v>
      </c>
      <c r="G5245" t="s">
        <v>639</v>
      </c>
      <c r="H5245">
        <v>4</v>
      </c>
      <c r="I5245">
        <v>2026</v>
      </c>
      <c r="J5245">
        <v>7</v>
      </c>
      <c r="K5245" t="s">
        <v>87</v>
      </c>
      <c r="L5245" t="s">
        <v>405</v>
      </c>
      <c r="M5245" t="s">
        <v>6</v>
      </c>
      <c r="N5245" t="b">
        <v>0</v>
      </c>
      <c r="O5245">
        <v>0</v>
      </c>
      <c r="P5245">
        <v>1</v>
      </c>
      <c r="Q5245">
        <v>0</v>
      </c>
      <c r="R5245">
        <v>0</v>
      </c>
    </row>
    <row r="5246" spans="1:18" x14ac:dyDescent="0.25">
      <c r="A5246" t="s">
        <v>352</v>
      </c>
      <c r="B5246" t="s">
        <v>6</v>
      </c>
      <c r="C5246">
        <v>1</v>
      </c>
      <c r="D5246">
        <v>1</v>
      </c>
      <c r="E5246">
        <v>2</v>
      </c>
      <c r="F5246" s="15">
        <v>46216</v>
      </c>
      <c r="G5246" t="s">
        <v>640</v>
      </c>
      <c r="H5246">
        <v>4</v>
      </c>
      <c r="I5246">
        <v>2026</v>
      </c>
      <c r="J5246">
        <v>7</v>
      </c>
      <c r="K5246" t="s">
        <v>87</v>
      </c>
      <c r="L5246" t="s">
        <v>14</v>
      </c>
      <c r="M5246" t="s">
        <v>6</v>
      </c>
      <c r="N5246" t="b">
        <v>0</v>
      </c>
      <c r="O5246">
        <v>0</v>
      </c>
      <c r="P5246">
        <v>1</v>
      </c>
      <c r="Q5246">
        <v>0</v>
      </c>
      <c r="R5246">
        <v>0</v>
      </c>
    </row>
    <row r="5247" spans="1:18" x14ac:dyDescent="0.25">
      <c r="A5247" t="s">
        <v>352</v>
      </c>
      <c r="B5247" t="s">
        <v>6</v>
      </c>
      <c r="C5247">
        <v>1</v>
      </c>
      <c r="D5247">
        <v>1</v>
      </c>
      <c r="E5247">
        <v>2</v>
      </c>
      <c r="F5247" s="15">
        <v>46216</v>
      </c>
      <c r="G5247" t="s">
        <v>640</v>
      </c>
      <c r="H5247">
        <v>4</v>
      </c>
      <c r="I5247">
        <v>2026</v>
      </c>
      <c r="J5247">
        <v>7</v>
      </c>
      <c r="K5247" t="s">
        <v>87</v>
      </c>
      <c r="L5247" t="s">
        <v>27</v>
      </c>
      <c r="M5247" t="s">
        <v>6</v>
      </c>
      <c r="N5247" t="b">
        <v>0</v>
      </c>
      <c r="O5247">
        <v>0</v>
      </c>
      <c r="P5247">
        <v>1</v>
      </c>
      <c r="Q5247">
        <v>0</v>
      </c>
      <c r="R5247">
        <v>0</v>
      </c>
    </row>
    <row r="5248" spans="1:18" x14ac:dyDescent="0.25">
      <c r="A5248" t="s">
        <v>352</v>
      </c>
      <c r="B5248" t="s">
        <v>6</v>
      </c>
      <c r="C5248">
        <v>1</v>
      </c>
      <c r="D5248">
        <v>1</v>
      </c>
      <c r="E5248">
        <v>2</v>
      </c>
      <c r="F5248" s="15">
        <v>46216</v>
      </c>
      <c r="G5248" t="s">
        <v>640</v>
      </c>
      <c r="H5248">
        <v>4</v>
      </c>
      <c r="I5248">
        <v>2026</v>
      </c>
      <c r="J5248">
        <v>7</v>
      </c>
      <c r="K5248" t="s">
        <v>87</v>
      </c>
      <c r="L5248" t="s">
        <v>19</v>
      </c>
      <c r="M5248" t="s">
        <v>8</v>
      </c>
      <c r="N5248" t="b">
        <v>0</v>
      </c>
      <c r="O5248">
        <v>0</v>
      </c>
      <c r="P5248">
        <v>1</v>
      </c>
      <c r="Q5248">
        <v>0</v>
      </c>
      <c r="R5248">
        <v>1</v>
      </c>
    </row>
    <row r="5249" spans="1:18" x14ac:dyDescent="0.25">
      <c r="A5249" t="s">
        <v>14</v>
      </c>
      <c r="B5249" t="s">
        <v>6</v>
      </c>
      <c r="C5249">
        <v>2</v>
      </c>
      <c r="D5249">
        <v>1</v>
      </c>
      <c r="E5249">
        <v>2</v>
      </c>
      <c r="F5249" s="15">
        <v>46216</v>
      </c>
      <c r="G5249" t="s">
        <v>640</v>
      </c>
      <c r="H5249">
        <v>4</v>
      </c>
      <c r="I5249">
        <v>2026</v>
      </c>
      <c r="J5249">
        <v>7</v>
      </c>
      <c r="K5249" t="s">
        <v>87</v>
      </c>
      <c r="L5249" t="s">
        <v>352</v>
      </c>
      <c r="M5249" t="s">
        <v>6</v>
      </c>
      <c r="N5249" t="b">
        <v>0</v>
      </c>
      <c r="O5249">
        <v>0</v>
      </c>
      <c r="P5249">
        <v>1</v>
      </c>
      <c r="Q5249">
        <v>0</v>
      </c>
      <c r="R5249">
        <v>0</v>
      </c>
    </row>
    <row r="5250" spans="1:18" x14ac:dyDescent="0.25">
      <c r="A5250" t="s">
        <v>14</v>
      </c>
      <c r="B5250" t="s">
        <v>6</v>
      </c>
      <c r="C5250">
        <v>2</v>
      </c>
      <c r="D5250">
        <v>1</v>
      </c>
      <c r="E5250">
        <v>2</v>
      </c>
      <c r="F5250" s="15">
        <v>46216</v>
      </c>
      <c r="G5250" t="s">
        <v>640</v>
      </c>
      <c r="H5250">
        <v>4</v>
      </c>
      <c r="I5250">
        <v>2026</v>
      </c>
      <c r="J5250">
        <v>7</v>
      </c>
      <c r="K5250" t="s">
        <v>87</v>
      </c>
      <c r="L5250" t="s">
        <v>27</v>
      </c>
      <c r="M5250" t="s">
        <v>6</v>
      </c>
      <c r="N5250" t="b">
        <v>0</v>
      </c>
      <c r="O5250">
        <v>0</v>
      </c>
      <c r="P5250">
        <v>1</v>
      </c>
      <c r="Q5250">
        <v>0</v>
      </c>
      <c r="R5250">
        <v>0</v>
      </c>
    </row>
    <row r="5251" spans="1:18" x14ac:dyDescent="0.25">
      <c r="A5251" t="s">
        <v>14</v>
      </c>
      <c r="B5251" t="s">
        <v>6</v>
      </c>
      <c r="C5251">
        <v>2</v>
      </c>
      <c r="D5251">
        <v>1</v>
      </c>
      <c r="E5251">
        <v>2</v>
      </c>
      <c r="F5251" s="15">
        <v>46216</v>
      </c>
      <c r="G5251" t="s">
        <v>640</v>
      </c>
      <c r="H5251">
        <v>4</v>
      </c>
      <c r="I5251">
        <v>2026</v>
      </c>
      <c r="J5251">
        <v>7</v>
      </c>
      <c r="K5251" t="s">
        <v>87</v>
      </c>
      <c r="L5251" t="s">
        <v>19</v>
      </c>
      <c r="M5251" t="s">
        <v>8</v>
      </c>
      <c r="N5251" t="b">
        <v>0</v>
      </c>
      <c r="O5251">
        <v>0</v>
      </c>
      <c r="P5251">
        <v>1</v>
      </c>
      <c r="Q5251">
        <v>0</v>
      </c>
      <c r="R5251">
        <v>1</v>
      </c>
    </row>
    <row r="5252" spans="1:18" x14ac:dyDescent="0.25">
      <c r="A5252" t="s">
        <v>27</v>
      </c>
      <c r="B5252" t="s">
        <v>6</v>
      </c>
      <c r="C5252">
        <v>3</v>
      </c>
      <c r="D5252">
        <v>1</v>
      </c>
      <c r="E5252">
        <v>2</v>
      </c>
      <c r="F5252" s="15">
        <v>46216</v>
      </c>
      <c r="G5252" t="s">
        <v>640</v>
      </c>
      <c r="H5252">
        <v>4</v>
      </c>
      <c r="I5252">
        <v>2026</v>
      </c>
      <c r="J5252">
        <v>7</v>
      </c>
      <c r="K5252" t="s">
        <v>87</v>
      </c>
      <c r="L5252" t="s">
        <v>352</v>
      </c>
      <c r="M5252" t="s">
        <v>6</v>
      </c>
      <c r="N5252" t="b">
        <v>0</v>
      </c>
      <c r="O5252">
        <v>0</v>
      </c>
      <c r="P5252">
        <v>1</v>
      </c>
      <c r="Q5252">
        <v>0</v>
      </c>
      <c r="R5252">
        <v>0</v>
      </c>
    </row>
    <row r="5253" spans="1:18" x14ac:dyDescent="0.25">
      <c r="A5253" t="s">
        <v>27</v>
      </c>
      <c r="B5253" t="s">
        <v>6</v>
      </c>
      <c r="C5253">
        <v>3</v>
      </c>
      <c r="D5253">
        <v>1</v>
      </c>
      <c r="E5253">
        <v>2</v>
      </c>
      <c r="F5253" s="15">
        <v>46216</v>
      </c>
      <c r="G5253" t="s">
        <v>640</v>
      </c>
      <c r="H5253">
        <v>4</v>
      </c>
      <c r="I5253">
        <v>2026</v>
      </c>
      <c r="J5253">
        <v>7</v>
      </c>
      <c r="K5253" t="s">
        <v>87</v>
      </c>
      <c r="L5253" t="s">
        <v>14</v>
      </c>
      <c r="M5253" t="s">
        <v>6</v>
      </c>
      <c r="N5253" t="b">
        <v>0</v>
      </c>
      <c r="O5253">
        <v>0</v>
      </c>
      <c r="P5253">
        <v>1</v>
      </c>
      <c r="Q5253">
        <v>0</v>
      </c>
      <c r="R5253">
        <v>0</v>
      </c>
    </row>
    <row r="5254" spans="1:18" x14ac:dyDescent="0.25">
      <c r="A5254" t="s">
        <v>27</v>
      </c>
      <c r="B5254" t="s">
        <v>6</v>
      </c>
      <c r="C5254">
        <v>3</v>
      </c>
      <c r="D5254">
        <v>1</v>
      </c>
      <c r="E5254">
        <v>2</v>
      </c>
      <c r="F5254" s="15">
        <v>46216</v>
      </c>
      <c r="G5254" t="s">
        <v>640</v>
      </c>
      <c r="H5254">
        <v>4</v>
      </c>
      <c r="I5254">
        <v>2026</v>
      </c>
      <c r="J5254">
        <v>7</v>
      </c>
      <c r="K5254" t="s">
        <v>87</v>
      </c>
      <c r="L5254" t="s">
        <v>19</v>
      </c>
      <c r="M5254" t="s">
        <v>8</v>
      </c>
      <c r="N5254" t="b">
        <v>0</v>
      </c>
      <c r="O5254">
        <v>0</v>
      </c>
      <c r="P5254">
        <v>1</v>
      </c>
      <c r="Q5254">
        <v>0</v>
      </c>
      <c r="R5254">
        <v>1</v>
      </c>
    </row>
    <row r="5255" spans="1:18" x14ac:dyDescent="0.25">
      <c r="A5255" t="s">
        <v>19</v>
      </c>
      <c r="B5255" t="s">
        <v>8</v>
      </c>
      <c r="C5255">
        <v>4</v>
      </c>
      <c r="D5255">
        <v>1</v>
      </c>
      <c r="E5255">
        <v>2</v>
      </c>
      <c r="F5255" s="15">
        <v>46216</v>
      </c>
      <c r="G5255" t="s">
        <v>640</v>
      </c>
      <c r="H5255">
        <v>4</v>
      </c>
      <c r="I5255">
        <v>2026</v>
      </c>
      <c r="J5255">
        <v>7</v>
      </c>
      <c r="K5255" t="s">
        <v>87</v>
      </c>
      <c r="L5255" t="s">
        <v>352</v>
      </c>
      <c r="M5255" t="s">
        <v>6</v>
      </c>
      <c r="N5255" t="b">
        <v>0</v>
      </c>
      <c r="O5255">
        <v>1</v>
      </c>
      <c r="P5255">
        <v>0</v>
      </c>
      <c r="Q5255">
        <v>0</v>
      </c>
      <c r="R5255">
        <v>0</v>
      </c>
    </row>
    <row r="5256" spans="1:18" x14ac:dyDescent="0.25">
      <c r="A5256" t="s">
        <v>19</v>
      </c>
      <c r="B5256" t="s">
        <v>8</v>
      </c>
      <c r="C5256">
        <v>4</v>
      </c>
      <c r="D5256">
        <v>1</v>
      </c>
      <c r="E5256">
        <v>2</v>
      </c>
      <c r="F5256" s="15">
        <v>46216</v>
      </c>
      <c r="G5256" t="s">
        <v>640</v>
      </c>
      <c r="H5256">
        <v>4</v>
      </c>
      <c r="I5256">
        <v>2026</v>
      </c>
      <c r="J5256">
        <v>7</v>
      </c>
      <c r="K5256" t="s">
        <v>87</v>
      </c>
      <c r="L5256" t="s">
        <v>14</v>
      </c>
      <c r="M5256" t="s">
        <v>6</v>
      </c>
      <c r="N5256" t="b">
        <v>0</v>
      </c>
      <c r="O5256">
        <v>1</v>
      </c>
      <c r="P5256">
        <v>0</v>
      </c>
      <c r="Q5256">
        <v>0</v>
      </c>
      <c r="R5256">
        <v>0</v>
      </c>
    </row>
    <row r="5257" spans="1:18" x14ac:dyDescent="0.25">
      <c r="A5257" t="s">
        <v>19</v>
      </c>
      <c r="B5257" t="s">
        <v>8</v>
      </c>
      <c r="C5257">
        <v>4</v>
      </c>
      <c r="D5257">
        <v>1</v>
      </c>
      <c r="E5257">
        <v>2</v>
      </c>
      <c r="F5257" s="15">
        <v>46216</v>
      </c>
      <c r="G5257" t="s">
        <v>640</v>
      </c>
      <c r="H5257">
        <v>4</v>
      </c>
      <c r="I5257">
        <v>2026</v>
      </c>
      <c r="J5257">
        <v>7</v>
      </c>
      <c r="K5257" t="s">
        <v>87</v>
      </c>
      <c r="L5257" t="s">
        <v>27</v>
      </c>
      <c r="M5257" t="s">
        <v>6</v>
      </c>
      <c r="N5257" t="b">
        <v>0</v>
      </c>
      <c r="O5257">
        <v>1</v>
      </c>
      <c r="P5257">
        <v>0</v>
      </c>
      <c r="Q5257">
        <v>0</v>
      </c>
      <c r="R5257">
        <v>0</v>
      </c>
    </row>
    <row r="5258" spans="1:18" x14ac:dyDescent="0.25">
      <c r="A5258" t="s">
        <v>15</v>
      </c>
      <c r="B5258" t="s">
        <v>8</v>
      </c>
      <c r="C5258">
        <v>1</v>
      </c>
      <c r="D5258">
        <v>2</v>
      </c>
      <c r="E5258">
        <v>2</v>
      </c>
      <c r="F5258" s="15">
        <v>46216</v>
      </c>
      <c r="G5258" t="s">
        <v>641</v>
      </c>
      <c r="H5258">
        <v>4</v>
      </c>
      <c r="I5258">
        <v>2026</v>
      </c>
      <c r="J5258">
        <v>7</v>
      </c>
      <c r="K5258" t="s">
        <v>87</v>
      </c>
      <c r="L5258" t="s">
        <v>519</v>
      </c>
      <c r="M5258" t="s">
        <v>6</v>
      </c>
      <c r="N5258" t="b">
        <v>0</v>
      </c>
      <c r="O5258">
        <v>1</v>
      </c>
      <c r="P5258">
        <v>0</v>
      </c>
      <c r="Q5258">
        <v>0</v>
      </c>
      <c r="R5258">
        <v>0</v>
      </c>
    </row>
    <row r="5259" spans="1:18" x14ac:dyDescent="0.25">
      <c r="A5259" t="s">
        <v>15</v>
      </c>
      <c r="B5259" t="s">
        <v>8</v>
      </c>
      <c r="C5259">
        <v>1</v>
      </c>
      <c r="D5259">
        <v>2</v>
      </c>
      <c r="E5259">
        <v>2</v>
      </c>
      <c r="F5259" s="15">
        <v>46216</v>
      </c>
      <c r="G5259" t="s">
        <v>641</v>
      </c>
      <c r="H5259">
        <v>4</v>
      </c>
      <c r="I5259">
        <v>2026</v>
      </c>
      <c r="J5259">
        <v>7</v>
      </c>
      <c r="K5259" t="s">
        <v>87</v>
      </c>
      <c r="L5259" t="s">
        <v>17</v>
      </c>
      <c r="M5259" t="s">
        <v>6</v>
      </c>
      <c r="N5259" t="b">
        <v>0</v>
      </c>
      <c r="O5259">
        <v>1</v>
      </c>
      <c r="P5259">
        <v>0</v>
      </c>
      <c r="Q5259">
        <v>0</v>
      </c>
      <c r="R5259">
        <v>0</v>
      </c>
    </row>
    <row r="5260" spans="1:18" x14ac:dyDescent="0.25">
      <c r="A5260" t="s">
        <v>15</v>
      </c>
      <c r="B5260" t="s">
        <v>8</v>
      </c>
      <c r="C5260">
        <v>1</v>
      </c>
      <c r="D5260">
        <v>2</v>
      </c>
      <c r="E5260">
        <v>2</v>
      </c>
      <c r="F5260" s="15">
        <v>46216</v>
      </c>
      <c r="G5260" t="s">
        <v>641</v>
      </c>
      <c r="H5260">
        <v>4</v>
      </c>
      <c r="I5260">
        <v>2026</v>
      </c>
      <c r="J5260">
        <v>7</v>
      </c>
      <c r="K5260" t="s">
        <v>87</v>
      </c>
      <c r="L5260" t="s">
        <v>325</v>
      </c>
      <c r="M5260" t="s">
        <v>6</v>
      </c>
      <c r="N5260" t="b">
        <v>0</v>
      </c>
      <c r="O5260">
        <v>1</v>
      </c>
      <c r="P5260">
        <v>0</v>
      </c>
      <c r="Q5260">
        <v>0</v>
      </c>
      <c r="R5260">
        <v>0</v>
      </c>
    </row>
    <row r="5261" spans="1:18" x14ac:dyDescent="0.25">
      <c r="A5261" t="s">
        <v>519</v>
      </c>
      <c r="B5261" t="s">
        <v>6</v>
      </c>
      <c r="C5261">
        <v>2</v>
      </c>
      <c r="D5261">
        <v>2</v>
      </c>
      <c r="E5261">
        <v>2</v>
      </c>
      <c r="F5261" s="15">
        <v>46216</v>
      </c>
      <c r="G5261" t="s">
        <v>641</v>
      </c>
      <c r="H5261">
        <v>4</v>
      </c>
      <c r="I5261">
        <v>2026</v>
      </c>
      <c r="J5261">
        <v>7</v>
      </c>
      <c r="K5261" t="s">
        <v>87</v>
      </c>
      <c r="L5261" t="s">
        <v>15</v>
      </c>
      <c r="M5261" t="s">
        <v>8</v>
      </c>
      <c r="N5261" t="b">
        <v>0</v>
      </c>
      <c r="O5261">
        <v>0</v>
      </c>
      <c r="P5261">
        <v>1</v>
      </c>
      <c r="Q5261">
        <v>0</v>
      </c>
      <c r="R5261">
        <v>1</v>
      </c>
    </row>
    <row r="5262" spans="1:18" x14ac:dyDescent="0.25">
      <c r="A5262" t="s">
        <v>519</v>
      </c>
      <c r="B5262" t="s">
        <v>6</v>
      </c>
      <c r="C5262">
        <v>2</v>
      </c>
      <c r="D5262">
        <v>2</v>
      </c>
      <c r="E5262">
        <v>2</v>
      </c>
      <c r="F5262" s="15">
        <v>46216</v>
      </c>
      <c r="G5262" t="s">
        <v>641</v>
      </c>
      <c r="H5262">
        <v>4</v>
      </c>
      <c r="I5262">
        <v>2026</v>
      </c>
      <c r="J5262">
        <v>7</v>
      </c>
      <c r="K5262" t="s">
        <v>87</v>
      </c>
      <c r="L5262" t="s">
        <v>17</v>
      </c>
      <c r="M5262" t="s">
        <v>6</v>
      </c>
      <c r="N5262" t="b">
        <v>0</v>
      </c>
      <c r="O5262">
        <v>0</v>
      </c>
      <c r="P5262">
        <v>1</v>
      </c>
      <c r="Q5262">
        <v>0</v>
      </c>
      <c r="R5262">
        <v>0</v>
      </c>
    </row>
    <row r="5263" spans="1:18" x14ac:dyDescent="0.25">
      <c r="A5263" t="s">
        <v>519</v>
      </c>
      <c r="B5263" t="s">
        <v>6</v>
      </c>
      <c r="C5263">
        <v>2</v>
      </c>
      <c r="D5263">
        <v>2</v>
      </c>
      <c r="E5263">
        <v>2</v>
      </c>
      <c r="F5263" s="15">
        <v>46216</v>
      </c>
      <c r="G5263" t="s">
        <v>641</v>
      </c>
      <c r="H5263">
        <v>4</v>
      </c>
      <c r="I5263">
        <v>2026</v>
      </c>
      <c r="J5263">
        <v>7</v>
      </c>
      <c r="K5263" t="s">
        <v>87</v>
      </c>
      <c r="L5263" t="s">
        <v>325</v>
      </c>
      <c r="M5263" t="s">
        <v>6</v>
      </c>
      <c r="N5263" t="b">
        <v>0</v>
      </c>
      <c r="O5263">
        <v>0</v>
      </c>
      <c r="P5263">
        <v>1</v>
      </c>
      <c r="Q5263">
        <v>0</v>
      </c>
      <c r="R5263">
        <v>0</v>
      </c>
    </row>
    <row r="5264" spans="1:18" x14ac:dyDescent="0.25">
      <c r="A5264" t="s">
        <v>17</v>
      </c>
      <c r="B5264" t="s">
        <v>6</v>
      </c>
      <c r="C5264">
        <v>3</v>
      </c>
      <c r="D5264">
        <v>2</v>
      </c>
      <c r="E5264">
        <v>2</v>
      </c>
      <c r="F5264" s="15">
        <v>46216</v>
      </c>
      <c r="G5264" t="s">
        <v>641</v>
      </c>
      <c r="H5264">
        <v>4</v>
      </c>
      <c r="I5264">
        <v>2026</v>
      </c>
      <c r="J5264">
        <v>7</v>
      </c>
      <c r="K5264" t="s">
        <v>87</v>
      </c>
      <c r="L5264" t="s">
        <v>15</v>
      </c>
      <c r="M5264" t="s">
        <v>8</v>
      </c>
      <c r="N5264" t="b">
        <v>0</v>
      </c>
      <c r="O5264">
        <v>0</v>
      </c>
      <c r="P5264">
        <v>1</v>
      </c>
      <c r="Q5264">
        <v>0</v>
      </c>
      <c r="R5264">
        <v>1</v>
      </c>
    </row>
    <row r="5265" spans="1:18" x14ac:dyDescent="0.25">
      <c r="A5265" t="s">
        <v>17</v>
      </c>
      <c r="B5265" t="s">
        <v>6</v>
      </c>
      <c r="C5265">
        <v>3</v>
      </c>
      <c r="D5265">
        <v>2</v>
      </c>
      <c r="E5265">
        <v>2</v>
      </c>
      <c r="F5265" s="15">
        <v>46216</v>
      </c>
      <c r="G5265" t="s">
        <v>641</v>
      </c>
      <c r="H5265">
        <v>4</v>
      </c>
      <c r="I5265">
        <v>2026</v>
      </c>
      <c r="J5265">
        <v>7</v>
      </c>
      <c r="K5265" t="s">
        <v>87</v>
      </c>
      <c r="L5265" t="s">
        <v>519</v>
      </c>
      <c r="M5265" t="s">
        <v>6</v>
      </c>
      <c r="N5265" t="b">
        <v>0</v>
      </c>
      <c r="O5265">
        <v>0</v>
      </c>
      <c r="P5265">
        <v>1</v>
      </c>
      <c r="Q5265">
        <v>0</v>
      </c>
      <c r="R5265">
        <v>0</v>
      </c>
    </row>
    <row r="5266" spans="1:18" x14ac:dyDescent="0.25">
      <c r="A5266" t="s">
        <v>17</v>
      </c>
      <c r="B5266" t="s">
        <v>6</v>
      </c>
      <c r="C5266">
        <v>3</v>
      </c>
      <c r="D5266">
        <v>2</v>
      </c>
      <c r="E5266">
        <v>2</v>
      </c>
      <c r="F5266" s="15">
        <v>46216</v>
      </c>
      <c r="G5266" t="s">
        <v>641</v>
      </c>
      <c r="H5266">
        <v>4</v>
      </c>
      <c r="I5266">
        <v>2026</v>
      </c>
      <c r="J5266">
        <v>7</v>
      </c>
      <c r="K5266" t="s">
        <v>87</v>
      </c>
      <c r="L5266" t="s">
        <v>325</v>
      </c>
      <c r="M5266" t="s">
        <v>6</v>
      </c>
      <c r="N5266" t="b">
        <v>0</v>
      </c>
      <c r="O5266">
        <v>0</v>
      </c>
      <c r="P5266">
        <v>1</v>
      </c>
      <c r="Q5266">
        <v>0</v>
      </c>
      <c r="R5266">
        <v>0</v>
      </c>
    </row>
    <row r="5267" spans="1:18" x14ac:dyDescent="0.25">
      <c r="A5267" t="s">
        <v>325</v>
      </c>
      <c r="B5267" t="s">
        <v>6</v>
      </c>
      <c r="C5267">
        <v>4</v>
      </c>
      <c r="D5267">
        <v>2</v>
      </c>
      <c r="E5267">
        <v>2</v>
      </c>
      <c r="F5267" s="15">
        <v>46216</v>
      </c>
      <c r="G5267" t="s">
        <v>641</v>
      </c>
      <c r="H5267">
        <v>4</v>
      </c>
      <c r="I5267">
        <v>2026</v>
      </c>
      <c r="J5267">
        <v>7</v>
      </c>
      <c r="K5267" t="s">
        <v>87</v>
      </c>
      <c r="L5267" t="s">
        <v>15</v>
      </c>
      <c r="M5267" t="s">
        <v>8</v>
      </c>
      <c r="N5267" t="b">
        <v>0</v>
      </c>
      <c r="O5267">
        <v>0</v>
      </c>
      <c r="P5267">
        <v>1</v>
      </c>
      <c r="Q5267">
        <v>0</v>
      </c>
      <c r="R5267">
        <v>1</v>
      </c>
    </row>
    <row r="5268" spans="1:18" x14ac:dyDescent="0.25">
      <c r="A5268" t="s">
        <v>325</v>
      </c>
      <c r="B5268" t="s">
        <v>6</v>
      </c>
      <c r="C5268">
        <v>4</v>
      </c>
      <c r="D5268">
        <v>2</v>
      </c>
      <c r="E5268">
        <v>2</v>
      </c>
      <c r="F5268" s="15">
        <v>46216</v>
      </c>
      <c r="G5268" t="s">
        <v>641</v>
      </c>
      <c r="H5268">
        <v>4</v>
      </c>
      <c r="I5268">
        <v>2026</v>
      </c>
      <c r="J5268">
        <v>7</v>
      </c>
      <c r="K5268" t="s">
        <v>87</v>
      </c>
      <c r="L5268" t="s">
        <v>519</v>
      </c>
      <c r="M5268" t="s">
        <v>6</v>
      </c>
      <c r="N5268" t="b">
        <v>0</v>
      </c>
      <c r="O5268">
        <v>0</v>
      </c>
      <c r="P5268">
        <v>1</v>
      </c>
      <c r="Q5268">
        <v>0</v>
      </c>
      <c r="R5268">
        <v>0</v>
      </c>
    </row>
    <row r="5269" spans="1:18" x14ac:dyDescent="0.25">
      <c r="A5269" t="s">
        <v>325</v>
      </c>
      <c r="B5269" t="s">
        <v>6</v>
      </c>
      <c r="C5269">
        <v>4</v>
      </c>
      <c r="D5269">
        <v>2</v>
      </c>
      <c r="E5269">
        <v>2</v>
      </c>
      <c r="F5269" s="15">
        <v>46216</v>
      </c>
      <c r="G5269" t="s">
        <v>641</v>
      </c>
      <c r="H5269">
        <v>4</v>
      </c>
      <c r="I5269">
        <v>2026</v>
      </c>
      <c r="J5269">
        <v>7</v>
      </c>
      <c r="K5269" t="s">
        <v>87</v>
      </c>
      <c r="L5269" t="s">
        <v>17</v>
      </c>
      <c r="M5269" t="s">
        <v>6</v>
      </c>
      <c r="N5269" t="b">
        <v>0</v>
      </c>
      <c r="O5269">
        <v>0</v>
      </c>
      <c r="P5269">
        <v>1</v>
      </c>
      <c r="Q5269">
        <v>0</v>
      </c>
      <c r="R5269">
        <v>0</v>
      </c>
    </row>
    <row r="5270" spans="1:18" x14ac:dyDescent="0.25">
      <c r="A5270" t="s">
        <v>609</v>
      </c>
      <c r="B5270" t="s">
        <v>6</v>
      </c>
      <c r="C5270">
        <v>1</v>
      </c>
      <c r="D5270">
        <v>3</v>
      </c>
      <c r="E5270">
        <v>2</v>
      </c>
      <c r="F5270" s="15">
        <v>46216</v>
      </c>
      <c r="G5270" t="s">
        <v>642</v>
      </c>
      <c r="H5270">
        <v>4</v>
      </c>
      <c r="I5270">
        <v>2026</v>
      </c>
      <c r="J5270">
        <v>7</v>
      </c>
      <c r="K5270" t="s">
        <v>87</v>
      </c>
      <c r="L5270" t="s">
        <v>10</v>
      </c>
      <c r="M5270" t="s">
        <v>6</v>
      </c>
      <c r="N5270" t="b">
        <v>0</v>
      </c>
      <c r="O5270">
        <v>0</v>
      </c>
      <c r="P5270">
        <v>1</v>
      </c>
      <c r="Q5270">
        <v>0</v>
      </c>
      <c r="R5270">
        <v>0</v>
      </c>
    </row>
    <row r="5271" spans="1:18" x14ac:dyDescent="0.25">
      <c r="A5271" t="s">
        <v>609</v>
      </c>
      <c r="B5271" t="s">
        <v>6</v>
      </c>
      <c r="C5271">
        <v>1</v>
      </c>
      <c r="D5271">
        <v>3</v>
      </c>
      <c r="E5271">
        <v>2</v>
      </c>
      <c r="F5271" s="15">
        <v>46216</v>
      </c>
      <c r="G5271" t="s">
        <v>642</v>
      </c>
      <c r="H5271">
        <v>4</v>
      </c>
      <c r="I5271">
        <v>2026</v>
      </c>
      <c r="J5271">
        <v>7</v>
      </c>
      <c r="K5271" t="s">
        <v>87</v>
      </c>
      <c r="L5271" t="s">
        <v>20</v>
      </c>
      <c r="M5271" t="s">
        <v>6</v>
      </c>
      <c r="N5271" t="b">
        <v>0</v>
      </c>
      <c r="O5271">
        <v>0</v>
      </c>
      <c r="P5271">
        <v>1</v>
      </c>
      <c r="Q5271">
        <v>0</v>
      </c>
      <c r="R5271">
        <v>0</v>
      </c>
    </row>
    <row r="5272" spans="1:18" x14ac:dyDescent="0.25">
      <c r="A5272" t="s">
        <v>609</v>
      </c>
      <c r="B5272" t="s">
        <v>6</v>
      </c>
      <c r="C5272">
        <v>1</v>
      </c>
      <c r="D5272">
        <v>3</v>
      </c>
      <c r="E5272">
        <v>2</v>
      </c>
      <c r="F5272" s="15">
        <v>46216</v>
      </c>
      <c r="G5272" t="s">
        <v>642</v>
      </c>
      <c r="H5272">
        <v>4</v>
      </c>
      <c r="I5272">
        <v>2026</v>
      </c>
      <c r="J5272">
        <v>7</v>
      </c>
      <c r="K5272" t="s">
        <v>87</v>
      </c>
      <c r="L5272" t="s">
        <v>622</v>
      </c>
      <c r="M5272" t="s">
        <v>8</v>
      </c>
      <c r="N5272" t="b">
        <v>0</v>
      </c>
      <c r="O5272">
        <v>0</v>
      </c>
      <c r="P5272">
        <v>1</v>
      </c>
      <c r="Q5272">
        <v>0</v>
      </c>
      <c r="R5272">
        <v>1</v>
      </c>
    </row>
    <row r="5273" spans="1:18" x14ac:dyDescent="0.25">
      <c r="A5273" t="s">
        <v>10</v>
      </c>
      <c r="B5273" t="s">
        <v>6</v>
      </c>
      <c r="C5273">
        <v>2</v>
      </c>
      <c r="D5273">
        <v>3</v>
      </c>
      <c r="E5273">
        <v>2</v>
      </c>
      <c r="F5273" s="15">
        <v>46216</v>
      </c>
      <c r="G5273" t="s">
        <v>642</v>
      </c>
      <c r="H5273">
        <v>4</v>
      </c>
      <c r="I5273">
        <v>2026</v>
      </c>
      <c r="J5273">
        <v>7</v>
      </c>
      <c r="K5273" t="s">
        <v>87</v>
      </c>
      <c r="L5273" t="s">
        <v>609</v>
      </c>
      <c r="M5273" t="s">
        <v>6</v>
      </c>
      <c r="N5273" t="b">
        <v>0</v>
      </c>
      <c r="O5273">
        <v>0</v>
      </c>
      <c r="P5273">
        <v>1</v>
      </c>
      <c r="Q5273">
        <v>0</v>
      </c>
      <c r="R5273">
        <v>0</v>
      </c>
    </row>
    <row r="5274" spans="1:18" x14ac:dyDescent="0.25">
      <c r="A5274" t="s">
        <v>10</v>
      </c>
      <c r="B5274" t="s">
        <v>6</v>
      </c>
      <c r="C5274">
        <v>2</v>
      </c>
      <c r="D5274">
        <v>3</v>
      </c>
      <c r="E5274">
        <v>2</v>
      </c>
      <c r="F5274" s="15">
        <v>46216</v>
      </c>
      <c r="G5274" t="s">
        <v>642</v>
      </c>
      <c r="H5274">
        <v>4</v>
      </c>
      <c r="I5274">
        <v>2026</v>
      </c>
      <c r="J5274">
        <v>7</v>
      </c>
      <c r="K5274" t="s">
        <v>87</v>
      </c>
      <c r="L5274" t="s">
        <v>20</v>
      </c>
      <c r="M5274" t="s">
        <v>6</v>
      </c>
      <c r="N5274" t="b">
        <v>0</v>
      </c>
      <c r="O5274">
        <v>0</v>
      </c>
      <c r="P5274">
        <v>1</v>
      </c>
      <c r="Q5274">
        <v>0</v>
      </c>
      <c r="R5274">
        <v>0</v>
      </c>
    </row>
    <row r="5275" spans="1:18" x14ac:dyDescent="0.25">
      <c r="A5275" t="s">
        <v>10</v>
      </c>
      <c r="B5275" t="s">
        <v>6</v>
      </c>
      <c r="C5275">
        <v>2</v>
      </c>
      <c r="D5275">
        <v>3</v>
      </c>
      <c r="E5275">
        <v>2</v>
      </c>
      <c r="F5275" s="15">
        <v>46216</v>
      </c>
      <c r="G5275" t="s">
        <v>642</v>
      </c>
      <c r="H5275">
        <v>4</v>
      </c>
      <c r="I5275">
        <v>2026</v>
      </c>
      <c r="J5275">
        <v>7</v>
      </c>
      <c r="K5275" t="s">
        <v>87</v>
      </c>
      <c r="L5275" t="s">
        <v>622</v>
      </c>
      <c r="M5275" t="s">
        <v>8</v>
      </c>
      <c r="N5275" t="b">
        <v>0</v>
      </c>
      <c r="O5275">
        <v>0</v>
      </c>
      <c r="P5275">
        <v>1</v>
      </c>
      <c r="Q5275">
        <v>0</v>
      </c>
      <c r="R5275">
        <v>1</v>
      </c>
    </row>
    <row r="5276" spans="1:18" x14ac:dyDescent="0.25">
      <c r="A5276" t="s">
        <v>20</v>
      </c>
      <c r="B5276" t="s">
        <v>6</v>
      </c>
      <c r="C5276">
        <v>3</v>
      </c>
      <c r="D5276">
        <v>3</v>
      </c>
      <c r="E5276">
        <v>2</v>
      </c>
      <c r="F5276" s="15">
        <v>46216</v>
      </c>
      <c r="G5276" t="s">
        <v>642</v>
      </c>
      <c r="H5276">
        <v>4</v>
      </c>
      <c r="I5276">
        <v>2026</v>
      </c>
      <c r="J5276">
        <v>7</v>
      </c>
      <c r="K5276" t="s">
        <v>87</v>
      </c>
      <c r="L5276" t="s">
        <v>609</v>
      </c>
      <c r="M5276" t="s">
        <v>6</v>
      </c>
      <c r="N5276" t="b">
        <v>0</v>
      </c>
      <c r="O5276">
        <v>0</v>
      </c>
      <c r="P5276">
        <v>1</v>
      </c>
      <c r="Q5276">
        <v>0</v>
      </c>
      <c r="R5276">
        <v>0</v>
      </c>
    </row>
    <row r="5277" spans="1:18" x14ac:dyDescent="0.25">
      <c r="A5277" t="s">
        <v>20</v>
      </c>
      <c r="B5277" t="s">
        <v>6</v>
      </c>
      <c r="C5277">
        <v>3</v>
      </c>
      <c r="D5277">
        <v>3</v>
      </c>
      <c r="E5277">
        <v>2</v>
      </c>
      <c r="F5277" s="15">
        <v>46216</v>
      </c>
      <c r="G5277" t="s">
        <v>642</v>
      </c>
      <c r="H5277">
        <v>4</v>
      </c>
      <c r="I5277">
        <v>2026</v>
      </c>
      <c r="J5277">
        <v>7</v>
      </c>
      <c r="K5277" t="s">
        <v>87</v>
      </c>
      <c r="L5277" t="s">
        <v>10</v>
      </c>
      <c r="M5277" t="s">
        <v>6</v>
      </c>
      <c r="N5277" t="b">
        <v>0</v>
      </c>
      <c r="O5277">
        <v>0</v>
      </c>
      <c r="P5277">
        <v>1</v>
      </c>
      <c r="Q5277">
        <v>0</v>
      </c>
      <c r="R5277">
        <v>0</v>
      </c>
    </row>
    <row r="5278" spans="1:18" x14ac:dyDescent="0.25">
      <c r="A5278" t="s">
        <v>20</v>
      </c>
      <c r="B5278" t="s">
        <v>6</v>
      </c>
      <c r="C5278">
        <v>3</v>
      </c>
      <c r="D5278">
        <v>3</v>
      </c>
      <c r="E5278">
        <v>2</v>
      </c>
      <c r="F5278" s="15">
        <v>46216</v>
      </c>
      <c r="G5278" t="s">
        <v>642</v>
      </c>
      <c r="H5278">
        <v>4</v>
      </c>
      <c r="I5278">
        <v>2026</v>
      </c>
      <c r="J5278">
        <v>7</v>
      </c>
      <c r="K5278" t="s">
        <v>87</v>
      </c>
      <c r="L5278" t="s">
        <v>622</v>
      </c>
      <c r="M5278" t="s">
        <v>8</v>
      </c>
      <c r="N5278" t="b">
        <v>0</v>
      </c>
      <c r="O5278">
        <v>0</v>
      </c>
      <c r="P5278">
        <v>1</v>
      </c>
      <c r="Q5278">
        <v>0</v>
      </c>
      <c r="R5278">
        <v>1</v>
      </c>
    </row>
    <row r="5279" spans="1:18" x14ac:dyDescent="0.25">
      <c r="A5279" t="s">
        <v>622</v>
      </c>
      <c r="B5279" t="s">
        <v>8</v>
      </c>
      <c r="C5279">
        <v>4</v>
      </c>
      <c r="D5279">
        <v>3</v>
      </c>
      <c r="E5279">
        <v>2</v>
      </c>
      <c r="F5279" s="15">
        <v>46216</v>
      </c>
      <c r="G5279" t="s">
        <v>642</v>
      </c>
      <c r="H5279">
        <v>4</v>
      </c>
      <c r="I5279">
        <v>2026</v>
      </c>
      <c r="J5279">
        <v>7</v>
      </c>
      <c r="K5279" t="s">
        <v>87</v>
      </c>
      <c r="L5279" t="s">
        <v>609</v>
      </c>
      <c r="M5279" t="s">
        <v>6</v>
      </c>
      <c r="N5279" t="b">
        <v>0</v>
      </c>
      <c r="O5279">
        <v>1</v>
      </c>
      <c r="P5279">
        <v>0</v>
      </c>
      <c r="Q5279">
        <v>0</v>
      </c>
      <c r="R5279">
        <v>0</v>
      </c>
    </row>
    <row r="5280" spans="1:18" x14ac:dyDescent="0.25">
      <c r="A5280" t="s">
        <v>622</v>
      </c>
      <c r="B5280" t="s">
        <v>8</v>
      </c>
      <c r="C5280">
        <v>4</v>
      </c>
      <c r="D5280">
        <v>3</v>
      </c>
      <c r="E5280">
        <v>2</v>
      </c>
      <c r="F5280" s="15">
        <v>46216</v>
      </c>
      <c r="G5280" t="s">
        <v>642</v>
      </c>
      <c r="H5280">
        <v>4</v>
      </c>
      <c r="I5280">
        <v>2026</v>
      </c>
      <c r="J5280">
        <v>7</v>
      </c>
      <c r="K5280" t="s">
        <v>87</v>
      </c>
      <c r="L5280" t="s">
        <v>10</v>
      </c>
      <c r="M5280" t="s">
        <v>6</v>
      </c>
      <c r="N5280" t="b">
        <v>0</v>
      </c>
      <c r="O5280">
        <v>1</v>
      </c>
      <c r="P5280">
        <v>0</v>
      </c>
      <c r="Q5280">
        <v>0</v>
      </c>
      <c r="R5280">
        <v>0</v>
      </c>
    </row>
    <row r="5281" spans="1:18" x14ac:dyDescent="0.25">
      <c r="A5281" t="s">
        <v>622</v>
      </c>
      <c r="B5281" t="s">
        <v>8</v>
      </c>
      <c r="C5281">
        <v>4</v>
      </c>
      <c r="D5281">
        <v>3</v>
      </c>
      <c r="E5281">
        <v>2</v>
      </c>
      <c r="F5281" s="15">
        <v>46216</v>
      </c>
      <c r="G5281" t="s">
        <v>642</v>
      </c>
      <c r="H5281">
        <v>4</v>
      </c>
      <c r="I5281">
        <v>2026</v>
      </c>
      <c r="J5281">
        <v>7</v>
      </c>
      <c r="K5281" t="s">
        <v>87</v>
      </c>
      <c r="L5281" t="s">
        <v>20</v>
      </c>
      <c r="M5281" t="s">
        <v>6</v>
      </c>
      <c r="N5281" t="b">
        <v>0</v>
      </c>
      <c r="O5281">
        <v>1</v>
      </c>
      <c r="P5281">
        <v>0</v>
      </c>
      <c r="Q5281">
        <v>0</v>
      </c>
      <c r="R5281">
        <v>0</v>
      </c>
    </row>
    <row r="5282" spans="1:18" x14ac:dyDescent="0.25">
      <c r="A5282" t="s">
        <v>13</v>
      </c>
      <c r="B5282" t="s">
        <v>6</v>
      </c>
      <c r="C5282">
        <v>1</v>
      </c>
      <c r="D5282">
        <v>4</v>
      </c>
      <c r="E5282">
        <v>2</v>
      </c>
      <c r="F5282" s="15">
        <v>46216</v>
      </c>
      <c r="G5282" t="s">
        <v>643</v>
      </c>
      <c r="H5282">
        <v>4</v>
      </c>
      <c r="I5282">
        <v>2026</v>
      </c>
      <c r="J5282">
        <v>7</v>
      </c>
      <c r="K5282" t="s">
        <v>87</v>
      </c>
      <c r="L5282" t="s">
        <v>7</v>
      </c>
      <c r="M5282" t="s">
        <v>6</v>
      </c>
      <c r="N5282" t="b">
        <v>0</v>
      </c>
      <c r="O5282">
        <v>0</v>
      </c>
      <c r="P5282">
        <v>1</v>
      </c>
      <c r="Q5282">
        <v>0</v>
      </c>
      <c r="R5282">
        <v>0</v>
      </c>
    </row>
    <row r="5283" spans="1:18" x14ac:dyDescent="0.25">
      <c r="A5283" t="s">
        <v>13</v>
      </c>
      <c r="B5283" t="s">
        <v>6</v>
      </c>
      <c r="C5283">
        <v>1</v>
      </c>
      <c r="D5283">
        <v>4</v>
      </c>
      <c r="E5283">
        <v>2</v>
      </c>
      <c r="F5283" s="15">
        <v>46216</v>
      </c>
      <c r="G5283" t="s">
        <v>643</v>
      </c>
      <c r="H5283">
        <v>4</v>
      </c>
      <c r="I5283">
        <v>2026</v>
      </c>
      <c r="J5283">
        <v>7</v>
      </c>
      <c r="K5283" t="s">
        <v>87</v>
      </c>
      <c r="L5283" t="s">
        <v>11</v>
      </c>
      <c r="M5283" t="s">
        <v>8</v>
      </c>
      <c r="N5283" t="b">
        <v>0</v>
      </c>
      <c r="O5283">
        <v>0</v>
      </c>
      <c r="P5283">
        <v>1</v>
      </c>
      <c r="Q5283">
        <v>0</v>
      </c>
      <c r="R5283">
        <v>1</v>
      </c>
    </row>
    <row r="5284" spans="1:18" x14ac:dyDescent="0.25">
      <c r="A5284" t="s">
        <v>13</v>
      </c>
      <c r="B5284" t="s">
        <v>6</v>
      </c>
      <c r="C5284">
        <v>1</v>
      </c>
      <c r="D5284">
        <v>4</v>
      </c>
      <c r="E5284">
        <v>2</v>
      </c>
      <c r="F5284" s="15">
        <v>46216</v>
      </c>
      <c r="G5284" t="s">
        <v>643</v>
      </c>
      <c r="H5284">
        <v>4</v>
      </c>
      <c r="I5284">
        <v>2026</v>
      </c>
      <c r="J5284">
        <v>7</v>
      </c>
      <c r="K5284" t="s">
        <v>87</v>
      </c>
      <c r="L5284" t="s">
        <v>351</v>
      </c>
      <c r="M5284" t="s">
        <v>6</v>
      </c>
      <c r="N5284" t="b">
        <v>0</v>
      </c>
      <c r="O5284">
        <v>0</v>
      </c>
      <c r="P5284">
        <v>1</v>
      </c>
      <c r="Q5284">
        <v>0</v>
      </c>
      <c r="R5284">
        <v>0</v>
      </c>
    </row>
    <row r="5285" spans="1:18" x14ac:dyDescent="0.25">
      <c r="A5285" t="s">
        <v>7</v>
      </c>
      <c r="B5285" t="s">
        <v>6</v>
      </c>
      <c r="C5285">
        <v>2</v>
      </c>
      <c r="D5285">
        <v>4</v>
      </c>
      <c r="E5285">
        <v>2</v>
      </c>
      <c r="F5285" s="15">
        <v>46216</v>
      </c>
      <c r="G5285" t="s">
        <v>643</v>
      </c>
      <c r="H5285">
        <v>4</v>
      </c>
      <c r="I5285">
        <v>2026</v>
      </c>
      <c r="J5285">
        <v>7</v>
      </c>
      <c r="K5285" t="s">
        <v>87</v>
      </c>
      <c r="L5285" t="s">
        <v>13</v>
      </c>
      <c r="M5285" t="s">
        <v>6</v>
      </c>
      <c r="N5285" t="b">
        <v>0</v>
      </c>
      <c r="O5285">
        <v>0</v>
      </c>
      <c r="P5285">
        <v>1</v>
      </c>
      <c r="Q5285">
        <v>0</v>
      </c>
      <c r="R5285">
        <v>0</v>
      </c>
    </row>
    <row r="5286" spans="1:18" x14ac:dyDescent="0.25">
      <c r="A5286" t="s">
        <v>7</v>
      </c>
      <c r="B5286" t="s">
        <v>6</v>
      </c>
      <c r="C5286">
        <v>2</v>
      </c>
      <c r="D5286">
        <v>4</v>
      </c>
      <c r="E5286">
        <v>2</v>
      </c>
      <c r="F5286" s="15">
        <v>46216</v>
      </c>
      <c r="G5286" t="s">
        <v>643</v>
      </c>
      <c r="H5286">
        <v>4</v>
      </c>
      <c r="I5286">
        <v>2026</v>
      </c>
      <c r="J5286">
        <v>7</v>
      </c>
      <c r="K5286" t="s">
        <v>87</v>
      </c>
      <c r="L5286" t="s">
        <v>11</v>
      </c>
      <c r="M5286" t="s">
        <v>8</v>
      </c>
      <c r="N5286" t="b">
        <v>0</v>
      </c>
      <c r="O5286">
        <v>0</v>
      </c>
      <c r="P5286">
        <v>1</v>
      </c>
      <c r="Q5286">
        <v>0</v>
      </c>
      <c r="R5286">
        <v>1</v>
      </c>
    </row>
    <row r="5287" spans="1:18" x14ac:dyDescent="0.25">
      <c r="A5287" t="s">
        <v>7</v>
      </c>
      <c r="B5287" t="s">
        <v>6</v>
      </c>
      <c r="C5287">
        <v>2</v>
      </c>
      <c r="D5287">
        <v>4</v>
      </c>
      <c r="E5287">
        <v>2</v>
      </c>
      <c r="F5287" s="15">
        <v>46216</v>
      </c>
      <c r="G5287" t="s">
        <v>643</v>
      </c>
      <c r="H5287">
        <v>4</v>
      </c>
      <c r="I5287">
        <v>2026</v>
      </c>
      <c r="J5287">
        <v>7</v>
      </c>
      <c r="K5287" t="s">
        <v>87</v>
      </c>
      <c r="L5287" t="s">
        <v>351</v>
      </c>
      <c r="M5287" t="s">
        <v>6</v>
      </c>
      <c r="N5287" t="b">
        <v>0</v>
      </c>
      <c r="O5287">
        <v>0</v>
      </c>
      <c r="P5287">
        <v>1</v>
      </c>
      <c r="Q5287">
        <v>0</v>
      </c>
      <c r="R5287">
        <v>0</v>
      </c>
    </row>
    <row r="5288" spans="1:18" x14ac:dyDescent="0.25">
      <c r="A5288" t="s">
        <v>11</v>
      </c>
      <c r="B5288" t="s">
        <v>8</v>
      </c>
      <c r="C5288">
        <v>3</v>
      </c>
      <c r="D5288">
        <v>4</v>
      </c>
      <c r="E5288">
        <v>2</v>
      </c>
      <c r="F5288" s="15">
        <v>46216</v>
      </c>
      <c r="G5288" t="s">
        <v>643</v>
      </c>
      <c r="H5288">
        <v>4</v>
      </c>
      <c r="I5288">
        <v>2026</v>
      </c>
      <c r="J5288">
        <v>7</v>
      </c>
      <c r="K5288" t="s">
        <v>87</v>
      </c>
      <c r="L5288" t="s">
        <v>13</v>
      </c>
      <c r="M5288" t="s">
        <v>6</v>
      </c>
      <c r="N5288" t="b">
        <v>0</v>
      </c>
      <c r="O5288">
        <v>1</v>
      </c>
      <c r="P5288">
        <v>0</v>
      </c>
      <c r="Q5288">
        <v>0</v>
      </c>
      <c r="R5288">
        <v>0</v>
      </c>
    </row>
    <row r="5289" spans="1:18" x14ac:dyDescent="0.25">
      <c r="A5289" t="s">
        <v>11</v>
      </c>
      <c r="B5289" t="s">
        <v>8</v>
      </c>
      <c r="C5289">
        <v>3</v>
      </c>
      <c r="D5289">
        <v>4</v>
      </c>
      <c r="E5289">
        <v>2</v>
      </c>
      <c r="F5289" s="15">
        <v>46216</v>
      </c>
      <c r="G5289" t="s">
        <v>643</v>
      </c>
      <c r="H5289">
        <v>4</v>
      </c>
      <c r="I5289">
        <v>2026</v>
      </c>
      <c r="J5289">
        <v>7</v>
      </c>
      <c r="K5289" t="s">
        <v>87</v>
      </c>
      <c r="L5289" t="s">
        <v>7</v>
      </c>
      <c r="M5289" t="s">
        <v>6</v>
      </c>
      <c r="N5289" t="b">
        <v>0</v>
      </c>
      <c r="O5289">
        <v>1</v>
      </c>
      <c r="P5289">
        <v>0</v>
      </c>
      <c r="Q5289">
        <v>0</v>
      </c>
      <c r="R5289">
        <v>0</v>
      </c>
    </row>
    <row r="5290" spans="1:18" x14ac:dyDescent="0.25">
      <c r="A5290" t="s">
        <v>11</v>
      </c>
      <c r="B5290" t="s">
        <v>8</v>
      </c>
      <c r="C5290">
        <v>3</v>
      </c>
      <c r="D5290">
        <v>4</v>
      </c>
      <c r="E5290">
        <v>2</v>
      </c>
      <c r="F5290" s="15">
        <v>46216</v>
      </c>
      <c r="G5290" t="s">
        <v>643</v>
      </c>
      <c r="H5290">
        <v>4</v>
      </c>
      <c r="I5290">
        <v>2026</v>
      </c>
      <c r="J5290">
        <v>7</v>
      </c>
      <c r="K5290" t="s">
        <v>87</v>
      </c>
      <c r="L5290" t="s">
        <v>351</v>
      </c>
      <c r="M5290" t="s">
        <v>6</v>
      </c>
      <c r="N5290" t="b">
        <v>0</v>
      </c>
      <c r="O5290">
        <v>1</v>
      </c>
      <c r="P5290">
        <v>0</v>
      </c>
      <c r="Q5290">
        <v>0</v>
      </c>
      <c r="R5290">
        <v>0</v>
      </c>
    </row>
    <row r="5291" spans="1:18" x14ac:dyDescent="0.25">
      <c r="A5291" t="s">
        <v>351</v>
      </c>
      <c r="B5291" t="s">
        <v>6</v>
      </c>
      <c r="C5291">
        <v>4</v>
      </c>
      <c r="D5291">
        <v>4</v>
      </c>
      <c r="E5291">
        <v>2</v>
      </c>
      <c r="F5291" s="15">
        <v>46216</v>
      </c>
      <c r="G5291" t="s">
        <v>643</v>
      </c>
      <c r="H5291">
        <v>4</v>
      </c>
      <c r="I5291">
        <v>2026</v>
      </c>
      <c r="J5291">
        <v>7</v>
      </c>
      <c r="K5291" t="s">
        <v>87</v>
      </c>
      <c r="L5291" t="s">
        <v>13</v>
      </c>
      <c r="M5291" t="s">
        <v>6</v>
      </c>
      <c r="N5291" t="b">
        <v>0</v>
      </c>
      <c r="O5291">
        <v>0</v>
      </c>
      <c r="P5291">
        <v>1</v>
      </c>
      <c r="Q5291">
        <v>0</v>
      </c>
      <c r="R5291">
        <v>0</v>
      </c>
    </row>
    <row r="5292" spans="1:18" x14ac:dyDescent="0.25">
      <c r="A5292" t="s">
        <v>351</v>
      </c>
      <c r="B5292" t="s">
        <v>6</v>
      </c>
      <c r="C5292">
        <v>4</v>
      </c>
      <c r="D5292">
        <v>4</v>
      </c>
      <c r="E5292">
        <v>2</v>
      </c>
      <c r="F5292" s="15">
        <v>46216</v>
      </c>
      <c r="G5292" t="s">
        <v>643</v>
      </c>
      <c r="H5292">
        <v>4</v>
      </c>
      <c r="I5292">
        <v>2026</v>
      </c>
      <c r="J5292">
        <v>7</v>
      </c>
      <c r="K5292" t="s">
        <v>87</v>
      </c>
      <c r="L5292" t="s">
        <v>7</v>
      </c>
      <c r="M5292" t="s">
        <v>6</v>
      </c>
      <c r="N5292" t="b">
        <v>0</v>
      </c>
      <c r="O5292">
        <v>0</v>
      </c>
      <c r="P5292">
        <v>1</v>
      </c>
      <c r="Q5292">
        <v>0</v>
      </c>
      <c r="R5292">
        <v>0</v>
      </c>
    </row>
    <row r="5293" spans="1:18" x14ac:dyDescent="0.25">
      <c r="A5293" t="s">
        <v>351</v>
      </c>
      <c r="B5293" t="s">
        <v>6</v>
      </c>
      <c r="C5293">
        <v>4</v>
      </c>
      <c r="D5293">
        <v>4</v>
      </c>
      <c r="E5293">
        <v>2</v>
      </c>
      <c r="F5293" s="15">
        <v>46216</v>
      </c>
      <c r="G5293" t="s">
        <v>643</v>
      </c>
      <c r="H5293">
        <v>4</v>
      </c>
      <c r="I5293">
        <v>2026</v>
      </c>
      <c r="J5293">
        <v>7</v>
      </c>
      <c r="K5293" t="s">
        <v>87</v>
      </c>
      <c r="L5293" t="s">
        <v>11</v>
      </c>
      <c r="M5293" t="s">
        <v>8</v>
      </c>
      <c r="N5293" t="b">
        <v>0</v>
      </c>
      <c r="O5293">
        <v>0</v>
      </c>
      <c r="P5293">
        <v>1</v>
      </c>
      <c r="Q5293">
        <v>0</v>
      </c>
      <c r="R5293">
        <v>1</v>
      </c>
    </row>
    <row r="5294" spans="1:18" x14ac:dyDescent="0.25">
      <c r="A5294" t="s">
        <v>9</v>
      </c>
      <c r="B5294" t="s">
        <v>6</v>
      </c>
      <c r="C5294">
        <v>1</v>
      </c>
      <c r="D5294">
        <v>5</v>
      </c>
      <c r="E5294">
        <v>2</v>
      </c>
      <c r="F5294" s="15">
        <v>46216</v>
      </c>
      <c r="G5294" t="s">
        <v>644</v>
      </c>
      <c r="H5294">
        <v>4</v>
      </c>
      <c r="I5294">
        <v>2026</v>
      </c>
      <c r="J5294">
        <v>7</v>
      </c>
      <c r="K5294" t="s">
        <v>87</v>
      </c>
      <c r="L5294" t="s">
        <v>405</v>
      </c>
      <c r="M5294" t="s">
        <v>8</v>
      </c>
      <c r="N5294" t="b">
        <v>0</v>
      </c>
      <c r="O5294">
        <v>0</v>
      </c>
      <c r="P5294">
        <v>1</v>
      </c>
      <c r="Q5294">
        <v>0</v>
      </c>
      <c r="R5294">
        <v>1</v>
      </c>
    </row>
    <row r="5295" spans="1:18" x14ac:dyDescent="0.25">
      <c r="A5295" t="s">
        <v>9</v>
      </c>
      <c r="B5295" t="s">
        <v>6</v>
      </c>
      <c r="C5295">
        <v>1</v>
      </c>
      <c r="D5295">
        <v>5</v>
      </c>
      <c r="E5295">
        <v>2</v>
      </c>
      <c r="F5295" s="15">
        <v>46216</v>
      </c>
      <c r="G5295" t="s">
        <v>644</v>
      </c>
      <c r="H5295">
        <v>4</v>
      </c>
      <c r="I5295">
        <v>2026</v>
      </c>
      <c r="J5295">
        <v>7</v>
      </c>
      <c r="K5295" t="s">
        <v>87</v>
      </c>
      <c r="L5295" t="s">
        <v>578</v>
      </c>
      <c r="M5295" t="s">
        <v>6</v>
      </c>
      <c r="N5295" t="b">
        <v>0</v>
      </c>
      <c r="O5295">
        <v>0</v>
      </c>
      <c r="P5295">
        <v>1</v>
      </c>
      <c r="Q5295">
        <v>0</v>
      </c>
      <c r="R5295">
        <v>0</v>
      </c>
    </row>
    <row r="5296" spans="1:18" x14ac:dyDescent="0.25">
      <c r="A5296" t="s">
        <v>9</v>
      </c>
      <c r="B5296" t="s">
        <v>6</v>
      </c>
      <c r="C5296">
        <v>1</v>
      </c>
      <c r="D5296">
        <v>5</v>
      </c>
      <c r="E5296">
        <v>2</v>
      </c>
      <c r="F5296" s="15">
        <v>46216</v>
      </c>
      <c r="G5296" t="s">
        <v>644</v>
      </c>
      <c r="H5296">
        <v>4</v>
      </c>
      <c r="I5296">
        <v>2026</v>
      </c>
      <c r="J5296">
        <v>7</v>
      </c>
      <c r="K5296" t="s">
        <v>87</v>
      </c>
      <c r="L5296" t="s">
        <v>51</v>
      </c>
      <c r="M5296" t="s">
        <v>6</v>
      </c>
      <c r="N5296" t="b">
        <v>0</v>
      </c>
      <c r="O5296">
        <v>0</v>
      </c>
      <c r="P5296">
        <v>1</v>
      </c>
      <c r="Q5296">
        <v>0</v>
      </c>
      <c r="R5296">
        <v>0</v>
      </c>
    </row>
    <row r="5297" spans="1:18" x14ac:dyDescent="0.25">
      <c r="A5297" t="s">
        <v>405</v>
      </c>
      <c r="B5297" t="s">
        <v>8</v>
      </c>
      <c r="C5297">
        <v>2</v>
      </c>
      <c r="D5297">
        <v>5</v>
      </c>
      <c r="E5297">
        <v>2</v>
      </c>
      <c r="F5297" s="15">
        <v>46216</v>
      </c>
      <c r="G5297" t="s">
        <v>644</v>
      </c>
      <c r="H5297">
        <v>4</v>
      </c>
      <c r="I5297">
        <v>2026</v>
      </c>
      <c r="J5297">
        <v>7</v>
      </c>
      <c r="K5297" t="s">
        <v>87</v>
      </c>
      <c r="L5297" t="s">
        <v>9</v>
      </c>
      <c r="M5297" t="s">
        <v>6</v>
      </c>
      <c r="N5297" t="b">
        <v>0</v>
      </c>
      <c r="O5297">
        <v>1</v>
      </c>
      <c r="P5297">
        <v>0</v>
      </c>
      <c r="Q5297">
        <v>0</v>
      </c>
      <c r="R5297">
        <v>0</v>
      </c>
    </row>
    <row r="5298" spans="1:18" x14ac:dyDescent="0.25">
      <c r="A5298" t="s">
        <v>405</v>
      </c>
      <c r="B5298" t="s">
        <v>8</v>
      </c>
      <c r="C5298">
        <v>2</v>
      </c>
      <c r="D5298">
        <v>5</v>
      </c>
      <c r="E5298">
        <v>2</v>
      </c>
      <c r="F5298" s="15">
        <v>46216</v>
      </c>
      <c r="G5298" t="s">
        <v>644</v>
      </c>
      <c r="H5298">
        <v>4</v>
      </c>
      <c r="I5298">
        <v>2026</v>
      </c>
      <c r="J5298">
        <v>7</v>
      </c>
      <c r="K5298" t="s">
        <v>87</v>
      </c>
      <c r="L5298" t="s">
        <v>578</v>
      </c>
      <c r="M5298" t="s">
        <v>6</v>
      </c>
      <c r="N5298" t="b">
        <v>0</v>
      </c>
      <c r="O5298">
        <v>1</v>
      </c>
      <c r="P5298">
        <v>0</v>
      </c>
      <c r="Q5298">
        <v>0</v>
      </c>
      <c r="R5298">
        <v>0</v>
      </c>
    </row>
    <row r="5299" spans="1:18" x14ac:dyDescent="0.25">
      <c r="A5299" t="s">
        <v>405</v>
      </c>
      <c r="B5299" t="s">
        <v>8</v>
      </c>
      <c r="C5299">
        <v>2</v>
      </c>
      <c r="D5299">
        <v>5</v>
      </c>
      <c r="E5299">
        <v>2</v>
      </c>
      <c r="F5299" s="15">
        <v>46216</v>
      </c>
      <c r="G5299" t="s">
        <v>644</v>
      </c>
      <c r="H5299">
        <v>4</v>
      </c>
      <c r="I5299">
        <v>2026</v>
      </c>
      <c r="J5299">
        <v>7</v>
      </c>
      <c r="K5299" t="s">
        <v>87</v>
      </c>
      <c r="L5299" t="s">
        <v>51</v>
      </c>
      <c r="M5299" t="s">
        <v>6</v>
      </c>
      <c r="N5299" t="b">
        <v>0</v>
      </c>
      <c r="O5299">
        <v>1</v>
      </c>
      <c r="P5299">
        <v>0</v>
      </c>
      <c r="Q5299">
        <v>0</v>
      </c>
      <c r="R5299">
        <v>0</v>
      </c>
    </row>
    <row r="5300" spans="1:18" x14ac:dyDescent="0.25">
      <c r="A5300" t="s">
        <v>578</v>
      </c>
      <c r="B5300" t="s">
        <v>6</v>
      </c>
      <c r="C5300">
        <v>3</v>
      </c>
      <c r="D5300">
        <v>5</v>
      </c>
      <c r="E5300">
        <v>2</v>
      </c>
      <c r="F5300" s="15">
        <v>46216</v>
      </c>
      <c r="G5300" t="s">
        <v>644</v>
      </c>
      <c r="H5300">
        <v>4</v>
      </c>
      <c r="I5300">
        <v>2026</v>
      </c>
      <c r="J5300">
        <v>7</v>
      </c>
      <c r="K5300" t="s">
        <v>87</v>
      </c>
      <c r="L5300" t="s">
        <v>9</v>
      </c>
      <c r="M5300" t="s">
        <v>6</v>
      </c>
      <c r="N5300" t="b">
        <v>0</v>
      </c>
      <c r="O5300">
        <v>0</v>
      </c>
      <c r="P5300">
        <v>1</v>
      </c>
      <c r="Q5300">
        <v>0</v>
      </c>
      <c r="R5300">
        <v>0</v>
      </c>
    </row>
    <row r="5301" spans="1:18" x14ac:dyDescent="0.25">
      <c r="A5301" t="s">
        <v>578</v>
      </c>
      <c r="B5301" t="s">
        <v>6</v>
      </c>
      <c r="C5301">
        <v>3</v>
      </c>
      <c r="D5301">
        <v>5</v>
      </c>
      <c r="E5301">
        <v>2</v>
      </c>
      <c r="F5301" s="15">
        <v>46216</v>
      </c>
      <c r="G5301" t="s">
        <v>644</v>
      </c>
      <c r="H5301">
        <v>4</v>
      </c>
      <c r="I5301">
        <v>2026</v>
      </c>
      <c r="J5301">
        <v>7</v>
      </c>
      <c r="K5301" t="s">
        <v>87</v>
      </c>
      <c r="L5301" t="s">
        <v>405</v>
      </c>
      <c r="M5301" t="s">
        <v>8</v>
      </c>
      <c r="N5301" t="b">
        <v>0</v>
      </c>
      <c r="O5301">
        <v>0</v>
      </c>
      <c r="P5301">
        <v>1</v>
      </c>
      <c r="Q5301">
        <v>0</v>
      </c>
      <c r="R5301">
        <v>1</v>
      </c>
    </row>
    <row r="5302" spans="1:18" x14ac:dyDescent="0.25">
      <c r="A5302" t="s">
        <v>578</v>
      </c>
      <c r="B5302" t="s">
        <v>6</v>
      </c>
      <c r="C5302">
        <v>3</v>
      </c>
      <c r="D5302">
        <v>5</v>
      </c>
      <c r="E5302">
        <v>2</v>
      </c>
      <c r="F5302" s="15">
        <v>46216</v>
      </c>
      <c r="G5302" t="s">
        <v>644</v>
      </c>
      <c r="H5302">
        <v>4</v>
      </c>
      <c r="I5302">
        <v>2026</v>
      </c>
      <c r="J5302">
        <v>7</v>
      </c>
      <c r="K5302" t="s">
        <v>87</v>
      </c>
      <c r="L5302" t="s">
        <v>51</v>
      </c>
      <c r="M5302" t="s">
        <v>6</v>
      </c>
      <c r="N5302" t="b">
        <v>0</v>
      </c>
      <c r="O5302">
        <v>0</v>
      </c>
      <c r="P5302">
        <v>1</v>
      </c>
      <c r="Q5302">
        <v>0</v>
      </c>
      <c r="R5302">
        <v>0</v>
      </c>
    </row>
    <row r="5303" spans="1:18" x14ac:dyDescent="0.25">
      <c r="A5303" t="s">
        <v>51</v>
      </c>
      <c r="B5303" t="s">
        <v>6</v>
      </c>
      <c r="C5303">
        <v>4</v>
      </c>
      <c r="D5303">
        <v>5</v>
      </c>
      <c r="E5303">
        <v>2</v>
      </c>
      <c r="F5303" s="15">
        <v>46216</v>
      </c>
      <c r="G5303" t="s">
        <v>644</v>
      </c>
      <c r="H5303">
        <v>4</v>
      </c>
      <c r="I5303">
        <v>2026</v>
      </c>
      <c r="J5303">
        <v>7</v>
      </c>
      <c r="K5303" t="s">
        <v>87</v>
      </c>
      <c r="L5303" t="s">
        <v>9</v>
      </c>
      <c r="M5303" t="s">
        <v>6</v>
      </c>
      <c r="N5303" t="b">
        <v>0</v>
      </c>
      <c r="O5303">
        <v>0</v>
      </c>
      <c r="P5303">
        <v>1</v>
      </c>
      <c r="Q5303">
        <v>0</v>
      </c>
      <c r="R5303">
        <v>0</v>
      </c>
    </row>
    <row r="5304" spans="1:18" x14ac:dyDescent="0.25">
      <c r="A5304" t="s">
        <v>51</v>
      </c>
      <c r="B5304" t="s">
        <v>6</v>
      </c>
      <c r="C5304">
        <v>4</v>
      </c>
      <c r="D5304">
        <v>5</v>
      </c>
      <c r="E5304">
        <v>2</v>
      </c>
      <c r="F5304" s="15">
        <v>46216</v>
      </c>
      <c r="G5304" t="s">
        <v>644</v>
      </c>
      <c r="H5304">
        <v>4</v>
      </c>
      <c r="I5304">
        <v>2026</v>
      </c>
      <c r="J5304">
        <v>7</v>
      </c>
      <c r="K5304" t="s">
        <v>87</v>
      </c>
      <c r="L5304" t="s">
        <v>405</v>
      </c>
      <c r="M5304" t="s">
        <v>8</v>
      </c>
      <c r="N5304" t="b">
        <v>0</v>
      </c>
      <c r="O5304">
        <v>0</v>
      </c>
      <c r="P5304">
        <v>1</v>
      </c>
      <c r="Q5304">
        <v>0</v>
      </c>
      <c r="R5304">
        <v>1</v>
      </c>
    </row>
    <row r="5305" spans="1:18" x14ac:dyDescent="0.25">
      <c r="A5305" t="s">
        <v>51</v>
      </c>
      <c r="B5305" t="s">
        <v>6</v>
      </c>
      <c r="C5305">
        <v>4</v>
      </c>
      <c r="D5305">
        <v>5</v>
      </c>
      <c r="E5305">
        <v>2</v>
      </c>
      <c r="F5305" s="15">
        <v>46216</v>
      </c>
      <c r="G5305" t="s">
        <v>644</v>
      </c>
      <c r="H5305">
        <v>4</v>
      </c>
      <c r="I5305">
        <v>2026</v>
      </c>
      <c r="J5305">
        <v>7</v>
      </c>
      <c r="K5305" t="s">
        <v>87</v>
      </c>
      <c r="L5305" t="s">
        <v>578</v>
      </c>
      <c r="M5305" t="s">
        <v>6</v>
      </c>
      <c r="N5305" t="b">
        <v>0</v>
      </c>
      <c r="O5305">
        <v>0</v>
      </c>
      <c r="P5305">
        <v>1</v>
      </c>
      <c r="Q5305">
        <v>0</v>
      </c>
      <c r="R5305">
        <v>0</v>
      </c>
    </row>
    <row r="5306" spans="1:18" x14ac:dyDescent="0.25">
      <c r="A5306" t="s">
        <v>28</v>
      </c>
      <c r="B5306" t="s">
        <v>8</v>
      </c>
      <c r="C5306">
        <v>1</v>
      </c>
      <c r="D5306">
        <v>1</v>
      </c>
      <c r="E5306">
        <v>1</v>
      </c>
      <c r="F5306" s="15">
        <v>46223</v>
      </c>
      <c r="G5306" t="s">
        <v>645</v>
      </c>
      <c r="H5306">
        <v>4</v>
      </c>
      <c r="I5306">
        <v>2026</v>
      </c>
      <c r="J5306">
        <v>7</v>
      </c>
      <c r="K5306" t="s">
        <v>87</v>
      </c>
      <c r="L5306" t="s">
        <v>14</v>
      </c>
      <c r="M5306" t="s">
        <v>6</v>
      </c>
      <c r="N5306" t="b">
        <v>0</v>
      </c>
      <c r="O5306">
        <v>1</v>
      </c>
      <c r="P5306">
        <v>0</v>
      </c>
      <c r="Q5306">
        <v>0</v>
      </c>
      <c r="R5306">
        <v>0</v>
      </c>
    </row>
    <row r="5307" spans="1:18" x14ac:dyDescent="0.25">
      <c r="A5307" t="s">
        <v>28</v>
      </c>
      <c r="B5307" t="s">
        <v>8</v>
      </c>
      <c r="C5307">
        <v>1</v>
      </c>
      <c r="D5307">
        <v>1</v>
      </c>
      <c r="E5307">
        <v>1</v>
      </c>
      <c r="F5307" s="15">
        <v>46223</v>
      </c>
      <c r="G5307" t="s">
        <v>645</v>
      </c>
      <c r="H5307">
        <v>4</v>
      </c>
      <c r="I5307">
        <v>2026</v>
      </c>
      <c r="J5307">
        <v>7</v>
      </c>
      <c r="K5307" t="s">
        <v>87</v>
      </c>
      <c r="L5307" t="s">
        <v>10</v>
      </c>
      <c r="M5307" t="s">
        <v>6</v>
      </c>
      <c r="N5307" t="b">
        <v>0</v>
      </c>
      <c r="O5307">
        <v>1</v>
      </c>
      <c r="P5307">
        <v>0</v>
      </c>
      <c r="Q5307">
        <v>0</v>
      </c>
      <c r="R5307">
        <v>0</v>
      </c>
    </row>
    <row r="5308" spans="1:18" x14ac:dyDescent="0.25">
      <c r="A5308" t="s">
        <v>28</v>
      </c>
      <c r="B5308" t="s">
        <v>8</v>
      </c>
      <c r="C5308">
        <v>1</v>
      </c>
      <c r="D5308">
        <v>1</v>
      </c>
      <c r="E5308">
        <v>1</v>
      </c>
      <c r="F5308" s="15">
        <v>46223</v>
      </c>
      <c r="G5308" t="s">
        <v>645</v>
      </c>
      <c r="H5308">
        <v>4</v>
      </c>
      <c r="I5308">
        <v>2026</v>
      </c>
      <c r="J5308">
        <v>7</v>
      </c>
      <c r="K5308" t="s">
        <v>87</v>
      </c>
      <c r="L5308" t="s">
        <v>325</v>
      </c>
      <c r="M5308" t="s">
        <v>6</v>
      </c>
      <c r="N5308" t="b">
        <v>0</v>
      </c>
      <c r="O5308">
        <v>1</v>
      </c>
      <c r="P5308">
        <v>0</v>
      </c>
      <c r="Q5308">
        <v>0</v>
      </c>
      <c r="R5308">
        <v>0</v>
      </c>
    </row>
    <row r="5309" spans="1:18" x14ac:dyDescent="0.25">
      <c r="A5309" t="s">
        <v>14</v>
      </c>
      <c r="B5309" t="s">
        <v>6</v>
      </c>
      <c r="C5309">
        <v>2</v>
      </c>
      <c r="D5309">
        <v>1</v>
      </c>
      <c r="E5309">
        <v>1</v>
      </c>
      <c r="F5309" s="15">
        <v>46223</v>
      </c>
      <c r="G5309" t="s">
        <v>645</v>
      </c>
      <c r="H5309">
        <v>4</v>
      </c>
      <c r="I5309">
        <v>2026</v>
      </c>
      <c r="J5309">
        <v>7</v>
      </c>
      <c r="K5309" t="s">
        <v>87</v>
      </c>
      <c r="L5309" t="s">
        <v>28</v>
      </c>
      <c r="M5309" t="s">
        <v>8</v>
      </c>
      <c r="N5309" t="b">
        <v>0</v>
      </c>
      <c r="O5309">
        <v>0</v>
      </c>
      <c r="P5309">
        <v>1</v>
      </c>
      <c r="Q5309">
        <v>0</v>
      </c>
      <c r="R5309">
        <v>1</v>
      </c>
    </row>
    <row r="5310" spans="1:18" x14ac:dyDescent="0.25">
      <c r="A5310" t="s">
        <v>14</v>
      </c>
      <c r="B5310" t="s">
        <v>6</v>
      </c>
      <c r="C5310">
        <v>2</v>
      </c>
      <c r="D5310">
        <v>1</v>
      </c>
      <c r="E5310">
        <v>1</v>
      </c>
      <c r="F5310" s="15">
        <v>46223</v>
      </c>
      <c r="G5310" t="s">
        <v>645</v>
      </c>
      <c r="H5310">
        <v>4</v>
      </c>
      <c r="I5310">
        <v>2026</v>
      </c>
      <c r="J5310">
        <v>7</v>
      </c>
      <c r="K5310" t="s">
        <v>87</v>
      </c>
      <c r="L5310" t="s">
        <v>10</v>
      </c>
      <c r="M5310" t="s">
        <v>6</v>
      </c>
      <c r="N5310" t="b">
        <v>0</v>
      </c>
      <c r="O5310">
        <v>0</v>
      </c>
      <c r="P5310">
        <v>1</v>
      </c>
      <c r="Q5310">
        <v>0</v>
      </c>
      <c r="R5310">
        <v>0</v>
      </c>
    </row>
    <row r="5311" spans="1:18" x14ac:dyDescent="0.25">
      <c r="A5311" t="s">
        <v>14</v>
      </c>
      <c r="B5311" t="s">
        <v>6</v>
      </c>
      <c r="C5311">
        <v>2</v>
      </c>
      <c r="D5311">
        <v>1</v>
      </c>
      <c r="E5311">
        <v>1</v>
      </c>
      <c r="F5311" s="15">
        <v>46223</v>
      </c>
      <c r="G5311" t="s">
        <v>645</v>
      </c>
      <c r="H5311">
        <v>4</v>
      </c>
      <c r="I5311">
        <v>2026</v>
      </c>
      <c r="J5311">
        <v>7</v>
      </c>
      <c r="K5311" t="s">
        <v>87</v>
      </c>
      <c r="L5311" t="s">
        <v>325</v>
      </c>
      <c r="M5311" t="s">
        <v>6</v>
      </c>
      <c r="N5311" t="b">
        <v>0</v>
      </c>
      <c r="O5311">
        <v>0</v>
      </c>
      <c r="P5311">
        <v>1</v>
      </c>
      <c r="Q5311">
        <v>0</v>
      </c>
      <c r="R5311">
        <v>0</v>
      </c>
    </row>
    <row r="5312" spans="1:18" x14ac:dyDescent="0.25">
      <c r="A5312" t="s">
        <v>10</v>
      </c>
      <c r="B5312" t="s">
        <v>6</v>
      </c>
      <c r="C5312">
        <v>3</v>
      </c>
      <c r="D5312">
        <v>1</v>
      </c>
      <c r="E5312">
        <v>1</v>
      </c>
      <c r="F5312" s="15">
        <v>46223</v>
      </c>
      <c r="G5312" t="s">
        <v>645</v>
      </c>
      <c r="H5312">
        <v>4</v>
      </c>
      <c r="I5312">
        <v>2026</v>
      </c>
      <c r="J5312">
        <v>7</v>
      </c>
      <c r="K5312" t="s">
        <v>87</v>
      </c>
      <c r="L5312" t="s">
        <v>28</v>
      </c>
      <c r="M5312" t="s">
        <v>8</v>
      </c>
      <c r="N5312" t="b">
        <v>0</v>
      </c>
      <c r="O5312">
        <v>0</v>
      </c>
      <c r="P5312">
        <v>1</v>
      </c>
      <c r="Q5312">
        <v>0</v>
      </c>
      <c r="R5312">
        <v>1</v>
      </c>
    </row>
    <row r="5313" spans="1:18" x14ac:dyDescent="0.25">
      <c r="A5313" t="s">
        <v>10</v>
      </c>
      <c r="B5313" t="s">
        <v>6</v>
      </c>
      <c r="C5313">
        <v>3</v>
      </c>
      <c r="D5313">
        <v>1</v>
      </c>
      <c r="E5313">
        <v>1</v>
      </c>
      <c r="F5313" s="15">
        <v>46223</v>
      </c>
      <c r="G5313" t="s">
        <v>645</v>
      </c>
      <c r="H5313">
        <v>4</v>
      </c>
      <c r="I5313">
        <v>2026</v>
      </c>
      <c r="J5313">
        <v>7</v>
      </c>
      <c r="K5313" t="s">
        <v>87</v>
      </c>
      <c r="L5313" t="s">
        <v>14</v>
      </c>
      <c r="M5313" t="s">
        <v>6</v>
      </c>
      <c r="N5313" t="b">
        <v>0</v>
      </c>
      <c r="O5313">
        <v>0</v>
      </c>
      <c r="P5313">
        <v>1</v>
      </c>
      <c r="Q5313">
        <v>0</v>
      </c>
      <c r="R5313">
        <v>0</v>
      </c>
    </row>
    <row r="5314" spans="1:18" x14ac:dyDescent="0.25">
      <c r="A5314" t="s">
        <v>10</v>
      </c>
      <c r="B5314" t="s">
        <v>6</v>
      </c>
      <c r="C5314">
        <v>3</v>
      </c>
      <c r="D5314">
        <v>1</v>
      </c>
      <c r="E5314">
        <v>1</v>
      </c>
      <c r="F5314" s="15">
        <v>46223</v>
      </c>
      <c r="G5314" t="s">
        <v>645</v>
      </c>
      <c r="H5314">
        <v>4</v>
      </c>
      <c r="I5314">
        <v>2026</v>
      </c>
      <c r="J5314">
        <v>7</v>
      </c>
      <c r="K5314" t="s">
        <v>87</v>
      </c>
      <c r="L5314" t="s">
        <v>325</v>
      </c>
      <c r="M5314" t="s">
        <v>6</v>
      </c>
      <c r="N5314" t="b">
        <v>0</v>
      </c>
      <c r="O5314">
        <v>0</v>
      </c>
      <c r="P5314">
        <v>1</v>
      </c>
      <c r="Q5314">
        <v>0</v>
      </c>
      <c r="R5314">
        <v>0</v>
      </c>
    </row>
    <row r="5315" spans="1:18" x14ac:dyDescent="0.25">
      <c r="A5315" t="s">
        <v>325</v>
      </c>
      <c r="B5315" t="s">
        <v>6</v>
      </c>
      <c r="C5315">
        <v>4</v>
      </c>
      <c r="D5315">
        <v>1</v>
      </c>
      <c r="E5315">
        <v>1</v>
      </c>
      <c r="F5315" s="15">
        <v>46223</v>
      </c>
      <c r="G5315" t="s">
        <v>645</v>
      </c>
      <c r="H5315">
        <v>4</v>
      </c>
      <c r="I5315">
        <v>2026</v>
      </c>
      <c r="J5315">
        <v>7</v>
      </c>
      <c r="K5315" t="s">
        <v>87</v>
      </c>
      <c r="L5315" t="s">
        <v>28</v>
      </c>
      <c r="M5315" t="s">
        <v>8</v>
      </c>
      <c r="N5315" t="b">
        <v>0</v>
      </c>
      <c r="O5315">
        <v>0</v>
      </c>
      <c r="P5315">
        <v>1</v>
      </c>
      <c r="Q5315">
        <v>0</v>
      </c>
      <c r="R5315">
        <v>1</v>
      </c>
    </row>
    <row r="5316" spans="1:18" x14ac:dyDescent="0.25">
      <c r="A5316" t="s">
        <v>325</v>
      </c>
      <c r="B5316" t="s">
        <v>6</v>
      </c>
      <c r="C5316">
        <v>4</v>
      </c>
      <c r="D5316">
        <v>1</v>
      </c>
      <c r="E5316">
        <v>1</v>
      </c>
      <c r="F5316" s="15">
        <v>46223</v>
      </c>
      <c r="G5316" t="s">
        <v>645</v>
      </c>
      <c r="H5316">
        <v>4</v>
      </c>
      <c r="I5316">
        <v>2026</v>
      </c>
      <c r="J5316">
        <v>7</v>
      </c>
      <c r="K5316" t="s">
        <v>87</v>
      </c>
      <c r="L5316" t="s">
        <v>14</v>
      </c>
      <c r="M5316" t="s">
        <v>6</v>
      </c>
      <c r="N5316" t="b">
        <v>0</v>
      </c>
      <c r="O5316">
        <v>0</v>
      </c>
      <c r="P5316">
        <v>1</v>
      </c>
      <c r="Q5316">
        <v>0</v>
      </c>
      <c r="R5316">
        <v>0</v>
      </c>
    </row>
    <row r="5317" spans="1:18" x14ac:dyDescent="0.25">
      <c r="A5317" t="s">
        <v>325</v>
      </c>
      <c r="B5317" t="s">
        <v>6</v>
      </c>
      <c r="C5317">
        <v>4</v>
      </c>
      <c r="D5317">
        <v>1</v>
      </c>
      <c r="E5317">
        <v>1</v>
      </c>
      <c r="F5317" s="15">
        <v>46223</v>
      </c>
      <c r="G5317" t="s">
        <v>645</v>
      </c>
      <c r="H5317">
        <v>4</v>
      </c>
      <c r="I5317">
        <v>2026</v>
      </c>
      <c r="J5317">
        <v>7</v>
      </c>
      <c r="K5317" t="s">
        <v>87</v>
      </c>
      <c r="L5317" t="s">
        <v>10</v>
      </c>
      <c r="M5317" t="s">
        <v>6</v>
      </c>
      <c r="N5317" t="b">
        <v>0</v>
      </c>
      <c r="O5317">
        <v>0</v>
      </c>
      <c r="P5317">
        <v>1</v>
      </c>
      <c r="Q5317">
        <v>0</v>
      </c>
      <c r="R5317">
        <v>0</v>
      </c>
    </row>
    <row r="5318" spans="1:18" x14ac:dyDescent="0.25">
      <c r="A5318" t="s">
        <v>51</v>
      </c>
      <c r="B5318" t="s">
        <v>6</v>
      </c>
      <c r="C5318">
        <v>1</v>
      </c>
      <c r="D5318">
        <v>2</v>
      </c>
      <c r="E5318">
        <v>1</v>
      </c>
      <c r="F5318" s="15">
        <v>46223</v>
      </c>
      <c r="G5318" t="s">
        <v>646</v>
      </c>
      <c r="H5318">
        <v>4</v>
      </c>
      <c r="I5318">
        <v>2026</v>
      </c>
      <c r="J5318">
        <v>7</v>
      </c>
      <c r="K5318" t="s">
        <v>87</v>
      </c>
      <c r="L5318" t="s">
        <v>27</v>
      </c>
      <c r="M5318" t="s">
        <v>6</v>
      </c>
      <c r="N5318" t="b">
        <v>0</v>
      </c>
      <c r="O5318">
        <v>0</v>
      </c>
      <c r="P5318">
        <v>1</v>
      </c>
      <c r="Q5318">
        <v>0</v>
      </c>
      <c r="R5318">
        <v>0</v>
      </c>
    </row>
    <row r="5319" spans="1:18" x14ac:dyDescent="0.25">
      <c r="A5319" t="s">
        <v>51</v>
      </c>
      <c r="B5319" t="s">
        <v>6</v>
      </c>
      <c r="C5319">
        <v>1</v>
      </c>
      <c r="D5319">
        <v>2</v>
      </c>
      <c r="E5319">
        <v>1</v>
      </c>
      <c r="F5319" s="15">
        <v>46223</v>
      </c>
      <c r="G5319" t="s">
        <v>646</v>
      </c>
      <c r="H5319">
        <v>4</v>
      </c>
      <c r="I5319">
        <v>2026</v>
      </c>
      <c r="J5319">
        <v>7</v>
      </c>
      <c r="K5319" t="s">
        <v>87</v>
      </c>
      <c r="L5319" t="s">
        <v>41</v>
      </c>
      <c r="M5319" t="s">
        <v>6</v>
      </c>
      <c r="N5319" t="b">
        <v>0</v>
      </c>
      <c r="O5319">
        <v>0</v>
      </c>
      <c r="P5319">
        <v>1</v>
      </c>
      <c r="Q5319">
        <v>0</v>
      </c>
      <c r="R5319">
        <v>0</v>
      </c>
    </row>
    <row r="5320" spans="1:18" x14ac:dyDescent="0.25">
      <c r="A5320" t="s">
        <v>51</v>
      </c>
      <c r="B5320" t="s">
        <v>6</v>
      </c>
      <c r="C5320">
        <v>1</v>
      </c>
      <c r="D5320">
        <v>2</v>
      </c>
      <c r="E5320">
        <v>1</v>
      </c>
      <c r="F5320" s="15">
        <v>46223</v>
      </c>
      <c r="G5320" t="s">
        <v>646</v>
      </c>
      <c r="H5320">
        <v>4</v>
      </c>
      <c r="I5320">
        <v>2026</v>
      </c>
      <c r="J5320">
        <v>7</v>
      </c>
      <c r="K5320" t="s">
        <v>87</v>
      </c>
      <c r="L5320" t="s">
        <v>19</v>
      </c>
      <c r="M5320" t="s">
        <v>8</v>
      </c>
      <c r="N5320" t="b">
        <v>0</v>
      </c>
      <c r="O5320">
        <v>0</v>
      </c>
      <c r="P5320">
        <v>1</v>
      </c>
      <c r="Q5320">
        <v>0</v>
      </c>
      <c r="R5320">
        <v>1</v>
      </c>
    </row>
    <row r="5321" spans="1:18" x14ac:dyDescent="0.25">
      <c r="A5321" t="s">
        <v>27</v>
      </c>
      <c r="B5321" t="s">
        <v>6</v>
      </c>
      <c r="C5321">
        <v>2</v>
      </c>
      <c r="D5321">
        <v>2</v>
      </c>
      <c r="E5321">
        <v>1</v>
      </c>
      <c r="F5321" s="15">
        <v>46223</v>
      </c>
      <c r="G5321" t="s">
        <v>646</v>
      </c>
      <c r="H5321">
        <v>4</v>
      </c>
      <c r="I5321">
        <v>2026</v>
      </c>
      <c r="J5321">
        <v>7</v>
      </c>
      <c r="K5321" t="s">
        <v>87</v>
      </c>
      <c r="L5321" t="s">
        <v>51</v>
      </c>
      <c r="M5321" t="s">
        <v>6</v>
      </c>
      <c r="N5321" t="b">
        <v>0</v>
      </c>
      <c r="O5321">
        <v>0</v>
      </c>
      <c r="P5321">
        <v>1</v>
      </c>
      <c r="Q5321">
        <v>0</v>
      </c>
      <c r="R5321">
        <v>0</v>
      </c>
    </row>
    <row r="5322" spans="1:18" x14ac:dyDescent="0.25">
      <c r="A5322" t="s">
        <v>27</v>
      </c>
      <c r="B5322" t="s">
        <v>6</v>
      </c>
      <c r="C5322">
        <v>2</v>
      </c>
      <c r="D5322">
        <v>2</v>
      </c>
      <c r="E5322">
        <v>1</v>
      </c>
      <c r="F5322" s="15">
        <v>46223</v>
      </c>
      <c r="G5322" t="s">
        <v>646</v>
      </c>
      <c r="H5322">
        <v>4</v>
      </c>
      <c r="I5322">
        <v>2026</v>
      </c>
      <c r="J5322">
        <v>7</v>
      </c>
      <c r="K5322" t="s">
        <v>87</v>
      </c>
      <c r="L5322" t="s">
        <v>41</v>
      </c>
      <c r="M5322" t="s">
        <v>6</v>
      </c>
      <c r="N5322" t="b">
        <v>0</v>
      </c>
      <c r="O5322">
        <v>0</v>
      </c>
      <c r="P5322">
        <v>1</v>
      </c>
      <c r="Q5322">
        <v>0</v>
      </c>
      <c r="R5322">
        <v>0</v>
      </c>
    </row>
    <row r="5323" spans="1:18" x14ac:dyDescent="0.25">
      <c r="A5323" t="s">
        <v>27</v>
      </c>
      <c r="B5323" t="s">
        <v>6</v>
      </c>
      <c r="C5323">
        <v>2</v>
      </c>
      <c r="D5323">
        <v>2</v>
      </c>
      <c r="E5323">
        <v>1</v>
      </c>
      <c r="F5323" s="15">
        <v>46223</v>
      </c>
      <c r="G5323" t="s">
        <v>646</v>
      </c>
      <c r="H5323">
        <v>4</v>
      </c>
      <c r="I5323">
        <v>2026</v>
      </c>
      <c r="J5323">
        <v>7</v>
      </c>
      <c r="K5323" t="s">
        <v>87</v>
      </c>
      <c r="L5323" t="s">
        <v>19</v>
      </c>
      <c r="M5323" t="s">
        <v>8</v>
      </c>
      <c r="N5323" t="b">
        <v>0</v>
      </c>
      <c r="O5323">
        <v>0</v>
      </c>
      <c r="P5323">
        <v>1</v>
      </c>
      <c r="Q5323">
        <v>0</v>
      </c>
      <c r="R5323">
        <v>1</v>
      </c>
    </row>
    <row r="5324" spans="1:18" x14ac:dyDescent="0.25">
      <c r="A5324" t="s">
        <v>41</v>
      </c>
      <c r="B5324" t="s">
        <v>6</v>
      </c>
      <c r="C5324">
        <v>3</v>
      </c>
      <c r="D5324">
        <v>2</v>
      </c>
      <c r="E5324">
        <v>1</v>
      </c>
      <c r="F5324" s="15">
        <v>46223</v>
      </c>
      <c r="G5324" t="s">
        <v>646</v>
      </c>
      <c r="H5324">
        <v>4</v>
      </c>
      <c r="I5324">
        <v>2026</v>
      </c>
      <c r="J5324">
        <v>7</v>
      </c>
      <c r="K5324" t="s">
        <v>87</v>
      </c>
      <c r="L5324" t="s">
        <v>51</v>
      </c>
      <c r="M5324" t="s">
        <v>6</v>
      </c>
      <c r="N5324" t="b">
        <v>0</v>
      </c>
      <c r="O5324">
        <v>0</v>
      </c>
      <c r="P5324">
        <v>1</v>
      </c>
      <c r="Q5324">
        <v>0</v>
      </c>
      <c r="R5324">
        <v>0</v>
      </c>
    </row>
    <row r="5325" spans="1:18" x14ac:dyDescent="0.25">
      <c r="A5325" t="s">
        <v>41</v>
      </c>
      <c r="B5325" t="s">
        <v>6</v>
      </c>
      <c r="C5325">
        <v>3</v>
      </c>
      <c r="D5325">
        <v>2</v>
      </c>
      <c r="E5325">
        <v>1</v>
      </c>
      <c r="F5325" s="15">
        <v>46223</v>
      </c>
      <c r="G5325" t="s">
        <v>646</v>
      </c>
      <c r="H5325">
        <v>4</v>
      </c>
      <c r="I5325">
        <v>2026</v>
      </c>
      <c r="J5325">
        <v>7</v>
      </c>
      <c r="K5325" t="s">
        <v>87</v>
      </c>
      <c r="L5325" t="s">
        <v>27</v>
      </c>
      <c r="M5325" t="s">
        <v>6</v>
      </c>
      <c r="N5325" t="b">
        <v>0</v>
      </c>
      <c r="O5325">
        <v>0</v>
      </c>
      <c r="P5325">
        <v>1</v>
      </c>
      <c r="Q5325">
        <v>0</v>
      </c>
      <c r="R5325">
        <v>0</v>
      </c>
    </row>
    <row r="5326" spans="1:18" x14ac:dyDescent="0.25">
      <c r="A5326" t="s">
        <v>41</v>
      </c>
      <c r="B5326" t="s">
        <v>6</v>
      </c>
      <c r="C5326">
        <v>3</v>
      </c>
      <c r="D5326">
        <v>2</v>
      </c>
      <c r="E5326">
        <v>1</v>
      </c>
      <c r="F5326" s="15">
        <v>46223</v>
      </c>
      <c r="G5326" t="s">
        <v>646</v>
      </c>
      <c r="H5326">
        <v>4</v>
      </c>
      <c r="I5326">
        <v>2026</v>
      </c>
      <c r="J5326">
        <v>7</v>
      </c>
      <c r="K5326" t="s">
        <v>87</v>
      </c>
      <c r="L5326" t="s">
        <v>19</v>
      </c>
      <c r="M5326" t="s">
        <v>8</v>
      </c>
      <c r="N5326" t="b">
        <v>0</v>
      </c>
      <c r="O5326">
        <v>0</v>
      </c>
      <c r="P5326">
        <v>1</v>
      </c>
      <c r="Q5326">
        <v>0</v>
      </c>
      <c r="R5326">
        <v>1</v>
      </c>
    </row>
    <row r="5327" spans="1:18" x14ac:dyDescent="0.25">
      <c r="A5327" t="s">
        <v>19</v>
      </c>
      <c r="B5327" t="s">
        <v>8</v>
      </c>
      <c r="C5327">
        <v>4</v>
      </c>
      <c r="D5327">
        <v>2</v>
      </c>
      <c r="E5327">
        <v>1</v>
      </c>
      <c r="F5327" s="15">
        <v>46223</v>
      </c>
      <c r="G5327" t="s">
        <v>646</v>
      </c>
      <c r="H5327">
        <v>4</v>
      </c>
      <c r="I5327">
        <v>2026</v>
      </c>
      <c r="J5327">
        <v>7</v>
      </c>
      <c r="K5327" t="s">
        <v>87</v>
      </c>
      <c r="L5327" t="s">
        <v>51</v>
      </c>
      <c r="M5327" t="s">
        <v>6</v>
      </c>
      <c r="N5327" t="b">
        <v>0</v>
      </c>
      <c r="O5327">
        <v>1</v>
      </c>
      <c r="P5327">
        <v>0</v>
      </c>
      <c r="Q5327">
        <v>0</v>
      </c>
      <c r="R5327">
        <v>0</v>
      </c>
    </row>
    <row r="5328" spans="1:18" x14ac:dyDescent="0.25">
      <c r="A5328" t="s">
        <v>19</v>
      </c>
      <c r="B5328" t="s">
        <v>8</v>
      </c>
      <c r="C5328">
        <v>4</v>
      </c>
      <c r="D5328">
        <v>2</v>
      </c>
      <c r="E5328">
        <v>1</v>
      </c>
      <c r="F5328" s="15">
        <v>46223</v>
      </c>
      <c r="G5328" t="s">
        <v>646</v>
      </c>
      <c r="H5328">
        <v>4</v>
      </c>
      <c r="I5328">
        <v>2026</v>
      </c>
      <c r="J5328">
        <v>7</v>
      </c>
      <c r="K5328" t="s">
        <v>87</v>
      </c>
      <c r="L5328" t="s">
        <v>27</v>
      </c>
      <c r="M5328" t="s">
        <v>6</v>
      </c>
      <c r="N5328" t="b">
        <v>0</v>
      </c>
      <c r="O5328">
        <v>1</v>
      </c>
      <c r="P5328">
        <v>0</v>
      </c>
      <c r="Q5328">
        <v>0</v>
      </c>
      <c r="R5328">
        <v>0</v>
      </c>
    </row>
    <row r="5329" spans="1:18" x14ac:dyDescent="0.25">
      <c r="A5329" t="s">
        <v>19</v>
      </c>
      <c r="B5329" t="s">
        <v>8</v>
      </c>
      <c r="C5329">
        <v>4</v>
      </c>
      <c r="D5329">
        <v>2</v>
      </c>
      <c r="E5329">
        <v>1</v>
      </c>
      <c r="F5329" s="15">
        <v>46223</v>
      </c>
      <c r="G5329" t="s">
        <v>646</v>
      </c>
      <c r="H5329">
        <v>4</v>
      </c>
      <c r="I5329">
        <v>2026</v>
      </c>
      <c r="J5329">
        <v>7</v>
      </c>
      <c r="K5329" t="s">
        <v>87</v>
      </c>
      <c r="L5329" t="s">
        <v>41</v>
      </c>
      <c r="M5329" t="s">
        <v>6</v>
      </c>
      <c r="N5329" t="b">
        <v>0</v>
      </c>
      <c r="O5329">
        <v>1</v>
      </c>
      <c r="P5329">
        <v>0</v>
      </c>
      <c r="Q5329">
        <v>0</v>
      </c>
      <c r="R5329">
        <v>0</v>
      </c>
    </row>
    <row r="5330" spans="1:18" x14ac:dyDescent="0.25">
      <c r="A5330" t="s">
        <v>17</v>
      </c>
      <c r="B5330" t="s">
        <v>8</v>
      </c>
      <c r="C5330">
        <v>1</v>
      </c>
      <c r="D5330">
        <v>3</v>
      </c>
      <c r="E5330">
        <v>1</v>
      </c>
      <c r="F5330" s="15">
        <v>46223</v>
      </c>
      <c r="G5330" t="s">
        <v>647</v>
      </c>
      <c r="H5330">
        <v>4</v>
      </c>
      <c r="I5330">
        <v>2026</v>
      </c>
      <c r="J5330">
        <v>7</v>
      </c>
      <c r="K5330" t="s">
        <v>87</v>
      </c>
      <c r="L5330" t="s">
        <v>15</v>
      </c>
      <c r="M5330" t="s">
        <v>6</v>
      </c>
      <c r="N5330" t="b">
        <v>0</v>
      </c>
      <c r="O5330">
        <v>1</v>
      </c>
      <c r="P5330">
        <v>0</v>
      </c>
      <c r="Q5330">
        <v>0</v>
      </c>
      <c r="R5330">
        <v>0</v>
      </c>
    </row>
    <row r="5331" spans="1:18" x14ac:dyDescent="0.25">
      <c r="A5331" t="s">
        <v>17</v>
      </c>
      <c r="B5331" t="s">
        <v>8</v>
      </c>
      <c r="C5331">
        <v>1</v>
      </c>
      <c r="D5331">
        <v>3</v>
      </c>
      <c r="E5331">
        <v>1</v>
      </c>
      <c r="F5331" s="15">
        <v>46223</v>
      </c>
      <c r="G5331" t="s">
        <v>647</v>
      </c>
      <c r="H5331">
        <v>4</v>
      </c>
      <c r="I5331">
        <v>2026</v>
      </c>
      <c r="J5331">
        <v>7</v>
      </c>
      <c r="K5331" t="s">
        <v>87</v>
      </c>
      <c r="L5331" t="s">
        <v>578</v>
      </c>
      <c r="M5331" t="s">
        <v>6</v>
      </c>
      <c r="N5331" t="b">
        <v>0</v>
      </c>
      <c r="O5331">
        <v>1</v>
      </c>
      <c r="P5331">
        <v>0</v>
      </c>
      <c r="Q5331">
        <v>0</v>
      </c>
      <c r="R5331">
        <v>0</v>
      </c>
    </row>
    <row r="5332" spans="1:18" x14ac:dyDescent="0.25">
      <c r="A5332" t="s">
        <v>17</v>
      </c>
      <c r="B5332" t="s">
        <v>8</v>
      </c>
      <c r="C5332">
        <v>1</v>
      </c>
      <c r="D5332">
        <v>3</v>
      </c>
      <c r="E5332">
        <v>1</v>
      </c>
      <c r="F5332" s="15">
        <v>46223</v>
      </c>
      <c r="G5332" t="s">
        <v>647</v>
      </c>
      <c r="H5332">
        <v>4</v>
      </c>
      <c r="I5332">
        <v>2026</v>
      </c>
      <c r="J5332">
        <v>7</v>
      </c>
      <c r="K5332" t="s">
        <v>87</v>
      </c>
      <c r="L5332" t="s">
        <v>13</v>
      </c>
      <c r="M5332" t="s">
        <v>6</v>
      </c>
      <c r="N5332" t="b">
        <v>0</v>
      </c>
      <c r="O5332">
        <v>1</v>
      </c>
      <c r="P5332">
        <v>0</v>
      </c>
      <c r="Q5332">
        <v>0</v>
      </c>
      <c r="R5332">
        <v>0</v>
      </c>
    </row>
    <row r="5333" spans="1:18" x14ac:dyDescent="0.25">
      <c r="A5333" t="s">
        <v>15</v>
      </c>
      <c r="B5333" t="s">
        <v>6</v>
      </c>
      <c r="C5333">
        <v>2</v>
      </c>
      <c r="D5333">
        <v>3</v>
      </c>
      <c r="E5333">
        <v>1</v>
      </c>
      <c r="F5333" s="15">
        <v>46223</v>
      </c>
      <c r="G5333" t="s">
        <v>647</v>
      </c>
      <c r="H5333">
        <v>4</v>
      </c>
      <c r="I5333">
        <v>2026</v>
      </c>
      <c r="J5333">
        <v>7</v>
      </c>
      <c r="K5333" t="s">
        <v>87</v>
      </c>
      <c r="L5333" t="s">
        <v>17</v>
      </c>
      <c r="M5333" t="s">
        <v>8</v>
      </c>
      <c r="N5333" t="b">
        <v>0</v>
      </c>
      <c r="O5333">
        <v>0</v>
      </c>
      <c r="P5333">
        <v>1</v>
      </c>
      <c r="Q5333">
        <v>0</v>
      </c>
      <c r="R5333">
        <v>1</v>
      </c>
    </row>
    <row r="5334" spans="1:18" x14ac:dyDescent="0.25">
      <c r="A5334" t="s">
        <v>15</v>
      </c>
      <c r="B5334" t="s">
        <v>6</v>
      </c>
      <c r="C5334">
        <v>2</v>
      </c>
      <c r="D5334">
        <v>3</v>
      </c>
      <c r="E5334">
        <v>1</v>
      </c>
      <c r="F5334" s="15">
        <v>46223</v>
      </c>
      <c r="G5334" t="s">
        <v>647</v>
      </c>
      <c r="H5334">
        <v>4</v>
      </c>
      <c r="I5334">
        <v>2026</v>
      </c>
      <c r="J5334">
        <v>7</v>
      </c>
      <c r="K5334" t="s">
        <v>87</v>
      </c>
      <c r="L5334" t="s">
        <v>578</v>
      </c>
      <c r="M5334" t="s">
        <v>6</v>
      </c>
      <c r="N5334" t="b">
        <v>0</v>
      </c>
      <c r="O5334">
        <v>0</v>
      </c>
      <c r="P5334">
        <v>1</v>
      </c>
      <c r="Q5334">
        <v>0</v>
      </c>
      <c r="R5334">
        <v>0</v>
      </c>
    </row>
    <row r="5335" spans="1:18" x14ac:dyDescent="0.25">
      <c r="A5335" t="s">
        <v>15</v>
      </c>
      <c r="B5335" t="s">
        <v>6</v>
      </c>
      <c r="C5335">
        <v>2</v>
      </c>
      <c r="D5335">
        <v>3</v>
      </c>
      <c r="E5335">
        <v>1</v>
      </c>
      <c r="F5335" s="15">
        <v>46223</v>
      </c>
      <c r="G5335" t="s">
        <v>647</v>
      </c>
      <c r="H5335">
        <v>4</v>
      </c>
      <c r="I5335">
        <v>2026</v>
      </c>
      <c r="J5335">
        <v>7</v>
      </c>
      <c r="K5335" t="s">
        <v>87</v>
      </c>
      <c r="L5335" t="s">
        <v>13</v>
      </c>
      <c r="M5335" t="s">
        <v>6</v>
      </c>
      <c r="N5335" t="b">
        <v>0</v>
      </c>
      <c r="O5335">
        <v>0</v>
      </c>
      <c r="P5335">
        <v>1</v>
      </c>
      <c r="Q5335">
        <v>0</v>
      </c>
      <c r="R5335">
        <v>0</v>
      </c>
    </row>
    <row r="5336" spans="1:18" x14ac:dyDescent="0.25">
      <c r="A5336" t="s">
        <v>578</v>
      </c>
      <c r="B5336" t="s">
        <v>6</v>
      </c>
      <c r="C5336">
        <v>3</v>
      </c>
      <c r="D5336">
        <v>3</v>
      </c>
      <c r="E5336">
        <v>1</v>
      </c>
      <c r="F5336" s="15">
        <v>46223</v>
      </c>
      <c r="G5336" t="s">
        <v>647</v>
      </c>
      <c r="H5336">
        <v>4</v>
      </c>
      <c r="I5336">
        <v>2026</v>
      </c>
      <c r="J5336">
        <v>7</v>
      </c>
      <c r="K5336" t="s">
        <v>87</v>
      </c>
      <c r="L5336" t="s">
        <v>17</v>
      </c>
      <c r="M5336" t="s">
        <v>8</v>
      </c>
      <c r="N5336" t="b">
        <v>0</v>
      </c>
      <c r="O5336">
        <v>0</v>
      </c>
      <c r="P5336">
        <v>1</v>
      </c>
      <c r="Q5336">
        <v>0</v>
      </c>
      <c r="R5336">
        <v>1</v>
      </c>
    </row>
    <row r="5337" spans="1:18" x14ac:dyDescent="0.25">
      <c r="A5337" t="s">
        <v>578</v>
      </c>
      <c r="B5337" t="s">
        <v>6</v>
      </c>
      <c r="C5337">
        <v>3</v>
      </c>
      <c r="D5337">
        <v>3</v>
      </c>
      <c r="E5337">
        <v>1</v>
      </c>
      <c r="F5337" s="15">
        <v>46223</v>
      </c>
      <c r="G5337" t="s">
        <v>647</v>
      </c>
      <c r="H5337">
        <v>4</v>
      </c>
      <c r="I5337">
        <v>2026</v>
      </c>
      <c r="J5337">
        <v>7</v>
      </c>
      <c r="K5337" t="s">
        <v>87</v>
      </c>
      <c r="L5337" t="s">
        <v>15</v>
      </c>
      <c r="M5337" t="s">
        <v>6</v>
      </c>
      <c r="N5337" t="b">
        <v>0</v>
      </c>
      <c r="O5337">
        <v>0</v>
      </c>
      <c r="P5337">
        <v>1</v>
      </c>
      <c r="Q5337">
        <v>0</v>
      </c>
      <c r="R5337">
        <v>0</v>
      </c>
    </row>
    <row r="5338" spans="1:18" x14ac:dyDescent="0.25">
      <c r="A5338" t="s">
        <v>578</v>
      </c>
      <c r="B5338" t="s">
        <v>6</v>
      </c>
      <c r="C5338">
        <v>3</v>
      </c>
      <c r="D5338">
        <v>3</v>
      </c>
      <c r="E5338">
        <v>1</v>
      </c>
      <c r="F5338" s="15">
        <v>46223</v>
      </c>
      <c r="G5338" t="s">
        <v>647</v>
      </c>
      <c r="H5338">
        <v>4</v>
      </c>
      <c r="I5338">
        <v>2026</v>
      </c>
      <c r="J5338">
        <v>7</v>
      </c>
      <c r="K5338" t="s">
        <v>87</v>
      </c>
      <c r="L5338" t="s">
        <v>13</v>
      </c>
      <c r="M5338" t="s">
        <v>6</v>
      </c>
      <c r="N5338" t="b">
        <v>0</v>
      </c>
      <c r="O5338">
        <v>0</v>
      </c>
      <c r="P5338">
        <v>1</v>
      </c>
      <c r="Q5338">
        <v>0</v>
      </c>
      <c r="R5338">
        <v>0</v>
      </c>
    </row>
    <row r="5339" spans="1:18" x14ac:dyDescent="0.25">
      <c r="A5339" t="s">
        <v>13</v>
      </c>
      <c r="B5339" t="s">
        <v>6</v>
      </c>
      <c r="C5339">
        <v>4</v>
      </c>
      <c r="D5339">
        <v>3</v>
      </c>
      <c r="E5339">
        <v>1</v>
      </c>
      <c r="F5339" s="15">
        <v>46223</v>
      </c>
      <c r="G5339" t="s">
        <v>647</v>
      </c>
      <c r="H5339">
        <v>4</v>
      </c>
      <c r="I5339">
        <v>2026</v>
      </c>
      <c r="J5339">
        <v>7</v>
      </c>
      <c r="K5339" t="s">
        <v>87</v>
      </c>
      <c r="L5339" t="s">
        <v>17</v>
      </c>
      <c r="M5339" t="s">
        <v>8</v>
      </c>
      <c r="N5339" t="b">
        <v>0</v>
      </c>
      <c r="O5339">
        <v>0</v>
      </c>
      <c r="P5339">
        <v>1</v>
      </c>
      <c r="Q5339">
        <v>0</v>
      </c>
      <c r="R5339">
        <v>1</v>
      </c>
    </row>
    <row r="5340" spans="1:18" x14ac:dyDescent="0.25">
      <c r="A5340" t="s">
        <v>13</v>
      </c>
      <c r="B5340" t="s">
        <v>6</v>
      </c>
      <c r="C5340">
        <v>4</v>
      </c>
      <c r="D5340">
        <v>3</v>
      </c>
      <c r="E5340">
        <v>1</v>
      </c>
      <c r="F5340" s="15">
        <v>46223</v>
      </c>
      <c r="G5340" t="s">
        <v>647</v>
      </c>
      <c r="H5340">
        <v>4</v>
      </c>
      <c r="I5340">
        <v>2026</v>
      </c>
      <c r="J5340">
        <v>7</v>
      </c>
      <c r="K5340" t="s">
        <v>87</v>
      </c>
      <c r="L5340" t="s">
        <v>15</v>
      </c>
      <c r="M5340" t="s">
        <v>6</v>
      </c>
      <c r="N5340" t="b">
        <v>0</v>
      </c>
      <c r="O5340">
        <v>0</v>
      </c>
      <c r="P5340">
        <v>1</v>
      </c>
      <c r="Q5340">
        <v>0</v>
      </c>
      <c r="R5340">
        <v>0</v>
      </c>
    </row>
    <row r="5341" spans="1:18" x14ac:dyDescent="0.25">
      <c r="A5341" t="s">
        <v>13</v>
      </c>
      <c r="B5341" t="s">
        <v>6</v>
      </c>
      <c r="C5341">
        <v>4</v>
      </c>
      <c r="D5341">
        <v>3</v>
      </c>
      <c r="E5341">
        <v>1</v>
      </c>
      <c r="F5341" s="15">
        <v>46223</v>
      </c>
      <c r="G5341" t="s">
        <v>647</v>
      </c>
      <c r="H5341">
        <v>4</v>
      </c>
      <c r="I5341">
        <v>2026</v>
      </c>
      <c r="J5341">
        <v>7</v>
      </c>
      <c r="K5341" t="s">
        <v>87</v>
      </c>
      <c r="L5341" t="s">
        <v>578</v>
      </c>
      <c r="M5341" t="s">
        <v>6</v>
      </c>
      <c r="N5341" t="b">
        <v>0</v>
      </c>
      <c r="O5341">
        <v>0</v>
      </c>
      <c r="P5341">
        <v>1</v>
      </c>
      <c r="Q5341">
        <v>0</v>
      </c>
      <c r="R5341">
        <v>0</v>
      </c>
    </row>
    <row r="5342" spans="1:18" x14ac:dyDescent="0.25">
      <c r="A5342" t="s">
        <v>7</v>
      </c>
      <c r="B5342" t="s">
        <v>6</v>
      </c>
      <c r="C5342">
        <v>1</v>
      </c>
      <c r="D5342">
        <v>4</v>
      </c>
      <c r="E5342">
        <v>1</v>
      </c>
      <c r="F5342" s="15">
        <v>46223</v>
      </c>
      <c r="G5342" t="s">
        <v>648</v>
      </c>
      <c r="H5342">
        <v>3</v>
      </c>
      <c r="I5342">
        <v>2026</v>
      </c>
      <c r="J5342">
        <v>7</v>
      </c>
      <c r="K5342" t="s">
        <v>87</v>
      </c>
      <c r="L5342" t="s">
        <v>352</v>
      </c>
      <c r="M5342" t="s">
        <v>6</v>
      </c>
      <c r="N5342" t="b">
        <v>0</v>
      </c>
      <c r="O5342">
        <v>0</v>
      </c>
      <c r="P5342">
        <v>1</v>
      </c>
      <c r="Q5342">
        <v>0</v>
      </c>
      <c r="R5342">
        <v>0</v>
      </c>
    </row>
    <row r="5343" spans="1:18" x14ac:dyDescent="0.25">
      <c r="A5343" t="s">
        <v>7</v>
      </c>
      <c r="B5343" t="s">
        <v>6</v>
      </c>
      <c r="C5343">
        <v>1</v>
      </c>
      <c r="D5343">
        <v>4</v>
      </c>
      <c r="E5343">
        <v>1</v>
      </c>
      <c r="F5343" s="15">
        <v>46223</v>
      </c>
      <c r="G5343" t="s">
        <v>648</v>
      </c>
      <c r="H5343">
        <v>3</v>
      </c>
      <c r="I5343">
        <v>2026</v>
      </c>
      <c r="J5343">
        <v>7</v>
      </c>
      <c r="K5343" t="s">
        <v>87</v>
      </c>
      <c r="L5343" t="s">
        <v>9</v>
      </c>
      <c r="M5343" t="s">
        <v>8</v>
      </c>
      <c r="N5343" t="b">
        <v>0</v>
      </c>
      <c r="O5343">
        <v>0</v>
      </c>
      <c r="P5343">
        <v>1</v>
      </c>
      <c r="Q5343">
        <v>0</v>
      </c>
      <c r="R5343">
        <v>1</v>
      </c>
    </row>
    <row r="5344" spans="1:18" x14ac:dyDescent="0.25">
      <c r="A5344" t="s">
        <v>352</v>
      </c>
      <c r="B5344" t="s">
        <v>6</v>
      </c>
      <c r="C5344">
        <v>2</v>
      </c>
      <c r="D5344">
        <v>4</v>
      </c>
      <c r="E5344">
        <v>1</v>
      </c>
      <c r="F5344" s="15">
        <v>46223</v>
      </c>
      <c r="G5344" t="s">
        <v>648</v>
      </c>
      <c r="H5344">
        <v>3</v>
      </c>
      <c r="I5344">
        <v>2026</v>
      </c>
      <c r="J5344">
        <v>7</v>
      </c>
      <c r="K5344" t="s">
        <v>87</v>
      </c>
      <c r="L5344" t="s">
        <v>7</v>
      </c>
      <c r="M5344" t="s">
        <v>6</v>
      </c>
      <c r="N5344" t="b">
        <v>0</v>
      </c>
      <c r="O5344">
        <v>0</v>
      </c>
      <c r="P5344">
        <v>1</v>
      </c>
      <c r="Q5344">
        <v>0</v>
      </c>
      <c r="R5344">
        <v>0</v>
      </c>
    </row>
    <row r="5345" spans="1:18" x14ac:dyDescent="0.25">
      <c r="A5345" t="s">
        <v>352</v>
      </c>
      <c r="B5345" t="s">
        <v>6</v>
      </c>
      <c r="C5345">
        <v>2</v>
      </c>
      <c r="D5345">
        <v>4</v>
      </c>
      <c r="E5345">
        <v>1</v>
      </c>
      <c r="F5345" s="15">
        <v>46223</v>
      </c>
      <c r="G5345" t="s">
        <v>648</v>
      </c>
      <c r="H5345">
        <v>3</v>
      </c>
      <c r="I5345">
        <v>2026</v>
      </c>
      <c r="J5345">
        <v>7</v>
      </c>
      <c r="K5345" t="s">
        <v>87</v>
      </c>
      <c r="L5345" t="s">
        <v>9</v>
      </c>
      <c r="M5345" t="s">
        <v>8</v>
      </c>
      <c r="N5345" t="b">
        <v>0</v>
      </c>
      <c r="O5345">
        <v>0</v>
      </c>
      <c r="P5345">
        <v>1</v>
      </c>
      <c r="Q5345">
        <v>0</v>
      </c>
      <c r="R5345">
        <v>1</v>
      </c>
    </row>
    <row r="5346" spans="1:18" x14ac:dyDescent="0.25">
      <c r="A5346" t="s">
        <v>9</v>
      </c>
      <c r="B5346" t="s">
        <v>8</v>
      </c>
      <c r="C5346">
        <v>3</v>
      </c>
      <c r="D5346">
        <v>4</v>
      </c>
      <c r="E5346">
        <v>1</v>
      </c>
      <c r="F5346" s="15">
        <v>46223</v>
      </c>
      <c r="G5346" t="s">
        <v>648</v>
      </c>
      <c r="H5346">
        <v>3</v>
      </c>
      <c r="I5346">
        <v>2026</v>
      </c>
      <c r="J5346">
        <v>7</v>
      </c>
      <c r="K5346" t="s">
        <v>87</v>
      </c>
      <c r="L5346" t="s">
        <v>7</v>
      </c>
      <c r="M5346" t="s">
        <v>6</v>
      </c>
      <c r="N5346" t="b">
        <v>0</v>
      </c>
      <c r="O5346">
        <v>1</v>
      </c>
      <c r="P5346">
        <v>0</v>
      </c>
      <c r="Q5346">
        <v>0</v>
      </c>
      <c r="R5346">
        <v>0</v>
      </c>
    </row>
    <row r="5347" spans="1:18" x14ac:dyDescent="0.25">
      <c r="A5347" t="s">
        <v>9</v>
      </c>
      <c r="B5347" t="s">
        <v>8</v>
      </c>
      <c r="C5347">
        <v>3</v>
      </c>
      <c r="D5347">
        <v>4</v>
      </c>
      <c r="E5347">
        <v>1</v>
      </c>
      <c r="F5347" s="15">
        <v>46223</v>
      </c>
      <c r="G5347" t="s">
        <v>648</v>
      </c>
      <c r="H5347">
        <v>3</v>
      </c>
      <c r="I5347">
        <v>2026</v>
      </c>
      <c r="J5347">
        <v>7</v>
      </c>
      <c r="K5347" t="s">
        <v>87</v>
      </c>
      <c r="L5347" t="s">
        <v>352</v>
      </c>
      <c r="M5347" t="s">
        <v>6</v>
      </c>
      <c r="N5347" t="b">
        <v>0</v>
      </c>
      <c r="O5347">
        <v>1</v>
      </c>
      <c r="P5347">
        <v>0</v>
      </c>
      <c r="Q5347">
        <v>0</v>
      </c>
      <c r="R5347">
        <v>0</v>
      </c>
    </row>
    <row r="5348" spans="1:18" x14ac:dyDescent="0.25">
      <c r="A5348" t="s">
        <v>19</v>
      </c>
      <c r="B5348" t="s">
        <v>63</v>
      </c>
      <c r="C5348">
        <v>1</v>
      </c>
      <c r="D5348">
        <v>1</v>
      </c>
      <c r="E5348">
        <v>2</v>
      </c>
      <c r="F5348" s="15">
        <v>46223</v>
      </c>
      <c r="G5348" t="s">
        <v>649</v>
      </c>
      <c r="H5348">
        <v>4</v>
      </c>
      <c r="I5348">
        <v>2026</v>
      </c>
      <c r="J5348">
        <v>7</v>
      </c>
      <c r="K5348" t="s">
        <v>87</v>
      </c>
      <c r="L5348" t="s">
        <v>9</v>
      </c>
      <c r="M5348" t="s">
        <v>63</v>
      </c>
      <c r="N5348" t="b">
        <v>0</v>
      </c>
      <c r="O5348">
        <v>0</v>
      </c>
      <c r="P5348">
        <v>0</v>
      </c>
      <c r="Q5348">
        <v>1</v>
      </c>
      <c r="R5348">
        <v>0</v>
      </c>
    </row>
    <row r="5349" spans="1:18" x14ac:dyDescent="0.25">
      <c r="A5349" t="s">
        <v>19</v>
      </c>
      <c r="B5349" t="s">
        <v>63</v>
      </c>
      <c r="C5349">
        <v>1</v>
      </c>
      <c r="D5349">
        <v>1</v>
      </c>
      <c r="E5349">
        <v>2</v>
      </c>
      <c r="F5349" s="15">
        <v>46223</v>
      </c>
      <c r="G5349" t="s">
        <v>649</v>
      </c>
      <c r="H5349">
        <v>4</v>
      </c>
      <c r="I5349">
        <v>2026</v>
      </c>
      <c r="J5349">
        <v>7</v>
      </c>
      <c r="K5349" t="s">
        <v>87</v>
      </c>
      <c r="L5349" t="s">
        <v>28</v>
      </c>
      <c r="M5349" t="s">
        <v>63</v>
      </c>
      <c r="N5349" t="b">
        <v>0</v>
      </c>
      <c r="O5349">
        <v>0</v>
      </c>
      <c r="P5349">
        <v>0</v>
      </c>
      <c r="Q5349">
        <v>1</v>
      </c>
      <c r="R5349">
        <v>0</v>
      </c>
    </row>
    <row r="5350" spans="1:18" x14ac:dyDescent="0.25">
      <c r="A5350" t="s">
        <v>19</v>
      </c>
      <c r="B5350" t="s">
        <v>63</v>
      </c>
      <c r="C5350">
        <v>1</v>
      </c>
      <c r="D5350">
        <v>1</v>
      </c>
      <c r="E5350">
        <v>2</v>
      </c>
      <c r="F5350" s="15">
        <v>46223</v>
      </c>
      <c r="G5350" t="s">
        <v>649</v>
      </c>
      <c r="H5350">
        <v>4</v>
      </c>
      <c r="I5350">
        <v>2026</v>
      </c>
      <c r="J5350">
        <v>7</v>
      </c>
      <c r="K5350" t="s">
        <v>87</v>
      </c>
      <c r="L5350" t="s">
        <v>17</v>
      </c>
      <c r="M5350" t="s">
        <v>63</v>
      </c>
      <c r="N5350" t="b">
        <v>0</v>
      </c>
      <c r="O5350">
        <v>0</v>
      </c>
      <c r="P5350">
        <v>0</v>
      </c>
      <c r="Q5350">
        <v>1</v>
      </c>
      <c r="R5350">
        <v>0</v>
      </c>
    </row>
    <row r="5351" spans="1:18" x14ac:dyDescent="0.25">
      <c r="A5351" t="s">
        <v>9</v>
      </c>
      <c r="B5351" t="s">
        <v>63</v>
      </c>
      <c r="C5351">
        <v>2</v>
      </c>
      <c r="D5351">
        <v>1</v>
      </c>
      <c r="E5351">
        <v>2</v>
      </c>
      <c r="F5351" s="15">
        <v>46223</v>
      </c>
      <c r="G5351" t="s">
        <v>649</v>
      </c>
      <c r="H5351">
        <v>4</v>
      </c>
      <c r="I5351">
        <v>2026</v>
      </c>
      <c r="J5351">
        <v>7</v>
      </c>
      <c r="K5351" t="s">
        <v>87</v>
      </c>
      <c r="L5351" t="s">
        <v>19</v>
      </c>
      <c r="M5351" t="s">
        <v>63</v>
      </c>
      <c r="N5351" t="b">
        <v>0</v>
      </c>
      <c r="O5351">
        <v>0</v>
      </c>
      <c r="P5351">
        <v>0</v>
      </c>
      <c r="Q5351">
        <v>1</v>
      </c>
      <c r="R5351">
        <v>0</v>
      </c>
    </row>
    <row r="5352" spans="1:18" x14ac:dyDescent="0.25">
      <c r="A5352" t="s">
        <v>9</v>
      </c>
      <c r="B5352" t="s">
        <v>63</v>
      </c>
      <c r="C5352">
        <v>2</v>
      </c>
      <c r="D5352">
        <v>1</v>
      </c>
      <c r="E5352">
        <v>2</v>
      </c>
      <c r="F5352" s="15">
        <v>46223</v>
      </c>
      <c r="G5352" t="s">
        <v>649</v>
      </c>
      <c r="H5352">
        <v>4</v>
      </c>
      <c r="I5352">
        <v>2026</v>
      </c>
      <c r="J5352">
        <v>7</v>
      </c>
      <c r="K5352" t="s">
        <v>87</v>
      </c>
      <c r="L5352" t="s">
        <v>28</v>
      </c>
      <c r="M5352" t="s">
        <v>63</v>
      </c>
      <c r="N5352" t="b">
        <v>0</v>
      </c>
      <c r="O5352">
        <v>0</v>
      </c>
      <c r="P5352">
        <v>0</v>
      </c>
      <c r="Q5352">
        <v>1</v>
      </c>
      <c r="R5352">
        <v>0</v>
      </c>
    </row>
    <row r="5353" spans="1:18" x14ac:dyDescent="0.25">
      <c r="A5353" t="s">
        <v>9</v>
      </c>
      <c r="B5353" t="s">
        <v>63</v>
      </c>
      <c r="C5353">
        <v>2</v>
      </c>
      <c r="D5353">
        <v>1</v>
      </c>
      <c r="E5353">
        <v>2</v>
      </c>
      <c r="F5353" s="15">
        <v>46223</v>
      </c>
      <c r="G5353" t="s">
        <v>649</v>
      </c>
      <c r="H5353">
        <v>4</v>
      </c>
      <c r="I5353">
        <v>2026</v>
      </c>
      <c r="J5353">
        <v>7</v>
      </c>
      <c r="K5353" t="s">
        <v>87</v>
      </c>
      <c r="L5353" t="s">
        <v>17</v>
      </c>
      <c r="M5353" t="s">
        <v>63</v>
      </c>
      <c r="N5353" t="b">
        <v>0</v>
      </c>
      <c r="O5353">
        <v>0</v>
      </c>
      <c r="P5353">
        <v>0</v>
      </c>
      <c r="Q5353">
        <v>1</v>
      </c>
      <c r="R5353">
        <v>0</v>
      </c>
    </row>
    <row r="5354" spans="1:18" x14ac:dyDescent="0.25">
      <c r="A5354" t="s">
        <v>28</v>
      </c>
      <c r="B5354" t="s">
        <v>63</v>
      </c>
      <c r="C5354">
        <v>3</v>
      </c>
      <c r="D5354">
        <v>1</v>
      </c>
      <c r="E5354">
        <v>2</v>
      </c>
      <c r="F5354" s="15">
        <v>46223</v>
      </c>
      <c r="G5354" t="s">
        <v>649</v>
      </c>
      <c r="H5354">
        <v>4</v>
      </c>
      <c r="I5354">
        <v>2026</v>
      </c>
      <c r="J5354">
        <v>7</v>
      </c>
      <c r="K5354" t="s">
        <v>87</v>
      </c>
      <c r="L5354" t="s">
        <v>19</v>
      </c>
      <c r="M5354" t="s">
        <v>63</v>
      </c>
      <c r="N5354" t="b">
        <v>0</v>
      </c>
      <c r="O5354">
        <v>0</v>
      </c>
      <c r="P5354">
        <v>0</v>
      </c>
      <c r="Q5354">
        <v>1</v>
      </c>
      <c r="R5354">
        <v>0</v>
      </c>
    </row>
    <row r="5355" spans="1:18" x14ac:dyDescent="0.25">
      <c r="A5355" t="s">
        <v>28</v>
      </c>
      <c r="B5355" t="s">
        <v>63</v>
      </c>
      <c r="C5355">
        <v>3</v>
      </c>
      <c r="D5355">
        <v>1</v>
      </c>
      <c r="E5355">
        <v>2</v>
      </c>
      <c r="F5355" s="15">
        <v>46223</v>
      </c>
      <c r="G5355" t="s">
        <v>649</v>
      </c>
      <c r="H5355">
        <v>4</v>
      </c>
      <c r="I5355">
        <v>2026</v>
      </c>
      <c r="J5355">
        <v>7</v>
      </c>
      <c r="K5355" t="s">
        <v>87</v>
      </c>
      <c r="L5355" t="s">
        <v>9</v>
      </c>
      <c r="M5355" t="s">
        <v>63</v>
      </c>
      <c r="N5355" t="b">
        <v>0</v>
      </c>
      <c r="O5355">
        <v>0</v>
      </c>
      <c r="P5355">
        <v>0</v>
      </c>
      <c r="Q5355">
        <v>1</v>
      </c>
      <c r="R5355">
        <v>0</v>
      </c>
    </row>
    <row r="5356" spans="1:18" x14ac:dyDescent="0.25">
      <c r="A5356" t="s">
        <v>28</v>
      </c>
      <c r="B5356" t="s">
        <v>63</v>
      </c>
      <c r="C5356">
        <v>3</v>
      </c>
      <c r="D5356">
        <v>1</v>
      </c>
      <c r="E5356">
        <v>2</v>
      </c>
      <c r="F5356" s="15">
        <v>46223</v>
      </c>
      <c r="G5356" t="s">
        <v>649</v>
      </c>
      <c r="H5356">
        <v>4</v>
      </c>
      <c r="I5356">
        <v>2026</v>
      </c>
      <c r="J5356">
        <v>7</v>
      </c>
      <c r="K5356" t="s">
        <v>87</v>
      </c>
      <c r="L5356" t="s">
        <v>17</v>
      </c>
      <c r="M5356" t="s">
        <v>63</v>
      </c>
      <c r="N5356" t="b">
        <v>0</v>
      </c>
      <c r="O5356">
        <v>0</v>
      </c>
      <c r="P5356">
        <v>0</v>
      </c>
      <c r="Q5356">
        <v>1</v>
      </c>
      <c r="R5356">
        <v>0</v>
      </c>
    </row>
    <row r="5357" spans="1:18" x14ac:dyDescent="0.25">
      <c r="A5357" t="s">
        <v>17</v>
      </c>
      <c r="B5357" t="s">
        <v>63</v>
      </c>
      <c r="C5357">
        <v>4</v>
      </c>
      <c r="D5357">
        <v>1</v>
      </c>
      <c r="E5357">
        <v>2</v>
      </c>
      <c r="F5357" s="15">
        <v>46223</v>
      </c>
      <c r="G5357" t="s">
        <v>649</v>
      </c>
      <c r="H5357">
        <v>4</v>
      </c>
      <c r="I5357">
        <v>2026</v>
      </c>
      <c r="J5357">
        <v>7</v>
      </c>
      <c r="K5357" t="s">
        <v>87</v>
      </c>
      <c r="L5357" t="s">
        <v>19</v>
      </c>
      <c r="M5357" t="s">
        <v>63</v>
      </c>
      <c r="N5357" t="b">
        <v>0</v>
      </c>
      <c r="O5357">
        <v>0</v>
      </c>
      <c r="P5357">
        <v>0</v>
      </c>
      <c r="Q5357">
        <v>1</v>
      </c>
      <c r="R5357">
        <v>0</v>
      </c>
    </row>
    <row r="5358" spans="1:18" x14ac:dyDescent="0.25">
      <c r="A5358" t="s">
        <v>17</v>
      </c>
      <c r="B5358" t="s">
        <v>63</v>
      </c>
      <c r="C5358">
        <v>4</v>
      </c>
      <c r="D5358">
        <v>1</v>
      </c>
      <c r="E5358">
        <v>2</v>
      </c>
      <c r="F5358" s="15">
        <v>46223</v>
      </c>
      <c r="G5358" t="s">
        <v>649</v>
      </c>
      <c r="H5358">
        <v>4</v>
      </c>
      <c r="I5358">
        <v>2026</v>
      </c>
      <c r="J5358">
        <v>7</v>
      </c>
      <c r="K5358" t="s">
        <v>87</v>
      </c>
      <c r="L5358" t="s">
        <v>9</v>
      </c>
      <c r="M5358" t="s">
        <v>63</v>
      </c>
      <c r="N5358" t="b">
        <v>0</v>
      </c>
      <c r="O5358">
        <v>0</v>
      </c>
      <c r="P5358">
        <v>0</v>
      </c>
      <c r="Q5358">
        <v>1</v>
      </c>
      <c r="R5358">
        <v>0</v>
      </c>
    </row>
    <row r="5359" spans="1:18" x14ac:dyDescent="0.25">
      <c r="A5359" t="s">
        <v>17</v>
      </c>
      <c r="B5359" t="s">
        <v>63</v>
      </c>
      <c r="C5359">
        <v>4</v>
      </c>
      <c r="D5359">
        <v>1</v>
      </c>
      <c r="E5359">
        <v>2</v>
      </c>
      <c r="F5359" s="15">
        <v>46223</v>
      </c>
      <c r="G5359" t="s">
        <v>649</v>
      </c>
      <c r="H5359">
        <v>4</v>
      </c>
      <c r="I5359">
        <v>2026</v>
      </c>
      <c r="J5359">
        <v>7</v>
      </c>
      <c r="K5359" t="s">
        <v>87</v>
      </c>
      <c r="L5359" t="s">
        <v>28</v>
      </c>
      <c r="M5359" t="s">
        <v>63</v>
      </c>
      <c r="N5359" t="b">
        <v>0</v>
      </c>
      <c r="O5359">
        <v>0</v>
      </c>
      <c r="P5359">
        <v>0</v>
      </c>
      <c r="Q5359">
        <v>1</v>
      </c>
      <c r="R5359">
        <v>0</v>
      </c>
    </row>
    <row r="5360" spans="1:18" x14ac:dyDescent="0.25">
      <c r="A5360" t="s">
        <v>51</v>
      </c>
      <c r="B5360" t="s">
        <v>6</v>
      </c>
      <c r="C5360">
        <v>1</v>
      </c>
      <c r="D5360">
        <v>2</v>
      </c>
      <c r="E5360">
        <v>2</v>
      </c>
      <c r="F5360" s="15">
        <v>46223</v>
      </c>
      <c r="G5360" t="s">
        <v>650</v>
      </c>
      <c r="H5360">
        <v>4</v>
      </c>
      <c r="I5360">
        <v>2026</v>
      </c>
      <c r="J5360">
        <v>7</v>
      </c>
      <c r="K5360" t="s">
        <v>87</v>
      </c>
      <c r="L5360" t="s">
        <v>7</v>
      </c>
      <c r="M5360" t="s">
        <v>8</v>
      </c>
      <c r="N5360" t="b">
        <v>0</v>
      </c>
      <c r="O5360">
        <v>0</v>
      </c>
      <c r="P5360">
        <v>1</v>
      </c>
      <c r="Q5360">
        <v>0</v>
      </c>
      <c r="R5360">
        <v>1</v>
      </c>
    </row>
    <row r="5361" spans="1:18" x14ac:dyDescent="0.25">
      <c r="A5361" t="s">
        <v>51</v>
      </c>
      <c r="B5361" t="s">
        <v>6</v>
      </c>
      <c r="C5361">
        <v>1</v>
      </c>
      <c r="D5361">
        <v>2</v>
      </c>
      <c r="E5361">
        <v>2</v>
      </c>
      <c r="F5361" s="15">
        <v>46223</v>
      </c>
      <c r="G5361" t="s">
        <v>650</v>
      </c>
      <c r="H5361">
        <v>4</v>
      </c>
      <c r="I5361">
        <v>2026</v>
      </c>
      <c r="J5361">
        <v>7</v>
      </c>
      <c r="K5361" t="s">
        <v>87</v>
      </c>
      <c r="L5361" t="s">
        <v>15</v>
      </c>
      <c r="M5361" t="s">
        <v>6</v>
      </c>
      <c r="N5361" t="b">
        <v>0</v>
      </c>
      <c r="O5361">
        <v>0</v>
      </c>
      <c r="P5361">
        <v>1</v>
      </c>
      <c r="Q5361">
        <v>0</v>
      </c>
      <c r="R5361">
        <v>0</v>
      </c>
    </row>
    <row r="5362" spans="1:18" x14ac:dyDescent="0.25">
      <c r="A5362" t="s">
        <v>51</v>
      </c>
      <c r="B5362" t="s">
        <v>6</v>
      </c>
      <c r="C5362">
        <v>1</v>
      </c>
      <c r="D5362">
        <v>2</v>
      </c>
      <c r="E5362">
        <v>2</v>
      </c>
      <c r="F5362" s="15">
        <v>46223</v>
      </c>
      <c r="G5362" t="s">
        <v>650</v>
      </c>
      <c r="H5362">
        <v>4</v>
      </c>
      <c r="I5362">
        <v>2026</v>
      </c>
      <c r="J5362">
        <v>7</v>
      </c>
      <c r="K5362" t="s">
        <v>87</v>
      </c>
      <c r="L5362" t="s">
        <v>14</v>
      </c>
      <c r="M5362" t="s">
        <v>6</v>
      </c>
      <c r="N5362" t="b">
        <v>0</v>
      </c>
      <c r="O5362">
        <v>0</v>
      </c>
      <c r="P5362">
        <v>1</v>
      </c>
      <c r="Q5362">
        <v>0</v>
      </c>
      <c r="R5362">
        <v>0</v>
      </c>
    </row>
    <row r="5363" spans="1:18" x14ac:dyDescent="0.25">
      <c r="A5363" t="s">
        <v>7</v>
      </c>
      <c r="B5363" t="s">
        <v>8</v>
      </c>
      <c r="C5363">
        <v>2</v>
      </c>
      <c r="D5363">
        <v>2</v>
      </c>
      <c r="E5363">
        <v>2</v>
      </c>
      <c r="F5363" s="15">
        <v>46223</v>
      </c>
      <c r="G5363" t="s">
        <v>650</v>
      </c>
      <c r="H5363">
        <v>4</v>
      </c>
      <c r="I5363">
        <v>2026</v>
      </c>
      <c r="J5363">
        <v>7</v>
      </c>
      <c r="K5363" t="s">
        <v>87</v>
      </c>
      <c r="L5363" t="s">
        <v>51</v>
      </c>
      <c r="M5363" t="s">
        <v>6</v>
      </c>
      <c r="N5363" t="b">
        <v>0</v>
      </c>
      <c r="O5363">
        <v>1</v>
      </c>
      <c r="P5363">
        <v>0</v>
      </c>
      <c r="Q5363">
        <v>0</v>
      </c>
      <c r="R5363">
        <v>0</v>
      </c>
    </row>
    <row r="5364" spans="1:18" x14ac:dyDescent="0.25">
      <c r="A5364" t="s">
        <v>7</v>
      </c>
      <c r="B5364" t="s">
        <v>8</v>
      </c>
      <c r="C5364">
        <v>2</v>
      </c>
      <c r="D5364">
        <v>2</v>
      </c>
      <c r="E5364">
        <v>2</v>
      </c>
      <c r="F5364" s="15">
        <v>46223</v>
      </c>
      <c r="G5364" t="s">
        <v>650</v>
      </c>
      <c r="H5364">
        <v>4</v>
      </c>
      <c r="I5364">
        <v>2026</v>
      </c>
      <c r="J5364">
        <v>7</v>
      </c>
      <c r="K5364" t="s">
        <v>87</v>
      </c>
      <c r="L5364" t="s">
        <v>15</v>
      </c>
      <c r="M5364" t="s">
        <v>6</v>
      </c>
      <c r="N5364" t="b">
        <v>0</v>
      </c>
      <c r="O5364">
        <v>1</v>
      </c>
      <c r="P5364">
        <v>0</v>
      </c>
      <c r="Q5364">
        <v>0</v>
      </c>
      <c r="R5364">
        <v>0</v>
      </c>
    </row>
    <row r="5365" spans="1:18" x14ac:dyDescent="0.25">
      <c r="A5365" t="s">
        <v>7</v>
      </c>
      <c r="B5365" t="s">
        <v>8</v>
      </c>
      <c r="C5365">
        <v>2</v>
      </c>
      <c r="D5365">
        <v>2</v>
      </c>
      <c r="E5365">
        <v>2</v>
      </c>
      <c r="F5365" s="15">
        <v>46223</v>
      </c>
      <c r="G5365" t="s">
        <v>650</v>
      </c>
      <c r="H5365">
        <v>4</v>
      </c>
      <c r="I5365">
        <v>2026</v>
      </c>
      <c r="J5365">
        <v>7</v>
      </c>
      <c r="K5365" t="s">
        <v>87</v>
      </c>
      <c r="L5365" t="s">
        <v>14</v>
      </c>
      <c r="M5365" t="s">
        <v>6</v>
      </c>
      <c r="N5365" t="b">
        <v>0</v>
      </c>
      <c r="O5365">
        <v>1</v>
      </c>
      <c r="P5365">
        <v>0</v>
      </c>
      <c r="Q5365">
        <v>0</v>
      </c>
      <c r="R5365">
        <v>0</v>
      </c>
    </row>
    <row r="5366" spans="1:18" x14ac:dyDescent="0.25">
      <c r="A5366" t="s">
        <v>15</v>
      </c>
      <c r="B5366" t="s">
        <v>6</v>
      </c>
      <c r="C5366">
        <v>3</v>
      </c>
      <c r="D5366">
        <v>2</v>
      </c>
      <c r="E5366">
        <v>2</v>
      </c>
      <c r="F5366" s="15">
        <v>46223</v>
      </c>
      <c r="G5366" t="s">
        <v>650</v>
      </c>
      <c r="H5366">
        <v>4</v>
      </c>
      <c r="I5366">
        <v>2026</v>
      </c>
      <c r="J5366">
        <v>7</v>
      </c>
      <c r="K5366" t="s">
        <v>87</v>
      </c>
      <c r="L5366" t="s">
        <v>51</v>
      </c>
      <c r="M5366" t="s">
        <v>6</v>
      </c>
      <c r="N5366" t="b">
        <v>0</v>
      </c>
      <c r="O5366">
        <v>0</v>
      </c>
      <c r="P5366">
        <v>1</v>
      </c>
      <c r="Q5366">
        <v>0</v>
      </c>
      <c r="R5366">
        <v>0</v>
      </c>
    </row>
    <row r="5367" spans="1:18" x14ac:dyDescent="0.25">
      <c r="A5367" t="s">
        <v>15</v>
      </c>
      <c r="B5367" t="s">
        <v>6</v>
      </c>
      <c r="C5367">
        <v>3</v>
      </c>
      <c r="D5367">
        <v>2</v>
      </c>
      <c r="E5367">
        <v>2</v>
      </c>
      <c r="F5367" s="15">
        <v>46223</v>
      </c>
      <c r="G5367" t="s">
        <v>650</v>
      </c>
      <c r="H5367">
        <v>4</v>
      </c>
      <c r="I5367">
        <v>2026</v>
      </c>
      <c r="J5367">
        <v>7</v>
      </c>
      <c r="K5367" t="s">
        <v>87</v>
      </c>
      <c r="L5367" t="s">
        <v>7</v>
      </c>
      <c r="M5367" t="s">
        <v>8</v>
      </c>
      <c r="N5367" t="b">
        <v>0</v>
      </c>
      <c r="O5367">
        <v>0</v>
      </c>
      <c r="P5367">
        <v>1</v>
      </c>
      <c r="Q5367">
        <v>0</v>
      </c>
      <c r="R5367">
        <v>1</v>
      </c>
    </row>
    <row r="5368" spans="1:18" x14ac:dyDescent="0.25">
      <c r="A5368" t="s">
        <v>15</v>
      </c>
      <c r="B5368" t="s">
        <v>6</v>
      </c>
      <c r="C5368">
        <v>3</v>
      </c>
      <c r="D5368">
        <v>2</v>
      </c>
      <c r="E5368">
        <v>2</v>
      </c>
      <c r="F5368" s="15">
        <v>46223</v>
      </c>
      <c r="G5368" t="s">
        <v>650</v>
      </c>
      <c r="H5368">
        <v>4</v>
      </c>
      <c r="I5368">
        <v>2026</v>
      </c>
      <c r="J5368">
        <v>7</v>
      </c>
      <c r="K5368" t="s">
        <v>87</v>
      </c>
      <c r="L5368" t="s">
        <v>14</v>
      </c>
      <c r="M5368" t="s">
        <v>6</v>
      </c>
      <c r="N5368" t="b">
        <v>0</v>
      </c>
      <c r="O5368">
        <v>0</v>
      </c>
      <c r="P5368">
        <v>1</v>
      </c>
      <c r="Q5368">
        <v>0</v>
      </c>
      <c r="R5368">
        <v>0</v>
      </c>
    </row>
    <row r="5369" spans="1:18" x14ac:dyDescent="0.25">
      <c r="A5369" t="s">
        <v>14</v>
      </c>
      <c r="B5369" t="s">
        <v>6</v>
      </c>
      <c r="C5369">
        <v>4</v>
      </c>
      <c r="D5369">
        <v>2</v>
      </c>
      <c r="E5369">
        <v>2</v>
      </c>
      <c r="F5369" s="15">
        <v>46223</v>
      </c>
      <c r="G5369" t="s">
        <v>650</v>
      </c>
      <c r="H5369">
        <v>4</v>
      </c>
      <c r="I5369">
        <v>2026</v>
      </c>
      <c r="J5369">
        <v>7</v>
      </c>
      <c r="K5369" t="s">
        <v>87</v>
      </c>
      <c r="L5369" t="s">
        <v>51</v>
      </c>
      <c r="M5369" t="s">
        <v>6</v>
      </c>
      <c r="N5369" t="b">
        <v>0</v>
      </c>
      <c r="O5369">
        <v>0</v>
      </c>
      <c r="P5369">
        <v>1</v>
      </c>
      <c r="Q5369">
        <v>0</v>
      </c>
      <c r="R5369">
        <v>0</v>
      </c>
    </row>
    <row r="5370" spans="1:18" x14ac:dyDescent="0.25">
      <c r="A5370" t="s">
        <v>14</v>
      </c>
      <c r="B5370" t="s">
        <v>6</v>
      </c>
      <c r="C5370">
        <v>4</v>
      </c>
      <c r="D5370">
        <v>2</v>
      </c>
      <c r="E5370">
        <v>2</v>
      </c>
      <c r="F5370" s="15">
        <v>46223</v>
      </c>
      <c r="G5370" t="s">
        <v>650</v>
      </c>
      <c r="H5370">
        <v>4</v>
      </c>
      <c r="I5370">
        <v>2026</v>
      </c>
      <c r="J5370">
        <v>7</v>
      </c>
      <c r="K5370" t="s">
        <v>87</v>
      </c>
      <c r="L5370" t="s">
        <v>7</v>
      </c>
      <c r="M5370" t="s">
        <v>8</v>
      </c>
      <c r="N5370" t="b">
        <v>0</v>
      </c>
      <c r="O5370">
        <v>0</v>
      </c>
      <c r="P5370">
        <v>1</v>
      </c>
      <c r="Q5370">
        <v>0</v>
      </c>
      <c r="R5370">
        <v>1</v>
      </c>
    </row>
    <row r="5371" spans="1:18" x14ac:dyDescent="0.25">
      <c r="A5371" t="s">
        <v>14</v>
      </c>
      <c r="B5371" t="s">
        <v>6</v>
      </c>
      <c r="C5371">
        <v>4</v>
      </c>
      <c r="D5371">
        <v>2</v>
      </c>
      <c r="E5371">
        <v>2</v>
      </c>
      <c r="F5371" s="15">
        <v>46223</v>
      </c>
      <c r="G5371" t="s">
        <v>650</v>
      </c>
      <c r="H5371">
        <v>4</v>
      </c>
      <c r="I5371">
        <v>2026</v>
      </c>
      <c r="J5371">
        <v>7</v>
      </c>
      <c r="K5371" t="s">
        <v>87</v>
      </c>
      <c r="L5371" t="s">
        <v>15</v>
      </c>
      <c r="M5371" t="s">
        <v>6</v>
      </c>
      <c r="N5371" t="b">
        <v>0</v>
      </c>
      <c r="O5371">
        <v>0</v>
      </c>
      <c r="P5371">
        <v>1</v>
      </c>
      <c r="Q5371">
        <v>0</v>
      </c>
      <c r="R5371">
        <v>0</v>
      </c>
    </row>
    <row r="5372" spans="1:18" x14ac:dyDescent="0.25">
      <c r="A5372" t="s">
        <v>325</v>
      </c>
      <c r="B5372" t="s">
        <v>6</v>
      </c>
      <c r="C5372">
        <v>1</v>
      </c>
      <c r="D5372">
        <v>3</v>
      </c>
      <c r="E5372">
        <v>2</v>
      </c>
      <c r="F5372" s="15">
        <v>46223</v>
      </c>
      <c r="G5372" t="s">
        <v>651</v>
      </c>
      <c r="H5372">
        <v>4</v>
      </c>
      <c r="I5372">
        <v>2026</v>
      </c>
      <c r="J5372">
        <v>7</v>
      </c>
      <c r="K5372" t="s">
        <v>87</v>
      </c>
      <c r="L5372" t="s">
        <v>578</v>
      </c>
      <c r="M5372" t="s">
        <v>8</v>
      </c>
      <c r="N5372" t="b">
        <v>0</v>
      </c>
      <c r="O5372">
        <v>0</v>
      </c>
      <c r="P5372">
        <v>1</v>
      </c>
      <c r="Q5372">
        <v>0</v>
      </c>
      <c r="R5372">
        <v>1</v>
      </c>
    </row>
    <row r="5373" spans="1:18" x14ac:dyDescent="0.25">
      <c r="A5373" t="s">
        <v>325</v>
      </c>
      <c r="B5373" t="s">
        <v>6</v>
      </c>
      <c r="C5373">
        <v>1</v>
      </c>
      <c r="D5373">
        <v>3</v>
      </c>
      <c r="E5373">
        <v>2</v>
      </c>
      <c r="F5373" s="15">
        <v>46223</v>
      </c>
      <c r="G5373" t="s">
        <v>651</v>
      </c>
      <c r="H5373">
        <v>4</v>
      </c>
      <c r="I5373">
        <v>2026</v>
      </c>
      <c r="J5373">
        <v>7</v>
      </c>
      <c r="K5373" t="s">
        <v>87</v>
      </c>
      <c r="L5373" t="s">
        <v>352</v>
      </c>
      <c r="M5373" t="s">
        <v>6</v>
      </c>
      <c r="N5373" t="b">
        <v>0</v>
      </c>
      <c r="O5373">
        <v>0</v>
      </c>
      <c r="P5373">
        <v>1</v>
      </c>
      <c r="Q5373">
        <v>0</v>
      </c>
      <c r="R5373">
        <v>0</v>
      </c>
    </row>
    <row r="5374" spans="1:18" x14ac:dyDescent="0.25">
      <c r="A5374" t="s">
        <v>325</v>
      </c>
      <c r="B5374" t="s">
        <v>6</v>
      </c>
      <c r="C5374">
        <v>1</v>
      </c>
      <c r="D5374">
        <v>3</v>
      </c>
      <c r="E5374">
        <v>2</v>
      </c>
      <c r="F5374" s="15">
        <v>46223</v>
      </c>
      <c r="G5374" t="s">
        <v>651</v>
      </c>
      <c r="H5374">
        <v>4</v>
      </c>
      <c r="I5374">
        <v>2026</v>
      </c>
      <c r="J5374">
        <v>7</v>
      </c>
      <c r="K5374" t="s">
        <v>87</v>
      </c>
      <c r="L5374" t="s">
        <v>27</v>
      </c>
      <c r="M5374" t="s">
        <v>6</v>
      </c>
      <c r="N5374" t="b">
        <v>0</v>
      </c>
      <c r="O5374">
        <v>0</v>
      </c>
      <c r="P5374">
        <v>1</v>
      </c>
      <c r="Q5374">
        <v>0</v>
      </c>
      <c r="R5374">
        <v>0</v>
      </c>
    </row>
    <row r="5375" spans="1:18" x14ac:dyDescent="0.25">
      <c r="A5375" t="s">
        <v>578</v>
      </c>
      <c r="B5375" t="s">
        <v>8</v>
      </c>
      <c r="C5375">
        <v>2</v>
      </c>
      <c r="D5375">
        <v>3</v>
      </c>
      <c r="E5375">
        <v>2</v>
      </c>
      <c r="F5375" s="15">
        <v>46223</v>
      </c>
      <c r="G5375" t="s">
        <v>651</v>
      </c>
      <c r="H5375">
        <v>4</v>
      </c>
      <c r="I5375">
        <v>2026</v>
      </c>
      <c r="J5375">
        <v>7</v>
      </c>
      <c r="K5375" t="s">
        <v>87</v>
      </c>
      <c r="L5375" t="s">
        <v>325</v>
      </c>
      <c r="M5375" t="s">
        <v>6</v>
      </c>
      <c r="N5375" t="b">
        <v>0</v>
      </c>
      <c r="O5375">
        <v>1</v>
      </c>
      <c r="P5375">
        <v>0</v>
      </c>
      <c r="Q5375">
        <v>0</v>
      </c>
      <c r="R5375">
        <v>0</v>
      </c>
    </row>
    <row r="5376" spans="1:18" x14ac:dyDescent="0.25">
      <c r="A5376" t="s">
        <v>578</v>
      </c>
      <c r="B5376" t="s">
        <v>8</v>
      </c>
      <c r="C5376">
        <v>2</v>
      </c>
      <c r="D5376">
        <v>3</v>
      </c>
      <c r="E5376">
        <v>2</v>
      </c>
      <c r="F5376" s="15">
        <v>46223</v>
      </c>
      <c r="G5376" t="s">
        <v>651</v>
      </c>
      <c r="H5376">
        <v>4</v>
      </c>
      <c r="I5376">
        <v>2026</v>
      </c>
      <c r="J5376">
        <v>7</v>
      </c>
      <c r="K5376" t="s">
        <v>87</v>
      </c>
      <c r="L5376" t="s">
        <v>352</v>
      </c>
      <c r="M5376" t="s">
        <v>6</v>
      </c>
      <c r="N5376" t="b">
        <v>0</v>
      </c>
      <c r="O5376">
        <v>1</v>
      </c>
      <c r="P5376">
        <v>0</v>
      </c>
      <c r="Q5376">
        <v>0</v>
      </c>
      <c r="R5376">
        <v>0</v>
      </c>
    </row>
    <row r="5377" spans="1:18" x14ac:dyDescent="0.25">
      <c r="A5377" t="s">
        <v>578</v>
      </c>
      <c r="B5377" t="s">
        <v>8</v>
      </c>
      <c r="C5377">
        <v>2</v>
      </c>
      <c r="D5377">
        <v>3</v>
      </c>
      <c r="E5377">
        <v>2</v>
      </c>
      <c r="F5377" s="15">
        <v>46223</v>
      </c>
      <c r="G5377" t="s">
        <v>651</v>
      </c>
      <c r="H5377">
        <v>4</v>
      </c>
      <c r="I5377">
        <v>2026</v>
      </c>
      <c r="J5377">
        <v>7</v>
      </c>
      <c r="K5377" t="s">
        <v>87</v>
      </c>
      <c r="L5377" t="s">
        <v>27</v>
      </c>
      <c r="M5377" t="s">
        <v>6</v>
      </c>
      <c r="N5377" t="b">
        <v>0</v>
      </c>
      <c r="O5377">
        <v>1</v>
      </c>
      <c r="P5377">
        <v>0</v>
      </c>
      <c r="Q5377">
        <v>0</v>
      </c>
      <c r="R5377">
        <v>0</v>
      </c>
    </row>
    <row r="5378" spans="1:18" x14ac:dyDescent="0.25">
      <c r="A5378" t="s">
        <v>352</v>
      </c>
      <c r="B5378" t="s">
        <v>6</v>
      </c>
      <c r="C5378">
        <v>3</v>
      </c>
      <c r="D5378">
        <v>3</v>
      </c>
      <c r="E5378">
        <v>2</v>
      </c>
      <c r="F5378" s="15">
        <v>46223</v>
      </c>
      <c r="G5378" t="s">
        <v>651</v>
      </c>
      <c r="H5378">
        <v>4</v>
      </c>
      <c r="I5378">
        <v>2026</v>
      </c>
      <c r="J5378">
        <v>7</v>
      </c>
      <c r="K5378" t="s">
        <v>87</v>
      </c>
      <c r="L5378" t="s">
        <v>325</v>
      </c>
      <c r="M5378" t="s">
        <v>6</v>
      </c>
      <c r="N5378" t="b">
        <v>0</v>
      </c>
      <c r="O5378">
        <v>0</v>
      </c>
      <c r="P5378">
        <v>1</v>
      </c>
      <c r="Q5378">
        <v>0</v>
      </c>
      <c r="R5378">
        <v>0</v>
      </c>
    </row>
    <row r="5379" spans="1:18" x14ac:dyDescent="0.25">
      <c r="A5379" t="s">
        <v>352</v>
      </c>
      <c r="B5379" t="s">
        <v>6</v>
      </c>
      <c r="C5379">
        <v>3</v>
      </c>
      <c r="D5379">
        <v>3</v>
      </c>
      <c r="E5379">
        <v>2</v>
      </c>
      <c r="F5379" s="15">
        <v>46223</v>
      </c>
      <c r="G5379" t="s">
        <v>651</v>
      </c>
      <c r="H5379">
        <v>4</v>
      </c>
      <c r="I5379">
        <v>2026</v>
      </c>
      <c r="J5379">
        <v>7</v>
      </c>
      <c r="K5379" t="s">
        <v>87</v>
      </c>
      <c r="L5379" t="s">
        <v>578</v>
      </c>
      <c r="M5379" t="s">
        <v>8</v>
      </c>
      <c r="N5379" t="b">
        <v>0</v>
      </c>
      <c r="O5379">
        <v>0</v>
      </c>
      <c r="P5379">
        <v>1</v>
      </c>
      <c r="Q5379">
        <v>0</v>
      </c>
      <c r="R5379">
        <v>1</v>
      </c>
    </row>
    <row r="5380" spans="1:18" x14ac:dyDescent="0.25">
      <c r="A5380" t="s">
        <v>352</v>
      </c>
      <c r="B5380" t="s">
        <v>6</v>
      </c>
      <c r="C5380">
        <v>3</v>
      </c>
      <c r="D5380">
        <v>3</v>
      </c>
      <c r="E5380">
        <v>2</v>
      </c>
      <c r="F5380" s="15">
        <v>46223</v>
      </c>
      <c r="G5380" t="s">
        <v>651</v>
      </c>
      <c r="H5380">
        <v>4</v>
      </c>
      <c r="I5380">
        <v>2026</v>
      </c>
      <c r="J5380">
        <v>7</v>
      </c>
      <c r="K5380" t="s">
        <v>87</v>
      </c>
      <c r="L5380" t="s">
        <v>27</v>
      </c>
      <c r="M5380" t="s">
        <v>6</v>
      </c>
      <c r="N5380" t="b">
        <v>0</v>
      </c>
      <c r="O5380">
        <v>0</v>
      </c>
      <c r="P5380">
        <v>1</v>
      </c>
      <c r="Q5380">
        <v>0</v>
      </c>
      <c r="R5380">
        <v>0</v>
      </c>
    </row>
    <row r="5381" spans="1:18" x14ac:dyDescent="0.25">
      <c r="A5381" t="s">
        <v>27</v>
      </c>
      <c r="B5381" t="s">
        <v>6</v>
      </c>
      <c r="C5381">
        <v>4</v>
      </c>
      <c r="D5381">
        <v>3</v>
      </c>
      <c r="E5381">
        <v>2</v>
      </c>
      <c r="F5381" s="15">
        <v>46223</v>
      </c>
      <c r="G5381" t="s">
        <v>651</v>
      </c>
      <c r="H5381">
        <v>4</v>
      </c>
      <c r="I5381">
        <v>2026</v>
      </c>
      <c r="J5381">
        <v>7</v>
      </c>
      <c r="K5381" t="s">
        <v>87</v>
      </c>
      <c r="L5381" t="s">
        <v>325</v>
      </c>
      <c r="M5381" t="s">
        <v>6</v>
      </c>
      <c r="N5381" t="b">
        <v>0</v>
      </c>
      <c r="O5381">
        <v>0</v>
      </c>
      <c r="P5381">
        <v>1</v>
      </c>
      <c r="Q5381">
        <v>0</v>
      </c>
      <c r="R5381">
        <v>0</v>
      </c>
    </row>
    <row r="5382" spans="1:18" x14ac:dyDescent="0.25">
      <c r="A5382" t="s">
        <v>27</v>
      </c>
      <c r="B5382" t="s">
        <v>6</v>
      </c>
      <c r="C5382">
        <v>4</v>
      </c>
      <c r="D5382">
        <v>3</v>
      </c>
      <c r="E5382">
        <v>2</v>
      </c>
      <c r="F5382" s="15">
        <v>46223</v>
      </c>
      <c r="G5382" t="s">
        <v>651</v>
      </c>
      <c r="H5382">
        <v>4</v>
      </c>
      <c r="I5382">
        <v>2026</v>
      </c>
      <c r="J5382">
        <v>7</v>
      </c>
      <c r="K5382" t="s">
        <v>87</v>
      </c>
      <c r="L5382" t="s">
        <v>578</v>
      </c>
      <c r="M5382" t="s">
        <v>8</v>
      </c>
      <c r="N5382" t="b">
        <v>0</v>
      </c>
      <c r="O5382">
        <v>0</v>
      </c>
      <c r="P5382">
        <v>1</v>
      </c>
      <c r="Q5382">
        <v>0</v>
      </c>
      <c r="R5382">
        <v>1</v>
      </c>
    </row>
    <row r="5383" spans="1:18" x14ac:dyDescent="0.25">
      <c r="A5383" t="s">
        <v>27</v>
      </c>
      <c r="B5383" t="s">
        <v>6</v>
      </c>
      <c r="C5383">
        <v>4</v>
      </c>
      <c r="D5383">
        <v>3</v>
      </c>
      <c r="E5383">
        <v>2</v>
      </c>
      <c r="F5383" s="15">
        <v>46223</v>
      </c>
      <c r="G5383" t="s">
        <v>651</v>
      </c>
      <c r="H5383">
        <v>4</v>
      </c>
      <c r="I5383">
        <v>2026</v>
      </c>
      <c r="J5383">
        <v>7</v>
      </c>
      <c r="K5383" t="s">
        <v>87</v>
      </c>
      <c r="L5383" t="s">
        <v>352</v>
      </c>
      <c r="M5383" t="s">
        <v>6</v>
      </c>
      <c r="N5383" t="b">
        <v>0</v>
      </c>
      <c r="O5383">
        <v>0</v>
      </c>
      <c r="P5383">
        <v>1</v>
      </c>
      <c r="Q5383">
        <v>0</v>
      </c>
      <c r="R5383">
        <v>0</v>
      </c>
    </row>
    <row r="5384" spans="1:18" x14ac:dyDescent="0.25">
      <c r="A5384" t="s">
        <v>13</v>
      </c>
      <c r="B5384" t="s">
        <v>6</v>
      </c>
      <c r="C5384">
        <v>1</v>
      </c>
      <c r="D5384">
        <v>4</v>
      </c>
      <c r="E5384">
        <v>2</v>
      </c>
      <c r="F5384" s="15">
        <v>46223</v>
      </c>
      <c r="G5384" t="s">
        <v>652</v>
      </c>
      <c r="H5384">
        <v>3</v>
      </c>
      <c r="I5384">
        <v>2026</v>
      </c>
      <c r="J5384">
        <v>7</v>
      </c>
      <c r="K5384" t="s">
        <v>87</v>
      </c>
      <c r="L5384" t="s">
        <v>41</v>
      </c>
      <c r="M5384" t="s">
        <v>8</v>
      </c>
      <c r="N5384" t="b">
        <v>0</v>
      </c>
      <c r="O5384">
        <v>0</v>
      </c>
      <c r="P5384">
        <v>1</v>
      </c>
      <c r="Q5384">
        <v>0</v>
      </c>
      <c r="R5384">
        <v>1</v>
      </c>
    </row>
    <row r="5385" spans="1:18" x14ac:dyDescent="0.25">
      <c r="A5385" t="s">
        <v>13</v>
      </c>
      <c r="B5385" t="s">
        <v>6</v>
      </c>
      <c r="C5385">
        <v>1</v>
      </c>
      <c r="D5385">
        <v>4</v>
      </c>
      <c r="E5385">
        <v>2</v>
      </c>
      <c r="F5385" s="15">
        <v>46223</v>
      </c>
      <c r="G5385" t="s">
        <v>652</v>
      </c>
      <c r="H5385">
        <v>3</v>
      </c>
      <c r="I5385">
        <v>2026</v>
      </c>
      <c r="J5385">
        <v>7</v>
      </c>
      <c r="K5385" t="s">
        <v>87</v>
      </c>
      <c r="L5385" t="s">
        <v>10</v>
      </c>
      <c r="M5385" t="s">
        <v>6</v>
      </c>
      <c r="N5385" t="b">
        <v>0</v>
      </c>
      <c r="O5385">
        <v>0</v>
      </c>
      <c r="P5385">
        <v>1</v>
      </c>
      <c r="Q5385">
        <v>0</v>
      </c>
      <c r="R5385">
        <v>0</v>
      </c>
    </row>
    <row r="5386" spans="1:18" x14ac:dyDescent="0.25">
      <c r="A5386" t="s">
        <v>41</v>
      </c>
      <c r="B5386" t="s">
        <v>8</v>
      </c>
      <c r="C5386">
        <v>2</v>
      </c>
      <c r="D5386">
        <v>4</v>
      </c>
      <c r="E5386">
        <v>2</v>
      </c>
      <c r="F5386" s="15">
        <v>46223</v>
      </c>
      <c r="G5386" t="s">
        <v>652</v>
      </c>
      <c r="H5386">
        <v>3</v>
      </c>
      <c r="I5386">
        <v>2026</v>
      </c>
      <c r="J5386">
        <v>7</v>
      </c>
      <c r="K5386" t="s">
        <v>87</v>
      </c>
      <c r="L5386" t="s">
        <v>13</v>
      </c>
      <c r="M5386" t="s">
        <v>6</v>
      </c>
      <c r="N5386" t="b">
        <v>0</v>
      </c>
      <c r="O5386">
        <v>1</v>
      </c>
      <c r="P5386">
        <v>0</v>
      </c>
      <c r="Q5386">
        <v>0</v>
      </c>
      <c r="R5386">
        <v>0</v>
      </c>
    </row>
    <row r="5387" spans="1:18" x14ac:dyDescent="0.25">
      <c r="A5387" t="s">
        <v>41</v>
      </c>
      <c r="B5387" t="s">
        <v>8</v>
      </c>
      <c r="C5387">
        <v>2</v>
      </c>
      <c r="D5387">
        <v>4</v>
      </c>
      <c r="E5387">
        <v>2</v>
      </c>
      <c r="F5387" s="15">
        <v>46223</v>
      </c>
      <c r="G5387" t="s">
        <v>652</v>
      </c>
      <c r="H5387">
        <v>3</v>
      </c>
      <c r="I5387">
        <v>2026</v>
      </c>
      <c r="J5387">
        <v>7</v>
      </c>
      <c r="K5387" t="s">
        <v>87</v>
      </c>
      <c r="L5387" t="s">
        <v>10</v>
      </c>
      <c r="M5387" t="s">
        <v>6</v>
      </c>
      <c r="N5387" t="b">
        <v>0</v>
      </c>
      <c r="O5387">
        <v>1</v>
      </c>
      <c r="P5387">
        <v>0</v>
      </c>
      <c r="Q5387">
        <v>0</v>
      </c>
      <c r="R5387">
        <v>0</v>
      </c>
    </row>
    <row r="5388" spans="1:18" x14ac:dyDescent="0.25">
      <c r="A5388" t="s">
        <v>10</v>
      </c>
      <c r="B5388" t="s">
        <v>6</v>
      </c>
      <c r="C5388">
        <v>3</v>
      </c>
      <c r="D5388">
        <v>4</v>
      </c>
      <c r="E5388">
        <v>2</v>
      </c>
      <c r="F5388" s="15">
        <v>46223</v>
      </c>
      <c r="G5388" t="s">
        <v>652</v>
      </c>
      <c r="H5388">
        <v>3</v>
      </c>
      <c r="I5388">
        <v>2026</v>
      </c>
      <c r="J5388">
        <v>7</v>
      </c>
      <c r="K5388" t="s">
        <v>87</v>
      </c>
      <c r="L5388" t="s">
        <v>13</v>
      </c>
      <c r="M5388" t="s">
        <v>6</v>
      </c>
      <c r="N5388" t="b">
        <v>0</v>
      </c>
      <c r="O5388">
        <v>0</v>
      </c>
      <c r="P5388">
        <v>1</v>
      </c>
      <c r="Q5388">
        <v>0</v>
      </c>
      <c r="R5388">
        <v>0</v>
      </c>
    </row>
    <row r="5389" spans="1:18" x14ac:dyDescent="0.25">
      <c r="A5389" t="s">
        <v>10</v>
      </c>
      <c r="B5389" t="s">
        <v>6</v>
      </c>
      <c r="C5389">
        <v>3</v>
      </c>
      <c r="D5389">
        <v>4</v>
      </c>
      <c r="E5389">
        <v>2</v>
      </c>
      <c r="F5389" s="15">
        <v>46223</v>
      </c>
      <c r="G5389" t="s">
        <v>652</v>
      </c>
      <c r="H5389">
        <v>3</v>
      </c>
      <c r="I5389">
        <v>2026</v>
      </c>
      <c r="J5389">
        <v>7</v>
      </c>
      <c r="K5389" t="s">
        <v>87</v>
      </c>
      <c r="L5389" t="s">
        <v>41</v>
      </c>
      <c r="M5389" t="s">
        <v>8</v>
      </c>
      <c r="N5389" t="b">
        <v>0</v>
      </c>
      <c r="O5389">
        <v>0</v>
      </c>
      <c r="P5389">
        <v>1</v>
      </c>
      <c r="Q5389">
        <v>0</v>
      </c>
      <c r="R5389">
        <v>1</v>
      </c>
    </row>
    <row r="5390" spans="1:18" x14ac:dyDescent="0.25">
      <c r="A5390" t="s">
        <v>27</v>
      </c>
      <c r="B5390" t="s">
        <v>63</v>
      </c>
      <c r="C5390">
        <v>1</v>
      </c>
      <c r="D5390">
        <v>1</v>
      </c>
      <c r="E5390">
        <v>1</v>
      </c>
      <c r="F5390" s="15">
        <v>46230</v>
      </c>
      <c r="G5390" t="s">
        <v>653</v>
      </c>
      <c r="H5390">
        <v>4</v>
      </c>
      <c r="I5390">
        <v>2026</v>
      </c>
      <c r="J5390">
        <v>7</v>
      </c>
      <c r="K5390" t="s">
        <v>87</v>
      </c>
      <c r="L5390" t="s">
        <v>609</v>
      </c>
      <c r="M5390" t="s">
        <v>63</v>
      </c>
      <c r="N5390" t="b">
        <v>0</v>
      </c>
      <c r="O5390">
        <v>0</v>
      </c>
      <c r="P5390">
        <v>0</v>
      </c>
      <c r="Q5390">
        <v>1</v>
      </c>
      <c r="R5390">
        <v>0</v>
      </c>
    </row>
    <row r="5391" spans="1:18" x14ac:dyDescent="0.25">
      <c r="A5391" t="s">
        <v>27</v>
      </c>
      <c r="B5391" t="s">
        <v>63</v>
      </c>
      <c r="C5391">
        <v>1</v>
      </c>
      <c r="D5391">
        <v>1</v>
      </c>
      <c r="E5391">
        <v>1</v>
      </c>
      <c r="F5391" s="15">
        <v>46230</v>
      </c>
      <c r="G5391" t="s">
        <v>653</v>
      </c>
      <c r="H5391">
        <v>4</v>
      </c>
      <c r="I5391">
        <v>2026</v>
      </c>
      <c r="J5391">
        <v>7</v>
      </c>
      <c r="K5391" t="s">
        <v>87</v>
      </c>
      <c r="L5391" t="s">
        <v>19</v>
      </c>
      <c r="M5391" t="s">
        <v>63</v>
      </c>
      <c r="N5391" t="b">
        <v>0</v>
      </c>
      <c r="O5391">
        <v>0</v>
      </c>
      <c r="P5391">
        <v>0</v>
      </c>
      <c r="Q5391">
        <v>1</v>
      </c>
      <c r="R5391">
        <v>0</v>
      </c>
    </row>
    <row r="5392" spans="1:18" x14ac:dyDescent="0.25">
      <c r="A5392" t="s">
        <v>27</v>
      </c>
      <c r="B5392" t="s">
        <v>63</v>
      </c>
      <c r="C5392">
        <v>1</v>
      </c>
      <c r="D5392">
        <v>1</v>
      </c>
      <c r="E5392">
        <v>1</v>
      </c>
      <c r="F5392" s="15">
        <v>46230</v>
      </c>
      <c r="G5392" t="s">
        <v>653</v>
      </c>
      <c r="H5392">
        <v>4</v>
      </c>
      <c r="I5392">
        <v>2026</v>
      </c>
      <c r="J5392">
        <v>7</v>
      </c>
      <c r="K5392" t="s">
        <v>87</v>
      </c>
      <c r="L5392" t="s">
        <v>352</v>
      </c>
      <c r="M5392" t="s">
        <v>63</v>
      </c>
      <c r="N5392" t="b">
        <v>0</v>
      </c>
      <c r="O5392">
        <v>0</v>
      </c>
      <c r="P5392">
        <v>0</v>
      </c>
      <c r="Q5392">
        <v>1</v>
      </c>
      <c r="R5392">
        <v>0</v>
      </c>
    </row>
    <row r="5393" spans="1:18" x14ac:dyDescent="0.25">
      <c r="A5393" t="s">
        <v>609</v>
      </c>
      <c r="B5393" t="s">
        <v>63</v>
      </c>
      <c r="C5393">
        <v>2</v>
      </c>
      <c r="D5393">
        <v>1</v>
      </c>
      <c r="E5393">
        <v>1</v>
      </c>
      <c r="F5393" s="15">
        <v>46230</v>
      </c>
      <c r="G5393" t="s">
        <v>653</v>
      </c>
      <c r="H5393">
        <v>4</v>
      </c>
      <c r="I5393">
        <v>2026</v>
      </c>
      <c r="J5393">
        <v>7</v>
      </c>
      <c r="K5393" t="s">
        <v>87</v>
      </c>
      <c r="L5393" t="s">
        <v>27</v>
      </c>
      <c r="M5393" t="s">
        <v>63</v>
      </c>
      <c r="N5393" t="b">
        <v>0</v>
      </c>
      <c r="O5393">
        <v>0</v>
      </c>
      <c r="P5393">
        <v>0</v>
      </c>
      <c r="Q5393">
        <v>1</v>
      </c>
      <c r="R5393">
        <v>0</v>
      </c>
    </row>
    <row r="5394" spans="1:18" x14ac:dyDescent="0.25">
      <c r="A5394" t="s">
        <v>609</v>
      </c>
      <c r="B5394" t="s">
        <v>63</v>
      </c>
      <c r="C5394">
        <v>2</v>
      </c>
      <c r="D5394">
        <v>1</v>
      </c>
      <c r="E5394">
        <v>1</v>
      </c>
      <c r="F5394" s="15">
        <v>46230</v>
      </c>
      <c r="G5394" t="s">
        <v>653</v>
      </c>
      <c r="H5394">
        <v>4</v>
      </c>
      <c r="I5394">
        <v>2026</v>
      </c>
      <c r="J5394">
        <v>7</v>
      </c>
      <c r="K5394" t="s">
        <v>87</v>
      </c>
      <c r="L5394" t="s">
        <v>19</v>
      </c>
      <c r="M5394" t="s">
        <v>63</v>
      </c>
      <c r="N5394" t="b">
        <v>0</v>
      </c>
      <c r="O5394">
        <v>0</v>
      </c>
      <c r="P5394">
        <v>0</v>
      </c>
      <c r="Q5394">
        <v>1</v>
      </c>
      <c r="R5394">
        <v>0</v>
      </c>
    </row>
    <row r="5395" spans="1:18" x14ac:dyDescent="0.25">
      <c r="A5395" t="s">
        <v>609</v>
      </c>
      <c r="B5395" t="s">
        <v>63</v>
      </c>
      <c r="C5395">
        <v>2</v>
      </c>
      <c r="D5395">
        <v>1</v>
      </c>
      <c r="E5395">
        <v>1</v>
      </c>
      <c r="F5395" s="15">
        <v>46230</v>
      </c>
      <c r="G5395" t="s">
        <v>653</v>
      </c>
      <c r="H5395">
        <v>4</v>
      </c>
      <c r="I5395">
        <v>2026</v>
      </c>
      <c r="J5395">
        <v>7</v>
      </c>
      <c r="K5395" t="s">
        <v>87</v>
      </c>
      <c r="L5395" t="s">
        <v>352</v>
      </c>
      <c r="M5395" t="s">
        <v>63</v>
      </c>
      <c r="N5395" t="b">
        <v>0</v>
      </c>
      <c r="O5395">
        <v>0</v>
      </c>
      <c r="P5395">
        <v>0</v>
      </c>
      <c r="Q5395">
        <v>1</v>
      </c>
      <c r="R5395">
        <v>0</v>
      </c>
    </row>
    <row r="5396" spans="1:18" x14ac:dyDescent="0.25">
      <c r="A5396" t="s">
        <v>19</v>
      </c>
      <c r="B5396" t="s">
        <v>63</v>
      </c>
      <c r="C5396">
        <v>3</v>
      </c>
      <c r="D5396">
        <v>1</v>
      </c>
      <c r="E5396">
        <v>1</v>
      </c>
      <c r="F5396" s="15">
        <v>46230</v>
      </c>
      <c r="G5396" t="s">
        <v>653</v>
      </c>
      <c r="H5396">
        <v>4</v>
      </c>
      <c r="I5396">
        <v>2026</v>
      </c>
      <c r="J5396">
        <v>7</v>
      </c>
      <c r="K5396" t="s">
        <v>87</v>
      </c>
      <c r="L5396" t="s">
        <v>27</v>
      </c>
      <c r="M5396" t="s">
        <v>63</v>
      </c>
      <c r="N5396" t="b">
        <v>0</v>
      </c>
      <c r="O5396">
        <v>0</v>
      </c>
      <c r="P5396">
        <v>0</v>
      </c>
      <c r="Q5396">
        <v>1</v>
      </c>
      <c r="R5396">
        <v>0</v>
      </c>
    </row>
    <row r="5397" spans="1:18" x14ac:dyDescent="0.25">
      <c r="A5397" t="s">
        <v>19</v>
      </c>
      <c r="B5397" t="s">
        <v>63</v>
      </c>
      <c r="C5397">
        <v>3</v>
      </c>
      <c r="D5397">
        <v>1</v>
      </c>
      <c r="E5397">
        <v>1</v>
      </c>
      <c r="F5397" s="15">
        <v>46230</v>
      </c>
      <c r="G5397" t="s">
        <v>653</v>
      </c>
      <c r="H5397">
        <v>4</v>
      </c>
      <c r="I5397">
        <v>2026</v>
      </c>
      <c r="J5397">
        <v>7</v>
      </c>
      <c r="K5397" t="s">
        <v>87</v>
      </c>
      <c r="L5397" t="s">
        <v>609</v>
      </c>
      <c r="M5397" t="s">
        <v>63</v>
      </c>
      <c r="N5397" t="b">
        <v>0</v>
      </c>
      <c r="O5397">
        <v>0</v>
      </c>
      <c r="P5397">
        <v>0</v>
      </c>
      <c r="Q5397">
        <v>1</v>
      </c>
      <c r="R5397">
        <v>0</v>
      </c>
    </row>
    <row r="5398" spans="1:18" x14ac:dyDescent="0.25">
      <c r="A5398" t="s">
        <v>19</v>
      </c>
      <c r="B5398" t="s">
        <v>63</v>
      </c>
      <c r="C5398">
        <v>3</v>
      </c>
      <c r="D5398">
        <v>1</v>
      </c>
      <c r="E5398">
        <v>1</v>
      </c>
      <c r="F5398" s="15">
        <v>46230</v>
      </c>
      <c r="G5398" t="s">
        <v>653</v>
      </c>
      <c r="H5398">
        <v>4</v>
      </c>
      <c r="I5398">
        <v>2026</v>
      </c>
      <c r="J5398">
        <v>7</v>
      </c>
      <c r="K5398" t="s">
        <v>87</v>
      </c>
      <c r="L5398" t="s">
        <v>352</v>
      </c>
      <c r="M5398" t="s">
        <v>63</v>
      </c>
      <c r="N5398" t="b">
        <v>0</v>
      </c>
      <c r="O5398">
        <v>0</v>
      </c>
      <c r="P5398">
        <v>0</v>
      </c>
      <c r="Q5398">
        <v>1</v>
      </c>
      <c r="R5398">
        <v>0</v>
      </c>
    </row>
    <row r="5399" spans="1:18" x14ac:dyDescent="0.25">
      <c r="A5399" t="s">
        <v>352</v>
      </c>
      <c r="B5399" t="s">
        <v>63</v>
      </c>
      <c r="C5399">
        <v>4</v>
      </c>
      <c r="D5399">
        <v>1</v>
      </c>
      <c r="E5399">
        <v>1</v>
      </c>
      <c r="F5399" s="15">
        <v>46230</v>
      </c>
      <c r="G5399" t="s">
        <v>653</v>
      </c>
      <c r="H5399">
        <v>4</v>
      </c>
      <c r="I5399">
        <v>2026</v>
      </c>
      <c r="J5399">
        <v>7</v>
      </c>
      <c r="K5399" t="s">
        <v>87</v>
      </c>
      <c r="L5399" t="s">
        <v>27</v>
      </c>
      <c r="M5399" t="s">
        <v>63</v>
      </c>
      <c r="N5399" t="b">
        <v>0</v>
      </c>
      <c r="O5399">
        <v>0</v>
      </c>
      <c r="P5399">
        <v>0</v>
      </c>
      <c r="Q5399">
        <v>1</v>
      </c>
      <c r="R5399">
        <v>0</v>
      </c>
    </row>
    <row r="5400" spans="1:18" x14ac:dyDescent="0.25">
      <c r="A5400" t="s">
        <v>352</v>
      </c>
      <c r="B5400" t="s">
        <v>63</v>
      </c>
      <c r="C5400">
        <v>4</v>
      </c>
      <c r="D5400">
        <v>1</v>
      </c>
      <c r="E5400">
        <v>1</v>
      </c>
      <c r="F5400" s="15">
        <v>46230</v>
      </c>
      <c r="G5400" t="s">
        <v>653</v>
      </c>
      <c r="H5400">
        <v>4</v>
      </c>
      <c r="I5400">
        <v>2026</v>
      </c>
      <c r="J5400">
        <v>7</v>
      </c>
      <c r="K5400" t="s">
        <v>87</v>
      </c>
      <c r="L5400" t="s">
        <v>609</v>
      </c>
      <c r="M5400" t="s">
        <v>63</v>
      </c>
      <c r="N5400" t="b">
        <v>0</v>
      </c>
      <c r="O5400">
        <v>0</v>
      </c>
      <c r="P5400">
        <v>0</v>
      </c>
      <c r="Q5400">
        <v>1</v>
      </c>
      <c r="R5400">
        <v>0</v>
      </c>
    </row>
    <row r="5401" spans="1:18" x14ac:dyDescent="0.25">
      <c r="A5401" t="s">
        <v>352</v>
      </c>
      <c r="B5401" t="s">
        <v>63</v>
      </c>
      <c r="C5401">
        <v>4</v>
      </c>
      <c r="D5401">
        <v>1</v>
      </c>
      <c r="E5401">
        <v>1</v>
      </c>
      <c r="F5401" s="15">
        <v>46230</v>
      </c>
      <c r="G5401" t="s">
        <v>653</v>
      </c>
      <c r="H5401">
        <v>4</v>
      </c>
      <c r="I5401">
        <v>2026</v>
      </c>
      <c r="J5401">
        <v>7</v>
      </c>
      <c r="K5401" t="s">
        <v>87</v>
      </c>
      <c r="L5401" t="s">
        <v>19</v>
      </c>
      <c r="M5401" t="s">
        <v>63</v>
      </c>
      <c r="N5401" t="b">
        <v>0</v>
      </c>
      <c r="O5401">
        <v>0</v>
      </c>
      <c r="P5401">
        <v>0</v>
      </c>
      <c r="Q5401">
        <v>1</v>
      </c>
      <c r="R5401">
        <v>0</v>
      </c>
    </row>
    <row r="5402" spans="1:18" x14ac:dyDescent="0.25">
      <c r="A5402" t="s">
        <v>51</v>
      </c>
      <c r="B5402" t="s">
        <v>63</v>
      </c>
      <c r="C5402">
        <v>1</v>
      </c>
      <c r="D5402">
        <v>2</v>
      </c>
      <c r="E5402">
        <v>1</v>
      </c>
      <c r="F5402" s="15">
        <v>46230</v>
      </c>
      <c r="G5402" t="s">
        <v>654</v>
      </c>
      <c r="H5402">
        <v>4</v>
      </c>
      <c r="I5402">
        <v>2026</v>
      </c>
      <c r="J5402">
        <v>7</v>
      </c>
      <c r="K5402" t="s">
        <v>87</v>
      </c>
      <c r="L5402" t="s">
        <v>351</v>
      </c>
      <c r="M5402" t="s">
        <v>63</v>
      </c>
      <c r="N5402" t="b">
        <v>0</v>
      </c>
      <c r="O5402">
        <v>0</v>
      </c>
      <c r="P5402">
        <v>0</v>
      </c>
      <c r="Q5402">
        <v>1</v>
      </c>
      <c r="R5402">
        <v>0</v>
      </c>
    </row>
    <row r="5403" spans="1:18" x14ac:dyDescent="0.25">
      <c r="A5403" t="s">
        <v>51</v>
      </c>
      <c r="B5403" t="s">
        <v>63</v>
      </c>
      <c r="C5403">
        <v>1</v>
      </c>
      <c r="D5403">
        <v>2</v>
      </c>
      <c r="E5403">
        <v>1</v>
      </c>
      <c r="F5403" s="15">
        <v>46230</v>
      </c>
      <c r="G5403" t="s">
        <v>654</v>
      </c>
      <c r="H5403">
        <v>4</v>
      </c>
      <c r="I5403">
        <v>2026</v>
      </c>
      <c r="J5403">
        <v>7</v>
      </c>
      <c r="K5403" t="s">
        <v>87</v>
      </c>
      <c r="L5403" t="s">
        <v>405</v>
      </c>
      <c r="M5403" t="s">
        <v>63</v>
      </c>
      <c r="N5403" t="b">
        <v>0</v>
      </c>
      <c r="O5403">
        <v>0</v>
      </c>
      <c r="P5403">
        <v>0</v>
      </c>
      <c r="Q5403">
        <v>1</v>
      </c>
      <c r="R5403">
        <v>0</v>
      </c>
    </row>
    <row r="5404" spans="1:18" x14ac:dyDescent="0.25">
      <c r="A5404" t="s">
        <v>51</v>
      </c>
      <c r="B5404" t="s">
        <v>63</v>
      </c>
      <c r="C5404">
        <v>1</v>
      </c>
      <c r="D5404">
        <v>2</v>
      </c>
      <c r="E5404">
        <v>1</v>
      </c>
      <c r="F5404" s="15">
        <v>46230</v>
      </c>
      <c r="G5404" t="s">
        <v>654</v>
      </c>
      <c r="H5404">
        <v>4</v>
      </c>
      <c r="I5404">
        <v>2026</v>
      </c>
      <c r="J5404">
        <v>7</v>
      </c>
      <c r="K5404" t="s">
        <v>87</v>
      </c>
      <c r="L5404" t="s">
        <v>13</v>
      </c>
      <c r="M5404" t="s">
        <v>63</v>
      </c>
      <c r="N5404" t="b">
        <v>0</v>
      </c>
      <c r="O5404">
        <v>0</v>
      </c>
      <c r="P5404">
        <v>0</v>
      </c>
      <c r="Q5404">
        <v>1</v>
      </c>
      <c r="R5404">
        <v>0</v>
      </c>
    </row>
    <row r="5405" spans="1:18" x14ac:dyDescent="0.25">
      <c r="A5405" t="s">
        <v>351</v>
      </c>
      <c r="B5405" t="s">
        <v>63</v>
      </c>
      <c r="C5405">
        <v>2</v>
      </c>
      <c r="D5405">
        <v>2</v>
      </c>
      <c r="E5405">
        <v>1</v>
      </c>
      <c r="F5405" s="15">
        <v>46230</v>
      </c>
      <c r="G5405" t="s">
        <v>654</v>
      </c>
      <c r="H5405">
        <v>4</v>
      </c>
      <c r="I5405">
        <v>2026</v>
      </c>
      <c r="J5405">
        <v>7</v>
      </c>
      <c r="K5405" t="s">
        <v>87</v>
      </c>
      <c r="L5405" t="s">
        <v>51</v>
      </c>
      <c r="M5405" t="s">
        <v>63</v>
      </c>
      <c r="N5405" t="b">
        <v>0</v>
      </c>
      <c r="O5405">
        <v>0</v>
      </c>
      <c r="P5405">
        <v>0</v>
      </c>
      <c r="Q5405">
        <v>1</v>
      </c>
      <c r="R5405">
        <v>0</v>
      </c>
    </row>
    <row r="5406" spans="1:18" x14ac:dyDescent="0.25">
      <c r="A5406" t="s">
        <v>351</v>
      </c>
      <c r="B5406" t="s">
        <v>63</v>
      </c>
      <c r="C5406">
        <v>2</v>
      </c>
      <c r="D5406">
        <v>2</v>
      </c>
      <c r="E5406">
        <v>1</v>
      </c>
      <c r="F5406" s="15">
        <v>46230</v>
      </c>
      <c r="G5406" t="s">
        <v>654</v>
      </c>
      <c r="H5406">
        <v>4</v>
      </c>
      <c r="I5406">
        <v>2026</v>
      </c>
      <c r="J5406">
        <v>7</v>
      </c>
      <c r="K5406" t="s">
        <v>87</v>
      </c>
      <c r="L5406" t="s">
        <v>405</v>
      </c>
      <c r="M5406" t="s">
        <v>63</v>
      </c>
      <c r="N5406" t="b">
        <v>0</v>
      </c>
      <c r="O5406">
        <v>0</v>
      </c>
      <c r="P5406">
        <v>0</v>
      </c>
      <c r="Q5406">
        <v>1</v>
      </c>
      <c r="R5406">
        <v>0</v>
      </c>
    </row>
    <row r="5407" spans="1:18" x14ac:dyDescent="0.25">
      <c r="A5407" t="s">
        <v>351</v>
      </c>
      <c r="B5407" t="s">
        <v>63</v>
      </c>
      <c r="C5407">
        <v>2</v>
      </c>
      <c r="D5407">
        <v>2</v>
      </c>
      <c r="E5407">
        <v>1</v>
      </c>
      <c r="F5407" s="15">
        <v>46230</v>
      </c>
      <c r="G5407" t="s">
        <v>654</v>
      </c>
      <c r="H5407">
        <v>4</v>
      </c>
      <c r="I5407">
        <v>2026</v>
      </c>
      <c r="J5407">
        <v>7</v>
      </c>
      <c r="K5407" t="s">
        <v>87</v>
      </c>
      <c r="L5407" t="s">
        <v>13</v>
      </c>
      <c r="M5407" t="s">
        <v>63</v>
      </c>
      <c r="N5407" t="b">
        <v>0</v>
      </c>
      <c r="O5407">
        <v>0</v>
      </c>
      <c r="P5407">
        <v>0</v>
      </c>
      <c r="Q5407">
        <v>1</v>
      </c>
      <c r="R5407">
        <v>0</v>
      </c>
    </row>
    <row r="5408" spans="1:18" x14ac:dyDescent="0.25">
      <c r="A5408" t="s">
        <v>405</v>
      </c>
      <c r="B5408" t="s">
        <v>63</v>
      </c>
      <c r="C5408">
        <v>3</v>
      </c>
      <c r="D5408">
        <v>2</v>
      </c>
      <c r="E5408">
        <v>1</v>
      </c>
      <c r="F5408" s="15">
        <v>46230</v>
      </c>
      <c r="G5408" t="s">
        <v>654</v>
      </c>
      <c r="H5408">
        <v>4</v>
      </c>
      <c r="I5408">
        <v>2026</v>
      </c>
      <c r="J5408">
        <v>7</v>
      </c>
      <c r="K5408" t="s">
        <v>87</v>
      </c>
      <c r="L5408" t="s">
        <v>51</v>
      </c>
      <c r="M5408" t="s">
        <v>63</v>
      </c>
      <c r="N5408" t="b">
        <v>0</v>
      </c>
      <c r="O5408">
        <v>0</v>
      </c>
      <c r="P5408">
        <v>0</v>
      </c>
      <c r="Q5408">
        <v>1</v>
      </c>
      <c r="R5408">
        <v>0</v>
      </c>
    </row>
    <row r="5409" spans="1:18" x14ac:dyDescent="0.25">
      <c r="A5409" t="s">
        <v>405</v>
      </c>
      <c r="B5409" t="s">
        <v>63</v>
      </c>
      <c r="C5409">
        <v>3</v>
      </c>
      <c r="D5409">
        <v>2</v>
      </c>
      <c r="E5409">
        <v>1</v>
      </c>
      <c r="F5409" s="15">
        <v>46230</v>
      </c>
      <c r="G5409" t="s">
        <v>654</v>
      </c>
      <c r="H5409">
        <v>4</v>
      </c>
      <c r="I5409">
        <v>2026</v>
      </c>
      <c r="J5409">
        <v>7</v>
      </c>
      <c r="K5409" t="s">
        <v>87</v>
      </c>
      <c r="L5409" t="s">
        <v>351</v>
      </c>
      <c r="M5409" t="s">
        <v>63</v>
      </c>
      <c r="N5409" t="b">
        <v>0</v>
      </c>
      <c r="O5409">
        <v>0</v>
      </c>
      <c r="P5409">
        <v>0</v>
      </c>
      <c r="Q5409">
        <v>1</v>
      </c>
      <c r="R5409">
        <v>0</v>
      </c>
    </row>
    <row r="5410" spans="1:18" x14ac:dyDescent="0.25">
      <c r="A5410" t="s">
        <v>405</v>
      </c>
      <c r="B5410" t="s">
        <v>63</v>
      </c>
      <c r="C5410">
        <v>3</v>
      </c>
      <c r="D5410">
        <v>2</v>
      </c>
      <c r="E5410">
        <v>1</v>
      </c>
      <c r="F5410" s="15">
        <v>46230</v>
      </c>
      <c r="G5410" t="s">
        <v>654</v>
      </c>
      <c r="H5410">
        <v>4</v>
      </c>
      <c r="I5410">
        <v>2026</v>
      </c>
      <c r="J5410">
        <v>7</v>
      </c>
      <c r="K5410" t="s">
        <v>87</v>
      </c>
      <c r="L5410" t="s">
        <v>13</v>
      </c>
      <c r="M5410" t="s">
        <v>63</v>
      </c>
      <c r="N5410" t="b">
        <v>0</v>
      </c>
      <c r="O5410">
        <v>0</v>
      </c>
      <c r="P5410">
        <v>0</v>
      </c>
      <c r="Q5410">
        <v>1</v>
      </c>
      <c r="R5410">
        <v>0</v>
      </c>
    </row>
    <row r="5411" spans="1:18" x14ac:dyDescent="0.25">
      <c r="A5411" t="s">
        <v>13</v>
      </c>
      <c r="B5411" t="s">
        <v>63</v>
      </c>
      <c r="C5411">
        <v>4</v>
      </c>
      <c r="D5411">
        <v>2</v>
      </c>
      <c r="E5411">
        <v>1</v>
      </c>
      <c r="F5411" s="15">
        <v>46230</v>
      </c>
      <c r="G5411" t="s">
        <v>654</v>
      </c>
      <c r="H5411">
        <v>4</v>
      </c>
      <c r="I5411">
        <v>2026</v>
      </c>
      <c r="J5411">
        <v>7</v>
      </c>
      <c r="K5411" t="s">
        <v>87</v>
      </c>
      <c r="L5411" t="s">
        <v>51</v>
      </c>
      <c r="M5411" t="s">
        <v>63</v>
      </c>
      <c r="N5411" t="b">
        <v>0</v>
      </c>
      <c r="O5411">
        <v>0</v>
      </c>
      <c r="P5411">
        <v>0</v>
      </c>
      <c r="Q5411">
        <v>1</v>
      </c>
      <c r="R5411">
        <v>0</v>
      </c>
    </row>
    <row r="5412" spans="1:18" x14ac:dyDescent="0.25">
      <c r="A5412" t="s">
        <v>13</v>
      </c>
      <c r="B5412" t="s">
        <v>63</v>
      </c>
      <c r="C5412">
        <v>4</v>
      </c>
      <c r="D5412">
        <v>2</v>
      </c>
      <c r="E5412">
        <v>1</v>
      </c>
      <c r="F5412" s="15">
        <v>46230</v>
      </c>
      <c r="G5412" t="s">
        <v>654</v>
      </c>
      <c r="H5412">
        <v>4</v>
      </c>
      <c r="I5412">
        <v>2026</v>
      </c>
      <c r="J5412">
        <v>7</v>
      </c>
      <c r="K5412" t="s">
        <v>87</v>
      </c>
      <c r="L5412" t="s">
        <v>351</v>
      </c>
      <c r="M5412" t="s">
        <v>63</v>
      </c>
      <c r="N5412" t="b">
        <v>0</v>
      </c>
      <c r="O5412">
        <v>0</v>
      </c>
      <c r="P5412">
        <v>0</v>
      </c>
      <c r="Q5412">
        <v>1</v>
      </c>
      <c r="R5412">
        <v>0</v>
      </c>
    </row>
    <row r="5413" spans="1:18" x14ac:dyDescent="0.25">
      <c r="A5413" t="s">
        <v>13</v>
      </c>
      <c r="B5413" t="s">
        <v>63</v>
      </c>
      <c r="C5413">
        <v>4</v>
      </c>
      <c r="D5413">
        <v>2</v>
      </c>
      <c r="E5413">
        <v>1</v>
      </c>
      <c r="F5413" s="15">
        <v>46230</v>
      </c>
      <c r="G5413" t="s">
        <v>654</v>
      </c>
      <c r="H5413">
        <v>4</v>
      </c>
      <c r="I5413">
        <v>2026</v>
      </c>
      <c r="J5413">
        <v>7</v>
      </c>
      <c r="K5413" t="s">
        <v>87</v>
      </c>
      <c r="L5413" t="s">
        <v>405</v>
      </c>
      <c r="M5413" t="s">
        <v>63</v>
      </c>
      <c r="N5413" t="b">
        <v>0</v>
      </c>
      <c r="O5413">
        <v>0</v>
      </c>
      <c r="P5413">
        <v>0</v>
      </c>
      <c r="Q5413">
        <v>1</v>
      </c>
      <c r="R5413">
        <v>0</v>
      </c>
    </row>
    <row r="5414" spans="1:18" x14ac:dyDescent="0.25">
      <c r="A5414" t="s">
        <v>14</v>
      </c>
      <c r="B5414" t="s">
        <v>63</v>
      </c>
      <c r="C5414">
        <v>1</v>
      </c>
      <c r="D5414">
        <v>3</v>
      </c>
      <c r="E5414">
        <v>1</v>
      </c>
      <c r="F5414" s="15">
        <v>46230</v>
      </c>
      <c r="G5414" t="s">
        <v>655</v>
      </c>
      <c r="H5414">
        <v>4</v>
      </c>
      <c r="I5414">
        <v>2026</v>
      </c>
      <c r="J5414">
        <v>7</v>
      </c>
      <c r="K5414" t="s">
        <v>87</v>
      </c>
      <c r="L5414" t="s">
        <v>17</v>
      </c>
      <c r="M5414" t="s">
        <v>63</v>
      </c>
      <c r="N5414" t="b">
        <v>0</v>
      </c>
      <c r="O5414">
        <v>0</v>
      </c>
      <c r="P5414">
        <v>0</v>
      </c>
      <c r="Q5414">
        <v>1</v>
      </c>
      <c r="R5414">
        <v>0</v>
      </c>
    </row>
    <row r="5415" spans="1:18" x14ac:dyDescent="0.25">
      <c r="A5415" t="s">
        <v>14</v>
      </c>
      <c r="B5415" t="s">
        <v>63</v>
      </c>
      <c r="C5415">
        <v>1</v>
      </c>
      <c r="D5415">
        <v>3</v>
      </c>
      <c r="E5415">
        <v>1</v>
      </c>
      <c r="F5415" s="15">
        <v>46230</v>
      </c>
      <c r="G5415" t="s">
        <v>655</v>
      </c>
      <c r="H5415">
        <v>4</v>
      </c>
      <c r="I5415">
        <v>2026</v>
      </c>
      <c r="J5415">
        <v>7</v>
      </c>
      <c r="K5415" t="s">
        <v>87</v>
      </c>
      <c r="L5415" t="s">
        <v>578</v>
      </c>
      <c r="M5415" t="s">
        <v>63</v>
      </c>
      <c r="N5415" t="b">
        <v>0</v>
      </c>
      <c r="O5415">
        <v>0</v>
      </c>
      <c r="P5415">
        <v>0</v>
      </c>
      <c r="Q5415">
        <v>1</v>
      </c>
      <c r="R5415">
        <v>0</v>
      </c>
    </row>
    <row r="5416" spans="1:18" x14ac:dyDescent="0.25">
      <c r="A5416" t="s">
        <v>14</v>
      </c>
      <c r="B5416" t="s">
        <v>63</v>
      </c>
      <c r="C5416">
        <v>1</v>
      </c>
      <c r="D5416">
        <v>3</v>
      </c>
      <c r="E5416">
        <v>1</v>
      </c>
      <c r="F5416" s="15">
        <v>46230</v>
      </c>
      <c r="G5416" t="s">
        <v>655</v>
      </c>
      <c r="H5416">
        <v>4</v>
      </c>
      <c r="I5416">
        <v>2026</v>
      </c>
      <c r="J5416">
        <v>7</v>
      </c>
      <c r="K5416" t="s">
        <v>87</v>
      </c>
      <c r="L5416" t="s">
        <v>519</v>
      </c>
      <c r="M5416" t="s">
        <v>63</v>
      </c>
      <c r="N5416" t="b">
        <v>0</v>
      </c>
      <c r="O5416">
        <v>0</v>
      </c>
      <c r="P5416">
        <v>0</v>
      </c>
      <c r="Q5416">
        <v>1</v>
      </c>
      <c r="R5416">
        <v>0</v>
      </c>
    </row>
    <row r="5417" spans="1:18" x14ac:dyDescent="0.25">
      <c r="A5417" t="s">
        <v>17</v>
      </c>
      <c r="B5417" t="s">
        <v>63</v>
      </c>
      <c r="C5417">
        <v>2</v>
      </c>
      <c r="D5417">
        <v>3</v>
      </c>
      <c r="E5417">
        <v>1</v>
      </c>
      <c r="F5417" s="15">
        <v>46230</v>
      </c>
      <c r="G5417" t="s">
        <v>655</v>
      </c>
      <c r="H5417">
        <v>4</v>
      </c>
      <c r="I5417">
        <v>2026</v>
      </c>
      <c r="J5417">
        <v>7</v>
      </c>
      <c r="K5417" t="s">
        <v>87</v>
      </c>
      <c r="L5417" t="s">
        <v>14</v>
      </c>
      <c r="M5417" t="s">
        <v>63</v>
      </c>
      <c r="N5417" t="b">
        <v>0</v>
      </c>
      <c r="O5417">
        <v>0</v>
      </c>
      <c r="P5417">
        <v>0</v>
      </c>
      <c r="Q5417">
        <v>1</v>
      </c>
      <c r="R5417">
        <v>0</v>
      </c>
    </row>
    <row r="5418" spans="1:18" x14ac:dyDescent="0.25">
      <c r="A5418" t="s">
        <v>17</v>
      </c>
      <c r="B5418" t="s">
        <v>63</v>
      </c>
      <c r="C5418">
        <v>2</v>
      </c>
      <c r="D5418">
        <v>3</v>
      </c>
      <c r="E5418">
        <v>1</v>
      </c>
      <c r="F5418" s="15">
        <v>46230</v>
      </c>
      <c r="G5418" t="s">
        <v>655</v>
      </c>
      <c r="H5418">
        <v>4</v>
      </c>
      <c r="I5418">
        <v>2026</v>
      </c>
      <c r="J5418">
        <v>7</v>
      </c>
      <c r="K5418" t="s">
        <v>87</v>
      </c>
      <c r="L5418" t="s">
        <v>578</v>
      </c>
      <c r="M5418" t="s">
        <v>63</v>
      </c>
      <c r="N5418" t="b">
        <v>0</v>
      </c>
      <c r="O5418">
        <v>0</v>
      </c>
      <c r="P5418">
        <v>0</v>
      </c>
      <c r="Q5418">
        <v>1</v>
      </c>
      <c r="R5418">
        <v>0</v>
      </c>
    </row>
    <row r="5419" spans="1:18" x14ac:dyDescent="0.25">
      <c r="A5419" t="s">
        <v>17</v>
      </c>
      <c r="B5419" t="s">
        <v>63</v>
      </c>
      <c r="C5419">
        <v>2</v>
      </c>
      <c r="D5419">
        <v>3</v>
      </c>
      <c r="E5419">
        <v>1</v>
      </c>
      <c r="F5419" s="15">
        <v>46230</v>
      </c>
      <c r="G5419" t="s">
        <v>655</v>
      </c>
      <c r="H5419">
        <v>4</v>
      </c>
      <c r="I5419">
        <v>2026</v>
      </c>
      <c r="J5419">
        <v>7</v>
      </c>
      <c r="K5419" t="s">
        <v>87</v>
      </c>
      <c r="L5419" t="s">
        <v>519</v>
      </c>
      <c r="M5419" t="s">
        <v>63</v>
      </c>
      <c r="N5419" t="b">
        <v>0</v>
      </c>
      <c r="O5419">
        <v>0</v>
      </c>
      <c r="P5419">
        <v>0</v>
      </c>
      <c r="Q5419">
        <v>1</v>
      </c>
      <c r="R5419">
        <v>0</v>
      </c>
    </row>
    <row r="5420" spans="1:18" x14ac:dyDescent="0.25">
      <c r="A5420" t="s">
        <v>578</v>
      </c>
      <c r="B5420" t="s">
        <v>63</v>
      </c>
      <c r="C5420">
        <v>3</v>
      </c>
      <c r="D5420">
        <v>3</v>
      </c>
      <c r="E5420">
        <v>1</v>
      </c>
      <c r="F5420" s="15">
        <v>46230</v>
      </c>
      <c r="G5420" t="s">
        <v>655</v>
      </c>
      <c r="H5420">
        <v>4</v>
      </c>
      <c r="I5420">
        <v>2026</v>
      </c>
      <c r="J5420">
        <v>7</v>
      </c>
      <c r="K5420" t="s">
        <v>87</v>
      </c>
      <c r="L5420" t="s">
        <v>14</v>
      </c>
      <c r="M5420" t="s">
        <v>63</v>
      </c>
      <c r="N5420" t="b">
        <v>0</v>
      </c>
      <c r="O5420">
        <v>0</v>
      </c>
      <c r="P5420">
        <v>0</v>
      </c>
      <c r="Q5420">
        <v>1</v>
      </c>
      <c r="R5420">
        <v>0</v>
      </c>
    </row>
    <row r="5421" spans="1:18" x14ac:dyDescent="0.25">
      <c r="A5421" t="s">
        <v>578</v>
      </c>
      <c r="B5421" t="s">
        <v>63</v>
      </c>
      <c r="C5421">
        <v>3</v>
      </c>
      <c r="D5421">
        <v>3</v>
      </c>
      <c r="E5421">
        <v>1</v>
      </c>
      <c r="F5421" s="15">
        <v>46230</v>
      </c>
      <c r="G5421" t="s">
        <v>655</v>
      </c>
      <c r="H5421">
        <v>4</v>
      </c>
      <c r="I5421">
        <v>2026</v>
      </c>
      <c r="J5421">
        <v>7</v>
      </c>
      <c r="K5421" t="s">
        <v>87</v>
      </c>
      <c r="L5421" t="s">
        <v>17</v>
      </c>
      <c r="M5421" t="s">
        <v>63</v>
      </c>
      <c r="N5421" t="b">
        <v>0</v>
      </c>
      <c r="O5421">
        <v>0</v>
      </c>
      <c r="P5421">
        <v>0</v>
      </c>
      <c r="Q5421">
        <v>1</v>
      </c>
      <c r="R5421">
        <v>0</v>
      </c>
    </row>
    <row r="5422" spans="1:18" x14ac:dyDescent="0.25">
      <c r="A5422" t="s">
        <v>578</v>
      </c>
      <c r="B5422" t="s">
        <v>63</v>
      </c>
      <c r="C5422">
        <v>3</v>
      </c>
      <c r="D5422">
        <v>3</v>
      </c>
      <c r="E5422">
        <v>1</v>
      </c>
      <c r="F5422" s="15">
        <v>46230</v>
      </c>
      <c r="G5422" t="s">
        <v>655</v>
      </c>
      <c r="H5422">
        <v>4</v>
      </c>
      <c r="I5422">
        <v>2026</v>
      </c>
      <c r="J5422">
        <v>7</v>
      </c>
      <c r="K5422" t="s">
        <v>87</v>
      </c>
      <c r="L5422" t="s">
        <v>519</v>
      </c>
      <c r="M5422" t="s">
        <v>63</v>
      </c>
      <c r="N5422" t="b">
        <v>0</v>
      </c>
      <c r="O5422">
        <v>0</v>
      </c>
      <c r="P5422">
        <v>0</v>
      </c>
      <c r="Q5422">
        <v>1</v>
      </c>
      <c r="R5422">
        <v>0</v>
      </c>
    </row>
    <row r="5423" spans="1:18" x14ac:dyDescent="0.25">
      <c r="A5423" t="s">
        <v>519</v>
      </c>
      <c r="B5423" t="s">
        <v>63</v>
      </c>
      <c r="C5423">
        <v>4</v>
      </c>
      <c r="D5423">
        <v>3</v>
      </c>
      <c r="E5423">
        <v>1</v>
      </c>
      <c r="F5423" s="15">
        <v>46230</v>
      </c>
      <c r="G5423" t="s">
        <v>655</v>
      </c>
      <c r="H5423">
        <v>4</v>
      </c>
      <c r="I5423">
        <v>2026</v>
      </c>
      <c r="J5423">
        <v>7</v>
      </c>
      <c r="K5423" t="s">
        <v>87</v>
      </c>
      <c r="L5423" t="s">
        <v>14</v>
      </c>
      <c r="M5423" t="s">
        <v>63</v>
      </c>
      <c r="N5423" t="b">
        <v>0</v>
      </c>
      <c r="O5423">
        <v>0</v>
      </c>
      <c r="P5423">
        <v>0</v>
      </c>
      <c r="Q5423">
        <v>1</v>
      </c>
      <c r="R5423">
        <v>0</v>
      </c>
    </row>
    <row r="5424" spans="1:18" x14ac:dyDescent="0.25">
      <c r="A5424" t="s">
        <v>519</v>
      </c>
      <c r="B5424" t="s">
        <v>63</v>
      </c>
      <c r="C5424">
        <v>4</v>
      </c>
      <c r="D5424">
        <v>3</v>
      </c>
      <c r="E5424">
        <v>1</v>
      </c>
      <c r="F5424" s="15">
        <v>46230</v>
      </c>
      <c r="G5424" t="s">
        <v>655</v>
      </c>
      <c r="H5424">
        <v>4</v>
      </c>
      <c r="I5424">
        <v>2026</v>
      </c>
      <c r="J5424">
        <v>7</v>
      </c>
      <c r="K5424" t="s">
        <v>87</v>
      </c>
      <c r="L5424" t="s">
        <v>17</v>
      </c>
      <c r="M5424" t="s">
        <v>63</v>
      </c>
      <c r="N5424" t="b">
        <v>0</v>
      </c>
      <c r="O5424">
        <v>0</v>
      </c>
      <c r="P5424">
        <v>0</v>
      </c>
      <c r="Q5424">
        <v>1</v>
      </c>
      <c r="R5424">
        <v>0</v>
      </c>
    </row>
    <row r="5425" spans="1:18" x14ac:dyDescent="0.25">
      <c r="A5425" t="s">
        <v>519</v>
      </c>
      <c r="B5425" t="s">
        <v>63</v>
      </c>
      <c r="C5425">
        <v>4</v>
      </c>
      <c r="D5425">
        <v>3</v>
      </c>
      <c r="E5425">
        <v>1</v>
      </c>
      <c r="F5425" s="15">
        <v>46230</v>
      </c>
      <c r="G5425" t="s">
        <v>655</v>
      </c>
      <c r="H5425">
        <v>4</v>
      </c>
      <c r="I5425">
        <v>2026</v>
      </c>
      <c r="J5425">
        <v>7</v>
      </c>
      <c r="K5425" t="s">
        <v>87</v>
      </c>
      <c r="L5425" t="s">
        <v>578</v>
      </c>
      <c r="M5425" t="s">
        <v>63</v>
      </c>
      <c r="N5425" t="b">
        <v>0</v>
      </c>
      <c r="O5425">
        <v>0</v>
      </c>
      <c r="P5425">
        <v>0</v>
      </c>
      <c r="Q5425">
        <v>1</v>
      </c>
      <c r="R5425">
        <v>0</v>
      </c>
    </row>
    <row r="5426" spans="1:18" x14ac:dyDescent="0.25">
      <c r="A5426" t="s">
        <v>326</v>
      </c>
      <c r="B5426" t="s">
        <v>6</v>
      </c>
      <c r="C5426">
        <v>1</v>
      </c>
      <c r="D5426">
        <v>4</v>
      </c>
      <c r="E5426">
        <v>1</v>
      </c>
      <c r="F5426" s="15">
        <v>46230</v>
      </c>
      <c r="G5426" t="s">
        <v>656</v>
      </c>
      <c r="H5426">
        <v>3</v>
      </c>
      <c r="I5426">
        <v>2026</v>
      </c>
      <c r="J5426">
        <v>7</v>
      </c>
      <c r="K5426" t="s">
        <v>87</v>
      </c>
      <c r="L5426" t="s">
        <v>28</v>
      </c>
      <c r="M5426" t="s">
        <v>8</v>
      </c>
      <c r="N5426" t="b">
        <v>0</v>
      </c>
      <c r="O5426">
        <v>0</v>
      </c>
      <c r="P5426">
        <v>1</v>
      </c>
      <c r="Q5426">
        <v>0</v>
      </c>
      <c r="R5426">
        <v>1</v>
      </c>
    </row>
    <row r="5427" spans="1:18" x14ac:dyDescent="0.25">
      <c r="A5427" t="s">
        <v>326</v>
      </c>
      <c r="B5427" t="s">
        <v>6</v>
      </c>
      <c r="C5427">
        <v>1</v>
      </c>
      <c r="D5427">
        <v>4</v>
      </c>
      <c r="E5427">
        <v>1</v>
      </c>
      <c r="F5427" s="15">
        <v>46230</v>
      </c>
      <c r="G5427" t="s">
        <v>656</v>
      </c>
      <c r="H5427">
        <v>3</v>
      </c>
      <c r="I5427">
        <v>2026</v>
      </c>
      <c r="J5427">
        <v>7</v>
      </c>
      <c r="K5427" t="s">
        <v>87</v>
      </c>
      <c r="L5427" t="s">
        <v>7</v>
      </c>
      <c r="M5427" t="s">
        <v>6</v>
      </c>
      <c r="N5427" t="b">
        <v>0</v>
      </c>
      <c r="O5427">
        <v>0</v>
      </c>
      <c r="P5427">
        <v>1</v>
      </c>
      <c r="Q5427">
        <v>0</v>
      </c>
      <c r="R5427">
        <v>0</v>
      </c>
    </row>
    <row r="5428" spans="1:18" x14ac:dyDescent="0.25">
      <c r="A5428" t="s">
        <v>28</v>
      </c>
      <c r="B5428" t="s">
        <v>8</v>
      </c>
      <c r="C5428">
        <v>2</v>
      </c>
      <c r="D5428">
        <v>4</v>
      </c>
      <c r="E5428">
        <v>1</v>
      </c>
      <c r="F5428" s="15">
        <v>46230</v>
      </c>
      <c r="G5428" t="s">
        <v>656</v>
      </c>
      <c r="H5428">
        <v>3</v>
      </c>
      <c r="I5428">
        <v>2026</v>
      </c>
      <c r="J5428">
        <v>7</v>
      </c>
      <c r="K5428" t="s">
        <v>87</v>
      </c>
      <c r="L5428" t="s">
        <v>326</v>
      </c>
      <c r="M5428" t="s">
        <v>6</v>
      </c>
      <c r="N5428" t="b">
        <v>0</v>
      </c>
      <c r="O5428">
        <v>1</v>
      </c>
      <c r="P5428">
        <v>0</v>
      </c>
      <c r="Q5428">
        <v>0</v>
      </c>
      <c r="R5428">
        <v>0</v>
      </c>
    </row>
    <row r="5429" spans="1:18" x14ac:dyDescent="0.25">
      <c r="A5429" t="s">
        <v>28</v>
      </c>
      <c r="B5429" t="s">
        <v>8</v>
      </c>
      <c r="C5429">
        <v>2</v>
      </c>
      <c r="D5429">
        <v>4</v>
      </c>
      <c r="E5429">
        <v>1</v>
      </c>
      <c r="F5429" s="15">
        <v>46230</v>
      </c>
      <c r="G5429" t="s">
        <v>656</v>
      </c>
      <c r="H5429">
        <v>3</v>
      </c>
      <c r="I5429">
        <v>2026</v>
      </c>
      <c r="J5429">
        <v>7</v>
      </c>
      <c r="K5429" t="s">
        <v>87</v>
      </c>
      <c r="L5429" t="s">
        <v>7</v>
      </c>
      <c r="M5429" t="s">
        <v>6</v>
      </c>
      <c r="N5429" t="b">
        <v>0</v>
      </c>
      <c r="O5429">
        <v>1</v>
      </c>
      <c r="P5429">
        <v>0</v>
      </c>
      <c r="Q5429">
        <v>0</v>
      </c>
      <c r="R5429">
        <v>0</v>
      </c>
    </row>
    <row r="5430" spans="1:18" x14ac:dyDescent="0.25">
      <c r="A5430" t="s">
        <v>7</v>
      </c>
      <c r="B5430" t="s">
        <v>6</v>
      </c>
      <c r="C5430">
        <v>3</v>
      </c>
      <c r="D5430">
        <v>4</v>
      </c>
      <c r="E5430">
        <v>1</v>
      </c>
      <c r="F5430" s="15">
        <v>46230</v>
      </c>
      <c r="G5430" t="s">
        <v>656</v>
      </c>
      <c r="H5430">
        <v>3</v>
      </c>
      <c r="I5430">
        <v>2026</v>
      </c>
      <c r="J5430">
        <v>7</v>
      </c>
      <c r="K5430" t="s">
        <v>87</v>
      </c>
      <c r="L5430" t="s">
        <v>326</v>
      </c>
      <c r="M5430" t="s">
        <v>6</v>
      </c>
      <c r="N5430" t="b">
        <v>0</v>
      </c>
      <c r="O5430">
        <v>0</v>
      </c>
      <c r="P5430">
        <v>1</v>
      </c>
      <c r="Q5430">
        <v>0</v>
      </c>
      <c r="R5430">
        <v>0</v>
      </c>
    </row>
    <row r="5431" spans="1:18" x14ac:dyDescent="0.25">
      <c r="A5431" t="s">
        <v>7</v>
      </c>
      <c r="B5431" t="s">
        <v>6</v>
      </c>
      <c r="C5431">
        <v>3</v>
      </c>
      <c r="D5431">
        <v>4</v>
      </c>
      <c r="E5431">
        <v>1</v>
      </c>
      <c r="F5431" s="15">
        <v>46230</v>
      </c>
      <c r="G5431" t="s">
        <v>656</v>
      </c>
      <c r="H5431">
        <v>3</v>
      </c>
      <c r="I5431">
        <v>2026</v>
      </c>
      <c r="J5431">
        <v>7</v>
      </c>
      <c r="K5431" t="s">
        <v>87</v>
      </c>
      <c r="L5431" t="s">
        <v>28</v>
      </c>
      <c r="M5431" t="s">
        <v>8</v>
      </c>
      <c r="N5431" t="b">
        <v>0</v>
      </c>
      <c r="O5431">
        <v>0</v>
      </c>
      <c r="P5431">
        <v>1</v>
      </c>
      <c r="Q5431">
        <v>0</v>
      </c>
      <c r="R5431">
        <v>1</v>
      </c>
    </row>
    <row r="5432" spans="1:18" x14ac:dyDescent="0.25">
      <c r="A5432" t="s">
        <v>540</v>
      </c>
      <c r="B5432" t="s">
        <v>6</v>
      </c>
      <c r="C5432">
        <v>1</v>
      </c>
      <c r="D5432">
        <v>5</v>
      </c>
      <c r="E5432">
        <v>1</v>
      </c>
      <c r="F5432" s="15">
        <v>46230</v>
      </c>
      <c r="G5432" t="s">
        <v>657</v>
      </c>
      <c r="H5432">
        <v>3</v>
      </c>
      <c r="I5432">
        <v>2026</v>
      </c>
      <c r="J5432">
        <v>7</v>
      </c>
      <c r="K5432" t="s">
        <v>87</v>
      </c>
      <c r="L5432" t="s">
        <v>41</v>
      </c>
      <c r="M5432" t="s">
        <v>6</v>
      </c>
      <c r="N5432" t="b">
        <v>0</v>
      </c>
      <c r="O5432">
        <v>0</v>
      </c>
      <c r="P5432">
        <v>1</v>
      </c>
      <c r="Q5432">
        <v>0</v>
      </c>
      <c r="R5432">
        <v>0</v>
      </c>
    </row>
    <row r="5433" spans="1:18" x14ac:dyDescent="0.25">
      <c r="A5433" t="s">
        <v>540</v>
      </c>
      <c r="B5433" t="s">
        <v>6</v>
      </c>
      <c r="C5433">
        <v>1</v>
      </c>
      <c r="D5433">
        <v>5</v>
      </c>
      <c r="E5433">
        <v>1</v>
      </c>
      <c r="F5433" s="15">
        <v>46230</v>
      </c>
      <c r="G5433" t="s">
        <v>657</v>
      </c>
      <c r="H5433">
        <v>3</v>
      </c>
      <c r="I5433">
        <v>2026</v>
      </c>
      <c r="J5433">
        <v>7</v>
      </c>
      <c r="K5433" t="s">
        <v>87</v>
      </c>
      <c r="L5433" t="s">
        <v>325</v>
      </c>
      <c r="M5433" t="s">
        <v>8</v>
      </c>
      <c r="N5433" t="b">
        <v>0</v>
      </c>
      <c r="O5433">
        <v>0</v>
      </c>
      <c r="P5433">
        <v>1</v>
      </c>
      <c r="Q5433">
        <v>0</v>
      </c>
      <c r="R5433">
        <v>1</v>
      </c>
    </row>
    <row r="5434" spans="1:18" x14ac:dyDescent="0.25">
      <c r="A5434" t="s">
        <v>41</v>
      </c>
      <c r="B5434" t="s">
        <v>6</v>
      </c>
      <c r="C5434">
        <v>2</v>
      </c>
      <c r="D5434">
        <v>5</v>
      </c>
      <c r="E5434">
        <v>1</v>
      </c>
      <c r="F5434" s="15">
        <v>46230</v>
      </c>
      <c r="G5434" t="s">
        <v>657</v>
      </c>
      <c r="H5434">
        <v>3</v>
      </c>
      <c r="I5434">
        <v>2026</v>
      </c>
      <c r="J5434">
        <v>7</v>
      </c>
      <c r="K5434" t="s">
        <v>87</v>
      </c>
      <c r="L5434" t="s">
        <v>540</v>
      </c>
      <c r="M5434" t="s">
        <v>6</v>
      </c>
      <c r="N5434" t="b">
        <v>0</v>
      </c>
      <c r="O5434">
        <v>0</v>
      </c>
      <c r="P5434">
        <v>1</v>
      </c>
      <c r="Q5434">
        <v>0</v>
      </c>
      <c r="R5434">
        <v>0</v>
      </c>
    </row>
    <row r="5435" spans="1:18" x14ac:dyDescent="0.25">
      <c r="A5435" t="s">
        <v>41</v>
      </c>
      <c r="B5435" t="s">
        <v>6</v>
      </c>
      <c r="C5435">
        <v>2</v>
      </c>
      <c r="D5435">
        <v>5</v>
      </c>
      <c r="E5435">
        <v>1</v>
      </c>
      <c r="F5435" s="15">
        <v>46230</v>
      </c>
      <c r="G5435" t="s">
        <v>657</v>
      </c>
      <c r="H5435">
        <v>3</v>
      </c>
      <c r="I5435">
        <v>2026</v>
      </c>
      <c r="J5435">
        <v>7</v>
      </c>
      <c r="K5435" t="s">
        <v>87</v>
      </c>
      <c r="L5435" t="s">
        <v>325</v>
      </c>
      <c r="M5435" t="s">
        <v>8</v>
      </c>
      <c r="N5435" t="b">
        <v>0</v>
      </c>
      <c r="O5435">
        <v>0</v>
      </c>
      <c r="P5435">
        <v>1</v>
      </c>
      <c r="Q5435">
        <v>0</v>
      </c>
      <c r="R5435">
        <v>1</v>
      </c>
    </row>
    <row r="5436" spans="1:18" x14ac:dyDescent="0.25">
      <c r="A5436" t="s">
        <v>325</v>
      </c>
      <c r="B5436" t="s">
        <v>8</v>
      </c>
      <c r="C5436">
        <v>3</v>
      </c>
      <c r="D5436">
        <v>5</v>
      </c>
      <c r="E5436">
        <v>1</v>
      </c>
      <c r="F5436" s="15">
        <v>46230</v>
      </c>
      <c r="G5436" t="s">
        <v>657</v>
      </c>
      <c r="H5436">
        <v>3</v>
      </c>
      <c r="I5436">
        <v>2026</v>
      </c>
      <c r="J5436">
        <v>7</v>
      </c>
      <c r="K5436" t="s">
        <v>87</v>
      </c>
      <c r="L5436" t="s">
        <v>540</v>
      </c>
      <c r="M5436" t="s">
        <v>6</v>
      </c>
      <c r="N5436" t="b">
        <v>0</v>
      </c>
      <c r="O5436">
        <v>1</v>
      </c>
      <c r="P5436">
        <v>0</v>
      </c>
      <c r="Q5436">
        <v>0</v>
      </c>
      <c r="R5436">
        <v>0</v>
      </c>
    </row>
    <row r="5437" spans="1:18" x14ac:dyDescent="0.25">
      <c r="A5437" t="s">
        <v>325</v>
      </c>
      <c r="B5437" t="s">
        <v>8</v>
      </c>
      <c r="C5437">
        <v>3</v>
      </c>
      <c r="D5437">
        <v>5</v>
      </c>
      <c r="E5437">
        <v>1</v>
      </c>
      <c r="F5437" s="15">
        <v>46230</v>
      </c>
      <c r="G5437" t="s">
        <v>657</v>
      </c>
      <c r="H5437">
        <v>3</v>
      </c>
      <c r="I5437">
        <v>2026</v>
      </c>
      <c r="J5437">
        <v>7</v>
      </c>
      <c r="K5437" t="s">
        <v>87</v>
      </c>
      <c r="L5437" t="s">
        <v>41</v>
      </c>
      <c r="M5437" t="s">
        <v>6</v>
      </c>
      <c r="N5437" t="b">
        <v>0</v>
      </c>
      <c r="O5437">
        <v>1</v>
      </c>
      <c r="P5437">
        <v>0</v>
      </c>
      <c r="Q5437">
        <v>0</v>
      </c>
      <c r="R5437">
        <v>0</v>
      </c>
    </row>
    <row r="5438" spans="1:18" x14ac:dyDescent="0.25">
      <c r="A5438" t="s">
        <v>325</v>
      </c>
      <c r="B5438" t="s">
        <v>6</v>
      </c>
      <c r="C5438">
        <v>1</v>
      </c>
      <c r="D5438">
        <v>1</v>
      </c>
      <c r="E5438">
        <v>2</v>
      </c>
      <c r="F5438" s="15">
        <v>46230</v>
      </c>
      <c r="G5438" t="s">
        <v>658</v>
      </c>
      <c r="H5438">
        <v>4</v>
      </c>
      <c r="I5438">
        <v>2026</v>
      </c>
      <c r="J5438">
        <v>7</v>
      </c>
      <c r="K5438" t="s">
        <v>87</v>
      </c>
      <c r="L5438" t="s">
        <v>28</v>
      </c>
      <c r="M5438" t="s">
        <v>8</v>
      </c>
      <c r="N5438" t="b">
        <v>0</v>
      </c>
      <c r="O5438">
        <v>0</v>
      </c>
      <c r="P5438">
        <v>1</v>
      </c>
      <c r="Q5438">
        <v>0</v>
      </c>
      <c r="R5438">
        <v>1</v>
      </c>
    </row>
    <row r="5439" spans="1:18" x14ac:dyDescent="0.25">
      <c r="A5439" t="s">
        <v>325</v>
      </c>
      <c r="B5439" t="s">
        <v>6</v>
      </c>
      <c r="C5439">
        <v>1</v>
      </c>
      <c r="D5439">
        <v>1</v>
      </c>
      <c r="E5439">
        <v>2</v>
      </c>
      <c r="F5439" s="15">
        <v>46230</v>
      </c>
      <c r="G5439" t="s">
        <v>658</v>
      </c>
      <c r="H5439">
        <v>4</v>
      </c>
      <c r="I5439">
        <v>2026</v>
      </c>
      <c r="J5439">
        <v>7</v>
      </c>
      <c r="K5439" t="s">
        <v>87</v>
      </c>
      <c r="L5439" t="s">
        <v>578</v>
      </c>
      <c r="M5439" t="s">
        <v>6</v>
      </c>
      <c r="N5439" t="b">
        <v>0</v>
      </c>
      <c r="O5439">
        <v>0</v>
      </c>
      <c r="P5439">
        <v>1</v>
      </c>
      <c r="Q5439">
        <v>0</v>
      </c>
      <c r="R5439">
        <v>0</v>
      </c>
    </row>
    <row r="5440" spans="1:18" x14ac:dyDescent="0.25">
      <c r="A5440" t="s">
        <v>325</v>
      </c>
      <c r="B5440" t="s">
        <v>6</v>
      </c>
      <c r="C5440">
        <v>1</v>
      </c>
      <c r="D5440">
        <v>1</v>
      </c>
      <c r="E5440">
        <v>2</v>
      </c>
      <c r="F5440" s="15">
        <v>46230</v>
      </c>
      <c r="G5440" t="s">
        <v>658</v>
      </c>
      <c r="H5440">
        <v>4</v>
      </c>
      <c r="I5440">
        <v>2026</v>
      </c>
      <c r="J5440">
        <v>7</v>
      </c>
      <c r="K5440" t="s">
        <v>87</v>
      </c>
      <c r="L5440" t="s">
        <v>19</v>
      </c>
      <c r="M5440" t="s">
        <v>6</v>
      </c>
      <c r="N5440" t="b">
        <v>0</v>
      </c>
      <c r="O5440">
        <v>0</v>
      </c>
      <c r="P5440">
        <v>1</v>
      </c>
      <c r="Q5440">
        <v>0</v>
      </c>
      <c r="R5440">
        <v>0</v>
      </c>
    </row>
    <row r="5441" spans="1:18" x14ac:dyDescent="0.25">
      <c r="A5441" t="s">
        <v>28</v>
      </c>
      <c r="B5441" t="s">
        <v>8</v>
      </c>
      <c r="C5441">
        <v>2</v>
      </c>
      <c r="D5441">
        <v>1</v>
      </c>
      <c r="E5441">
        <v>2</v>
      </c>
      <c r="F5441" s="15">
        <v>46230</v>
      </c>
      <c r="G5441" t="s">
        <v>658</v>
      </c>
      <c r="H5441">
        <v>4</v>
      </c>
      <c r="I5441">
        <v>2026</v>
      </c>
      <c r="J5441">
        <v>7</v>
      </c>
      <c r="K5441" t="s">
        <v>87</v>
      </c>
      <c r="L5441" t="s">
        <v>325</v>
      </c>
      <c r="M5441" t="s">
        <v>6</v>
      </c>
      <c r="N5441" t="b">
        <v>0</v>
      </c>
      <c r="O5441">
        <v>1</v>
      </c>
      <c r="P5441">
        <v>0</v>
      </c>
      <c r="Q5441">
        <v>0</v>
      </c>
      <c r="R5441">
        <v>0</v>
      </c>
    </row>
    <row r="5442" spans="1:18" x14ac:dyDescent="0.25">
      <c r="A5442" t="s">
        <v>28</v>
      </c>
      <c r="B5442" t="s">
        <v>8</v>
      </c>
      <c r="C5442">
        <v>2</v>
      </c>
      <c r="D5442">
        <v>1</v>
      </c>
      <c r="E5442">
        <v>2</v>
      </c>
      <c r="F5442" s="15">
        <v>46230</v>
      </c>
      <c r="G5442" t="s">
        <v>658</v>
      </c>
      <c r="H5442">
        <v>4</v>
      </c>
      <c r="I5442">
        <v>2026</v>
      </c>
      <c r="J5442">
        <v>7</v>
      </c>
      <c r="K5442" t="s">
        <v>87</v>
      </c>
      <c r="L5442" t="s">
        <v>578</v>
      </c>
      <c r="M5442" t="s">
        <v>6</v>
      </c>
      <c r="N5442" t="b">
        <v>0</v>
      </c>
      <c r="O5442">
        <v>1</v>
      </c>
      <c r="P5442">
        <v>0</v>
      </c>
      <c r="Q5442">
        <v>0</v>
      </c>
      <c r="R5442">
        <v>0</v>
      </c>
    </row>
    <row r="5443" spans="1:18" x14ac:dyDescent="0.25">
      <c r="A5443" t="s">
        <v>28</v>
      </c>
      <c r="B5443" t="s">
        <v>8</v>
      </c>
      <c r="C5443">
        <v>2</v>
      </c>
      <c r="D5443">
        <v>1</v>
      </c>
      <c r="E5443">
        <v>2</v>
      </c>
      <c r="F5443" s="15">
        <v>46230</v>
      </c>
      <c r="G5443" t="s">
        <v>658</v>
      </c>
      <c r="H5443">
        <v>4</v>
      </c>
      <c r="I5443">
        <v>2026</v>
      </c>
      <c r="J5443">
        <v>7</v>
      </c>
      <c r="K5443" t="s">
        <v>87</v>
      </c>
      <c r="L5443" t="s">
        <v>19</v>
      </c>
      <c r="M5443" t="s">
        <v>6</v>
      </c>
      <c r="N5443" t="b">
        <v>0</v>
      </c>
      <c r="O5443">
        <v>1</v>
      </c>
      <c r="P5443">
        <v>0</v>
      </c>
      <c r="Q5443">
        <v>0</v>
      </c>
      <c r="R5443">
        <v>0</v>
      </c>
    </row>
    <row r="5444" spans="1:18" x14ac:dyDescent="0.25">
      <c r="A5444" t="s">
        <v>578</v>
      </c>
      <c r="B5444" t="s">
        <v>6</v>
      </c>
      <c r="C5444">
        <v>3</v>
      </c>
      <c r="D5444">
        <v>1</v>
      </c>
      <c r="E5444">
        <v>2</v>
      </c>
      <c r="F5444" s="15">
        <v>46230</v>
      </c>
      <c r="G5444" t="s">
        <v>658</v>
      </c>
      <c r="H5444">
        <v>4</v>
      </c>
      <c r="I5444">
        <v>2026</v>
      </c>
      <c r="J5444">
        <v>7</v>
      </c>
      <c r="K5444" t="s">
        <v>87</v>
      </c>
      <c r="L5444" t="s">
        <v>325</v>
      </c>
      <c r="M5444" t="s">
        <v>6</v>
      </c>
      <c r="N5444" t="b">
        <v>0</v>
      </c>
      <c r="O5444">
        <v>0</v>
      </c>
      <c r="P5444">
        <v>1</v>
      </c>
      <c r="Q5444">
        <v>0</v>
      </c>
      <c r="R5444">
        <v>0</v>
      </c>
    </row>
    <row r="5445" spans="1:18" x14ac:dyDescent="0.25">
      <c r="A5445" t="s">
        <v>578</v>
      </c>
      <c r="B5445" t="s">
        <v>6</v>
      </c>
      <c r="C5445">
        <v>3</v>
      </c>
      <c r="D5445">
        <v>1</v>
      </c>
      <c r="E5445">
        <v>2</v>
      </c>
      <c r="F5445" s="15">
        <v>46230</v>
      </c>
      <c r="G5445" t="s">
        <v>658</v>
      </c>
      <c r="H5445">
        <v>4</v>
      </c>
      <c r="I5445">
        <v>2026</v>
      </c>
      <c r="J5445">
        <v>7</v>
      </c>
      <c r="K5445" t="s">
        <v>87</v>
      </c>
      <c r="L5445" t="s">
        <v>28</v>
      </c>
      <c r="M5445" t="s">
        <v>8</v>
      </c>
      <c r="N5445" t="b">
        <v>0</v>
      </c>
      <c r="O5445">
        <v>0</v>
      </c>
      <c r="P5445">
        <v>1</v>
      </c>
      <c r="Q5445">
        <v>0</v>
      </c>
      <c r="R5445">
        <v>1</v>
      </c>
    </row>
    <row r="5446" spans="1:18" x14ac:dyDescent="0.25">
      <c r="A5446" t="s">
        <v>578</v>
      </c>
      <c r="B5446" t="s">
        <v>6</v>
      </c>
      <c r="C5446">
        <v>3</v>
      </c>
      <c r="D5446">
        <v>1</v>
      </c>
      <c r="E5446">
        <v>2</v>
      </c>
      <c r="F5446" s="15">
        <v>46230</v>
      </c>
      <c r="G5446" t="s">
        <v>658</v>
      </c>
      <c r="H5446">
        <v>4</v>
      </c>
      <c r="I5446">
        <v>2026</v>
      </c>
      <c r="J5446">
        <v>7</v>
      </c>
      <c r="K5446" t="s">
        <v>87</v>
      </c>
      <c r="L5446" t="s">
        <v>19</v>
      </c>
      <c r="M5446" t="s">
        <v>6</v>
      </c>
      <c r="N5446" t="b">
        <v>0</v>
      </c>
      <c r="O5446">
        <v>0</v>
      </c>
      <c r="P5446">
        <v>1</v>
      </c>
      <c r="Q5446">
        <v>0</v>
      </c>
      <c r="R5446">
        <v>0</v>
      </c>
    </row>
    <row r="5447" spans="1:18" x14ac:dyDescent="0.25">
      <c r="A5447" t="s">
        <v>19</v>
      </c>
      <c r="B5447" t="s">
        <v>6</v>
      </c>
      <c r="C5447">
        <v>4</v>
      </c>
      <c r="D5447">
        <v>1</v>
      </c>
      <c r="E5447">
        <v>2</v>
      </c>
      <c r="F5447" s="15">
        <v>46230</v>
      </c>
      <c r="G5447" t="s">
        <v>658</v>
      </c>
      <c r="H5447">
        <v>4</v>
      </c>
      <c r="I5447">
        <v>2026</v>
      </c>
      <c r="J5447">
        <v>7</v>
      </c>
      <c r="K5447" t="s">
        <v>87</v>
      </c>
      <c r="L5447" t="s">
        <v>325</v>
      </c>
      <c r="M5447" t="s">
        <v>6</v>
      </c>
      <c r="N5447" t="b">
        <v>0</v>
      </c>
      <c r="O5447">
        <v>0</v>
      </c>
      <c r="P5447">
        <v>1</v>
      </c>
      <c r="Q5447">
        <v>0</v>
      </c>
      <c r="R5447">
        <v>0</v>
      </c>
    </row>
    <row r="5448" spans="1:18" x14ac:dyDescent="0.25">
      <c r="A5448" t="s">
        <v>19</v>
      </c>
      <c r="B5448" t="s">
        <v>6</v>
      </c>
      <c r="C5448">
        <v>4</v>
      </c>
      <c r="D5448">
        <v>1</v>
      </c>
      <c r="E5448">
        <v>2</v>
      </c>
      <c r="F5448" s="15">
        <v>46230</v>
      </c>
      <c r="G5448" t="s">
        <v>658</v>
      </c>
      <c r="H5448">
        <v>4</v>
      </c>
      <c r="I5448">
        <v>2026</v>
      </c>
      <c r="J5448">
        <v>7</v>
      </c>
      <c r="K5448" t="s">
        <v>87</v>
      </c>
      <c r="L5448" t="s">
        <v>28</v>
      </c>
      <c r="M5448" t="s">
        <v>8</v>
      </c>
      <c r="N5448" t="b">
        <v>0</v>
      </c>
      <c r="O5448">
        <v>0</v>
      </c>
      <c r="P5448">
        <v>1</v>
      </c>
      <c r="Q5448">
        <v>0</v>
      </c>
      <c r="R5448">
        <v>1</v>
      </c>
    </row>
    <row r="5449" spans="1:18" x14ac:dyDescent="0.25">
      <c r="A5449" t="s">
        <v>19</v>
      </c>
      <c r="B5449" t="s">
        <v>6</v>
      </c>
      <c r="C5449">
        <v>4</v>
      </c>
      <c r="D5449">
        <v>1</v>
      </c>
      <c r="E5449">
        <v>2</v>
      </c>
      <c r="F5449" s="15">
        <v>46230</v>
      </c>
      <c r="G5449" t="s">
        <v>658</v>
      </c>
      <c r="H5449">
        <v>4</v>
      </c>
      <c r="I5449">
        <v>2026</v>
      </c>
      <c r="J5449">
        <v>7</v>
      </c>
      <c r="K5449" t="s">
        <v>87</v>
      </c>
      <c r="L5449" t="s">
        <v>578</v>
      </c>
      <c r="M5449" t="s">
        <v>6</v>
      </c>
      <c r="N5449" t="b">
        <v>0</v>
      </c>
      <c r="O5449">
        <v>0</v>
      </c>
      <c r="P5449">
        <v>1</v>
      </c>
      <c r="Q5449">
        <v>0</v>
      </c>
      <c r="R5449">
        <v>0</v>
      </c>
    </row>
    <row r="5450" spans="1:18" x14ac:dyDescent="0.25">
      <c r="A5450" t="s">
        <v>352</v>
      </c>
      <c r="B5450" t="s">
        <v>63</v>
      </c>
      <c r="C5450">
        <v>1</v>
      </c>
      <c r="D5450">
        <v>2</v>
      </c>
      <c r="E5450">
        <v>2</v>
      </c>
      <c r="F5450" s="15">
        <v>46230</v>
      </c>
      <c r="G5450" t="s">
        <v>659</v>
      </c>
      <c r="H5450">
        <v>4</v>
      </c>
      <c r="I5450">
        <v>2026</v>
      </c>
      <c r="J5450">
        <v>7</v>
      </c>
      <c r="K5450" t="s">
        <v>87</v>
      </c>
      <c r="L5450" t="s">
        <v>13</v>
      </c>
      <c r="M5450" t="s">
        <v>63</v>
      </c>
      <c r="N5450" t="b">
        <v>0</v>
      </c>
      <c r="O5450">
        <v>0</v>
      </c>
      <c r="P5450">
        <v>0</v>
      </c>
      <c r="Q5450">
        <v>1</v>
      </c>
      <c r="R5450">
        <v>0</v>
      </c>
    </row>
    <row r="5451" spans="1:18" x14ac:dyDescent="0.25">
      <c r="A5451" t="s">
        <v>352</v>
      </c>
      <c r="B5451" t="s">
        <v>63</v>
      </c>
      <c r="C5451">
        <v>1</v>
      </c>
      <c r="D5451">
        <v>2</v>
      </c>
      <c r="E5451">
        <v>2</v>
      </c>
      <c r="F5451" s="15">
        <v>46230</v>
      </c>
      <c r="G5451" t="s">
        <v>659</v>
      </c>
      <c r="H5451">
        <v>4</v>
      </c>
      <c r="I5451">
        <v>2026</v>
      </c>
      <c r="J5451">
        <v>7</v>
      </c>
      <c r="K5451" t="s">
        <v>87</v>
      </c>
      <c r="L5451" t="s">
        <v>17</v>
      </c>
      <c r="M5451" t="s">
        <v>63</v>
      </c>
      <c r="N5451" t="b">
        <v>0</v>
      </c>
      <c r="O5451">
        <v>0</v>
      </c>
      <c r="P5451">
        <v>0</v>
      </c>
      <c r="Q5451">
        <v>1</v>
      </c>
      <c r="R5451">
        <v>0</v>
      </c>
    </row>
    <row r="5452" spans="1:18" x14ac:dyDescent="0.25">
      <c r="A5452" t="s">
        <v>352</v>
      </c>
      <c r="B5452" t="s">
        <v>63</v>
      </c>
      <c r="C5452">
        <v>1</v>
      </c>
      <c r="D5452">
        <v>2</v>
      </c>
      <c r="E5452">
        <v>2</v>
      </c>
      <c r="F5452" s="15">
        <v>46230</v>
      </c>
      <c r="G5452" t="s">
        <v>659</v>
      </c>
      <c r="H5452">
        <v>4</v>
      </c>
      <c r="I5452">
        <v>2026</v>
      </c>
      <c r="J5452">
        <v>7</v>
      </c>
      <c r="K5452" t="s">
        <v>87</v>
      </c>
      <c r="L5452" t="s">
        <v>326</v>
      </c>
      <c r="M5452" t="s">
        <v>63</v>
      </c>
      <c r="N5452" t="b">
        <v>0</v>
      </c>
      <c r="O5452">
        <v>0</v>
      </c>
      <c r="P5452">
        <v>0</v>
      </c>
      <c r="Q5452">
        <v>1</v>
      </c>
      <c r="R5452">
        <v>0</v>
      </c>
    </row>
    <row r="5453" spans="1:18" x14ac:dyDescent="0.25">
      <c r="A5453" t="s">
        <v>13</v>
      </c>
      <c r="B5453" t="s">
        <v>63</v>
      </c>
      <c r="C5453">
        <v>2</v>
      </c>
      <c r="D5453">
        <v>2</v>
      </c>
      <c r="E5453">
        <v>2</v>
      </c>
      <c r="F5453" s="15">
        <v>46230</v>
      </c>
      <c r="G5453" t="s">
        <v>659</v>
      </c>
      <c r="H5453">
        <v>4</v>
      </c>
      <c r="I5453">
        <v>2026</v>
      </c>
      <c r="J5453">
        <v>7</v>
      </c>
      <c r="K5453" t="s">
        <v>87</v>
      </c>
      <c r="L5453" t="s">
        <v>352</v>
      </c>
      <c r="M5453" t="s">
        <v>63</v>
      </c>
      <c r="N5453" t="b">
        <v>0</v>
      </c>
      <c r="O5453">
        <v>0</v>
      </c>
      <c r="P5453">
        <v>0</v>
      </c>
      <c r="Q5453">
        <v>1</v>
      </c>
      <c r="R5453">
        <v>0</v>
      </c>
    </row>
    <row r="5454" spans="1:18" x14ac:dyDescent="0.25">
      <c r="A5454" t="s">
        <v>13</v>
      </c>
      <c r="B5454" t="s">
        <v>63</v>
      </c>
      <c r="C5454">
        <v>2</v>
      </c>
      <c r="D5454">
        <v>2</v>
      </c>
      <c r="E5454">
        <v>2</v>
      </c>
      <c r="F5454" s="15">
        <v>46230</v>
      </c>
      <c r="G5454" t="s">
        <v>659</v>
      </c>
      <c r="H5454">
        <v>4</v>
      </c>
      <c r="I5454">
        <v>2026</v>
      </c>
      <c r="J5454">
        <v>7</v>
      </c>
      <c r="K5454" t="s">
        <v>87</v>
      </c>
      <c r="L5454" t="s">
        <v>17</v>
      </c>
      <c r="M5454" t="s">
        <v>63</v>
      </c>
      <c r="N5454" t="b">
        <v>0</v>
      </c>
      <c r="O5454">
        <v>0</v>
      </c>
      <c r="P5454">
        <v>0</v>
      </c>
      <c r="Q5454">
        <v>1</v>
      </c>
      <c r="R5454">
        <v>0</v>
      </c>
    </row>
    <row r="5455" spans="1:18" x14ac:dyDescent="0.25">
      <c r="A5455" t="s">
        <v>13</v>
      </c>
      <c r="B5455" t="s">
        <v>63</v>
      </c>
      <c r="C5455">
        <v>2</v>
      </c>
      <c r="D5455">
        <v>2</v>
      </c>
      <c r="E5455">
        <v>2</v>
      </c>
      <c r="F5455" s="15">
        <v>46230</v>
      </c>
      <c r="G5455" t="s">
        <v>659</v>
      </c>
      <c r="H5455">
        <v>4</v>
      </c>
      <c r="I5455">
        <v>2026</v>
      </c>
      <c r="J5455">
        <v>7</v>
      </c>
      <c r="K5455" t="s">
        <v>87</v>
      </c>
      <c r="L5455" t="s">
        <v>326</v>
      </c>
      <c r="M5455" t="s">
        <v>63</v>
      </c>
      <c r="N5455" t="b">
        <v>0</v>
      </c>
      <c r="O5455">
        <v>0</v>
      </c>
      <c r="P5455">
        <v>0</v>
      </c>
      <c r="Q5455">
        <v>1</v>
      </c>
      <c r="R5455">
        <v>0</v>
      </c>
    </row>
    <row r="5456" spans="1:18" x14ac:dyDescent="0.25">
      <c r="A5456" t="s">
        <v>17</v>
      </c>
      <c r="B5456" t="s">
        <v>63</v>
      </c>
      <c r="C5456">
        <v>3</v>
      </c>
      <c r="D5456">
        <v>2</v>
      </c>
      <c r="E5456">
        <v>2</v>
      </c>
      <c r="F5456" s="15">
        <v>46230</v>
      </c>
      <c r="G5456" t="s">
        <v>659</v>
      </c>
      <c r="H5456">
        <v>4</v>
      </c>
      <c r="I5456">
        <v>2026</v>
      </c>
      <c r="J5456">
        <v>7</v>
      </c>
      <c r="K5456" t="s">
        <v>87</v>
      </c>
      <c r="L5456" t="s">
        <v>352</v>
      </c>
      <c r="M5456" t="s">
        <v>63</v>
      </c>
      <c r="N5456" t="b">
        <v>0</v>
      </c>
      <c r="O5456">
        <v>0</v>
      </c>
      <c r="P5456">
        <v>0</v>
      </c>
      <c r="Q5456">
        <v>1</v>
      </c>
      <c r="R5456">
        <v>0</v>
      </c>
    </row>
    <row r="5457" spans="1:18" x14ac:dyDescent="0.25">
      <c r="A5457" t="s">
        <v>17</v>
      </c>
      <c r="B5457" t="s">
        <v>63</v>
      </c>
      <c r="C5457">
        <v>3</v>
      </c>
      <c r="D5457">
        <v>2</v>
      </c>
      <c r="E5457">
        <v>2</v>
      </c>
      <c r="F5457" s="15">
        <v>46230</v>
      </c>
      <c r="G5457" t="s">
        <v>659</v>
      </c>
      <c r="H5457">
        <v>4</v>
      </c>
      <c r="I5457">
        <v>2026</v>
      </c>
      <c r="J5457">
        <v>7</v>
      </c>
      <c r="K5457" t="s">
        <v>87</v>
      </c>
      <c r="L5457" t="s">
        <v>13</v>
      </c>
      <c r="M5457" t="s">
        <v>63</v>
      </c>
      <c r="N5457" t="b">
        <v>0</v>
      </c>
      <c r="O5457">
        <v>0</v>
      </c>
      <c r="P5457">
        <v>0</v>
      </c>
      <c r="Q5457">
        <v>1</v>
      </c>
      <c r="R5457">
        <v>0</v>
      </c>
    </row>
    <row r="5458" spans="1:18" x14ac:dyDescent="0.25">
      <c r="A5458" t="s">
        <v>17</v>
      </c>
      <c r="B5458" t="s">
        <v>63</v>
      </c>
      <c r="C5458">
        <v>3</v>
      </c>
      <c r="D5458">
        <v>2</v>
      </c>
      <c r="E5458">
        <v>2</v>
      </c>
      <c r="F5458" s="15">
        <v>46230</v>
      </c>
      <c r="G5458" t="s">
        <v>659</v>
      </c>
      <c r="H5458">
        <v>4</v>
      </c>
      <c r="I5458">
        <v>2026</v>
      </c>
      <c r="J5458">
        <v>7</v>
      </c>
      <c r="K5458" t="s">
        <v>87</v>
      </c>
      <c r="L5458" t="s">
        <v>326</v>
      </c>
      <c r="M5458" t="s">
        <v>63</v>
      </c>
      <c r="N5458" t="b">
        <v>0</v>
      </c>
      <c r="O5458">
        <v>0</v>
      </c>
      <c r="P5458">
        <v>0</v>
      </c>
      <c r="Q5458">
        <v>1</v>
      </c>
      <c r="R5458">
        <v>0</v>
      </c>
    </row>
    <row r="5459" spans="1:18" x14ac:dyDescent="0.25">
      <c r="A5459" t="s">
        <v>326</v>
      </c>
      <c r="B5459" t="s">
        <v>63</v>
      </c>
      <c r="C5459">
        <v>4</v>
      </c>
      <c r="D5459">
        <v>2</v>
      </c>
      <c r="E5459">
        <v>2</v>
      </c>
      <c r="F5459" s="15">
        <v>46230</v>
      </c>
      <c r="G5459" t="s">
        <v>659</v>
      </c>
      <c r="H5459">
        <v>4</v>
      </c>
      <c r="I5459">
        <v>2026</v>
      </c>
      <c r="J5459">
        <v>7</v>
      </c>
      <c r="K5459" t="s">
        <v>87</v>
      </c>
      <c r="L5459" t="s">
        <v>352</v>
      </c>
      <c r="M5459" t="s">
        <v>63</v>
      </c>
      <c r="N5459" t="b">
        <v>0</v>
      </c>
      <c r="O5459">
        <v>0</v>
      </c>
      <c r="P5459">
        <v>0</v>
      </c>
      <c r="Q5459">
        <v>1</v>
      </c>
      <c r="R5459">
        <v>0</v>
      </c>
    </row>
    <row r="5460" spans="1:18" x14ac:dyDescent="0.25">
      <c r="A5460" t="s">
        <v>326</v>
      </c>
      <c r="B5460" t="s">
        <v>63</v>
      </c>
      <c r="C5460">
        <v>4</v>
      </c>
      <c r="D5460">
        <v>2</v>
      </c>
      <c r="E5460">
        <v>2</v>
      </c>
      <c r="F5460" s="15">
        <v>46230</v>
      </c>
      <c r="G5460" t="s">
        <v>659</v>
      </c>
      <c r="H5460">
        <v>4</v>
      </c>
      <c r="I5460">
        <v>2026</v>
      </c>
      <c r="J5460">
        <v>7</v>
      </c>
      <c r="K5460" t="s">
        <v>87</v>
      </c>
      <c r="L5460" t="s">
        <v>13</v>
      </c>
      <c r="M5460" t="s">
        <v>63</v>
      </c>
      <c r="N5460" t="b">
        <v>0</v>
      </c>
      <c r="O5460">
        <v>0</v>
      </c>
      <c r="P5460">
        <v>0</v>
      </c>
      <c r="Q5460">
        <v>1</v>
      </c>
      <c r="R5460">
        <v>0</v>
      </c>
    </row>
    <row r="5461" spans="1:18" x14ac:dyDescent="0.25">
      <c r="A5461" t="s">
        <v>326</v>
      </c>
      <c r="B5461" t="s">
        <v>63</v>
      </c>
      <c r="C5461">
        <v>4</v>
      </c>
      <c r="D5461">
        <v>2</v>
      </c>
      <c r="E5461">
        <v>2</v>
      </c>
      <c r="F5461" s="15">
        <v>46230</v>
      </c>
      <c r="G5461" t="s">
        <v>659</v>
      </c>
      <c r="H5461">
        <v>4</v>
      </c>
      <c r="I5461">
        <v>2026</v>
      </c>
      <c r="J5461">
        <v>7</v>
      </c>
      <c r="K5461" t="s">
        <v>87</v>
      </c>
      <c r="L5461" t="s">
        <v>17</v>
      </c>
      <c r="M5461" t="s">
        <v>63</v>
      </c>
      <c r="N5461" t="b">
        <v>0</v>
      </c>
      <c r="O5461">
        <v>0</v>
      </c>
      <c r="P5461">
        <v>0</v>
      </c>
      <c r="Q5461">
        <v>1</v>
      </c>
      <c r="R5461">
        <v>0</v>
      </c>
    </row>
    <row r="5462" spans="1:18" x14ac:dyDescent="0.25">
      <c r="A5462" t="s">
        <v>7</v>
      </c>
      <c r="B5462" t="s">
        <v>6</v>
      </c>
      <c r="C5462">
        <v>1</v>
      </c>
      <c r="D5462">
        <v>3</v>
      </c>
      <c r="E5462">
        <v>2</v>
      </c>
      <c r="F5462" s="15">
        <v>46230</v>
      </c>
      <c r="G5462" t="s">
        <v>660</v>
      </c>
      <c r="H5462">
        <v>4</v>
      </c>
      <c r="I5462">
        <v>2026</v>
      </c>
      <c r="J5462">
        <v>7</v>
      </c>
      <c r="K5462" t="s">
        <v>87</v>
      </c>
      <c r="L5462" t="s">
        <v>405</v>
      </c>
      <c r="M5462" t="s">
        <v>8</v>
      </c>
      <c r="N5462" t="b">
        <v>0</v>
      </c>
      <c r="O5462">
        <v>0</v>
      </c>
      <c r="P5462">
        <v>1</v>
      </c>
      <c r="Q5462">
        <v>0</v>
      </c>
      <c r="R5462">
        <v>1</v>
      </c>
    </row>
    <row r="5463" spans="1:18" x14ac:dyDescent="0.25">
      <c r="A5463" t="s">
        <v>7</v>
      </c>
      <c r="B5463" t="s">
        <v>6</v>
      </c>
      <c r="C5463">
        <v>1</v>
      </c>
      <c r="D5463">
        <v>3</v>
      </c>
      <c r="E5463">
        <v>2</v>
      </c>
      <c r="F5463" s="15">
        <v>46230</v>
      </c>
      <c r="G5463" t="s">
        <v>660</v>
      </c>
      <c r="H5463">
        <v>4</v>
      </c>
      <c r="I5463">
        <v>2026</v>
      </c>
      <c r="J5463">
        <v>7</v>
      </c>
      <c r="K5463" t="s">
        <v>87</v>
      </c>
      <c r="L5463" t="s">
        <v>14</v>
      </c>
      <c r="M5463" t="s">
        <v>6</v>
      </c>
      <c r="N5463" t="b">
        <v>0</v>
      </c>
      <c r="O5463">
        <v>0</v>
      </c>
      <c r="P5463">
        <v>1</v>
      </c>
      <c r="Q5463">
        <v>0</v>
      </c>
      <c r="R5463">
        <v>0</v>
      </c>
    </row>
    <row r="5464" spans="1:18" x14ac:dyDescent="0.25">
      <c r="A5464" t="s">
        <v>7</v>
      </c>
      <c r="B5464" t="s">
        <v>6</v>
      </c>
      <c r="C5464">
        <v>1</v>
      </c>
      <c r="D5464">
        <v>3</v>
      </c>
      <c r="E5464">
        <v>2</v>
      </c>
      <c r="F5464" s="15">
        <v>46230</v>
      </c>
      <c r="G5464" t="s">
        <v>660</v>
      </c>
      <c r="H5464">
        <v>4</v>
      </c>
      <c r="I5464">
        <v>2026</v>
      </c>
      <c r="J5464">
        <v>7</v>
      </c>
      <c r="K5464" t="s">
        <v>87</v>
      </c>
      <c r="L5464" t="s">
        <v>27</v>
      </c>
      <c r="M5464" t="s">
        <v>6</v>
      </c>
      <c r="N5464" t="b">
        <v>0</v>
      </c>
      <c r="O5464">
        <v>0</v>
      </c>
      <c r="P5464">
        <v>1</v>
      </c>
      <c r="Q5464">
        <v>0</v>
      </c>
      <c r="R5464">
        <v>0</v>
      </c>
    </row>
    <row r="5465" spans="1:18" x14ac:dyDescent="0.25">
      <c r="A5465" t="s">
        <v>405</v>
      </c>
      <c r="B5465" t="s">
        <v>8</v>
      </c>
      <c r="C5465">
        <v>2</v>
      </c>
      <c r="D5465">
        <v>3</v>
      </c>
      <c r="E5465">
        <v>2</v>
      </c>
      <c r="F5465" s="15">
        <v>46230</v>
      </c>
      <c r="G5465" t="s">
        <v>660</v>
      </c>
      <c r="H5465">
        <v>4</v>
      </c>
      <c r="I5465">
        <v>2026</v>
      </c>
      <c r="J5465">
        <v>7</v>
      </c>
      <c r="K5465" t="s">
        <v>87</v>
      </c>
      <c r="L5465" t="s">
        <v>7</v>
      </c>
      <c r="M5465" t="s">
        <v>6</v>
      </c>
      <c r="N5465" t="b">
        <v>0</v>
      </c>
      <c r="O5465">
        <v>1</v>
      </c>
      <c r="P5465">
        <v>0</v>
      </c>
      <c r="Q5465">
        <v>0</v>
      </c>
      <c r="R5465">
        <v>0</v>
      </c>
    </row>
    <row r="5466" spans="1:18" x14ac:dyDescent="0.25">
      <c r="A5466" t="s">
        <v>405</v>
      </c>
      <c r="B5466" t="s">
        <v>8</v>
      </c>
      <c r="C5466">
        <v>2</v>
      </c>
      <c r="D5466">
        <v>3</v>
      </c>
      <c r="E5466">
        <v>2</v>
      </c>
      <c r="F5466" s="15">
        <v>46230</v>
      </c>
      <c r="G5466" t="s">
        <v>660</v>
      </c>
      <c r="H5466">
        <v>4</v>
      </c>
      <c r="I5466">
        <v>2026</v>
      </c>
      <c r="J5466">
        <v>7</v>
      </c>
      <c r="K5466" t="s">
        <v>87</v>
      </c>
      <c r="L5466" t="s">
        <v>14</v>
      </c>
      <c r="M5466" t="s">
        <v>6</v>
      </c>
      <c r="N5466" t="b">
        <v>0</v>
      </c>
      <c r="O5466">
        <v>1</v>
      </c>
      <c r="P5466">
        <v>0</v>
      </c>
      <c r="Q5466">
        <v>0</v>
      </c>
      <c r="R5466">
        <v>0</v>
      </c>
    </row>
    <row r="5467" spans="1:18" x14ac:dyDescent="0.25">
      <c r="A5467" t="s">
        <v>405</v>
      </c>
      <c r="B5467" t="s">
        <v>8</v>
      </c>
      <c r="C5467">
        <v>2</v>
      </c>
      <c r="D5467">
        <v>3</v>
      </c>
      <c r="E5467">
        <v>2</v>
      </c>
      <c r="F5467" s="15">
        <v>46230</v>
      </c>
      <c r="G5467" t="s">
        <v>660</v>
      </c>
      <c r="H5467">
        <v>4</v>
      </c>
      <c r="I5467">
        <v>2026</v>
      </c>
      <c r="J5467">
        <v>7</v>
      </c>
      <c r="K5467" t="s">
        <v>87</v>
      </c>
      <c r="L5467" t="s">
        <v>27</v>
      </c>
      <c r="M5467" t="s">
        <v>6</v>
      </c>
      <c r="N5467" t="b">
        <v>0</v>
      </c>
      <c r="O5467">
        <v>1</v>
      </c>
      <c r="P5467">
        <v>0</v>
      </c>
      <c r="Q5467">
        <v>0</v>
      </c>
      <c r="R5467">
        <v>0</v>
      </c>
    </row>
    <row r="5468" spans="1:18" x14ac:dyDescent="0.25">
      <c r="A5468" t="s">
        <v>14</v>
      </c>
      <c r="B5468" t="s">
        <v>6</v>
      </c>
      <c r="C5468">
        <v>3</v>
      </c>
      <c r="D5468">
        <v>3</v>
      </c>
      <c r="E5468">
        <v>2</v>
      </c>
      <c r="F5468" s="15">
        <v>46230</v>
      </c>
      <c r="G5468" t="s">
        <v>660</v>
      </c>
      <c r="H5468">
        <v>4</v>
      </c>
      <c r="I5468">
        <v>2026</v>
      </c>
      <c r="J5468">
        <v>7</v>
      </c>
      <c r="K5468" t="s">
        <v>87</v>
      </c>
      <c r="L5468" t="s">
        <v>7</v>
      </c>
      <c r="M5468" t="s">
        <v>6</v>
      </c>
      <c r="N5468" t="b">
        <v>0</v>
      </c>
      <c r="O5468">
        <v>0</v>
      </c>
      <c r="P5468">
        <v>1</v>
      </c>
      <c r="Q5468">
        <v>0</v>
      </c>
      <c r="R5468">
        <v>0</v>
      </c>
    </row>
    <row r="5469" spans="1:18" x14ac:dyDescent="0.25">
      <c r="A5469" t="s">
        <v>14</v>
      </c>
      <c r="B5469" t="s">
        <v>6</v>
      </c>
      <c r="C5469">
        <v>3</v>
      </c>
      <c r="D5469">
        <v>3</v>
      </c>
      <c r="E5469">
        <v>2</v>
      </c>
      <c r="F5469" s="15">
        <v>46230</v>
      </c>
      <c r="G5469" t="s">
        <v>660</v>
      </c>
      <c r="H5469">
        <v>4</v>
      </c>
      <c r="I5469">
        <v>2026</v>
      </c>
      <c r="J5469">
        <v>7</v>
      </c>
      <c r="K5469" t="s">
        <v>87</v>
      </c>
      <c r="L5469" t="s">
        <v>405</v>
      </c>
      <c r="M5469" t="s">
        <v>8</v>
      </c>
      <c r="N5469" t="b">
        <v>0</v>
      </c>
      <c r="O5469">
        <v>0</v>
      </c>
      <c r="P5469">
        <v>1</v>
      </c>
      <c r="Q5469">
        <v>0</v>
      </c>
      <c r="R5469">
        <v>1</v>
      </c>
    </row>
    <row r="5470" spans="1:18" x14ac:dyDescent="0.25">
      <c r="A5470" t="s">
        <v>14</v>
      </c>
      <c r="B5470" t="s">
        <v>6</v>
      </c>
      <c r="C5470">
        <v>3</v>
      </c>
      <c r="D5470">
        <v>3</v>
      </c>
      <c r="E5470">
        <v>2</v>
      </c>
      <c r="F5470" s="15">
        <v>46230</v>
      </c>
      <c r="G5470" t="s">
        <v>660</v>
      </c>
      <c r="H5470">
        <v>4</v>
      </c>
      <c r="I5470">
        <v>2026</v>
      </c>
      <c r="J5470">
        <v>7</v>
      </c>
      <c r="K5470" t="s">
        <v>87</v>
      </c>
      <c r="L5470" t="s">
        <v>27</v>
      </c>
      <c r="M5470" t="s">
        <v>6</v>
      </c>
      <c r="N5470" t="b">
        <v>0</v>
      </c>
      <c r="O5470">
        <v>0</v>
      </c>
      <c r="P5470">
        <v>1</v>
      </c>
      <c r="Q5470">
        <v>0</v>
      </c>
      <c r="R5470">
        <v>0</v>
      </c>
    </row>
    <row r="5471" spans="1:18" x14ac:dyDescent="0.25">
      <c r="A5471" t="s">
        <v>27</v>
      </c>
      <c r="B5471" t="s">
        <v>6</v>
      </c>
      <c r="C5471">
        <v>4</v>
      </c>
      <c r="D5471">
        <v>3</v>
      </c>
      <c r="E5471">
        <v>2</v>
      </c>
      <c r="F5471" s="15">
        <v>46230</v>
      </c>
      <c r="G5471" t="s">
        <v>660</v>
      </c>
      <c r="H5471">
        <v>4</v>
      </c>
      <c r="I5471">
        <v>2026</v>
      </c>
      <c r="J5471">
        <v>7</v>
      </c>
      <c r="K5471" t="s">
        <v>87</v>
      </c>
      <c r="L5471" t="s">
        <v>7</v>
      </c>
      <c r="M5471" t="s">
        <v>6</v>
      </c>
      <c r="N5471" t="b">
        <v>0</v>
      </c>
      <c r="O5471">
        <v>0</v>
      </c>
      <c r="P5471">
        <v>1</v>
      </c>
      <c r="Q5471">
        <v>0</v>
      </c>
      <c r="R5471">
        <v>0</v>
      </c>
    </row>
    <row r="5472" spans="1:18" x14ac:dyDescent="0.25">
      <c r="A5472" t="s">
        <v>27</v>
      </c>
      <c r="B5472" t="s">
        <v>6</v>
      </c>
      <c r="C5472">
        <v>4</v>
      </c>
      <c r="D5472">
        <v>3</v>
      </c>
      <c r="E5472">
        <v>2</v>
      </c>
      <c r="F5472" s="15">
        <v>46230</v>
      </c>
      <c r="G5472" t="s">
        <v>660</v>
      </c>
      <c r="H5472">
        <v>4</v>
      </c>
      <c r="I5472">
        <v>2026</v>
      </c>
      <c r="J5472">
        <v>7</v>
      </c>
      <c r="K5472" t="s">
        <v>87</v>
      </c>
      <c r="L5472" t="s">
        <v>405</v>
      </c>
      <c r="M5472" t="s">
        <v>8</v>
      </c>
      <c r="N5472" t="b">
        <v>0</v>
      </c>
      <c r="O5472">
        <v>0</v>
      </c>
      <c r="P5472">
        <v>1</v>
      </c>
      <c r="Q5472">
        <v>0</v>
      </c>
      <c r="R5472">
        <v>1</v>
      </c>
    </row>
    <row r="5473" spans="1:18" x14ac:dyDescent="0.25">
      <c r="A5473" t="s">
        <v>27</v>
      </c>
      <c r="B5473" t="s">
        <v>6</v>
      </c>
      <c r="C5473">
        <v>4</v>
      </c>
      <c r="D5473">
        <v>3</v>
      </c>
      <c r="E5473">
        <v>2</v>
      </c>
      <c r="F5473" s="15">
        <v>46230</v>
      </c>
      <c r="G5473" t="s">
        <v>660</v>
      </c>
      <c r="H5473">
        <v>4</v>
      </c>
      <c r="I5473">
        <v>2026</v>
      </c>
      <c r="J5473">
        <v>7</v>
      </c>
      <c r="K5473" t="s">
        <v>87</v>
      </c>
      <c r="L5473" t="s">
        <v>14</v>
      </c>
      <c r="M5473" t="s">
        <v>6</v>
      </c>
      <c r="N5473" t="b">
        <v>0</v>
      </c>
      <c r="O5473">
        <v>0</v>
      </c>
      <c r="P5473">
        <v>1</v>
      </c>
      <c r="Q5473">
        <v>0</v>
      </c>
      <c r="R5473">
        <v>0</v>
      </c>
    </row>
    <row r="5474" spans="1:18" x14ac:dyDescent="0.25">
      <c r="A5474" t="s">
        <v>519</v>
      </c>
      <c r="B5474" t="s">
        <v>8</v>
      </c>
      <c r="C5474">
        <v>1</v>
      </c>
      <c r="D5474">
        <v>4</v>
      </c>
      <c r="E5474">
        <v>2</v>
      </c>
      <c r="F5474" s="15">
        <v>46230</v>
      </c>
      <c r="G5474" t="s">
        <v>661</v>
      </c>
      <c r="H5474">
        <v>3</v>
      </c>
      <c r="I5474">
        <v>2026</v>
      </c>
      <c r="J5474">
        <v>7</v>
      </c>
      <c r="K5474" t="s">
        <v>87</v>
      </c>
      <c r="L5474" t="s">
        <v>540</v>
      </c>
      <c r="M5474" t="s">
        <v>6</v>
      </c>
      <c r="N5474" t="b">
        <v>0</v>
      </c>
      <c r="O5474">
        <v>1</v>
      </c>
      <c r="P5474">
        <v>0</v>
      </c>
      <c r="Q5474">
        <v>0</v>
      </c>
      <c r="R5474">
        <v>0</v>
      </c>
    </row>
    <row r="5475" spans="1:18" x14ac:dyDescent="0.25">
      <c r="A5475" t="s">
        <v>519</v>
      </c>
      <c r="B5475" t="s">
        <v>8</v>
      </c>
      <c r="C5475">
        <v>1</v>
      </c>
      <c r="D5475">
        <v>4</v>
      </c>
      <c r="E5475">
        <v>2</v>
      </c>
      <c r="F5475" s="15">
        <v>46230</v>
      </c>
      <c r="G5475" t="s">
        <v>661</v>
      </c>
      <c r="H5475">
        <v>3</v>
      </c>
      <c r="I5475">
        <v>2026</v>
      </c>
      <c r="J5475">
        <v>7</v>
      </c>
      <c r="K5475" t="s">
        <v>87</v>
      </c>
      <c r="L5475" t="s">
        <v>51</v>
      </c>
      <c r="M5475" t="s">
        <v>6</v>
      </c>
      <c r="N5475" t="b">
        <v>0</v>
      </c>
      <c r="O5475">
        <v>1</v>
      </c>
      <c r="P5475">
        <v>0</v>
      </c>
      <c r="Q5475">
        <v>0</v>
      </c>
      <c r="R5475">
        <v>0</v>
      </c>
    </row>
    <row r="5476" spans="1:18" x14ac:dyDescent="0.25">
      <c r="A5476" t="s">
        <v>540</v>
      </c>
      <c r="B5476" t="s">
        <v>6</v>
      </c>
      <c r="C5476">
        <v>2</v>
      </c>
      <c r="D5476">
        <v>4</v>
      </c>
      <c r="E5476">
        <v>2</v>
      </c>
      <c r="F5476" s="15">
        <v>46230</v>
      </c>
      <c r="G5476" t="s">
        <v>661</v>
      </c>
      <c r="H5476">
        <v>3</v>
      </c>
      <c r="I5476">
        <v>2026</v>
      </c>
      <c r="J5476">
        <v>7</v>
      </c>
      <c r="K5476" t="s">
        <v>87</v>
      </c>
      <c r="L5476" t="s">
        <v>519</v>
      </c>
      <c r="M5476" t="s">
        <v>8</v>
      </c>
      <c r="N5476" t="b">
        <v>0</v>
      </c>
      <c r="O5476">
        <v>0</v>
      </c>
      <c r="P5476">
        <v>1</v>
      </c>
      <c r="Q5476">
        <v>0</v>
      </c>
      <c r="R5476">
        <v>1</v>
      </c>
    </row>
    <row r="5477" spans="1:18" x14ac:dyDescent="0.25">
      <c r="A5477" t="s">
        <v>540</v>
      </c>
      <c r="B5477" t="s">
        <v>6</v>
      </c>
      <c r="C5477">
        <v>2</v>
      </c>
      <c r="D5477">
        <v>4</v>
      </c>
      <c r="E5477">
        <v>2</v>
      </c>
      <c r="F5477" s="15">
        <v>46230</v>
      </c>
      <c r="G5477" t="s">
        <v>661</v>
      </c>
      <c r="H5477">
        <v>3</v>
      </c>
      <c r="I5477">
        <v>2026</v>
      </c>
      <c r="J5477">
        <v>7</v>
      </c>
      <c r="K5477" t="s">
        <v>87</v>
      </c>
      <c r="L5477" t="s">
        <v>51</v>
      </c>
      <c r="M5477" t="s">
        <v>6</v>
      </c>
      <c r="N5477" t="b">
        <v>0</v>
      </c>
      <c r="O5477">
        <v>0</v>
      </c>
      <c r="P5477">
        <v>1</v>
      </c>
      <c r="Q5477">
        <v>0</v>
      </c>
      <c r="R5477">
        <v>0</v>
      </c>
    </row>
    <row r="5478" spans="1:18" x14ac:dyDescent="0.25">
      <c r="A5478" t="s">
        <v>51</v>
      </c>
      <c r="B5478" t="s">
        <v>6</v>
      </c>
      <c r="C5478">
        <v>3</v>
      </c>
      <c r="D5478">
        <v>4</v>
      </c>
      <c r="E5478">
        <v>2</v>
      </c>
      <c r="F5478" s="15">
        <v>46230</v>
      </c>
      <c r="G5478" t="s">
        <v>661</v>
      </c>
      <c r="H5478">
        <v>3</v>
      </c>
      <c r="I5478">
        <v>2026</v>
      </c>
      <c r="J5478">
        <v>7</v>
      </c>
      <c r="K5478" t="s">
        <v>87</v>
      </c>
      <c r="L5478" t="s">
        <v>519</v>
      </c>
      <c r="M5478" t="s">
        <v>8</v>
      </c>
      <c r="N5478" t="b">
        <v>0</v>
      </c>
      <c r="O5478">
        <v>0</v>
      </c>
      <c r="P5478">
        <v>1</v>
      </c>
      <c r="Q5478">
        <v>0</v>
      </c>
      <c r="R5478">
        <v>1</v>
      </c>
    </row>
    <row r="5479" spans="1:18" x14ac:dyDescent="0.25">
      <c r="A5479" t="s">
        <v>51</v>
      </c>
      <c r="B5479" t="s">
        <v>6</v>
      </c>
      <c r="C5479">
        <v>3</v>
      </c>
      <c r="D5479">
        <v>4</v>
      </c>
      <c r="E5479">
        <v>2</v>
      </c>
      <c r="F5479" s="15">
        <v>46230</v>
      </c>
      <c r="G5479" t="s">
        <v>661</v>
      </c>
      <c r="H5479">
        <v>3</v>
      </c>
      <c r="I5479">
        <v>2026</v>
      </c>
      <c r="J5479">
        <v>7</v>
      </c>
      <c r="K5479" t="s">
        <v>87</v>
      </c>
      <c r="L5479" t="s">
        <v>540</v>
      </c>
      <c r="M5479" t="s">
        <v>6</v>
      </c>
      <c r="N5479" t="b">
        <v>0</v>
      </c>
      <c r="O5479">
        <v>0</v>
      </c>
      <c r="P5479">
        <v>1</v>
      </c>
      <c r="Q5479">
        <v>0</v>
      </c>
      <c r="R5479">
        <v>0</v>
      </c>
    </row>
    <row r="5480" spans="1:18" x14ac:dyDescent="0.25">
      <c r="A5480" t="s">
        <v>41</v>
      </c>
      <c r="B5480" t="s">
        <v>6</v>
      </c>
      <c r="C5480">
        <v>1</v>
      </c>
      <c r="D5480">
        <v>5</v>
      </c>
      <c r="E5480">
        <v>2</v>
      </c>
      <c r="F5480" s="15">
        <v>46230</v>
      </c>
      <c r="G5480" t="s">
        <v>662</v>
      </c>
      <c r="H5480">
        <v>3</v>
      </c>
      <c r="I5480">
        <v>2026</v>
      </c>
      <c r="J5480">
        <v>7</v>
      </c>
      <c r="K5480" t="s">
        <v>87</v>
      </c>
      <c r="L5480" t="s">
        <v>609</v>
      </c>
      <c r="M5480" t="s">
        <v>6</v>
      </c>
      <c r="N5480" t="b">
        <v>0</v>
      </c>
      <c r="O5480">
        <v>0</v>
      </c>
      <c r="P5480">
        <v>1</v>
      </c>
      <c r="Q5480">
        <v>0</v>
      </c>
      <c r="R5480">
        <v>0</v>
      </c>
    </row>
    <row r="5481" spans="1:18" x14ac:dyDescent="0.25">
      <c r="A5481" t="s">
        <v>41</v>
      </c>
      <c r="B5481" t="s">
        <v>6</v>
      </c>
      <c r="C5481">
        <v>1</v>
      </c>
      <c r="D5481">
        <v>5</v>
      </c>
      <c r="E5481">
        <v>2</v>
      </c>
      <c r="F5481" s="15">
        <v>46230</v>
      </c>
      <c r="G5481" t="s">
        <v>662</v>
      </c>
      <c r="H5481">
        <v>3</v>
      </c>
      <c r="I5481">
        <v>2026</v>
      </c>
      <c r="J5481">
        <v>7</v>
      </c>
      <c r="K5481" t="s">
        <v>87</v>
      </c>
      <c r="L5481" t="s">
        <v>351</v>
      </c>
      <c r="M5481" t="s">
        <v>8</v>
      </c>
      <c r="N5481" t="b">
        <v>0</v>
      </c>
      <c r="O5481">
        <v>0</v>
      </c>
      <c r="P5481">
        <v>1</v>
      </c>
      <c r="Q5481">
        <v>0</v>
      </c>
      <c r="R5481">
        <v>1</v>
      </c>
    </row>
    <row r="5482" spans="1:18" x14ac:dyDescent="0.25">
      <c r="A5482" t="s">
        <v>609</v>
      </c>
      <c r="B5482" t="s">
        <v>6</v>
      </c>
      <c r="C5482">
        <v>2</v>
      </c>
      <c r="D5482">
        <v>5</v>
      </c>
      <c r="E5482">
        <v>2</v>
      </c>
      <c r="F5482" s="15">
        <v>46230</v>
      </c>
      <c r="G5482" t="s">
        <v>662</v>
      </c>
      <c r="H5482">
        <v>3</v>
      </c>
      <c r="I5482">
        <v>2026</v>
      </c>
      <c r="J5482">
        <v>7</v>
      </c>
      <c r="K5482" t="s">
        <v>87</v>
      </c>
      <c r="L5482" t="s">
        <v>41</v>
      </c>
      <c r="M5482" t="s">
        <v>6</v>
      </c>
      <c r="N5482" t="b">
        <v>0</v>
      </c>
      <c r="O5482">
        <v>0</v>
      </c>
      <c r="P5482">
        <v>1</v>
      </c>
      <c r="Q5482">
        <v>0</v>
      </c>
      <c r="R5482">
        <v>0</v>
      </c>
    </row>
    <row r="5483" spans="1:18" x14ac:dyDescent="0.25">
      <c r="A5483" t="s">
        <v>609</v>
      </c>
      <c r="B5483" t="s">
        <v>6</v>
      </c>
      <c r="C5483">
        <v>2</v>
      </c>
      <c r="D5483">
        <v>5</v>
      </c>
      <c r="E5483">
        <v>2</v>
      </c>
      <c r="F5483" s="15">
        <v>46230</v>
      </c>
      <c r="G5483" t="s">
        <v>662</v>
      </c>
      <c r="H5483">
        <v>3</v>
      </c>
      <c r="I5483">
        <v>2026</v>
      </c>
      <c r="J5483">
        <v>7</v>
      </c>
      <c r="K5483" t="s">
        <v>87</v>
      </c>
      <c r="L5483" t="s">
        <v>351</v>
      </c>
      <c r="M5483" t="s">
        <v>8</v>
      </c>
      <c r="N5483" t="b">
        <v>0</v>
      </c>
      <c r="O5483">
        <v>0</v>
      </c>
      <c r="P5483">
        <v>1</v>
      </c>
      <c r="Q5483">
        <v>0</v>
      </c>
      <c r="R5483">
        <v>1</v>
      </c>
    </row>
    <row r="5484" spans="1:18" x14ac:dyDescent="0.25">
      <c r="A5484" t="s">
        <v>351</v>
      </c>
      <c r="B5484" t="s">
        <v>8</v>
      </c>
      <c r="C5484">
        <v>3</v>
      </c>
      <c r="D5484">
        <v>5</v>
      </c>
      <c r="E5484">
        <v>2</v>
      </c>
      <c r="F5484" s="15">
        <v>46230</v>
      </c>
      <c r="G5484" t="s">
        <v>662</v>
      </c>
      <c r="H5484">
        <v>3</v>
      </c>
      <c r="I5484">
        <v>2026</v>
      </c>
      <c r="J5484">
        <v>7</v>
      </c>
      <c r="K5484" t="s">
        <v>87</v>
      </c>
      <c r="L5484" t="s">
        <v>41</v>
      </c>
      <c r="M5484" t="s">
        <v>6</v>
      </c>
      <c r="N5484" t="b">
        <v>0</v>
      </c>
      <c r="O5484">
        <v>1</v>
      </c>
      <c r="P5484">
        <v>0</v>
      </c>
      <c r="Q5484">
        <v>0</v>
      </c>
      <c r="R5484">
        <v>0</v>
      </c>
    </row>
    <row r="5485" spans="1:18" x14ac:dyDescent="0.25">
      <c r="A5485" t="s">
        <v>351</v>
      </c>
      <c r="B5485" t="s">
        <v>8</v>
      </c>
      <c r="C5485">
        <v>3</v>
      </c>
      <c r="D5485">
        <v>5</v>
      </c>
      <c r="E5485">
        <v>2</v>
      </c>
      <c r="F5485" s="15">
        <v>46230</v>
      </c>
      <c r="G5485" t="s">
        <v>662</v>
      </c>
      <c r="H5485">
        <v>3</v>
      </c>
      <c r="I5485">
        <v>2026</v>
      </c>
      <c r="J5485">
        <v>7</v>
      </c>
      <c r="K5485" t="s">
        <v>87</v>
      </c>
      <c r="L5485" t="s">
        <v>609</v>
      </c>
      <c r="M5485" t="s">
        <v>6</v>
      </c>
      <c r="N5485" t="b">
        <v>0</v>
      </c>
      <c r="O5485">
        <v>1</v>
      </c>
      <c r="P5485">
        <v>0</v>
      </c>
      <c r="Q5485">
        <v>0</v>
      </c>
      <c r="R5485">
        <v>0</v>
      </c>
    </row>
    <row r="5486" spans="1:18" x14ac:dyDescent="0.25">
      <c r="A5486" t="s">
        <v>14</v>
      </c>
      <c r="B5486" t="s">
        <v>6</v>
      </c>
      <c r="C5486">
        <v>1</v>
      </c>
      <c r="D5486">
        <v>1</v>
      </c>
      <c r="E5486">
        <v>1</v>
      </c>
      <c r="F5486" s="15">
        <v>46237</v>
      </c>
      <c r="G5486" t="s">
        <v>663</v>
      </c>
      <c r="H5486">
        <v>4</v>
      </c>
      <c r="I5486">
        <v>2026</v>
      </c>
      <c r="J5486">
        <v>8</v>
      </c>
      <c r="K5486" t="s">
        <v>87</v>
      </c>
      <c r="L5486" t="s">
        <v>325</v>
      </c>
      <c r="M5486" t="s">
        <v>8</v>
      </c>
      <c r="N5486" t="b">
        <v>0</v>
      </c>
      <c r="O5486">
        <v>0</v>
      </c>
      <c r="P5486">
        <v>1</v>
      </c>
      <c r="Q5486">
        <v>0</v>
      </c>
      <c r="R5486">
        <v>1</v>
      </c>
    </row>
    <row r="5487" spans="1:18" x14ac:dyDescent="0.25">
      <c r="A5487" t="s">
        <v>14</v>
      </c>
      <c r="B5487" t="s">
        <v>6</v>
      </c>
      <c r="C5487">
        <v>1</v>
      </c>
      <c r="D5487">
        <v>1</v>
      </c>
      <c r="E5487">
        <v>1</v>
      </c>
      <c r="F5487" s="15">
        <v>46237</v>
      </c>
      <c r="G5487" t="s">
        <v>663</v>
      </c>
      <c r="H5487">
        <v>4</v>
      </c>
      <c r="I5487">
        <v>2026</v>
      </c>
      <c r="J5487">
        <v>8</v>
      </c>
      <c r="K5487" t="s">
        <v>87</v>
      </c>
      <c r="L5487" t="s">
        <v>15</v>
      </c>
      <c r="M5487" t="s">
        <v>6</v>
      </c>
      <c r="N5487" t="b">
        <v>0</v>
      </c>
      <c r="O5487">
        <v>0</v>
      </c>
      <c r="P5487">
        <v>1</v>
      </c>
      <c r="Q5487">
        <v>0</v>
      </c>
      <c r="R5487">
        <v>0</v>
      </c>
    </row>
    <row r="5488" spans="1:18" x14ac:dyDescent="0.25">
      <c r="A5488" t="s">
        <v>14</v>
      </c>
      <c r="B5488" t="s">
        <v>6</v>
      </c>
      <c r="C5488">
        <v>1</v>
      </c>
      <c r="D5488">
        <v>1</v>
      </c>
      <c r="E5488">
        <v>1</v>
      </c>
      <c r="F5488" s="15">
        <v>46237</v>
      </c>
      <c r="G5488" t="s">
        <v>663</v>
      </c>
      <c r="H5488">
        <v>4</v>
      </c>
      <c r="I5488">
        <v>2026</v>
      </c>
      <c r="J5488">
        <v>8</v>
      </c>
      <c r="K5488" t="s">
        <v>87</v>
      </c>
      <c r="L5488" t="s">
        <v>622</v>
      </c>
      <c r="M5488" t="s">
        <v>6</v>
      </c>
      <c r="N5488" t="b">
        <v>0</v>
      </c>
      <c r="O5488">
        <v>0</v>
      </c>
      <c r="P5488">
        <v>1</v>
      </c>
      <c r="Q5488">
        <v>0</v>
      </c>
      <c r="R5488">
        <v>0</v>
      </c>
    </row>
    <row r="5489" spans="1:18" x14ac:dyDescent="0.25">
      <c r="A5489" t="s">
        <v>325</v>
      </c>
      <c r="B5489" t="s">
        <v>8</v>
      </c>
      <c r="C5489">
        <v>2</v>
      </c>
      <c r="D5489">
        <v>1</v>
      </c>
      <c r="E5489">
        <v>1</v>
      </c>
      <c r="F5489" s="15">
        <v>46237</v>
      </c>
      <c r="G5489" t="s">
        <v>663</v>
      </c>
      <c r="H5489">
        <v>4</v>
      </c>
      <c r="I5489">
        <v>2026</v>
      </c>
      <c r="J5489">
        <v>8</v>
      </c>
      <c r="K5489" t="s">
        <v>87</v>
      </c>
      <c r="L5489" t="s">
        <v>14</v>
      </c>
      <c r="M5489" t="s">
        <v>6</v>
      </c>
      <c r="N5489" t="b">
        <v>0</v>
      </c>
      <c r="O5489">
        <v>1</v>
      </c>
      <c r="P5489">
        <v>0</v>
      </c>
      <c r="Q5489">
        <v>0</v>
      </c>
      <c r="R5489">
        <v>0</v>
      </c>
    </row>
    <row r="5490" spans="1:18" x14ac:dyDescent="0.25">
      <c r="A5490" t="s">
        <v>325</v>
      </c>
      <c r="B5490" t="s">
        <v>8</v>
      </c>
      <c r="C5490">
        <v>2</v>
      </c>
      <c r="D5490">
        <v>1</v>
      </c>
      <c r="E5490">
        <v>1</v>
      </c>
      <c r="F5490" s="15">
        <v>46237</v>
      </c>
      <c r="G5490" t="s">
        <v>663</v>
      </c>
      <c r="H5490">
        <v>4</v>
      </c>
      <c r="I5490">
        <v>2026</v>
      </c>
      <c r="J5490">
        <v>8</v>
      </c>
      <c r="K5490" t="s">
        <v>87</v>
      </c>
      <c r="L5490" t="s">
        <v>15</v>
      </c>
      <c r="M5490" t="s">
        <v>6</v>
      </c>
      <c r="N5490" t="b">
        <v>0</v>
      </c>
      <c r="O5490">
        <v>1</v>
      </c>
      <c r="P5490">
        <v>0</v>
      </c>
      <c r="Q5490">
        <v>0</v>
      </c>
      <c r="R5490">
        <v>0</v>
      </c>
    </row>
    <row r="5491" spans="1:18" x14ac:dyDescent="0.25">
      <c r="A5491" t="s">
        <v>325</v>
      </c>
      <c r="B5491" t="s">
        <v>8</v>
      </c>
      <c r="C5491">
        <v>2</v>
      </c>
      <c r="D5491">
        <v>1</v>
      </c>
      <c r="E5491">
        <v>1</v>
      </c>
      <c r="F5491" s="15">
        <v>46237</v>
      </c>
      <c r="G5491" t="s">
        <v>663</v>
      </c>
      <c r="H5491">
        <v>4</v>
      </c>
      <c r="I5491">
        <v>2026</v>
      </c>
      <c r="J5491">
        <v>8</v>
      </c>
      <c r="K5491" t="s">
        <v>87</v>
      </c>
      <c r="L5491" t="s">
        <v>622</v>
      </c>
      <c r="M5491" t="s">
        <v>6</v>
      </c>
      <c r="N5491" t="b">
        <v>0</v>
      </c>
      <c r="O5491">
        <v>1</v>
      </c>
      <c r="P5491">
        <v>0</v>
      </c>
      <c r="Q5491">
        <v>0</v>
      </c>
      <c r="R5491">
        <v>0</v>
      </c>
    </row>
    <row r="5492" spans="1:18" x14ac:dyDescent="0.25">
      <c r="A5492" t="s">
        <v>15</v>
      </c>
      <c r="B5492" t="s">
        <v>6</v>
      </c>
      <c r="C5492">
        <v>3</v>
      </c>
      <c r="D5492">
        <v>1</v>
      </c>
      <c r="E5492">
        <v>1</v>
      </c>
      <c r="F5492" s="15">
        <v>46237</v>
      </c>
      <c r="G5492" t="s">
        <v>663</v>
      </c>
      <c r="H5492">
        <v>4</v>
      </c>
      <c r="I5492">
        <v>2026</v>
      </c>
      <c r="J5492">
        <v>8</v>
      </c>
      <c r="K5492" t="s">
        <v>87</v>
      </c>
      <c r="L5492" t="s">
        <v>14</v>
      </c>
      <c r="M5492" t="s">
        <v>6</v>
      </c>
      <c r="N5492" t="b">
        <v>0</v>
      </c>
      <c r="O5492">
        <v>0</v>
      </c>
      <c r="P5492">
        <v>1</v>
      </c>
      <c r="Q5492">
        <v>0</v>
      </c>
      <c r="R5492">
        <v>0</v>
      </c>
    </row>
    <row r="5493" spans="1:18" x14ac:dyDescent="0.25">
      <c r="A5493" t="s">
        <v>15</v>
      </c>
      <c r="B5493" t="s">
        <v>6</v>
      </c>
      <c r="C5493">
        <v>3</v>
      </c>
      <c r="D5493">
        <v>1</v>
      </c>
      <c r="E5493">
        <v>1</v>
      </c>
      <c r="F5493" s="15">
        <v>46237</v>
      </c>
      <c r="G5493" t="s">
        <v>663</v>
      </c>
      <c r="H5493">
        <v>4</v>
      </c>
      <c r="I5493">
        <v>2026</v>
      </c>
      <c r="J5493">
        <v>8</v>
      </c>
      <c r="K5493" t="s">
        <v>87</v>
      </c>
      <c r="L5493" t="s">
        <v>325</v>
      </c>
      <c r="M5493" t="s">
        <v>8</v>
      </c>
      <c r="N5493" t="b">
        <v>0</v>
      </c>
      <c r="O5493">
        <v>0</v>
      </c>
      <c r="P5493">
        <v>1</v>
      </c>
      <c r="Q5493">
        <v>0</v>
      </c>
      <c r="R5493">
        <v>1</v>
      </c>
    </row>
    <row r="5494" spans="1:18" x14ac:dyDescent="0.25">
      <c r="A5494" t="s">
        <v>15</v>
      </c>
      <c r="B5494" t="s">
        <v>6</v>
      </c>
      <c r="C5494">
        <v>3</v>
      </c>
      <c r="D5494">
        <v>1</v>
      </c>
      <c r="E5494">
        <v>1</v>
      </c>
      <c r="F5494" s="15">
        <v>46237</v>
      </c>
      <c r="G5494" t="s">
        <v>663</v>
      </c>
      <c r="H5494">
        <v>4</v>
      </c>
      <c r="I5494">
        <v>2026</v>
      </c>
      <c r="J5494">
        <v>8</v>
      </c>
      <c r="K5494" t="s">
        <v>87</v>
      </c>
      <c r="L5494" t="s">
        <v>622</v>
      </c>
      <c r="M5494" t="s">
        <v>6</v>
      </c>
      <c r="N5494" t="b">
        <v>0</v>
      </c>
      <c r="O5494">
        <v>0</v>
      </c>
      <c r="P5494">
        <v>1</v>
      </c>
      <c r="Q5494">
        <v>0</v>
      </c>
      <c r="R5494">
        <v>0</v>
      </c>
    </row>
    <row r="5495" spans="1:18" x14ac:dyDescent="0.25">
      <c r="A5495" t="s">
        <v>622</v>
      </c>
      <c r="B5495" t="s">
        <v>6</v>
      </c>
      <c r="C5495">
        <v>4</v>
      </c>
      <c r="D5495">
        <v>1</v>
      </c>
      <c r="E5495">
        <v>1</v>
      </c>
      <c r="F5495" s="15">
        <v>46237</v>
      </c>
      <c r="G5495" t="s">
        <v>663</v>
      </c>
      <c r="H5495">
        <v>4</v>
      </c>
      <c r="I5495">
        <v>2026</v>
      </c>
      <c r="J5495">
        <v>8</v>
      </c>
      <c r="K5495" t="s">
        <v>87</v>
      </c>
      <c r="L5495" t="s">
        <v>14</v>
      </c>
      <c r="M5495" t="s">
        <v>6</v>
      </c>
      <c r="N5495" t="b">
        <v>0</v>
      </c>
      <c r="O5495">
        <v>0</v>
      </c>
      <c r="P5495">
        <v>1</v>
      </c>
      <c r="Q5495">
        <v>0</v>
      </c>
      <c r="R5495">
        <v>0</v>
      </c>
    </row>
    <row r="5496" spans="1:18" x14ac:dyDescent="0.25">
      <c r="A5496" t="s">
        <v>622</v>
      </c>
      <c r="B5496" t="s">
        <v>6</v>
      </c>
      <c r="C5496">
        <v>4</v>
      </c>
      <c r="D5496">
        <v>1</v>
      </c>
      <c r="E5496">
        <v>1</v>
      </c>
      <c r="F5496" s="15">
        <v>46237</v>
      </c>
      <c r="G5496" t="s">
        <v>663</v>
      </c>
      <c r="H5496">
        <v>4</v>
      </c>
      <c r="I5496">
        <v>2026</v>
      </c>
      <c r="J5496">
        <v>8</v>
      </c>
      <c r="K5496" t="s">
        <v>87</v>
      </c>
      <c r="L5496" t="s">
        <v>325</v>
      </c>
      <c r="M5496" t="s">
        <v>8</v>
      </c>
      <c r="N5496" t="b">
        <v>0</v>
      </c>
      <c r="O5496">
        <v>0</v>
      </c>
      <c r="P5496">
        <v>1</v>
      </c>
      <c r="Q5496">
        <v>0</v>
      </c>
      <c r="R5496">
        <v>1</v>
      </c>
    </row>
    <row r="5497" spans="1:18" x14ac:dyDescent="0.25">
      <c r="A5497" t="s">
        <v>622</v>
      </c>
      <c r="B5497" t="s">
        <v>6</v>
      </c>
      <c r="C5497">
        <v>4</v>
      </c>
      <c r="D5497">
        <v>1</v>
      </c>
      <c r="E5497">
        <v>1</v>
      </c>
      <c r="F5497" s="15">
        <v>46237</v>
      </c>
      <c r="G5497" t="s">
        <v>663</v>
      </c>
      <c r="H5497">
        <v>4</v>
      </c>
      <c r="I5497">
        <v>2026</v>
      </c>
      <c r="J5497">
        <v>8</v>
      </c>
      <c r="K5497" t="s">
        <v>87</v>
      </c>
      <c r="L5497" t="s">
        <v>15</v>
      </c>
      <c r="M5497" t="s">
        <v>6</v>
      </c>
      <c r="N5497" t="b">
        <v>0</v>
      </c>
      <c r="O5497">
        <v>0</v>
      </c>
      <c r="P5497">
        <v>1</v>
      </c>
      <c r="Q5497">
        <v>0</v>
      </c>
      <c r="R5497">
        <v>0</v>
      </c>
    </row>
    <row r="5498" spans="1:18" x14ac:dyDescent="0.25">
      <c r="A5498" t="s">
        <v>10</v>
      </c>
      <c r="B5498" t="s">
        <v>63</v>
      </c>
      <c r="C5498">
        <v>1</v>
      </c>
      <c r="D5498">
        <v>2</v>
      </c>
      <c r="E5498">
        <v>1</v>
      </c>
      <c r="F5498" s="15">
        <v>46237</v>
      </c>
      <c r="G5498" t="s">
        <v>664</v>
      </c>
      <c r="H5498">
        <v>4</v>
      </c>
      <c r="I5498">
        <v>2026</v>
      </c>
      <c r="J5498">
        <v>8</v>
      </c>
      <c r="K5498" t="s">
        <v>87</v>
      </c>
      <c r="L5498" t="s">
        <v>17</v>
      </c>
      <c r="M5498" t="s">
        <v>63</v>
      </c>
      <c r="N5498" t="b">
        <v>0</v>
      </c>
      <c r="O5498">
        <v>0</v>
      </c>
      <c r="P5498">
        <v>0</v>
      </c>
      <c r="Q5498">
        <v>1</v>
      </c>
      <c r="R5498">
        <v>0</v>
      </c>
    </row>
    <row r="5499" spans="1:18" x14ac:dyDescent="0.25">
      <c r="A5499" t="s">
        <v>10</v>
      </c>
      <c r="B5499" t="s">
        <v>63</v>
      </c>
      <c r="C5499">
        <v>1</v>
      </c>
      <c r="D5499">
        <v>2</v>
      </c>
      <c r="E5499">
        <v>1</v>
      </c>
      <c r="F5499" s="15">
        <v>46237</v>
      </c>
      <c r="G5499" t="s">
        <v>664</v>
      </c>
      <c r="H5499">
        <v>4</v>
      </c>
      <c r="I5499">
        <v>2026</v>
      </c>
      <c r="J5499">
        <v>8</v>
      </c>
      <c r="K5499" t="s">
        <v>87</v>
      </c>
      <c r="L5499" t="s">
        <v>28</v>
      </c>
      <c r="M5499" t="s">
        <v>63</v>
      </c>
      <c r="N5499" t="b">
        <v>0</v>
      </c>
      <c r="O5499">
        <v>0</v>
      </c>
      <c r="P5499">
        <v>0</v>
      </c>
      <c r="Q5499">
        <v>1</v>
      </c>
      <c r="R5499">
        <v>0</v>
      </c>
    </row>
    <row r="5500" spans="1:18" x14ac:dyDescent="0.25">
      <c r="A5500" t="s">
        <v>10</v>
      </c>
      <c r="B5500" t="s">
        <v>63</v>
      </c>
      <c r="C5500">
        <v>1</v>
      </c>
      <c r="D5500">
        <v>2</v>
      </c>
      <c r="E5500">
        <v>1</v>
      </c>
      <c r="F5500" s="15">
        <v>46237</v>
      </c>
      <c r="G5500" t="s">
        <v>664</v>
      </c>
      <c r="H5500">
        <v>4</v>
      </c>
      <c r="I5500">
        <v>2026</v>
      </c>
      <c r="J5500">
        <v>8</v>
      </c>
      <c r="K5500" t="s">
        <v>87</v>
      </c>
      <c r="L5500" t="s">
        <v>51</v>
      </c>
      <c r="M5500" t="s">
        <v>63</v>
      </c>
      <c r="N5500" t="b">
        <v>0</v>
      </c>
      <c r="O5500">
        <v>0</v>
      </c>
      <c r="P5500">
        <v>0</v>
      </c>
      <c r="Q5500">
        <v>1</v>
      </c>
      <c r="R5500">
        <v>0</v>
      </c>
    </row>
    <row r="5501" spans="1:18" x14ac:dyDescent="0.25">
      <c r="A5501" t="s">
        <v>17</v>
      </c>
      <c r="B5501" t="s">
        <v>63</v>
      </c>
      <c r="C5501">
        <v>2</v>
      </c>
      <c r="D5501">
        <v>2</v>
      </c>
      <c r="E5501">
        <v>1</v>
      </c>
      <c r="F5501" s="15">
        <v>46237</v>
      </c>
      <c r="G5501" t="s">
        <v>664</v>
      </c>
      <c r="H5501">
        <v>4</v>
      </c>
      <c r="I5501">
        <v>2026</v>
      </c>
      <c r="J5501">
        <v>8</v>
      </c>
      <c r="K5501" t="s">
        <v>87</v>
      </c>
      <c r="L5501" t="s">
        <v>10</v>
      </c>
      <c r="M5501" t="s">
        <v>63</v>
      </c>
      <c r="N5501" t="b">
        <v>0</v>
      </c>
      <c r="O5501">
        <v>0</v>
      </c>
      <c r="P5501">
        <v>0</v>
      </c>
      <c r="Q5501">
        <v>1</v>
      </c>
      <c r="R5501">
        <v>0</v>
      </c>
    </row>
    <row r="5502" spans="1:18" x14ac:dyDescent="0.25">
      <c r="A5502" t="s">
        <v>17</v>
      </c>
      <c r="B5502" t="s">
        <v>63</v>
      </c>
      <c r="C5502">
        <v>2</v>
      </c>
      <c r="D5502">
        <v>2</v>
      </c>
      <c r="E5502">
        <v>1</v>
      </c>
      <c r="F5502" s="15">
        <v>46237</v>
      </c>
      <c r="G5502" t="s">
        <v>664</v>
      </c>
      <c r="H5502">
        <v>4</v>
      </c>
      <c r="I5502">
        <v>2026</v>
      </c>
      <c r="J5502">
        <v>8</v>
      </c>
      <c r="K5502" t="s">
        <v>87</v>
      </c>
      <c r="L5502" t="s">
        <v>28</v>
      </c>
      <c r="M5502" t="s">
        <v>63</v>
      </c>
      <c r="N5502" t="b">
        <v>0</v>
      </c>
      <c r="O5502">
        <v>0</v>
      </c>
      <c r="P5502">
        <v>0</v>
      </c>
      <c r="Q5502">
        <v>1</v>
      </c>
      <c r="R5502">
        <v>0</v>
      </c>
    </row>
    <row r="5503" spans="1:18" x14ac:dyDescent="0.25">
      <c r="A5503" t="s">
        <v>17</v>
      </c>
      <c r="B5503" t="s">
        <v>63</v>
      </c>
      <c r="C5503">
        <v>2</v>
      </c>
      <c r="D5503">
        <v>2</v>
      </c>
      <c r="E5503">
        <v>1</v>
      </c>
      <c r="F5503" s="15">
        <v>46237</v>
      </c>
      <c r="G5503" t="s">
        <v>664</v>
      </c>
      <c r="H5503">
        <v>4</v>
      </c>
      <c r="I5503">
        <v>2026</v>
      </c>
      <c r="J5503">
        <v>8</v>
      </c>
      <c r="K5503" t="s">
        <v>87</v>
      </c>
      <c r="L5503" t="s">
        <v>51</v>
      </c>
      <c r="M5503" t="s">
        <v>63</v>
      </c>
      <c r="N5503" t="b">
        <v>0</v>
      </c>
      <c r="O5503">
        <v>0</v>
      </c>
      <c r="P5503">
        <v>0</v>
      </c>
      <c r="Q5503">
        <v>1</v>
      </c>
      <c r="R5503">
        <v>0</v>
      </c>
    </row>
    <row r="5504" spans="1:18" x14ac:dyDescent="0.25">
      <c r="A5504" t="s">
        <v>28</v>
      </c>
      <c r="B5504" t="s">
        <v>63</v>
      </c>
      <c r="C5504">
        <v>3</v>
      </c>
      <c r="D5504">
        <v>2</v>
      </c>
      <c r="E5504">
        <v>1</v>
      </c>
      <c r="F5504" s="15">
        <v>46237</v>
      </c>
      <c r="G5504" t="s">
        <v>664</v>
      </c>
      <c r="H5504">
        <v>4</v>
      </c>
      <c r="I5504">
        <v>2026</v>
      </c>
      <c r="J5504">
        <v>8</v>
      </c>
      <c r="K5504" t="s">
        <v>87</v>
      </c>
      <c r="L5504" t="s">
        <v>10</v>
      </c>
      <c r="M5504" t="s">
        <v>63</v>
      </c>
      <c r="N5504" t="b">
        <v>0</v>
      </c>
      <c r="O5504">
        <v>0</v>
      </c>
      <c r="P5504">
        <v>0</v>
      </c>
      <c r="Q5504">
        <v>1</v>
      </c>
      <c r="R5504">
        <v>0</v>
      </c>
    </row>
    <row r="5505" spans="1:18" x14ac:dyDescent="0.25">
      <c r="A5505" t="s">
        <v>28</v>
      </c>
      <c r="B5505" t="s">
        <v>63</v>
      </c>
      <c r="C5505">
        <v>3</v>
      </c>
      <c r="D5505">
        <v>2</v>
      </c>
      <c r="E5505">
        <v>1</v>
      </c>
      <c r="F5505" s="15">
        <v>46237</v>
      </c>
      <c r="G5505" t="s">
        <v>664</v>
      </c>
      <c r="H5505">
        <v>4</v>
      </c>
      <c r="I5505">
        <v>2026</v>
      </c>
      <c r="J5505">
        <v>8</v>
      </c>
      <c r="K5505" t="s">
        <v>87</v>
      </c>
      <c r="L5505" t="s">
        <v>17</v>
      </c>
      <c r="M5505" t="s">
        <v>63</v>
      </c>
      <c r="N5505" t="b">
        <v>0</v>
      </c>
      <c r="O5505">
        <v>0</v>
      </c>
      <c r="P5505">
        <v>0</v>
      </c>
      <c r="Q5505">
        <v>1</v>
      </c>
      <c r="R5505">
        <v>0</v>
      </c>
    </row>
    <row r="5506" spans="1:18" x14ac:dyDescent="0.25">
      <c r="A5506" t="s">
        <v>28</v>
      </c>
      <c r="B5506" t="s">
        <v>63</v>
      </c>
      <c r="C5506">
        <v>3</v>
      </c>
      <c r="D5506">
        <v>2</v>
      </c>
      <c r="E5506">
        <v>1</v>
      </c>
      <c r="F5506" s="15">
        <v>46237</v>
      </c>
      <c r="G5506" t="s">
        <v>664</v>
      </c>
      <c r="H5506">
        <v>4</v>
      </c>
      <c r="I5506">
        <v>2026</v>
      </c>
      <c r="J5506">
        <v>8</v>
      </c>
      <c r="K5506" t="s">
        <v>87</v>
      </c>
      <c r="L5506" t="s">
        <v>51</v>
      </c>
      <c r="M5506" t="s">
        <v>63</v>
      </c>
      <c r="N5506" t="b">
        <v>0</v>
      </c>
      <c r="O5506">
        <v>0</v>
      </c>
      <c r="P5506">
        <v>0</v>
      </c>
      <c r="Q5506">
        <v>1</v>
      </c>
      <c r="R5506">
        <v>0</v>
      </c>
    </row>
    <row r="5507" spans="1:18" x14ac:dyDescent="0.25">
      <c r="A5507" t="s">
        <v>51</v>
      </c>
      <c r="B5507" t="s">
        <v>63</v>
      </c>
      <c r="C5507">
        <v>4</v>
      </c>
      <c r="D5507">
        <v>2</v>
      </c>
      <c r="E5507">
        <v>1</v>
      </c>
      <c r="F5507" s="15">
        <v>46237</v>
      </c>
      <c r="G5507" t="s">
        <v>664</v>
      </c>
      <c r="H5507">
        <v>4</v>
      </c>
      <c r="I5507">
        <v>2026</v>
      </c>
      <c r="J5507">
        <v>8</v>
      </c>
      <c r="K5507" t="s">
        <v>87</v>
      </c>
      <c r="L5507" t="s">
        <v>10</v>
      </c>
      <c r="M5507" t="s">
        <v>63</v>
      </c>
      <c r="N5507" t="b">
        <v>0</v>
      </c>
      <c r="O5507">
        <v>0</v>
      </c>
      <c r="P5507">
        <v>0</v>
      </c>
      <c r="Q5507">
        <v>1</v>
      </c>
      <c r="R5507">
        <v>0</v>
      </c>
    </row>
    <row r="5508" spans="1:18" x14ac:dyDescent="0.25">
      <c r="A5508" t="s">
        <v>51</v>
      </c>
      <c r="B5508" t="s">
        <v>63</v>
      </c>
      <c r="C5508">
        <v>4</v>
      </c>
      <c r="D5508">
        <v>2</v>
      </c>
      <c r="E5508">
        <v>1</v>
      </c>
      <c r="F5508" s="15">
        <v>46237</v>
      </c>
      <c r="G5508" t="s">
        <v>664</v>
      </c>
      <c r="H5508">
        <v>4</v>
      </c>
      <c r="I5508">
        <v>2026</v>
      </c>
      <c r="J5508">
        <v>8</v>
      </c>
      <c r="K5508" t="s">
        <v>87</v>
      </c>
      <c r="L5508" t="s">
        <v>17</v>
      </c>
      <c r="M5508" t="s">
        <v>63</v>
      </c>
      <c r="N5508" t="b">
        <v>0</v>
      </c>
      <c r="O5508">
        <v>0</v>
      </c>
      <c r="P5508">
        <v>0</v>
      </c>
      <c r="Q5508">
        <v>1</v>
      </c>
      <c r="R5508">
        <v>0</v>
      </c>
    </row>
    <row r="5509" spans="1:18" x14ac:dyDescent="0.25">
      <c r="A5509" t="s">
        <v>51</v>
      </c>
      <c r="B5509" t="s">
        <v>63</v>
      </c>
      <c r="C5509">
        <v>4</v>
      </c>
      <c r="D5509">
        <v>2</v>
      </c>
      <c r="E5509">
        <v>1</v>
      </c>
      <c r="F5509" s="15">
        <v>46237</v>
      </c>
      <c r="G5509" t="s">
        <v>664</v>
      </c>
      <c r="H5509">
        <v>4</v>
      </c>
      <c r="I5509">
        <v>2026</v>
      </c>
      <c r="J5509">
        <v>8</v>
      </c>
      <c r="K5509" t="s">
        <v>87</v>
      </c>
      <c r="L5509" t="s">
        <v>28</v>
      </c>
      <c r="M5509" t="s">
        <v>63</v>
      </c>
      <c r="N5509" t="b">
        <v>0</v>
      </c>
      <c r="O5509">
        <v>0</v>
      </c>
      <c r="P5509">
        <v>0</v>
      </c>
      <c r="Q5509">
        <v>1</v>
      </c>
      <c r="R5509">
        <v>0</v>
      </c>
    </row>
    <row r="5510" spans="1:18" x14ac:dyDescent="0.25">
      <c r="A5510" t="s">
        <v>519</v>
      </c>
      <c r="B5510" t="s">
        <v>6</v>
      </c>
      <c r="C5510">
        <v>1</v>
      </c>
      <c r="D5510">
        <v>3</v>
      </c>
      <c r="E5510">
        <v>1</v>
      </c>
      <c r="F5510" s="15">
        <v>46237</v>
      </c>
      <c r="G5510" t="s">
        <v>665</v>
      </c>
      <c r="H5510">
        <v>3</v>
      </c>
      <c r="I5510">
        <v>2026</v>
      </c>
      <c r="J5510">
        <v>8</v>
      </c>
      <c r="K5510" t="s">
        <v>87</v>
      </c>
      <c r="L5510" t="s">
        <v>13</v>
      </c>
      <c r="M5510" t="s">
        <v>8</v>
      </c>
      <c r="N5510" t="b">
        <v>0</v>
      </c>
      <c r="O5510">
        <v>0</v>
      </c>
      <c r="P5510">
        <v>1</v>
      </c>
      <c r="Q5510">
        <v>0</v>
      </c>
      <c r="R5510">
        <v>1</v>
      </c>
    </row>
    <row r="5511" spans="1:18" x14ac:dyDescent="0.25">
      <c r="A5511" t="s">
        <v>519</v>
      </c>
      <c r="B5511" t="s">
        <v>6</v>
      </c>
      <c r="C5511">
        <v>1</v>
      </c>
      <c r="D5511">
        <v>3</v>
      </c>
      <c r="E5511">
        <v>1</v>
      </c>
      <c r="F5511" s="15">
        <v>46237</v>
      </c>
      <c r="G5511" t="s">
        <v>665</v>
      </c>
      <c r="H5511">
        <v>3</v>
      </c>
      <c r="I5511">
        <v>2026</v>
      </c>
      <c r="J5511">
        <v>8</v>
      </c>
      <c r="K5511" t="s">
        <v>87</v>
      </c>
      <c r="L5511" t="s">
        <v>9</v>
      </c>
      <c r="M5511" t="s">
        <v>6</v>
      </c>
      <c r="N5511" t="b">
        <v>0</v>
      </c>
      <c r="O5511">
        <v>0</v>
      </c>
      <c r="P5511">
        <v>1</v>
      </c>
      <c r="Q5511">
        <v>0</v>
      </c>
      <c r="R5511">
        <v>0</v>
      </c>
    </row>
    <row r="5512" spans="1:18" x14ac:dyDescent="0.25">
      <c r="A5512" t="s">
        <v>13</v>
      </c>
      <c r="B5512" t="s">
        <v>8</v>
      </c>
      <c r="C5512">
        <v>2</v>
      </c>
      <c r="D5512">
        <v>3</v>
      </c>
      <c r="E5512">
        <v>1</v>
      </c>
      <c r="F5512" s="15">
        <v>46237</v>
      </c>
      <c r="G5512" t="s">
        <v>665</v>
      </c>
      <c r="H5512">
        <v>3</v>
      </c>
      <c r="I5512">
        <v>2026</v>
      </c>
      <c r="J5512">
        <v>8</v>
      </c>
      <c r="K5512" t="s">
        <v>87</v>
      </c>
      <c r="L5512" t="s">
        <v>519</v>
      </c>
      <c r="M5512" t="s">
        <v>6</v>
      </c>
      <c r="N5512" t="b">
        <v>0</v>
      </c>
      <c r="O5512">
        <v>1</v>
      </c>
      <c r="P5512">
        <v>0</v>
      </c>
      <c r="Q5512">
        <v>0</v>
      </c>
      <c r="R5512">
        <v>0</v>
      </c>
    </row>
    <row r="5513" spans="1:18" x14ac:dyDescent="0.25">
      <c r="A5513" t="s">
        <v>13</v>
      </c>
      <c r="B5513" t="s">
        <v>8</v>
      </c>
      <c r="C5513">
        <v>2</v>
      </c>
      <c r="D5513">
        <v>3</v>
      </c>
      <c r="E5513">
        <v>1</v>
      </c>
      <c r="F5513" s="15">
        <v>46237</v>
      </c>
      <c r="G5513" t="s">
        <v>665</v>
      </c>
      <c r="H5513">
        <v>3</v>
      </c>
      <c r="I5513">
        <v>2026</v>
      </c>
      <c r="J5513">
        <v>8</v>
      </c>
      <c r="K5513" t="s">
        <v>87</v>
      </c>
      <c r="L5513" t="s">
        <v>9</v>
      </c>
      <c r="M5513" t="s">
        <v>6</v>
      </c>
      <c r="N5513" t="b">
        <v>0</v>
      </c>
      <c r="O5513">
        <v>1</v>
      </c>
      <c r="P5513">
        <v>0</v>
      </c>
      <c r="Q5513">
        <v>0</v>
      </c>
      <c r="R5513">
        <v>0</v>
      </c>
    </row>
    <row r="5514" spans="1:18" x14ac:dyDescent="0.25">
      <c r="A5514" t="s">
        <v>9</v>
      </c>
      <c r="B5514" t="s">
        <v>6</v>
      </c>
      <c r="C5514">
        <v>3</v>
      </c>
      <c r="D5514">
        <v>3</v>
      </c>
      <c r="E5514">
        <v>1</v>
      </c>
      <c r="F5514" s="15">
        <v>46237</v>
      </c>
      <c r="G5514" t="s">
        <v>665</v>
      </c>
      <c r="H5514">
        <v>3</v>
      </c>
      <c r="I5514">
        <v>2026</v>
      </c>
      <c r="J5514">
        <v>8</v>
      </c>
      <c r="K5514" t="s">
        <v>87</v>
      </c>
      <c r="L5514" t="s">
        <v>519</v>
      </c>
      <c r="M5514" t="s">
        <v>6</v>
      </c>
      <c r="N5514" t="b">
        <v>0</v>
      </c>
      <c r="O5514">
        <v>0</v>
      </c>
      <c r="P5514">
        <v>1</v>
      </c>
      <c r="Q5514">
        <v>0</v>
      </c>
      <c r="R5514">
        <v>0</v>
      </c>
    </row>
    <row r="5515" spans="1:18" x14ac:dyDescent="0.25">
      <c r="A5515" t="s">
        <v>9</v>
      </c>
      <c r="B5515" t="s">
        <v>6</v>
      </c>
      <c r="C5515">
        <v>3</v>
      </c>
      <c r="D5515">
        <v>3</v>
      </c>
      <c r="E5515">
        <v>1</v>
      </c>
      <c r="F5515" s="15">
        <v>46237</v>
      </c>
      <c r="G5515" t="s">
        <v>665</v>
      </c>
      <c r="H5515">
        <v>3</v>
      </c>
      <c r="I5515">
        <v>2026</v>
      </c>
      <c r="J5515">
        <v>8</v>
      </c>
      <c r="K5515" t="s">
        <v>87</v>
      </c>
      <c r="L5515" t="s">
        <v>13</v>
      </c>
      <c r="M5515" t="s">
        <v>8</v>
      </c>
      <c r="N5515" t="b">
        <v>0</v>
      </c>
      <c r="O5515">
        <v>0</v>
      </c>
      <c r="P5515">
        <v>1</v>
      </c>
      <c r="Q5515">
        <v>0</v>
      </c>
      <c r="R5515">
        <v>1</v>
      </c>
    </row>
    <row r="5516" spans="1:18" x14ac:dyDescent="0.25">
      <c r="A5516" t="s">
        <v>7</v>
      </c>
      <c r="B5516" t="s">
        <v>8</v>
      </c>
      <c r="C5516">
        <v>1</v>
      </c>
      <c r="D5516">
        <v>4</v>
      </c>
      <c r="E5516">
        <v>1</v>
      </c>
      <c r="F5516" s="15">
        <v>46237</v>
      </c>
      <c r="G5516" t="s">
        <v>666</v>
      </c>
      <c r="H5516">
        <v>3</v>
      </c>
      <c r="I5516">
        <v>2026</v>
      </c>
      <c r="J5516">
        <v>8</v>
      </c>
      <c r="K5516" t="s">
        <v>87</v>
      </c>
      <c r="L5516" t="s">
        <v>351</v>
      </c>
      <c r="M5516" t="s">
        <v>6</v>
      </c>
      <c r="N5516" t="b">
        <v>0</v>
      </c>
      <c r="O5516">
        <v>1</v>
      </c>
      <c r="P5516">
        <v>0</v>
      </c>
      <c r="Q5516">
        <v>0</v>
      </c>
      <c r="R5516">
        <v>0</v>
      </c>
    </row>
    <row r="5517" spans="1:18" x14ac:dyDescent="0.25">
      <c r="A5517" t="s">
        <v>7</v>
      </c>
      <c r="B5517" t="s">
        <v>8</v>
      </c>
      <c r="C5517">
        <v>1</v>
      </c>
      <c r="D5517">
        <v>4</v>
      </c>
      <c r="E5517">
        <v>1</v>
      </c>
      <c r="F5517" s="15">
        <v>46237</v>
      </c>
      <c r="G5517" t="s">
        <v>666</v>
      </c>
      <c r="H5517">
        <v>3</v>
      </c>
      <c r="I5517">
        <v>2026</v>
      </c>
      <c r="J5517">
        <v>8</v>
      </c>
      <c r="K5517" t="s">
        <v>87</v>
      </c>
      <c r="L5517" t="s">
        <v>433</v>
      </c>
      <c r="M5517" t="s">
        <v>6</v>
      </c>
      <c r="N5517" t="b">
        <v>0</v>
      </c>
      <c r="O5517">
        <v>1</v>
      </c>
      <c r="P5517">
        <v>0</v>
      </c>
      <c r="Q5517">
        <v>0</v>
      </c>
      <c r="R5517">
        <v>0</v>
      </c>
    </row>
    <row r="5518" spans="1:18" x14ac:dyDescent="0.25">
      <c r="A5518" t="s">
        <v>351</v>
      </c>
      <c r="B5518" t="s">
        <v>6</v>
      </c>
      <c r="C5518">
        <v>2</v>
      </c>
      <c r="D5518">
        <v>4</v>
      </c>
      <c r="E5518">
        <v>1</v>
      </c>
      <c r="F5518" s="15">
        <v>46237</v>
      </c>
      <c r="G5518" t="s">
        <v>666</v>
      </c>
      <c r="H5518">
        <v>3</v>
      </c>
      <c r="I5518">
        <v>2026</v>
      </c>
      <c r="J5518">
        <v>8</v>
      </c>
      <c r="K5518" t="s">
        <v>87</v>
      </c>
      <c r="L5518" t="s">
        <v>7</v>
      </c>
      <c r="M5518" t="s">
        <v>8</v>
      </c>
      <c r="N5518" t="b">
        <v>0</v>
      </c>
      <c r="O5518">
        <v>0</v>
      </c>
      <c r="P5518">
        <v>1</v>
      </c>
      <c r="Q5518">
        <v>0</v>
      </c>
      <c r="R5518">
        <v>1</v>
      </c>
    </row>
    <row r="5519" spans="1:18" x14ac:dyDescent="0.25">
      <c r="A5519" t="s">
        <v>351</v>
      </c>
      <c r="B5519" t="s">
        <v>6</v>
      </c>
      <c r="C5519">
        <v>2</v>
      </c>
      <c r="D5519">
        <v>4</v>
      </c>
      <c r="E5519">
        <v>1</v>
      </c>
      <c r="F5519" s="15">
        <v>46237</v>
      </c>
      <c r="G5519" t="s">
        <v>666</v>
      </c>
      <c r="H5519">
        <v>3</v>
      </c>
      <c r="I5519">
        <v>2026</v>
      </c>
      <c r="J5519">
        <v>8</v>
      </c>
      <c r="K5519" t="s">
        <v>87</v>
      </c>
      <c r="L5519" t="s">
        <v>433</v>
      </c>
      <c r="M5519" t="s">
        <v>6</v>
      </c>
      <c r="N5519" t="b">
        <v>0</v>
      </c>
      <c r="O5519">
        <v>0</v>
      </c>
      <c r="P5519">
        <v>1</v>
      </c>
      <c r="Q5519">
        <v>0</v>
      </c>
      <c r="R5519">
        <v>0</v>
      </c>
    </row>
    <row r="5520" spans="1:18" x14ac:dyDescent="0.25">
      <c r="A5520" t="s">
        <v>433</v>
      </c>
      <c r="B5520" t="s">
        <v>6</v>
      </c>
      <c r="C5520">
        <v>3</v>
      </c>
      <c r="D5520">
        <v>4</v>
      </c>
      <c r="E5520">
        <v>1</v>
      </c>
      <c r="F5520" s="15">
        <v>46237</v>
      </c>
      <c r="G5520" t="s">
        <v>666</v>
      </c>
      <c r="H5520">
        <v>3</v>
      </c>
      <c r="I5520">
        <v>2026</v>
      </c>
      <c r="J5520">
        <v>8</v>
      </c>
      <c r="K5520" t="s">
        <v>87</v>
      </c>
      <c r="L5520" t="s">
        <v>7</v>
      </c>
      <c r="M5520" t="s">
        <v>8</v>
      </c>
      <c r="N5520" t="b">
        <v>0</v>
      </c>
      <c r="O5520">
        <v>0</v>
      </c>
      <c r="P5520">
        <v>1</v>
      </c>
      <c r="Q5520">
        <v>0</v>
      </c>
      <c r="R5520">
        <v>1</v>
      </c>
    </row>
    <row r="5521" spans="1:18" x14ac:dyDescent="0.25">
      <c r="A5521" t="s">
        <v>433</v>
      </c>
      <c r="B5521" t="s">
        <v>6</v>
      </c>
      <c r="C5521">
        <v>3</v>
      </c>
      <c r="D5521">
        <v>4</v>
      </c>
      <c r="E5521">
        <v>1</v>
      </c>
      <c r="F5521" s="15">
        <v>46237</v>
      </c>
      <c r="G5521" t="s">
        <v>666</v>
      </c>
      <c r="H5521">
        <v>3</v>
      </c>
      <c r="I5521">
        <v>2026</v>
      </c>
      <c r="J5521">
        <v>8</v>
      </c>
      <c r="K5521" t="s">
        <v>87</v>
      </c>
      <c r="L5521" t="s">
        <v>351</v>
      </c>
      <c r="M5521" t="s">
        <v>6</v>
      </c>
      <c r="N5521" t="b">
        <v>0</v>
      </c>
      <c r="O5521">
        <v>0</v>
      </c>
      <c r="P5521">
        <v>1</v>
      </c>
      <c r="Q5521">
        <v>0</v>
      </c>
      <c r="R5521">
        <v>0</v>
      </c>
    </row>
    <row r="5522" spans="1:18" x14ac:dyDescent="0.25">
      <c r="A5522" t="s">
        <v>28</v>
      </c>
      <c r="B5522" t="s">
        <v>8</v>
      </c>
      <c r="C5522">
        <v>1</v>
      </c>
      <c r="D5522">
        <v>1</v>
      </c>
      <c r="E5522">
        <v>2</v>
      </c>
      <c r="F5522" s="15">
        <v>46237</v>
      </c>
      <c r="G5522" t="s">
        <v>667</v>
      </c>
      <c r="H5522">
        <v>4</v>
      </c>
      <c r="I5522">
        <v>2026</v>
      </c>
      <c r="J5522">
        <v>8</v>
      </c>
      <c r="K5522" t="s">
        <v>87</v>
      </c>
      <c r="L5522" t="s">
        <v>13</v>
      </c>
      <c r="M5522" t="s">
        <v>6</v>
      </c>
      <c r="N5522" t="b">
        <v>0</v>
      </c>
      <c r="O5522">
        <v>1</v>
      </c>
      <c r="P5522">
        <v>0</v>
      </c>
      <c r="Q5522">
        <v>0</v>
      </c>
      <c r="R5522">
        <v>0</v>
      </c>
    </row>
    <row r="5523" spans="1:18" x14ac:dyDescent="0.25">
      <c r="A5523" t="s">
        <v>28</v>
      </c>
      <c r="B5523" t="s">
        <v>8</v>
      </c>
      <c r="C5523">
        <v>1</v>
      </c>
      <c r="D5523">
        <v>1</v>
      </c>
      <c r="E5523">
        <v>2</v>
      </c>
      <c r="F5523" s="15">
        <v>46237</v>
      </c>
      <c r="G5523" t="s">
        <v>667</v>
      </c>
      <c r="H5523">
        <v>4</v>
      </c>
      <c r="I5523">
        <v>2026</v>
      </c>
      <c r="J5523">
        <v>8</v>
      </c>
      <c r="K5523" t="s">
        <v>87</v>
      </c>
      <c r="L5523" t="s">
        <v>7</v>
      </c>
      <c r="M5523" t="s">
        <v>6</v>
      </c>
      <c r="N5523" t="b">
        <v>0</v>
      </c>
      <c r="O5523">
        <v>1</v>
      </c>
      <c r="P5523">
        <v>0</v>
      </c>
      <c r="Q5523">
        <v>0</v>
      </c>
      <c r="R5523">
        <v>0</v>
      </c>
    </row>
    <row r="5524" spans="1:18" x14ac:dyDescent="0.25">
      <c r="A5524" t="s">
        <v>28</v>
      </c>
      <c r="B5524" t="s">
        <v>8</v>
      </c>
      <c r="C5524">
        <v>1</v>
      </c>
      <c r="D5524">
        <v>1</v>
      </c>
      <c r="E5524">
        <v>2</v>
      </c>
      <c r="F5524" s="15">
        <v>46237</v>
      </c>
      <c r="G5524" t="s">
        <v>667</v>
      </c>
      <c r="H5524">
        <v>4</v>
      </c>
      <c r="I5524">
        <v>2026</v>
      </c>
      <c r="J5524">
        <v>8</v>
      </c>
      <c r="K5524" t="s">
        <v>87</v>
      </c>
      <c r="L5524" t="s">
        <v>325</v>
      </c>
      <c r="M5524" t="s">
        <v>6</v>
      </c>
      <c r="N5524" t="b">
        <v>0</v>
      </c>
      <c r="O5524">
        <v>1</v>
      </c>
      <c r="P5524">
        <v>0</v>
      </c>
      <c r="Q5524">
        <v>0</v>
      </c>
      <c r="R5524">
        <v>0</v>
      </c>
    </row>
    <row r="5525" spans="1:18" x14ac:dyDescent="0.25">
      <c r="A5525" t="s">
        <v>13</v>
      </c>
      <c r="B5525" t="s">
        <v>6</v>
      </c>
      <c r="C5525">
        <v>2</v>
      </c>
      <c r="D5525">
        <v>1</v>
      </c>
      <c r="E5525">
        <v>2</v>
      </c>
      <c r="F5525" s="15">
        <v>46237</v>
      </c>
      <c r="G5525" t="s">
        <v>667</v>
      </c>
      <c r="H5525">
        <v>4</v>
      </c>
      <c r="I5525">
        <v>2026</v>
      </c>
      <c r="J5525">
        <v>8</v>
      </c>
      <c r="K5525" t="s">
        <v>87</v>
      </c>
      <c r="L5525" t="s">
        <v>28</v>
      </c>
      <c r="M5525" t="s">
        <v>8</v>
      </c>
      <c r="N5525" t="b">
        <v>0</v>
      </c>
      <c r="O5525">
        <v>0</v>
      </c>
      <c r="P5525">
        <v>1</v>
      </c>
      <c r="Q5525">
        <v>0</v>
      </c>
      <c r="R5525">
        <v>1</v>
      </c>
    </row>
    <row r="5526" spans="1:18" x14ac:dyDescent="0.25">
      <c r="A5526" t="s">
        <v>13</v>
      </c>
      <c r="B5526" t="s">
        <v>6</v>
      </c>
      <c r="C5526">
        <v>2</v>
      </c>
      <c r="D5526">
        <v>1</v>
      </c>
      <c r="E5526">
        <v>2</v>
      </c>
      <c r="F5526" s="15">
        <v>46237</v>
      </c>
      <c r="G5526" t="s">
        <v>667</v>
      </c>
      <c r="H5526">
        <v>4</v>
      </c>
      <c r="I5526">
        <v>2026</v>
      </c>
      <c r="J5526">
        <v>8</v>
      </c>
      <c r="K5526" t="s">
        <v>87</v>
      </c>
      <c r="L5526" t="s">
        <v>7</v>
      </c>
      <c r="M5526" t="s">
        <v>6</v>
      </c>
      <c r="N5526" t="b">
        <v>0</v>
      </c>
      <c r="O5526">
        <v>0</v>
      </c>
      <c r="P5526">
        <v>1</v>
      </c>
      <c r="Q5526">
        <v>0</v>
      </c>
      <c r="R5526">
        <v>0</v>
      </c>
    </row>
    <row r="5527" spans="1:18" x14ac:dyDescent="0.25">
      <c r="A5527" t="s">
        <v>13</v>
      </c>
      <c r="B5527" t="s">
        <v>6</v>
      </c>
      <c r="C5527">
        <v>2</v>
      </c>
      <c r="D5527">
        <v>1</v>
      </c>
      <c r="E5527">
        <v>2</v>
      </c>
      <c r="F5527" s="15">
        <v>46237</v>
      </c>
      <c r="G5527" t="s">
        <v>667</v>
      </c>
      <c r="H5527">
        <v>4</v>
      </c>
      <c r="I5527">
        <v>2026</v>
      </c>
      <c r="J5527">
        <v>8</v>
      </c>
      <c r="K5527" t="s">
        <v>87</v>
      </c>
      <c r="L5527" t="s">
        <v>325</v>
      </c>
      <c r="M5527" t="s">
        <v>6</v>
      </c>
      <c r="N5527" t="b">
        <v>0</v>
      </c>
      <c r="O5527">
        <v>0</v>
      </c>
      <c r="P5527">
        <v>1</v>
      </c>
      <c r="Q5527">
        <v>0</v>
      </c>
      <c r="R5527">
        <v>0</v>
      </c>
    </row>
    <row r="5528" spans="1:18" x14ac:dyDescent="0.25">
      <c r="A5528" t="s">
        <v>7</v>
      </c>
      <c r="B5528" t="s">
        <v>6</v>
      </c>
      <c r="C5528">
        <v>3</v>
      </c>
      <c r="D5528">
        <v>1</v>
      </c>
      <c r="E5528">
        <v>2</v>
      </c>
      <c r="F5528" s="15">
        <v>46237</v>
      </c>
      <c r="G5528" t="s">
        <v>667</v>
      </c>
      <c r="H5528">
        <v>4</v>
      </c>
      <c r="I5528">
        <v>2026</v>
      </c>
      <c r="J5528">
        <v>8</v>
      </c>
      <c r="K5528" t="s">
        <v>87</v>
      </c>
      <c r="L5528" t="s">
        <v>28</v>
      </c>
      <c r="M5528" t="s">
        <v>8</v>
      </c>
      <c r="N5528" t="b">
        <v>0</v>
      </c>
      <c r="O5528">
        <v>0</v>
      </c>
      <c r="P5528">
        <v>1</v>
      </c>
      <c r="Q5528">
        <v>0</v>
      </c>
      <c r="R5528">
        <v>1</v>
      </c>
    </row>
    <row r="5529" spans="1:18" x14ac:dyDescent="0.25">
      <c r="A5529" t="s">
        <v>7</v>
      </c>
      <c r="B5529" t="s">
        <v>6</v>
      </c>
      <c r="C5529">
        <v>3</v>
      </c>
      <c r="D5529">
        <v>1</v>
      </c>
      <c r="E5529">
        <v>2</v>
      </c>
      <c r="F5529" s="15">
        <v>46237</v>
      </c>
      <c r="G5529" t="s">
        <v>667</v>
      </c>
      <c r="H5529">
        <v>4</v>
      </c>
      <c r="I5529">
        <v>2026</v>
      </c>
      <c r="J5529">
        <v>8</v>
      </c>
      <c r="K5529" t="s">
        <v>87</v>
      </c>
      <c r="L5529" t="s">
        <v>13</v>
      </c>
      <c r="M5529" t="s">
        <v>6</v>
      </c>
      <c r="N5529" t="b">
        <v>0</v>
      </c>
      <c r="O5529">
        <v>0</v>
      </c>
      <c r="P5529">
        <v>1</v>
      </c>
      <c r="Q5529">
        <v>0</v>
      </c>
      <c r="R5529">
        <v>0</v>
      </c>
    </row>
    <row r="5530" spans="1:18" x14ac:dyDescent="0.25">
      <c r="A5530" t="s">
        <v>7</v>
      </c>
      <c r="B5530" t="s">
        <v>6</v>
      </c>
      <c r="C5530">
        <v>3</v>
      </c>
      <c r="D5530">
        <v>1</v>
      </c>
      <c r="E5530">
        <v>2</v>
      </c>
      <c r="F5530" s="15">
        <v>46237</v>
      </c>
      <c r="G5530" t="s">
        <v>667</v>
      </c>
      <c r="H5530">
        <v>4</v>
      </c>
      <c r="I5530">
        <v>2026</v>
      </c>
      <c r="J5530">
        <v>8</v>
      </c>
      <c r="K5530" t="s">
        <v>87</v>
      </c>
      <c r="L5530" t="s">
        <v>325</v>
      </c>
      <c r="M5530" t="s">
        <v>6</v>
      </c>
      <c r="N5530" t="b">
        <v>0</v>
      </c>
      <c r="O5530">
        <v>0</v>
      </c>
      <c r="P5530">
        <v>1</v>
      </c>
      <c r="Q5530">
        <v>0</v>
      </c>
      <c r="R5530">
        <v>0</v>
      </c>
    </row>
    <row r="5531" spans="1:18" x14ac:dyDescent="0.25">
      <c r="A5531" t="s">
        <v>325</v>
      </c>
      <c r="B5531" t="s">
        <v>6</v>
      </c>
      <c r="C5531">
        <v>4</v>
      </c>
      <c r="D5531">
        <v>1</v>
      </c>
      <c r="E5531">
        <v>2</v>
      </c>
      <c r="F5531" s="15">
        <v>46237</v>
      </c>
      <c r="G5531" t="s">
        <v>667</v>
      </c>
      <c r="H5531">
        <v>4</v>
      </c>
      <c r="I5531">
        <v>2026</v>
      </c>
      <c r="J5531">
        <v>8</v>
      </c>
      <c r="K5531" t="s">
        <v>87</v>
      </c>
      <c r="L5531" t="s">
        <v>28</v>
      </c>
      <c r="M5531" t="s">
        <v>8</v>
      </c>
      <c r="N5531" t="b">
        <v>0</v>
      </c>
      <c r="O5531">
        <v>0</v>
      </c>
      <c r="P5531">
        <v>1</v>
      </c>
      <c r="Q5531">
        <v>0</v>
      </c>
      <c r="R5531">
        <v>1</v>
      </c>
    </row>
    <row r="5532" spans="1:18" x14ac:dyDescent="0.25">
      <c r="A5532" t="s">
        <v>325</v>
      </c>
      <c r="B5532" t="s">
        <v>6</v>
      </c>
      <c r="C5532">
        <v>4</v>
      </c>
      <c r="D5532">
        <v>1</v>
      </c>
      <c r="E5532">
        <v>2</v>
      </c>
      <c r="F5532" s="15">
        <v>46237</v>
      </c>
      <c r="G5532" t="s">
        <v>667</v>
      </c>
      <c r="H5532">
        <v>4</v>
      </c>
      <c r="I5532">
        <v>2026</v>
      </c>
      <c r="J5532">
        <v>8</v>
      </c>
      <c r="K5532" t="s">
        <v>87</v>
      </c>
      <c r="L5532" t="s">
        <v>13</v>
      </c>
      <c r="M5532" t="s">
        <v>6</v>
      </c>
      <c r="N5532" t="b">
        <v>0</v>
      </c>
      <c r="O5532">
        <v>0</v>
      </c>
      <c r="P5532">
        <v>1</v>
      </c>
      <c r="Q5532">
        <v>0</v>
      </c>
      <c r="R5532">
        <v>0</v>
      </c>
    </row>
    <row r="5533" spans="1:18" x14ac:dyDescent="0.25">
      <c r="A5533" t="s">
        <v>325</v>
      </c>
      <c r="B5533" t="s">
        <v>6</v>
      </c>
      <c r="C5533">
        <v>4</v>
      </c>
      <c r="D5533">
        <v>1</v>
      </c>
      <c r="E5533">
        <v>2</v>
      </c>
      <c r="F5533" s="15">
        <v>46237</v>
      </c>
      <c r="G5533" t="s">
        <v>667</v>
      </c>
      <c r="H5533">
        <v>4</v>
      </c>
      <c r="I5533">
        <v>2026</v>
      </c>
      <c r="J5533">
        <v>8</v>
      </c>
      <c r="K5533" t="s">
        <v>87</v>
      </c>
      <c r="L5533" t="s">
        <v>7</v>
      </c>
      <c r="M5533" t="s">
        <v>6</v>
      </c>
      <c r="N5533" t="b">
        <v>0</v>
      </c>
      <c r="O5533">
        <v>0</v>
      </c>
      <c r="P5533">
        <v>1</v>
      </c>
      <c r="Q5533">
        <v>0</v>
      </c>
      <c r="R5533">
        <v>0</v>
      </c>
    </row>
    <row r="5534" spans="1:18" x14ac:dyDescent="0.25">
      <c r="A5534" t="s">
        <v>433</v>
      </c>
      <c r="B5534" t="s">
        <v>6</v>
      </c>
      <c r="C5534">
        <v>1</v>
      </c>
      <c r="D5534">
        <v>2</v>
      </c>
      <c r="E5534">
        <v>2</v>
      </c>
      <c r="F5534" s="15">
        <v>46237</v>
      </c>
      <c r="G5534" t="s">
        <v>668</v>
      </c>
      <c r="H5534">
        <v>4</v>
      </c>
      <c r="I5534">
        <v>2026</v>
      </c>
      <c r="J5534">
        <v>8</v>
      </c>
      <c r="K5534" t="s">
        <v>87</v>
      </c>
      <c r="L5534" t="s">
        <v>15</v>
      </c>
      <c r="M5534" t="s">
        <v>8</v>
      </c>
      <c r="N5534" t="b">
        <v>0</v>
      </c>
      <c r="O5534">
        <v>0</v>
      </c>
      <c r="P5534">
        <v>1</v>
      </c>
      <c r="Q5534">
        <v>0</v>
      </c>
      <c r="R5534">
        <v>1</v>
      </c>
    </row>
    <row r="5535" spans="1:18" x14ac:dyDescent="0.25">
      <c r="A5535" t="s">
        <v>433</v>
      </c>
      <c r="B5535" t="s">
        <v>6</v>
      </c>
      <c r="C5535">
        <v>1</v>
      </c>
      <c r="D5535">
        <v>2</v>
      </c>
      <c r="E5535">
        <v>2</v>
      </c>
      <c r="F5535" s="15">
        <v>46237</v>
      </c>
      <c r="G5535" t="s">
        <v>668</v>
      </c>
      <c r="H5535">
        <v>4</v>
      </c>
      <c r="I5535">
        <v>2026</v>
      </c>
      <c r="J5535">
        <v>8</v>
      </c>
      <c r="K5535" t="s">
        <v>87</v>
      </c>
      <c r="L5535" t="s">
        <v>519</v>
      </c>
      <c r="M5535" t="s">
        <v>6</v>
      </c>
      <c r="N5535" t="b">
        <v>0</v>
      </c>
      <c r="O5535">
        <v>0</v>
      </c>
      <c r="P5535">
        <v>1</v>
      </c>
      <c r="Q5535">
        <v>0</v>
      </c>
      <c r="R5535">
        <v>0</v>
      </c>
    </row>
    <row r="5536" spans="1:18" x14ac:dyDescent="0.25">
      <c r="A5536" t="s">
        <v>433</v>
      </c>
      <c r="B5536" t="s">
        <v>6</v>
      </c>
      <c r="C5536">
        <v>1</v>
      </c>
      <c r="D5536">
        <v>2</v>
      </c>
      <c r="E5536">
        <v>2</v>
      </c>
      <c r="F5536" s="15">
        <v>46237</v>
      </c>
      <c r="G5536" t="s">
        <v>668</v>
      </c>
      <c r="H5536">
        <v>4</v>
      </c>
      <c r="I5536">
        <v>2026</v>
      </c>
      <c r="J5536">
        <v>8</v>
      </c>
      <c r="K5536" t="s">
        <v>87</v>
      </c>
      <c r="L5536" t="s">
        <v>10</v>
      </c>
      <c r="M5536" t="s">
        <v>6</v>
      </c>
      <c r="N5536" t="b">
        <v>0</v>
      </c>
      <c r="O5536">
        <v>0</v>
      </c>
      <c r="P5536">
        <v>1</v>
      </c>
      <c r="Q5536">
        <v>0</v>
      </c>
      <c r="R5536">
        <v>0</v>
      </c>
    </row>
    <row r="5537" spans="1:18" x14ac:dyDescent="0.25">
      <c r="A5537" t="s">
        <v>15</v>
      </c>
      <c r="B5537" t="s">
        <v>8</v>
      </c>
      <c r="C5537">
        <v>2</v>
      </c>
      <c r="D5537">
        <v>2</v>
      </c>
      <c r="E5537">
        <v>2</v>
      </c>
      <c r="F5537" s="15">
        <v>46237</v>
      </c>
      <c r="G5537" t="s">
        <v>668</v>
      </c>
      <c r="H5537">
        <v>4</v>
      </c>
      <c r="I5537">
        <v>2026</v>
      </c>
      <c r="J5537">
        <v>8</v>
      </c>
      <c r="K5537" t="s">
        <v>87</v>
      </c>
      <c r="L5537" t="s">
        <v>433</v>
      </c>
      <c r="M5537" t="s">
        <v>6</v>
      </c>
      <c r="N5537" t="b">
        <v>0</v>
      </c>
      <c r="O5537">
        <v>1</v>
      </c>
      <c r="P5537">
        <v>0</v>
      </c>
      <c r="Q5537">
        <v>0</v>
      </c>
      <c r="R5537">
        <v>0</v>
      </c>
    </row>
    <row r="5538" spans="1:18" x14ac:dyDescent="0.25">
      <c r="A5538" t="s">
        <v>15</v>
      </c>
      <c r="B5538" t="s">
        <v>8</v>
      </c>
      <c r="C5538">
        <v>2</v>
      </c>
      <c r="D5538">
        <v>2</v>
      </c>
      <c r="E5538">
        <v>2</v>
      </c>
      <c r="F5538" s="15">
        <v>46237</v>
      </c>
      <c r="G5538" t="s">
        <v>668</v>
      </c>
      <c r="H5538">
        <v>4</v>
      </c>
      <c r="I5538">
        <v>2026</v>
      </c>
      <c r="J5538">
        <v>8</v>
      </c>
      <c r="K5538" t="s">
        <v>87</v>
      </c>
      <c r="L5538" t="s">
        <v>519</v>
      </c>
      <c r="M5538" t="s">
        <v>6</v>
      </c>
      <c r="N5538" t="b">
        <v>0</v>
      </c>
      <c r="O5538">
        <v>1</v>
      </c>
      <c r="P5538">
        <v>0</v>
      </c>
      <c r="Q5538">
        <v>0</v>
      </c>
      <c r="R5538">
        <v>0</v>
      </c>
    </row>
    <row r="5539" spans="1:18" x14ac:dyDescent="0.25">
      <c r="A5539" t="s">
        <v>15</v>
      </c>
      <c r="B5539" t="s">
        <v>8</v>
      </c>
      <c r="C5539">
        <v>2</v>
      </c>
      <c r="D5539">
        <v>2</v>
      </c>
      <c r="E5539">
        <v>2</v>
      </c>
      <c r="F5539" s="15">
        <v>46237</v>
      </c>
      <c r="G5539" t="s">
        <v>668</v>
      </c>
      <c r="H5539">
        <v>4</v>
      </c>
      <c r="I5539">
        <v>2026</v>
      </c>
      <c r="J5539">
        <v>8</v>
      </c>
      <c r="K5539" t="s">
        <v>87</v>
      </c>
      <c r="L5539" t="s">
        <v>10</v>
      </c>
      <c r="M5539" t="s">
        <v>6</v>
      </c>
      <c r="N5539" t="b">
        <v>0</v>
      </c>
      <c r="O5539">
        <v>1</v>
      </c>
      <c r="P5539">
        <v>0</v>
      </c>
      <c r="Q5539">
        <v>0</v>
      </c>
      <c r="R5539">
        <v>0</v>
      </c>
    </row>
    <row r="5540" spans="1:18" x14ac:dyDescent="0.25">
      <c r="A5540" t="s">
        <v>519</v>
      </c>
      <c r="B5540" t="s">
        <v>6</v>
      </c>
      <c r="C5540">
        <v>3</v>
      </c>
      <c r="D5540">
        <v>2</v>
      </c>
      <c r="E5540">
        <v>2</v>
      </c>
      <c r="F5540" s="15">
        <v>46237</v>
      </c>
      <c r="G5540" t="s">
        <v>668</v>
      </c>
      <c r="H5540">
        <v>4</v>
      </c>
      <c r="I5540">
        <v>2026</v>
      </c>
      <c r="J5540">
        <v>8</v>
      </c>
      <c r="K5540" t="s">
        <v>87</v>
      </c>
      <c r="L5540" t="s">
        <v>433</v>
      </c>
      <c r="M5540" t="s">
        <v>6</v>
      </c>
      <c r="N5540" t="b">
        <v>0</v>
      </c>
      <c r="O5540">
        <v>0</v>
      </c>
      <c r="P5540">
        <v>1</v>
      </c>
      <c r="Q5540">
        <v>0</v>
      </c>
      <c r="R5540">
        <v>0</v>
      </c>
    </row>
    <row r="5541" spans="1:18" x14ac:dyDescent="0.25">
      <c r="A5541" t="s">
        <v>519</v>
      </c>
      <c r="B5541" t="s">
        <v>6</v>
      </c>
      <c r="C5541">
        <v>3</v>
      </c>
      <c r="D5541">
        <v>2</v>
      </c>
      <c r="E5541">
        <v>2</v>
      </c>
      <c r="F5541" s="15">
        <v>46237</v>
      </c>
      <c r="G5541" t="s">
        <v>668</v>
      </c>
      <c r="H5541">
        <v>4</v>
      </c>
      <c r="I5541">
        <v>2026</v>
      </c>
      <c r="J5541">
        <v>8</v>
      </c>
      <c r="K5541" t="s">
        <v>87</v>
      </c>
      <c r="L5541" t="s">
        <v>15</v>
      </c>
      <c r="M5541" t="s">
        <v>8</v>
      </c>
      <c r="N5541" t="b">
        <v>0</v>
      </c>
      <c r="O5541">
        <v>0</v>
      </c>
      <c r="P5541">
        <v>1</v>
      </c>
      <c r="Q5541">
        <v>0</v>
      </c>
      <c r="R5541">
        <v>1</v>
      </c>
    </row>
    <row r="5542" spans="1:18" x14ac:dyDescent="0.25">
      <c r="A5542" t="s">
        <v>519</v>
      </c>
      <c r="B5542" t="s">
        <v>6</v>
      </c>
      <c r="C5542">
        <v>3</v>
      </c>
      <c r="D5542">
        <v>2</v>
      </c>
      <c r="E5542">
        <v>2</v>
      </c>
      <c r="F5542" s="15">
        <v>46237</v>
      </c>
      <c r="G5542" t="s">
        <v>668</v>
      </c>
      <c r="H5542">
        <v>4</v>
      </c>
      <c r="I5542">
        <v>2026</v>
      </c>
      <c r="J5542">
        <v>8</v>
      </c>
      <c r="K5542" t="s">
        <v>87</v>
      </c>
      <c r="L5542" t="s">
        <v>10</v>
      </c>
      <c r="M5542" t="s">
        <v>6</v>
      </c>
      <c r="N5542" t="b">
        <v>0</v>
      </c>
      <c r="O5542">
        <v>0</v>
      </c>
      <c r="P5542">
        <v>1</v>
      </c>
      <c r="Q5542">
        <v>0</v>
      </c>
      <c r="R5542">
        <v>0</v>
      </c>
    </row>
    <row r="5543" spans="1:18" x14ac:dyDescent="0.25">
      <c r="A5543" t="s">
        <v>10</v>
      </c>
      <c r="B5543" t="s">
        <v>6</v>
      </c>
      <c r="C5543">
        <v>4</v>
      </c>
      <c r="D5543">
        <v>2</v>
      </c>
      <c r="E5543">
        <v>2</v>
      </c>
      <c r="F5543" s="15">
        <v>46237</v>
      </c>
      <c r="G5543" t="s">
        <v>668</v>
      </c>
      <c r="H5543">
        <v>4</v>
      </c>
      <c r="I5543">
        <v>2026</v>
      </c>
      <c r="J5543">
        <v>8</v>
      </c>
      <c r="K5543" t="s">
        <v>87</v>
      </c>
      <c r="L5543" t="s">
        <v>433</v>
      </c>
      <c r="M5543" t="s">
        <v>6</v>
      </c>
      <c r="N5543" t="b">
        <v>0</v>
      </c>
      <c r="O5543">
        <v>0</v>
      </c>
      <c r="P5543">
        <v>1</v>
      </c>
      <c r="Q5543">
        <v>0</v>
      </c>
      <c r="R5543">
        <v>0</v>
      </c>
    </row>
    <row r="5544" spans="1:18" x14ac:dyDescent="0.25">
      <c r="A5544" t="s">
        <v>10</v>
      </c>
      <c r="B5544" t="s">
        <v>6</v>
      </c>
      <c r="C5544">
        <v>4</v>
      </c>
      <c r="D5544">
        <v>2</v>
      </c>
      <c r="E5544">
        <v>2</v>
      </c>
      <c r="F5544" s="15">
        <v>46237</v>
      </c>
      <c r="G5544" t="s">
        <v>668</v>
      </c>
      <c r="H5544">
        <v>4</v>
      </c>
      <c r="I5544">
        <v>2026</v>
      </c>
      <c r="J5544">
        <v>8</v>
      </c>
      <c r="K5544" t="s">
        <v>87</v>
      </c>
      <c r="L5544" t="s">
        <v>15</v>
      </c>
      <c r="M5544" t="s">
        <v>8</v>
      </c>
      <c r="N5544" t="b">
        <v>0</v>
      </c>
      <c r="O5544">
        <v>0</v>
      </c>
      <c r="P5544">
        <v>1</v>
      </c>
      <c r="Q5544">
        <v>0</v>
      </c>
      <c r="R5544">
        <v>1</v>
      </c>
    </row>
    <row r="5545" spans="1:18" x14ac:dyDescent="0.25">
      <c r="A5545" t="s">
        <v>10</v>
      </c>
      <c r="B5545" t="s">
        <v>6</v>
      </c>
      <c r="C5545">
        <v>4</v>
      </c>
      <c r="D5545">
        <v>2</v>
      </c>
      <c r="E5545">
        <v>2</v>
      </c>
      <c r="F5545" s="15">
        <v>46237</v>
      </c>
      <c r="G5545" t="s">
        <v>668</v>
      </c>
      <c r="H5545">
        <v>4</v>
      </c>
      <c r="I5545">
        <v>2026</v>
      </c>
      <c r="J5545">
        <v>8</v>
      </c>
      <c r="K5545" t="s">
        <v>87</v>
      </c>
      <c r="L5545" t="s">
        <v>519</v>
      </c>
      <c r="M5545" t="s">
        <v>6</v>
      </c>
      <c r="N5545" t="b">
        <v>0</v>
      </c>
      <c r="O5545">
        <v>0</v>
      </c>
      <c r="P5545">
        <v>1</v>
      </c>
      <c r="Q5545">
        <v>0</v>
      </c>
      <c r="R5545">
        <v>0</v>
      </c>
    </row>
    <row r="5546" spans="1:18" x14ac:dyDescent="0.25">
      <c r="A5546" t="s">
        <v>9</v>
      </c>
      <c r="B5546" t="s">
        <v>8</v>
      </c>
      <c r="C5546">
        <v>1</v>
      </c>
      <c r="D5546">
        <v>3</v>
      </c>
      <c r="E5546">
        <v>2</v>
      </c>
      <c r="F5546" s="15">
        <v>46237</v>
      </c>
      <c r="G5546" t="s">
        <v>669</v>
      </c>
      <c r="H5546">
        <v>3</v>
      </c>
      <c r="I5546">
        <v>2026</v>
      </c>
      <c r="J5546">
        <v>8</v>
      </c>
      <c r="K5546" t="s">
        <v>87</v>
      </c>
      <c r="L5546" t="s">
        <v>14</v>
      </c>
      <c r="M5546" t="s">
        <v>6</v>
      </c>
      <c r="N5546" t="b">
        <v>0</v>
      </c>
      <c r="O5546">
        <v>1</v>
      </c>
      <c r="P5546">
        <v>0</v>
      </c>
      <c r="Q5546">
        <v>0</v>
      </c>
      <c r="R5546">
        <v>0</v>
      </c>
    </row>
    <row r="5547" spans="1:18" x14ac:dyDescent="0.25">
      <c r="A5547" t="s">
        <v>9</v>
      </c>
      <c r="B5547" t="s">
        <v>8</v>
      </c>
      <c r="C5547">
        <v>1</v>
      </c>
      <c r="D5547">
        <v>3</v>
      </c>
      <c r="E5547">
        <v>2</v>
      </c>
      <c r="F5547" s="15">
        <v>46237</v>
      </c>
      <c r="G5547" t="s">
        <v>669</v>
      </c>
      <c r="H5547">
        <v>3</v>
      </c>
      <c r="I5547">
        <v>2026</v>
      </c>
      <c r="J5547">
        <v>8</v>
      </c>
      <c r="K5547" t="s">
        <v>87</v>
      </c>
      <c r="L5547" t="s">
        <v>17</v>
      </c>
      <c r="M5547" t="s">
        <v>6</v>
      </c>
      <c r="N5547" t="b">
        <v>0</v>
      </c>
      <c r="O5547">
        <v>1</v>
      </c>
      <c r="P5547">
        <v>0</v>
      </c>
      <c r="Q5547">
        <v>0</v>
      </c>
      <c r="R5547">
        <v>0</v>
      </c>
    </row>
    <row r="5548" spans="1:18" x14ac:dyDescent="0.25">
      <c r="A5548" t="s">
        <v>14</v>
      </c>
      <c r="B5548" t="s">
        <v>6</v>
      </c>
      <c r="C5548">
        <v>2</v>
      </c>
      <c r="D5548">
        <v>3</v>
      </c>
      <c r="E5548">
        <v>2</v>
      </c>
      <c r="F5548" s="15">
        <v>46237</v>
      </c>
      <c r="G5548" t="s">
        <v>669</v>
      </c>
      <c r="H5548">
        <v>3</v>
      </c>
      <c r="I5548">
        <v>2026</v>
      </c>
      <c r="J5548">
        <v>8</v>
      </c>
      <c r="K5548" t="s">
        <v>87</v>
      </c>
      <c r="L5548" t="s">
        <v>9</v>
      </c>
      <c r="M5548" t="s">
        <v>8</v>
      </c>
      <c r="N5548" t="b">
        <v>0</v>
      </c>
      <c r="O5548">
        <v>0</v>
      </c>
      <c r="P5548">
        <v>1</v>
      </c>
      <c r="Q5548">
        <v>0</v>
      </c>
      <c r="R5548">
        <v>1</v>
      </c>
    </row>
    <row r="5549" spans="1:18" x14ac:dyDescent="0.25">
      <c r="A5549" t="s">
        <v>14</v>
      </c>
      <c r="B5549" t="s">
        <v>6</v>
      </c>
      <c r="C5549">
        <v>2</v>
      </c>
      <c r="D5549">
        <v>3</v>
      </c>
      <c r="E5549">
        <v>2</v>
      </c>
      <c r="F5549" s="15">
        <v>46237</v>
      </c>
      <c r="G5549" t="s">
        <v>669</v>
      </c>
      <c r="H5549">
        <v>3</v>
      </c>
      <c r="I5549">
        <v>2026</v>
      </c>
      <c r="J5549">
        <v>8</v>
      </c>
      <c r="K5549" t="s">
        <v>87</v>
      </c>
      <c r="L5549" t="s">
        <v>17</v>
      </c>
      <c r="M5549" t="s">
        <v>6</v>
      </c>
      <c r="N5549" t="b">
        <v>0</v>
      </c>
      <c r="O5549">
        <v>0</v>
      </c>
      <c r="P5549">
        <v>1</v>
      </c>
      <c r="Q5549">
        <v>0</v>
      </c>
      <c r="R5549">
        <v>0</v>
      </c>
    </row>
    <row r="5550" spans="1:18" x14ac:dyDescent="0.25">
      <c r="A5550" t="s">
        <v>17</v>
      </c>
      <c r="B5550" t="s">
        <v>6</v>
      </c>
      <c r="C5550">
        <v>3</v>
      </c>
      <c r="D5550">
        <v>3</v>
      </c>
      <c r="E5550">
        <v>2</v>
      </c>
      <c r="F5550" s="15">
        <v>46237</v>
      </c>
      <c r="G5550" t="s">
        <v>669</v>
      </c>
      <c r="H5550">
        <v>3</v>
      </c>
      <c r="I5550">
        <v>2026</v>
      </c>
      <c r="J5550">
        <v>8</v>
      </c>
      <c r="K5550" t="s">
        <v>87</v>
      </c>
      <c r="L5550" t="s">
        <v>9</v>
      </c>
      <c r="M5550" t="s">
        <v>8</v>
      </c>
      <c r="N5550" t="b">
        <v>0</v>
      </c>
      <c r="O5550">
        <v>0</v>
      </c>
      <c r="P5550">
        <v>1</v>
      </c>
      <c r="Q5550">
        <v>0</v>
      </c>
      <c r="R5550">
        <v>1</v>
      </c>
    </row>
    <row r="5551" spans="1:18" x14ac:dyDescent="0.25">
      <c r="A5551" t="s">
        <v>17</v>
      </c>
      <c r="B5551" t="s">
        <v>6</v>
      </c>
      <c r="C5551">
        <v>3</v>
      </c>
      <c r="D5551">
        <v>3</v>
      </c>
      <c r="E5551">
        <v>2</v>
      </c>
      <c r="F5551" s="15">
        <v>46237</v>
      </c>
      <c r="G5551" t="s">
        <v>669</v>
      </c>
      <c r="H5551">
        <v>3</v>
      </c>
      <c r="I5551">
        <v>2026</v>
      </c>
      <c r="J5551">
        <v>8</v>
      </c>
      <c r="K5551" t="s">
        <v>87</v>
      </c>
      <c r="L5551" t="s">
        <v>14</v>
      </c>
      <c r="M5551" t="s">
        <v>6</v>
      </c>
      <c r="N5551" t="b">
        <v>0</v>
      </c>
      <c r="O5551">
        <v>0</v>
      </c>
      <c r="P5551">
        <v>1</v>
      </c>
      <c r="Q5551">
        <v>0</v>
      </c>
      <c r="R5551">
        <v>0</v>
      </c>
    </row>
    <row r="5552" spans="1:18" x14ac:dyDescent="0.25">
      <c r="A5552" t="s">
        <v>622</v>
      </c>
      <c r="B5552" t="s">
        <v>8</v>
      </c>
      <c r="C5552">
        <v>1</v>
      </c>
      <c r="D5552">
        <v>4</v>
      </c>
      <c r="E5552">
        <v>2</v>
      </c>
      <c r="F5552" s="15">
        <v>46237</v>
      </c>
      <c r="G5552" t="s">
        <v>670</v>
      </c>
      <c r="H5552">
        <v>3</v>
      </c>
      <c r="I5552">
        <v>2026</v>
      </c>
      <c r="J5552">
        <v>8</v>
      </c>
      <c r="K5552" t="s">
        <v>87</v>
      </c>
      <c r="L5552" t="s">
        <v>51</v>
      </c>
      <c r="M5552" t="s">
        <v>6</v>
      </c>
      <c r="N5552" t="b">
        <v>0</v>
      </c>
      <c r="O5552">
        <v>1</v>
      </c>
      <c r="P5552">
        <v>0</v>
      </c>
      <c r="Q5552">
        <v>0</v>
      </c>
      <c r="R5552">
        <v>0</v>
      </c>
    </row>
    <row r="5553" spans="1:18" x14ac:dyDescent="0.25">
      <c r="A5553" t="s">
        <v>622</v>
      </c>
      <c r="B5553" t="s">
        <v>8</v>
      </c>
      <c r="C5553">
        <v>1</v>
      </c>
      <c r="D5553">
        <v>4</v>
      </c>
      <c r="E5553">
        <v>2</v>
      </c>
      <c r="F5553" s="15">
        <v>46237</v>
      </c>
      <c r="G5553" t="s">
        <v>670</v>
      </c>
      <c r="H5553">
        <v>3</v>
      </c>
      <c r="I5553">
        <v>2026</v>
      </c>
      <c r="J5553">
        <v>8</v>
      </c>
      <c r="K5553" t="s">
        <v>87</v>
      </c>
      <c r="L5553" t="s">
        <v>351</v>
      </c>
      <c r="M5553" t="s">
        <v>6</v>
      </c>
      <c r="N5553" t="b">
        <v>0</v>
      </c>
      <c r="O5553">
        <v>1</v>
      </c>
      <c r="P5553">
        <v>0</v>
      </c>
      <c r="Q5553">
        <v>0</v>
      </c>
      <c r="R5553">
        <v>0</v>
      </c>
    </row>
    <row r="5554" spans="1:18" x14ac:dyDescent="0.25">
      <c r="A5554" t="s">
        <v>51</v>
      </c>
      <c r="B5554" t="s">
        <v>6</v>
      </c>
      <c r="C5554">
        <v>2</v>
      </c>
      <c r="D5554">
        <v>4</v>
      </c>
      <c r="E5554">
        <v>2</v>
      </c>
      <c r="F5554" s="15">
        <v>46237</v>
      </c>
      <c r="G5554" t="s">
        <v>670</v>
      </c>
      <c r="H5554">
        <v>3</v>
      </c>
      <c r="I5554">
        <v>2026</v>
      </c>
      <c r="J5554">
        <v>8</v>
      </c>
      <c r="K5554" t="s">
        <v>87</v>
      </c>
      <c r="L5554" t="s">
        <v>622</v>
      </c>
      <c r="M5554" t="s">
        <v>8</v>
      </c>
      <c r="N5554" t="b">
        <v>0</v>
      </c>
      <c r="O5554">
        <v>0</v>
      </c>
      <c r="P5554">
        <v>1</v>
      </c>
      <c r="Q5554">
        <v>0</v>
      </c>
      <c r="R5554">
        <v>1</v>
      </c>
    </row>
    <row r="5555" spans="1:18" x14ac:dyDescent="0.25">
      <c r="A5555" t="s">
        <v>51</v>
      </c>
      <c r="B5555" t="s">
        <v>6</v>
      </c>
      <c r="C5555">
        <v>2</v>
      </c>
      <c r="D5555">
        <v>4</v>
      </c>
      <c r="E5555">
        <v>2</v>
      </c>
      <c r="F5555" s="15">
        <v>46237</v>
      </c>
      <c r="G5555" t="s">
        <v>670</v>
      </c>
      <c r="H5555">
        <v>3</v>
      </c>
      <c r="I5555">
        <v>2026</v>
      </c>
      <c r="J5555">
        <v>8</v>
      </c>
      <c r="K5555" t="s">
        <v>87</v>
      </c>
      <c r="L5555" t="s">
        <v>351</v>
      </c>
      <c r="M5555" t="s">
        <v>6</v>
      </c>
      <c r="N5555" t="b">
        <v>0</v>
      </c>
      <c r="O5555">
        <v>0</v>
      </c>
      <c r="P5555">
        <v>1</v>
      </c>
      <c r="Q5555">
        <v>0</v>
      </c>
      <c r="R5555">
        <v>0</v>
      </c>
    </row>
    <row r="5556" spans="1:18" x14ac:dyDescent="0.25">
      <c r="A5556" t="s">
        <v>351</v>
      </c>
      <c r="B5556" t="s">
        <v>6</v>
      </c>
      <c r="C5556">
        <v>3</v>
      </c>
      <c r="D5556">
        <v>4</v>
      </c>
      <c r="E5556">
        <v>2</v>
      </c>
      <c r="F5556" s="15">
        <v>46237</v>
      </c>
      <c r="G5556" t="s">
        <v>670</v>
      </c>
      <c r="H5556">
        <v>3</v>
      </c>
      <c r="I5556">
        <v>2026</v>
      </c>
      <c r="J5556">
        <v>8</v>
      </c>
      <c r="K5556" t="s">
        <v>87</v>
      </c>
      <c r="L5556" t="s">
        <v>622</v>
      </c>
      <c r="M5556" t="s">
        <v>8</v>
      </c>
      <c r="N5556" t="b">
        <v>0</v>
      </c>
      <c r="O5556">
        <v>0</v>
      </c>
      <c r="P5556">
        <v>1</v>
      </c>
      <c r="Q5556">
        <v>0</v>
      </c>
      <c r="R5556">
        <v>1</v>
      </c>
    </row>
    <row r="5557" spans="1:18" x14ac:dyDescent="0.25">
      <c r="A5557" t="s">
        <v>351</v>
      </c>
      <c r="B5557" t="s">
        <v>6</v>
      </c>
      <c r="C5557">
        <v>3</v>
      </c>
      <c r="D5557">
        <v>4</v>
      </c>
      <c r="E5557">
        <v>2</v>
      </c>
      <c r="F5557" s="15">
        <v>46237</v>
      </c>
      <c r="G5557" t="s">
        <v>670</v>
      </c>
      <c r="H5557">
        <v>3</v>
      </c>
      <c r="I5557">
        <v>2026</v>
      </c>
      <c r="J5557">
        <v>8</v>
      </c>
      <c r="K5557" t="s">
        <v>87</v>
      </c>
      <c r="L5557" t="s">
        <v>51</v>
      </c>
      <c r="M5557" t="s">
        <v>6</v>
      </c>
      <c r="N5557" t="b">
        <v>0</v>
      </c>
      <c r="O5557">
        <v>0</v>
      </c>
      <c r="P5557">
        <v>1</v>
      </c>
      <c r="Q5557">
        <v>0</v>
      </c>
      <c r="R5557">
        <v>0</v>
      </c>
    </row>
    <row r="5558" spans="1:18" x14ac:dyDescent="0.25">
      <c r="A5558" t="s">
        <v>438</v>
      </c>
      <c r="B5558" t="s">
        <v>63</v>
      </c>
      <c r="C5558">
        <v>1</v>
      </c>
      <c r="D5558">
        <v>1</v>
      </c>
      <c r="E5558">
        <v>1</v>
      </c>
      <c r="F5558" s="15">
        <v>46245</v>
      </c>
      <c r="G5558" t="s">
        <v>671</v>
      </c>
      <c r="H5558">
        <v>4</v>
      </c>
      <c r="I5558">
        <v>2026</v>
      </c>
      <c r="J5558">
        <v>8</v>
      </c>
      <c r="K5558" t="s">
        <v>87</v>
      </c>
      <c r="L5558" t="s">
        <v>7</v>
      </c>
      <c r="M5558" t="s">
        <v>63</v>
      </c>
      <c r="N5558" t="b">
        <v>0</v>
      </c>
      <c r="O5558">
        <v>0</v>
      </c>
      <c r="P5558">
        <v>0</v>
      </c>
      <c r="Q5558">
        <v>1</v>
      </c>
      <c r="R5558">
        <v>0</v>
      </c>
    </row>
    <row r="5559" spans="1:18" x14ac:dyDescent="0.25">
      <c r="A5559" t="s">
        <v>438</v>
      </c>
      <c r="B5559" t="s">
        <v>63</v>
      </c>
      <c r="C5559">
        <v>1</v>
      </c>
      <c r="D5559">
        <v>1</v>
      </c>
      <c r="E5559">
        <v>1</v>
      </c>
      <c r="F5559" s="15">
        <v>46245</v>
      </c>
      <c r="G5559" t="s">
        <v>671</v>
      </c>
      <c r="H5559">
        <v>4</v>
      </c>
      <c r="I5559">
        <v>2026</v>
      </c>
      <c r="J5559">
        <v>8</v>
      </c>
      <c r="K5559" t="s">
        <v>87</v>
      </c>
      <c r="L5559" t="s">
        <v>9</v>
      </c>
      <c r="M5559" t="s">
        <v>63</v>
      </c>
      <c r="N5559" t="b">
        <v>0</v>
      </c>
      <c r="O5559">
        <v>0</v>
      </c>
      <c r="P5559">
        <v>0</v>
      </c>
      <c r="Q5559">
        <v>1</v>
      </c>
      <c r="R5559">
        <v>0</v>
      </c>
    </row>
    <row r="5560" spans="1:18" x14ac:dyDescent="0.25">
      <c r="A5560" t="s">
        <v>438</v>
      </c>
      <c r="B5560" t="s">
        <v>63</v>
      </c>
      <c r="C5560">
        <v>1</v>
      </c>
      <c r="D5560">
        <v>1</v>
      </c>
      <c r="E5560">
        <v>1</v>
      </c>
      <c r="F5560" s="15">
        <v>46245</v>
      </c>
      <c r="G5560" t="s">
        <v>671</v>
      </c>
      <c r="H5560">
        <v>4</v>
      </c>
      <c r="I5560">
        <v>2026</v>
      </c>
      <c r="J5560">
        <v>8</v>
      </c>
      <c r="K5560" t="s">
        <v>87</v>
      </c>
      <c r="L5560" t="s">
        <v>351</v>
      </c>
      <c r="M5560" t="s">
        <v>63</v>
      </c>
      <c r="N5560" t="b">
        <v>0</v>
      </c>
      <c r="O5560">
        <v>0</v>
      </c>
      <c r="P5560">
        <v>0</v>
      </c>
      <c r="Q5560">
        <v>1</v>
      </c>
      <c r="R5560">
        <v>0</v>
      </c>
    </row>
    <row r="5561" spans="1:18" x14ac:dyDescent="0.25">
      <c r="A5561" t="s">
        <v>7</v>
      </c>
      <c r="B5561" t="s">
        <v>63</v>
      </c>
      <c r="C5561">
        <v>2</v>
      </c>
      <c r="D5561">
        <v>1</v>
      </c>
      <c r="E5561">
        <v>1</v>
      </c>
      <c r="F5561" s="15">
        <v>46245</v>
      </c>
      <c r="G5561" t="s">
        <v>671</v>
      </c>
      <c r="H5561">
        <v>4</v>
      </c>
      <c r="I5561">
        <v>2026</v>
      </c>
      <c r="J5561">
        <v>8</v>
      </c>
      <c r="K5561" t="s">
        <v>87</v>
      </c>
      <c r="L5561" t="s">
        <v>438</v>
      </c>
      <c r="M5561" t="s">
        <v>63</v>
      </c>
      <c r="N5561" t="b">
        <v>0</v>
      </c>
      <c r="O5561">
        <v>0</v>
      </c>
      <c r="P5561">
        <v>0</v>
      </c>
      <c r="Q5561">
        <v>1</v>
      </c>
      <c r="R5561">
        <v>0</v>
      </c>
    </row>
    <row r="5562" spans="1:18" x14ac:dyDescent="0.25">
      <c r="A5562" t="s">
        <v>7</v>
      </c>
      <c r="B5562" t="s">
        <v>63</v>
      </c>
      <c r="C5562">
        <v>2</v>
      </c>
      <c r="D5562">
        <v>1</v>
      </c>
      <c r="E5562">
        <v>1</v>
      </c>
      <c r="F5562" s="15">
        <v>46245</v>
      </c>
      <c r="G5562" t="s">
        <v>671</v>
      </c>
      <c r="H5562">
        <v>4</v>
      </c>
      <c r="I5562">
        <v>2026</v>
      </c>
      <c r="J5562">
        <v>8</v>
      </c>
      <c r="K5562" t="s">
        <v>87</v>
      </c>
      <c r="L5562" t="s">
        <v>9</v>
      </c>
      <c r="M5562" t="s">
        <v>63</v>
      </c>
      <c r="N5562" t="b">
        <v>0</v>
      </c>
      <c r="O5562">
        <v>0</v>
      </c>
      <c r="P5562">
        <v>0</v>
      </c>
      <c r="Q5562">
        <v>1</v>
      </c>
      <c r="R5562">
        <v>0</v>
      </c>
    </row>
    <row r="5563" spans="1:18" x14ac:dyDescent="0.25">
      <c r="A5563" t="s">
        <v>7</v>
      </c>
      <c r="B5563" t="s">
        <v>63</v>
      </c>
      <c r="C5563">
        <v>2</v>
      </c>
      <c r="D5563">
        <v>1</v>
      </c>
      <c r="E5563">
        <v>1</v>
      </c>
      <c r="F5563" s="15">
        <v>46245</v>
      </c>
      <c r="G5563" t="s">
        <v>671</v>
      </c>
      <c r="H5563">
        <v>4</v>
      </c>
      <c r="I5563">
        <v>2026</v>
      </c>
      <c r="J5563">
        <v>8</v>
      </c>
      <c r="K5563" t="s">
        <v>87</v>
      </c>
      <c r="L5563" t="s">
        <v>351</v>
      </c>
      <c r="M5563" t="s">
        <v>63</v>
      </c>
      <c r="N5563" t="b">
        <v>0</v>
      </c>
      <c r="O5563">
        <v>0</v>
      </c>
      <c r="P5563">
        <v>0</v>
      </c>
      <c r="Q5563">
        <v>1</v>
      </c>
      <c r="R5563">
        <v>0</v>
      </c>
    </row>
    <row r="5564" spans="1:18" x14ac:dyDescent="0.25">
      <c r="A5564" t="s">
        <v>9</v>
      </c>
      <c r="B5564" t="s">
        <v>63</v>
      </c>
      <c r="C5564">
        <v>3</v>
      </c>
      <c r="D5564">
        <v>1</v>
      </c>
      <c r="E5564">
        <v>1</v>
      </c>
      <c r="F5564" s="15">
        <v>46245</v>
      </c>
      <c r="G5564" t="s">
        <v>671</v>
      </c>
      <c r="H5564">
        <v>4</v>
      </c>
      <c r="I5564">
        <v>2026</v>
      </c>
      <c r="J5564">
        <v>8</v>
      </c>
      <c r="K5564" t="s">
        <v>87</v>
      </c>
      <c r="L5564" t="s">
        <v>438</v>
      </c>
      <c r="M5564" t="s">
        <v>63</v>
      </c>
      <c r="N5564" t="b">
        <v>0</v>
      </c>
      <c r="O5564">
        <v>0</v>
      </c>
      <c r="P5564">
        <v>0</v>
      </c>
      <c r="Q5564">
        <v>1</v>
      </c>
      <c r="R5564">
        <v>0</v>
      </c>
    </row>
    <row r="5565" spans="1:18" x14ac:dyDescent="0.25">
      <c r="A5565" t="s">
        <v>9</v>
      </c>
      <c r="B5565" t="s">
        <v>63</v>
      </c>
      <c r="C5565">
        <v>3</v>
      </c>
      <c r="D5565">
        <v>1</v>
      </c>
      <c r="E5565">
        <v>1</v>
      </c>
      <c r="F5565" s="15">
        <v>46245</v>
      </c>
      <c r="G5565" t="s">
        <v>671</v>
      </c>
      <c r="H5565">
        <v>4</v>
      </c>
      <c r="I5565">
        <v>2026</v>
      </c>
      <c r="J5565">
        <v>8</v>
      </c>
      <c r="K5565" t="s">
        <v>87</v>
      </c>
      <c r="L5565" t="s">
        <v>7</v>
      </c>
      <c r="M5565" t="s">
        <v>63</v>
      </c>
      <c r="N5565" t="b">
        <v>0</v>
      </c>
      <c r="O5565">
        <v>0</v>
      </c>
      <c r="P5565">
        <v>0</v>
      </c>
      <c r="Q5565">
        <v>1</v>
      </c>
      <c r="R5565">
        <v>0</v>
      </c>
    </row>
    <row r="5566" spans="1:18" x14ac:dyDescent="0.25">
      <c r="A5566" t="s">
        <v>9</v>
      </c>
      <c r="B5566" t="s">
        <v>63</v>
      </c>
      <c r="C5566">
        <v>3</v>
      </c>
      <c r="D5566">
        <v>1</v>
      </c>
      <c r="E5566">
        <v>1</v>
      </c>
      <c r="F5566" s="15">
        <v>46245</v>
      </c>
      <c r="G5566" t="s">
        <v>671</v>
      </c>
      <c r="H5566">
        <v>4</v>
      </c>
      <c r="I5566">
        <v>2026</v>
      </c>
      <c r="J5566">
        <v>8</v>
      </c>
      <c r="K5566" t="s">
        <v>87</v>
      </c>
      <c r="L5566" t="s">
        <v>351</v>
      </c>
      <c r="M5566" t="s">
        <v>63</v>
      </c>
      <c r="N5566" t="b">
        <v>0</v>
      </c>
      <c r="O5566">
        <v>0</v>
      </c>
      <c r="P5566">
        <v>0</v>
      </c>
      <c r="Q5566">
        <v>1</v>
      </c>
      <c r="R5566">
        <v>0</v>
      </c>
    </row>
    <row r="5567" spans="1:18" x14ac:dyDescent="0.25">
      <c r="A5567" t="s">
        <v>351</v>
      </c>
      <c r="B5567" t="s">
        <v>63</v>
      </c>
      <c r="C5567">
        <v>4</v>
      </c>
      <c r="D5567">
        <v>1</v>
      </c>
      <c r="E5567">
        <v>1</v>
      </c>
      <c r="F5567" s="15">
        <v>46245</v>
      </c>
      <c r="G5567" t="s">
        <v>671</v>
      </c>
      <c r="H5567">
        <v>4</v>
      </c>
      <c r="I5567">
        <v>2026</v>
      </c>
      <c r="J5567">
        <v>8</v>
      </c>
      <c r="K5567" t="s">
        <v>87</v>
      </c>
      <c r="L5567" t="s">
        <v>438</v>
      </c>
      <c r="M5567" t="s">
        <v>63</v>
      </c>
      <c r="N5567" t="b">
        <v>0</v>
      </c>
      <c r="O5567">
        <v>0</v>
      </c>
      <c r="P5567">
        <v>0</v>
      </c>
      <c r="Q5567">
        <v>1</v>
      </c>
      <c r="R5567">
        <v>0</v>
      </c>
    </row>
    <row r="5568" spans="1:18" x14ac:dyDescent="0.25">
      <c r="A5568" t="s">
        <v>351</v>
      </c>
      <c r="B5568" t="s">
        <v>63</v>
      </c>
      <c r="C5568">
        <v>4</v>
      </c>
      <c r="D5568">
        <v>1</v>
      </c>
      <c r="E5568">
        <v>1</v>
      </c>
      <c r="F5568" s="15">
        <v>46245</v>
      </c>
      <c r="G5568" t="s">
        <v>671</v>
      </c>
      <c r="H5568">
        <v>4</v>
      </c>
      <c r="I5568">
        <v>2026</v>
      </c>
      <c r="J5568">
        <v>8</v>
      </c>
      <c r="K5568" t="s">
        <v>87</v>
      </c>
      <c r="L5568" t="s">
        <v>7</v>
      </c>
      <c r="M5568" t="s">
        <v>63</v>
      </c>
      <c r="N5568" t="b">
        <v>0</v>
      </c>
      <c r="O5568">
        <v>0</v>
      </c>
      <c r="P5568">
        <v>0</v>
      </c>
      <c r="Q5568">
        <v>1</v>
      </c>
      <c r="R5568">
        <v>0</v>
      </c>
    </row>
    <row r="5569" spans="1:18" x14ac:dyDescent="0.25">
      <c r="A5569" t="s">
        <v>351</v>
      </c>
      <c r="B5569" t="s">
        <v>63</v>
      </c>
      <c r="C5569">
        <v>4</v>
      </c>
      <c r="D5569">
        <v>1</v>
      </c>
      <c r="E5569">
        <v>1</v>
      </c>
      <c r="F5569" s="15">
        <v>46245</v>
      </c>
      <c r="G5569" t="s">
        <v>671</v>
      </c>
      <c r="H5569">
        <v>4</v>
      </c>
      <c r="I5569">
        <v>2026</v>
      </c>
      <c r="J5569">
        <v>8</v>
      </c>
      <c r="K5569" t="s">
        <v>87</v>
      </c>
      <c r="L5569" t="s">
        <v>9</v>
      </c>
      <c r="M5569" t="s">
        <v>63</v>
      </c>
      <c r="N5569" t="b">
        <v>0</v>
      </c>
      <c r="O5569">
        <v>0</v>
      </c>
      <c r="P5569">
        <v>0</v>
      </c>
      <c r="Q5569">
        <v>1</v>
      </c>
      <c r="R5569">
        <v>0</v>
      </c>
    </row>
    <row r="5570" spans="1:18" x14ac:dyDescent="0.25">
      <c r="A5570" t="s">
        <v>364</v>
      </c>
      <c r="B5570" t="s">
        <v>63</v>
      </c>
      <c r="C5570">
        <v>1</v>
      </c>
      <c r="D5570">
        <v>2</v>
      </c>
      <c r="E5570">
        <v>1</v>
      </c>
      <c r="F5570" s="15">
        <v>46245</v>
      </c>
      <c r="G5570" t="s">
        <v>672</v>
      </c>
      <c r="H5570">
        <v>4</v>
      </c>
      <c r="I5570">
        <v>2026</v>
      </c>
      <c r="J5570">
        <v>8</v>
      </c>
      <c r="K5570" t="s">
        <v>87</v>
      </c>
      <c r="L5570" t="s">
        <v>578</v>
      </c>
      <c r="M5570" t="s">
        <v>63</v>
      </c>
      <c r="N5570" t="b">
        <v>0</v>
      </c>
      <c r="O5570">
        <v>0</v>
      </c>
      <c r="P5570">
        <v>0</v>
      </c>
      <c r="Q5570">
        <v>1</v>
      </c>
      <c r="R5570">
        <v>0</v>
      </c>
    </row>
    <row r="5571" spans="1:18" x14ac:dyDescent="0.25">
      <c r="A5571" t="s">
        <v>364</v>
      </c>
      <c r="B5571" t="s">
        <v>63</v>
      </c>
      <c r="C5571">
        <v>1</v>
      </c>
      <c r="D5571">
        <v>2</v>
      </c>
      <c r="E5571">
        <v>1</v>
      </c>
      <c r="F5571" s="15">
        <v>46245</v>
      </c>
      <c r="G5571" t="s">
        <v>672</v>
      </c>
      <c r="H5571">
        <v>4</v>
      </c>
      <c r="I5571">
        <v>2026</v>
      </c>
      <c r="J5571">
        <v>8</v>
      </c>
      <c r="K5571" t="s">
        <v>87</v>
      </c>
      <c r="L5571" t="s">
        <v>11</v>
      </c>
      <c r="M5571" t="s">
        <v>63</v>
      </c>
      <c r="N5571" t="b">
        <v>0</v>
      </c>
      <c r="O5571">
        <v>0</v>
      </c>
      <c r="P5571">
        <v>0</v>
      </c>
      <c r="Q5571">
        <v>1</v>
      </c>
      <c r="R5571">
        <v>0</v>
      </c>
    </row>
    <row r="5572" spans="1:18" x14ac:dyDescent="0.25">
      <c r="A5572" t="s">
        <v>364</v>
      </c>
      <c r="B5572" t="s">
        <v>63</v>
      </c>
      <c r="C5572">
        <v>1</v>
      </c>
      <c r="D5572">
        <v>2</v>
      </c>
      <c r="E5572">
        <v>1</v>
      </c>
      <c r="F5572" s="15">
        <v>46245</v>
      </c>
      <c r="G5572" t="s">
        <v>672</v>
      </c>
      <c r="H5572">
        <v>4</v>
      </c>
      <c r="I5572">
        <v>2026</v>
      </c>
      <c r="J5572">
        <v>8</v>
      </c>
      <c r="K5572" t="s">
        <v>87</v>
      </c>
      <c r="L5572" t="s">
        <v>14</v>
      </c>
      <c r="M5572" t="s">
        <v>63</v>
      </c>
      <c r="N5572" t="b">
        <v>0</v>
      </c>
      <c r="O5572">
        <v>0</v>
      </c>
      <c r="P5572">
        <v>0</v>
      </c>
      <c r="Q5572">
        <v>1</v>
      </c>
      <c r="R5572">
        <v>0</v>
      </c>
    </row>
    <row r="5573" spans="1:18" x14ac:dyDescent="0.25">
      <c r="A5573" t="s">
        <v>578</v>
      </c>
      <c r="B5573" t="s">
        <v>63</v>
      </c>
      <c r="C5573">
        <v>2</v>
      </c>
      <c r="D5573">
        <v>2</v>
      </c>
      <c r="E5573">
        <v>1</v>
      </c>
      <c r="F5573" s="15">
        <v>46245</v>
      </c>
      <c r="G5573" t="s">
        <v>672</v>
      </c>
      <c r="H5573">
        <v>4</v>
      </c>
      <c r="I5573">
        <v>2026</v>
      </c>
      <c r="J5573">
        <v>8</v>
      </c>
      <c r="K5573" t="s">
        <v>87</v>
      </c>
      <c r="L5573" t="s">
        <v>364</v>
      </c>
      <c r="M5573" t="s">
        <v>63</v>
      </c>
      <c r="N5573" t="b">
        <v>0</v>
      </c>
      <c r="O5573">
        <v>0</v>
      </c>
      <c r="P5573">
        <v>0</v>
      </c>
      <c r="Q5573">
        <v>1</v>
      </c>
      <c r="R5573">
        <v>0</v>
      </c>
    </row>
    <row r="5574" spans="1:18" x14ac:dyDescent="0.25">
      <c r="A5574" t="s">
        <v>578</v>
      </c>
      <c r="B5574" t="s">
        <v>63</v>
      </c>
      <c r="C5574">
        <v>2</v>
      </c>
      <c r="D5574">
        <v>2</v>
      </c>
      <c r="E5574">
        <v>1</v>
      </c>
      <c r="F5574" s="15">
        <v>46245</v>
      </c>
      <c r="G5574" t="s">
        <v>672</v>
      </c>
      <c r="H5574">
        <v>4</v>
      </c>
      <c r="I5574">
        <v>2026</v>
      </c>
      <c r="J5574">
        <v>8</v>
      </c>
      <c r="K5574" t="s">
        <v>87</v>
      </c>
      <c r="L5574" t="s">
        <v>11</v>
      </c>
      <c r="M5574" t="s">
        <v>63</v>
      </c>
      <c r="N5574" t="b">
        <v>0</v>
      </c>
      <c r="O5574">
        <v>0</v>
      </c>
      <c r="P5574">
        <v>0</v>
      </c>
      <c r="Q5574">
        <v>1</v>
      </c>
      <c r="R5574">
        <v>0</v>
      </c>
    </row>
    <row r="5575" spans="1:18" x14ac:dyDescent="0.25">
      <c r="A5575" t="s">
        <v>578</v>
      </c>
      <c r="B5575" t="s">
        <v>63</v>
      </c>
      <c r="C5575">
        <v>2</v>
      </c>
      <c r="D5575">
        <v>2</v>
      </c>
      <c r="E5575">
        <v>1</v>
      </c>
      <c r="F5575" s="15">
        <v>46245</v>
      </c>
      <c r="G5575" t="s">
        <v>672</v>
      </c>
      <c r="H5575">
        <v>4</v>
      </c>
      <c r="I5575">
        <v>2026</v>
      </c>
      <c r="J5575">
        <v>8</v>
      </c>
      <c r="K5575" t="s">
        <v>87</v>
      </c>
      <c r="L5575" t="s">
        <v>14</v>
      </c>
      <c r="M5575" t="s">
        <v>63</v>
      </c>
      <c r="N5575" t="b">
        <v>0</v>
      </c>
      <c r="O5575">
        <v>0</v>
      </c>
      <c r="P5575">
        <v>0</v>
      </c>
      <c r="Q5575">
        <v>1</v>
      </c>
      <c r="R5575">
        <v>0</v>
      </c>
    </row>
    <row r="5576" spans="1:18" x14ac:dyDescent="0.25">
      <c r="A5576" t="s">
        <v>11</v>
      </c>
      <c r="B5576" t="s">
        <v>63</v>
      </c>
      <c r="C5576">
        <v>3</v>
      </c>
      <c r="D5576">
        <v>2</v>
      </c>
      <c r="E5576">
        <v>1</v>
      </c>
      <c r="F5576" s="15">
        <v>46245</v>
      </c>
      <c r="G5576" t="s">
        <v>672</v>
      </c>
      <c r="H5576">
        <v>4</v>
      </c>
      <c r="I5576">
        <v>2026</v>
      </c>
      <c r="J5576">
        <v>8</v>
      </c>
      <c r="K5576" t="s">
        <v>87</v>
      </c>
      <c r="L5576" t="s">
        <v>364</v>
      </c>
      <c r="M5576" t="s">
        <v>63</v>
      </c>
      <c r="N5576" t="b">
        <v>0</v>
      </c>
      <c r="O5576">
        <v>0</v>
      </c>
      <c r="P5576">
        <v>0</v>
      </c>
      <c r="Q5576">
        <v>1</v>
      </c>
      <c r="R5576">
        <v>0</v>
      </c>
    </row>
    <row r="5577" spans="1:18" x14ac:dyDescent="0.25">
      <c r="A5577" t="s">
        <v>11</v>
      </c>
      <c r="B5577" t="s">
        <v>63</v>
      </c>
      <c r="C5577">
        <v>3</v>
      </c>
      <c r="D5577">
        <v>2</v>
      </c>
      <c r="E5577">
        <v>1</v>
      </c>
      <c r="F5577" s="15">
        <v>46245</v>
      </c>
      <c r="G5577" t="s">
        <v>672</v>
      </c>
      <c r="H5577">
        <v>4</v>
      </c>
      <c r="I5577">
        <v>2026</v>
      </c>
      <c r="J5577">
        <v>8</v>
      </c>
      <c r="K5577" t="s">
        <v>87</v>
      </c>
      <c r="L5577" t="s">
        <v>578</v>
      </c>
      <c r="M5577" t="s">
        <v>63</v>
      </c>
      <c r="N5577" t="b">
        <v>0</v>
      </c>
      <c r="O5577">
        <v>0</v>
      </c>
      <c r="P5577">
        <v>0</v>
      </c>
      <c r="Q5577">
        <v>1</v>
      </c>
      <c r="R5577">
        <v>0</v>
      </c>
    </row>
    <row r="5578" spans="1:18" x14ac:dyDescent="0.25">
      <c r="A5578" t="s">
        <v>11</v>
      </c>
      <c r="B5578" t="s">
        <v>63</v>
      </c>
      <c r="C5578">
        <v>3</v>
      </c>
      <c r="D5578">
        <v>2</v>
      </c>
      <c r="E5578">
        <v>1</v>
      </c>
      <c r="F5578" s="15">
        <v>46245</v>
      </c>
      <c r="G5578" t="s">
        <v>672</v>
      </c>
      <c r="H5578">
        <v>4</v>
      </c>
      <c r="I5578">
        <v>2026</v>
      </c>
      <c r="J5578">
        <v>8</v>
      </c>
      <c r="K5578" t="s">
        <v>87</v>
      </c>
      <c r="L5578" t="s">
        <v>14</v>
      </c>
      <c r="M5578" t="s">
        <v>63</v>
      </c>
      <c r="N5578" t="b">
        <v>0</v>
      </c>
      <c r="O5578">
        <v>0</v>
      </c>
      <c r="P5578">
        <v>0</v>
      </c>
      <c r="Q5578">
        <v>1</v>
      </c>
      <c r="R5578">
        <v>0</v>
      </c>
    </row>
    <row r="5579" spans="1:18" x14ac:dyDescent="0.25">
      <c r="A5579" t="s">
        <v>14</v>
      </c>
      <c r="B5579" t="s">
        <v>63</v>
      </c>
      <c r="C5579">
        <v>4</v>
      </c>
      <c r="D5579">
        <v>2</v>
      </c>
      <c r="E5579">
        <v>1</v>
      </c>
      <c r="F5579" s="15">
        <v>46245</v>
      </c>
      <c r="G5579" t="s">
        <v>672</v>
      </c>
      <c r="H5579">
        <v>4</v>
      </c>
      <c r="I5579">
        <v>2026</v>
      </c>
      <c r="J5579">
        <v>8</v>
      </c>
      <c r="K5579" t="s">
        <v>87</v>
      </c>
      <c r="L5579" t="s">
        <v>364</v>
      </c>
      <c r="M5579" t="s">
        <v>63</v>
      </c>
      <c r="N5579" t="b">
        <v>0</v>
      </c>
      <c r="O5579">
        <v>0</v>
      </c>
      <c r="P5579">
        <v>0</v>
      </c>
      <c r="Q5579">
        <v>1</v>
      </c>
      <c r="R5579">
        <v>0</v>
      </c>
    </row>
    <row r="5580" spans="1:18" x14ac:dyDescent="0.25">
      <c r="A5580" t="s">
        <v>14</v>
      </c>
      <c r="B5580" t="s">
        <v>63</v>
      </c>
      <c r="C5580">
        <v>4</v>
      </c>
      <c r="D5580">
        <v>2</v>
      </c>
      <c r="E5580">
        <v>1</v>
      </c>
      <c r="F5580" s="15">
        <v>46245</v>
      </c>
      <c r="G5580" t="s">
        <v>672</v>
      </c>
      <c r="H5580">
        <v>4</v>
      </c>
      <c r="I5580">
        <v>2026</v>
      </c>
      <c r="J5580">
        <v>8</v>
      </c>
      <c r="K5580" t="s">
        <v>87</v>
      </c>
      <c r="L5580" t="s">
        <v>578</v>
      </c>
      <c r="M5580" t="s">
        <v>63</v>
      </c>
      <c r="N5580" t="b">
        <v>0</v>
      </c>
      <c r="O5580">
        <v>0</v>
      </c>
      <c r="P5580">
        <v>0</v>
      </c>
      <c r="Q5580">
        <v>1</v>
      </c>
      <c r="R5580">
        <v>0</v>
      </c>
    </row>
    <row r="5581" spans="1:18" x14ac:dyDescent="0.25">
      <c r="A5581" t="s">
        <v>14</v>
      </c>
      <c r="B5581" t="s">
        <v>63</v>
      </c>
      <c r="C5581">
        <v>4</v>
      </c>
      <c r="D5581">
        <v>2</v>
      </c>
      <c r="E5581">
        <v>1</v>
      </c>
      <c r="F5581" s="15">
        <v>46245</v>
      </c>
      <c r="G5581" t="s">
        <v>672</v>
      </c>
      <c r="H5581">
        <v>4</v>
      </c>
      <c r="I5581">
        <v>2026</v>
      </c>
      <c r="J5581">
        <v>8</v>
      </c>
      <c r="K5581" t="s">
        <v>87</v>
      </c>
      <c r="L5581" t="s">
        <v>11</v>
      </c>
      <c r="M5581" t="s">
        <v>63</v>
      </c>
      <c r="N5581" t="b">
        <v>0</v>
      </c>
      <c r="O5581">
        <v>0</v>
      </c>
      <c r="P5581">
        <v>0</v>
      </c>
      <c r="Q5581">
        <v>1</v>
      </c>
      <c r="R5581">
        <v>0</v>
      </c>
    </row>
    <row r="5582" spans="1:18" x14ac:dyDescent="0.25">
      <c r="A5582" t="s">
        <v>13</v>
      </c>
      <c r="B5582" t="s">
        <v>6</v>
      </c>
      <c r="C5582">
        <v>1</v>
      </c>
      <c r="D5582">
        <v>3</v>
      </c>
      <c r="E5582">
        <v>1</v>
      </c>
      <c r="F5582" s="15">
        <v>46245</v>
      </c>
      <c r="G5582" t="s">
        <v>673</v>
      </c>
      <c r="H5582">
        <v>4</v>
      </c>
      <c r="I5582">
        <v>2026</v>
      </c>
      <c r="J5582">
        <v>8</v>
      </c>
      <c r="K5582" t="s">
        <v>87</v>
      </c>
      <c r="L5582" t="s">
        <v>15</v>
      </c>
      <c r="M5582" t="s">
        <v>8</v>
      </c>
      <c r="N5582" t="b">
        <v>0</v>
      </c>
      <c r="O5582">
        <v>0</v>
      </c>
      <c r="P5582">
        <v>1</v>
      </c>
      <c r="Q5582">
        <v>0</v>
      </c>
      <c r="R5582">
        <v>1</v>
      </c>
    </row>
    <row r="5583" spans="1:18" x14ac:dyDescent="0.25">
      <c r="A5583" t="s">
        <v>13</v>
      </c>
      <c r="B5583" t="s">
        <v>6</v>
      </c>
      <c r="C5583">
        <v>1</v>
      </c>
      <c r="D5583">
        <v>3</v>
      </c>
      <c r="E5583">
        <v>1</v>
      </c>
      <c r="F5583" s="15">
        <v>46245</v>
      </c>
      <c r="G5583" t="s">
        <v>673</v>
      </c>
      <c r="H5583">
        <v>4</v>
      </c>
      <c r="I5583">
        <v>2026</v>
      </c>
      <c r="J5583">
        <v>8</v>
      </c>
      <c r="K5583" t="s">
        <v>87</v>
      </c>
      <c r="L5583" t="s">
        <v>17</v>
      </c>
      <c r="M5583" t="s">
        <v>6</v>
      </c>
      <c r="N5583" t="b">
        <v>0</v>
      </c>
      <c r="O5583">
        <v>0</v>
      </c>
      <c r="P5583">
        <v>1</v>
      </c>
      <c r="Q5583">
        <v>0</v>
      </c>
      <c r="R5583">
        <v>0</v>
      </c>
    </row>
    <row r="5584" spans="1:18" x14ac:dyDescent="0.25">
      <c r="A5584" t="s">
        <v>13</v>
      </c>
      <c r="B5584" t="s">
        <v>6</v>
      </c>
      <c r="C5584">
        <v>1</v>
      </c>
      <c r="D5584">
        <v>3</v>
      </c>
      <c r="E5584">
        <v>1</v>
      </c>
      <c r="F5584" s="15">
        <v>46245</v>
      </c>
      <c r="G5584" t="s">
        <v>673</v>
      </c>
      <c r="H5584">
        <v>4</v>
      </c>
      <c r="I5584">
        <v>2026</v>
      </c>
      <c r="J5584">
        <v>8</v>
      </c>
      <c r="K5584" t="s">
        <v>87</v>
      </c>
      <c r="L5584" t="s">
        <v>41</v>
      </c>
      <c r="M5584" t="s">
        <v>6</v>
      </c>
      <c r="N5584" t="b">
        <v>0</v>
      </c>
      <c r="O5584">
        <v>0</v>
      </c>
      <c r="P5584">
        <v>1</v>
      </c>
      <c r="Q5584">
        <v>0</v>
      </c>
      <c r="R5584">
        <v>0</v>
      </c>
    </row>
    <row r="5585" spans="1:18" x14ac:dyDescent="0.25">
      <c r="A5585" t="s">
        <v>15</v>
      </c>
      <c r="B5585" t="s">
        <v>8</v>
      </c>
      <c r="C5585">
        <v>2</v>
      </c>
      <c r="D5585">
        <v>3</v>
      </c>
      <c r="E5585">
        <v>1</v>
      </c>
      <c r="F5585" s="15">
        <v>46245</v>
      </c>
      <c r="G5585" t="s">
        <v>673</v>
      </c>
      <c r="H5585">
        <v>4</v>
      </c>
      <c r="I5585">
        <v>2026</v>
      </c>
      <c r="J5585">
        <v>8</v>
      </c>
      <c r="K5585" t="s">
        <v>87</v>
      </c>
      <c r="L5585" t="s">
        <v>13</v>
      </c>
      <c r="M5585" t="s">
        <v>6</v>
      </c>
      <c r="N5585" t="b">
        <v>0</v>
      </c>
      <c r="O5585">
        <v>1</v>
      </c>
      <c r="P5585">
        <v>0</v>
      </c>
      <c r="Q5585">
        <v>0</v>
      </c>
      <c r="R5585">
        <v>0</v>
      </c>
    </row>
    <row r="5586" spans="1:18" x14ac:dyDescent="0.25">
      <c r="A5586" t="s">
        <v>15</v>
      </c>
      <c r="B5586" t="s">
        <v>8</v>
      </c>
      <c r="C5586">
        <v>2</v>
      </c>
      <c r="D5586">
        <v>3</v>
      </c>
      <c r="E5586">
        <v>1</v>
      </c>
      <c r="F5586" s="15">
        <v>46245</v>
      </c>
      <c r="G5586" t="s">
        <v>673</v>
      </c>
      <c r="H5586">
        <v>4</v>
      </c>
      <c r="I5586">
        <v>2026</v>
      </c>
      <c r="J5586">
        <v>8</v>
      </c>
      <c r="K5586" t="s">
        <v>87</v>
      </c>
      <c r="L5586" t="s">
        <v>17</v>
      </c>
      <c r="M5586" t="s">
        <v>6</v>
      </c>
      <c r="N5586" t="b">
        <v>0</v>
      </c>
      <c r="O5586">
        <v>1</v>
      </c>
      <c r="P5586">
        <v>0</v>
      </c>
      <c r="Q5586">
        <v>0</v>
      </c>
      <c r="R5586">
        <v>0</v>
      </c>
    </row>
    <row r="5587" spans="1:18" x14ac:dyDescent="0.25">
      <c r="A5587" t="s">
        <v>15</v>
      </c>
      <c r="B5587" t="s">
        <v>8</v>
      </c>
      <c r="C5587">
        <v>2</v>
      </c>
      <c r="D5587">
        <v>3</v>
      </c>
      <c r="E5587">
        <v>1</v>
      </c>
      <c r="F5587" s="15">
        <v>46245</v>
      </c>
      <c r="G5587" t="s">
        <v>673</v>
      </c>
      <c r="H5587">
        <v>4</v>
      </c>
      <c r="I5587">
        <v>2026</v>
      </c>
      <c r="J5587">
        <v>8</v>
      </c>
      <c r="K5587" t="s">
        <v>87</v>
      </c>
      <c r="L5587" t="s">
        <v>41</v>
      </c>
      <c r="M5587" t="s">
        <v>6</v>
      </c>
      <c r="N5587" t="b">
        <v>0</v>
      </c>
      <c r="O5587">
        <v>1</v>
      </c>
      <c r="P5587">
        <v>0</v>
      </c>
      <c r="Q5587">
        <v>0</v>
      </c>
      <c r="R5587">
        <v>0</v>
      </c>
    </row>
    <row r="5588" spans="1:18" x14ac:dyDescent="0.25">
      <c r="A5588" t="s">
        <v>17</v>
      </c>
      <c r="B5588" t="s">
        <v>6</v>
      </c>
      <c r="C5588">
        <v>3</v>
      </c>
      <c r="D5588">
        <v>3</v>
      </c>
      <c r="E5588">
        <v>1</v>
      </c>
      <c r="F5588" s="15">
        <v>46245</v>
      </c>
      <c r="G5588" t="s">
        <v>673</v>
      </c>
      <c r="H5588">
        <v>4</v>
      </c>
      <c r="I5588">
        <v>2026</v>
      </c>
      <c r="J5588">
        <v>8</v>
      </c>
      <c r="K5588" t="s">
        <v>87</v>
      </c>
      <c r="L5588" t="s">
        <v>13</v>
      </c>
      <c r="M5588" t="s">
        <v>6</v>
      </c>
      <c r="N5588" t="b">
        <v>0</v>
      </c>
      <c r="O5588">
        <v>0</v>
      </c>
      <c r="P5588">
        <v>1</v>
      </c>
      <c r="Q5588">
        <v>0</v>
      </c>
      <c r="R5588">
        <v>0</v>
      </c>
    </row>
    <row r="5589" spans="1:18" x14ac:dyDescent="0.25">
      <c r="A5589" t="s">
        <v>17</v>
      </c>
      <c r="B5589" t="s">
        <v>6</v>
      </c>
      <c r="C5589">
        <v>3</v>
      </c>
      <c r="D5589">
        <v>3</v>
      </c>
      <c r="E5589">
        <v>1</v>
      </c>
      <c r="F5589" s="15">
        <v>46245</v>
      </c>
      <c r="G5589" t="s">
        <v>673</v>
      </c>
      <c r="H5589">
        <v>4</v>
      </c>
      <c r="I5589">
        <v>2026</v>
      </c>
      <c r="J5589">
        <v>8</v>
      </c>
      <c r="K5589" t="s">
        <v>87</v>
      </c>
      <c r="L5589" t="s">
        <v>15</v>
      </c>
      <c r="M5589" t="s">
        <v>8</v>
      </c>
      <c r="N5589" t="b">
        <v>0</v>
      </c>
      <c r="O5589">
        <v>0</v>
      </c>
      <c r="P5589">
        <v>1</v>
      </c>
      <c r="Q5589">
        <v>0</v>
      </c>
      <c r="R5589">
        <v>1</v>
      </c>
    </row>
    <row r="5590" spans="1:18" x14ac:dyDescent="0.25">
      <c r="A5590" t="s">
        <v>17</v>
      </c>
      <c r="B5590" t="s">
        <v>6</v>
      </c>
      <c r="C5590">
        <v>3</v>
      </c>
      <c r="D5590">
        <v>3</v>
      </c>
      <c r="E5590">
        <v>1</v>
      </c>
      <c r="F5590" s="15">
        <v>46245</v>
      </c>
      <c r="G5590" t="s">
        <v>673</v>
      </c>
      <c r="H5590">
        <v>4</v>
      </c>
      <c r="I5590">
        <v>2026</v>
      </c>
      <c r="J5590">
        <v>8</v>
      </c>
      <c r="K5590" t="s">
        <v>87</v>
      </c>
      <c r="L5590" t="s">
        <v>41</v>
      </c>
      <c r="M5590" t="s">
        <v>6</v>
      </c>
      <c r="N5590" t="b">
        <v>0</v>
      </c>
      <c r="O5590">
        <v>0</v>
      </c>
      <c r="P5590">
        <v>1</v>
      </c>
      <c r="Q5590">
        <v>0</v>
      </c>
      <c r="R5590">
        <v>0</v>
      </c>
    </row>
    <row r="5591" spans="1:18" x14ac:dyDescent="0.25">
      <c r="A5591" t="s">
        <v>41</v>
      </c>
      <c r="B5591" t="s">
        <v>6</v>
      </c>
      <c r="C5591">
        <v>4</v>
      </c>
      <c r="D5591">
        <v>3</v>
      </c>
      <c r="E5591">
        <v>1</v>
      </c>
      <c r="F5591" s="15">
        <v>46245</v>
      </c>
      <c r="G5591" t="s">
        <v>673</v>
      </c>
      <c r="H5591">
        <v>4</v>
      </c>
      <c r="I5591">
        <v>2026</v>
      </c>
      <c r="J5591">
        <v>8</v>
      </c>
      <c r="K5591" t="s">
        <v>87</v>
      </c>
      <c r="L5591" t="s">
        <v>13</v>
      </c>
      <c r="M5591" t="s">
        <v>6</v>
      </c>
      <c r="N5591" t="b">
        <v>0</v>
      </c>
      <c r="O5591">
        <v>0</v>
      </c>
      <c r="P5591">
        <v>1</v>
      </c>
      <c r="Q5591">
        <v>0</v>
      </c>
      <c r="R5591">
        <v>0</v>
      </c>
    </row>
    <row r="5592" spans="1:18" x14ac:dyDescent="0.25">
      <c r="A5592" t="s">
        <v>41</v>
      </c>
      <c r="B5592" t="s">
        <v>6</v>
      </c>
      <c r="C5592">
        <v>4</v>
      </c>
      <c r="D5592">
        <v>3</v>
      </c>
      <c r="E5592">
        <v>1</v>
      </c>
      <c r="F5592" s="15">
        <v>46245</v>
      </c>
      <c r="G5592" t="s">
        <v>673</v>
      </c>
      <c r="H5592">
        <v>4</v>
      </c>
      <c r="I5592">
        <v>2026</v>
      </c>
      <c r="J5592">
        <v>8</v>
      </c>
      <c r="K5592" t="s">
        <v>87</v>
      </c>
      <c r="L5592" t="s">
        <v>15</v>
      </c>
      <c r="M5592" t="s">
        <v>8</v>
      </c>
      <c r="N5592" t="b">
        <v>0</v>
      </c>
      <c r="O5592">
        <v>0</v>
      </c>
      <c r="P5592">
        <v>1</v>
      </c>
      <c r="Q5592">
        <v>0</v>
      </c>
      <c r="R5592">
        <v>1</v>
      </c>
    </row>
    <row r="5593" spans="1:18" x14ac:dyDescent="0.25">
      <c r="A5593" t="s">
        <v>41</v>
      </c>
      <c r="B5593" t="s">
        <v>6</v>
      </c>
      <c r="C5593">
        <v>4</v>
      </c>
      <c r="D5593">
        <v>3</v>
      </c>
      <c r="E5593">
        <v>1</v>
      </c>
      <c r="F5593" s="15">
        <v>46245</v>
      </c>
      <c r="G5593" t="s">
        <v>673</v>
      </c>
      <c r="H5593">
        <v>4</v>
      </c>
      <c r="I5593">
        <v>2026</v>
      </c>
      <c r="J5593">
        <v>8</v>
      </c>
      <c r="K5593" t="s">
        <v>87</v>
      </c>
      <c r="L5593" t="s">
        <v>17</v>
      </c>
      <c r="M5593" t="s">
        <v>6</v>
      </c>
      <c r="N5593" t="b">
        <v>0</v>
      </c>
      <c r="O5593">
        <v>0</v>
      </c>
      <c r="P5593">
        <v>1</v>
      </c>
      <c r="Q5593">
        <v>0</v>
      </c>
      <c r="R5593">
        <v>0</v>
      </c>
    </row>
    <row r="5594" spans="1:18" x14ac:dyDescent="0.25">
      <c r="A5594" t="s">
        <v>567</v>
      </c>
      <c r="B5594" t="s">
        <v>63</v>
      </c>
      <c r="C5594">
        <v>1</v>
      </c>
      <c r="D5594">
        <v>4</v>
      </c>
      <c r="E5594">
        <v>1</v>
      </c>
      <c r="F5594" s="15">
        <v>46245</v>
      </c>
      <c r="G5594" t="s">
        <v>674</v>
      </c>
      <c r="H5594">
        <v>4</v>
      </c>
      <c r="I5594">
        <v>2026</v>
      </c>
      <c r="J5594">
        <v>8</v>
      </c>
      <c r="K5594" t="s">
        <v>87</v>
      </c>
      <c r="L5594" t="s">
        <v>464</v>
      </c>
      <c r="M5594" t="s">
        <v>63</v>
      </c>
      <c r="N5594" t="b">
        <v>0</v>
      </c>
      <c r="O5594">
        <v>0</v>
      </c>
      <c r="P5594">
        <v>0</v>
      </c>
      <c r="Q5594">
        <v>1</v>
      </c>
      <c r="R5594">
        <v>0</v>
      </c>
    </row>
    <row r="5595" spans="1:18" x14ac:dyDescent="0.25">
      <c r="A5595" t="s">
        <v>567</v>
      </c>
      <c r="B5595" t="s">
        <v>63</v>
      </c>
      <c r="C5595">
        <v>1</v>
      </c>
      <c r="D5595">
        <v>4</v>
      </c>
      <c r="E5595">
        <v>1</v>
      </c>
      <c r="F5595" s="15">
        <v>46245</v>
      </c>
      <c r="G5595" t="s">
        <v>674</v>
      </c>
      <c r="H5595">
        <v>4</v>
      </c>
      <c r="I5595">
        <v>2026</v>
      </c>
      <c r="J5595">
        <v>8</v>
      </c>
      <c r="K5595" t="s">
        <v>87</v>
      </c>
      <c r="L5595" t="s">
        <v>20</v>
      </c>
      <c r="M5595" t="s">
        <v>63</v>
      </c>
      <c r="N5595" t="b">
        <v>0</v>
      </c>
      <c r="O5595">
        <v>0</v>
      </c>
      <c r="P5595">
        <v>0</v>
      </c>
      <c r="Q5595">
        <v>1</v>
      </c>
      <c r="R5595">
        <v>0</v>
      </c>
    </row>
    <row r="5596" spans="1:18" x14ac:dyDescent="0.25">
      <c r="A5596" t="s">
        <v>567</v>
      </c>
      <c r="B5596" t="s">
        <v>63</v>
      </c>
      <c r="C5596">
        <v>1</v>
      </c>
      <c r="D5596">
        <v>4</v>
      </c>
      <c r="E5596">
        <v>1</v>
      </c>
      <c r="F5596" s="15">
        <v>46245</v>
      </c>
      <c r="G5596" t="s">
        <v>674</v>
      </c>
      <c r="H5596">
        <v>4</v>
      </c>
      <c r="I5596">
        <v>2026</v>
      </c>
      <c r="J5596">
        <v>8</v>
      </c>
      <c r="K5596" t="s">
        <v>87</v>
      </c>
      <c r="L5596" t="s">
        <v>51</v>
      </c>
      <c r="M5596" t="s">
        <v>63</v>
      </c>
      <c r="N5596" t="b">
        <v>0</v>
      </c>
      <c r="O5596">
        <v>0</v>
      </c>
      <c r="P5596">
        <v>0</v>
      </c>
      <c r="Q5596">
        <v>1</v>
      </c>
      <c r="R5596">
        <v>0</v>
      </c>
    </row>
    <row r="5597" spans="1:18" x14ac:dyDescent="0.25">
      <c r="A5597" t="s">
        <v>464</v>
      </c>
      <c r="B5597" t="s">
        <v>63</v>
      </c>
      <c r="C5597">
        <v>2</v>
      </c>
      <c r="D5597">
        <v>4</v>
      </c>
      <c r="E5597">
        <v>1</v>
      </c>
      <c r="F5597" s="15">
        <v>46245</v>
      </c>
      <c r="G5597" t="s">
        <v>674</v>
      </c>
      <c r="H5597">
        <v>4</v>
      </c>
      <c r="I5597">
        <v>2026</v>
      </c>
      <c r="J5597">
        <v>8</v>
      </c>
      <c r="K5597" t="s">
        <v>87</v>
      </c>
      <c r="L5597" t="s">
        <v>567</v>
      </c>
      <c r="M5597" t="s">
        <v>63</v>
      </c>
      <c r="N5597" t="b">
        <v>0</v>
      </c>
      <c r="O5597">
        <v>0</v>
      </c>
      <c r="P5597">
        <v>0</v>
      </c>
      <c r="Q5597">
        <v>1</v>
      </c>
      <c r="R5597">
        <v>0</v>
      </c>
    </row>
    <row r="5598" spans="1:18" x14ac:dyDescent="0.25">
      <c r="A5598" t="s">
        <v>464</v>
      </c>
      <c r="B5598" t="s">
        <v>63</v>
      </c>
      <c r="C5598">
        <v>2</v>
      </c>
      <c r="D5598">
        <v>4</v>
      </c>
      <c r="E5598">
        <v>1</v>
      </c>
      <c r="F5598" s="15">
        <v>46245</v>
      </c>
      <c r="G5598" t="s">
        <v>674</v>
      </c>
      <c r="H5598">
        <v>4</v>
      </c>
      <c r="I5598">
        <v>2026</v>
      </c>
      <c r="J5598">
        <v>8</v>
      </c>
      <c r="K5598" t="s">
        <v>87</v>
      </c>
      <c r="L5598" t="s">
        <v>20</v>
      </c>
      <c r="M5598" t="s">
        <v>63</v>
      </c>
      <c r="N5598" t="b">
        <v>0</v>
      </c>
      <c r="O5598">
        <v>0</v>
      </c>
      <c r="P5598">
        <v>0</v>
      </c>
      <c r="Q5598">
        <v>1</v>
      </c>
      <c r="R5598">
        <v>0</v>
      </c>
    </row>
    <row r="5599" spans="1:18" x14ac:dyDescent="0.25">
      <c r="A5599" t="s">
        <v>464</v>
      </c>
      <c r="B5599" t="s">
        <v>63</v>
      </c>
      <c r="C5599">
        <v>2</v>
      </c>
      <c r="D5599">
        <v>4</v>
      </c>
      <c r="E5599">
        <v>1</v>
      </c>
      <c r="F5599" s="15">
        <v>46245</v>
      </c>
      <c r="G5599" t="s">
        <v>674</v>
      </c>
      <c r="H5599">
        <v>4</v>
      </c>
      <c r="I5599">
        <v>2026</v>
      </c>
      <c r="J5599">
        <v>8</v>
      </c>
      <c r="K5599" t="s">
        <v>87</v>
      </c>
      <c r="L5599" t="s">
        <v>51</v>
      </c>
      <c r="M5599" t="s">
        <v>63</v>
      </c>
      <c r="N5599" t="b">
        <v>0</v>
      </c>
      <c r="O5599">
        <v>0</v>
      </c>
      <c r="P5599">
        <v>0</v>
      </c>
      <c r="Q5599">
        <v>1</v>
      </c>
      <c r="R5599">
        <v>0</v>
      </c>
    </row>
    <row r="5600" spans="1:18" x14ac:dyDescent="0.25">
      <c r="A5600" t="s">
        <v>20</v>
      </c>
      <c r="B5600" t="s">
        <v>63</v>
      </c>
      <c r="C5600">
        <v>3</v>
      </c>
      <c r="D5600">
        <v>4</v>
      </c>
      <c r="E5600">
        <v>1</v>
      </c>
      <c r="F5600" s="15">
        <v>46245</v>
      </c>
      <c r="G5600" t="s">
        <v>674</v>
      </c>
      <c r="H5600">
        <v>4</v>
      </c>
      <c r="I5600">
        <v>2026</v>
      </c>
      <c r="J5600">
        <v>8</v>
      </c>
      <c r="K5600" t="s">
        <v>87</v>
      </c>
      <c r="L5600" t="s">
        <v>567</v>
      </c>
      <c r="M5600" t="s">
        <v>63</v>
      </c>
      <c r="N5600" t="b">
        <v>0</v>
      </c>
      <c r="O5600">
        <v>0</v>
      </c>
      <c r="P5600">
        <v>0</v>
      </c>
      <c r="Q5600">
        <v>1</v>
      </c>
      <c r="R5600">
        <v>0</v>
      </c>
    </row>
    <row r="5601" spans="1:18" x14ac:dyDescent="0.25">
      <c r="A5601" t="s">
        <v>20</v>
      </c>
      <c r="B5601" t="s">
        <v>63</v>
      </c>
      <c r="C5601">
        <v>3</v>
      </c>
      <c r="D5601">
        <v>4</v>
      </c>
      <c r="E5601">
        <v>1</v>
      </c>
      <c r="F5601" s="15">
        <v>46245</v>
      </c>
      <c r="G5601" t="s">
        <v>674</v>
      </c>
      <c r="H5601">
        <v>4</v>
      </c>
      <c r="I5601">
        <v>2026</v>
      </c>
      <c r="J5601">
        <v>8</v>
      </c>
      <c r="K5601" t="s">
        <v>87</v>
      </c>
      <c r="L5601" t="s">
        <v>464</v>
      </c>
      <c r="M5601" t="s">
        <v>63</v>
      </c>
      <c r="N5601" t="b">
        <v>0</v>
      </c>
      <c r="O5601">
        <v>0</v>
      </c>
      <c r="P5601">
        <v>0</v>
      </c>
      <c r="Q5601">
        <v>1</v>
      </c>
      <c r="R5601">
        <v>0</v>
      </c>
    </row>
    <row r="5602" spans="1:18" x14ac:dyDescent="0.25">
      <c r="A5602" t="s">
        <v>20</v>
      </c>
      <c r="B5602" t="s">
        <v>63</v>
      </c>
      <c r="C5602">
        <v>3</v>
      </c>
      <c r="D5602">
        <v>4</v>
      </c>
      <c r="E5602">
        <v>1</v>
      </c>
      <c r="F5602" s="15">
        <v>46245</v>
      </c>
      <c r="G5602" t="s">
        <v>674</v>
      </c>
      <c r="H5602">
        <v>4</v>
      </c>
      <c r="I5602">
        <v>2026</v>
      </c>
      <c r="J5602">
        <v>8</v>
      </c>
      <c r="K5602" t="s">
        <v>87</v>
      </c>
      <c r="L5602" t="s">
        <v>51</v>
      </c>
      <c r="M5602" t="s">
        <v>63</v>
      </c>
      <c r="N5602" t="b">
        <v>0</v>
      </c>
      <c r="O5602">
        <v>0</v>
      </c>
      <c r="P5602">
        <v>0</v>
      </c>
      <c r="Q5602">
        <v>1</v>
      </c>
      <c r="R5602">
        <v>0</v>
      </c>
    </row>
    <row r="5603" spans="1:18" x14ac:dyDescent="0.25">
      <c r="A5603" t="s">
        <v>51</v>
      </c>
      <c r="B5603" t="s">
        <v>63</v>
      </c>
      <c r="C5603">
        <v>4</v>
      </c>
      <c r="D5603">
        <v>4</v>
      </c>
      <c r="E5603">
        <v>1</v>
      </c>
      <c r="F5603" s="15">
        <v>46245</v>
      </c>
      <c r="G5603" t="s">
        <v>674</v>
      </c>
      <c r="H5603">
        <v>4</v>
      </c>
      <c r="I5603">
        <v>2026</v>
      </c>
      <c r="J5603">
        <v>8</v>
      </c>
      <c r="K5603" t="s">
        <v>87</v>
      </c>
      <c r="L5603" t="s">
        <v>567</v>
      </c>
      <c r="M5603" t="s">
        <v>63</v>
      </c>
      <c r="N5603" t="b">
        <v>0</v>
      </c>
      <c r="O5603">
        <v>0</v>
      </c>
      <c r="P5603">
        <v>0</v>
      </c>
      <c r="Q5603">
        <v>1</v>
      </c>
      <c r="R5603">
        <v>0</v>
      </c>
    </row>
    <row r="5604" spans="1:18" x14ac:dyDescent="0.25">
      <c r="A5604" t="s">
        <v>51</v>
      </c>
      <c r="B5604" t="s">
        <v>63</v>
      </c>
      <c r="C5604">
        <v>4</v>
      </c>
      <c r="D5604">
        <v>4</v>
      </c>
      <c r="E5604">
        <v>1</v>
      </c>
      <c r="F5604" s="15">
        <v>46245</v>
      </c>
      <c r="G5604" t="s">
        <v>674</v>
      </c>
      <c r="H5604">
        <v>4</v>
      </c>
      <c r="I5604">
        <v>2026</v>
      </c>
      <c r="J5604">
        <v>8</v>
      </c>
      <c r="K5604" t="s">
        <v>87</v>
      </c>
      <c r="L5604" t="s">
        <v>464</v>
      </c>
      <c r="M5604" t="s">
        <v>63</v>
      </c>
      <c r="N5604" t="b">
        <v>0</v>
      </c>
      <c r="O5604">
        <v>0</v>
      </c>
      <c r="P5604">
        <v>0</v>
      </c>
      <c r="Q5604">
        <v>1</v>
      </c>
      <c r="R5604">
        <v>0</v>
      </c>
    </row>
    <row r="5605" spans="1:18" x14ac:dyDescent="0.25">
      <c r="A5605" t="s">
        <v>51</v>
      </c>
      <c r="B5605" t="s">
        <v>63</v>
      </c>
      <c r="C5605">
        <v>4</v>
      </c>
      <c r="D5605">
        <v>4</v>
      </c>
      <c r="E5605">
        <v>1</v>
      </c>
      <c r="F5605" s="15">
        <v>46245</v>
      </c>
      <c r="G5605" t="s">
        <v>674</v>
      </c>
      <c r="H5605">
        <v>4</v>
      </c>
      <c r="I5605">
        <v>2026</v>
      </c>
      <c r="J5605">
        <v>8</v>
      </c>
      <c r="K5605" t="s">
        <v>87</v>
      </c>
      <c r="L5605" t="s">
        <v>20</v>
      </c>
      <c r="M5605" t="s">
        <v>63</v>
      </c>
      <c r="N5605" t="b">
        <v>0</v>
      </c>
      <c r="O5605">
        <v>0</v>
      </c>
      <c r="P5605">
        <v>0</v>
      </c>
      <c r="Q5605">
        <v>1</v>
      </c>
      <c r="R5605">
        <v>0</v>
      </c>
    </row>
    <row r="5606" spans="1:18" x14ac:dyDescent="0.25">
      <c r="A5606" t="s">
        <v>19</v>
      </c>
      <c r="B5606" t="s">
        <v>63</v>
      </c>
      <c r="C5606">
        <v>1</v>
      </c>
      <c r="D5606">
        <v>5</v>
      </c>
      <c r="E5606">
        <v>1</v>
      </c>
      <c r="F5606" s="15">
        <v>46245</v>
      </c>
      <c r="G5606" t="s">
        <v>675</v>
      </c>
      <c r="H5606">
        <v>3</v>
      </c>
      <c r="I5606">
        <v>2026</v>
      </c>
      <c r="J5606">
        <v>8</v>
      </c>
      <c r="K5606" t="s">
        <v>87</v>
      </c>
      <c r="L5606" t="s">
        <v>28</v>
      </c>
      <c r="M5606" t="s">
        <v>63</v>
      </c>
      <c r="N5606" t="b">
        <v>0</v>
      </c>
      <c r="O5606">
        <v>0</v>
      </c>
      <c r="P5606">
        <v>0</v>
      </c>
      <c r="Q5606">
        <v>1</v>
      </c>
      <c r="R5606">
        <v>0</v>
      </c>
    </row>
    <row r="5607" spans="1:18" x14ac:dyDescent="0.25">
      <c r="A5607" t="s">
        <v>19</v>
      </c>
      <c r="B5607" t="s">
        <v>63</v>
      </c>
      <c r="C5607">
        <v>1</v>
      </c>
      <c r="D5607">
        <v>5</v>
      </c>
      <c r="E5607">
        <v>1</v>
      </c>
      <c r="F5607" s="15">
        <v>46245</v>
      </c>
      <c r="G5607" t="s">
        <v>675</v>
      </c>
      <c r="H5607">
        <v>3</v>
      </c>
      <c r="I5607">
        <v>2026</v>
      </c>
      <c r="J5607">
        <v>8</v>
      </c>
      <c r="K5607" t="s">
        <v>87</v>
      </c>
      <c r="L5607" t="s">
        <v>405</v>
      </c>
      <c r="M5607" t="s">
        <v>63</v>
      </c>
      <c r="N5607" t="b">
        <v>0</v>
      </c>
      <c r="O5607">
        <v>0</v>
      </c>
      <c r="P5607">
        <v>0</v>
      </c>
      <c r="Q5607">
        <v>1</v>
      </c>
      <c r="R5607">
        <v>0</v>
      </c>
    </row>
    <row r="5608" spans="1:18" x14ac:dyDescent="0.25">
      <c r="A5608" t="s">
        <v>28</v>
      </c>
      <c r="B5608" t="s">
        <v>63</v>
      </c>
      <c r="C5608">
        <v>2</v>
      </c>
      <c r="D5608">
        <v>5</v>
      </c>
      <c r="E5608">
        <v>1</v>
      </c>
      <c r="F5608" s="15">
        <v>46245</v>
      </c>
      <c r="G5608" t="s">
        <v>675</v>
      </c>
      <c r="H5608">
        <v>3</v>
      </c>
      <c r="I5608">
        <v>2026</v>
      </c>
      <c r="J5608">
        <v>8</v>
      </c>
      <c r="K5608" t="s">
        <v>87</v>
      </c>
      <c r="L5608" t="s">
        <v>19</v>
      </c>
      <c r="M5608" t="s">
        <v>63</v>
      </c>
      <c r="N5608" t="b">
        <v>0</v>
      </c>
      <c r="O5608">
        <v>0</v>
      </c>
      <c r="P5608">
        <v>0</v>
      </c>
      <c r="Q5608">
        <v>1</v>
      </c>
      <c r="R5608">
        <v>0</v>
      </c>
    </row>
    <row r="5609" spans="1:18" x14ac:dyDescent="0.25">
      <c r="A5609" t="s">
        <v>28</v>
      </c>
      <c r="B5609" t="s">
        <v>63</v>
      </c>
      <c r="C5609">
        <v>2</v>
      </c>
      <c r="D5609">
        <v>5</v>
      </c>
      <c r="E5609">
        <v>1</v>
      </c>
      <c r="F5609" s="15">
        <v>46245</v>
      </c>
      <c r="G5609" t="s">
        <v>675</v>
      </c>
      <c r="H5609">
        <v>3</v>
      </c>
      <c r="I5609">
        <v>2026</v>
      </c>
      <c r="J5609">
        <v>8</v>
      </c>
      <c r="K5609" t="s">
        <v>87</v>
      </c>
      <c r="L5609" t="s">
        <v>405</v>
      </c>
      <c r="M5609" t="s">
        <v>63</v>
      </c>
      <c r="N5609" t="b">
        <v>0</v>
      </c>
      <c r="O5609">
        <v>0</v>
      </c>
      <c r="P5609">
        <v>0</v>
      </c>
      <c r="Q5609">
        <v>1</v>
      </c>
      <c r="R5609">
        <v>0</v>
      </c>
    </row>
    <row r="5610" spans="1:18" x14ac:dyDescent="0.25">
      <c r="A5610" t="s">
        <v>405</v>
      </c>
      <c r="B5610" t="s">
        <v>63</v>
      </c>
      <c r="C5610">
        <v>3</v>
      </c>
      <c r="D5610">
        <v>5</v>
      </c>
      <c r="E5610">
        <v>1</v>
      </c>
      <c r="F5610" s="15">
        <v>46245</v>
      </c>
      <c r="G5610" t="s">
        <v>675</v>
      </c>
      <c r="H5610">
        <v>3</v>
      </c>
      <c r="I5610">
        <v>2026</v>
      </c>
      <c r="J5610">
        <v>8</v>
      </c>
      <c r="K5610" t="s">
        <v>87</v>
      </c>
      <c r="L5610" t="s">
        <v>19</v>
      </c>
      <c r="M5610" t="s">
        <v>63</v>
      </c>
      <c r="N5610" t="b">
        <v>0</v>
      </c>
      <c r="O5610">
        <v>0</v>
      </c>
      <c r="P5610">
        <v>0</v>
      </c>
      <c r="Q5610">
        <v>1</v>
      </c>
      <c r="R5610">
        <v>0</v>
      </c>
    </row>
    <row r="5611" spans="1:18" x14ac:dyDescent="0.25">
      <c r="A5611" t="s">
        <v>405</v>
      </c>
      <c r="B5611" t="s">
        <v>63</v>
      </c>
      <c r="C5611">
        <v>3</v>
      </c>
      <c r="D5611">
        <v>5</v>
      </c>
      <c r="E5611">
        <v>1</v>
      </c>
      <c r="F5611" s="15">
        <v>46245</v>
      </c>
      <c r="G5611" t="s">
        <v>675</v>
      </c>
      <c r="H5611">
        <v>3</v>
      </c>
      <c r="I5611">
        <v>2026</v>
      </c>
      <c r="J5611">
        <v>8</v>
      </c>
      <c r="K5611" t="s">
        <v>87</v>
      </c>
      <c r="L5611" t="s">
        <v>28</v>
      </c>
      <c r="M5611" t="s">
        <v>63</v>
      </c>
      <c r="N5611" t="b">
        <v>0</v>
      </c>
      <c r="O5611">
        <v>0</v>
      </c>
      <c r="P5611">
        <v>0</v>
      </c>
      <c r="Q5611">
        <v>1</v>
      </c>
      <c r="R5611">
        <v>0</v>
      </c>
    </row>
    <row r="5612" spans="1:18" x14ac:dyDescent="0.25">
      <c r="A5612" t="s">
        <v>325</v>
      </c>
      <c r="B5612" t="s">
        <v>8</v>
      </c>
      <c r="C5612">
        <v>1</v>
      </c>
      <c r="D5612">
        <v>6</v>
      </c>
      <c r="E5612">
        <v>1</v>
      </c>
      <c r="F5612" s="15">
        <v>46245</v>
      </c>
      <c r="G5612" t="s">
        <v>676</v>
      </c>
      <c r="H5612">
        <v>3</v>
      </c>
      <c r="I5612">
        <v>2026</v>
      </c>
      <c r="J5612">
        <v>8</v>
      </c>
      <c r="K5612" t="s">
        <v>87</v>
      </c>
      <c r="L5612" t="s">
        <v>609</v>
      </c>
      <c r="M5612" t="s">
        <v>6</v>
      </c>
      <c r="N5612" t="b">
        <v>0</v>
      </c>
      <c r="O5612">
        <v>1</v>
      </c>
      <c r="P5612">
        <v>0</v>
      </c>
      <c r="Q5612">
        <v>0</v>
      </c>
      <c r="R5612">
        <v>0</v>
      </c>
    </row>
    <row r="5613" spans="1:18" x14ac:dyDescent="0.25">
      <c r="A5613" t="s">
        <v>325</v>
      </c>
      <c r="B5613" t="s">
        <v>8</v>
      </c>
      <c r="C5613">
        <v>1</v>
      </c>
      <c r="D5613">
        <v>6</v>
      </c>
      <c r="E5613">
        <v>1</v>
      </c>
      <c r="F5613" s="15">
        <v>46245</v>
      </c>
      <c r="G5613" t="s">
        <v>676</v>
      </c>
      <c r="H5613">
        <v>3</v>
      </c>
      <c r="I5613">
        <v>2026</v>
      </c>
      <c r="J5613">
        <v>8</v>
      </c>
      <c r="K5613" t="s">
        <v>87</v>
      </c>
      <c r="L5613" t="s">
        <v>433</v>
      </c>
      <c r="M5613" t="s">
        <v>6</v>
      </c>
      <c r="N5613" t="b">
        <v>0</v>
      </c>
      <c r="O5613">
        <v>1</v>
      </c>
      <c r="P5613">
        <v>0</v>
      </c>
      <c r="Q5613">
        <v>0</v>
      </c>
      <c r="R5613">
        <v>0</v>
      </c>
    </row>
    <row r="5614" spans="1:18" x14ac:dyDescent="0.25">
      <c r="A5614" t="s">
        <v>609</v>
      </c>
      <c r="B5614" t="s">
        <v>6</v>
      </c>
      <c r="C5614">
        <v>2</v>
      </c>
      <c r="D5614">
        <v>6</v>
      </c>
      <c r="E5614">
        <v>1</v>
      </c>
      <c r="F5614" s="15">
        <v>46245</v>
      </c>
      <c r="G5614" t="s">
        <v>676</v>
      </c>
      <c r="H5614">
        <v>3</v>
      </c>
      <c r="I5614">
        <v>2026</v>
      </c>
      <c r="J5614">
        <v>8</v>
      </c>
      <c r="K5614" t="s">
        <v>87</v>
      </c>
      <c r="L5614" t="s">
        <v>325</v>
      </c>
      <c r="M5614" t="s">
        <v>8</v>
      </c>
      <c r="N5614" t="b">
        <v>0</v>
      </c>
      <c r="O5614">
        <v>0</v>
      </c>
      <c r="P5614">
        <v>1</v>
      </c>
      <c r="Q5614">
        <v>0</v>
      </c>
      <c r="R5614">
        <v>1</v>
      </c>
    </row>
    <row r="5615" spans="1:18" x14ac:dyDescent="0.25">
      <c r="A5615" t="s">
        <v>609</v>
      </c>
      <c r="B5615" t="s">
        <v>6</v>
      </c>
      <c r="C5615">
        <v>2</v>
      </c>
      <c r="D5615">
        <v>6</v>
      </c>
      <c r="E5615">
        <v>1</v>
      </c>
      <c r="F5615" s="15">
        <v>46245</v>
      </c>
      <c r="G5615" t="s">
        <v>676</v>
      </c>
      <c r="H5615">
        <v>3</v>
      </c>
      <c r="I5615">
        <v>2026</v>
      </c>
      <c r="J5615">
        <v>8</v>
      </c>
      <c r="K5615" t="s">
        <v>87</v>
      </c>
      <c r="L5615" t="s">
        <v>433</v>
      </c>
      <c r="M5615" t="s">
        <v>6</v>
      </c>
      <c r="N5615" t="b">
        <v>0</v>
      </c>
      <c r="O5615">
        <v>0</v>
      </c>
      <c r="P5615">
        <v>1</v>
      </c>
      <c r="Q5615">
        <v>0</v>
      </c>
      <c r="R5615">
        <v>0</v>
      </c>
    </row>
    <row r="5616" spans="1:18" x14ac:dyDescent="0.25">
      <c r="A5616" t="s">
        <v>433</v>
      </c>
      <c r="B5616" t="s">
        <v>6</v>
      </c>
      <c r="C5616">
        <v>3</v>
      </c>
      <c r="D5616">
        <v>6</v>
      </c>
      <c r="E5616">
        <v>1</v>
      </c>
      <c r="F5616" s="15">
        <v>46245</v>
      </c>
      <c r="G5616" t="s">
        <v>676</v>
      </c>
      <c r="H5616">
        <v>3</v>
      </c>
      <c r="I5616">
        <v>2026</v>
      </c>
      <c r="J5616">
        <v>8</v>
      </c>
      <c r="K5616" t="s">
        <v>87</v>
      </c>
      <c r="L5616" t="s">
        <v>325</v>
      </c>
      <c r="M5616" t="s">
        <v>8</v>
      </c>
      <c r="N5616" t="b">
        <v>0</v>
      </c>
      <c r="O5616">
        <v>0</v>
      </c>
      <c r="P5616">
        <v>1</v>
      </c>
      <c r="Q5616">
        <v>0</v>
      </c>
      <c r="R5616">
        <v>1</v>
      </c>
    </row>
    <row r="5617" spans="1:18" x14ac:dyDescent="0.25">
      <c r="A5617" t="s">
        <v>433</v>
      </c>
      <c r="B5617" t="s">
        <v>6</v>
      </c>
      <c r="C5617">
        <v>3</v>
      </c>
      <c r="D5617">
        <v>6</v>
      </c>
      <c r="E5617">
        <v>1</v>
      </c>
      <c r="F5617" s="15">
        <v>46245</v>
      </c>
      <c r="G5617" t="s">
        <v>676</v>
      </c>
      <c r="H5617">
        <v>3</v>
      </c>
      <c r="I5617">
        <v>2026</v>
      </c>
      <c r="J5617">
        <v>8</v>
      </c>
      <c r="K5617" t="s">
        <v>87</v>
      </c>
      <c r="L5617" t="s">
        <v>609</v>
      </c>
      <c r="M5617" t="s">
        <v>6</v>
      </c>
      <c r="N5617" t="b">
        <v>0</v>
      </c>
      <c r="O5617">
        <v>0</v>
      </c>
      <c r="P5617">
        <v>1</v>
      </c>
      <c r="Q5617">
        <v>0</v>
      </c>
      <c r="R5617">
        <v>0</v>
      </c>
    </row>
    <row r="5618" spans="1:18" x14ac:dyDescent="0.25">
      <c r="A5618" t="s">
        <v>325</v>
      </c>
      <c r="B5618" t="s">
        <v>6</v>
      </c>
      <c r="C5618">
        <v>1</v>
      </c>
      <c r="D5618">
        <v>1</v>
      </c>
      <c r="E5618">
        <v>2</v>
      </c>
      <c r="F5618" s="15">
        <v>46245</v>
      </c>
      <c r="G5618" t="s">
        <v>677</v>
      </c>
      <c r="H5618">
        <v>4</v>
      </c>
      <c r="I5618">
        <v>2026</v>
      </c>
      <c r="J5618">
        <v>8</v>
      </c>
      <c r="K5618" t="s">
        <v>87</v>
      </c>
      <c r="L5618" t="s">
        <v>405</v>
      </c>
      <c r="M5618" t="s">
        <v>6</v>
      </c>
      <c r="N5618" t="b">
        <v>0</v>
      </c>
      <c r="O5618">
        <v>0</v>
      </c>
      <c r="P5618">
        <v>1</v>
      </c>
      <c r="Q5618">
        <v>0</v>
      </c>
      <c r="R5618">
        <v>0</v>
      </c>
    </row>
    <row r="5619" spans="1:18" x14ac:dyDescent="0.25">
      <c r="A5619" t="s">
        <v>325</v>
      </c>
      <c r="B5619" t="s">
        <v>6</v>
      </c>
      <c r="C5619">
        <v>1</v>
      </c>
      <c r="D5619">
        <v>1</v>
      </c>
      <c r="E5619">
        <v>2</v>
      </c>
      <c r="F5619" s="15">
        <v>46245</v>
      </c>
      <c r="G5619" t="s">
        <v>677</v>
      </c>
      <c r="H5619">
        <v>4</v>
      </c>
      <c r="I5619">
        <v>2026</v>
      </c>
      <c r="J5619">
        <v>8</v>
      </c>
      <c r="K5619" t="s">
        <v>87</v>
      </c>
      <c r="L5619" t="s">
        <v>567</v>
      </c>
      <c r="M5619" t="s">
        <v>6</v>
      </c>
      <c r="N5619" t="b">
        <v>0</v>
      </c>
      <c r="O5619">
        <v>0</v>
      </c>
      <c r="P5619">
        <v>1</v>
      </c>
      <c r="Q5619">
        <v>0</v>
      </c>
      <c r="R5619">
        <v>0</v>
      </c>
    </row>
    <row r="5620" spans="1:18" x14ac:dyDescent="0.25">
      <c r="A5620" t="s">
        <v>325</v>
      </c>
      <c r="B5620" t="s">
        <v>6</v>
      </c>
      <c r="C5620">
        <v>1</v>
      </c>
      <c r="D5620">
        <v>1</v>
      </c>
      <c r="E5620">
        <v>2</v>
      </c>
      <c r="F5620" s="15">
        <v>46245</v>
      </c>
      <c r="G5620" t="s">
        <v>677</v>
      </c>
      <c r="H5620">
        <v>4</v>
      </c>
      <c r="I5620">
        <v>2026</v>
      </c>
      <c r="J5620">
        <v>8</v>
      </c>
      <c r="K5620" t="s">
        <v>87</v>
      </c>
      <c r="L5620" t="s">
        <v>11</v>
      </c>
      <c r="M5620" t="s">
        <v>8</v>
      </c>
      <c r="N5620" t="b">
        <v>0</v>
      </c>
      <c r="O5620">
        <v>0</v>
      </c>
      <c r="P5620">
        <v>1</v>
      </c>
      <c r="Q5620">
        <v>0</v>
      </c>
      <c r="R5620">
        <v>1</v>
      </c>
    </row>
    <row r="5621" spans="1:18" x14ac:dyDescent="0.25">
      <c r="A5621" t="s">
        <v>405</v>
      </c>
      <c r="B5621" t="s">
        <v>6</v>
      </c>
      <c r="C5621">
        <v>2</v>
      </c>
      <c r="D5621">
        <v>1</v>
      </c>
      <c r="E5621">
        <v>2</v>
      </c>
      <c r="F5621" s="15">
        <v>46245</v>
      </c>
      <c r="G5621" t="s">
        <v>677</v>
      </c>
      <c r="H5621">
        <v>4</v>
      </c>
      <c r="I5621">
        <v>2026</v>
      </c>
      <c r="J5621">
        <v>8</v>
      </c>
      <c r="K5621" t="s">
        <v>87</v>
      </c>
      <c r="L5621" t="s">
        <v>325</v>
      </c>
      <c r="M5621" t="s">
        <v>6</v>
      </c>
      <c r="N5621" t="b">
        <v>0</v>
      </c>
      <c r="O5621">
        <v>0</v>
      </c>
      <c r="P5621">
        <v>1</v>
      </c>
      <c r="Q5621">
        <v>0</v>
      </c>
      <c r="R5621">
        <v>0</v>
      </c>
    </row>
    <row r="5622" spans="1:18" x14ac:dyDescent="0.25">
      <c r="A5622" t="s">
        <v>405</v>
      </c>
      <c r="B5622" t="s">
        <v>6</v>
      </c>
      <c r="C5622">
        <v>2</v>
      </c>
      <c r="D5622">
        <v>1</v>
      </c>
      <c r="E5622">
        <v>2</v>
      </c>
      <c r="F5622" s="15">
        <v>46245</v>
      </c>
      <c r="G5622" t="s">
        <v>677</v>
      </c>
      <c r="H5622">
        <v>4</v>
      </c>
      <c r="I5622">
        <v>2026</v>
      </c>
      <c r="J5622">
        <v>8</v>
      </c>
      <c r="K5622" t="s">
        <v>87</v>
      </c>
      <c r="L5622" t="s">
        <v>567</v>
      </c>
      <c r="M5622" t="s">
        <v>6</v>
      </c>
      <c r="N5622" t="b">
        <v>0</v>
      </c>
      <c r="O5622">
        <v>0</v>
      </c>
      <c r="P5622">
        <v>1</v>
      </c>
      <c r="Q5622">
        <v>0</v>
      </c>
      <c r="R5622">
        <v>0</v>
      </c>
    </row>
    <row r="5623" spans="1:18" x14ac:dyDescent="0.25">
      <c r="A5623" t="s">
        <v>405</v>
      </c>
      <c r="B5623" t="s">
        <v>6</v>
      </c>
      <c r="C5623">
        <v>2</v>
      </c>
      <c r="D5623">
        <v>1</v>
      </c>
      <c r="E5623">
        <v>2</v>
      </c>
      <c r="F5623" s="15">
        <v>46245</v>
      </c>
      <c r="G5623" t="s">
        <v>677</v>
      </c>
      <c r="H5623">
        <v>4</v>
      </c>
      <c r="I5623">
        <v>2026</v>
      </c>
      <c r="J5623">
        <v>8</v>
      </c>
      <c r="K5623" t="s">
        <v>87</v>
      </c>
      <c r="L5623" t="s">
        <v>11</v>
      </c>
      <c r="M5623" t="s">
        <v>8</v>
      </c>
      <c r="N5623" t="b">
        <v>0</v>
      </c>
      <c r="O5623">
        <v>0</v>
      </c>
      <c r="P5623">
        <v>1</v>
      </c>
      <c r="Q5623">
        <v>0</v>
      </c>
      <c r="R5623">
        <v>1</v>
      </c>
    </row>
    <row r="5624" spans="1:18" x14ac:dyDescent="0.25">
      <c r="A5624" t="s">
        <v>567</v>
      </c>
      <c r="B5624" t="s">
        <v>6</v>
      </c>
      <c r="C5624">
        <v>3</v>
      </c>
      <c r="D5624">
        <v>1</v>
      </c>
      <c r="E5624">
        <v>2</v>
      </c>
      <c r="F5624" s="15">
        <v>46245</v>
      </c>
      <c r="G5624" t="s">
        <v>677</v>
      </c>
      <c r="H5624">
        <v>4</v>
      </c>
      <c r="I5624">
        <v>2026</v>
      </c>
      <c r="J5624">
        <v>8</v>
      </c>
      <c r="K5624" t="s">
        <v>87</v>
      </c>
      <c r="L5624" t="s">
        <v>325</v>
      </c>
      <c r="M5624" t="s">
        <v>6</v>
      </c>
      <c r="N5624" t="b">
        <v>0</v>
      </c>
      <c r="O5624">
        <v>0</v>
      </c>
      <c r="P5624">
        <v>1</v>
      </c>
      <c r="Q5624">
        <v>0</v>
      </c>
      <c r="R5624">
        <v>0</v>
      </c>
    </row>
    <row r="5625" spans="1:18" x14ac:dyDescent="0.25">
      <c r="A5625" t="s">
        <v>567</v>
      </c>
      <c r="B5625" t="s">
        <v>6</v>
      </c>
      <c r="C5625">
        <v>3</v>
      </c>
      <c r="D5625">
        <v>1</v>
      </c>
      <c r="E5625">
        <v>2</v>
      </c>
      <c r="F5625" s="15">
        <v>46245</v>
      </c>
      <c r="G5625" t="s">
        <v>677</v>
      </c>
      <c r="H5625">
        <v>4</v>
      </c>
      <c r="I5625">
        <v>2026</v>
      </c>
      <c r="J5625">
        <v>8</v>
      </c>
      <c r="K5625" t="s">
        <v>87</v>
      </c>
      <c r="L5625" t="s">
        <v>405</v>
      </c>
      <c r="M5625" t="s">
        <v>6</v>
      </c>
      <c r="N5625" t="b">
        <v>0</v>
      </c>
      <c r="O5625">
        <v>0</v>
      </c>
      <c r="P5625">
        <v>1</v>
      </c>
      <c r="Q5625">
        <v>0</v>
      </c>
      <c r="R5625">
        <v>0</v>
      </c>
    </row>
    <row r="5626" spans="1:18" x14ac:dyDescent="0.25">
      <c r="A5626" t="s">
        <v>567</v>
      </c>
      <c r="B5626" t="s">
        <v>6</v>
      </c>
      <c r="C5626">
        <v>3</v>
      </c>
      <c r="D5626">
        <v>1</v>
      </c>
      <c r="E5626">
        <v>2</v>
      </c>
      <c r="F5626" s="15">
        <v>46245</v>
      </c>
      <c r="G5626" t="s">
        <v>677</v>
      </c>
      <c r="H5626">
        <v>4</v>
      </c>
      <c r="I5626">
        <v>2026</v>
      </c>
      <c r="J5626">
        <v>8</v>
      </c>
      <c r="K5626" t="s">
        <v>87</v>
      </c>
      <c r="L5626" t="s">
        <v>11</v>
      </c>
      <c r="M5626" t="s">
        <v>8</v>
      </c>
      <c r="N5626" t="b">
        <v>0</v>
      </c>
      <c r="O5626">
        <v>0</v>
      </c>
      <c r="P5626">
        <v>1</v>
      </c>
      <c r="Q5626">
        <v>0</v>
      </c>
      <c r="R5626">
        <v>1</v>
      </c>
    </row>
    <row r="5627" spans="1:18" x14ac:dyDescent="0.25">
      <c r="A5627" t="s">
        <v>11</v>
      </c>
      <c r="B5627" t="s">
        <v>8</v>
      </c>
      <c r="C5627">
        <v>4</v>
      </c>
      <c r="D5627">
        <v>1</v>
      </c>
      <c r="E5627">
        <v>2</v>
      </c>
      <c r="F5627" s="15">
        <v>46245</v>
      </c>
      <c r="G5627" t="s">
        <v>677</v>
      </c>
      <c r="H5627">
        <v>4</v>
      </c>
      <c r="I5627">
        <v>2026</v>
      </c>
      <c r="J5627">
        <v>8</v>
      </c>
      <c r="K5627" t="s">
        <v>87</v>
      </c>
      <c r="L5627" t="s">
        <v>325</v>
      </c>
      <c r="M5627" t="s">
        <v>6</v>
      </c>
      <c r="N5627" t="b">
        <v>0</v>
      </c>
      <c r="O5627">
        <v>1</v>
      </c>
      <c r="P5627">
        <v>0</v>
      </c>
      <c r="Q5627">
        <v>0</v>
      </c>
      <c r="R5627">
        <v>0</v>
      </c>
    </row>
    <row r="5628" spans="1:18" x14ac:dyDescent="0.25">
      <c r="A5628" t="s">
        <v>11</v>
      </c>
      <c r="B5628" t="s">
        <v>8</v>
      </c>
      <c r="C5628">
        <v>4</v>
      </c>
      <c r="D5628">
        <v>1</v>
      </c>
      <c r="E5628">
        <v>2</v>
      </c>
      <c r="F5628" s="15">
        <v>46245</v>
      </c>
      <c r="G5628" t="s">
        <v>677</v>
      </c>
      <c r="H5628">
        <v>4</v>
      </c>
      <c r="I5628">
        <v>2026</v>
      </c>
      <c r="J5628">
        <v>8</v>
      </c>
      <c r="K5628" t="s">
        <v>87</v>
      </c>
      <c r="L5628" t="s">
        <v>405</v>
      </c>
      <c r="M5628" t="s">
        <v>6</v>
      </c>
      <c r="N5628" t="b">
        <v>0</v>
      </c>
      <c r="O5628">
        <v>1</v>
      </c>
      <c r="P5628">
        <v>0</v>
      </c>
      <c r="Q5628">
        <v>0</v>
      </c>
      <c r="R5628">
        <v>0</v>
      </c>
    </row>
    <row r="5629" spans="1:18" x14ac:dyDescent="0.25">
      <c r="A5629" t="s">
        <v>11</v>
      </c>
      <c r="B5629" t="s">
        <v>8</v>
      </c>
      <c r="C5629">
        <v>4</v>
      </c>
      <c r="D5629">
        <v>1</v>
      </c>
      <c r="E5629">
        <v>2</v>
      </c>
      <c r="F5629" s="15">
        <v>46245</v>
      </c>
      <c r="G5629" t="s">
        <v>677</v>
      </c>
      <c r="H5629">
        <v>4</v>
      </c>
      <c r="I5629">
        <v>2026</v>
      </c>
      <c r="J5629">
        <v>8</v>
      </c>
      <c r="K5629" t="s">
        <v>87</v>
      </c>
      <c r="L5629" t="s">
        <v>567</v>
      </c>
      <c r="M5629" t="s">
        <v>6</v>
      </c>
      <c r="N5629" t="b">
        <v>0</v>
      </c>
      <c r="O5629">
        <v>1</v>
      </c>
      <c r="P5629">
        <v>0</v>
      </c>
      <c r="Q5629">
        <v>0</v>
      </c>
      <c r="R5629">
        <v>0</v>
      </c>
    </row>
    <row r="5630" spans="1:18" x14ac:dyDescent="0.25">
      <c r="A5630" t="s">
        <v>19</v>
      </c>
      <c r="B5630" t="s">
        <v>63</v>
      </c>
      <c r="C5630">
        <v>1</v>
      </c>
      <c r="D5630">
        <v>2</v>
      </c>
      <c r="E5630">
        <v>2</v>
      </c>
      <c r="F5630" s="15">
        <v>46245</v>
      </c>
      <c r="G5630" t="s">
        <v>678</v>
      </c>
      <c r="H5630">
        <v>4</v>
      </c>
      <c r="I5630">
        <v>2026</v>
      </c>
      <c r="J5630">
        <v>8</v>
      </c>
      <c r="K5630" t="s">
        <v>87</v>
      </c>
      <c r="L5630" t="s">
        <v>578</v>
      </c>
      <c r="M5630" t="s">
        <v>63</v>
      </c>
      <c r="N5630" t="b">
        <v>0</v>
      </c>
      <c r="O5630">
        <v>0</v>
      </c>
      <c r="P5630">
        <v>0</v>
      </c>
      <c r="Q5630">
        <v>1</v>
      </c>
      <c r="R5630">
        <v>0</v>
      </c>
    </row>
    <row r="5631" spans="1:18" x14ac:dyDescent="0.25">
      <c r="A5631" t="s">
        <v>19</v>
      </c>
      <c r="B5631" t="s">
        <v>63</v>
      </c>
      <c r="C5631">
        <v>1</v>
      </c>
      <c r="D5631">
        <v>2</v>
      </c>
      <c r="E5631">
        <v>2</v>
      </c>
      <c r="F5631" s="15">
        <v>46245</v>
      </c>
      <c r="G5631" t="s">
        <v>678</v>
      </c>
      <c r="H5631">
        <v>4</v>
      </c>
      <c r="I5631">
        <v>2026</v>
      </c>
      <c r="J5631">
        <v>8</v>
      </c>
      <c r="K5631" t="s">
        <v>87</v>
      </c>
      <c r="L5631" t="s">
        <v>51</v>
      </c>
      <c r="M5631" t="s">
        <v>63</v>
      </c>
      <c r="N5631" t="b">
        <v>0</v>
      </c>
      <c r="O5631">
        <v>0</v>
      </c>
      <c r="P5631">
        <v>0</v>
      </c>
      <c r="Q5631">
        <v>1</v>
      </c>
      <c r="R5631">
        <v>0</v>
      </c>
    </row>
    <row r="5632" spans="1:18" x14ac:dyDescent="0.25">
      <c r="A5632" t="s">
        <v>19</v>
      </c>
      <c r="B5632" t="s">
        <v>63</v>
      </c>
      <c r="C5632">
        <v>1</v>
      </c>
      <c r="D5632">
        <v>2</v>
      </c>
      <c r="E5632">
        <v>2</v>
      </c>
      <c r="F5632" s="15">
        <v>46245</v>
      </c>
      <c r="G5632" t="s">
        <v>678</v>
      </c>
      <c r="H5632">
        <v>4</v>
      </c>
      <c r="I5632">
        <v>2026</v>
      </c>
      <c r="J5632">
        <v>8</v>
      </c>
      <c r="K5632" t="s">
        <v>87</v>
      </c>
      <c r="L5632" t="s">
        <v>15</v>
      </c>
      <c r="M5632" t="s">
        <v>63</v>
      </c>
      <c r="N5632" t="b">
        <v>0</v>
      </c>
      <c r="O5632">
        <v>0</v>
      </c>
      <c r="P5632">
        <v>0</v>
      </c>
      <c r="Q5632">
        <v>1</v>
      </c>
      <c r="R5632">
        <v>0</v>
      </c>
    </row>
    <row r="5633" spans="1:18" x14ac:dyDescent="0.25">
      <c r="A5633" t="s">
        <v>578</v>
      </c>
      <c r="B5633" t="s">
        <v>63</v>
      </c>
      <c r="C5633">
        <v>2</v>
      </c>
      <c r="D5633">
        <v>2</v>
      </c>
      <c r="E5633">
        <v>2</v>
      </c>
      <c r="F5633" s="15">
        <v>46245</v>
      </c>
      <c r="G5633" t="s">
        <v>678</v>
      </c>
      <c r="H5633">
        <v>4</v>
      </c>
      <c r="I5633">
        <v>2026</v>
      </c>
      <c r="J5633">
        <v>8</v>
      </c>
      <c r="K5633" t="s">
        <v>87</v>
      </c>
      <c r="L5633" t="s">
        <v>19</v>
      </c>
      <c r="M5633" t="s">
        <v>63</v>
      </c>
      <c r="N5633" t="b">
        <v>0</v>
      </c>
      <c r="O5633">
        <v>0</v>
      </c>
      <c r="P5633">
        <v>0</v>
      </c>
      <c r="Q5633">
        <v>1</v>
      </c>
      <c r="R5633">
        <v>0</v>
      </c>
    </row>
    <row r="5634" spans="1:18" x14ac:dyDescent="0.25">
      <c r="A5634" t="s">
        <v>578</v>
      </c>
      <c r="B5634" t="s">
        <v>63</v>
      </c>
      <c r="C5634">
        <v>2</v>
      </c>
      <c r="D5634">
        <v>2</v>
      </c>
      <c r="E5634">
        <v>2</v>
      </c>
      <c r="F5634" s="15">
        <v>46245</v>
      </c>
      <c r="G5634" t="s">
        <v>678</v>
      </c>
      <c r="H5634">
        <v>4</v>
      </c>
      <c r="I5634">
        <v>2026</v>
      </c>
      <c r="J5634">
        <v>8</v>
      </c>
      <c r="K5634" t="s">
        <v>87</v>
      </c>
      <c r="L5634" t="s">
        <v>51</v>
      </c>
      <c r="M5634" t="s">
        <v>63</v>
      </c>
      <c r="N5634" t="b">
        <v>0</v>
      </c>
      <c r="O5634">
        <v>0</v>
      </c>
      <c r="P5634">
        <v>0</v>
      </c>
      <c r="Q5634">
        <v>1</v>
      </c>
      <c r="R5634">
        <v>0</v>
      </c>
    </row>
    <row r="5635" spans="1:18" x14ac:dyDescent="0.25">
      <c r="A5635" t="s">
        <v>578</v>
      </c>
      <c r="B5635" t="s">
        <v>63</v>
      </c>
      <c r="C5635">
        <v>2</v>
      </c>
      <c r="D5635">
        <v>2</v>
      </c>
      <c r="E5635">
        <v>2</v>
      </c>
      <c r="F5635" s="15">
        <v>46245</v>
      </c>
      <c r="G5635" t="s">
        <v>678</v>
      </c>
      <c r="H5635">
        <v>4</v>
      </c>
      <c r="I5635">
        <v>2026</v>
      </c>
      <c r="J5635">
        <v>8</v>
      </c>
      <c r="K5635" t="s">
        <v>87</v>
      </c>
      <c r="L5635" t="s">
        <v>15</v>
      </c>
      <c r="M5635" t="s">
        <v>63</v>
      </c>
      <c r="N5635" t="b">
        <v>0</v>
      </c>
      <c r="O5635">
        <v>0</v>
      </c>
      <c r="P5635">
        <v>0</v>
      </c>
      <c r="Q5635">
        <v>1</v>
      </c>
      <c r="R5635">
        <v>0</v>
      </c>
    </row>
    <row r="5636" spans="1:18" x14ac:dyDescent="0.25">
      <c r="A5636" t="s">
        <v>51</v>
      </c>
      <c r="B5636" t="s">
        <v>63</v>
      </c>
      <c r="C5636">
        <v>3</v>
      </c>
      <c r="D5636">
        <v>2</v>
      </c>
      <c r="E5636">
        <v>2</v>
      </c>
      <c r="F5636" s="15">
        <v>46245</v>
      </c>
      <c r="G5636" t="s">
        <v>678</v>
      </c>
      <c r="H5636">
        <v>4</v>
      </c>
      <c r="I5636">
        <v>2026</v>
      </c>
      <c r="J5636">
        <v>8</v>
      </c>
      <c r="K5636" t="s">
        <v>87</v>
      </c>
      <c r="L5636" t="s">
        <v>19</v>
      </c>
      <c r="M5636" t="s">
        <v>63</v>
      </c>
      <c r="N5636" t="b">
        <v>0</v>
      </c>
      <c r="O5636">
        <v>0</v>
      </c>
      <c r="P5636">
        <v>0</v>
      </c>
      <c r="Q5636">
        <v>1</v>
      </c>
      <c r="R5636">
        <v>0</v>
      </c>
    </row>
    <row r="5637" spans="1:18" x14ac:dyDescent="0.25">
      <c r="A5637" t="s">
        <v>51</v>
      </c>
      <c r="B5637" t="s">
        <v>63</v>
      </c>
      <c r="C5637">
        <v>3</v>
      </c>
      <c r="D5637">
        <v>2</v>
      </c>
      <c r="E5637">
        <v>2</v>
      </c>
      <c r="F5637" s="15">
        <v>46245</v>
      </c>
      <c r="G5637" t="s">
        <v>678</v>
      </c>
      <c r="H5637">
        <v>4</v>
      </c>
      <c r="I5637">
        <v>2026</v>
      </c>
      <c r="J5637">
        <v>8</v>
      </c>
      <c r="K5637" t="s">
        <v>87</v>
      </c>
      <c r="L5637" t="s">
        <v>578</v>
      </c>
      <c r="M5637" t="s">
        <v>63</v>
      </c>
      <c r="N5637" t="b">
        <v>0</v>
      </c>
      <c r="O5637">
        <v>0</v>
      </c>
      <c r="P5637">
        <v>0</v>
      </c>
      <c r="Q5637">
        <v>1</v>
      </c>
      <c r="R5637">
        <v>0</v>
      </c>
    </row>
    <row r="5638" spans="1:18" x14ac:dyDescent="0.25">
      <c r="A5638" t="s">
        <v>51</v>
      </c>
      <c r="B5638" t="s">
        <v>63</v>
      </c>
      <c r="C5638">
        <v>3</v>
      </c>
      <c r="D5638">
        <v>2</v>
      </c>
      <c r="E5638">
        <v>2</v>
      </c>
      <c r="F5638" s="15">
        <v>46245</v>
      </c>
      <c r="G5638" t="s">
        <v>678</v>
      </c>
      <c r="H5638">
        <v>4</v>
      </c>
      <c r="I5638">
        <v>2026</v>
      </c>
      <c r="J5638">
        <v>8</v>
      </c>
      <c r="K5638" t="s">
        <v>87</v>
      </c>
      <c r="L5638" t="s">
        <v>15</v>
      </c>
      <c r="M5638" t="s">
        <v>63</v>
      </c>
      <c r="N5638" t="b">
        <v>0</v>
      </c>
      <c r="O5638">
        <v>0</v>
      </c>
      <c r="P5638">
        <v>0</v>
      </c>
      <c r="Q5638">
        <v>1</v>
      </c>
      <c r="R5638">
        <v>0</v>
      </c>
    </row>
    <row r="5639" spans="1:18" x14ac:dyDescent="0.25">
      <c r="A5639" t="s">
        <v>15</v>
      </c>
      <c r="B5639" t="s">
        <v>63</v>
      </c>
      <c r="C5639">
        <v>4</v>
      </c>
      <c r="D5639">
        <v>2</v>
      </c>
      <c r="E5639">
        <v>2</v>
      </c>
      <c r="F5639" s="15">
        <v>46245</v>
      </c>
      <c r="G5639" t="s">
        <v>678</v>
      </c>
      <c r="H5639">
        <v>4</v>
      </c>
      <c r="I5639">
        <v>2026</v>
      </c>
      <c r="J5639">
        <v>8</v>
      </c>
      <c r="K5639" t="s">
        <v>87</v>
      </c>
      <c r="L5639" t="s">
        <v>19</v>
      </c>
      <c r="M5639" t="s">
        <v>63</v>
      </c>
      <c r="N5639" t="b">
        <v>0</v>
      </c>
      <c r="O5639">
        <v>0</v>
      </c>
      <c r="P5639">
        <v>0</v>
      </c>
      <c r="Q5639">
        <v>1</v>
      </c>
      <c r="R5639">
        <v>0</v>
      </c>
    </row>
    <row r="5640" spans="1:18" x14ac:dyDescent="0.25">
      <c r="A5640" t="s">
        <v>15</v>
      </c>
      <c r="B5640" t="s">
        <v>63</v>
      </c>
      <c r="C5640">
        <v>4</v>
      </c>
      <c r="D5640">
        <v>2</v>
      </c>
      <c r="E5640">
        <v>2</v>
      </c>
      <c r="F5640" s="15">
        <v>46245</v>
      </c>
      <c r="G5640" t="s">
        <v>678</v>
      </c>
      <c r="H5640">
        <v>4</v>
      </c>
      <c r="I5640">
        <v>2026</v>
      </c>
      <c r="J5640">
        <v>8</v>
      </c>
      <c r="K5640" t="s">
        <v>87</v>
      </c>
      <c r="L5640" t="s">
        <v>578</v>
      </c>
      <c r="M5640" t="s">
        <v>63</v>
      </c>
      <c r="N5640" t="b">
        <v>0</v>
      </c>
      <c r="O5640">
        <v>0</v>
      </c>
      <c r="P5640">
        <v>0</v>
      </c>
      <c r="Q5640">
        <v>1</v>
      </c>
      <c r="R5640">
        <v>0</v>
      </c>
    </row>
    <row r="5641" spans="1:18" x14ac:dyDescent="0.25">
      <c r="A5641" t="s">
        <v>15</v>
      </c>
      <c r="B5641" t="s">
        <v>63</v>
      </c>
      <c r="C5641">
        <v>4</v>
      </c>
      <c r="D5641">
        <v>2</v>
      </c>
      <c r="E5641">
        <v>2</v>
      </c>
      <c r="F5641" s="15">
        <v>46245</v>
      </c>
      <c r="G5641" t="s">
        <v>678</v>
      </c>
      <c r="H5641">
        <v>4</v>
      </c>
      <c r="I5641">
        <v>2026</v>
      </c>
      <c r="J5641">
        <v>8</v>
      </c>
      <c r="K5641" t="s">
        <v>87</v>
      </c>
      <c r="L5641" t="s">
        <v>51</v>
      </c>
      <c r="M5641" t="s">
        <v>63</v>
      </c>
      <c r="N5641" t="b">
        <v>0</v>
      </c>
      <c r="O5641">
        <v>0</v>
      </c>
      <c r="P5641">
        <v>0</v>
      </c>
      <c r="Q5641">
        <v>1</v>
      </c>
      <c r="R5641">
        <v>0</v>
      </c>
    </row>
    <row r="5642" spans="1:18" x14ac:dyDescent="0.25">
      <c r="A5642" t="s">
        <v>351</v>
      </c>
      <c r="B5642" t="s">
        <v>63</v>
      </c>
      <c r="C5642">
        <v>1</v>
      </c>
      <c r="D5642">
        <v>3</v>
      </c>
      <c r="E5642">
        <v>2</v>
      </c>
      <c r="F5642" s="15">
        <v>46245</v>
      </c>
      <c r="G5642" t="s">
        <v>679</v>
      </c>
      <c r="H5642">
        <v>4</v>
      </c>
      <c r="I5642">
        <v>2026</v>
      </c>
      <c r="J5642">
        <v>8</v>
      </c>
      <c r="K5642" t="s">
        <v>87</v>
      </c>
      <c r="L5642" t="s">
        <v>28</v>
      </c>
      <c r="M5642" t="s">
        <v>63</v>
      </c>
      <c r="N5642" t="b">
        <v>0</v>
      </c>
      <c r="O5642">
        <v>0</v>
      </c>
      <c r="P5642">
        <v>0</v>
      </c>
      <c r="Q5642">
        <v>1</v>
      </c>
      <c r="R5642">
        <v>0</v>
      </c>
    </row>
    <row r="5643" spans="1:18" x14ac:dyDescent="0.25">
      <c r="A5643" t="s">
        <v>351</v>
      </c>
      <c r="B5643" t="s">
        <v>63</v>
      </c>
      <c r="C5643">
        <v>1</v>
      </c>
      <c r="D5643">
        <v>3</v>
      </c>
      <c r="E5643">
        <v>2</v>
      </c>
      <c r="F5643" s="15">
        <v>46245</v>
      </c>
      <c r="G5643" t="s">
        <v>679</v>
      </c>
      <c r="H5643">
        <v>4</v>
      </c>
      <c r="I5643">
        <v>2026</v>
      </c>
      <c r="J5643">
        <v>8</v>
      </c>
      <c r="K5643" t="s">
        <v>87</v>
      </c>
      <c r="L5643" t="s">
        <v>20</v>
      </c>
      <c r="M5643" t="s">
        <v>63</v>
      </c>
      <c r="N5643" t="b">
        <v>0</v>
      </c>
      <c r="O5643">
        <v>0</v>
      </c>
      <c r="P5643">
        <v>0</v>
      </c>
      <c r="Q5643">
        <v>1</v>
      </c>
      <c r="R5643">
        <v>0</v>
      </c>
    </row>
    <row r="5644" spans="1:18" x14ac:dyDescent="0.25">
      <c r="A5644" t="s">
        <v>351</v>
      </c>
      <c r="B5644" t="s">
        <v>63</v>
      </c>
      <c r="C5644">
        <v>1</v>
      </c>
      <c r="D5644">
        <v>3</v>
      </c>
      <c r="E5644">
        <v>2</v>
      </c>
      <c r="F5644" s="15">
        <v>46245</v>
      </c>
      <c r="G5644" t="s">
        <v>679</v>
      </c>
      <c r="H5644">
        <v>4</v>
      </c>
      <c r="I5644">
        <v>2026</v>
      </c>
      <c r="J5644">
        <v>8</v>
      </c>
      <c r="K5644" t="s">
        <v>87</v>
      </c>
      <c r="L5644" t="s">
        <v>364</v>
      </c>
      <c r="M5644" t="s">
        <v>63</v>
      </c>
      <c r="N5644" t="b">
        <v>0</v>
      </c>
      <c r="O5644">
        <v>0</v>
      </c>
      <c r="P5644">
        <v>0</v>
      </c>
      <c r="Q5644">
        <v>1</v>
      </c>
      <c r="R5644">
        <v>0</v>
      </c>
    </row>
    <row r="5645" spans="1:18" x14ac:dyDescent="0.25">
      <c r="A5645" t="s">
        <v>28</v>
      </c>
      <c r="B5645" t="s">
        <v>63</v>
      </c>
      <c r="C5645">
        <v>2</v>
      </c>
      <c r="D5645">
        <v>3</v>
      </c>
      <c r="E5645">
        <v>2</v>
      </c>
      <c r="F5645" s="15">
        <v>46245</v>
      </c>
      <c r="G5645" t="s">
        <v>679</v>
      </c>
      <c r="H5645">
        <v>4</v>
      </c>
      <c r="I5645">
        <v>2026</v>
      </c>
      <c r="J5645">
        <v>8</v>
      </c>
      <c r="K5645" t="s">
        <v>87</v>
      </c>
      <c r="L5645" t="s">
        <v>351</v>
      </c>
      <c r="M5645" t="s">
        <v>63</v>
      </c>
      <c r="N5645" t="b">
        <v>0</v>
      </c>
      <c r="O5645">
        <v>0</v>
      </c>
      <c r="P5645">
        <v>0</v>
      </c>
      <c r="Q5645">
        <v>1</v>
      </c>
      <c r="R5645">
        <v>0</v>
      </c>
    </row>
    <row r="5646" spans="1:18" x14ac:dyDescent="0.25">
      <c r="A5646" t="s">
        <v>28</v>
      </c>
      <c r="B5646" t="s">
        <v>63</v>
      </c>
      <c r="C5646">
        <v>2</v>
      </c>
      <c r="D5646">
        <v>3</v>
      </c>
      <c r="E5646">
        <v>2</v>
      </c>
      <c r="F5646" s="15">
        <v>46245</v>
      </c>
      <c r="G5646" t="s">
        <v>679</v>
      </c>
      <c r="H5646">
        <v>4</v>
      </c>
      <c r="I5646">
        <v>2026</v>
      </c>
      <c r="J5646">
        <v>8</v>
      </c>
      <c r="K5646" t="s">
        <v>87</v>
      </c>
      <c r="L5646" t="s">
        <v>20</v>
      </c>
      <c r="M5646" t="s">
        <v>63</v>
      </c>
      <c r="N5646" t="b">
        <v>0</v>
      </c>
      <c r="O5646">
        <v>0</v>
      </c>
      <c r="P5646">
        <v>0</v>
      </c>
      <c r="Q5646">
        <v>1</v>
      </c>
      <c r="R5646">
        <v>0</v>
      </c>
    </row>
    <row r="5647" spans="1:18" x14ac:dyDescent="0.25">
      <c r="A5647" t="s">
        <v>28</v>
      </c>
      <c r="B5647" t="s">
        <v>63</v>
      </c>
      <c r="C5647">
        <v>2</v>
      </c>
      <c r="D5647">
        <v>3</v>
      </c>
      <c r="E5647">
        <v>2</v>
      </c>
      <c r="F5647" s="15">
        <v>46245</v>
      </c>
      <c r="G5647" t="s">
        <v>679</v>
      </c>
      <c r="H5647">
        <v>4</v>
      </c>
      <c r="I5647">
        <v>2026</v>
      </c>
      <c r="J5647">
        <v>8</v>
      </c>
      <c r="K5647" t="s">
        <v>87</v>
      </c>
      <c r="L5647" t="s">
        <v>364</v>
      </c>
      <c r="M5647" t="s">
        <v>63</v>
      </c>
      <c r="N5647" t="b">
        <v>0</v>
      </c>
      <c r="O5647">
        <v>0</v>
      </c>
      <c r="P5647">
        <v>0</v>
      </c>
      <c r="Q5647">
        <v>1</v>
      </c>
      <c r="R5647">
        <v>0</v>
      </c>
    </row>
    <row r="5648" spans="1:18" x14ac:dyDescent="0.25">
      <c r="A5648" t="s">
        <v>20</v>
      </c>
      <c r="B5648" t="s">
        <v>63</v>
      </c>
      <c r="C5648">
        <v>3</v>
      </c>
      <c r="D5648">
        <v>3</v>
      </c>
      <c r="E5648">
        <v>2</v>
      </c>
      <c r="F5648" s="15">
        <v>46245</v>
      </c>
      <c r="G5648" t="s">
        <v>679</v>
      </c>
      <c r="H5648">
        <v>4</v>
      </c>
      <c r="I5648">
        <v>2026</v>
      </c>
      <c r="J5648">
        <v>8</v>
      </c>
      <c r="K5648" t="s">
        <v>87</v>
      </c>
      <c r="L5648" t="s">
        <v>351</v>
      </c>
      <c r="M5648" t="s">
        <v>63</v>
      </c>
      <c r="N5648" t="b">
        <v>0</v>
      </c>
      <c r="O5648">
        <v>0</v>
      </c>
      <c r="P5648">
        <v>0</v>
      </c>
      <c r="Q5648">
        <v>1</v>
      </c>
      <c r="R5648">
        <v>0</v>
      </c>
    </row>
    <row r="5649" spans="1:18" x14ac:dyDescent="0.25">
      <c r="A5649" t="s">
        <v>20</v>
      </c>
      <c r="B5649" t="s">
        <v>63</v>
      </c>
      <c r="C5649">
        <v>3</v>
      </c>
      <c r="D5649">
        <v>3</v>
      </c>
      <c r="E5649">
        <v>2</v>
      </c>
      <c r="F5649" s="15">
        <v>46245</v>
      </c>
      <c r="G5649" t="s">
        <v>679</v>
      </c>
      <c r="H5649">
        <v>4</v>
      </c>
      <c r="I5649">
        <v>2026</v>
      </c>
      <c r="J5649">
        <v>8</v>
      </c>
      <c r="K5649" t="s">
        <v>87</v>
      </c>
      <c r="L5649" t="s">
        <v>28</v>
      </c>
      <c r="M5649" t="s">
        <v>63</v>
      </c>
      <c r="N5649" t="b">
        <v>0</v>
      </c>
      <c r="O5649">
        <v>0</v>
      </c>
      <c r="P5649">
        <v>0</v>
      </c>
      <c r="Q5649">
        <v>1</v>
      </c>
      <c r="R5649">
        <v>0</v>
      </c>
    </row>
    <row r="5650" spans="1:18" x14ac:dyDescent="0.25">
      <c r="A5650" t="s">
        <v>20</v>
      </c>
      <c r="B5650" t="s">
        <v>63</v>
      </c>
      <c r="C5650">
        <v>3</v>
      </c>
      <c r="D5650">
        <v>3</v>
      </c>
      <c r="E5650">
        <v>2</v>
      </c>
      <c r="F5650" s="15">
        <v>46245</v>
      </c>
      <c r="G5650" t="s">
        <v>679</v>
      </c>
      <c r="H5650">
        <v>4</v>
      </c>
      <c r="I5650">
        <v>2026</v>
      </c>
      <c r="J5650">
        <v>8</v>
      </c>
      <c r="K5650" t="s">
        <v>87</v>
      </c>
      <c r="L5650" t="s">
        <v>364</v>
      </c>
      <c r="M5650" t="s">
        <v>63</v>
      </c>
      <c r="N5650" t="b">
        <v>0</v>
      </c>
      <c r="O5650">
        <v>0</v>
      </c>
      <c r="P5650">
        <v>0</v>
      </c>
      <c r="Q5650">
        <v>1</v>
      </c>
      <c r="R5650">
        <v>0</v>
      </c>
    </row>
    <row r="5651" spans="1:18" x14ac:dyDescent="0.25">
      <c r="A5651" t="s">
        <v>364</v>
      </c>
      <c r="B5651" t="s">
        <v>63</v>
      </c>
      <c r="C5651">
        <v>4</v>
      </c>
      <c r="D5651">
        <v>3</v>
      </c>
      <c r="E5651">
        <v>2</v>
      </c>
      <c r="F5651" s="15">
        <v>46245</v>
      </c>
      <c r="G5651" t="s">
        <v>679</v>
      </c>
      <c r="H5651">
        <v>4</v>
      </c>
      <c r="I5651">
        <v>2026</v>
      </c>
      <c r="J5651">
        <v>8</v>
      </c>
      <c r="K5651" t="s">
        <v>87</v>
      </c>
      <c r="L5651" t="s">
        <v>351</v>
      </c>
      <c r="M5651" t="s">
        <v>63</v>
      </c>
      <c r="N5651" t="b">
        <v>0</v>
      </c>
      <c r="O5651">
        <v>0</v>
      </c>
      <c r="P5651">
        <v>0</v>
      </c>
      <c r="Q5651">
        <v>1</v>
      </c>
      <c r="R5651">
        <v>0</v>
      </c>
    </row>
    <row r="5652" spans="1:18" x14ac:dyDescent="0.25">
      <c r="A5652" t="s">
        <v>364</v>
      </c>
      <c r="B5652" t="s">
        <v>63</v>
      </c>
      <c r="C5652">
        <v>4</v>
      </c>
      <c r="D5652">
        <v>3</v>
      </c>
      <c r="E5652">
        <v>2</v>
      </c>
      <c r="F5652" s="15">
        <v>46245</v>
      </c>
      <c r="G5652" t="s">
        <v>679</v>
      </c>
      <c r="H5652">
        <v>4</v>
      </c>
      <c r="I5652">
        <v>2026</v>
      </c>
      <c r="J5652">
        <v>8</v>
      </c>
      <c r="K5652" t="s">
        <v>87</v>
      </c>
      <c r="L5652" t="s">
        <v>28</v>
      </c>
      <c r="M5652" t="s">
        <v>63</v>
      </c>
      <c r="N5652" t="b">
        <v>0</v>
      </c>
      <c r="O5652">
        <v>0</v>
      </c>
      <c r="P5652">
        <v>0</v>
      </c>
      <c r="Q5652">
        <v>1</v>
      </c>
      <c r="R5652">
        <v>0</v>
      </c>
    </row>
    <row r="5653" spans="1:18" x14ac:dyDescent="0.25">
      <c r="A5653" t="s">
        <v>364</v>
      </c>
      <c r="B5653" t="s">
        <v>63</v>
      </c>
      <c r="C5653">
        <v>4</v>
      </c>
      <c r="D5653">
        <v>3</v>
      </c>
      <c r="E5653">
        <v>2</v>
      </c>
      <c r="F5653" s="15">
        <v>46245</v>
      </c>
      <c r="G5653" t="s">
        <v>679</v>
      </c>
      <c r="H5653">
        <v>4</v>
      </c>
      <c r="I5653">
        <v>2026</v>
      </c>
      <c r="J5653">
        <v>8</v>
      </c>
      <c r="K5653" t="s">
        <v>87</v>
      </c>
      <c r="L5653" t="s">
        <v>20</v>
      </c>
      <c r="M5653" t="s">
        <v>63</v>
      </c>
      <c r="N5653" t="b">
        <v>0</v>
      </c>
      <c r="O5653">
        <v>0</v>
      </c>
      <c r="P5653">
        <v>0</v>
      </c>
      <c r="Q5653">
        <v>1</v>
      </c>
      <c r="R5653">
        <v>0</v>
      </c>
    </row>
    <row r="5654" spans="1:18" x14ac:dyDescent="0.25">
      <c r="A5654" t="s">
        <v>14</v>
      </c>
      <c r="B5654" t="s">
        <v>63</v>
      </c>
      <c r="C5654">
        <v>1</v>
      </c>
      <c r="D5654">
        <v>4</v>
      </c>
      <c r="E5654">
        <v>2</v>
      </c>
      <c r="F5654" s="15">
        <v>46245</v>
      </c>
      <c r="G5654" t="s">
        <v>680</v>
      </c>
      <c r="H5654">
        <v>4</v>
      </c>
      <c r="I5654">
        <v>2026</v>
      </c>
      <c r="J5654">
        <v>8</v>
      </c>
      <c r="K5654" t="s">
        <v>87</v>
      </c>
      <c r="L5654" t="s">
        <v>433</v>
      </c>
      <c r="M5654" t="s">
        <v>63</v>
      </c>
      <c r="N5654" t="b">
        <v>0</v>
      </c>
      <c r="O5654">
        <v>0</v>
      </c>
      <c r="P5654">
        <v>0</v>
      </c>
      <c r="Q5654">
        <v>1</v>
      </c>
      <c r="R5654">
        <v>0</v>
      </c>
    </row>
    <row r="5655" spans="1:18" x14ac:dyDescent="0.25">
      <c r="A5655" t="s">
        <v>14</v>
      </c>
      <c r="B5655" t="s">
        <v>63</v>
      </c>
      <c r="C5655">
        <v>1</v>
      </c>
      <c r="D5655">
        <v>4</v>
      </c>
      <c r="E5655">
        <v>2</v>
      </c>
      <c r="F5655" s="15">
        <v>46245</v>
      </c>
      <c r="G5655" t="s">
        <v>680</v>
      </c>
      <c r="H5655">
        <v>4</v>
      </c>
      <c r="I5655">
        <v>2026</v>
      </c>
      <c r="J5655">
        <v>8</v>
      </c>
      <c r="K5655" t="s">
        <v>87</v>
      </c>
      <c r="L5655" t="s">
        <v>9</v>
      </c>
      <c r="M5655" t="s">
        <v>63</v>
      </c>
      <c r="N5655" t="b">
        <v>0</v>
      </c>
      <c r="O5655">
        <v>0</v>
      </c>
      <c r="P5655">
        <v>0</v>
      </c>
      <c r="Q5655">
        <v>1</v>
      </c>
      <c r="R5655">
        <v>0</v>
      </c>
    </row>
    <row r="5656" spans="1:18" x14ac:dyDescent="0.25">
      <c r="A5656" t="s">
        <v>14</v>
      </c>
      <c r="B5656" t="s">
        <v>63</v>
      </c>
      <c r="C5656">
        <v>1</v>
      </c>
      <c r="D5656">
        <v>4</v>
      </c>
      <c r="E5656">
        <v>2</v>
      </c>
      <c r="F5656" s="15">
        <v>46245</v>
      </c>
      <c r="G5656" t="s">
        <v>680</v>
      </c>
      <c r="H5656">
        <v>4</v>
      </c>
      <c r="I5656">
        <v>2026</v>
      </c>
      <c r="J5656">
        <v>8</v>
      </c>
      <c r="K5656" t="s">
        <v>87</v>
      </c>
      <c r="L5656" t="s">
        <v>464</v>
      </c>
      <c r="M5656" t="s">
        <v>63</v>
      </c>
      <c r="N5656" t="b">
        <v>0</v>
      </c>
      <c r="O5656">
        <v>0</v>
      </c>
      <c r="P5656">
        <v>0</v>
      </c>
      <c r="Q5656">
        <v>1</v>
      </c>
      <c r="R5656">
        <v>0</v>
      </c>
    </row>
    <row r="5657" spans="1:18" x14ac:dyDescent="0.25">
      <c r="A5657" t="s">
        <v>433</v>
      </c>
      <c r="B5657" t="s">
        <v>63</v>
      </c>
      <c r="C5657">
        <v>2</v>
      </c>
      <c r="D5657">
        <v>4</v>
      </c>
      <c r="E5657">
        <v>2</v>
      </c>
      <c r="F5657" s="15">
        <v>46245</v>
      </c>
      <c r="G5657" t="s">
        <v>680</v>
      </c>
      <c r="H5657">
        <v>4</v>
      </c>
      <c r="I5657">
        <v>2026</v>
      </c>
      <c r="J5657">
        <v>8</v>
      </c>
      <c r="K5657" t="s">
        <v>87</v>
      </c>
      <c r="L5657" t="s">
        <v>14</v>
      </c>
      <c r="M5657" t="s">
        <v>63</v>
      </c>
      <c r="N5657" t="b">
        <v>0</v>
      </c>
      <c r="O5657">
        <v>0</v>
      </c>
      <c r="P5657">
        <v>0</v>
      </c>
      <c r="Q5657">
        <v>1</v>
      </c>
      <c r="R5657">
        <v>0</v>
      </c>
    </row>
    <row r="5658" spans="1:18" x14ac:dyDescent="0.25">
      <c r="A5658" t="s">
        <v>433</v>
      </c>
      <c r="B5658" t="s">
        <v>63</v>
      </c>
      <c r="C5658">
        <v>2</v>
      </c>
      <c r="D5658">
        <v>4</v>
      </c>
      <c r="E5658">
        <v>2</v>
      </c>
      <c r="F5658" s="15">
        <v>46245</v>
      </c>
      <c r="G5658" t="s">
        <v>680</v>
      </c>
      <c r="H5658">
        <v>4</v>
      </c>
      <c r="I5658">
        <v>2026</v>
      </c>
      <c r="J5658">
        <v>8</v>
      </c>
      <c r="K5658" t="s">
        <v>87</v>
      </c>
      <c r="L5658" t="s">
        <v>9</v>
      </c>
      <c r="M5658" t="s">
        <v>63</v>
      </c>
      <c r="N5658" t="b">
        <v>0</v>
      </c>
      <c r="O5658">
        <v>0</v>
      </c>
      <c r="P5658">
        <v>0</v>
      </c>
      <c r="Q5658">
        <v>1</v>
      </c>
      <c r="R5658">
        <v>0</v>
      </c>
    </row>
    <row r="5659" spans="1:18" x14ac:dyDescent="0.25">
      <c r="A5659" t="s">
        <v>433</v>
      </c>
      <c r="B5659" t="s">
        <v>63</v>
      </c>
      <c r="C5659">
        <v>2</v>
      </c>
      <c r="D5659">
        <v>4</v>
      </c>
      <c r="E5659">
        <v>2</v>
      </c>
      <c r="F5659" s="15">
        <v>46245</v>
      </c>
      <c r="G5659" t="s">
        <v>680</v>
      </c>
      <c r="H5659">
        <v>4</v>
      </c>
      <c r="I5659">
        <v>2026</v>
      </c>
      <c r="J5659">
        <v>8</v>
      </c>
      <c r="K5659" t="s">
        <v>87</v>
      </c>
      <c r="L5659" t="s">
        <v>464</v>
      </c>
      <c r="M5659" t="s">
        <v>63</v>
      </c>
      <c r="N5659" t="b">
        <v>0</v>
      </c>
      <c r="O5659">
        <v>0</v>
      </c>
      <c r="P5659">
        <v>0</v>
      </c>
      <c r="Q5659">
        <v>1</v>
      </c>
      <c r="R5659">
        <v>0</v>
      </c>
    </row>
    <row r="5660" spans="1:18" x14ac:dyDescent="0.25">
      <c r="A5660" t="s">
        <v>9</v>
      </c>
      <c r="B5660" t="s">
        <v>63</v>
      </c>
      <c r="C5660">
        <v>3</v>
      </c>
      <c r="D5660">
        <v>4</v>
      </c>
      <c r="E5660">
        <v>2</v>
      </c>
      <c r="F5660" s="15">
        <v>46245</v>
      </c>
      <c r="G5660" t="s">
        <v>680</v>
      </c>
      <c r="H5660">
        <v>4</v>
      </c>
      <c r="I5660">
        <v>2026</v>
      </c>
      <c r="J5660">
        <v>8</v>
      </c>
      <c r="K5660" t="s">
        <v>87</v>
      </c>
      <c r="L5660" t="s">
        <v>14</v>
      </c>
      <c r="M5660" t="s">
        <v>63</v>
      </c>
      <c r="N5660" t="b">
        <v>0</v>
      </c>
      <c r="O5660">
        <v>0</v>
      </c>
      <c r="P5660">
        <v>0</v>
      </c>
      <c r="Q5660">
        <v>1</v>
      </c>
      <c r="R5660">
        <v>0</v>
      </c>
    </row>
    <row r="5661" spans="1:18" x14ac:dyDescent="0.25">
      <c r="A5661" t="s">
        <v>9</v>
      </c>
      <c r="B5661" t="s">
        <v>63</v>
      </c>
      <c r="C5661">
        <v>3</v>
      </c>
      <c r="D5661">
        <v>4</v>
      </c>
      <c r="E5661">
        <v>2</v>
      </c>
      <c r="F5661" s="15">
        <v>46245</v>
      </c>
      <c r="G5661" t="s">
        <v>680</v>
      </c>
      <c r="H5661">
        <v>4</v>
      </c>
      <c r="I5661">
        <v>2026</v>
      </c>
      <c r="J5661">
        <v>8</v>
      </c>
      <c r="K5661" t="s">
        <v>87</v>
      </c>
      <c r="L5661" t="s">
        <v>433</v>
      </c>
      <c r="M5661" t="s">
        <v>63</v>
      </c>
      <c r="N5661" t="b">
        <v>0</v>
      </c>
      <c r="O5661">
        <v>0</v>
      </c>
      <c r="P5661">
        <v>0</v>
      </c>
      <c r="Q5661">
        <v>1</v>
      </c>
      <c r="R5661">
        <v>0</v>
      </c>
    </row>
    <row r="5662" spans="1:18" x14ac:dyDescent="0.25">
      <c r="A5662" t="s">
        <v>9</v>
      </c>
      <c r="B5662" t="s">
        <v>63</v>
      </c>
      <c r="C5662">
        <v>3</v>
      </c>
      <c r="D5662">
        <v>4</v>
      </c>
      <c r="E5662">
        <v>2</v>
      </c>
      <c r="F5662" s="15">
        <v>46245</v>
      </c>
      <c r="G5662" t="s">
        <v>680</v>
      </c>
      <c r="H5662">
        <v>4</v>
      </c>
      <c r="I5662">
        <v>2026</v>
      </c>
      <c r="J5662">
        <v>8</v>
      </c>
      <c r="K5662" t="s">
        <v>87</v>
      </c>
      <c r="L5662" t="s">
        <v>464</v>
      </c>
      <c r="M5662" t="s">
        <v>63</v>
      </c>
      <c r="N5662" t="b">
        <v>0</v>
      </c>
      <c r="O5662">
        <v>0</v>
      </c>
      <c r="P5662">
        <v>0</v>
      </c>
      <c r="Q5662">
        <v>1</v>
      </c>
      <c r="R5662">
        <v>0</v>
      </c>
    </row>
    <row r="5663" spans="1:18" x14ac:dyDescent="0.25">
      <c r="A5663" t="s">
        <v>464</v>
      </c>
      <c r="B5663" t="s">
        <v>63</v>
      </c>
      <c r="C5663">
        <v>4</v>
      </c>
      <c r="D5663">
        <v>4</v>
      </c>
      <c r="E5663">
        <v>2</v>
      </c>
      <c r="F5663" s="15">
        <v>46245</v>
      </c>
      <c r="G5663" t="s">
        <v>680</v>
      </c>
      <c r="H5663">
        <v>4</v>
      </c>
      <c r="I5663">
        <v>2026</v>
      </c>
      <c r="J5663">
        <v>8</v>
      </c>
      <c r="K5663" t="s">
        <v>87</v>
      </c>
      <c r="L5663" t="s">
        <v>14</v>
      </c>
      <c r="M5663" t="s">
        <v>63</v>
      </c>
      <c r="N5663" t="b">
        <v>0</v>
      </c>
      <c r="O5663">
        <v>0</v>
      </c>
      <c r="P5663">
        <v>0</v>
      </c>
      <c r="Q5663">
        <v>1</v>
      </c>
      <c r="R5663">
        <v>0</v>
      </c>
    </row>
    <row r="5664" spans="1:18" x14ac:dyDescent="0.25">
      <c r="A5664" t="s">
        <v>464</v>
      </c>
      <c r="B5664" t="s">
        <v>63</v>
      </c>
      <c r="C5664">
        <v>4</v>
      </c>
      <c r="D5664">
        <v>4</v>
      </c>
      <c r="E5664">
        <v>2</v>
      </c>
      <c r="F5664" s="15">
        <v>46245</v>
      </c>
      <c r="G5664" t="s">
        <v>680</v>
      </c>
      <c r="H5664">
        <v>4</v>
      </c>
      <c r="I5664">
        <v>2026</v>
      </c>
      <c r="J5664">
        <v>8</v>
      </c>
      <c r="K5664" t="s">
        <v>87</v>
      </c>
      <c r="L5664" t="s">
        <v>433</v>
      </c>
      <c r="M5664" t="s">
        <v>63</v>
      </c>
      <c r="N5664" t="b">
        <v>0</v>
      </c>
      <c r="O5664">
        <v>0</v>
      </c>
      <c r="P5664">
        <v>0</v>
      </c>
      <c r="Q5664">
        <v>1</v>
      </c>
      <c r="R5664">
        <v>0</v>
      </c>
    </row>
    <row r="5665" spans="1:18" x14ac:dyDescent="0.25">
      <c r="A5665" t="s">
        <v>464</v>
      </c>
      <c r="B5665" t="s">
        <v>63</v>
      </c>
      <c r="C5665">
        <v>4</v>
      </c>
      <c r="D5665">
        <v>4</v>
      </c>
      <c r="E5665">
        <v>2</v>
      </c>
      <c r="F5665" s="15">
        <v>46245</v>
      </c>
      <c r="G5665" t="s">
        <v>680</v>
      </c>
      <c r="H5665">
        <v>4</v>
      </c>
      <c r="I5665">
        <v>2026</v>
      </c>
      <c r="J5665">
        <v>8</v>
      </c>
      <c r="K5665" t="s">
        <v>87</v>
      </c>
      <c r="L5665" t="s">
        <v>9</v>
      </c>
      <c r="M5665" t="s">
        <v>63</v>
      </c>
      <c r="N5665" t="b">
        <v>0</v>
      </c>
      <c r="O5665">
        <v>0</v>
      </c>
      <c r="P5665">
        <v>0</v>
      </c>
      <c r="Q5665">
        <v>1</v>
      </c>
      <c r="R5665">
        <v>0</v>
      </c>
    </row>
    <row r="5666" spans="1:18" x14ac:dyDescent="0.25">
      <c r="A5666" t="s">
        <v>41</v>
      </c>
      <c r="B5666" t="s">
        <v>6</v>
      </c>
      <c r="C5666">
        <v>1</v>
      </c>
      <c r="D5666">
        <v>5</v>
      </c>
      <c r="E5666">
        <v>2</v>
      </c>
      <c r="F5666" s="15">
        <v>46245</v>
      </c>
      <c r="G5666" t="s">
        <v>681</v>
      </c>
      <c r="H5666">
        <v>3</v>
      </c>
      <c r="I5666">
        <v>2026</v>
      </c>
      <c r="J5666">
        <v>8</v>
      </c>
      <c r="K5666" t="s">
        <v>87</v>
      </c>
      <c r="L5666" t="s">
        <v>609</v>
      </c>
      <c r="M5666" t="s">
        <v>6</v>
      </c>
      <c r="N5666" t="b">
        <v>0</v>
      </c>
      <c r="O5666">
        <v>0</v>
      </c>
      <c r="P5666">
        <v>1</v>
      </c>
      <c r="Q5666">
        <v>0</v>
      </c>
      <c r="R5666">
        <v>0</v>
      </c>
    </row>
    <row r="5667" spans="1:18" x14ac:dyDescent="0.25">
      <c r="A5667" t="s">
        <v>41</v>
      </c>
      <c r="B5667" t="s">
        <v>6</v>
      </c>
      <c r="C5667">
        <v>1</v>
      </c>
      <c r="D5667">
        <v>5</v>
      </c>
      <c r="E5667">
        <v>2</v>
      </c>
      <c r="F5667" s="15">
        <v>46245</v>
      </c>
      <c r="G5667" t="s">
        <v>681</v>
      </c>
      <c r="H5667">
        <v>3</v>
      </c>
      <c r="I5667">
        <v>2026</v>
      </c>
      <c r="J5667">
        <v>8</v>
      </c>
      <c r="K5667" t="s">
        <v>87</v>
      </c>
      <c r="L5667" t="s">
        <v>7</v>
      </c>
      <c r="M5667" t="s">
        <v>8</v>
      </c>
      <c r="N5667" t="b">
        <v>0</v>
      </c>
      <c r="O5667">
        <v>0</v>
      </c>
      <c r="P5667">
        <v>1</v>
      </c>
      <c r="Q5667">
        <v>0</v>
      </c>
      <c r="R5667">
        <v>1</v>
      </c>
    </row>
    <row r="5668" spans="1:18" x14ac:dyDescent="0.25">
      <c r="A5668" t="s">
        <v>609</v>
      </c>
      <c r="B5668" t="s">
        <v>6</v>
      </c>
      <c r="C5668">
        <v>2</v>
      </c>
      <c r="D5668">
        <v>5</v>
      </c>
      <c r="E5668">
        <v>2</v>
      </c>
      <c r="F5668" s="15">
        <v>46245</v>
      </c>
      <c r="G5668" t="s">
        <v>681</v>
      </c>
      <c r="H5668">
        <v>3</v>
      </c>
      <c r="I5668">
        <v>2026</v>
      </c>
      <c r="J5668">
        <v>8</v>
      </c>
      <c r="K5668" t="s">
        <v>87</v>
      </c>
      <c r="L5668" t="s">
        <v>41</v>
      </c>
      <c r="M5668" t="s">
        <v>6</v>
      </c>
      <c r="N5668" t="b">
        <v>0</v>
      </c>
      <c r="O5668">
        <v>0</v>
      </c>
      <c r="P5668">
        <v>1</v>
      </c>
      <c r="Q5668">
        <v>0</v>
      </c>
      <c r="R5668">
        <v>0</v>
      </c>
    </row>
    <row r="5669" spans="1:18" x14ac:dyDescent="0.25">
      <c r="A5669" t="s">
        <v>609</v>
      </c>
      <c r="B5669" t="s">
        <v>6</v>
      </c>
      <c r="C5669">
        <v>2</v>
      </c>
      <c r="D5669">
        <v>5</v>
      </c>
      <c r="E5669">
        <v>2</v>
      </c>
      <c r="F5669" s="15">
        <v>46245</v>
      </c>
      <c r="G5669" t="s">
        <v>681</v>
      </c>
      <c r="H5669">
        <v>3</v>
      </c>
      <c r="I5669">
        <v>2026</v>
      </c>
      <c r="J5669">
        <v>8</v>
      </c>
      <c r="K5669" t="s">
        <v>87</v>
      </c>
      <c r="L5669" t="s">
        <v>7</v>
      </c>
      <c r="M5669" t="s">
        <v>8</v>
      </c>
      <c r="N5669" t="b">
        <v>0</v>
      </c>
      <c r="O5669">
        <v>0</v>
      </c>
      <c r="P5669">
        <v>1</v>
      </c>
      <c r="Q5669">
        <v>0</v>
      </c>
      <c r="R5669">
        <v>1</v>
      </c>
    </row>
    <row r="5670" spans="1:18" x14ac:dyDescent="0.25">
      <c r="A5670" t="s">
        <v>7</v>
      </c>
      <c r="B5670" t="s">
        <v>8</v>
      </c>
      <c r="C5670">
        <v>3</v>
      </c>
      <c r="D5670">
        <v>5</v>
      </c>
      <c r="E5670">
        <v>2</v>
      </c>
      <c r="F5670" s="15">
        <v>46245</v>
      </c>
      <c r="G5670" t="s">
        <v>681</v>
      </c>
      <c r="H5670">
        <v>3</v>
      </c>
      <c r="I5670">
        <v>2026</v>
      </c>
      <c r="J5670">
        <v>8</v>
      </c>
      <c r="K5670" t="s">
        <v>87</v>
      </c>
      <c r="L5670" t="s">
        <v>41</v>
      </c>
      <c r="M5670" t="s">
        <v>6</v>
      </c>
      <c r="N5670" t="b">
        <v>0</v>
      </c>
      <c r="O5670">
        <v>1</v>
      </c>
      <c r="P5670">
        <v>0</v>
      </c>
      <c r="Q5670">
        <v>0</v>
      </c>
      <c r="R5670">
        <v>0</v>
      </c>
    </row>
    <row r="5671" spans="1:18" x14ac:dyDescent="0.25">
      <c r="A5671" t="s">
        <v>7</v>
      </c>
      <c r="B5671" t="s">
        <v>8</v>
      </c>
      <c r="C5671">
        <v>3</v>
      </c>
      <c r="D5671">
        <v>5</v>
      </c>
      <c r="E5671">
        <v>2</v>
      </c>
      <c r="F5671" s="15">
        <v>46245</v>
      </c>
      <c r="G5671" t="s">
        <v>681</v>
      </c>
      <c r="H5671">
        <v>3</v>
      </c>
      <c r="I5671">
        <v>2026</v>
      </c>
      <c r="J5671">
        <v>8</v>
      </c>
      <c r="K5671" t="s">
        <v>87</v>
      </c>
      <c r="L5671" t="s">
        <v>609</v>
      </c>
      <c r="M5671" t="s">
        <v>6</v>
      </c>
      <c r="N5671" t="b">
        <v>0</v>
      </c>
      <c r="O5671">
        <v>1</v>
      </c>
      <c r="P5671">
        <v>0</v>
      </c>
      <c r="Q5671">
        <v>0</v>
      </c>
      <c r="R5671">
        <v>0</v>
      </c>
    </row>
    <row r="5672" spans="1:18" x14ac:dyDescent="0.25">
      <c r="A5672" t="s">
        <v>438</v>
      </c>
      <c r="B5672" t="s">
        <v>8</v>
      </c>
      <c r="C5672">
        <v>1</v>
      </c>
      <c r="D5672">
        <v>6</v>
      </c>
      <c r="E5672">
        <v>2</v>
      </c>
      <c r="F5672" s="15">
        <v>46245</v>
      </c>
      <c r="G5672" t="s">
        <v>682</v>
      </c>
      <c r="H5672">
        <v>3</v>
      </c>
      <c r="I5672">
        <v>2026</v>
      </c>
      <c r="J5672">
        <v>8</v>
      </c>
      <c r="K5672" t="s">
        <v>87</v>
      </c>
      <c r="L5672" t="s">
        <v>17</v>
      </c>
      <c r="M5672" t="s">
        <v>6</v>
      </c>
      <c r="N5672" t="b">
        <v>0</v>
      </c>
      <c r="O5672">
        <v>1</v>
      </c>
      <c r="P5672">
        <v>0</v>
      </c>
      <c r="Q5672">
        <v>0</v>
      </c>
      <c r="R5672">
        <v>0</v>
      </c>
    </row>
    <row r="5673" spans="1:18" x14ac:dyDescent="0.25">
      <c r="A5673" t="s">
        <v>438</v>
      </c>
      <c r="B5673" t="s">
        <v>8</v>
      </c>
      <c r="C5673">
        <v>1</v>
      </c>
      <c r="D5673">
        <v>6</v>
      </c>
      <c r="E5673">
        <v>2</v>
      </c>
      <c r="F5673" s="15">
        <v>46245</v>
      </c>
      <c r="G5673" t="s">
        <v>682</v>
      </c>
      <c r="H5673">
        <v>3</v>
      </c>
      <c r="I5673">
        <v>2026</v>
      </c>
      <c r="J5673">
        <v>8</v>
      </c>
      <c r="K5673" t="s">
        <v>87</v>
      </c>
      <c r="L5673" t="s">
        <v>13</v>
      </c>
      <c r="M5673" t="s">
        <v>6</v>
      </c>
      <c r="N5673" t="b">
        <v>0</v>
      </c>
      <c r="O5673">
        <v>1</v>
      </c>
      <c r="P5673">
        <v>0</v>
      </c>
      <c r="Q5673">
        <v>0</v>
      </c>
      <c r="R5673">
        <v>0</v>
      </c>
    </row>
    <row r="5674" spans="1:18" x14ac:dyDescent="0.25">
      <c r="A5674" t="s">
        <v>17</v>
      </c>
      <c r="B5674" t="s">
        <v>6</v>
      </c>
      <c r="C5674">
        <v>2</v>
      </c>
      <c r="D5674">
        <v>6</v>
      </c>
      <c r="E5674">
        <v>2</v>
      </c>
      <c r="F5674" s="15">
        <v>46245</v>
      </c>
      <c r="G5674" t="s">
        <v>682</v>
      </c>
      <c r="H5674">
        <v>3</v>
      </c>
      <c r="I5674">
        <v>2026</v>
      </c>
      <c r="J5674">
        <v>8</v>
      </c>
      <c r="K5674" t="s">
        <v>87</v>
      </c>
      <c r="L5674" t="s">
        <v>438</v>
      </c>
      <c r="M5674" t="s">
        <v>8</v>
      </c>
      <c r="N5674" t="b">
        <v>0</v>
      </c>
      <c r="O5674">
        <v>0</v>
      </c>
      <c r="P5674">
        <v>1</v>
      </c>
      <c r="Q5674">
        <v>0</v>
      </c>
      <c r="R5674">
        <v>1</v>
      </c>
    </row>
    <row r="5675" spans="1:18" x14ac:dyDescent="0.25">
      <c r="A5675" t="s">
        <v>17</v>
      </c>
      <c r="B5675" t="s">
        <v>6</v>
      </c>
      <c r="C5675">
        <v>2</v>
      </c>
      <c r="D5675">
        <v>6</v>
      </c>
      <c r="E5675">
        <v>2</v>
      </c>
      <c r="F5675" s="15">
        <v>46245</v>
      </c>
      <c r="G5675" t="s">
        <v>682</v>
      </c>
      <c r="H5675">
        <v>3</v>
      </c>
      <c r="I5675">
        <v>2026</v>
      </c>
      <c r="J5675">
        <v>8</v>
      </c>
      <c r="K5675" t="s">
        <v>87</v>
      </c>
      <c r="L5675" t="s">
        <v>13</v>
      </c>
      <c r="M5675" t="s">
        <v>6</v>
      </c>
      <c r="N5675" t="b">
        <v>0</v>
      </c>
      <c r="O5675">
        <v>0</v>
      </c>
      <c r="P5675">
        <v>1</v>
      </c>
      <c r="Q5675">
        <v>0</v>
      </c>
      <c r="R5675">
        <v>0</v>
      </c>
    </row>
    <row r="5676" spans="1:18" x14ac:dyDescent="0.25">
      <c r="A5676" t="s">
        <v>13</v>
      </c>
      <c r="B5676" t="s">
        <v>6</v>
      </c>
      <c r="C5676">
        <v>3</v>
      </c>
      <c r="D5676">
        <v>6</v>
      </c>
      <c r="E5676">
        <v>2</v>
      </c>
      <c r="F5676" s="15">
        <v>46245</v>
      </c>
      <c r="G5676" t="s">
        <v>682</v>
      </c>
      <c r="H5676">
        <v>3</v>
      </c>
      <c r="I5676">
        <v>2026</v>
      </c>
      <c r="J5676">
        <v>8</v>
      </c>
      <c r="K5676" t="s">
        <v>87</v>
      </c>
      <c r="L5676" t="s">
        <v>438</v>
      </c>
      <c r="M5676" t="s">
        <v>8</v>
      </c>
      <c r="N5676" t="b">
        <v>0</v>
      </c>
      <c r="O5676">
        <v>0</v>
      </c>
      <c r="P5676">
        <v>1</v>
      </c>
      <c r="Q5676">
        <v>0</v>
      </c>
      <c r="R5676">
        <v>1</v>
      </c>
    </row>
    <row r="5677" spans="1:18" x14ac:dyDescent="0.25">
      <c r="A5677" t="s">
        <v>13</v>
      </c>
      <c r="B5677" t="s">
        <v>6</v>
      </c>
      <c r="C5677">
        <v>3</v>
      </c>
      <c r="D5677">
        <v>6</v>
      </c>
      <c r="E5677">
        <v>2</v>
      </c>
      <c r="F5677" s="15">
        <v>46245</v>
      </c>
      <c r="G5677" t="s">
        <v>682</v>
      </c>
      <c r="H5677">
        <v>3</v>
      </c>
      <c r="I5677">
        <v>2026</v>
      </c>
      <c r="J5677">
        <v>8</v>
      </c>
      <c r="K5677" t="s">
        <v>87</v>
      </c>
      <c r="L5677" t="s">
        <v>17</v>
      </c>
      <c r="M5677" t="s">
        <v>6</v>
      </c>
      <c r="N5677" t="b">
        <v>0</v>
      </c>
      <c r="O5677">
        <v>0</v>
      </c>
      <c r="P5677">
        <v>1</v>
      </c>
      <c r="Q5677">
        <v>0</v>
      </c>
      <c r="R5677">
        <v>0</v>
      </c>
    </row>
    <row r="5678" spans="1:18" x14ac:dyDescent="0.25">
      <c r="A5678" t="s">
        <v>352</v>
      </c>
      <c r="B5678" t="s">
        <v>6</v>
      </c>
      <c r="C5678">
        <v>1</v>
      </c>
      <c r="D5678">
        <v>1</v>
      </c>
      <c r="E5678">
        <v>1</v>
      </c>
      <c r="F5678" s="15">
        <v>46251</v>
      </c>
      <c r="G5678" t="s">
        <v>683</v>
      </c>
      <c r="H5678">
        <v>4</v>
      </c>
      <c r="I5678">
        <v>2026</v>
      </c>
      <c r="J5678">
        <v>8</v>
      </c>
      <c r="K5678" t="s">
        <v>87</v>
      </c>
      <c r="L5678" t="s">
        <v>578</v>
      </c>
      <c r="M5678" t="s">
        <v>8</v>
      </c>
      <c r="N5678" t="b">
        <v>0</v>
      </c>
      <c r="O5678">
        <v>0</v>
      </c>
      <c r="P5678">
        <v>1</v>
      </c>
      <c r="Q5678">
        <v>0</v>
      </c>
      <c r="R5678">
        <v>1</v>
      </c>
    </row>
    <row r="5679" spans="1:18" x14ac:dyDescent="0.25">
      <c r="A5679" t="s">
        <v>352</v>
      </c>
      <c r="B5679" t="s">
        <v>6</v>
      </c>
      <c r="C5679">
        <v>1</v>
      </c>
      <c r="D5679">
        <v>1</v>
      </c>
      <c r="E5679">
        <v>1</v>
      </c>
      <c r="F5679" s="15">
        <v>46251</v>
      </c>
      <c r="G5679" t="s">
        <v>683</v>
      </c>
      <c r="H5679">
        <v>4</v>
      </c>
      <c r="I5679">
        <v>2026</v>
      </c>
      <c r="J5679">
        <v>8</v>
      </c>
      <c r="K5679" t="s">
        <v>87</v>
      </c>
      <c r="L5679" t="s">
        <v>693</v>
      </c>
      <c r="M5679" t="s">
        <v>6</v>
      </c>
      <c r="N5679" t="b">
        <v>0</v>
      </c>
      <c r="O5679">
        <v>0</v>
      </c>
      <c r="P5679">
        <v>1</v>
      </c>
      <c r="Q5679">
        <v>0</v>
      </c>
      <c r="R5679">
        <v>0</v>
      </c>
    </row>
    <row r="5680" spans="1:18" x14ac:dyDescent="0.25">
      <c r="A5680" t="s">
        <v>352</v>
      </c>
      <c r="B5680" t="s">
        <v>6</v>
      </c>
      <c r="C5680">
        <v>1</v>
      </c>
      <c r="D5680">
        <v>1</v>
      </c>
      <c r="E5680">
        <v>1</v>
      </c>
      <c r="F5680" s="15">
        <v>46251</v>
      </c>
      <c r="G5680" t="s">
        <v>683</v>
      </c>
      <c r="H5680">
        <v>4</v>
      </c>
      <c r="I5680">
        <v>2026</v>
      </c>
      <c r="J5680">
        <v>8</v>
      </c>
      <c r="K5680" t="s">
        <v>87</v>
      </c>
      <c r="L5680" t="s">
        <v>9</v>
      </c>
      <c r="M5680" t="s">
        <v>6</v>
      </c>
      <c r="N5680" t="b">
        <v>0</v>
      </c>
      <c r="O5680">
        <v>0</v>
      </c>
      <c r="P5680">
        <v>1</v>
      </c>
      <c r="Q5680">
        <v>0</v>
      </c>
      <c r="R5680">
        <v>0</v>
      </c>
    </row>
    <row r="5681" spans="1:18" x14ac:dyDescent="0.25">
      <c r="A5681" t="s">
        <v>578</v>
      </c>
      <c r="B5681" t="s">
        <v>8</v>
      </c>
      <c r="C5681">
        <v>2</v>
      </c>
      <c r="D5681">
        <v>1</v>
      </c>
      <c r="E5681">
        <v>1</v>
      </c>
      <c r="F5681" s="15">
        <v>46251</v>
      </c>
      <c r="G5681" t="s">
        <v>683</v>
      </c>
      <c r="H5681">
        <v>4</v>
      </c>
      <c r="I5681">
        <v>2026</v>
      </c>
      <c r="J5681">
        <v>8</v>
      </c>
      <c r="K5681" t="s">
        <v>87</v>
      </c>
      <c r="L5681" t="s">
        <v>352</v>
      </c>
      <c r="M5681" t="s">
        <v>6</v>
      </c>
      <c r="N5681" t="b">
        <v>0</v>
      </c>
      <c r="O5681">
        <v>1</v>
      </c>
      <c r="P5681">
        <v>0</v>
      </c>
      <c r="Q5681">
        <v>0</v>
      </c>
      <c r="R5681">
        <v>0</v>
      </c>
    </row>
    <row r="5682" spans="1:18" x14ac:dyDescent="0.25">
      <c r="A5682" t="s">
        <v>578</v>
      </c>
      <c r="B5682" t="s">
        <v>8</v>
      </c>
      <c r="C5682">
        <v>2</v>
      </c>
      <c r="D5682">
        <v>1</v>
      </c>
      <c r="E5682">
        <v>1</v>
      </c>
      <c r="F5682" s="15">
        <v>46251</v>
      </c>
      <c r="G5682" t="s">
        <v>683</v>
      </c>
      <c r="H5682">
        <v>4</v>
      </c>
      <c r="I5682">
        <v>2026</v>
      </c>
      <c r="J5682">
        <v>8</v>
      </c>
      <c r="K5682" t="s">
        <v>87</v>
      </c>
      <c r="L5682" t="s">
        <v>693</v>
      </c>
      <c r="M5682" t="s">
        <v>6</v>
      </c>
      <c r="N5682" t="b">
        <v>0</v>
      </c>
      <c r="O5682">
        <v>1</v>
      </c>
      <c r="P5682">
        <v>0</v>
      </c>
      <c r="Q5682">
        <v>0</v>
      </c>
      <c r="R5682">
        <v>0</v>
      </c>
    </row>
    <row r="5683" spans="1:18" x14ac:dyDescent="0.25">
      <c r="A5683" t="s">
        <v>578</v>
      </c>
      <c r="B5683" t="s">
        <v>8</v>
      </c>
      <c r="C5683">
        <v>2</v>
      </c>
      <c r="D5683">
        <v>1</v>
      </c>
      <c r="E5683">
        <v>1</v>
      </c>
      <c r="F5683" s="15">
        <v>46251</v>
      </c>
      <c r="G5683" t="s">
        <v>683</v>
      </c>
      <c r="H5683">
        <v>4</v>
      </c>
      <c r="I5683">
        <v>2026</v>
      </c>
      <c r="J5683">
        <v>8</v>
      </c>
      <c r="K5683" t="s">
        <v>87</v>
      </c>
      <c r="L5683" t="s">
        <v>9</v>
      </c>
      <c r="M5683" t="s">
        <v>6</v>
      </c>
      <c r="N5683" t="b">
        <v>0</v>
      </c>
      <c r="O5683">
        <v>1</v>
      </c>
      <c r="P5683">
        <v>0</v>
      </c>
      <c r="Q5683">
        <v>0</v>
      </c>
      <c r="R5683">
        <v>0</v>
      </c>
    </row>
    <row r="5684" spans="1:18" x14ac:dyDescent="0.25">
      <c r="A5684" t="s">
        <v>693</v>
      </c>
      <c r="B5684" t="s">
        <v>6</v>
      </c>
      <c r="C5684">
        <v>3</v>
      </c>
      <c r="D5684">
        <v>1</v>
      </c>
      <c r="E5684">
        <v>1</v>
      </c>
      <c r="F5684" s="15">
        <v>46251</v>
      </c>
      <c r="G5684" t="s">
        <v>683</v>
      </c>
      <c r="H5684">
        <v>4</v>
      </c>
      <c r="I5684">
        <v>2026</v>
      </c>
      <c r="J5684">
        <v>8</v>
      </c>
      <c r="K5684" t="s">
        <v>87</v>
      </c>
      <c r="L5684" t="s">
        <v>352</v>
      </c>
      <c r="M5684" t="s">
        <v>6</v>
      </c>
      <c r="N5684" t="b">
        <v>0</v>
      </c>
      <c r="O5684">
        <v>0</v>
      </c>
      <c r="P5684">
        <v>1</v>
      </c>
      <c r="Q5684">
        <v>0</v>
      </c>
      <c r="R5684">
        <v>0</v>
      </c>
    </row>
    <row r="5685" spans="1:18" x14ac:dyDescent="0.25">
      <c r="A5685" t="s">
        <v>693</v>
      </c>
      <c r="B5685" t="s">
        <v>6</v>
      </c>
      <c r="C5685">
        <v>3</v>
      </c>
      <c r="D5685">
        <v>1</v>
      </c>
      <c r="E5685">
        <v>1</v>
      </c>
      <c r="F5685" s="15">
        <v>46251</v>
      </c>
      <c r="G5685" t="s">
        <v>683</v>
      </c>
      <c r="H5685">
        <v>4</v>
      </c>
      <c r="I5685">
        <v>2026</v>
      </c>
      <c r="J5685">
        <v>8</v>
      </c>
      <c r="K5685" t="s">
        <v>87</v>
      </c>
      <c r="L5685" t="s">
        <v>578</v>
      </c>
      <c r="M5685" t="s">
        <v>8</v>
      </c>
      <c r="N5685" t="b">
        <v>0</v>
      </c>
      <c r="O5685">
        <v>0</v>
      </c>
      <c r="P5685">
        <v>1</v>
      </c>
      <c r="Q5685">
        <v>0</v>
      </c>
      <c r="R5685">
        <v>1</v>
      </c>
    </row>
    <row r="5686" spans="1:18" x14ac:dyDescent="0.25">
      <c r="A5686" t="s">
        <v>693</v>
      </c>
      <c r="B5686" t="s">
        <v>6</v>
      </c>
      <c r="C5686">
        <v>3</v>
      </c>
      <c r="D5686">
        <v>1</v>
      </c>
      <c r="E5686">
        <v>1</v>
      </c>
      <c r="F5686" s="15">
        <v>46251</v>
      </c>
      <c r="G5686" t="s">
        <v>683</v>
      </c>
      <c r="H5686">
        <v>4</v>
      </c>
      <c r="I5686">
        <v>2026</v>
      </c>
      <c r="J5686">
        <v>8</v>
      </c>
      <c r="K5686" t="s">
        <v>87</v>
      </c>
      <c r="L5686" t="s">
        <v>9</v>
      </c>
      <c r="M5686" t="s">
        <v>6</v>
      </c>
      <c r="N5686" t="b">
        <v>0</v>
      </c>
      <c r="O5686">
        <v>0</v>
      </c>
      <c r="P5686">
        <v>1</v>
      </c>
      <c r="Q5686">
        <v>0</v>
      </c>
      <c r="R5686">
        <v>0</v>
      </c>
    </row>
    <row r="5687" spans="1:18" x14ac:dyDescent="0.25">
      <c r="A5687" t="s">
        <v>9</v>
      </c>
      <c r="B5687" t="s">
        <v>6</v>
      </c>
      <c r="C5687">
        <v>4</v>
      </c>
      <c r="D5687">
        <v>1</v>
      </c>
      <c r="E5687">
        <v>1</v>
      </c>
      <c r="F5687" s="15">
        <v>46251</v>
      </c>
      <c r="G5687" t="s">
        <v>683</v>
      </c>
      <c r="H5687">
        <v>4</v>
      </c>
      <c r="I5687">
        <v>2026</v>
      </c>
      <c r="J5687">
        <v>8</v>
      </c>
      <c r="K5687" t="s">
        <v>87</v>
      </c>
      <c r="L5687" t="s">
        <v>352</v>
      </c>
      <c r="M5687" t="s">
        <v>6</v>
      </c>
      <c r="N5687" t="b">
        <v>0</v>
      </c>
      <c r="O5687">
        <v>0</v>
      </c>
      <c r="P5687">
        <v>1</v>
      </c>
      <c r="Q5687">
        <v>0</v>
      </c>
      <c r="R5687">
        <v>0</v>
      </c>
    </row>
    <row r="5688" spans="1:18" x14ac:dyDescent="0.25">
      <c r="A5688" t="s">
        <v>9</v>
      </c>
      <c r="B5688" t="s">
        <v>6</v>
      </c>
      <c r="C5688">
        <v>4</v>
      </c>
      <c r="D5688">
        <v>1</v>
      </c>
      <c r="E5688">
        <v>1</v>
      </c>
      <c r="F5688" s="15">
        <v>46251</v>
      </c>
      <c r="G5688" t="s">
        <v>683</v>
      </c>
      <c r="H5688">
        <v>4</v>
      </c>
      <c r="I5688">
        <v>2026</v>
      </c>
      <c r="J5688">
        <v>8</v>
      </c>
      <c r="K5688" t="s">
        <v>87</v>
      </c>
      <c r="L5688" t="s">
        <v>578</v>
      </c>
      <c r="M5688" t="s">
        <v>8</v>
      </c>
      <c r="N5688" t="b">
        <v>0</v>
      </c>
      <c r="O5688">
        <v>0</v>
      </c>
      <c r="P5688">
        <v>1</v>
      </c>
      <c r="Q5688">
        <v>0</v>
      </c>
      <c r="R5688">
        <v>1</v>
      </c>
    </row>
    <row r="5689" spans="1:18" x14ac:dyDescent="0.25">
      <c r="A5689" t="s">
        <v>9</v>
      </c>
      <c r="B5689" t="s">
        <v>6</v>
      </c>
      <c r="C5689">
        <v>4</v>
      </c>
      <c r="D5689">
        <v>1</v>
      </c>
      <c r="E5689">
        <v>1</v>
      </c>
      <c r="F5689" s="15">
        <v>46251</v>
      </c>
      <c r="G5689" t="s">
        <v>683</v>
      </c>
      <c r="H5689">
        <v>4</v>
      </c>
      <c r="I5689">
        <v>2026</v>
      </c>
      <c r="J5689">
        <v>8</v>
      </c>
      <c r="K5689" t="s">
        <v>87</v>
      </c>
      <c r="L5689" t="s">
        <v>693</v>
      </c>
      <c r="M5689" t="s">
        <v>6</v>
      </c>
      <c r="N5689" t="b">
        <v>0</v>
      </c>
      <c r="O5689">
        <v>0</v>
      </c>
      <c r="P5689">
        <v>1</v>
      </c>
      <c r="Q5689">
        <v>0</v>
      </c>
      <c r="R5689">
        <v>0</v>
      </c>
    </row>
    <row r="5690" spans="1:18" x14ac:dyDescent="0.25">
      <c r="A5690" t="s">
        <v>19</v>
      </c>
      <c r="B5690" t="s">
        <v>63</v>
      </c>
      <c r="C5690">
        <v>1</v>
      </c>
      <c r="D5690">
        <v>2</v>
      </c>
      <c r="E5690">
        <v>1</v>
      </c>
      <c r="F5690" s="15">
        <v>46251</v>
      </c>
      <c r="G5690" t="s">
        <v>684</v>
      </c>
      <c r="H5690">
        <v>4</v>
      </c>
      <c r="I5690">
        <v>2026</v>
      </c>
      <c r="J5690">
        <v>8</v>
      </c>
      <c r="K5690" t="s">
        <v>87</v>
      </c>
      <c r="L5690" t="s">
        <v>540</v>
      </c>
      <c r="M5690" t="s">
        <v>63</v>
      </c>
      <c r="N5690" t="b">
        <v>0</v>
      </c>
      <c r="O5690">
        <v>0</v>
      </c>
      <c r="P5690">
        <v>0</v>
      </c>
      <c r="Q5690">
        <v>1</v>
      </c>
      <c r="R5690">
        <v>0</v>
      </c>
    </row>
    <row r="5691" spans="1:18" x14ac:dyDescent="0.25">
      <c r="A5691" t="s">
        <v>19</v>
      </c>
      <c r="B5691" t="s">
        <v>63</v>
      </c>
      <c r="C5691">
        <v>1</v>
      </c>
      <c r="D5691">
        <v>2</v>
      </c>
      <c r="E5691">
        <v>1</v>
      </c>
      <c r="F5691" s="15">
        <v>46251</v>
      </c>
      <c r="G5691" t="s">
        <v>684</v>
      </c>
      <c r="H5691">
        <v>4</v>
      </c>
      <c r="I5691">
        <v>2026</v>
      </c>
      <c r="J5691">
        <v>8</v>
      </c>
      <c r="K5691" t="s">
        <v>87</v>
      </c>
      <c r="L5691" t="s">
        <v>10</v>
      </c>
      <c r="M5691" t="s">
        <v>63</v>
      </c>
      <c r="N5691" t="b">
        <v>0</v>
      </c>
      <c r="O5691">
        <v>0</v>
      </c>
      <c r="P5691">
        <v>0</v>
      </c>
      <c r="Q5691">
        <v>1</v>
      </c>
      <c r="R5691">
        <v>0</v>
      </c>
    </row>
    <row r="5692" spans="1:18" x14ac:dyDescent="0.25">
      <c r="A5692" t="s">
        <v>19</v>
      </c>
      <c r="B5692" t="s">
        <v>63</v>
      </c>
      <c r="C5692">
        <v>1</v>
      </c>
      <c r="D5692">
        <v>2</v>
      </c>
      <c r="E5692">
        <v>1</v>
      </c>
      <c r="F5692" s="15">
        <v>46251</v>
      </c>
      <c r="G5692" t="s">
        <v>684</v>
      </c>
      <c r="H5692">
        <v>4</v>
      </c>
      <c r="I5692">
        <v>2026</v>
      </c>
      <c r="J5692">
        <v>8</v>
      </c>
      <c r="K5692" t="s">
        <v>87</v>
      </c>
      <c r="L5692" t="s">
        <v>326</v>
      </c>
      <c r="M5692" t="s">
        <v>63</v>
      </c>
      <c r="N5692" t="b">
        <v>0</v>
      </c>
      <c r="O5692">
        <v>0</v>
      </c>
      <c r="P5692">
        <v>0</v>
      </c>
      <c r="Q5692">
        <v>1</v>
      </c>
      <c r="R5692">
        <v>0</v>
      </c>
    </row>
    <row r="5693" spans="1:18" x14ac:dyDescent="0.25">
      <c r="A5693" t="s">
        <v>540</v>
      </c>
      <c r="B5693" t="s">
        <v>63</v>
      </c>
      <c r="C5693">
        <v>2</v>
      </c>
      <c r="D5693">
        <v>2</v>
      </c>
      <c r="E5693">
        <v>1</v>
      </c>
      <c r="F5693" s="15">
        <v>46251</v>
      </c>
      <c r="G5693" t="s">
        <v>684</v>
      </c>
      <c r="H5693">
        <v>4</v>
      </c>
      <c r="I5693">
        <v>2026</v>
      </c>
      <c r="J5693">
        <v>8</v>
      </c>
      <c r="K5693" t="s">
        <v>87</v>
      </c>
      <c r="L5693" t="s">
        <v>19</v>
      </c>
      <c r="M5693" t="s">
        <v>63</v>
      </c>
      <c r="N5693" t="b">
        <v>0</v>
      </c>
      <c r="O5693">
        <v>0</v>
      </c>
      <c r="P5693">
        <v>0</v>
      </c>
      <c r="Q5693">
        <v>1</v>
      </c>
      <c r="R5693">
        <v>0</v>
      </c>
    </row>
    <row r="5694" spans="1:18" x14ac:dyDescent="0.25">
      <c r="A5694" t="s">
        <v>540</v>
      </c>
      <c r="B5694" t="s">
        <v>63</v>
      </c>
      <c r="C5694">
        <v>2</v>
      </c>
      <c r="D5694">
        <v>2</v>
      </c>
      <c r="E5694">
        <v>1</v>
      </c>
      <c r="F5694" s="15">
        <v>46251</v>
      </c>
      <c r="G5694" t="s">
        <v>684</v>
      </c>
      <c r="H5694">
        <v>4</v>
      </c>
      <c r="I5694">
        <v>2026</v>
      </c>
      <c r="J5694">
        <v>8</v>
      </c>
      <c r="K5694" t="s">
        <v>87</v>
      </c>
      <c r="L5694" t="s">
        <v>10</v>
      </c>
      <c r="M5694" t="s">
        <v>63</v>
      </c>
      <c r="N5694" t="b">
        <v>0</v>
      </c>
      <c r="O5694">
        <v>0</v>
      </c>
      <c r="P5694">
        <v>0</v>
      </c>
      <c r="Q5694">
        <v>1</v>
      </c>
      <c r="R5694">
        <v>0</v>
      </c>
    </row>
    <row r="5695" spans="1:18" x14ac:dyDescent="0.25">
      <c r="A5695" t="s">
        <v>540</v>
      </c>
      <c r="B5695" t="s">
        <v>63</v>
      </c>
      <c r="C5695">
        <v>2</v>
      </c>
      <c r="D5695">
        <v>2</v>
      </c>
      <c r="E5695">
        <v>1</v>
      </c>
      <c r="F5695" s="15">
        <v>46251</v>
      </c>
      <c r="G5695" t="s">
        <v>684</v>
      </c>
      <c r="H5695">
        <v>4</v>
      </c>
      <c r="I5695">
        <v>2026</v>
      </c>
      <c r="J5695">
        <v>8</v>
      </c>
      <c r="K5695" t="s">
        <v>87</v>
      </c>
      <c r="L5695" t="s">
        <v>326</v>
      </c>
      <c r="M5695" t="s">
        <v>63</v>
      </c>
      <c r="N5695" t="b">
        <v>0</v>
      </c>
      <c r="O5695">
        <v>0</v>
      </c>
      <c r="P5695">
        <v>0</v>
      </c>
      <c r="Q5695">
        <v>1</v>
      </c>
      <c r="R5695">
        <v>0</v>
      </c>
    </row>
    <row r="5696" spans="1:18" x14ac:dyDescent="0.25">
      <c r="A5696" t="s">
        <v>10</v>
      </c>
      <c r="B5696" t="s">
        <v>63</v>
      </c>
      <c r="C5696">
        <v>3</v>
      </c>
      <c r="D5696">
        <v>2</v>
      </c>
      <c r="E5696">
        <v>1</v>
      </c>
      <c r="F5696" s="15">
        <v>46251</v>
      </c>
      <c r="G5696" t="s">
        <v>684</v>
      </c>
      <c r="H5696">
        <v>4</v>
      </c>
      <c r="I5696">
        <v>2026</v>
      </c>
      <c r="J5696">
        <v>8</v>
      </c>
      <c r="K5696" t="s">
        <v>87</v>
      </c>
      <c r="L5696" t="s">
        <v>19</v>
      </c>
      <c r="M5696" t="s">
        <v>63</v>
      </c>
      <c r="N5696" t="b">
        <v>0</v>
      </c>
      <c r="O5696">
        <v>0</v>
      </c>
      <c r="P5696">
        <v>0</v>
      </c>
      <c r="Q5696">
        <v>1</v>
      </c>
      <c r="R5696">
        <v>0</v>
      </c>
    </row>
    <row r="5697" spans="1:18" x14ac:dyDescent="0.25">
      <c r="A5697" t="s">
        <v>10</v>
      </c>
      <c r="B5697" t="s">
        <v>63</v>
      </c>
      <c r="C5697">
        <v>3</v>
      </c>
      <c r="D5697">
        <v>2</v>
      </c>
      <c r="E5697">
        <v>1</v>
      </c>
      <c r="F5697" s="15">
        <v>46251</v>
      </c>
      <c r="G5697" t="s">
        <v>684</v>
      </c>
      <c r="H5697">
        <v>4</v>
      </c>
      <c r="I5697">
        <v>2026</v>
      </c>
      <c r="J5697">
        <v>8</v>
      </c>
      <c r="K5697" t="s">
        <v>87</v>
      </c>
      <c r="L5697" t="s">
        <v>540</v>
      </c>
      <c r="M5697" t="s">
        <v>63</v>
      </c>
      <c r="N5697" t="b">
        <v>0</v>
      </c>
      <c r="O5697">
        <v>0</v>
      </c>
      <c r="P5697">
        <v>0</v>
      </c>
      <c r="Q5697">
        <v>1</v>
      </c>
      <c r="R5697">
        <v>0</v>
      </c>
    </row>
    <row r="5698" spans="1:18" x14ac:dyDescent="0.25">
      <c r="A5698" t="s">
        <v>10</v>
      </c>
      <c r="B5698" t="s">
        <v>63</v>
      </c>
      <c r="C5698">
        <v>3</v>
      </c>
      <c r="D5698">
        <v>2</v>
      </c>
      <c r="E5698">
        <v>1</v>
      </c>
      <c r="F5698" s="15">
        <v>46251</v>
      </c>
      <c r="G5698" t="s">
        <v>684</v>
      </c>
      <c r="H5698">
        <v>4</v>
      </c>
      <c r="I5698">
        <v>2026</v>
      </c>
      <c r="J5698">
        <v>8</v>
      </c>
      <c r="K5698" t="s">
        <v>87</v>
      </c>
      <c r="L5698" t="s">
        <v>326</v>
      </c>
      <c r="M5698" t="s">
        <v>63</v>
      </c>
      <c r="N5698" t="b">
        <v>0</v>
      </c>
      <c r="O5698">
        <v>0</v>
      </c>
      <c r="P5698">
        <v>0</v>
      </c>
      <c r="Q5698">
        <v>1</v>
      </c>
      <c r="R5698">
        <v>0</v>
      </c>
    </row>
    <row r="5699" spans="1:18" x14ac:dyDescent="0.25">
      <c r="A5699" t="s">
        <v>326</v>
      </c>
      <c r="B5699" t="s">
        <v>63</v>
      </c>
      <c r="C5699">
        <v>4</v>
      </c>
      <c r="D5699">
        <v>2</v>
      </c>
      <c r="E5699">
        <v>1</v>
      </c>
      <c r="F5699" s="15">
        <v>46251</v>
      </c>
      <c r="G5699" t="s">
        <v>684</v>
      </c>
      <c r="H5699">
        <v>4</v>
      </c>
      <c r="I5699">
        <v>2026</v>
      </c>
      <c r="J5699">
        <v>8</v>
      </c>
      <c r="K5699" t="s">
        <v>87</v>
      </c>
      <c r="L5699" t="s">
        <v>19</v>
      </c>
      <c r="M5699" t="s">
        <v>63</v>
      </c>
      <c r="N5699" t="b">
        <v>0</v>
      </c>
      <c r="O5699">
        <v>0</v>
      </c>
      <c r="P5699">
        <v>0</v>
      </c>
      <c r="Q5699">
        <v>1</v>
      </c>
      <c r="R5699">
        <v>0</v>
      </c>
    </row>
    <row r="5700" spans="1:18" x14ac:dyDescent="0.25">
      <c r="A5700" t="s">
        <v>326</v>
      </c>
      <c r="B5700" t="s">
        <v>63</v>
      </c>
      <c r="C5700">
        <v>4</v>
      </c>
      <c r="D5700">
        <v>2</v>
      </c>
      <c r="E5700">
        <v>1</v>
      </c>
      <c r="F5700" s="15">
        <v>46251</v>
      </c>
      <c r="G5700" t="s">
        <v>684</v>
      </c>
      <c r="H5700">
        <v>4</v>
      </c>
      <c r="I5700">
        <v>2026</v>
      </c>
      <c r="J5700">
        <v>8</v>
      </c>
      <c r="K5700" t="s">
        <v>87</v>
      </c>
      <c r="L5700" t="s">
        <v>540</v>
      </c>
      <c r="M5700" t="s">
        <v>63</v>
      </c>
      <c r="N5700" t="b">
        <v>0</v>
      </c>
      <c r="O5700">
        <v>0</v>
      </c>
      <c r="P5700">
        <v>0</v>
      </c>
      <c r="Q5700">
        <v>1</v>
      </c>
      <c r="R5700">
        <v>0</v>
      </c>
    </row>
    <row r="5701" spans="1:18" x14ac:dyDescent="0.25">
      <c r="A5701" t="s">
        <v>326</v>
      </c>
      <c r="B5701" t="s">
        <v>63</v>
      </c>
      <c r="C5701">
        <v>4</v>
      </c>
      <c r="D5701">
        <v>2</v>
      </c>
      <c r="E5701">
        <v>1</v>
      </c>
      <c r="F5701" s="15">
        <v>46251</v>
      </c>
      <c r="G5701" t="s">
        <v>684</v>
      </c>
      <c r="H5701">
        <v>4</v>
      </c>
      <c r="I5701">
        <v>2026</v>
      </c>
      <c r="J5701">
        <v>8</v>
      </c>
      <c r="K5701" t="s">
        <v>87</v>
      </c>
      <c r="L5701" t="s">
        <v>10</v>
      </c>
      <c r="M5701" t="s">
        <v>63</v>
      </c>
      <c r="N5701" t="b">
        <v>0</v>
      </c>
      <c r="O5701">
        <v>0</v>
      </c>
      <c r="P5701">
        <v>0</v>
      </c>
      <c r="Q5701">
        <v>1</v>
      </c>
      <c r="R5701">
        <v>0</v>
      </c>
    </row>
    <row r="5702" spans="1:18" x14ac:dyDescent="0.25">
      <c r="A5702" t="s">
        <v>15</v>
      </c>
      <c r="B5702" t="s">
        <v>63</v>
      </c>
      <c r="C5702">
        <v>1</v>
      </c>
      <c r="D5702">
        <v>3</v>
      </c>
      <c r="E5702">
        <v>1</v>
      </c>
      <c r="F5702" s="15">
        <v>46251</v>
      </c>
      <c r="G5702" t="s">
        <v>685</v>
      </c>
      <c r="H5702">
        <v>4</v>
      </c>
      <c r="I5702">
        <v>2026</v>
      </c>
      <c r="J5702">
        <v>8</v>
      </c>
      <c r="K5702" t="s">
        <v>87</v>
      </c>
      <c r="L5702" t="s">
        <v>28</v>
      </c>
      <c r="M5702" t="s">
        <v>63</v>
      </c>
      <c r="N5702" t="b">
        <v>0</v>
      </c>
      <c r="O5702">
        <v>0</v>
      </c>
      <c r="P5702">
        <v>0</v>
      </c>
      <c r="Q5702">
        <v>1</v>
      </c>
      <c r="R5702">
        <v>0</v>
      </c>
    </row>
    <row r="5703" spans="1:18" x14ac:dyDescent="0.25">
      <c r="A5703" t="s">
        <v>15</v>
      </c>
      <c r="B5703" t="s">
        <v>63</v>
      </c>
      <c r="C5703">
        <v>1</v>
      </c>
      <c r="D5703">
        <v>3</v>
      </c>
      <c r="E5703">
        <v>1</v>
      </c>
      <c r="F5703" s="15">
        <v>46251</v>
      </c>
      <c r="G5703" t="s">
        <v>685</v>
      </c>
      <c r="H5703">
        <v>4</v>
      </c>
      <c r="I5703">
        <v>2026</v>
      </c>
      <c r="J5703">
        <v>8</v>
      </c>
      <c r="K5703" t="s">
        <v>87</v>
      </c>
      <c r="L5703" t="s">
        <v>7</v>
      </c>
      <c r="M5703" t="s">
        <v>63</v>
      </c>
      <c r="N5703" t="b">
        <v>0</v>
      </c>
      <c r="O5703">
        <v>0</v>
      </c>
      <c r="P5703">
        <v>0</v>
      </c>
      <c r="Q5703">
        <v>1</v>
      </c>
      <c r="R5703">
        <v>0</v>
      </c>
    </row>
    <row r="5704" spans="1:18" x14ac:dyDescent="0.25">
      <c r="A5704" t="s">
        <v>15</v>
      </c>
      <c r="B5704" t="s">
        <v>63</v>
      </c>
      <c r="C5704">
        <v>1</v>
      </c>
      <c r="D5704">
        <v>3</v>
      </c>
      <c r="E5704">
        <v>1</v>
      </c>
      <c r="F5704" s="15">
        <v>46251</v>
      </c>
      <c r="G5704" t="s">
        <v>685</v>
      </c>
      <c r="H5704">
        <v>4</v>
      </c>
      <c r="I5704">
        <v>2026</v>
      </c>
      <c r="J5704">
        <v>8</v>
      </c>
      <c r="K5704" t="s">
        <v>87</v>
      </c>
      <c r="L5704" t="s">
        <v>433</v>
      </c>
      <c r="M5704" t="s">
        <v>63</v>
      </c>
      <c r="N5704" t="b">
        <v>0</v>
      </c>
      <c r="O5704">
        <v>0</v>
      </c>
      <c r="P5704">
        <v>0</v>
      </c>
      <c r="Q5704">
        <v>1</v>
      </c>
      <c r="R5704">
        <v>0</v>
      </c>
    </row>
    <row r="5705" spans="1:18" x14ac:dyDescent="0.25">
      <c r="A5705" t="s">
        <v>28</v>
      </c>
      <c r="B5705" t="s">
        <v>63</v>
      </c>
      <c r="C5705">
        <v>2</v>
      </c>
      <c r="D5705">
        <v>3</v>
      </c>
      <c r="E5705">
        <v>1</v>
      </c>
      <c r="F5705" s="15">
        <v>46251</v>
      </c>
      <c r="G5705" t="s">
        <v>685</v>
      </c>
      <c r="H5705">
        <v>4</v>
      </c>
      <c r="I5705">
        <v>2026</v>
      </c>
      <c r="J5705">
        <v>8</v>
      </c>
      <c r="K5705" t="s">
        <v>87</v>
      </c>
      <c r="L5705" t="s">
        <v>15</v>
      </c>
      <c r="M5705" t="s">
        <v>63</v>
      </c>
      <c r="N5705" t="b">
        <v>0</v>
      </c>
      <c r="O5705">
        <v>0</v>
      </c>
      <c r="P5705">
        <v>0</v>
      </c>
      <c r="Q5705">
        <v>1</v>
      </c>
      <c r="R5705">
        <v>0</v>
      </c>
    </row>
    <row r="5706" spans="1:18" x14ac:dyDescent="0.25">
      <c r="A5706" t="s">
        <v>28</v>
      </c>
      <c r="B5706" t="s">
        <v>63</v>
      </c>
      <c r="C5706">
        <v>2</v>
      </c>
      <c r="D5706">
        <v>3</v>
      </c>
      <c r="E5706">
        <v>1</v>
      </c>
      <c r="F5706" s="15">
        <v>46251</v>
      </c>
      <c r="G5706" t="s">
        <v>685</v>
      </c>
      <c r="H5706">
        <v>4</v>
      </c>
      <c r="I5706">
        <v>2026</v>
      </c>
      <c r="J5706">
        <v>8</v>
      </c>
      <c r="K5706" t="s">
        <v>87</v>
      </c>
      <c r="L5706" t="s">
        <v>7</v>
      </c>
      <c r="M5706" t="s">
        <v>63</v>
      </c>
      <c r="N5706" t="b">
        <v>0</v>
      </c>
      <c r="O5706">
        <v>0</v>
      </c>
      <c r="P5706">
        <v>0</v>
      </c>
      <c r="Q5706">
        <v>1</v>
      </c>
      <c r="R5706">
        <v>0</v>
      </c>
    </row>
    <row r="5707" spans="1:18" x14ac:dyDescent="0.25">
      <c r="A5707" t="s">
        <v>28</v>
      </c>
      <c r="B5707" t="s">
        <v>63</v>
      </c>
      <c r="C5707">
        <v>2</v>
      </c>
      <c r="D5707">
        <v>3</v>
      </c>
      <c r="E5707">
        <v>1</v>
      </c>
      <c r="F5707" s="15">
        <v>46251</v>
      </c>
      <c r="G5707" t="s">
        <v>685</v>
      </c>
      <c r="H5707">
        <v>4</v>
      </c>
      <c r="I5707">
        <v>2026</v>
      </c>
      <c r="J5707">
        <v>8</v>
      </c>
      <c r="K5707" t="s">
        <v>87</v>
      </c>
      <c r="L5707" t="s">
        <v>433</v>
      </c>
      <c r="M5707" t="s">
        <v>63</v>
      </c>
      <c r="N5707" t="b">
        <v>0</v>
      </c>
      <c r="O5707">
        <v>0</v>
      </c>
      <c r="P5707">
        <v>0</v>
      </c>
      <c r="Q5707">
        <v>1</v>
      </c>
      <c r="R5707">
        <v>0</v>
      </c>
    </row>
    <row r="5708" spans="1:18" x14ac:dyDescent="0.25">
      <c r="A5708" t="s">
        <v>7</v>
      </c>
      <c r="B5708" t="s">
        <v>63</v>
      </c>
      <c r="C5708">
        <v>3</v>
      </c>
      <c r="D5708">
        <v>3</v>
      </c>
      <c r="E5708">
        <v>1</v>
      </c>
      <c r="F5708" s="15">
        <v>46251</v>
      </c>
      <c r="G5708" t="s">
        <v>685</v>
      </c>
      <c r="H5708">
        <v>4</v>
      </c>
      <c r="I5708">
        <v>2026</v>
      </c>
      <c r="J5708">
        <v>8</v>
      </c>
      <c r="K5708" t="s">
        <v>87</v>
      </c>
      <c r="L5708" t="s">
        <v>15</v>
      </c>
      <c r="M5708" t="s">
        <v>63</v>
      </c>
      <c r="N5708" t="b">
        <v>0</v>
      </c>
      <c r="O5708">
        <v>0</v>
      </c>
      <c r="P5708">
        <v>0</v>
      </c>
      <c r="Q5708">
        <v>1</v>
      </c>
      <c r="R5708">
        <v>0</v>
      </c>
    </row>
    <row r="5709" spans="1:18" x14ac:dyDescent="0.25">
      <c r="A5709" t="s">
        <v>7</v>
      </c>
      <c r="B5709" t="s">
        <v>63</v>
      </c>
      <c r="C5709">
        <v>3</v>
      </c>
      <c r="D5709">
        <v>3</v>
      </c>
      <c r="E5709">
        <v>1</v>
      </c>
      <c r="F5709" s="15">
        <v>46251</v>
      </c>
      <c r="G5709" t="s">
        <v>685</v>
      </c>
      <c r="H5709">
        <v>4</v>
      </c>
      <c r="I5709">
        <v>2026</v>
      </c>
      <c r="J5709">
        <v>8</v>
      </c>
      <c r="K5709" t="s">
        <v>87</v>
      </c>
      <c r="L5709" t="s">
        <v>28</v>
      </c>
      <c r="M5709" t="s">
        <v>63</v>
      </c>
      <c r="N5709" t="b">
        <v>0</v>
      </c>
      <c r="O5709">
        <v>0</v>
      </c>
      <c r="P5709">
        <v>0</v>
      </c>
      <c r="Q5709">
        <v>1</v>
      </c>
      <c r="R5709">
        <v>0</v>
      </c>
    </row>
    <row r="5710" spans="1:18" x14ac:dyDescent="0.25">
      <c r="A5710" t="s">
        <v>7</v>
      </c>
      <c r="B5710" t="s">
        <v>63</v>
      </c>
      <c r="C5710">
        <v>3</v>
      </c>
      <c r="D5710">
        <v>3</v>
      </c>
      <c r="E5710">
        <v>1</v>
      </c>
      <c r="F5710" s="15">
        <v>46251</v>
      </c>
      <c r="G5710" t="s">
        <v>685</v>
      </c>
      <c r="H5710">
        <v>4</v>
      </c>
      <c r="I5710">
        <v>2026</v>
      </c>
      <c r="J5710">
        <v>8</v>
      </c>
      <c r="K5710" t="s">
        <v>87</v>
      </c>
      <c r="L5710" t="s">
        <v>433</v>
      </c>
      <c r="M5710" t="s">
        <v>63</v>
      </c>
      <c r="N5710" t="b">
        <v>0</v>
      </c>
      <c r="O5710">
        <v>0</v>
      </c>
      <c r="P5710">
        <v>0</v>
      </c>
      <c r="Q5710">
        <v>1</v>
      </c>
      <c r="R5710">
        <v>0</v>
      </c>
    </row>
    <row r="5711" spans="1:18" x14ac:dyDescent="0.25">
      <c r="A5711" t="s">
        <v>433</v>
      </c>
      <c r="B5711" t="s">
        <v>63</v>
      </c>
      <c r="C5711">
        <v>4</v>
      </c>
      <c r="D5711">
        <v>3</v>
      </c>
      <c r="E5711">
        <v>1</v>
      </c>
      <c r="F5711" s="15">
        <v>46251</v>
      </c>
      <c r="G5711" t="s">
        <v>685</v>
      </c>
      <c r="H5711">
        <v>4</v>
      </c>
      <c r="I5711">
        <v>2026</v>
      </c>
      <c r="J5711">
        <v>8</v>
      </c>
      <c r="K5711" t="s">
        <v>87</v>
      </c>
      <c r="L5711" t="s">
        <v>15</v>
      </c>
      <c r="M5711" t="s">
        <v>63</v>
      </c>
      <c r="N5711" t="b">
        <v>0</v>
      </c>
      <c r="O5711">
        <v>0</v>
      </c>
      <c r="P5711">
        <v>0</v>
      </c>
      <c r="Q5711">
        <v>1</v>
      </c>
      <c r="R5711">
        <v>0</v>
      </c>
    </row>
    <row r="5712" spans="1:18" x14ac:dyDescent="0.25">
      <c r="A5712" t="s">
        <v>433</v>
      </c>
      <c r="B5712" t="s">
        <v>63</v>
      </c>
      <c r="C5712">
        <v>4</v>
      </c>
      <c r="D5712">
        <v>3</v>
      </c>
      <c r="E5712">
        <v>1</v>
      </c>
      <c r="F5712" s="15">
        <v>46251</v>
      </c>
      <c r="G5712" t="s">
        <v>685</v>
      </c>
      <c r="H5712">
        <v>4</v>
      </c>
      <c r="I5712">
        <v>2026</v>
      </c>
      <c r="J5712">
        <v>8</v>
      </c>
      <c r="K5712" t="s">
        <v>87</v>
      </c>
      <c r="L5712" t="s">
        <v>28</v>
      </c>
      <c r="M5712" t="s">
        <v>63</v>
      </c>
      <c r="N5712" t="b">
        <v>0</v>
      </c>
      <c r="O5712">
        <v>0</v>
      </c>
      <c r="P5712">
        <v>0</v>
      </c>
      <c r="Q5712">
        <v>1</v>
      </c>
      <c r="R5712">
        <v>0</v>
      </c>
    </row>
    <row r="5713" spans="1:18" x14ac:dyDescent="0.25">
      <c r="A5713" t="s">
        <v>433</v>
      </c>
      <c r="B5713" t="s">
        <v>63</v>
      </c>
      <c r="C5713">
        <v>4</v>
      </c>
      <c r="D5713">
        <v>3</v>
      </c>
      <c r="E5713">
        <v>1</v>
      </c>
      <c r="F5713" s="15">
        <v>46251</v>
      </c>
      <c r="G5713" t="s">
        <v>685</v>
      </c>
      <c r="H5713">
        <v>4</v>
      </c>
      <c r="I5713">
        <v>2026</v>
      </c>
      <c r="J5713">
        <v>8</v>
      </c>
      <c r="K5713" t="s">
        <v>87</v>
      </c>
      <c r="L5713" t="s">
        <v>7</v>
      </c>
      <c r="M5713" t="s">
        <v>63</v>
      </c>
      <c r="N5713" t="b">
        <v>0</v>
      </c>
      <c r="O5713">
        <v>0</v>
      </c>
      <c r="P5713">
        <v>0</v>
      </c>
      <c r="Q5713">
        <v>1</v>
      </c>
      <c r="R5713">
        <v>0</v>
      </c>
    </row>
    <row r="5714" spans="1:18" x14ac:dyDescent="0.25">
      <c r="A5714" t="s">
        <v>11</v>
      </c>
      <c r="B5714" t="s">
        <v>6</v>
      </c>
      <c r="C5714">
        <v>1</v>
      </c>
      <c r="D5714">
        <v>4</v>
      </c>
      <c r="E5714">
        <v>1</v>
      </c>
      <c r="F5714" s="15">
        <v>46251</v>
      </c>
      <c r="G5714" t="s">
        <v>686</v>
      </c>
      <c r="H5714">
        <v>4</v>
      </c>
      <c r="I5714">
        <v>2026</v>
      </c>
      <c r="J5714">
        <v>8</v>
      </c>
      <c r="K5714" t="s">
        <v>87</v>
      </c>
      <c r="L5714" t="s">
        <v>404</v>
      </c>
      <c r="M5714" t="s">
        <v>6</v>
      </c>
      <c r="N5714" t="b">
        <v>0</v>
      </c>
      <c r="O5714">
        <v>0</v>
      </c>
      <c r="P5714">
        <v>1</v>
      </c>
      <c r="Q5714">
        <v>0</v>
      </c>
      <c r="R5714">
        <v>0</v>
      </c>
    </row>
    <row r="5715" spans="1:18" x14ac:dyDescent="0.25">
      <c r="A5715" t="s">
        <v>11</v>
      </c>
      <c r="B5715" t="s">
        <v>6</v>
      </c>
      <c r="C5715">
        <v>1</v>
      </c>
      <c r="D5715">
        <v>4</v>
      </c>
      <c r="E5715">
        <v>1</v>
      </c>
      <c r="F5715" s="15">
        <v>46251</v>
      </c>
      <c r="G5715" t="s">
        <v>686</v>
      </c>
      <c r="H5715">
        <v>4</v>
      </c>
      <c r="I5715">
        <v>2026</v>
      </c>
      <c r="J5715">
        <v>8</v>
      </c>
      <c r="K5715" t="s">
        <v>87</v>
      </c>
      <c r="L5715" t="s">
        <v>27</v>
      </c>
      <c r="M5715" t="s">
        <v>8</v>
      </c>
      <c r="N5715" t="b">
        <v>0</v>
      </c>
      <c r="O5715">
        <v>0</v>
      </c>
      <c r="P5715">
        <v>1</v>
      </c>
      <c r="Q5715">
        <v>0</v>
      </c>
      <c r="R5715">
        <v>1</v>
      </c>
    </row>
    <row r="5716" spans="1:18" x14ac:dyDescent="0.25">
      <c r="A5716" t="s">
        <v>11</v>
      </c>
      <c r="B5716" t="s">
        <v>6</v>
      </c>
      <c r="C5716">
        <v>1</v>
      </c>
      <c r="D5716">
        <v>4</v>
      </c>
      <c r="E5716">
        <v>1</v>
      </c>
      <c r="F5716" s="15">
        <v>46251</v>
      </c>
      <c r="G5716" t="s">
        <v>686</v>
      </c>
      <c r="H5716">
        <v>4</v>
      </c>
      <c r="I5716">
        <v>2026</v>
      </c>
      <c r="J5716">
        <v>8</v>
      </c>
      <c r="K5716" t="s">
        <v>87</v>
      </c>
      <c r="L5716" t="s">
        <v>14</v>
      </c>
      <c r="M5716" t="s">
        <v>6</v>
      </c>
      <c r="N5716" t="b">
        <v>0</v>
      </c>
      <c r="O5716">
        <v>0</v>
      </c>
      <c r="P5716">
        <v>1</v>
      </c>
      <c r="Q5716">
        <v>0</v>
      </c>
      <c r="R5716">
        <v>0</v>
      </c>
    </row>
    <row r="5717" spans="1:18" x14ac:dyDescent="0.25">
      <c r="A5717" t="s">
        <v>404</v>
      </c>
      <c r="B5717" t="s">
        <v>6</v>
      </c>
      <c r="C5717">
        <v>2</v>
      </c>
      <c r="D5717">
        <v>4</v>
      </c>
      <c r="E5717">
        <v>1</v>
      </c>
      <c r="F5717" s="15">
        <v>46251</v>
      </c>
      <c r="G5717" t="s">
        <v>686</v>
      </c>
      <c r="H5717">
        <v>4</v>
      </c>
      <c r="I5717">
        <v>2026</v>
      </c>
      <c r="J5717">
        <v>8</v>
      </c>
      <c r="K5717" t="s">
        <v>87</v>
      </c>
      <c r="L5717" t="s">
        <v>11</v>
      </c>
      <c r="M5717" t="s">
        <v>6</v>
      </c>
      <c r="N5717" t="b">
        <v>0</v>
      </c>
      <c r="O5717">
        <v>0</v>
      </c>
      <c r="P5717">
        <v>1</v>
      </c>
      <c r="Q5717">
        <v>0</v>
      </c>
      <c r="R5717">
        <v>0</v>
      </c>
    </row>
    <row r="5718" spans="1:18" x14ac:dyDescent="0.25">
      <c r="A5718" t="s">
        <v>404</v>
      </c>
      <c r="B5718" t="s">
        <v>6</v>
      </c>
      <c r="C5718">
        <v>2</v>
      </c>
      <c r="D5718">
        <v>4</v>
      </c>
      <c r="E5718">
        <v>1</v>
      </c>
      <c r="F5718" s="15">
        <v>46251</v>
      </c>
      <c r="G5718" t="s">
        <v>686</v>
      </c>
      <c r="H5718">
        <v>4</v>
      </c>
      <c r="I5718">
        <v>2026</v>
      </c>
      <c r="J5718">
        <v>8</v>
      </c>
      <c r="K5718" t="s">
        <v>87</v>
      </c>
      <c r="L5718" t="s">
        <v>27</v>
      </c>
      <c r="M5718" t="s">
        <v>8</v>
      </c>
      <c r="N5718" t="b">
        <v>0</v>
      </c>
      <c r="O5718">
        <v>0</v>
      </c>
      <c r="P5718">
        <v>1</v>
      </c>
      <c r="Q5718">
        <v>0</v>
      </c>
      <c r="R5718">
        <v>1</v>
      </c>
    </row>
    <row r="5719" spans="1:18" x14ac:dyDescent="0.25">
      <c r="A5719" t="s">
        <v>404</v>
      </c>
      <c r="B5719" t="s">
        <v>6</v>
      </c>
      <c r="C5719">
        <v>2</v>
      </c>
      <c r="D5719">
        <v>4</v>
      </c>
      <c r="E5719">
        <v>1</v>
      </c>
      <c r="F5719" s="15">
        <v>46251</v>
      </c>
      <c r="G5719" t="s">
        <v>686</v>
      </c>
      <c r="H5719">
        <v>4</v>
      </c>
      <c r="I5719">
        <v>2026</v>
      </c>
      <c r="J5719">
        <v>8</v>
      </c>
      <c r="K5719" t="s">
        <v>87</v>
      </c>
      <c r="L5719" t="s">
        <v>14</v>
      </c>
      <c r="M5719" t="s">
        <v>6</v>
      </c>
      <c r="N5719" t="b">
        <v>0</v>
      </c>
      <c r="O5719">
        <v>0</v>
      </c>
      <c r="P5719">
        <v>1</v>
      </c>
      <c r="Q5719">
        <v>0</v>
      </c>
      <c r="R5719">
        <v>0</v>
      </c>
    </row>
    <row r="5720" spans="1:18" x14ac:dyDescent="0.25">
      <c r="A5720" t="s">
        <v>27</v>
      </c>
      <c r="B5720" t="s">
        <v>8</v>
      </c>
      <c r="C5720">
        <v>3</v>
      </c>
      <c r="D5720">
        <v>4</v>
      </c>
      <c r="E5720">
        <v>1</v>
      </c>
      <c r="F5720" s="15">
        <v>46251</v>
      </c>
      <c r="G5720" t="s">
        <v>686</v>
      </c>
      <c r="H5720">
        <v>4</v>
      </c>
      <c r="I5720">
        <v>2026</v>
      </c>
      <c r="J5720">
        <v>8</v>
      </c>
      <c r="K5720" t="s">
        <v>87</v>
      </c>
      <c r="L5720" t="s">
        <v>11</v>
      </c>
      <c r="M5720" t="s">
        <v>6</v>
      </c>
      <c r="N5720" t="b">
        <v>0</v>
      </c>
      <c r="O5720">
        <v>1</v>
      </c>
      <c r="P5720">
        <v>0</v>
      </c>
      <c r="Q5720">
        <v>0</v>
      </c>
      <c r="R5720">
        <v>0</v>
      </c>
    </row>
    <row r="5721" spans="1:18" x14ac:dyDescent="0.25">
      <c r="A5721" t="s">
        <v>27</v>
      </c>
      <c r="B5721" t="s">
        <v>8</v>
      </c>
      <c r="C5721">
        <v>3</v>
      </c>
      <c r="D5721">
        <v>4</v>
      </c>
      <c r="E5721">
        <v>1</v>
      </c>
      <c r="F5721" s="15">
        <v>46251</v>
      </c>
      <c r="G5721" t="s">
        <v>686</v>
      </c>
      <c r="H5721">
        <v>4</v>
      </c>
      <c r="I5721">
        <v>2026</v>
      </c>
      <c r="J5721">
        <v>8</v>
      </c>
      <c r="K5721" t="s">
        <v>87</v>
      </c>
      <c r="L5721" t="s">
        <v>404</v>
      </c>
      <c r="M5721" t="s">
        <v>6</v>
      </c>
      <c r="N5721" t="b">
        <v>0</v>
      </c>
      <c r="O5721">
        <v>1</v>
      </c>
      <c r="P5721">
        <v>0</v>
      </c>
      <c r="Q5721">
        <v>0</v>
      </c>
      <c r="R5721">
        <v>0</v>
      </c>
    </row>
    <row r="5722" spans="1:18" x14ac:dyDescent="0.25">
      <c r="A5722" t="s">
        <v>27</v>
      </c>
      <c r="B5722" t="s">
        <v>8</v>
      </c>
      <c r="C5722">
        <v>3</v>
      </c>
      <c r="D5722">
        <v>4</v>
      </c>
      <c r="E5722">
        <v>1</v>
      </c>
      <c r="F5722" s="15">
        <v>46251</v>
      </c>
      <c r="G5722" t="s">
        <v>686</v>
      </c>
      <c r="H5722">
        <v>4</v>
      </c>
      <c r="I5722">
        <v>2026</v>
      </c>
      <c r="J5722">
        <v>8</v>
      </c>
      <c r="K5722" t="s">
        <v>87</v>
      </c>
      <c r="L5722" t="s">
        <v>14</v>
      </c>
      <c r="M5722" t="s">
        <v>6</v>
      </c>
      <c r="N5722" t="b">
        <v>0</v>
      </c>
      <c r="O5722">
        <v>1</v>
      </c>
      <c r="P5722">
        <v>0</v>
      </c>
      <c r="Q5722">
        <v>0</v>
      </c>
      <c r="R5722">
        <v>0</v>
      </c>
    </row>
    <row r="5723" spans="1:18" x14ac:dyDescent="0.25">
      <c r="A5723" t="s">
        <v>14</v>
      </c>
      <c r="B5723" t="s">
        <v>6</v>
      </c>
      <c r="C5723">
        <v>4</v>
      </c>
      <c r="D5723">
        <v>4</v>
      </c>
      <c r="E5723">
        <v>1</v>
      </c>
      <c r="F5723" s="15">
        <v>46251</v>
      </c>
      <c r="G5723" t="s">
        <v>686</v>
      </c>
      <c r="H5723">
        <v>4</v>
      </c>
      <c r="I5723">
        <v>2026</v>
      </c>
      <c r="J5723">
        <v>8</v>
      </c>
      <c r="K5723" t="s">
        <v>87</v>
      </c>
      <c r="L5723" t="s">
        <v>11</v>
      </c>
      <c r="M5723" t="s">
        <v>6</v>
      </c>
      <c r="N5723" t="b">
        <v>0</v>
      </c>
      <c r="O5723">
        <v>0</v>
      </c>
      <c r="P5723">
        <v>1</v>
      </c>
      <c r="Q5723">
        <v>0</v>
      </c>
      <c r="R5723">
        <v>0</v>
      </c>
    </row>
    <row r="5724" spans="1:18" x14ac:dyDescent="0.25">
      <c r="A5724" t="s">
        <v>14</v>
      </c>
      <c r="B5724" t="s">
        <v>6</v>
      </c>
      <c r="C5724">
        <v>4</v>
      </c>
      <c r="D5724">
        <v>4</v>
      </c>
      <c r="E5724">
        <v>1</v>
      </c>
      <c r="F5724" s="15">
        <v>46251</v>
      </c>
      <c r="G5724" t="s">
        <v>686</v>
      </c>
      <c r="H5724">
        <v>4</v>
      </c>
      <c r="I5724">
        <v>2026</v>
      </c>
      <c r="J5724">
        <v>8</v>
      </c>
      <c r="K5724" t="s">
        <v>87</v>
      </c>
      <c r="L5724" t="s">
        <v>404</v>
      </c>
      <c r="M5724" t="s">
        <v>6</v>
      </c>
      <c r="N5724" t="b">
        <v>0</v>
      </c>
      <c r="O5724">
        <v>0</v>
      </c>
      <c r="P5724">
        <v>1</v>
      </c>
      <c r="Q5724">
        <v>0</v>
      </c>
      <c r="R5724">
        <v>0</v>
      </c>
    </row>
    <row r="5725" spans="1:18" x14ac:dyDescent="0.25">
      <c r="A5725" t="s">
        <v>14</v>
      </c>
      <c r="B5725" t="s">
        <v>6</v>
      </c>
      <c r="C5725">
        <v>4</v>
      </c>
      <c r="D5725">
        <v>4</v>
      </c>
      <c r="E5725">
        <v>1</v>
      </c>
      <c r="F5725" s="15">
        <v>46251</v>
      </c>
      <c r="G5725" t="s">
        <v>686</v>
      </c>
      <c r="H5725">
        <v>4</v>
      </c>
      <c r="I5725">
        <v>2026</v>
      </c>
      <c r="J5725">
        <v>8</v>
      </c>
      <c r="K5725" t="s">
        <v>87</v>
      </c>
      <c r="L5725" t="s">
        <v>27</v>
      </c>
      <c r="M5725" t="s">
        <v>8</v>
      </c>
      <c r="N5725" t="b">
        <v>0</v>
      </c>
      <c r="O5725">
        <v>0</v>
      </c>
      <c r="P5725">
        <v>1</v>
      </c>
      <c r="Q5725">
        <v>0</v>
      </c>
      <c r="R5725">
        <v>1</v>
      </c>
    </row>
    <row r="5726" spans="1:18" x14ac:dyDescent="0.25">
      <c r="A5726" t="s">
        <v>405</v>
      </c>
      <c r="B5726" t="s">
        <v>8</v>
      </c>
      <c r="C5726">
        <v>1</v>
      </c>
      <c r="D5726">
        <v>5</v>
      </c>
      <c r="E5726">
        <v>1</v>
      </c>
      <c r="F5726" s="15">
        <v>46251</v>
      </c>
      <c r="G5726" t="s">
        <v>687</v>
      </c>
      <c r="H5726">
        <v>3</v>
      </c>
      <c r="I5726">
        <v>2026</v>
      </c>
      <c r="J5726">
        <v>8</v>
      </c>
      <c r="K5726" t="s">
        <v>87</v>
      </c>
      <c r="L5726" t="s">
        <v>13</v>
      </c>
      <c r="M5726" t="s">
        <v>6</v>
      </c>
      <c r="N5726" t="b">
        <v>0</v>
      </c>
      <c r="O5726">
        <v>1</v>
      </c>
      <c r="P5726">
        <v>0</v>
      </c>
      <c r="Q5726">
        <v>0</v>
      </c>
      <c r="R5726">
        <v>0</v>
      </c>
    </row>
    <row r="5727" spans="1:18" x14ac:dyDescent="0.25">
      <c r="A5727" t="s">
        <v>405</v>
      </c>
      <c r="B5727" t="s">
        <v>8</v>
      </c>
      <c r="C5727">
        <v>1</v>
      </c>
      <c r="D5727">
        <v>5</v>
      </c>
      <c r="E5727">
        <v>1</v>
      </c>
      <c r="F5727" s="15">
        <v>46251</v>
      </c>
      <c r="G5727" t="s">
        <v>687</v>
      </c>
      <c r="H5727">
        <v>3</v>
      </c>
      <c r="I5727">
        <v>2026</v>
      </c>
      <c r="J5727">
        <v>8</v>
      </c>
      <c r="K5727" t="s">
        <v>87</v>
      </c>
      <c r="L5727" t="s">
        <v>622</v>
      </c>
      <c r="M5727" t="s">
        <v>6</v>
      </c>
      <c r="N5727" t="b">
        <v>0</v>
      </c>
      <c r="O5727">
        <v>1</v>
      </c>
      <c r="P5727">
        <v>0</v>
      </c>
      <c r="Q5727">
        <v>0</v>
      </c>
      <c r="R5727">
        <v>0</v>
      </c>
    </row>
    <row r="5728" spans="1:18" x14ac:dyDescent="0.25">
      <c r="A5728" t="s">
        <v>13</v>
      </c>
      <c r="B5728" t="s">
        <v>6</v>
      </c>
      <c r="C5728">
        <v>2</v>
      </c>
      <c r="D5728">
        <v>5</v>
      </c>
      <c r="E5728">
        <v>1</v>
      </c>
      <c r="F5728" s="15">
        <v>46251</v>
      </c>
      <c r="G5728" t="s">
        <v>687</v>
      </c>
      <c r="H5728">
        <v>3</v>
      </c>
      <c r="I5728">
        <v>2026</v>
      </c>
      <c r="J5728">
        <v>8</v>
      </c>
      <c r="K5728" t="s">
        <v>87</v>
      </c>
      <c r="L5728" t="s">
        <v>405</v>
      </c>
      <c r="M5728" t="s">
        <v>8</v>
      </c>
      <c r="N5728" t="b">
        <v>0</v>
      </c>
      <c r="O5728">
        <v>0</v>
      </c>
      <c r="P5728">
        <v>1</v>
      </c>
      <c r="Q5728">
        <v>0</v>
      </c>
      <c r="R5728">
        <v>1</v>
      </c>
    </row>
    <row r="5729" spans="1:18" x14ac:dyDescent="0.25">
      <c r="A5729" t="s">
        <v>13</v>
      </c>
      <c r="B5729" t="s">
        <v>6</v>
      </c>
      <c r="C5729">
        <v>2</v>
      </c>
      <c r="D5729">
        <v>5</v>
      </c>
      <c r="E5729">
        <v>1</v>
      </c>
      <c r="F5729" s="15">
        <v>46251</v>
      </c>
      <c r="G5729" t="s">
        <v>687</v>
      </c>
      <c r="H5729">
        <v>3</v>
      </c>
      <c r="I5729">
        <v>2026</v>
      </c>
      <c r="J5729">
        <v>8</v>
      </c>
      <c r="K5729" t="s">
        <v>87</v>
      </c>
      <c r="L5729" t="s">
        <v>622</v>
      </c>
      <c r="M5729" t="s">
        <v>6</v>
      </c>
      <c r="N5729" t="b">
        <v>0</v>
      </c>
      <c r="O5729">
        <v>0</v>
      </c>
      <c r="P5729">
        <v>1</v>
      </c>
      <c r="Q5729">
        <v>0</v>
      </c>
      <c r="R5729">
        <v>0</v>
      </c>
    </row>
    <row r="5730" spans="1:18" x14ac:dyDescent="0.25">
      <c r="A5730" t="s">
        <v>622</v>
      </c>
      <c r="B5730" t="s">
        <v>6</v>
      </c>
      <c r="C5730">
        <v>3</v>
      </c>
      <c r="D5730">
        <v>5</v>
      </c>
      <c r="E5730">
        <v>1</v>
      </c>
      <c r="F5730" s="15">
        <v>46251</v>
      </c>
      <c r="G5730" t="s">
        <v>687</v>
      </c>
      <c r="H5730">
        <v>3</v>
      </c>
      <c r="I5730">
        <v>2026</v>
      </c>
      <c r="J5730">
        <v>8</v>
      </c>
      <c r="K5730" t="s">
        <v>87</v>
      </c>
      <c r="L5730" t="s">
        <v>405</v>
      </c>
      <c r="M5730" t="s">
        <v>8</v>
      </c>
      <c r="N5730" t="b">
        <v>0</v>
      </c>
      <c r="O5730">
        <v>0</v>
      </c>
      <c r="P5730">
        <v>1</v>
      </c>
      <c r="Q5730">
        <v>0</v>
      </c>
      <c r="R5730">
        <v>1</v>
      </c>
    </row>
    <row r="5731" spans="1:18" x14ac:dyDescent="0.25">
      <c r="A5731" t="s">
        <v>622</v>
      </c>
      <c r="B5731" t="s">
        <v>6</v>
      </c>
      <c r="C5731">
        <v>3</v>
      </c>
      <c r="D5731">
        <v>5</v>
      </c>
      <c r="E5731">
        <v>1</v>
      </c>
      <c r="F5731" s="15">
        <v>46251</v>
      </c>
      <c r="G5731" t="s">
        <v>687</v>
      </c>
      <c r="H5731">
        <v>3</v>
      </c>
      <c r="I5731">
        <v>2026</v>
      </c>
      <c r="J5731">
        <v>8</v>
      </c>
      <c r="K5731" t="s">
        <v>87</v>
      </c>
      <c r="L5731" t="s">
        <v>13</v>
      </c>
      <c r="M5731" t="s">
        <v>6</v>
      </c>
      <c r="N5731" t="b">
        <v>0</v>
      </c>
      <c r="O5731">
        <v>0</v>
      </c>
      <c r="P5731">
        <v>1</v>
      </c>
      <c r="Q5731">
        <v>0</v>
      </c>
      <c r="R5731">
        <v>0</v>
      </c>
    </row>
    <row r="5732" spans="1:18" x14ac:dyDescent="0.25">
      <c r="A5732" t="s">
        <v>7</v>
      </c>
      <c r="B5732" t="s">
        <v>8</v>
      </c>
      <c r="C5732">
        <v>1</v>
      </c>
      <c r="D5732">
        <v>1</v>
      </c>
      <c r="E5732">
        <v>2</v>
      </c>
      <c r="F5732" s="15">
        <v>46251</v>
      </c>
      <c r="G5732" t="s">
        <v>688</v>
      </c>
      <c r="H5732">
        <v>3</v>
      </c>
      <c r="I5732">
        <v>2026</v>
      </c>
      <c r="J5732">
        <v>8</v>
      </c>
      <c r="K5732" t="s">
        <v>87</v>
      </c>
      <c r="L5732" t="s">
        <v>9</v>
      </c>
      <c r="M5732" t="s">
        <v>6</v>
      </c>
      <c r="N5732" t="b">
        <v>0</v>
      </c>
      <c r="O5732">
        <v>1</v>
      </c>
      <c r="P5732">
        <v>0</v>
      </c>
      <c r="Q5732">
        <v>0</v>
      </c>
      <c r="R5732">
        <v>0</v>
      </c>
    </row>
    <row r="5733" spans="1:18" x14ac:dyDescent="0.25">
      <c r="A5733" t="s">
        <v>7</v>
      </c>
      <c r="B5733" t="s">
        <v>8</v>
      </c>
      <c r="C5733">
        <v>1</v>
      </c>
      <c r="D5733">
        <v>1</v>
      </c>
      <c r="E5733">
        <v>2</v>
      </c>
      <c r="F5733" s="15">
        <v>46251</v>
      </c>
      <c r="G5733" t="s">
        <v>688</v>
      </c>
      <c r="H5733">
        <v>3</v>
      </c>
      <c r="I5733">
        <v>2026</v>
      </c>
      <c r="J5733">
        <v>8</v>
      </c>
      <c r="K5733" t="s">
        <v>87</v>
      </c>
      <c r="L5733" t="s">
        <v>693</v>
      </c>
      <c r="M5733" t="s">
        <v>6</v>
      </c>
      <c r="N5733" t="b">
        <v>0</v>
      </c>
      <c r="O5733">
        <v>1</v>
      </c>
      <c r="P5733">
        <v>0</v>
      </c>
      <c r="Q5733">
        <v>0</v>
      </c>
      <c r="R5733">
        <v>0</v>
      </c>
    </row>
    <row r="5734" spans="1:18" x14ac:dyDescent="0.25">
      <c r="A5734" t="s">
        <v>9</v>
      </c>
      <c r="B5734" t="s">
        <v>6</v>
      </c>
      <c r="C5734">
        <v>2</v>
      </c>
      <c r="D5734">
        <v>1</v>
      </c>
      <c r="E5734">
        <v>2</v>
      </c>
      <c r="F5734" s="15">
        <v>46251</v>
      </c>
      <c r="G5734" t="s">
        <v>688</v>
      </c>
      <c r="H5734">
        <v>3</v>
      </c>
      <c r="I5734">
        <v>2026</v>
      </c>
      <c r="J5734">
        <v>8</v>
      </c>
      <c r="K5734" t="s">
        <v>87</v>
      </c>
      <c r="L5734" t="s">
        <v>7</v>
      </c>
      <c r="M5734" t="s">
        <v>8</v>
      </c>
      <c r="N5734" t="b">
        <v>0</v>
      </c>
      <c r="O5734">
        <v>0</v>
      </c>
      <c r="P5734">
        <v>1</v>
      </c>
      <c r="Q5734">
        <v>0</v>
      </c>
      <c r="R5734">
        <v>1</v>
      </c>
    </row>
    <row r="5735" spans="1:18" x14ac:dyDescent="0.25">
      <c r="A5735" t="s">
        <v>9</v>
      </c>
      <c r="B5735" t="s">
        <v>6</v>
      </c>
      <c r="C5735">
        <v>2</v>
      </c>
      <c r="D5735">
        <v>1</v>
      </c>
      <c r="E5735">
        <v>2</v>
      </c>
      <c r="F5735" s="15">
        <v>46251</v>
      </c>
      <c r="G5735" t="s">
        <v>688</v>
      </c>
      <c r="H5735">
        <v>3</v>
      </c>
      <c r="I5735">
        <v>2026</v>
      </c>
      <c r="J5735">
        <v>8</v>
      </c>
      <c r="K5735" t="s">
        <v>87</v>
      </c>
      <c r="L5735" t="s">
        <v>693</v>
      </c>
      <c r="M5735" t="s">
        <v>6</v>
      </c>
      <c r="N5735" t="b">
        <v>0</v>
      </c>
      <c r="O5735">
        <v>0</v>
      </c>
      <c r="P5735">
        <v>1</v>
      </c>
      <c r="Q5735">
        <v>0</v>
      </c>
      <c r="R5735">
        <v>0</v>
      </c>
    </row>
    <row r="5736" spans="1:18" x14ac:dyDescent="0.25">
      <c r="A5736" t="s">
        <v>693</v>
      </c>
      <c r="B5736" t="s">
        <v>6</v>
      </c>
      <c r="C5736">
        <v>3</v>
      </c>
      <c r="D5736">
        <v>1</v>
      </c>
      <c r="E5736">
        <v>2</v>
      </c>
      <c r="F5736" s="15">
        <v>46251</v>
      </c>
      <c r="G5736" t="s">
        <v>688</v>
      </c>
      <c r="H5736">
        <v>3</v>
      </c>
      <c r="I5736">
        <v>2026</v>
      </c>
      <c r="J5736">
        <v>8</v>
      </c>
      <c r="K5736" t="s">
        <v>87</v>
      </c>
      <c r="L5736" t="s">
        <v>7</v>
      </c>
      <c r="M5736" t="s">
        <v>8</v>
      </c>
      <c r="N5736" t="b">
        <v>0</v>
      </c>
      <c r="O5736">
        <v>0</v>
      </c>
      <c r="P5736">
        <v>1</v>
      </c>
      <c r="Q5736">
        <v>0</v>
      </c>
      <c r="R5736">
        <v>1</v>
      </c>
    </row>
    <row r="5737" spans="1:18" x14ac:dyDescent="0.25">
      <c r="A5737" t="s">
        <v>693</v>
      </c>
      <c r="B5737" t="s">
        <v>6</v>
      </c>
      <c r="C5737">
        <v>3</v>
      </c>
      <c r="D5737">
        <v>1</v>
      </c>
      <c r="E5737">
        <v>2</v>
      </c>
      <c r="F5737" s="15">
        <v>46251</v>
      </c>
      <c r="G5737" t="s">
        <v>688</v>
      </c>
      <c r="H5737">
        <v>3</v>
      </c>
      <c r="I5737">
        <v>2026</v>
      </c>
      <c r="J5737">
        <v>8</v>
      </c>
      <c r="K5737" t="s">
        <v>87</v>
      </c>
      <c r="L5737" t="s">
        <v>9</v>
      </c>
      <c r="M5737" t="s">
        <v>6</v>
      </c>
      <c r="N5737" t="b">
        <v>0</v>
      </c>
      <c r="O5737">
        <v>0</v>
      </c>
      <c r="P5737">
        <v>1</v>
      </c>
      <c r="Q5737">
        <v>0</v>
      </c>
      <c r="R5737">
        <v>0</v>
      </c>
    </row>
    <row r="5738" spans="1:18" x14ac:dyDescent="0.25">
      <c r="A5738" t="s">
        <v>27</v>
      </c>
      <c r="B5738" t="s">
        <v>6</v>
      </c>
      <c r="C5738">
        <v>1</v>
      </c>
      <c r="D5738">
        <v>2</v>
      </c>
      <c r="E5738">
        <v>2</v>
      </c>
      <c r="F5738" s="15">
        <v>46251</v>
      </c>
      <c r="G5738" t="s">
        <v>689</v>
      </c>
      <c r="H5738">
        <v>4</v>
      </c>
      <c r="I5738">
        <v>2026</v>
      </c>
      <c r="J5738">
        <v>8</v>
      </c>
      <c r="K5738" t="s">
        <v>87</v>
      </c>
      <c r="L5738" t="s">
        <v>622</v>
      </c>
      <c r="M5738" t="s">
        <v>6</v>
      </c>
      <c r="N5738" t="b">
        <v>0</v>
      </c>
      <c r="O5738">
        <v>0</v>
      </c>
      <c r="P5738">
        <v>1</v>
      </c>
      <c r="Q5738">
        <v>0</v>
      </c>
      <c r="R5738">
        <v>0</v>
      </c>
    </row>
    <row r="5739" spans="1:18" x14ac:dyDescent="0.25">
      <c r="A5739" t="s">
        <v>27</v>
      </c>
      <c r="B5739" t="s">
        <v>6</v>
      </c>
      <c r="C5739">
        <v>1</v>
      </c>
      <c r="D5739">
        <v>2</v>
      </c>
      <c r="E5739">
        <v>2</v>
      </c>
      <c r="F5739" s="15">
        <v>46251</v>
      </c>
      <c r="G5739" t="s">
        <v>689</v>
      </c>
      <c r="H5739">
        <v>4</v>
      </c>
      <c r="I5739">
        <v>2026</v>
      </c>
      <c r="J5739">
        <v>8</v>
      </c>
      <c r="K5739" t="s">
        <v>87</v>
      </c>
      <c r="L5739" t="s">
        <v>578</v>
      </c>
      <c r="M5739" t="s">
        <v>8</v>
      </c>
      <c r="N5739" t="b">
        <v>0</v>
      </c>
      <c r="O5739">
        <v>0</v>
      </c>
      <c r="P5739">
        <v>1</v>
      </c>
      <c r="Q5739">
        <v>0</v>
      </c>
      <c r="R5739">
        <v>1</v>
      </c>
    </row>
    <row r="5740" spans="1:18" x14ac:dyDescent="0.25">
      <c r="A5740" t="s">
        <v>27</v>
      </c>
      <c r="B5740" t="s">
        <v>6</v>
      </c>
      <c r="C5740">
        <v>1</v>
      </c>
      <c r="D5740">
        <v>2</v>
      </c>
      <c r="E5740">
        <v>2</v>
      </c>
      <c r="F5740" s="15">
        <v>46251</v>
      </c>
      <c r="G5740" t="s">
        <v>689</v>
      </c>
      <c r="H5740">
        <v>4</v>
      </c>
      <c r="I5740">
        <v>2026</v>
      </c>
      <c r="J5740">
        <v>8</v>
      </c>
      <c r="K5740" t="s">
        <v>87</v>
      </c>
      <c r="L5740" t="s">
        <v>19</v>
      </c>
      <c r="M5740" t="s">
        <v>6</v>
      </c>
      <c r="N5740" t="b">
        <v>0</v>
      </c>
      <c r="O5740">
        <v>0</v>
      </c>
      <c r="P5740">
        <v>1</v>
      </c>
      <c r="Q5740">
        <v>0</v>
      </c>
      <c r="R5740">
        <v>0</v>
      </c>
    </row>
    <row r="5741" spans="1:18" x14ac:dyDescent="0.25">
      <c r="A5741" t="s">
        <v>622</v>
      </c>
      <c r="B5741" t="s">
        <v>6</v>
      </c>
      <c r="C5741">
        <v>2</v>
      </c>
      <c r="D5741">
        <v>2</v>
      </c>
      <c r="E5741">
        <v>2</v>
      </c>
      <c r="F5741" s="15">
        <v>46251</v>
      </c>
      <c r="G5741" t="s">
        <v>689</v>
      </c>
      <c r="H5741">
        <v>4</v>
      </c>
      <c r="I5741">
        <v>2026</v>
      </c>
      <c r="J5741">
        <v>8</v>
      </c>
      <c r="K5741" t="s">
        <v>87</v>
      </c>
      <c r="L5741" t="s">
        <v>27</v>
      </c>
      <c r="M5741" t="s">
        <v>6</v>
      </c>
      <c r="N5741" t="b">
        <v>0</v>
      </c>
      <c r="O5741">
        <v>0</v>
      </c>
      <c r="P5741">
        <v>1</v>
      </c>
      <c r="Q5741">
        <v>0</v>
      </c>
      <c r="R5741">
        <v>0</v>
      </c>
    </row>
    <row r="5742" spans="1:18" x14ac:dyDescent="0.25">
      <c r="A5742" t="s">
        <v>622</v>
      </c>
      <c r="B5742" t="s">
        <v>6</v>
      </c>
      <c r="C5742">
        <v>2</v>
      </c>
      <c r="D5742">
        <v>2</v>
      </c>
      <c r="E5742">
        <v>2</v>
      </c>
      <c r="F5742" s="15">
        <v>46251</v>
      </c>
      <c r="G5742" t="s">
        <v>689</v>
      </c>
      <c r="H5742">
        <v>4</v>
      </c>
      <c r="I5742">
        <v>2026</v>
      </c>
      <c r="J5742">
        <v>8</v>
      </c>
      <c r="K5742" t="s">
        <v>87</v>
      </c>
      <c r="L5742" t="s">
        <v>578</v>
      </c>
      <c r="M5742" t="s">
        <v>8</v>
      </c>
      <c r="N5742" t="b">
        <v>0</v>
      </c>
      <c r="O5742">
        <v>0</v>
      </c>
      <c r="P5742">
        <v>1</v>
      </c>
      <c r="Q5742">
        <v>0</v>
      </c>
      <c r="R5742">
        <v>1</v>
      </c>
    </row>
    <row r="5743" spans="1:18" x14ac:dyDescent="0.25">
      <c r="A5743" t="s">
        <v>622</v>
      </c>
      <c r="B5743" t="s">
        <v>6</v>
      </c>
      <c r="C5743">
        <v>2</v>
      </c>
      <c r="D5743">
        <v>2</v>
      </c>
      <c r="E5743">
        <v>2</v>
      </c>
      <c r="F5743" s="15">
        <v>46251</v>
      </c>
      <c r="G5743" t="s">
        <v>689</v>
      </c>
      <c r="H5743">
        <v>4</v>
      </c>
      <c r="I5743">
        <v>2026</v>
      </c>
      <c r="J5743">
        <v>8</v>
      </c>
      <c r="K5743" t="s">
        <v>87</v>
      </c>
      <c r="L5743" t="s">
        <v>19</v>
      </c>
      <c r="M5743" t="s">
        <v>6</v>
      </c>
      <c r="N5743" t="b">
        <v>0</v>
      </c>
      <c r="O5743">
        <v>0</v>
      </c>
      <c r="P5743">
        <v>1</v>
      </c>
      <c r="Q5743">
        <v>0</v>
      </c>
      <c r="R5743">
        <v>0</v>
      </c>
    </row>
    <row r="5744" spans="1:18" x14ac:dyDescent="0.25">
      <c r="A5744" t="s">
        <v>578</v>
      </c>
      <c r="B5744" t="s">
        <v>8</v>
      </c>
      <c r="C5744">
        <v>3</v>
      </c>
      <c r="D5744">
        <v>2</v>
      </c>
      <c r="E5744">
        <v>2</v>
      </c>
      <c r="F5744" s="15">
        <v>46251</v>
      </c>
      <c r="G5744" t="s">
        <v>689</v>
      </c>
      <c r="H5744">
        <v>4</v>
      </c>
      <c r="I5744">
        <v>2026</v>
      </c>
      <c r="J5744">
        <v>8</v>
      </c>
      <c r="K5744" t="s">
        <v>87</v>
      </c>
      <c r="L5744" t="s">
        <v>27</v>
      </c>
      <c r="M5744" t="s">
        <v>6</v>
      </c>
      <c r="N5744" t="b">
        <v>0</v>
      </c>
      <c r="O5744">
        <v>1</v>
      </c>
      <c r="P5744">
        <v>0</v>
      </c>
      <c r="Q5744">
        <v>0</v>
      </c>
      <c r="R5744">
        <v>0</v>
      </c>
    </row>
    <row r="5745" spans="1:18" x14ac:dyDescent="0.25">
      <c r="A5745" t="s">
        <v>578</v>
      </c>
      <c r="B5745" t="s">
        <v>8</v>
      </c>
      <c r="C5745">
        <v>3</v>
      </c>
      <c r="D5745">
        <v>2</v>
      </c>
      <c r="E5745">
        <v>2</v>
      </c>
      <c r="F5745" s="15">
        <v>46251</v>
      </c>
      <c r="G5745" t="s">
        <v>689</v>
      </c>
      <c r="H5745">
        <v>4</v>
      </c>
      <c r="I5745">
        <v>2026</v>
      </c>
      <c r="J5745">
        <v>8</v>
      </c>
      <c r="K5745" t="s">
        <v>87</v>
      </c>
      <c r="L5745" t="s">
        <v>622</v>
      </c>
      <c r="M5745" t="s">
        <v>6</v>
      </c>
      <c r="N5745" t="b">
        <v>0</v>
      </c>
      <c r="O5745">
        <v>1</v>
      </c>
      <c r="P5745">
        <v>0</v>
      </c>
      <c r="Q5745">
        <v>0</v>
      </c>
      <c r="R5745">
        <v>0</v>
      </c>
    </row>
    <row r="5746" spans="1:18" x14ac:dyDescent="0.25">
      <c r="A5746" t="s">
        <v>578</v>
      </c>
      <c r="B5746" t="s">
        <v>8</v>
      </c>
      <c r="C5746">
        <v>3</v>
      </c>
      <c r="D5746">
        <v>2</v>
      </c>
      <c r="E5746">
        <v>2</v>
      </c>
      <c r="F5746" s="15">
        <v>46251</v>
      </c>
      <c r="G5746" t="s">
        <v>689</v>
      </c>
      <c r="H5746">
        <v>4</v>
      </c>
      <c r="I5746">
        <v>2026</v>
      </c>
      <c r="J5746">
        <v>8</v>
      </c>
      <c r="K5746" t="s">
        <v>87</v>
      </c>
      <c r="L5746" t="s">
        <v>19</v>
      </c>
      <c r="M5746" t="s">
        <v>6</v>
      </c>
      <c r="N5746" t="b">
        <v>0</v>
      </c>
      <c r="O5746">
        <v>1</v>
      </c>
      <c r="P5746">
        <v>0</v>
      </c>
      <c r="Q5746">
        <v>0</v>
      </c>
      <c r="R5746">
        <v>0</v>
      </c>
    </row>
    <row r="5747" spans="1:18" x14ac:dyDescent="0.25">
      <c r="A5747" t="s">
        <v>19</v>
      </c>
      <c r="B5747" t="s">
        <v>6</v>
      </c>
      <c r="C5747">
        <v>4</v>
      </c>
      <c r="D5747">
        <v>2</v>
      </c>
      <c r="E5747">
        <v>2</v>
      </c>
      <c r="F5747" s="15">
        <v>46251</v>
      </c>
      <c r="G5747" t="s">
        <v>689</v>
      </c>
      <c r="H5747">
        <v>4</v>
      </c>
      <c r="I5747">
        <v>2026</v>
      </c>
      <c r="J5747">
        <v>8</v>
      </c>
      <c r="K5747" t="s">
        <v>87</v>
      </c>
      <c r="L5747" t="s">
        <v>27</v>
      </c>
      <c r="M5747" t="s">
        <v>6</v>
      </c>
      <c r="N5747" t="b">
        <v>0</v>
      </c>
      <c r="O5747">
        <v>0</v>
      </c>
      <c r="P5747">
        <v>1</v>
      </c>
      <c r="Q5747">
        <v>0</v>
      </c>
      <c r="R5747">
        <v>0</v>
      </c>
    </row>
    <row r="5748" spans="1:18" x14ac:dyDescent="0.25">
      <c r="A5748" t="s">
        <v>19</v>
      </c>
      <c r="B5748" t="s">
        <v>6</v>
      </c>
      <c r="C5748">
        <v>4</v>
      </c>
      <c r="D5748">
        <v>2</v>
      </c>
      <c r="E5748">
        <v>2</v>
      </c>
      <c r="F5748" s="15">
        <v>46251</v>
      </c>
      <c r="G5748" t="s">
        <v>689</v>
      </c>
      <c r="H5748">
        <v>4</v>
      </c>
      <c r="I5748">
        <v>2026</v>
      </c>
      <c r="J5748">
        <v>8</v>
      </c>
      <c r="K5748" t="s">
        <v>87</v>
      </c>
      <c r="L5748" t="s">
        <v>622</v>
      </c>
      <c r="M5748" t="s">
        <v>6</v>
      </c>
      <c r="N5748" t="b">
        <v>0</v>
      </c>
      <c r="O5748">
        <v>0</v>
      </c>
      <c r="P5748">
        <v>1</v>
      </c>
      <c r="Q5748">
        <v>0</v>
      </c>
      <c r="R5748">
        <v>0</v>
      </c>
    </row>
    <row r="5749" spans="1:18" x14ac:dyDescent="0.25">
      <c r="A5749" t="s">
        <v>19</v>
      </c>
      <c r="B5749" t="s">
        <v>6</v>
      </c>
      <c r="C5749">
        <v>4</v>
      </c>
      <c r="D5749">
        <v>2</v>
      </c>
      <c r="E5749">
        <v>2</v>
      </c>
      <c r="F5749" s="15">
        <v>46251</v>
      </c>
      <c r="G5749" t="s">
        <v>689</v>
      </c>
      <c r="H5749">
        <v>4</v>
      </c>
      <c r="I5749">
        <v>2026</v>
      </c>
      <c r="J5749">
        <v>8</v>
      </c>
      <c r="K5749" t="s">
        <v>87</v>
      </c>
      <c r="L5749" t="s">
        <v>578</v>
      </c>
      <c r="M5749" t="s">
        <v>8</v>
      </c>
      <c r="N5749" t="b">
        <v>0</v>
      </c>
      <c r="O5749">
        <v>0</v>
      </c>
      <c r="P5749">
        <v>1</v>
      </c>
      <c r="Q5749">
        <v>0</v>
      </c>
      <c r="R5749">
        <v>1</v>
      </c>
    </row>
    <row r="5750" spans="1:18" x14ac:dyDescent="0.25">
      <c r="A5750" t="s">
        <v>352</v>
      </c>
      <c r="B5750" t="s">
        <v>6</v>
      </c>
      <c r="C5750">
        <v>1</v>
      </c>
      <c r="D5750">
        <v>3</v>
      </c>
      <c r="E5750">
        <v>2</v>
      </c>
      <c r="F5750" s="15">
        <v>46251</v>
      </c>
      <c r="G5750" t="s">
        <v>690</v>
      </c>
      <c r="H5750">
        <v>4</v>
      </c>
      <c r="I5750">
        <v>2026</v>
      </c>
      <c r="J5750">
        <v>8</v>
      </c>
      <c r="K5750" t="s">
        <v>87</v>
      </c>
      <c r="L5750" t="s">
        <v>14</v>
      </c>
      <c r="M5750" t="s">
        <v>6</v>
      </c>
      <c r="N5750" t="b">
        <v>0</v>
      </c>
      <c r="O5750">
        <v>0</v>
      </c>
      <c r="P5750">
        <v>1</v>
      </c>
      <c r="Q5750">
        <v>0</v>
      </c>
      <c r="R5750">
        <v>0</v>
      </c>
    </row>
    <row r="5751" spans="1:18" x14ac:dyDescent="0.25">
      <c r="A5751" t="s">
        <v>352</v>
      </c>
      <c r="B5751" t="s">
        <v>6</v>
      </c>
      <c r="C5751">
        <v>1</v>
      </c>
      <c r="D5751">
        <v>3</v>
      </c>
      <c r="E5751">
        <v>2</v>
      </c>
      <c r="F5751" s="15">
        <v>46251</v>
      </c>
      <c r="G5751" t="s">
        <v>690</v>
      </c>
      <c r="H5751">
        <v>4</v>
      </c>
      <c r="I5751">
        <v>2026</v>
      </c>
      <c r="J5751">
        <v>8</v>
      </c>
      <c r="K5751" t="s">
        <v>87</v>
      </c>
      <c r="L5751" t="s">
        <v>13</v>
      </c>
      <c r="M5751" t="s">
        <v>6</v>
      </c>
      <c r="N5751" t="b">
        <v>0</v>
      </c>
      <c r="O5751">
        <v>0</v>
      </c>
      <c r="P5751">
        <v>1</v>
      </c>
      <c r="Q5751">
        <v>0</v>
      </c>
      <c r="R5751">
        <v>0</v>
      </c>
    </row>
    <row r="5752" spans="1:18" x14ac:dyDescent="0.25">
      <c r="A5752" t="s">
        <v>352</v>
      </c>
      <c r="B5752" t="s">
        <v>6</v>
      </c>
      <c r="C5752">
        <v>1</v>
      </c>
      <c r="D5752">
        <v>3</v>
      </c>
      <c r="E5752">
        <v>2</v>
      </c>
      <c r="F5752" s="15">
        <v>46251</v>
      </c>
      <c r="G5752" t="s">
        <v>690</v>
      </c>
      <c r="H5752">
        <v>4</v>
      </c>
      <c r="I5752">
        <v>2026</v>
      </c>
      <c r="J5752">
        <v>8</v>
      </c>
      <c r="K5752" t="s">
        <v>87</v>
      </c>
      <c r="L5752" t="s">
        <v>405</v>
      </c>
      <c r="M5752" t="s">
        <v>8</v>
      </c>
      <c r="N5752" t="b">
        <v>0</v>
      </c>
      <c r="O5752">
        <v>0</v>
      </c>
      <c r="P5752">
        <v>1</v>
      </c>
      <c r="Q5752">
        <v>0</v>
      </c>
      <c r="R5752">
        <v>1</v>
      </c>
    </row>
    <row r="5753" spans="1:18" x14ac:dyDescent="0.25">
      <c r="A5753" t="s">
        <v>14</v>
      </c>
      <c r="B5753" t="s">
        <v>6</v>
      </c>
      <c r="C5753">
        <v>2</v>
      </c>
      <c r="D5753">
        <v>3</v>
      </c>
      <c r="E5753">
        <v>2</v>
      </c>
      <c r="F5753" s="15">
        <v>46251</v>
      </c>
      <c r="G5753" t="s">
        <v>690</v>
      </c>
      <c r="H5753">
        <v>4</v>
      </c>
      <c r="I5753">
        <v>2026</v>
      </c>
      <c r="J5753">
        <v>8</v>
      </c>
      <c r="K5753" t="s">
        <v>87</v>
      </c>
      <c r="L5753" t="s">
        <v>352</v>
      </c>
      <c r="M5753" t="s">
        <v>6</v>
      </c>
      <c r="N5753" t="b">
        <v>0</v>
      </c>
      <c r="O5753">
        <v>0</v>
      </c>
      <c r="P5753">
        <v>1</v>
      </c>
      <c r="Q5753">
        <v>0</v>
      </c>
      <c r="R5753">
        <v>0</v>
      </c>
    </row>
    <row r="5754" spans="1:18" x14ac:dyDescent="0.25">
      <c r="A5754" t="s">
        <v>14</v>
      </c>
      <c r="B5754" t="s">
        <v>6</v>
      </c>
      <c r="C5754">
        <v>2</v>
      </c>
      <c r="D5754">
        <v>3</v>
      </c>
      <c r="E5754">
        <v>2</v>
      </c>
      <c r="F5754" s="15">
        <v>46251</v>
      </c>
      <c r="G5754" t="s">
        <v>690</v>
      </c>
      <c r="H5754">
        <v>4</v>
      </c>
      <c r="I5754">
        <v>2026</v>
      </c>
      <c r="J5754">
        <v>8</v>
      </c>
      <c r="K5754" t="s">
        <v>87</v>
      </c>
      <c r="L5754" t="s">
        <v>13</v>
      </c>
      <c r="M5754" t="s">
        <v>6</v>
      </c>
      <c r="N5754" t="b">
        <v>0</v>
      </c>
      <c r="O5754">
        <v>0</v>
      </c>
      <c r="P5754">
        <v>1</v>
      </c>
      <c r="Q5754">
        <v>0</v>
      </c>
      <c r="R5754">
        <v>0</v>
      </c>
    </row>
    <row r="5755" spans="1:18" x14ac:dyDescent="0.25">
      <c r="A5755" t="s">
        <v>14</v>
      </c>
      <c r="B5755" t="s">
        <v>6</v>
      </c>
      <c r="C5755">
        <v>2</v>
      </c>
      <c r="D5755">
        <v>3</v>
      </c>
      <c r="E5755">
        <v>2</v>
      </c>
      <c r="F5755" s="15">
        <v>46251</v>
      </c>
      <c r="G5755" t="s">
        <v>690</v>
      </c>
      <c r="H5755">
        <v>4</v>
      </c>
      <c r="I5755">
        <v>2026</v>
      </c>
      <c r="J5755">
        <v>8</v>
      </c>
      <c r="K5755" t="s">
        <v>87</v>
      </c>
      <c r="L5755" t="s">
        <v>405</v>
      </c>
      <c r="M5755" t="s">
        <v>8</v>
      </c>
      <c r="N5755" t="b">
        <v>0</v>
      </c>
      <c r="O5755">
        <v>0</v>
      </c>
      <c r="P5755">
        <v>1</v>
      </c>
      <c r="Q5755">
        <v>0</v>
      </c>
      <c r="R5755">
        <v>1</v>
      </c>
    </row>
    <row r="5756" spans="1:18" x14ac:dyDescent="0.25">
      <c r="A5756" t="s">
        <v>13</v>
      </c>
      <c r="B5756" t="s">
        <v>6</v>
      </c>
      <c r="C5756">
        <v>3</v>
      </c>
      <c r="D5756">
        <v>3</v>
      </c>
      <c r="E5756">
        <v>2</v>
      </c>
      <c r="F5756" s="15">
        <v>46251</v>
      </c>
      <c r="G5756" t="s">
        <v>690</v>
      </c>
      <c r="H5756">
        <v>4</v>
      </c>
      <c r="I5756">
        <v>2026</v>
      </c>
      <c r="J5756">
        <v>8</v>
      </c>
      <c r="K5756" t="s">
        <v>87</v>
      </c>
      <c r="L5756" t="s">
        <v>352</v>
      </c>
      <c r="M5756" t="s">
        <v>6</v>
      </c>
      <c r="N5756" t="b">
        <v>0</v>
      </c>
      <c r="O5756">
        <v>0</v>
      </c>
      <c r="P5756">
        <v>1</v>
      </c>
      <c r="Q5756">
        <v>0</v>
      </c>
      <c r="R5756">
        <v>0</v>
      </c>
    </row>
    <row r="5757" spans="1:18" x14ac:dyDescent="0.25">
      <c r="A5757" t="s">
        <v>13</v>
      </c>
      <c r="B5757" t="s">
        <v>6</v>
      </c>
      <c r="C5757">
        <v>3</v>
      </c>
      <c r="D5757">
        <v>3</v>
      </c>
      <c r="E5757">
        <v>2</v>
      </c>
      <c r="F5757" s="15">
        <v>46251</v>
      </c>
      <c r="G5757" t="s">
        <v>690</v>
      </c>
      <c r="H5757">
        <v>4</v>
      </c>
      <c r="I5757">
        <v>2026</v>
      </c>
      <c r="J5757">
        <v>8</v>
      </c>
      <c r="K5757" t="s">
        <v>87</v>
      </c>
      <c r="L5757" t="s">
        <v>14</v>
      </c>
      <c r="M5757" t="s">
        <v>6</v>
      </c>
      <c r="N5757" t="b">
        <v>0</v>
      </c>
      <c r="O5757">
        <v>0</v>
      </c>
      <c r="P5757">
        <v>1</v>
      </c>
      <c r="Q5757">
        <v>0</v>
      </c>
      <c r="R5757">
        <v>0</v>
      </c>
    </row>
    <row r="5758" spans="1:18" x14ac:dyDescent="0.25">
      <c r="A5758" t="s">
        <v>13</v>
      </c>
      <c r="B5758" t="s">
        <v>6</v>
      </c>
      <c r="C5758">
        <v>3</v>
      </c>
      <c r="D5758">
        <v>3</v>
      </c>
      <c r="E5758">
        <v>2</v>
      </c>
      <c r="F5758" s="15">
        <v>46251</v>
      </c>
      <c r="G5758" t="s">
        <v>690</v>
      </c>
      <c r="H5758">
        <v>4</v>
      </c>
      <c r="I5758">
        <v>2026</v>
      </c>
      <c r="J5758">
        <v>8</v>
      </c>
      <c r="K5758" t="s">
        <v>87</v>
      </c>
      <c r="L5758" t="s">
        <v>405</v>
      </c>
      <c r="M5758" t="s">
        <v>8</v>
      </c>
      <c r="N5758" t="b">
        <v>0</v>
      </c>
      <c r="O5758">
        <v>0</v>
      </c>
      <c r="P5758">
        <v>1</v>
      </c>
      <c r="Q5758">
        <v>0</v>
      </c>
      <c r="R5758">
        <v>1</v>
      </c>
    </row>
    <row r="5759" spans="1:18" x14ac:dyDescent="0.25">
      <c r="A5759" t="s">
        <v>405</v>
      </c>
      <c r="B5759" t="s">
        <v>8</v>
      </c>
      <c r="C5759">
        <v>4</v>
      </c>
      <c r="D5759">
        <v>3</v>
      </c>
      <c r="E5759">
        <v>2</v>
      </c>
      <c r="F5759" s="15">
        <v>46251</v>
      </c>
      <c r="G5759" t="s">
        <v>690</v>
      </c>
      <c r="H5759">
        <v>4</v>
      </c>
      <c r="I5759">
        <v>2026</v>
      </c>
      <c r="J5759">
        <v>8</v>
      </c>
      <c r="K5759" t="s">
        <v>87</v>
      </c>
      <c r="L5759" t="s">
        <v>352</v>
      </c>
      <c r="M5759" t="s">
        <v>6</v>
      </c>
      <c r="N5759" t="b">
        <v>0</v>
      </c>
      <c r="O5759">
        <v>1</v>
      </c>
      <c r="P5759">
        <v>0</v>
      </c>
      <c r="Q5759">
        <v>0</v>
      </c>
      <c r="R5759">
        <v>0</v>
      </c>
    </row>
    <row r="5760" spans="1:18" x14ac:dyDescent="0.25">
      <c r="A5760" t="s">
        <v>405</v>
      </c>
      <c r="B5760" t="s">
        <v>8</v>
      </c>
      <c r="C5760">
        <v>4</v>
      </c>
      <c r="D5760">
        <v>3</v>
      </c>
      <c r="E5760">
        <v>2</v>
      </c>
      <c r="F5760" s="15">
        <v>46251</v>
      </c>
      <c r="G5760" t="s">
        <v>690</v>
      </c>
      <c r="H5760">
        <v>4</v>
      </c>
      <c r="I5760">
        <v>2026</v>
      </c>
      <c r="J5760">
        <v>8</v>
      </c>
      <c r="K5760" t="s">
        <v>87</v>
      </c>
      <c r="L5760" t="s">
        <v>14</v>
      </c>
      <c r="M5760" t="s">
        <v>6</v>
      </c>
      <c r="N5760" t="b">
        <v>0</v>
      </c>
      <c r="O5760">
        <v>1</v>
      </c>
      <c r="P5760">
        <v>0</v>
      </c>
      <c r="Q5760">
        <v>0</v>
      </c>
      <c r="R5760">
        <v>0</v>
      </c>
    </row>
    <row r="5761" spans="1:18" x14ac:dyDescent="0.25">
      <c r="A5761" t="s">
        <v>405</v>
      </c>
      <c r="B5761" t="s">
        <v>8</v>
      </c>
      <c r="C5761">
        <v>4</v>
      </c>
      <c r="D5761">
        <v>3</v>
      </c>
      <c r="E5761">
        <v>2</v>
      </c>
      <c r="F5761" s="15">
        <v>46251</v>
      </c>
      <c r="G5761" t="s">
        <v>690</v>
      </c>
      <c r="H5761">
        <v>4</v>
      </c>
      <c r="I5761">
        <v>2026</v>
      </c>
      <c r="J5761">
        <v>8</v>
      </c>
      <c r="K5761" t="s">
        <v>87</v>
      </c>
      <c r="L5761" t="s">
        <v>13</v>
      </c>
      <c r="M5761" t="s">
        <v>6</v>
      </c>
      <c r="N5761" t="b">
        <v>0</v>
      </c>
      <c r="O5761">
        <v>1</v>
      </c>
      <c r="P5761">
        <v>0</v>
      </c>
      <c r="Q5761">
        <v>0</v>
      </c>
      <c r="R5761">
        <v>0</v>
      </c>
    </row>
    <row r="5762" spans="1:18" x14ac:dyDescent="0.25">
      <c r="A5762" t="s">
        <v>15</v>
      </c>
      <c r="B5762" t="s">
        <v>6</v>
      </c>
      <c r="C5762">
        <v>1</v>
      </c>
      <c r="D5762">
        <v>4</v>
      </c>
      <c r="E5762">
        <v>2</v>
      </c>
      <c r="F5762" s="15">
        <v>46251</v>
      </c>
      <c r="G5762" t="s">
        <v>691</v>
      </c>
      <c r="H5762">
        <v>4</v>
      </c>
      <c r="I5762">
        <v>2026</v>
      </c>
      <c r="J5762">
        <v>8</v>
      </c>
      <c r="K5762" t="s">
        <v>87</v>
      </c>
      <c r="L5762" t="s">
        <v>11</v>
      </c>
      <c r="M5762" t="s">
        <v>6</v>
      </c>
      <c r="N5762" t="b">
        <v>0</v>
      </c>
      <c r="O5762">
        <v>0</v>
      </c>
      <c r="P5762">
        <v>1</v>
      </c>
      <c r="Q5762">
        <v>0</v>
      </c>
      <c r="R5762">
        <v>0</v>
      </c>
    </row>
    <row r="5763" spans="1:18" x14ac:dyDescent="0.25">
      <c r="A5763" t="s">
        <v>15</v>
      </c>
      <c r="B5763" t="s">
        <v>6</v>
      </c>
      <c r="C5763">
        <v>1</v>
      </c>
      <c r="D5763">
        <v>4</v>
      </c>
      <c r="E5763">
        <v>2</v>
      </c>
      <c r="F5763" s="15">
        <v>46251</v>
      </c>
      <c r="G5763" t="s">
        <v>691</v>
      </c>
      <c r="H5763">
        <v>4</v>
      </c>
      <c r="I5763">
        <v>2026</v>
      </c>
      <c r="J5763">
        <v>8</v>
      </c>
      <c r="K5763" t="s">
        <v>87</v>
      </c>
      <c r="L5763" t="s">
        <v>540</v>
      </c>
      <c r="M5763" t="s">
        <v>6</v>
      </c>
      <c r="N5763" t="b">
        <v>0</v>
      </c>
      <c r="O5763">
        <v>0</v>
      </c>
      <c r="P5763">
        <v>1</v>
      </c>
      <c r="Q5763">
        <v>0</v>
      </c>
      <c r="R5763">
        <v>0</v>
      </c>
    </row>
    <row r="5764" spans="1:18" x14ac:dyDescent="0.25">
      <c r="A5764" t="s">
        <v>15</v>
      </c>
      <c r="B5764" t="s">
        <v>6</v>
      </c>
      <c r="C5764">
        <v>1</v>
      </c>
      <c r="D5764">
        <v>4</v>
      </c>
      <c r="E5764">
        <v>2</v>
      </c>
      <c r="F5764" s="15">
        <v>46251</v>
      </c>
      <c r="G5764" t="s">
        <v>691</v>
      </c>
      <c r="H5764">
        <v>4</v>
      </c>
      <c r="I5764">
        <v>2026</v>
      </c>
      <c r="J5764">
        <v>8</v>
      </c>
      <c r="K5764" t="s">
        <v>87</v>
      </c>
      <c r="L5764" t="s">
        <v>326</v>
      </c>
      <c r="M5764" t="s">
        <v>8</v>
      </c>
      <c r="N5764" t="b">
        <v>0</v>
      </c>
      <c r="O5764">
        <v>0</v>
      </c>
      <c r="P5764">
        <v>1</v>
      </c>
      <c r="Q5764">
        <v>0</v>
      </c>
      <c r="R5764">
        <v>1</v>
      </c>
    </row>
    <row r="5765" spans="1:18" x14ac:dyDescent="0.25">
      <c r="A5765" t="s">
        <v>11</v>
      </c>
      <c r="B5765" t="s">
        <v>6</v>
      </c>
      <c r="C5765">
        <v>2</v>
      </c>
      <c r="D5765">
        <v>4</v>
      </c>
      <c r="E5765">
        <v>2</v>
      </c>
      <c r="F5765" s="15">
        <v>46251</v>
      </c>
      <c r="G5765" t="s">
        <v>691</v>
      </c>
      <c r="H5765">
        <v>4</v>
      </c>
      <c r="I5765">
        <v>2026</v>
      </c>
      <c r="J5765">
        <v>8</v>
      </c>
      <c r="K5765" t="s">
        <v>87</v>
      </c>
      <c r="L5765" t="s">
        <v>15</v>
      </c>
      <c r="M5765" t="s">
        <v>6</v>
      </c>
      <c r="N5765" t="b">
        <v>0</v>
      </c>
      <c r="O5765">
        <v>0</v>
      </c>
      <c r="P5765">
        <v>1</v>
      </c>
      <c r="Q5765">
        <v>0</v>
      </c>
      <c r="R5765">
        <v>0</v>
      </c>
    </row>
    <row r="5766" spans="1:18" x14ac:dyDescent="0.25">
      <c r="A5766" t="s">
        <v>11</v>
      </c>
      <c r="B5766" t="s">
        <v>6</v>
      </c>
      <c r="C5766">
        <v>2</v>
      </c>
      <c r="D5766">
        <v>4</v>
      </c>
      <c r="E5766">
        <v>2</v>
      </c>
      <c r="F5766" s="15">
        <v>46251</v>
      </c>
      <c r="G5766" t="s">
        <v>691</v>
      </c>
      <c r="H5766">
        <v>4</v>
      </c>
      <c r="I5766">
        <v>2026</v>
      </c>
      <c r="J5766">
        <v>8</v>
      </c>
      <c r="K5766" t="s">
        <v>87</v>
      </c>
      <c r="L5766" t="s">
        <v>540</v>
      </c>
      <c r="M5766" t="s">
        <v>6</v>
      </c>
      <c r="N5766" t="b">
        <v>0</v>
      </c>
      <c r="O5766">
        <v>0</v>
      </c>
      <c r="P5766">
        <v>1</v>
      </c>
      <c r="Q5766">
        <v>0</v>
      </c>
      <c r="R5766">
        <v>0</v>
      </c>
    </row>
    <row r="5767" spans="1:18" x14ac:dyDescent="0.25">
      <c r="A5767" t="s">
        <v>11</v>
      </c>
      <c r="B5767" t="s">
        <v>6</v>
      </c>
      <c r="C5767">
        <v>2</v>
      </c>
      <c r="D5767">
        <v>4</v>
      </c>
      <c r="E5767">
        <v>2</v>
      </c>
      <c r="F5767" s="15">
        <v>46251</v>
      </c>
      <c r="G5767" t="s">
        <v>691</v>
      </c>
      <c r="H5767">
        <v>4</v>
      </c>
      <c r="I5767">
        <v>2026</v>
      </c>
      <c r="J5767">
        <v>8</v>
      </c>
      <c r="K5767" t="s">
        <v>87</v>
      </c>
      <c r="L5767" t="s">
        <v>326</v>
      </c>
      <c r="M5767" t="s">
        <v>8</v>
      </c>
      <c r="N5767" t="b">
        <v>0</v>
      </c>
      <c r="O5767">
        <v>0</v>
      </c>
      <c r="P5767">
        <v>1</v>
      </c>
      <c r="Q5767">
        <v>0</v>
      </c>
      <c r="R5767">
        <v>1</v>
      </c>
    </row>
    <row r="5768" spans="1:18" x14ac:dyDescent="0.25">
      <c r="A5768" t="s">
        <v>540</v>
      </c>
      <c r="B5768" t="s">
        <v>6</v>
      </c>
      <c r="C5768">
        <v>3</v>
      </c>
      <c r="D5768">
        <v>4</v>
      </c>
      <c r="E5768">
        <v>2</v>
      </c>
      <c r="F5768" s="15">
        <v>46251</v>
      </c>
      <c r="G5768" t="s">
        <v>691</v>
      </c>
      <c r="H5768">
        <v>4</v>
      </c>
      <c r="I5768">
        <v>2026</v>
      </c>
      <c r="J5768">
        <v>8</v>
      </c>
      <c r="K5768" t="s">
        <v>87</v>
      </c>
      <c r="L5768" t="s">
        <v>15</v>
      </c>
      <c r="M5768" t="s">
        <v>6</v>
      </c>
      <c r="N5768" t="b">
        <v>0</v>
      </c>
      <c r="O5768">
        <v>0</v>
      </c>
      <c r="P5768">
        <v>1</v>
      </c>
      <c r="Q5768">
        <v>0</v>
      </c>
      <c r="R5768">
        <v>0</v>
      </c>
    </row>
    <row r="5769" spans="1:18" x14ac:dyDescent="0.25">
      <c r="A5769" t="s">
        <v>540</v>
      </c>
      <c r="B5769" t="s">
        <v>6</v>
      </c>
      <c r="C5769">
        <v>3</v>
      </c>
      <c r="D5769">
        <v>4</v>
      </c>
      <c r="E5769">
        <v>2</v>
      </c>
      <c r="F5769" s="15">
        <v>46251</v>
      </c>
      <c r="G5769" t="s">
        <v>691</v>
      </c>
      <c r="H5769">
        <v>4</v>
      </c>
      <c r="I5769">
        <v>2026</v>
      </c>
      <c r="J5769">
        <v>8</v>
      </c>
      <c r="K5769" t="s">
        <v>87</v>
      </c>
      <c r="L5769" t="s">
        <v>11</v>
      </c>
      <c r="M5769" t="s">
        <v>6</v>
      </c>
      <c r="N5769" t="b">
        <v>0</v>
      </c>
      <c r="O5769">
        <v>0</v>
      </c>
      <c r="P5769">
        <v>1</v>
      </c>
      <c r="Q5769">
        <v>0</v>
      </c>
      <c r="R5769">
        <v>0</v>
      </c>
    </row>
    <row r="5770" spans="1:18" x14ac:dyDescent="0.25">
      <c r="A5770" t="s">
        <v>540</v>
      </c>
      <c r="B5770" t="s">
        <v>6</v>
      </c>
      <c r="C5770">
        <v>3</v>
      </c>
      <c r="D5770">
        <v>4</v>
      </c>
      <c r="E5770">
        <v>2</v>
      </c>
      <c r="F5770" s="15">
        <v>46251</v>
      </c>
      <c r="G5770" t="s">
        <v>691</v>
      </c>
      <c r="H5770">
        <v>4</v>
      </c>
      <c r="I5770">
        <v>2026</v>
      </c>
      <c r="J5770">
        <v>8</v>
      </c>
      <c r="K5770" t="s">
        <v>87</v>
      </c>
      <c r="L5770" t="s">
        <v>326</v>
      </c>
      <c r="M5770" t="s">
        <v>8</v>
      </c>
      <c r="N5770" t="b">
        <v>0</v>
      </c>
      <c r="O5770">
        <v>0</v>
      </c>
      <c r="P5770">
        <v>1</v>
      </c>
      <c r="Q5770">
        <v>0</v>
      </c>
      <c r="R5770">
        <v>1</v>
      </c>
    </row>
    <row r="5771" spans="1:18" x14ac:dyDescent="0.25">
      <c r="A5771" t="s">
        <v>326</v>
      </c>
      <c r="B5771" t="s">
        <v>8</v>
      </c>
      <c r="C5771">
        <v>4</v>
      </c>
      <c r="D5771">
        <v>4</v>
      </c>
      <c r="E5771">
        <v>2</v>
      </c>
      <c r="F5771" s="15">
        <v>46251</v>
      </c>
      <c r="G5771" t="s">
        <v>691</v>
      </c>
      <c r="H5771">
        <v>4</v>
      </c>
      <c r="I5771">
        <v>2026</v>
      </c>
      <c r="J5771">
        <v>8</v>
      </c>
      <c r="K5771" t="s">
        <v>87</v>
      </c>
      <c r="L5771" t="s">
        <v>15</v>
      </c>
      <c r="M5771" t="s">
        <v>6</v>
      </c>
      <c r="N5771" t="b">
        <v>0</v>
      </c>
      <c r="O5771">
        <v>1</v>
      </c>
      <c r="P5771">
        <v>0</v>
      </c>
      <c r="Q5771">
        <v>0</v>
      </c>
      <c r="R5771">
        <v>0</v>
      </c>
    </row>
    <row r="5772" spans="1:18" x14ac:dyDescent="0.25">
      <c r="A5772" t="s">
        <v>326</v>
      </c>
      <c r="B5772" t="s">
        <v>8</v>
      </c>
      <c r="C5772">
        <v>4</v>
      </c>
      <c r="D5772">
        <v>4</v>
      </c>
      <c r="E5772">
        <v>2</v>
      </c>
      <c r="F5772" s="15">
        <v>46251</v>
      </c>
      <c r="G5772" t="s">
        <v>691</v>
      </c>
      <c r="H5772">
        <v>4</v>
      </c>
      <c r="I5772">
        <v>2026</v>
      </c>
      <c r="J5772">
        <v>8</v>
      </c>
      <c r="K5772" t="s">
        <v>87</v>
      </c>
      <c r="L5772" t="s">
        <v>11</v>
      </c>
      <c r="M5772" t="s">
        <v>6</v>
      </c>
      <c r="N5772" t="b">
        <v>0</v>
      </c>
      <c r="O5772">
        <v>1</v>
      </c>
      <c r="P5772">
        <v>0</v>
      </c>
      <c r="Q5772">
        <v>0</v>
      </c>
      <c r="R5772">
        <v>0</v>
      </c>
    </row>
    <row r="5773" spans="1:18" x14ac:dyDescent="0.25">
      <c r="A5773" t="s">
        <v>326</v>
      </c>
      <c r="B5773" t="s">
        <v>8</v>
      </c>
      <c r="C5773">
        <v>4</v>
      </c>
      <c r="D5773">
        <v>4</v>
      </c>
      <c r="E5773">
        <v>2</v>
      </c>
      <c r="F5773" s="15">
        <v>46251</v>
      </c>
      <c r="G5773" t="s">
        <v>691</v>
      </c>
      <c r="H5773">
        <v>4</v>
      </c>
      <c r="I5773">
        <v>2026</v>
      </c>
      <c r="J5773">
        <v>8</v>
      </c>
      <c r="K5773" t="s">
        <v>87</v>
      </c>
      <c r="L5773" t="s">
        <v>540</v>
      </c>
      <c r="M5773" t="s">
        <v>6</v>
      </c>
      <c r="N5773" t="b">
        <v>0</v>
      </c>
      <c r="O5773">
        <v>1</v>
      </c>
      <c r="P5773">
        <v>0</v>
      </c>
      <c r="Q5773">
        <v>0</v>
      </c>
      <c r="R5773">
        <v>0</v>
      </c>
    </row>
    <row r="5774" spans="1:18" x14ac:dyDescent="0.25">
      <c r="A5774" t="s">
        <v>10</v>
      </c>
      <c r="B5774" t="s">
        <v>6</v>
      </c>
      <c r="C5774">
        <v>1</v>
      </c>
      <c r="D5774">
        <v>5</v>
      </c>
      <c r="E5774">
        <v>2</v>
      </c>
      <c r="F5774" s="15">
        <v>46251</v>
      </c>
      <c r="G5774" t="s">
        <v>692</v>
      </c>
      <c r="H5774">
        <v>3</v>
      </c>
      <c r="I5774">
        <v>2026</v>
      </c>
      <c r="J5774">
        <v>8</v>
      </c>
      <c r="K5774" t="s">
        <v>87</v>
      </c>
      <c r="L5774" t="s">
        <v>433</v>
      </c>
      <c r="M5774" t="s">
        <v>6</v>
      </c>
      <c r="N5774" t="b">
        <v>0</v>
      </c>
      <c r="O5774">
        <v>0</v>
      </c>
      <c r="P5774">
        <v>1</v>
      </c>
      <c r="Q5774">
        <v>0</v>
      </c>
      <c r="R5774">
        <v>0</v>
      </c>
    </row>
    <row r="5775" spans="1:18" x14ac:dyDescent="0.25">
      <c r="A5775" t="s">
        <v>10</v>
      </c>
      <c r="B5775" t="s">
        <v>6</v>
      </c>
      <c r="C5775">
        <v>1</v>
      </c>
      <c r="D5775">
        <v>5</v>
      </c>
      <c r="E5775">
        <v>2</v>
      </c>
      <c r="F5775" s="15">
        <v>46251</v>
      </c>
      <c r="G5775" t="s">
        <v>692</v>
      </c>
      <c r="H5775">
        <v>3</v>
      </c>
      <c r="I5775">
        <v>2026</v>
      </c>
      <c r="J5775">
        <v>8</v>
      </c>
      <c r="K5775" t="s">
        <v>87</v>
      </c>
      <c r="L5775" t="s">
        <v>28</v>
      </c>
      <c r="M5775" t="s">
        <v>8</v>
      </c>
      <c r="N5775" t="b">
        <v>0</v>
      </c>
      <c r="O5775">
        <v>0</v>
      </c>
      <c r="P5775">
        <v>1</v>
      </c>
      <c r="Q5775">
        <v>0</v>
      </c>
      <c r="R5775">
        <v>1</v>
      </c>
    </row>
    <row r="5776" spans="1:18" x14ac:dyDescent="0.25">
      <c r="A5776" t="s">
        <v>433</v>
      </c>
      <c r="B5776" t="s">
        <v>6</v>
      </c>
      <c r="C5776">
        <v>2</v>
      </c>
      <c r="D5776">
        <v>5</v>
      </c>
      <c r="E5776">
        <v>2</v>
      </c>
      <c r="F5776" s="15">
        <v>46251</v>
      </c>
      <c r="G5776" t="s">
        <v>692</v>
      </c>
      <c r="H5776">
        <v>3</v>
      </c>
      <c r="I5776">
        <v>2026</v>
      </c>
      <c r="J5776">
        <v>8</v>
      </c>
      <c r="K5776" t="s">
        <v>87</v>
      </c>
      <c r="L5776" t="s">
        <v>10</v>
      </c>
      <c r="M5776" t="s">
        <v>6</v>
      </c>
      <c r="N5776" t="b">
        <v>0</v>
      </c>
      <c r="O5776">
        <v>0</v>
      </c>
      <c r="P5776">
        <v>1</v>
      </c>
      <c r="Q5776">
        <v>0</v>
      </c>
      <c r="R5776">
        <v>0</v>
      </c>
    </row>
    <row r="5777" spans="1:18" x14ac:dyDescent="0.25">
      <c r="A5777" t="s">
        <v>433</v>
      </c>
      <c r="B5777" t="s">
        <v>6</v>
      </c>
      <c r="C5777">
        <v>2</v>
      </c>
      <c r="D5777">
        <v>5</v>
      </c>
      <c r="E5777">
        <v>2</v>
      </c>
      <c r="F5777" s="15">
        <v>46251</v>
      </c>
      <c r="G5777" t="s">
        <v>692</v>
      </c>
      <c r="H5777">
        <v>3</v>
      </c>
      <c r="I5777">
        <v>2026</v>
      </c>
      <c r="J5777">
        <v>8</v>
      </c>
      <c r="K5777" t="s">
        <v>87</v>
      </c>
      <c r="L5777" t="s">
        <v>28</v>
      </c>
      <c r="M5777" t="s">
        <v>8</v>
      </c>
      <c r="N5777" t="b">
        <v>0</v>
      </c>
      <c r="O5777">
        <v>0</v>
      </c>
      <c r="P5777">
        <v>1</v>
      </c>
      <c r="Q5777">
        <v>0</v>
      </c>
      <c r="R5777">
        <v>1</v>
      </c>
    </row>
    <row r="5778" spans="1:18" x14ac:dyDescent="0.25">
      <c r="A5778" t="s">
        <v>28</v>
      </c>
      <c r="B5778" t="s">
        <v>8</v>
      </c>
      <c r="C5778">
        <v>3</v>
      </c>
      <c r="D5778">
        <v>5</v>
      </c>
      <c r="E5778">
        <v>2</v>
      </c>
      <c r="F5778" s="15">
        <v>46251</v>
      </c>
      <c r="G5778" t="s">
        <v>692</v>
      </c>
      <c r="H5778">
        <v>3</v>
      </c>
      <c r="I5778">
        <v>2026</v>
      </c>
      <c r="J5778">
        <v>8</v>
      </c>
      <c r="K5778" t="s">
        <v>87</v>
      </c>
      <c r="L5778" t="s">
        <v>10</v>
      </c>
      <c r="M5778" t="s">
        <v>6</v>
      </c>
      <c r="N5778" t="b">
        <v>0</v>
      </c>
      <c r="O5778">
        <v>1</v>
      </c>
      <c r="P5778">
        <v>0</v>
      </c>
      <c r="Q5778">
        <v>0</v>
      </c>
      <c r="R5778">
        <v>0</v>
      </c>
    </row>
    <row r="5779" spans="1:18" x14ac:dyDescent="0.25">
      <c r="A5779" t="s">
        <v>28</v>
      </c>
      <c r="B5779" t="s">
        <v>8</v>
      </c>
      <c r="C5779">
        <v>3</v>
      </c>
      <c r="D5779">
        <v>5</v>
      </c>
      <c r="E5779">
        <v>2</v>
      </c>
      <c r="F5779" s="15">
        <v>46251</v>
      </c>
      <c r="G5779" t="s">
        <v>692</v>
      </c>
      <c r="H5779">
        <v>3</v>
      </c>
      <c r="I5779">
        <v>2026</v>
      </c>
      <c r="J5779">
        <v>8</v>
      </c>
      <c r="K5779" t="s">
        <v>87</v>
      </c>
      <c r="L5779" t="s">
        <v>433</v>
      </c>
      <c r="M5779" t="s">
        <v>6</v>
      </c>
      <c r="N5779" t="b">
        <v>0</v>
      </c>
      <c r="O5779">
        <v>1</v>
      </c>
      <c r="P5779">
        <v>0</v>
      </c>
      <c r="Q5779">
        <v>0</v>
      </c>
      <c r="R5779">
        <v>0</v>
      </c>
    </row>
    <row r="5780" spans="1:18" x14ac:dyDescent="0.25">
      <c r="A5780" t="s">
        <v>351</v>
      </c>
      <c r="B5780" t="s">
        <v>63</v>
      </c>
      <c r="C5780">
        <v>1</v>
      </c>
      <c r="D5780">
        <v>1</v>
      </c>
      <c r="E5780">
        <v>1</v>
      </c>
      <c r="F5780" s="15">
        <v>46258</v>
      </c>
      <c r="G5780" t="s">
        <v>694</v>
      </c>
      <c r="H5780">
        <v>4</v>
      </c>
      <c r="I5780">
        <v>2026</v>
      </c>
      <c r="J5780">
        <v>8</v>
      </c>
      <c r="K5780" t="s">
        <v>282</v>
      </c>
      <c r="L5780" t="s">
        <v>14</v>
      </c>
      <c r="M5780" t="s">
        <v>63</v>
      </c>
      <c r="N5780" t="b">
        <v>0</v>
      </c>
      <c r="O5780">
        <v>0</v>
      </c>
      <c r="P5780">
        <v>0</v>
      </c>
      <c r="Q5780">
        <v>1</v>
      </c>
      <c r="R5780">
        <v>0</v>
      </c>
    </row>
    <row r="5781" spans="1:18" x14ac:dyDescent="0.25">
      <c r="A5781" t="s">
        <v>351</v>
      </c>
      <c r="B5781" t="s">
        <v>63</v>
      </c>
      <c r="C5781">
        <v>1</v>
      </c>
      <c r="D5781">
        <v>1</v>
      </c>
      <c r="E5781">
        <v>1</v>
      </c>
      <c r="F5781" s="15">
        <v>46258</v>
      </c>
      <c r="G5781" t="s">
        <v>694</v>
      </c>
      <c r="H5781">
        <v>4</v>
      </c>
      <c r="I5781">
        <v>2026</v>
      </c>
      <c r="J5781">
        <v>8</v>
      </c>
      <c r="K5781" t="s">
        <v>282</v>
      </c>
      <c r="L5781" t="s">
        <v>405</v>
      </c>
      <c r="M5781" t="s">
        <v>63</v>
      </c>
      <c r="N5781" t="b">
        <v>0</v>
      </c>
      <c r="O5781">
        <v>0</v>
      </c>
      <c r="P5781">
        <v>0</v>
      </c>
      <c r="Q5781">
        <v>1</v>
      </c>
      <c r="R5781">
        <v>0</v>
      </c>
    </row>
    <row r="5782" spans="1:18" x14ac:dyDescent="0.25">
      <c r="A5782" t="s">
        <v>351</v>
      </c>
      <c r="B5782" t="s">
        <v>63</v>
      </c>
      <c r="C5782">
        <v>1</v>
      </c>
      <c r="D5782">
        <v>1</v>
      </c>
      <c r="E5782">
        <v>1</v>
      </c>
      <c r="F5782" s="15">
        <v>46258</v>
      </c>
      <c r="G5782" t="s">
        <v>694</v>
      </c>
      <c r="H5782">
        <v>4</v>
      </c>
      <c r="I5782">
        <v>2026</v>
      </c>
      <c r="J5782">
        <v>8</v>
      </c>
      <c r="K5782" t="s">
        <v>282</v>
      </c>
      <c r="L5782" t="s">
        <v>9</v>
      </c>
      <c r="M5782" t="s">
        <v>63</v>
      </c>
      <c r="N5782" t="b">
        <v>0</v>
      </c>
      <c r="O5782">
        <v>0</v>
      </c>
      <c r="P5782">
        <v>0</v>
      </c>
      <c r="Q5782">
        <v>1</v>
      </c>
      <c r="R5782">
        <v>0</v>
      </c>
    </row>
    <row r="5783" spans="1:18" x14ac:dyDescent="0.25">
      <c r="A5783" t="s">
        <v>14</v>
      </c>
      <c r="B5783" t="s">
        <v>63</v>
      </c>
      <c r="C5783">
        <v>2</v>
      </c>
      <c r="D5783">
        <v>1</v>
      </c>
      <c r="E5783">
        <v>1</v>
      </c>
      <c r="F5783" s="15">
        <v>46258</v>
      </c>
      <c r="G5783" t="s">
        <v>694</v>
      </c>
      <c r="H5783">
        <v>4</v>
      </c>
      <c r="I5783">
        <v>2026</v>
      </c>
      <c r="J5783">
        <v>8</v>
      </c>
      <c r="K5783" t="s">
        <v>282</v>
      </c>
      <c r="L5783" t="s">
        <v>351</v>
      </c>
      <c r="M5783" t="s">
        <v>63</v>
      </c>
      <c r="N5783" t="b">
        <v>0</v>
      </c>
      <c r="O5783">
        <v>0</v>
      </c>
      <c r="P5783">
        <v>0</v>
      </c>
      <c r="Q5783">
        <v>1</v>
      </c>
      <c r="R5783">
        <v>0</v>
      </c>
    </row>
    <row r="5784" spans="1:18" x14ac:dyDescent="0.25">
      <c r="A5784" t="s">
        <v>14</v>
      </c>
      <c r="B5784" t="s">
        <v>63</v>
      </c>
      <c r="C5784">
        <v>2</v>
      </c>
      <c r="D5784">
        <v>1</v>
      </c>
      <c r="E5784">
        <v>1</v>
      </c>
      <c r="F5784" s="15">
        <v>46258</v>
      </c>
      <c r="G5784" t="s">
        <v>694</v>
      </c>
      <c r="H5784">
        <v>4</v>
      </c>
      <c r="I5784">
        <v>2026</v>
      </c>
      <c r="J5784">
        <v>8</v>
      </c>
      <c r="K5784" t="s">
        <v>282</v>
      </c>
      <c r="L5784" t="s">
        <v>405</v>
      </c>
      <c r="M5784" t="s">
        <v>63</v>
      </c>
      <c r="N5784" t="b">
        <v>0</v>
      </c>
      <c r="O5784">
        <v>0</v>
      </c>
      <c r="P5784">
        <v>0</v>
      </c>
      <c r="Q5784">
        <v>1</v>
      </c>
      <c r="R5784">
        <v>0</v>
      </c>
    </row>
    <row r="5785" spans="1:18" x14ac:dyDescent="0.25">
      <c r="A5785" t="s">
        <v>14</v>
      </c>
      <c r="B5785" t="s">
        <v>63</v>
      </c>
      <c r="C5785">
        <v>2</v>
      </c>
      <c r="D5785">
        <v>1</v>
      </c>
      <c r="E5785">
        <v>1</v>
      </c>
      <c r="F5785" s="15">
        <v>46258</v>
      </c>
      <c r="G5785" t="s">
        <v>694</v>
      </c>
      <c r="H5785">
        <v>4</v>
      </c>
      <c r="I5785">
        <v>2026</v>
      </c>
      <c r="J5785">
        <v>8</v>
      </c>
      <c r="K5785" t="s">
        <v>282</v>
      </c>
      <c r="L5785" t="s">
        <v>9</v>
      </c>
      <c r="M5785" t="s">
        <v>63</v>
      </c>
      <c r="N5785" t="b">
        <v>0</v>
      </c>
      <c r="O5785">
        <v>0</v>
      </c>
      <c r="P5785">
        <v>0</v>
      </c>
      <c r="Q5785">
        <v>1</v>
      </c>
      <c r="R5785">
        <v>0</v>
      </c>
    </row>
    <row r="5786" spans="1:18" x14ac:dyDescent="0.25">
      <c r="A5786" t="s">
        <v>405</v>
      </c>
      <c r="B5786" t="s">
        <v>63</v>
      </c>
      <c r="C5786">
        <v>3</v>
      </c>
      <c r="D5786">
        <v>1</v>
      </c>
      <c r="E5786">
        <v>1</v>
      </c>
      <c r="F5786" s="15">
        <v>46258</v>
      </c>
      <c r="G5786" t="s">
        <v>694</v>
      </c>
      <c r="H5786">
        <v>4</v>
      </c>
      <c r="I5786">
        <v>2026</v>
      </c>
      <c r="J5786">
        <v>8</v>
      </c>
      <c r="K5786" t="s">
        <v>282</v>
      </c>
      <c r="L5786" t="s">
        <v>351</v>
      </c>
      <c r="M5786" t="s">
        <v>63</v>
      </c>
      <c r="N5786" t="b">
        <v>0</v>
      </c>
      <c r="O5786">
        <v>0</v>
      </c>
      <c r="P5786">
        <v>0</v>
      </c>
      <c r="Q5786">
        <v>1</v>
      </c>
      <c r="R5786">
        <v>0</v>
      </c>
    </row>
    <row r="5787" spans="1:18" x14ac:dyDescent="0.25">
      <c r="A5787" t="s">
        <v>405</v>
      </c>
      <c r="B5787" t="s">
        <v>63</v>
      </c>
      <c r="C5787">
        <v>3</v>
      </c>
      <c r="D5787">
        <v>1</v>
      </c>
      <c r="E5787">
        <v>1</v>
      </c>
      <c r="F5787" s="15">
        <v>46258</v>
      </c>
      <c r="G5787" t="s">
        <v>694</v>
      </c>
      <c r="H5787">
        <v>4</v>
      </c>
      <c r="I5787">
        <v>2026</v>
      </c>
      <c r="J5787">
        <v>8</v>
      </c>
      <c r="K5787" t="s">
        <v>282</v>
      </c>
      <c r="L5787" t="s">
        <v>14</v>
      </c>
      <c r="M5787" t="s">
        <v>63</v>
      </c>
      <c r="N5787" t="b">
        <v>0</v>
      </c>
      <c r="O5787">
        <v>0</v>
      </c>
      <c r="P5787">
        <v>0</v>
      </c>
      <c r="Q5787">
        <v>1</v>
      </c>
      <c r="R5787">
        <v>0</v>
      </c>
    </row>
    <row r="5788" spans="1:18" x14ac:dyDescent="0.25">
      <c r="A5788" t="s">
        <v>405</v>
      </c>
      <c r="B5788" t="s">
        <v>63</v>
      </c>
      <c r="C5788">
        <v>3</v>
      </c>
      <c r="D5788">
        <v>1</v>
      </c>
      <c r="E5788">
        <v>1</v>
      </c>
      <c r="F5788" s="15">
        <v>46258</v>
      </c>
      <c r="G5788" t="s">
        <v>694</v>
      </c>
      <c r="H5788">
        <v>4</v>
      </c>
      <c r="I5788">
        <v>2026</v>
      </c>
      <c r="J5788">
        <v>8</v>
      </c>
      <c r="K5788" t="s">
        <v>282</v>
      </c>
      <c r="L5788" t="s">
        <v>9</v>
      </c>
      <c r="M5788" t="s">
        <v>63</v>
      </c>
      <c r="N5788" t="b">
        <v>0</v>
      </c>
      <c r="O5788">
        <v>0</v>
      </c>
      <c r="P5788">
        <v>0</v>
      </c>
      <c r="Q5788">
        <v>1</v>
      </c>
      <c r="R5788">
        <v>0</v>
      </c>
    </row>
    <row r="5789" spans="1:18" x14ac:dyDescent="0.25">
      <c r="A5789" t="s">
        <v>9</v>
      </c>
      <c r="B5789" t="s">
        <v>63</v>
      </c>
      <c r="C5789">
        <v>4</v>
      </c>
      <c r="D5789">
        <v>1</v>
      </c>
      <c r="E5789">
        <v>1</v>
      </c>
      <c r="F5789" s="15">
        <v>46258</v>
      </c>
      <c r="G5789" t="s">
        <v>694</v>
      </c>
      <c r="H5789">
        <v>4</v>
      </c>
      <c r="I5789">
        <v>2026</v>
      </c>
      <c r="J5789">
        <v>8</v>
      </c>
      <c r="K5789" t="s">
        <v>282</v>
      </c>
      <c r="L5789" t="s">
        <v>351</v>
      </c>
      <c r="M5789" t="s">
        <v>63</v>
      </c>
      <c r="N5789" t="b">
        <v>0</v>
      </c>
      <c r="O5789">
        <v>0</v>
      </c>
      <c r="P5789">
        <v>0</v>
      </c>
      <c r="Q5789">
        <v>1</v>
      </c>
      <c r="R5789">
        <v>0</v>
      </c>
    </row>
    <row r="5790" spans="1:18" x14ac:dyDescent="0.25">
      <c r="A5790" t="s">
        <v>9</v>
      </c>
      <c r="B5790" t="s">
        <v>63</v>
      </c>
      <c r="C5790">
        <v>4</v>
      </c>
      <c r="D5790">
        <v>1</v>
      </c>
      <c r="E5790">
        <v>1</v>
      </c>
      <c r="F5790" s="15">
        <v>46258</v>
      </c>
      <c r="G5790" t="s">
        <v>694</v>
      </c>
      <c r="H5790">
        <v>4</v>
      </c>
      <c r="I5790">
        <v>2026</v>
      </c>
      <c r="J5790">
        <v>8</v>
      </c>
      <c r="K5790" t="s">
        <v>282</v>
      </c>
      <c r="L5790" t="s">
        <v>14</v>
      </c>
      <c r="M5790" t="s">
        <v>63</v>
      </c>
      <c r="N5790" t="b">
        <v>0</v>
      </c>
      <c r="O5790">
        <v>0</v>
      </c>
      <c r="P5790">
        <v>0</v>
      </c>
      <c r="Q5790">
        <v>1</v>
      </c>
      <c r="R5790">
        <v>0</v>
      </c>
    </row>
    <row r="5791" spans="1:18" x14ac:dyDescent="0.25">
      <c r="A5791" t="s">
        <v>9</v>
      </c>
      <c r="B5791" t="s">
        <v>63</v>
      </c>
      <c r="C5791">
        <v>4</v>
      </c>
      <c r="D5791">
        <v>1</v>
      </c>
      <c r="E5791">
        <v>1</v>
      </c>
      <c r="F5791" s="15">
        <v>46258</v>
      </c>
      <c r="G5791" t="s">
        <v>694</v>
      </c>
      <c r="H5791">
        <v>4</v>
      </c>
      <c r="I5791">
        <v>2026</v>
      </c>
      <c r="J5791">
        <v>8</v>
      </c>
      <c r="K5791" t="s">
        <v>282</v>
      </c>
      <c r="L5791" t="s">
        <v>405</v>
      </c>
      <c r="M5791" t="s">
        <v>63</v>
      </c>
      <c r="N5791" t="b">
        <v>0</v>
      </c>
      <c r="O5791">
        <v>0</v>
      </c>
      <c r="P5791">
        <v>0</v>
      </c>
      <c r="Q5791">
        <v>1</v>
      </c>
      <c r="R5791">
        <v>0</v>
      </c>
    </row>
    <row r="5792" spans="1:18" x14ac:dyDescent="0.25">
      <c r="A5792" t="s">
        <v>325</v>
      </c>
      <c r="B5792" t="s">
        <v>63</v>
      </c>
      <c r="C5792">
        <v>1</v>
      </c>
      <c r="D5792">
        <v>2</v>
      </c>
      <c r="E5792">
        <v>1</v>
      </c>
      <c r="F5792" s="15">
        <v>46258</v>
      </c>
      <c r="G5792" t="s">
        <v>695</v>
      </c>
      <c r="H5792">
        <v>4</v>
      </c>
      <c r="I5792">
        <v>2026</v>
      </c>
      <c r="J5792">
        <v>8</v>
      </c>
      <c r="K5792" t="s">
        <v>282</v>
      </c>
      <c r="L5792" t="s">
        <v>622</v>
      </c>
      <c r="M5792" t="s">
        <v>63</v>
      </c>
      <c r="N5792" t="b">
        <v>0</v>
      </c>
      <c r="O5792">
        <v>0</v>
      </c>
      <c r="P5792">
        <v>0</v>
      </c>
      <c r="Q5792">
        <v>1</v>
      </c>
      <c r="R5792">
        <v>0</v>
      </c>
    </row>
    <row r="5793" spans="1:18" x14ac:dyDescent="0.25">
      <c r="A5793" t="s">
        <v>325</v>
      </c>
      <c r="B5793" t="s">
        <v>63</v>
      </c>
      <c r="C5793">
        <v>1</v>
      </c>
      <c r="D5793">
        <v>2</v>
      </c>
      <c r="E5793">
        <v>1</v>
      </c>
      <c r="F5793" s="15">
        <v>46258</v>
      </c>
      <c r="G5793" t="s">
        <v>695</v>
      </c>
      <c r="H5793">
        <v>4</v>
      </c>
      <c r="I5793">
        <v>2026</v>
      </c>
      <c r="J5793">
        <v>8</v>
      </c>
      <c r="K5793" t="s">
        <v>282</v>
      </c>
      <c r="L5793" t="s">
        <v>13</v>
      </c>
      <c r="M5793" t="s">
        <v>63</v>
      </c>
      <c r="N5793" t="b">
        <v>0</v>
      </c>
      <c r="O5793">
        <v>0</v>
      </c>
      <c r="P5793">
        <v>0</v>
      </c>
      <c r="Q5793">
        <v>1</v>
      </c>
      <c r="R5793">
        <v>0</v>
      </c>
    </row>
    <row r="5794" spans="1:18" x14ac:dyDescent="0.25">
      <c r="A5794" t="s">
        <v>325</v>
      </c>
      <c r="B5794" t="s">
        <v>63</v>
      </c>
      <c r="C5794">
        <v>1</v>
      </c>
      <c r="D5794">
        <v>2</v>
      </c>
      <c r="E5794">
        <v>1</v>
      </c>
      <c r="F5794" s="15">
        <v>46258</v>
      </c>
      <c r="G5794" t="s">
        <v>695</v>
      </c>
      <c r="H5794">
        <v>4</v>
      </c>
      <c r="I5794">
        <v>2026</v>
      </c>
      <c r="J5794">
        <v>8</v>
      </c>
      <c r="K5794" t="s">
        <v>282</v>
      </c>
      <c r="L5794" t="s">
        <v>578</v>
      </c>
      <c r="M5794" t="s">
        <v>63</v>
      </c>
      <c r="N5794" t="b">
        <v>0</v>
      </c>
      <c r="O5794">
        <v>0</v>
      </c>
      <c r="P5794">
        <v>0</v>
      </c>
      <c r="Q5794">
        <v>1</v>
      </c>
      <c r="R5794">
        <v>0</v>
      </c>
    </row>
    <row r="5795" spans="1:18" x14ac:dyDescent="0.25">
      <c r="A5795" t="s">
        <v>622</v>
      </c>
      <c r="B5795" t="s">
        <v>63</v>
      </c>
      <c r="C5795">
        <v>2</v>
      </c>
      <c r="D5795">
        <v>2</v>
      </c>
      <c r="E5795">
        <v>1</v>
      </c>
      <c r="F5795" s="15">
        <v>46258</v>
      </c>
      <c r="G5795" t="s">
        <v>695</v>
      </c>
      <c r="H5795">
        <v>4</v>
      </c>
      <c r="I5795">
        <v>2026</v>
      </c>
      <c r="J5795">
        <v>8</v>
      </c>
      <c r="K5795" t="s">
        <v>282</v>
      </c>
      <c r="L5795" t="s">
        <v>325</v>
      </c>
      <c r="M5795" t="s">
        <v>63</v>
      </c>
      <c r="N5795" t="b">
        <v>0</v>
      </c>
      <c r="O5795">
        <v>0</v>
      </c>
      <c r="P5795">
        <v>0</v>
      </c>
      <c r="Q5795">
        <v>1</v>
      </c>
      <c r="R5795">
        <v>0</v>
      </c>
    </row>
    <row r="5796" spans="1:18" x14ac:dyDescent="0.25">
      <c r="A5796" t="s">
        <v>622</v>
      </c>
      <c r="B5796" t="s">
        <v>63</v>
      </c>
      <c r="C5796">
        <v>2</v>
      </c>
      <c r="D5796">
        <v>2</v>
      </c>
      <c r="E5796">
        <v>1</v>
      </c>
      <c r="F5796" s="15">
        <v>46258</v>
      </c>
      <c r="G5796" t="s">
        <v>695</v>
      </c>
      <c r="H5796">
        <v>4</v>
      </c>
      <c r="I5796">
        <v>2026</v>
      </c>
      <c r="J5796">
        <v>8</v>
      </c>
      <c r="K5796" t="s">
        <v>282</v>
      </c>
      <c r="L5796" t="s">
        <v>13</v>
      </c>
      <c r="M5796" t="s">
        <v>63</v>
      </c>
      <c r="N5796" t="b">
        <v>0</v>
      </c>
      <c r="O5796">
        <v>0</v>
      </c>
      <c r="P5796">
        <v>0</v>
      </c>
      <c r="Q5796">
        <v>1</v>
      </c>
      <c r="R5796">
        <v>0</v>
      </c>
    </row>
    <row r="5797" spans="1:18" x14ac:dyDescent="0.25">
      <c r="A5797" t="s">
        <v>622</v>
      </c>
      <c r="B5797" t="s">
        <v>63</v>
      </c>
      <c r="C5797">
        <v>2</v>
      </c>
      <c r="D5797">
        <v>2</v>
      </c>
      <c r="E5797">
        <v>1</v>
      </c>
      <c r="F5797" s="15">
        <v>46258</v>
      </c>
      <c r="G5797" t="s">
        <v>695</v>
      </c>
      <c r="H5797">
        <v>4</v>
      </c>
      <c r="I5797">
        <v>2026</v>
      </c>
      <c r="J5797">
        <v>8</v>
      </c>
      <c r="K5797" t="s">
        <v>282</v>
      </c>
      <c r="L5797" t="s">
        <v>578</v>
      </c>
      <c r="M5797" t="s">
        <v>63</v>
      </c>
      <c r="N5797" t="b">
        <v>0</v>
      </c>
      <c r="O5797">
        <v>0</v>
      </c>
      <c r="P5797">
        <v>0</v>
      </c>
      <c r="Q5797">
        <v>1</v>
      </c>
      <c r="R5797">
        <v>0</v>
      </c>
    </row>
    <row r="5798" spans="1:18" x14ac:dyDescent="0.25">
      <c r="A5798" t="s">
        <v>13</v>
      </c>
      <c r="B5798" t="s">
        <v>63</v>
      </c>
      <c r="C5798">
        <v>3</v>
      </c>
      <c r="D5798">
        <v>2</v>
      </c>
      <c r="E5798">
        <v>1</v>
      </c>
      <c r="F5798" s="15">
        <v>46258</v>
      </c>
      <c r="G5798" t="s">
        <v>695</v>
      </c>
      <c r="H5798">
        <v>4</v>
      </c>
      <c r="I5798">
        <v>2026</v>
      </c>
      <c r="J5798">
        <v>8</v>
      </c>
      <c r="K5798" t="s">
        <v>282</v>
      </c>
      <c r="L5798" t="s">
        <v>325</v>
      </c>
      <c r="M5798" t="s">
        <v>63</v>
      </c>
      <c r="N5798" t="b">
        <v>0</v>
      </c>
      <c r="O5798">
        <v>0</v>
      </c>
      <c r="P5798">
        <v>0</v>
      </c>
      <c r="Q5798">
        <v>1</v>
      </c>
      <c r="R5798">
        <v>0</v>
      </c>
    </row>
    <row r="5799" spans="1:18" x14ac:dyDescent="0.25">
      <c r="A5799" t="s">
        <v>13</v>
      </c>
      <c r="B5799" t="s">
        <v>63</v>
      </c>
      <c r="C5799">
        <v>3</v>
      </c>
      <c r="D5799">
        <v>2</v>
      </c>
      <c r="E5799">
        <v>1</v>
      </c>
      <c r="F5799" s="15">
        <v>46258</v>
      </c>
      <c r="G5799" t="s">
        <v>695</v>
      </c>
      <c r="H5799">
        <v>4</v>
      </c>
      <c r="I5799">
        <v>2026</v>
      </c>
      <c r="J5799">
        <v>8</v>
      </c>
      <c r="K5799" t="s">
        <v>282</v>
      </c>
      <c r="L5799" t="s">
        <v>622</v>
      </c>
      <c r="M5799" t="s">
        <v>63</v>
      </c>
      <c r="N5799" t="b">
        <v>0</v>
      </c>
      <c r="O5799">
        <v>0</v>
      </c>
      <c r="P5799">
        <v>0</v>
      </c>
      <c r="Q5799">
        <v>1</v>
      </c>
      <c r="R5799">
        <v>0</v>
      </c>
    </row>
    <row r="5800" spans="1:18" x14ac:dyDescent="0.25">
      <c r="A5800" t="s">
        <v>13</v>
      </c>
      <c r="B5800" t="s">
        <v>63</v>
      </c>
      <c r="C5800">
        <v>3</v>
      </c>
      <c r="D5800">
        <v>2</v>
      </c>
      <c r="E5800">
        <v>1</v>
      </c>
      <c r="F5800" s="15">
        <v>46258</v>
      </c>
      <c r="G5800" t="s">
        <v>695</v>
      </c>
      <c r="H5800">
        <v>4</v>
      </c>
      <c r="I5800">
        <v>2026</v>
      </c>
      <c r="J5800">
        <v>8</v>
      </c>
      <c r="K5800" t="s">
        <v>282</v>
      </c>
      <c r="L5800" t="s">
        <v>578</v>
      </c>
      <c r="M5800" t="s">
        <v>63</v>
      </c>
      <c r="N5800" t="b">
        <v>0</v>
      </c>
      <c r="O5800">
        <v>0</v>
      </c>
      <c r="P5800">
        <v>0</v>
      </c>
      <c r="Q5800">
        <v>1</v>
      </c>
      <c r="R5800">
        <v>0</v>
      </c>
    </row>
    <row r="5801" spans="1:18" x14ac:dyDescent="0.25">
      <c r="A5801" t="s">
        <v>578</v>
      </c>
      <c r="B5801" t="s">
        <v>63</v>
      </c>
      <c r="C5801">
        <v>4</v>
      </c>
      <c r="D5801">
        <v>2</v>
      </c>
      <c r="E5801">
        <v>1</v>
      </c>
      <c r="F5801" s="15">
        <v>46258</v>
      </c>
      <c r="G5801" t="s">
        <v>695</v>
      </c>
      <c r="H5801">
        <v>4</v>
      </c>
      <c r="I5801">
        <v>2026</v>
      </c>
      <c r="J5801">
        <v>8</v>
      </c>
      <c r="K5801" t="s">
        <v>282</v>
      </c>
      <c r="L5801" t="s">
        <v>325</v>
      </c>
      <c r="M5801" t="s">
        <v>63</v>
      </c>
      <c r="N5801" t="b">
        <v>0</v>
      </c>
      <c r="O5801">
        <v>0</v>
      </c>
      <c r="P5801">
        <v>0</v>
      </c>
      <c r="Q5801">
        <v>1</v>
      </c>
      <c r="R5801">
        <v>0</v>
      </c>
    </row>
    <row r="5802" spans="1:18" x14ac:dyDescent="0.25">
      <c r="A5802" t="s">
        <v>578</v>
      </c>
      <c r="B5802" t="s">
        <v>63</v>
      </c>
      <c r="C5802">
        <v>4</v>
      </c>
      <c r="D5802">
        <v>2</v>
      </c>
      <c r="E5802">
        <v>1</v>
      </c>
      <c r="F5802" s="15">
        <v>46258</v>
      </c>
      <c r="G5802" t="s">
        <v>695</v>
      </c>
      <c r="H5802">
        <v>4</v>
      </c>
      <c r="I5802">
        <v>2026</v>
      </c>
      <c r="J5802">
        <v>8</v>
      </c>
      <c r="K5802" t="s">
        <v>282</v>
      </c>
      <c r="L5802" t="s">
        <v>622</v>
      </c>
      <c r="M5802" t="s">
        <v>63</v>
      </c>
      <c r="N5802" t="b">
        <v>0</v>
      </c>
      <c r="O5802">
        <v>0</v>
      </c>
      <c r="P5802">
        <v>0</v>
      </c>
      <c r="Q5802">
        <v>1</v>
      </c>
      <c r="R5802">
        <v>0</v>
      </c>
    </row>
    <row r="5803" spans="1:18" x14ac:dyDescent="0.25">
      <c r="A5803" t="s">
        <v>578</v>
      </c>
      <c r="B5803" t="s">
        <v>63</v>
      </c>
      <c r="C5803">
        <v>4</v>
      </c>
      <c r="D5803">
        <v>2</v>
      </c>
      <c r="E5803">
        <v>1</v>
      </c>
      <c r="F5803" s="15">
        <v>46258</v>
      </c>
      <c r="G5803" t="s">
        <v>695</v>
      </c>
      <c r="H5803">
        <v>4</v>
      </c>
      <c r="I5803">
        <v>2026</v>
      </c>
      <c r="J5803">
        <v>8</v>
      </c>
      <c r="K5803" t="s">
        <v>282</v>
      </c>
      <c r="L5803" t="s">
        <v>13</v>
      </c>
      <c r="M5803" t="s">
        <v>63</v>
      </c>
      <c r="N5803" t="b">
        <v>0</v>
      </c>
      <c r="O5803">
        <v>0</v>
      </c>
      <c r="P5803">
        <v>0</v>
      </c>
      <c r="Q5803">
        <v>1</v>
      </c>
      <c r="R5803">
        <v>0</v>
      </c>
    </row>
    <row r="5804" spans="1:18" x14ac:dyDescent="0.25">
      <c r="A5804" t="s">
        <v>15</v>
      </c>
      <c r="B5804" t="s">
        <v>8</v>
      </c>
      <c r="C5804">
        <v>1</v>
      </c>
      <c r="D5804">
        <v>3</v>
      </c>
      <c r="E5804">
        <v>1</v>
      </c>
      <c r="F5804" s="15">
        <v>46258</v>
      </c>
      <c r="G5804" t="s">
        <v>696</v>
      </c>
      <c r="H5804">
        <v>4</v>
      </c>
      <c r="I5804">
        <v>2026</v>
      </c>
      <c r="J5804">
        <v>8</v>
      </c>
      <c r="K5804" t="s">
        <v>282</v>
      </c>
      <c r="L5804" t="s">
        <v>326</v>
      </c>
      <c r="M5804" t="s">
        <v>6</v>
      </c>
      <c r="N5804" t="b">
        <v>0</v>
      </c>
      <c r="O5804">
        <v>1</v>
      </c>
      <c r="P5804">
        <v>0</v>
      </c>
      <c r="Q5804">
        <v>0</v>
      </c>
      <c r="R5804">
        <v>0</v>
      </c>
    </row>
    <row r="5805" spans="1:18" x14ac:dyDescent="0.25">
      <c r="A5805" t="s">
        <v>15</v>
      </c>
      <c r="B5805" t="s">
        <v>8</v>
      </c>
      <c r="C5805">
        <v>1</v>
      </c>
      <c r="D5805">
        <v>3</v>
      </c>
      <c r="E5805">
        <v>1</v>
      </c>
      <c r="F5805" s="15">
        <v>46258</v>
      </c>
      <c r="G5805" t="s">
        <v>696</v>
      </c>
      <c r="H5805">
        <v>4</v>
      </c>
      <c r="I5805">
        <v>2026</v>
      </c>
      <c r="J5805">
        <v>8</v>
      </c>
      <c r="K5805" t="s">
        <v>282</v>
      </c>
      <c r="L5805" t="s">
        <v>41</v>
      </c>
      <c r="M5805" t="s">
        <v>6</v>
      </c>
      <c r="N5805" t="b">
        <v>0</v>
      </c>
      <c r="O5805">
        <v>1</v>
      </c>
      <c r="P5805">
        <v>0</v>
      </c>
      <c r="Q5805">
        <v>0</v>
      </c>
      <c r="R5805">
        <v>0</v>
      </c>
    </row>
    <row r="5806" spans="1:18" x14ac:dyDescent="0.25">
      <c r="A5806" t="s">
        <v>15</v>
      </c>
      <c r="B5806" t="s">
        <v>8</v>
      </c>
      <c r="C5806">
        <v>1</v>
      </c>
      <c r="D5806">
        <v>3</v>
      </c>
      <c r="E5806">
        <v>1</v>
      </c>
      <c r="F5806" s="15">
        <v>46258</v>
      </c>
      <c r="G5806" t="s">
        <v>696</v>
      </c>
      <c r="H5806">
        <v>4</v>
      </c>
      <c r="I5806">
        <v>2026</v>
      </c>
      <c r="J5806">
        <v>8</v>
      </c>
      <c r="K5806" t="s">
        <v>282</v>
      </c>
      <c r="L5806" t="s">
        <v>28</v>
      </c>
      <c r="M5806" t="s">
        <v>6</v>
      </c>
      <c r="N5806" t="b">
        <v>0</v>
      </c>
      <c r="O5806">
        <v>1</v>
      </c>
      <c r="P5806">
        <v>0</v>
      </c>
      <c r="Q5806">
        <v>0</v>
      </c>
      <c r="R5806">
        <v>0</v>
      </c>
    </row>
    <row r="5807" spans="1:18" x14ac:dyDescent="0.25">
      <c r="A5807" t="s">
        <v>326</v>
      </c>
      <c r="B5807" t="s">
        <v>6</v>
      </c>
      <c r="C5807">
        <v>2</v>
      </c>
      <c r="D5807">
        <v>3</v>
      </c>
      <c r="E5807">
        <v>1</v>
      </c>
      <c r="F5807" s="15">
        <v>46258</v>
      </c>
      <c r="G5807" t="s">
        <v>696</v>
      </c>
      <c r="H5807">
        <v>4</v>
      </c>
      <c r="I5807">
        <v>2026</v>
      </c>
      <c r="J5807">
        <v>8</v>
      </c>
      <c r="K5807" t="s">
        <v>282</v>
      </c>
      <c r="L5807" t="s">
        <v>15</v>
      </c>
      <c r="M5807" t="s">
        <v>8</v>
      </c>
      <c r="N5807" t="b">
        <v>0</v>
      </c>
      <c r="O5807">
        <v>0</v>
      </c>
      <c r="P5807">
        <v>1</v>
      </c>
      <c r="Q5807">
        <v>0</v>
      </c>
      <c r="R5807">
        <v>1</v>
      </c>
    </row>
    <row r="5808" spans="1:18" x14ac:dyDescent="0.25">
      <c r="A5808" t="s">
        <v>326</v>
      </c>
      <c r="B5808" t="s">
        <v>6</v>
      </c>
      <c r="C5808">
        <v>2</v>
      </c>
      <c r="D5808">
        <v>3</v>
      </c>
      <c r="E5808">
        <v>1</v>
      </c>
      <c r="F5808" s="15">
        <v>46258</v>
      </c>
      <c r="G5808" t="s">
        <v>696</v>
      </c>
      <c r="H5808">
        <v>4</v>
      </c>
      <c r="I5808">
        <v>2026</v>
      </c>
      <c r="J5808">
        <v>8</v>
      </c>
      <c r="K5808" t="s">
        <v>282</v>
      </c>
      <c r="L5808" t="s">
        <v>41</v>
      </c>
      <c r="M5808" t="s">
        <v>6</v>
      </c>
      <c r="N5808" t="b">
        <v>0</v>
      </c>
      <c r="O5808">
        <v>0</v>
      </c>
      <c r="P5808">
        <v>1</v>
      </c>
      <c r="Q5808">
        <v>0</v>
      </c>
      <c r="R5808">
        <v>0</v>
      </c>
    </row>
    <row r="5809" spans="1:18" x14ac:dyDescent="0.25">
      <c r="A5809" t="s">
        <v>326</v>
      </c>
      <c r="B5809" t="s">
        <v>6</v>
      </c>
      <c r="C5809">
        <v>2</v>
      </c>
      <c r="D5809">
        <v>3</v>
      </c>
      <c r="E5809">
        <v>1</v>
      </c>
      <c r="F5809" s="15">
        <v>46258</v>
      </c>
      <c r="G5809" t="s">
        <v>696</v>
      </c>
      <c r="H5809">
        <v>4</v>
      </c>
      <c r="I5809">
        <v>2026</v>
      </c>
      <c r="J5809">
        <v>8</v>
      </c>
      <c r="K5809" t="s">
        <v>282</v>
      </c>
      <c r="L5809" t="s">
        <v>28</v>
      </c>
      <c r="M5809" t="s">
        <v>6</v>
      </c>
      <c r="N5809" t="b">
        <v>0</v>
      </c>
      <c r="O5809">
        <v>0</v>
      </c>
      <c r="P5809">
        <v>1</v>
      </c>
      <c r="Q5809">
        <v>0</v>
      </c>
      <c r="R5809">
        <v>0</v>
      </c>
    </row>
    <row r="5810" spans="1:18" x14ac:dyDescent="0.25">
      <c r="A5810" t="s">
        <v>41</v>
      </c>
      <c r="B5810" t="s">
        <v>6</v>
      </c>
      <c r="C5810">
        <v>3</v>
      </c>
      <c r="D5810">
        <v>3</v>
      </c>
      <c r="E5810">
        <v>1</v>
      </c>
      <c r="F5810" s="15">
        <v>46258</v>
      </c>
      <c r="G5810" t="s">
        <v>696</v>
      </c>
      <c r="H5810">
        <v>4</v>
      </c>
      <c r="I5810">
        <v>2026</v>
      </c>
      <c r="J5810">
        <v>8</v>
      </c>
      <c r="K5810" t="s">
        <v>282</v>
      </c>
      <c r="L5810" t="s">
        <v>15</v>
      </c>
      <c r="M5810" t="s">
        <v>8</v>
      </c>
      <c r="N5810" t="b">
        <v>0</v>
      </c>
      <c r="O5810">
        <v>0</v>
      </c>
      <c r="P5810">
        <v>1</v>
      </c>
      <c r="Q5810">
        <v>0</v>
      </c>
      <c r="R5810">
        <v>1</v>
      </c>
    </row>
    <row r="5811" spans="1:18" x14ac:dyDescent="0.25">
      <c r="A5811" t="s">
        <v>41</v>
      </c>
      <c r="B5811" t="s">
        <v>6</v>
      </c>
      <c r="C5811">
        <v>3</v>
      </c>
      <c r="D5811">
        <v>3</v>
      </c>
      <c r="E5811">
        <v>1</v>
      </c>
      <c r="F5811" s="15">
        <v>46258</v>
      </c>
      <c r="G5811" t="s">
        <v>696</v>
      </c>
      <c r="H5811">
        <v>4</v>
      </c>
      <c r="I5811">
        <v>2026</v>
      </c>
      <c r="J5811">
        <v>8</v>
      </c>
      <c r="K5811" t="s">
        <v>282</v>
      </c>
      <c r="L5811" t="s">
        <v>326</v>
      </c>
      <c r="M5811" t="s">
        <v>6</v>
      </c>
      <c r="N5811" t="b">
        <v>0</v>
      </c>
      <c r="O5811">
        <v>0</v>
      </c>
      <c r="P5811">
        <v>1</v>
      </c>
      <c r="Q5811">
        <v>0</v>
      </c>
      <c r="R5811">
        <v>0</v>
      </c>
    </row>
    <row r="5812" spans="1:18" x14ac:dyDescent="0.25">
      <c r="A5812" t="s">
        <v>41</v>
      </c>
      <c r="B5812" t="s">
        <v>6</v>
      </c>
      <c r="C5812">
        <v>3</v>
      </c>
      <c r="D5812">
        <v>3</v>
      </c>
      <c r="E5812">
        <v>1</v>
      </c>
      <c r="F5812" s="15">
        <v>46258</v>
      </c>
      <c r="G5812" t="s">
        <v>696</v>
      </c>
      <c r="H5812">
        <v>4</v>
      </c>
      <c r="I5812">
        <v>2026</v>
      </c>
      <c r="J5812">
        <v>8</v>
      </c>
      <c r="K5812" t="s">
        <v>282</v>
      </c>
      <c r="L5812" t="s">
        <v>28</v>
      </c>
      <c r="M5812" t="s">
        <v>6</v>
      </c>
      <c r="N5812" t="b">
        <v>0</v>
      </c>
      <c r="O5812">
        <v>0</v>
      </c>
      <c r="P5812">
        <v>1</v>
      </c>
      <c r="Q5812">
        <v>0</v>
      </c>
      <c r="R5812">
        <v>0</v>
      </c>
    </row>
    <row r="5813" spans="1:18" x14ac:dyDescent="0.25">
      <c r="A5813" t="s">
        <v>28</v>
      </c>
      <c r="B5813" t="s">
        <v>6</v>
      </c>
      <c r="C5813">
        <v>4</v>
      </c>
      <c r="D5813">
        <v>3</v>
      </c>
      <c r="E5813">
        <v>1</v>
      </c>
      <c r="F5813" s="15">
        <v>46258</v>
      </c>
      <c r="G5813" t="s">
        <v>696</v>
      </c>
      <c r="H5813">
        <v>4</v>
      </c>
      <c r="I5813">
        <v>2026</v>
      </c>
      <c r="J5813">
        <v>8</v>
      </c>
      <c r="K5813" t="s">
        <v>282</v>
      </c>
      <c r="L5813" t="s">
        <v>15</v>
      </c>
      <c r="M5813" t="s">
        <v>8</v>
      </c>
      <c r="N5813" t="b">
        <v>0</v>
      </c>
      <c r="O5813">
        <v>0</v>
      </c>
      <c r="P5813">
        <v>1</v>
      </c>
      <c r="Q5813">
        <v>0</v>
      </c>
      <c r="R5813">
        <v>1</v>
      </c>
    </row>
    <row r="5814" spans="1:18" x14ac:dyDescent="0.25">
      <c r="A5814" t="s">
        <v>28</v>
      </c>
      <c r="B5814" t="s">
        <v>6</v>
      </c>
      <c r="C5814">
        <v>4</v>
      </c>
      <c r="D5814">
        <v>3</v>
      </c>
      <c r="E5814">
        <v>1</v>
      </c>
      <c r="F5814" s="15">
        <v>46258</v>
      </c>
      <c r="G5814" t="s">
        <v>696</v>
      </c>
      <c r="H5814">
        <v>4</v>
      </c>
      <c r="I5814">
        <v>2026</v>
      </c>
      <c r="J5814">
        <v>8</v>
      </c>
      <c r="K5814" t="s">
        <v>282</v>
      </c>
      <c r="L5814" t="s">
        <v>326</v>
      </c>
      <c r="M5814" t="s">
        <v>6</v>
      </c>
      <c r="N5814" t="b">
        <v>0</v>
      </c>
      <c r="O5814">
        <v>0</v>
      </c>
      <c r="P5814">
        <v>1</v>
      </c>
      <c r="Q5814">
        <v>0</v>
      </c>
      <c r="R5814">
        <v>0</v>
      </c>
    </row>
    <row r="5815" spans="1:18" x14ac:dyDescent="0.25">
      <c r="A5815" t="s">
        <v>28</v>
      </c>
      <c r="B5815" t="s">
        <v>6</v>
      </c>
      <c r="C5815">
        <v>4</v>
      </c>
      <c r="D5815">
        <v>3</v>
      </c>
      <c r="E5815">
        <v>1</v>
      </c>
      <c r="F5815" s="15">
        <v>46258</v>
      </c>
      <c r="G5815" t="s">
        <v>696</v>
      </c>
      <c r="H5815">
        <v>4</v>
      </c>
      <c r="I5815">
        <v>2026</v>
      </c>
      <c r="J5815">
        <v>8</v>
      </c>
      <c r="K5815" t="s">
        <v>282</v>
      </c>
      <c r="L5815" t="s">
        <v>41</v>
      </c>
      <c r="M5815" t="s">
        <v>6</v>
      </c>
      <c r="N5815" t="b">
        <v>0</v>
      </c>
      <c r="O5815">
        <v>0</v>
      </c>
      <c r="P5815">
        <v>1</v>
      </c>
      <c r="Q5815">
        <v>0</v>
      </c>
      <c r="R5815">
        <v>0</v>
      </c>
    </row>
    <row r="5816" spans="1:18" x14ac:dyDescent="0.25">
      <c r="A5816" t="s">
        <v>17</v>
      </c>
      <c r="B5816" t="s">
        <v>6</v>
      </c>
      <c r="C5816">
        <v>1</v>
      </c>
      <c r="D5816">
        <v>4</v>
      </c>
      <c r="E5816">
        <v>1</v>
      </c>
      <c r="F5816" s="15">
        <v>46258</v>
      </c>
      <c r="G5816" t="s">
        <v>697</v>
      </c>
      <c r="H5816">
        <v>3</v>
      </c>
      <c r="I5816">
        <v>2026</v>
      </c>
      <c r="J5816">
        <v>8</v>
      </c>
      <c r="K5816" t="s">
        <v>282</v>
      </c>
      <c r="L5816" t="s">
        <v>10</v>
      </c>
      <c r="M5816" t="s">
        <v>6</v>
      </c>
      <c r="N5816" t="b">
        <v>0</v>
      </c>
      <c r="O5816">
        <v>0</v>
      </c>
      <c r="P5816">
        <v>1</v>
      </c>
      <c r="Q5816">
        <v>0</v>
      </c>
      <c r="R5816">
        <v>0</v>
      </c>
    </row>
    <row r="5817" spans="1:18" x14ac:dyDescent="0.25">
      <c r="A5817" t="s">
        <v>17</v>
      </c>
      <c r="B5817" t="s">
        <v>6</v>
      </c>
      <c r="C5817">
        <v>1</v>
      </c>
      <c r="D5817">
        <v>4</v>
      </c>
      <c r="E5817">
        <v>1</v>
      </c>
      <c r="F5817" s="15">
        <v>46258</v>
      </c>
      <c r="G5817" t="s">
        <v>697</v>
      </c>
      <c r="H5817">
        <v>3</v>
      </c>
      <c r="I5817">
        <v>2026</v>
      </c>
      <c r="J5817">
        <v>8</v>
      </c>
      <c r="K5817" t="s">
        <v>282</v>
      </c>
      <c r="L5817" t="s">
        <v>19</v>
      </c>
      <c r="M5817" t="s">
        <v>8</v>
      </c>
      <c r="N5817" t="b">
        <v>0</v>
      </c>
      <c r="O5817">
        <v>0</v>
      </c>
      <c r="P5817">
        <v>1</v>
      </c>
      <c r="Q5817">
        <v>0</v>
      </c>
      <c r="R5817">
        <v>1</v>
      </c>
    </row>
    <row r="5818" spans="1:18" x14ac:dyDescent="0.25">
      <c r="A5818" t="s">
        <v>10</v>
      </c>
      <c r="B5818" t="s">
        <v>6</v>
      </c>
      <c r="C5818">
        <v>2</v>
      </c>
      <c r="D5818">
        <v>4</v>
      </c>
      <c r="E5818">
        <v>1</v>
      </c>
      <c r="F5818" s="15">
        <v>46258</v>
      </c>
      <c r="G5818" t="s">
        <v>697</v>
      </c>
      <c r="H5818">
        <v>3</v>
      </c>
      <c r="I5818">
        <v>2026</v>
      </c>
      <c r="J5818">
        <v>8</v>
      </c>
      <c r="K5818" t="s">
        <v>282</v>
      </c>
      <c r="L5818" t="s">
        <v>17</v>
      </c>
      <c r="M5818" t="s">
        <v>6</v>
      </c>
      <c r="N5818" t="b">
        <v>0</v>
      </c>
      <c r="O5818">
        <v>0</v>
      </c>
      <c r="P5818">
        <v>1</v>
      </c>
      <c r="Q5818">
        <v>0</v>
      </c>
      <c r="R5818">
        <v>0</v>
      </c>
    </row>
    <row r="5819" spans="1:18" x14ac:dyDescent="0.25">
      <c r="A5819" t="s">
        <v>10</v>
      </c>
      <c r="B5819" t="s">
        <v>6</v>
      </c>
      <c r="C5819">
        <v>2</v>
      </c>
      <c r="D5819">
        <v>4</v>
      </c>
      <c r="E5819">
        <v>1</v>
      </c>
      <c r="F5819" s="15">
        <v>46258</v>
      </c>
      <c r="G5819" t="s">
        <v>697</v>
      </c>
      <c r="H5819">
        <v>3</v>
      </c>
      <c r="I5819">
        <v>2026</v>
      </c>
      <c r="J5819">
        <v>8</v>
      </c>
      <c r="K5819" t="s">
        <v>282</v>
      </c>
      <c r="L5819" t="s">
        <v>19</v>
      </c>
      <c r="M5819" t="s">
        <v>8</v>
      </c>
      <c r="N5819" t="b">
        <v>0</v>
      </c>
      <c r="O5819">
        <v>0</v>
      </c>
      <c r="P5819">
        <v>1</v>
      </c>
      <c r="Q5819">
        <v>0</v>
      </c>
      <c r="R5819">
        <v>1</v>
      </c>
    </row>
    <row r="5820" spans="1:18" x14ac:dyDescent="0.25">
      <c r="A5820" t="s">
        <v>19</v>
      </c>
      <c r="B5820" t="s">
        <v>8</v>
      </c>
      <c r="C5820">
        <v>3</v>
      </c>
      <c r="D5820">
        <v>4</v>
      </c>
      <c r="E5820">
        <v>1</v>
      </c>
      <c r="F5820" s="15">
        <v>46258</v>
      </c>
      <c r="G5820" t="s">
        <v>697</v>
      </c>
      <c r="H5820">
        <v>3</v>
      </c>
      <c r="I5820">
        <v>2026</v>
      </c>
      <c r="J5820">
        <v>8</v>
      </c>
      <c r="K5820" t="s">
        <v>282</v>
      </c>
      <c r="L5820" t="s">
        <v>17</v>
      </c>
      <c r="M5820" t="s">
        <v>6</v>
      </c>
      <c r="N5820" t="b">
        <v>0</v>
      </c>
      <c r="O5820">
        <v>1</v>
      </c>
      <c r="P5820">
        <v>0</v>
      </c>
      <c r="Q5820">
        <v>0</v>
      </c>
      <c r="R5820">
        <v>0</v>
      </c>
    </row>
    <row r="5821" spans="1:18" x14ac:dyDescent="0.25">
      <c r="A5821" t="s">
        <v>19</v>
      </c>
      <c r="B5821" t="s">
        <v>8</v>
      </c>
      <c r="C5821">
        <v>3</v>
      </c>
      <c r="D5821">
        <v>4</v>
      </c>
      <c r="E5821">
        <v>1</v>
      </c>
      <c r="F5821" s="15">
        <v>46258</v>
      </c>
      <c r="G5821" t="s">
        <v>697</v>
      </c>
      <c r="H5821">
        <v>3</v>
      </c>
      <c r="I5821">
        <v>2026</v>
      </c>
      <c r="J5821">
        <v>8</v>
      </c>
      <c r="K5821" t="s">
        <v>282</v>
      </c>
      <c r="L5821" t="s">
        <v>10</v>
      </c>
      <c r="M5821" t="s">
        <v>6</v>
      </c>
      <c r="N5821" t="b">
        <v>0</v>
      </c>
      <c r="O5821">
        <v>1</v>
      </c>
      <c r="P5821">
        <v>0</v>
      </c>
      <c r="Q5821">
        <v>0</v>
      </c>
      <c r="R5821">
        <v>0</v>
      </c>
    </row>
    <row r="5822" spans="1:18" x14ac:dyDescent="0.25">
      <c r="A5822" t="s">
        <v>433</v>
      </c>
      <c r="B5822" t="s">
        <v>6</v>
      </c>
      <c r="C5822">
        <v>1</v>
      </c>
      <c r="D5822">
        <v>5</v>
      </c>
      <c r="E5822">
        <v>1</v>
      </c>
      <c r="F5822" s="15">
        <v>46258</v>
      </c>
      <c r="G5822" t="s">
        <v>698</v>
      </c>
      <c r="H5822">
        <v>3</v>
      </c>
      <c r="I5822">
        <v>2026</v>
      </c>
      <c r="J5822">
        <v>8</v>
      </c>
      <c r="K5822" t="s">
        <v>282</v>
      </c>
      <c r="L5822" t="s">
        <v>20</v>
      </c>
      <c r="M5822" t="s">
        <v>8</v>
      </c>
      <c r="N5822" t="b">
        <v>0</v>
      </c>
      <c r="O5822">
        <v>0</v>
      </c>
      <c r="P5822">
        <v>1</v>
      </c>
      <c r="Q5822">
        <v>0</v>
      </c>
      <c r="R5822">
        <v>1</v>
      </c>
    </row>
    <row r="5823" spans="1:18" x14ac:dyDescent="0.25">
      <c r="A5823" t="s">
        <v>433</v>
      </c>
      <c r="B5823" t="s">
        <v>6</v>
      </c>
      <c r="C5823">
        <v>1</v>
      </c>
      <c r="D5823">
        <v>5</v>
      </c>
      <c r="E5823">
        <v>1</v>
      </c>
      <c r="F5823" s="15">
        <v>46258</v>
      </c>
      <c r="G5823" t="s">
        <v>698</v>
      </c>
      <c r="H5823">
        <v>3</v>
      </c>
      <c r="I5823">
        <v>2026</v>
      </c>
      <c r="J5823">
        <v>8</v>
      </c>
      <c r="K5823" t="s">
        <v>282</v>
      </c>
      <c r="L5823" t="s">
        <v>609</v>
      </c>
      <c r="M5823" t="s">
        <v>6</v>
      </c>
      <c r="N5823" t="b">
        <v>0</v>
      </c>
      <c r="O5823">
        <v>0</v>
      </c>
      <c r="P5823">
        <v>1</v>
      </c>
      <c r="Q5823">
        <v>0</v>
      </c>
      <c r="R5823">
        <v>0</v>
      </c>
    </row>
    <row r="5824" spans="1:18" x14ac:dyDescent="0.25">
      <c r="A5824" t="s">
        <v>20</v>
      </c>
      <c r="B5824" t="s">
        <v>8</v>
      </c>
      <c r="C5824">
        <v>2</v>
      </c>
      <c r="D5824">
        <v>5</v>
      </c>
      <c r="E5824">
        <v>1</v>
      </c>
      <c r="F5824" s="15">
        <v>46258</v>
      </c>
      <c r="G5824" t="s">
        <v>698</v>
      </c>
      <c r="H5824">
        <v>3</v>
      </c>
      <c r="I5824">
        <v>2026</v>
      </c>
      <c r="J5824">
        <v>8</v>
      </c>
      <c r="K5824" t="s">
        <v>282</v>
      </c>
      <c r="L5824" t="s">
        <v>433</v>
      </c>
      <c r="M5824" t="s">
        <v>6</v>
      </c>
      <c r="N5824" t="b">
        <v>0</v>
      </c>
      <c r="O5824">
        <v>1</v>
      </c>
      <c r="P5824">
        <v>0</v>
      </c>
      <c r="Q5824">
        <v>0</v>
      </c>
      <c r="R5824">
        <v>0</v>
      </c>
    </row>
    <row r="5825" spans="1:18" x14ac:dyDescent="0.25">
      <c r="A5825" t="s">
        <v>20</v>
      </c>
      <c r="B5825" t="s">
        <v>8</v>
      </c>
      <c r="C5825">
        <v>2</v>
      </c>
      <c r="D5825">
        <v>5</v>
      </c>
      <c r="E5825">
        <v>1</v>
      </c>
      <c r="F5825" s="15">
        <v>46258</v>
      </c>
      <c r="G5825" t="s">
        <v>698</v>
      </c>
      <c r="H5825">
        <v>3</v>
      </c>
      <c r="I5825">
        <v>2026</v>
      </c>
      <c r="J5825">
        <v>8</v>
      </c>
      <c r="K5825" t="s">
        <v>282</v>
      </c>
      <c r="L5825" t="s">
        <v>609</v>
      </c>
      <c r="M5825" t="s">
        <v>6</v>
      </c>
      <c r="N5825" t="b">
        <v>0</v>
      </c>
      <c r="O5825">
        <v>1</v>
      </c>
      <c r="P5825">
        <v>0</v>
      </c>
      <c r="Q5825">
        <v>0</v>
      </c>
      <c r="R5825">
        <v>0</v>
      </c>
    </row>
    <row r="5826" spans="1:18" x14ac:dyDescent="0.25">
      <c r="A5826" t="s">
        <v>609</v>
      </c>
      <c r="B5826" t="s">
        <v>6</v>
      </c>
      <c r="C5826">
        <v>3</v>
      </c>
      <c r="D5826">
        <v>5</v>
      </c>
      <c r="E5826">
        <v>1</v>
      </c>
      <c r="F5826" s="15">
        <v>46258</v>
      </c>
      <c r="G5826" t="s">
        <v>698</v>
      </c>
      <c r="H5826">
        <v>3</v>
      </c>
      <c r="I5826">
        <v>2026</v>
      </c>
      <c r="J5826">
        <v>8</v>
      </c>
      <c r="K5826" t="s">
        <v>282</v>
      </c>
      <c r="L5826" t="s">
        <v>433</v>
      </c>
      <c r="M5826" t="s">
        <v>6</v>
      </c>
      <c r="N5826" t="b">
        <v>0</v>
      </c>
      <c r="O5826">
        <v>0</v>
      </c>
      <c r="P5826">
        <v>1</v>
      </c>
      <c r="Q5826">
        <v>0</v>
      </c>
      <c r="R5826">
        <v>0</v>
      </c>
    </row>
    <row r="5827" spans="1:18" x14ac:dyDescent="0.25">
      <c r="A5827" t="s">
        <v>609</v>
      </c>
      <c r="B5827" t="s">
        <v>6</v>
      </c>
      <c r="C5827">
        <v>3</v>
      </c>
      <c r="D5827">
        <v>5</v>
      </c>
      <c r="E5827">
        <v>1</v>
      </c>
      <c r="F5827" s="15">
        <v>46258</v>
      </c>
      <c r="G5827" t="s">
        <v>698</v>
      </c>
      <c r="H5827">
        <v>3</v>
      </c>
      <c r="I5827">
        <v>2026</v>
      </c>
      <c r="J5827">
        <v>8</v>
      </c>
      <c r="K5827" t="s">
        <v>282</v>
      </c>
      <c r="L5827" t="s">
        <v>20</v>
      </c>
      <c r="M5827" t="s">
        <v>8</v>
      </c>
      <c r="N5827" t="b">
        <v>0</v>
      </c>
      <c r="O5827">
        <v>0</v>
      </c>
      <c r="P5827">
        <v>1</v>
      </c>
      <c r="Q5827">
        <v>0</v>
      </c>
      <c r="R5827">
        <v>1</v>
      </c>
    </row>
    <row r="5828" spans="1:18" x14ac:dyDescent="0.25">
      <c r="A5828" t="s">
        <v>13</v>
      </c>
      <c r="B5828" t="s">
        <v>63</v>
      </c>
      <c r="C5828">
        <v>1</v>
      </c>
      <c r="D5828">
        <v>1</v>
      </c>
      <c r="E5828">
        <v>2</v>
      </c>
      <c r="F5828" s="15">
        <v>46258</v>
      </c>
      <c r="G5828" t="s">
        <v>699</v>
      </c>
      <c r="H5828">
        <v>4</v>
      </c>
      <c r="I5828">
        <v>2026</v>
      </c>
      <c r="J5828">
        <v>8</v>
      </c>
      <c r="K5828" t="s">
        <v>282</v>
      </c>
      <c r="L5828" t="s">
        <v>19</v>
      </c>
      <c r="M5828" t="s">
        <v>63</v>
      </c>
      <c r="N5828" t="b">
        <v>0</v>
      </c>
      <c r="O5828">
        <v>0</v>
      </c>
      <c r="P5828">
        <v>0</v>
      </c>
      <c r="Q5828">
        <v>1</v>
      </c>
      <c r="R5828">
        <v>0</v>
      </c>
    </row>
    <row r="5829" spans="1:18" x14ac:dyDescent="0.25">
      <c r="A5829" t="s">
        <v>13</v>
      </c>
      <c r="B5829" t="s">
        <v>63</v>
      </c>
      <c r="C5829">
        <v>1</v>
      </c>
      <c r="D5829">
        <v>1</v>
      </c>
      <c r="E5829">
        <v>2</v>
      </c>
      <c r="F5829" s="15">
        <v>46258</v>
      </c>
      <c r="G5829" t="s">
        <v>699</v>
      </c>
      <c r="H5829">
        <v>4</v>
      </c>
      <c r="I5829">
        <v>2026</v>
      </c>
      <c r="J5829">
        <v>8</v>
      </c>
      <c r="K5829" t="s">
        <v>282</v>
      </c>
      <c r="L5829" t="s">
        <v>20</v>
      </c>
      <c r="M5829" t="s">
        <v>63</v>
      </c>
      <c r="N5829" t="b">
        <v>0</v>
      </c>
      <c r="O5829">
        <v>0</v>
      </c>
      <c r="P5829">
        <v>0</v>
      </c>
      <c r="Q5829">
        <v>1</v>
      </c>
      <c r="R5829">
        <v>0</v>
      </c>
    </row>
    <row r="5830" spans="1:18" x14ac:dyDescent="0.25">
      <c r="A5830" t="s">
        <v>13</v>
      </c>
      <c r="B5830" t="s">
        <v>63</v>
      </c>
      <c r="C5830">
        <v>1</v>
      </c>
      <c r="D5830">
        <v>1</v>
      </c>
      <c r="E5830">
        <v>2</v>
      </c>
      <c r="F5830" s="15">
        <v>46258</v>
      </c>
      <c r="G5830" t="s">
        <v>699</v>
      </c>
      <c r="H5830">
        <v>4</v>
      </c>
      <c r="I5830">
        <v>2026</v>
      </c>
      <c r="J5830">
        <v>8</v>
      </c>
      <c r="K5830" t="s">
        <v>282</v>
      </c>
      <c r="L5830" t="s">
        <v>15</v>
      </c>
      <c r="M5830" t="s">
        <v>63</v>
      </c>
      <c r="N5830" t="b">
        <v>0</v>
      </c>
      <c r="O5830">
        <v>0</v>
      </c>
      <c r="P5830">
        <v>0</v>
      </c>
      <c r="Q5830">
        <v>1</v>
      </c>
      <c r="R5830">
        <v>0</v>
      </c>
    </row>
    <row r="5831" spans="1:18" x14ac:dyDescent="0.25">
      <c r="A5831" t="s">
        <v>19</v>
      </c>
      <c r="B5831" t="s">
        <v>63</v>
      </c>
      <c r="C5831">
        <v>2</v>
      </c>
      <c r="D5831">
        <v>1</v>
      </c>
      <c r="E5831">
        <v>2</v>
      </c>
      <c r="F5831" s="15">
        <v>46258</v>
      </c>
      <c r="G5831" t="s">
        <v>699</v>
      </c>
      <c r="H5831">
        <v>4</v>
      </c>
      <c r="I5831">
        <v>2026</v>
      </c>
      <c r="J5831">
        <v>8</v>
      </c>
      <c r="K5831" t="s">
        <v>282</v>
      </c>
      <c r="L5831" t="s">
        <v>13</v>
      </c>
      <c r="M5831" t="s">
        <v>63</v>
      </c>
      <c r="N5831" t="b">
        <v>0</v>
      </c>
      <c r="O5831">
        <v>0</v>
      </c>
      <c r="P5831">
        <v>0</v>
      </c>
      <c r="Q5831">
        <v>1</v>
      </c>
      <c r="R5831">
        <v>0</v>
      </c>
    </row>
    <row r="5832" spans="1:18" x14ac:dyDescent="0.25">
      <c r="A5832" t="s">
        <v>19</v>
      </c>
      <c r="B5832" t="s">
        <v>63</v>
      </c>
      <c r="C5832">
        <v>2</v>
      </c>
      <c r="D5832">
        <v>1</v>
      </c>
      <c r="E5832">
        <v>2</v>
      </c>
      <c r="F5832" s="15">
        <v>46258</v>
      </c>
      <c r="G5832" t="s">
        <v>699</v>
      </c>
      <c r="H5832">
        <v>4</v>
      </c>
      <c r="I5832">
        <v>2026</v>
      </c>
      <c r="J5832">
        <v>8</v>
      </c>
      <c r="K5832" t="s">
        <v>282</v>
      </c>
      <c r="L5832" t="s">
        <v>20</v>
      </c>
      <c r="M5832" t="s">
        <v>63</v>
      </c>
      <c r="N5832" t="b">
        <v>0</v>
      </c>
      <c r="O5832">
        <v>0</v>
      </c>
      <c r="P5832">
        <v>0</v>
      </c>
      <c r="Q5832">
        <v>1</v>
      </c>
      <c r="R5832">
        <v>0</v>
      </c>
    </row>
    <row r="5833" spans="1:18" x14ac:dyDescent="0.25">
      <c r="A5833" t="s">
        <v>19</v>
      </c>
      <c r="B5833" t="s">
        <v>63</v>
      </c>
      <c r="C5833">
        <v>2</v>
      </c>
      <c r="D5833">
        <v>1</v>
      </c>
      <c r="E5833">
        <v>2</v>
      </c>
      <c r="F5833" s="15">
        <v>46258</v>
      </c>
      <c r="G5833" t="s">
        <v>699</v>
      </c>
      <c r="H5833">
        <v>4</v>
      </c>
      <c r="I5833">
        <v>2026</v>
      </c>
      <c r="J5833">
        <v>8</v>
      </c>
      <c r="K5833" t="s">
        <v>282</v>
      </c>
      <c r="L5833" t="s">
        <v>15</v>
      </c>
      <c r="M5833" t="s">
        <v>63</v>
      </c>
      <c r="N5833" t="b">
        <v>0</v>
      </c>
      <c r="O5833">
        <v>0</v>
      </c>
      <c r="P5833">
        <v>0</v>
      </c>
      <c r="Q5833">
        <v>1</v>
      </c>
      <c r="R5833">
        <v>0</v>
      </c>
    </row>
    <row r="5834" spans="1:18" x14ac:dyDescent="0.25">
      <c r="A5834" t="s">
        <v>20</v>
      </c>
      <c r="B5834" t="s">
        <v>63</v>
      </c>
      <c r="C5834">
        <v>3</v>
      </c>
      <c r="D5834">
        <v>1</v>
      </c>
      <c r="E5834">
        <v>2</v>
      </c>
      <c r="F5834" s="15">
        <v>46258</v>
      </c>
      <c r="G5834" t="s">
        <v>699</v>
      </c>
      <c r="H5834">
        <v>4</v>
      </c>
      <c r="I5834">
        <v>2026</v>
      </c>
      <c r="J5834">
        <v>8</v>
      </c>
      <c r="K5834" t="s">
        <v>282</v>
      </c>
      <c r="L5834" t="s">
        <v>13</v>
      </c>
      <c r="M5834" t="s">
        <v>63</v>
      </c>
      <c r="N5834" t="b">
        <v>0</v>
      </c>
      <c r="O5834">
        <v>0</v>
      </c>
      <c r="P5834">
        <v>0</v>
      </c>
      <c r="Q5834">
        <v>1</v>
      </c>
      <c r="R5834">
        <v>0</v>
      </c>
    </row>
    <row r="5835" spans="1:18" x14ac:dyDescent="0.25">
      <c r="A5835" t="s">
        <v>20</v>
      </c>
      <c r="B5835" t="s">
        <v>63</v>
      </c>
      <c r="C5835">
        <v>3</v>
      </c>
      <c r="D5835">
        <v>1</v>
      </c>
      <c r="E5835">
        <v>2</v>
      </c>
      <c r="F5835" s="15">
        <v>46258</v>
      </c>
      <c r="G5835" t="s">
        <v>699</v>
      </c>
      <c r="H5835">
        <v>4</v>
      </c>
      <c r="I5835">
        <v>2026</v>
      </c>
      <c r="J5835">
        <v>8</v>
      </c>
      <c r="K5835" t="s">
        <v>282</v>
      </c>
      <c r="L5835" t="s">
        <v>19</v>
      </c>
      <c r="M5835" t="s">
        <v>63</v>
      </c>
      <c r="N5835" t="b">
        <v>0</v>
      </c>
      <c r="O5835">
        <v>0</v>
      </c>
      <c r="P5835">
        <v>0</v>
      </c>
      <c r="Q5835">
        <v>1</v>
      </c>
      <c r="R5835">
        <v>0</v>
      </c>
    </row>
    <row r="5836" spans="1:18" x14ac:dyDescent="0.25">
      <c r="A5836" t="s">
        <v>20</v>
      </c>
      <c r="B5836" t="s">
        <v>63</v>
      </c>
      <c r="C5836">
        <v>3</v>
      </c>
      <c r="D5836">
        <v>1</v>
      </c>
      <c r="E5836">
        <v>2</v>
      </c>
      <c r="F5836" s="15">
        <v>46258</v>
      </c>
      <c r="G5836" t="s">
        <v>699</v>
      </c>
      <c r="H5836">
        <v>4</v>
      </c>
      <c r="I5836">
        <v>2026</v>
      </c>
      <c r="J5836">
        <v>8</v>
      </c>
      <c r="K5836" t="s">
        <v>282</v>
      </c>
      <c r="L5836" t="s">
        <v>15</v>
      </c>
      <c r="M5836" t="s">
        <v>63</v>
      </c>
      <c r="N5836" t="b">
        <v>0</v>
      </c>
      <c r="O5836">
        <v>0</v>
      </c>
      <c r="P5836">
        <v>0</v>
      </c>
      <c r="Q5836">
        <v>1</v>
      </c>
      <c r="R5836">
        <v>0</v>
      </c>
    </row>
    <row r="5837" spans="1:18" x14ac:dyDescent="0.25">
      <c r="A5837" t="s">
        <v>15</v>
      </c>
      <c r="B5837" t="s">
        <v>63</v>
      </c>
      <c r="C5837">
        <v>4</v>
      </c>
      <c r="D5837">
        <v>1</v>
      </c>
      <c r="E5837">
        <v>2</v>
      </c>
      <c r="F5837" s="15">
        <v>46258</v>
      </c>
      <c r="G5837" t="s">
        <v>699</v>
      </c>
      <c r="H5837">
        <v>4</v>
      </c>
      <c r="I5837">
        <v>2026</v>
      </c>
      <c r="J5837">
        <v>8</v>
      </c>
      <c r="K5837" t="s">
        <v>282</v>
      </c>
      <c r="L5837" t="s">
        <v>13</v>
      </c>
      <c r="M5837" t="s">
        <v>63</v>
      </c>
      <c r="N5837" t="b">
        <v>0</v>
      </c>
      <c r="O5837">
        <v>0</v>
      </c>
      <c r="P5837">
        <v>0</v>
      </c>
      <c r="Q5837">
        <v>1</v>
      </c>
      <c r="R5837">
        <v>0</v>
      </c>
    </row>
    <row r="5838" spans="1:18" x14ac:dyDescent="0.25">
      <c r="A5838" t="s">
        <v>15</v>
      </c>
      <c r="B5838" t="s">
        <v>63</v>
      </c>
      <c r="C5838">
        <v>4</v>
      </c>
      <c r="D5838">
        <v>1</v>
      </c>
      <c r="E5838">
        <v>2</v>
      </c>
      <c r="F5838" s="15">
        <v>46258</v>
      </c>
      <c r="G5838" t="s">
        <v>699</v>
      </c>
      <c r="H5838">
        <v>4</v>
      </c>
      <c r="I5838">
        <v>2026</v>
      </c>
      <c r="J5838">
        <v>8</v>
      </c>
      <c r="K5838" t="s">
        <v>282</v>
      </c>
      <c r="L5838" t="s">
        <v>19</v>
      </c>
      <c r="M5838" t="s">
        <v>63</v>
      </c>
      <c r="N5838" t="b">
        <v>0</v>
      </c>
      <c r="O5838">
        <v>0</v>
      </c>
      <c r="P5838">
        <v>0</v>
      </c>
      <c r="Q5838">
        <v>1</v>
      </c>
      <c r="R5838">
        <v>0</v>
      </c>
    </row>
    <row r="5839" spans="1:18" x14ac:dyDescent="0.25">
      <c r="A5839" t="s">
        <v>15</v>
      </c>
      <c r="B5839" t="s">
        <v>63</v>
      </c>
      <c r="C5839">
        <v>4</v>
      </c>
      <c r="D5839">
        <v>1</v>
      </c>
      <c r="E5839">
        <v>2</v>
      </c>
      <c r="F5839" s="15">
        <v>46258</v>
      </c>
      <c r="G5839" t="s">
        <v>699</v>
      </c>
      <c r="H5839">
        <v>4</v>
      </c>
      <c r="I5839">
        <v>2026</v>
      </c>
      <c r="J5839">
        <v>8</v>
      </c>
      <c r="K5839" t="s">
        <v>282</v>
      </c>
      <c r="L5839" t="s">
        <v>20</v>
      </c>
      <c r="M5839" t="s">
        <v>63</v>
      </c>
      <c r="N5839" t="b">
        <v>0</v>
      </c>
      <c r="O5839">
        <v>0</v>
      </c>
      <c r="P5839">
        <v>0</v>
      </c>
      <c r="Q5839">
        <v>1</v>
      </c>
      <c r="R5839">
        <v>0</v>
      </c>
    </row>
    <row r="5840" spans="1:18" x14ac:dyDescent="0.25">
      <c r="A5840" t="s">
        <v>578</v>
      </c>
      <c r="B5840" t="s">
        <v>63</v>
      </c>
      <c r="C5840">
        <v>1</v>
      </c>
      <c r="D5840">
        <v>2</v>
      </c>
      <c r="E5840">
        <v>2</v>
      </c>
      <c r="F5840" s="15">
        <v>46258</v>
      </c>
      <c r="G5840" t="s">
        <v>700</v>
      </c>
      <c r="H5840">
        <v>4</v>
      </c>
      <c r="I5840">
        <v>2026</v>
      </c>
      <c r="J5840">
        <v>8</v>
      </c>
      <c r="K5840" t="s">
        <v>282</v>
      </c>
      <c r="L5840" t="s">
        <v>14</v>
      </c>
      <c r="M5840" t="s">
        <v>63</v>
      </c>
      <c r="N5840" t="b">
        <v>0</v>
      </c>
      <c r="O5840">
        <v>0</v>
      </c>
      <c r="P5840">
        <v>0</v>
      </c>
      <c r="Q5840">
        <v>1</v>
      </c>
      <c r="R5840">
        <v>0</v>
      </c>
    </row>
    <row r="5841" spans="1:18" x14ac:dyDescent="0.25">
      <c r="A5841" t="s">
        <v>578</v>
      </c>
      <c r="B5841" t="s">
        <v>63</v>
      </c>
      <c r="C5841">
        <v>1</v>
      </c>
      <c r="D5841">
        <v>2</v>
      </c>
      <c r="E5841">
        <v>2</v>
      </c>
      <c r="F5841" s="15">
        <v>46258</v>
      </c>
      <c r="G5841" t="s">
        <v>700</v>
      </c>
      <c r="H5841">
        <v>4</v>
      </c>
      <c r="I5841">
        <v>2026</v>
      </c>
      <c r="J5841">
        <v>8</v>
      </c>
      <c r="K5841" t="s">
        <v>282</v>
      </c>
      <c r="L5841" t="s">
        <v>10</v>
      </c>
      <c r="M5841" t="s">
        <v>63</v>
      </c>
      <c r="N5841" t="b">
        <v>0</v>
      </c>
      <c r="O5841">
        <v>0</v>
      </c>
      <c r="P5841">
        <v>0</v>
      </c>
      <c r="Q5841">
        <v>1</v>
      </c>
      <c r="R5841">
        <v>0</v>
      </c>
    </row>
    <row r="5842" spans="1:18" x14ac:dyDescent="0.25">
      <c r="A5842" t="s">
        <v>578</v>
      </c>
      <c r="B5842" t="s">
        <v>63</v>
      </c>
      <c r="C5842">
        <v>1</v>
      </c>
      <c r="D5842">
        <v>2</v>
      </c>
      <c r="E5842">
        <v>2</v>
      </c>
      <c r="F5842" s="15">
        <v>46258</v>
      </c>
      <c r="G5842" t="s">
        <v>700</v>
      </c>
      <c r="H5842">
        <v>4</v>
      </c>
      <c r="I5842">
        <v>2026</v>
      </c>
      <c r="J5842">
        <v>8</v>
      </c>
      <c r="K5842" t="s">
        <v>282</v>
      </c>
      <c r="L5842" t="s">
        <v>41</v>
      </c>
      <c r="M5842" t="s">
        <v>63</v>
      </c>
      <c r="N5842" t="b">
        <v>0</v>
      </c>
      <c r="O5842">
        <v>0</v>
      </c>
      <c r="P5842">
        <v>0</v>
      </c>
      <c r="Q5842">
        <v>1</v>
      </c>
      <c r="R5842">
        <v>0</v>
      </c>
    </row>
    <row r="5843" spans="1:18" x14ac:dyDescent="0.25">
      <c r="A5843" t="s">
        <v>14</v>
      </c>
      <c r="B5843" t="s">
        <v>63</v>
      </c>
      <c r="C5843">
        <v>2</v>
      </c>
      <c r="D5843">
        <v>2</v>
      </c>
      <c r="E5843">
        <v>2</v>
      </c>
      <c r="F5843" s="15">
        <v>46258</v>
      </c>
      <c r="G5843" t="s">
        <v>700</v>
      </c>
      <c r="H5843">
        <v>4</v>
      </c>
      <c r="I5843">
        <v>2026</v>
      </c>
      <c r="J5843">
        <v>8</v>
      </c>
      <c r="K5843" t="s">
        <v>282</v>
      </c>
      <c r="L5843" t="s">
        <v>578</v>
      </c>
      <c r="M5843" t="s">
        <v>63</v>
      </c>
      <c r="N5843" t="b">
        <v>0</v>
      </c>
      <c r="O5843">
        <v>0</v>
      </c>
      <c r="P5843">
        <v>0</v>
      </c>
      <c r="Q5843">
        <v>1</v>
      </c>
      <c r="R5843">
        <v>0</v>
      </c>
    </row>
    <row r="5844" spans="1:18" x14ac:dyDescent="0.25">
      <c r="A5844" t="s">
        <v>14</v>
      </c>
      <c r="B5844" t="s">
        <v>63</v>
      </c>
      <c r="C5844">
        <v>2</v>
      </c>
      <c r="D5844">
        <v>2</v>
      </c>
      <c r="E5844">
        <v>2</v>
      </c>
      <c r="F5844" s="15">
        <v>46258</v>
      </c>
      <c r="G5844" t="s">
        <v>700</v>
      </c>
      <c r="H5844">
        <v>4</v>
      </c>
      <c r="I5844">
        <v>2026</v>
      </c>
      <c r="J5844">
        <v>8</v>
      </c>
      <c r="K5844" t="s">
        <v>282</v>
      </c>
      <c r="L5844" t="s">
        <v>10</v>
      </c>
      <c r="M5844" t="s">
        <v>63</v>
      </c>
      <c r="N5844" t="b">
        <v>0</v>
      </c>
      <c r="O5844">
        <v>0</v>
      </c>
      <c r="P5844">
        <v>0</v>
      </c>
      <c r="Q5844">
        <v>1</v>
      </c>
      <c r="R5844">
        <v>0</v>
      </c>
    </row>
    <row r="5845" spans="1:18" x14ac:dyDescent="0.25">
      <c r="A5845" t="s">
        <v>14</v>
      </c>
      <c r="B5845" t="s">
        <v>63</v>
      </c>
      <c r="C5845">
        <v>2</v>
      </c>
      <c r="D5845">
        <v>2</v>
      </c>
      <c r="E5845">
        <v>2</v>
      </c>
      <c r="F5845" s="15">
        <v>46258</v>
      </c>
      <c r="G5845" t="s">
        <v>700</v>
      </c>
      <c r="H5845">
        <v>4</v>
      </c>
      <c r="I5845">
        <v>2026</v>
      </c>
      <c r="J5845">
        <v>8</v>
      </c>
      <c r="K5845" t="s">
        <v>282</v>
      </c>
      <c r="L5845" t="s">
        <v>41</v>
      </c>
      <c r="M5845" t="s">
        <v>63</v>
      </c>
      <c r="N5845" t="b">
        <v>0</v>
      </c>
      <c r="O5845">
        <v>0</v>
      </c>
      <c r="P5845">
        <v>0</v>
      </c>
      <c r="Q5845">
        <v>1</v>
      </c>
      <c r="R5845">
        <v>0</v>
      </c>
    </row>
    <row r="5846" spans="1:18" x14ac:dyDescent="0.25">
      <c r="A5846" t="s">
        <v>10</v>
      </c>
      <c r="B5846" t="s">
        <v>63</v>
      </c>
      <c r="C5846">
        <v>3</v>
      </c>
      <c r="D5846">
        <v>2</v>
      </c>
      <c r="E5846">
        <v>2</v>
      </c>
      <c r="F5846" s="15">
        <v>46258</v>
      </c>
      <c r="G5846" t="s">
        <v>700</v>
      </c>
      <c r="H5846">
        <v>4</v>
      </c>
      <c r="I5846">
        <v>2026</v>
      </c>
      <c r="J5846">
        <v>8</v>
      </c>
      <c r="K5846" t="s">
        <v>282</v>
      </c>
      <c r="L5846" t="s">
        <v>578</v>
      </c>
      <c r="M5846" t="s">
        <v>63</v>
      </c>
      <c r="N5846" t="b">
        <v>0</v>
      </c>
      <c r="O5846">
        <v>0</v>
      </c>
      <c r="P5846">
        <v>0</v>
      </c>
      <c r="Q5846">
        <v>1</v>
      </c>
      <c r="R5846">
        <v>0</v>
      </c>
    </row>
    <row r="5847" spans="1:18" x14ac:dyDescent="0.25">
      <c r="A5847" t="s">
        <v>10</v>
      </c>
      <c r="B5847" t="s">
        <v>63</v>
      </c>
      <c r="C5847">
        <v>3</v>
      </c>
      <c r="D5847">
        <v>2</v>
      </c>
      <c r="E5847">
        <v>2</v>
      </c>
      <c r="F5847" s="15">
        <v>46258</v>
      </c>
      <c r="G5847" t="s">
        <v>700</v>
      </c>
      <c r="H5847">
        <v>4</v>
      </c>
      <c r="I5847">
        <v>2026</v>
      </c>
      <c r="J5847">
        <v>8</v>
      </c>
      <c r="K5847" t="s">
        <v>282</v>
      </c>
      <c r="L5847" t="s">
        <v>14</v>
      </c>
      <c r="M5847" t="s">
        <v>63</v>
      </c>
      <c r="N5847" t="b">
        <v>0</v>
      </c>
      <c r="O5847">
        <v>0</v>
      </c>
      <c r="P5847">
        <v>0</v>
      </c>
      <c r="Q5847">
        <v>1</v>
      </c>
      <c r="R5847">
        <v>0</v>
      </c>
    </row>
    <row r="5848" spans="1:18" x14ac:dyDescent="0.25">
      <c r="A5848" t="s">
        <v>10</v>
      </c>
      <c r="B5848" t="s">
        <v>63</v>
      </c>
      <c r="C5848">
        <v>3</v>
      </c>
      <c r="D5848">
        <v>2</v>
      </c>
      <c r="E5848">
        <v>2</v>
      </c>
      <c r="F5848" s="15">
        <v>46258</v>
      </c>
      <c r="G5848" t="s">
        <v>700</v>
      </c>
      <c r="H5848">
        <v>4</v>
      </c>
      <c r="I5848">
        <v>2026</v>
      </c>
      <c r="J5848">
        <v>8</v>
      </c>
      <c r="K5848" t="s">
        <v>282</v>
      </c>
      <c r="L5848" t="s">
        <v>41</v>
      </c>
      <c r="M5848" t="s">
        <v>63</v>
      </c>
      <c r="N5848" t="b">
        <v>0</v>
      </c>
      <c r="O5848">
        <v>0</v>
      </c>
      <c r="P5848">
        <v>0</v>
      </c>
      <c r="Q5848">
        <v>1</v>
      </c>
      <c r="R5848">
        <v>0</v>
      </c>
    </row>
    <row r="5849" spans="1:18" x14ac:dyDescent="0.25">
      <c r="A5849" t="s">
        <v>41</v>
      </c>
      <c r="B5849" t="s">
        <v>63</v>
      </c>
      <c r="C5849">
        <v>4</v>
      </c>
      <c r="D5849">
        <v>2</v>
      </c>
      <c r="E5849">
        <v>2</v>
      </c>
      <c r="F5849" s="15">
        <v>46258</v>
      </c>
      <c r="G5849" t="s">
        <v>700</v>
      </c>
      <c r="H5849">
        <v>4</v>
      </c>
      <c r="I5849">
        <v>2026</v>
      </c>
      <c r="J5849">
        <v>8</v>
      </c>
      <c r="K5849" t="s">
        <v>282</v>
      </c>
      <c r="L5849" t="s">
        <v>578</v>
      </c>
      <c r="M5849" t="s">
        <v>63</v>
      </c>
      <c r="N5849" t="b">
        <v>0</v>
      </c>
      <c r="O5849">
        <v>0</v>
      </c>
      <c r="P5849">
        <v>0</v>
      </c>
      <c r="Q5849">
        <v>1</v>
      </c>
      <c r="R5849">
        <v>0</v>
      </c>
    </row>
    <row r="5850" spans="1:18" x14ac:dyDescent="0.25">
      <c r="A5850" t="s">
        <v>41</v>
      </c>
      <c r="B5850" t="s">
        <v>63</v>
      </c>
      <c r="C5850">
        <v>4</v>
      </c>
      <c r="D5850">
        <v>2</v>
      </c>
      <c r="E5850">
        <v>2</v>
      </c>
      <c r="F5850" s="15">
        <v>46258</v>
      </c>
      <c r="G5850" t="s">
        <v>700</v>
      </c>
      <c r="H5850">
        <v>4</v>
      </c>
      <c r="I5850">
        <v>2026</v>
      </c>
      <c r="J5850">
        <v>8</v>
      </c>
      <c r="K5850" t="s">
        <v>282</v>
      </c>
      <c r="L5850" t="s">
        <v>14</v>
      </c>
      <c r="M5850" t="s">
        <v>63</v>
      </c>
      <c r="N5850" t="b">
        <v>0</v>
      </c>
      <c r="O5850">
        <v>0</v>
      </c>
      <c r="P5850">
        <v>0</v>
      </c>
      <c r="Q5850">
        <v>1</v>
      </c>
      <c r="R5850">
        <v>0</v>
      </c>
    </row>
    <row r="5851" spans="1:18" x14ac:dyDescent="0.25">
      <c r="A5851" t="s">
        <v>41</v>
      </c>
      <c r="B5851" t="s">
        <v>63</v>
      </c>
      <c r="C5851">
        <v>4</v>
      </c>
      <c r="D5851">
        <v>2</v>
      </c>
      <c r="E5851">
        <v>2</v>
      </c>
      <c r="F5851" s="15">
        <v>46258</v>
      </c>
      <c r="G5851" t="s">
        <v>700</v>
      </c>
      <c r="H5851">
        <v>4</v>
      </c>
      <c r="I5851">
        <v>2026</v>
      </c>
      <c r="J5851">
        <v>8</v>
      </c>
      <c r="K5851" t="s">
        <v>282</v>
      </c>
      <c r="L5851" t="s">
        <v>10</v>
      </c>
      <c r="M5851" t="s">
        <v>63</v>
      </c>
      <c r="N5851" t="b">
        <v>0</v>
      </c>
      <c r="O5851">
        <v>0</v>
      </c>
      <c r="P5851">
        <v>0</v>
      </c>
      <c r="Q5851">
        <v>1</v>
      </c>
      <c r="R5851">
        <v>0</v>
      </c>
    </row>
    <row r="5852" spans="1:18" x14ac:dyDescent="0.25">
      <c r="A5852" t="s">
        <v>325</v>
      </c>
      <c r="B5852" t="s">
        <v>63</v>
      </c>
      <c r="C5852">
        <v>1</v>
      </c>
      <c r="D5852">
        <v>3</v>
      </c>
      <c r="E5852">
        <v>2</v>
      </c>
      <c r="F5852" s="15">
        <v>46258</v>
      </c>
      <c r="G5852" t="s">
        <v>701</v>
      </c>
      <c r="H5852">
        <v>3</v>
      </c>
      <c r="I5852">
        <v>2026</v>
      </c>
      <c r="J5852">
        <v>8</v>
      </c>
      <c r="K5852" t="s">
        <v>282</v>
      </c>
      <c r="L5852" t="s">
        <v>9</v>
      </c>
      <c r="M5852" t="s">
        <v>63</v>
      </c>
      <c r="N5852" t="b">
        <v>0</v>
      </c>
      <c r="O5852">
        <v>0</v>
      </c>
      <c r="P5852">
        <v>0</v>
      </c>
      <c r="Q5852">
        <v>1</v>
      </c>
      <c r="R5852">
        <v>0</v>
      </c>
    </row>
    <row r="5853" spans="1:18" x14ac:dyDescent="0.25">
      <c r="A5853" t="s">
        <v>325</v>
      </c>
      <c r="B5853" t="s">
        <v>63</v>
      </c>
      <c r="C5853">
        <v>1</v>
      </c>
      <c r="D5853">
        <v>3</v>
      </c>
      <c r="E5853">
        <v>2</v>
      </c>
      <c r="F5853" s="15">
        <v>46258</v>
      </c>
      <c r="G5853" t="s">
        <v>701</v>
      </c>
      <c r="H5853">
        <v>3</v>
      </c>
      <c r="I5853">
        <v>2026</v>
      </c>
      <c r="J5853">
        <v>8</v>
      </c>
      <c r="K5853" t="s">
        <v>282</v>
      </c>
      <c r="L5853" t="s">
        <v>17</v>
      </c>
      <c r="M5853" t="s">
        <v>63</v>
      </c>
      <c r="N5853" t="b">
        <v>0</v>
      </c>
      <c r="O5853">
        <v>0</v>
      </c>
      <c r="P5853">
        <v>0</v>
      </c>
      <c r="Q5853">
        <v>1</v>
      </c>
      <c r="R5853">
        <v>0</v>
      </c>
    </row>
    <row r="5854" spans="1:18" x14ac:dyDescent="0.25">
      <c r="A5854" t="s">
        <v>9</v>
      </c>
      <c r="B5854" t="s">
        <v>63</v>
      </c>
      <c r="C5854">
        <v>2</v>
      </c>
      <c r="D5854">
        <v>3</v>
      </c>
      <c r="E5854">
        <v>2</v>
      </c>
      <c r="F5854" s="15">
        <v>46258</v>
      </c>
      <c r="G5854" t="s">
        <v>701</v>
      </c>
      <c r="H5854">
        <v>3</v>
      </c>
      <c r="I5854">
        <v>2026</v>
      </c>
      <c r="J5854">
        <v>8</v>
      </c>
      <c r="K5854" t="s">
        <v>282</v>
      </c>
      <c r="L5854" t="s">
        <v>325</v>
      </c>
      <c r="M5854" t="s">
        <v>63</v>
      </c>
      <c r="N5854" t="b">
        <v>0</v>
      </c>
      <c r="O5854">
        <v>0</v>
      </c>
      <c r="P5854">
        <v>0</v>
      </c>
      <c r="Q5854">
        <v>1</v>
      </c>
      <c r="R5854">
        <v>0</v>
      </c>
    </row>
    <row r="5855" spans="1:18" x14ac:dyDescent="0.25">
      <c r="A5855" t="s">
        <v>9</v>
      </c>
      <c r="B5855" t="s">
        <v>63</v>
      </c>
      <c r="C5855">
        <v>2</v>
      </c>
      <c r="D5855">
        <v>3</v>
      </c>
      <c r="E5855">
        <v>2</v>
      </c>
      <c r="F5855" s="15">
        <v>46258</v>
      </c>
      <c r="G5855" t="s">
        <v>701</v>
      </c>
      <c r="H5855">
        <v>3</v>
      </c>
      <c r="I5855">
        <v>2026</v>
      </c>
      <c r="J5855">
        <v>8</v>
      </c>
      <c r="K5855" t="s">
        <v>282</v>
      </c>
      <c r="L5855" t="s">
        <v>17</v>
      </c>
      <c r="M5855" t="s">
        <v>63</v>
      </c>
      <c r="N5855" t="b">
        <v>0</v>
      </c>
      <c r="O5855">
        <v>0</v>
      </c>
      <c r="P5855">
        <v>0</v>
      </c>
      <c r="Q5855">
        <v>1</v>
      </c>
      <c r="R5855">
        <v>0</v>
      </c>
    </row>
    <row r="5856" spans="1:18" x14ac:dyDescent="0.25">
      <c r="A5856" t="s">
        <v>17</v>
      </c>
      <c r="B5856" t="s">
        <v>63</v>
      </c>
      <c r="C5856">
        <v>3</v>
      </c>
      <c r="D5856">
        <v>3</v>
      </c>
      <c r="E5856">
        <v>2</v>
      </c>
      <c r="F5856" s="15">
        <v>46258</v>
      </c>
      <c r="G5856" t="s">
        <v>701</v>
      </c>
      <c r="H5856">
        <v>3</v>
      </c>
      <c r="I5856">
        <v>2026</v>
      </c>
      <c r="J5856">
        <v>8</v>
      </c>
      <c r="K5856" t="s">
        <v>282</v>
      </c>
      <c r="L5856" t="s">
        <v>325</v>
      </c>
      <c r="M5856" t="s">
        <v>63</v>
      </c>
      <c r="N5856" t="b">
        <v>0</v>
      </c>
      <c r="O5856">
        <v>0</v>
      </c>
      <c r="P5856">
        <v>0</v>
      </c>
      <c r="Q5856">
        <v>1</v>
      </c>
      <c r="R5856">
        <v>0</v>
      </c>
    </row>
    <row r="5857" spans="1:18" x14ac:dyDescent="0.25">
      <c r="A5857" t="s">
        <v>17</v>
      </c>
      <c r="B5857" t="s">
        <v>63</v>
      </c>
      <c r="C5857">
        <v>3</v>
      </c>
      <c r="D5857">
        <v>3</v>
      </c>
      <c r="E5857">
        <v>2</v>
      </c>
      <c r="F5857" s="15">
        <v>46258</v>
      </c>
      <c r="G5857" t="s">
        <v>701</v>
      </c>
      <c r="H5857">
        <v>3</v>
      </c>
      <c r="I5857">
        <v>2026</v>
      </c>
      <c r="J5857">
        <v>8</v>
      </c>
      <c r="K5857" t="s">
        <v>282</v>
      </c>
      <c r="L5857" t="s">
        <v>9</v>
      </c>
      <c r="M5857" t="s">
        <v>63</v>
      </c>
      <c r="N5857" t="b">
        <v>0</v>
      </c>
      <c r="O5857">
        <v>0</v>
      </c>
      <c r="P5857">
        <v>0</v>
      </c>
      <c r="Q5857">
        <v>1</v>
      </c>
      <c r="R5857">
        <v>0</v>
      </c>
    </row>
    <row r="5858" spans="1:18" x14ac:dyDescent="0.25">
      <c r="A5858" t="s">
        <v>351</v>
      </c>
      <c r="B5858" t="s">
        <v>6</v>
      </c>
      <c r="C5858">
        <v>1</v>
      </c>
      <c r="D5858">
        <v>4</v>
      </c>
      <c r="E5858">
        <v>2</v>
      </c>
      <c r="F5858" s="15">
        <v>46258</v>
      </c>
      <c r="G5858" t="s">
        <v>702</v>
      </c>
      <c r="H5858">
        <v>6</v>
      </c>
      <c r="I5858">
        <v>2026</v>
      </c>
      <c r="J5858">
        <v>8</v>
      </c>
      <c r="K5858" t="s">
        <v>282</v>
      </c>
      <c r="L5858" t="s">
        <v>28</v>
      </c>
      <c r="M5858" t="s">
        <v>6</v>
      </c>
      <c r="N5858" t="b">
        <v>0</v>
      </c>
      <c r="O5858">
        <v>0</v>
      </c>
      <c r="P5858">
        <v>1</v>
      </c>
      <c r="Q5858">
        <v>0</v>
      </c>
      <c r="R5858">
        <v>0</v>
      </c>
    </row>
    <row r="5859" spans="1:18" x14ac:dyDescent="0.25">
      <c r="A5859" t="s">
        <v>351</v>
      </c>
      <c r="B5859" t="s">
        <v>6</v>
      </c>
      <c r="C5859">
        <v>1</v>
      </c>
      <c r="D5859">
        <v>4</v>
      </c>
      <c r="E5859">
        <v>2</v>
      </c>
      <c r="F5859" s="15">
        <v>46258</v>
      </c>
      <c r="G5859" t="s">
        <v>702</v>
      </c>
      <c r="H5859">
        <v>6</v>
      </c>
      <c r="I5859">
        <v>2026</v>
      </c>
      <c r="J5859">
        <v>8</v>
      </c>
      <c r="K5859" t="s">
        <v>282</v>
      </c>
      <c r="L5859" t="s">
        <v>433</v>
      </c>
      <c r="M5859" t="s">
        <v>6</v>
      </c>
      <c r="N5859" t="b">
        <v>0</v>
      </c>
      <c r="O5859">
        <v>0</v>
      </c>
      <c r="P5859">
        <v>1</v>
      </c>
      <c r="Q5859">
        <v>0</v>
      </c>
      <c r="R5859">
        <v>0</v>
      </c>
    </row>
    <row r="5860" spans="1:18" x14ac:dyDescent="0.25">
      <c r="A5860" t="s">
        <v>351</v>
      </c>
      <c r="B5860" t="s">
        <v>6</v>
      </c>
      <c r="C5860">
        <v>1</v>
      </c>
      <c r="D5860">
        <v>4</v>
      </c>
      <c r="E5860">
        <v>2</v>
      </c>
      <c r="F5860" s="15">
        <v>46258</v>
      </c>
      <c r="G5860" t="s">
        <v>702</v>
      </c>
      <c r="H5860">
        <v>6</v>
      </c>
      <c r="I5860">
        <v>2026</v>
      </c>
      <c r="J5860">
        <v>8</v>
      </c>
      <c r="K5860" t="s">
        <v>282</v>
      </c>
      <c r="L5860" t="s">
        <v>405</v>
      </c>
      <c r="M5860" t="s">
        <v>8</v>
      </c>
      <c r="N5860" t="b">
        <v>0</v>
      </c>
      <c r="O5860">
        <v>0</v>
      </c>
      <c r="P5860">
        <v>1</v>
      </c>
      <c r="Q5860">
        <v>0</v>
      </c>
      <c r="R5860">
        <v>1</v>
      </c>
    </row>
    <row r="5861" spans="1:18" x14ac:dyDescent="0.25">
      <c r="A5861" t="s">
        <v>351</v>
      </c>
      <c r="B5861" t="s">
        <v>6</v>
      </c>
      <c r="C5861">
        <v>1</v>
      </c>
      <c r="D5861">
        <v>4</v>
      </c>
      <c r="E5861">
        <v>2</v>
      </c>
      <c r="F5861" s="15">
        <v>46258</v>
      </c>
      <c r="G5861" t="s">
        <v>702</v>
      </c>
      <c r="H5861">
        <v>6</v>
      </c>
      <c r="I5861">
        <v>2026</v>
      </c>
      <c r="J5861">
        <v>8</v>
      </c>
      <c r="K5861" t="s">
        <v>282</v>
      </c>
      <c r="L5861" t="s">
        <v>609</v>
      </c>
      <c r="M5861" t="s">
        <v>6</v>
      </c>
      <c r="N5861" t="b">
        <v>0</v>
      </c>
      <c r="O5861">
        <v>0</v>
      </c>
      <c r="P5861">
        <v>1</v>
      </c>
      <c r="Q5861">
        <v>0</v>
      </c>
      <c r="R5861">
        <v>0</v>
      </c>
    </row>
    <row r="5862" spans="1:18" x14ac:dyDescent="0.25">
      <c r="A5862" t="s">
        <v>351</v>
      </c>
      <c r="B5862" t="s">
        <v>6</v>
      </c>
      <c r="C5862">
        <v>1</v>
      </c>
      <c r="D5862">
        <v>4</v>
      </c>
      <c r="E5862">
        <v>2</v>
      </c>
      <c r="F5862" s="15">
        <v>46258</v>
      </c>
      <c r="G5862" t="s">
        <v>702</v>
      </c>
      <c r="H5862">
        <v>6</v>
      </c>
      <c r="I5862">
        <v>2026</v>
      </c>
      <c r="J5862">
        <v>8</v>
      </c>
      <c r="K5862" t="s">
        <v>282</v>
      </c>
      <c r="L5862" t="s">
        <v>326</v>
      </c>
      <c r="M5862" t="s">
        <v>6</v>
      </c>
      <c r="N5862" t="b">
        <v>0</v>
      </c>
      <c r="O5862">
        <v>0</v>
      </c>
      <c r="P5862">
        <v>1</v>
      </c>
      <c r="Q5862">
        <v>0</v>
      </c>
      <c r="R5862">
        <v>0</v>
      </c>
    </row>
    <row r="5863" spans="1:18" x14ac:dyDescent="0.25">
      <c r="A5863" t="s">
        <v>28</v>
      </c>
      <c r="B5863" t="s">
        <v>6</v>
      </c>
      <c r="C5863">
        <v>2</v>
      </c>
      <c r="D5863">
        <v>4</v>
      </c>
      <c r="E5863">
        <v>2</v>
      </c>
      <c r="F5863" s="15">
        <v>46258</v>
      </c>
      <c r="G5863" t="s">
        <v>702</v>
      </c>
      <c r="H5863">
        <v>6</v>
      </c>
      <c r="I5863">
        <v>2026</v>
      </c>
      <c r="J5863">
        <v>8</v>
      </c>
      <c r="K5863" t="s">
        <v>282</v>
      </c>
      <c r="L5863" t="s">
        <v>351</v>
      </c>
      <c r="M5863" t="s">
        <v>6</v>
      </c>
      <c r="N5863" t="b">
        <v>0</v>
      </c>
      <c r="O5863">
        <v>0</v>
      </c>
      <c r="P5863">
        <v>1</v>
      </c>
      <c r="Q5863">
        <v>0</v>
      </c>
      <c r="R5863">
        <v>0</v>
      </c>
    </row>
    <row r="5864" spans="1:18" x14ac:dyDescent="0.25">
      <c r="A5864" t="s">
        <v>28</v>
      </c>
      <c r="B5864" t="s">
        <v>6</v>
      </c>
      <c r="C5864">
        <v>2</v>
      </c>
      <c r="D5864">
        <v>4</v>
      </c>
      <c r="E5864">
        <v>2</v>
      </c>
      <c r="F5864" s="15">
        <v>46258</v>
      </c>
      <c r="G5864" t="s">
        <v>702</v>
      </c>
      <c r="H5864">
        <v>6</v>
      </c>
      <c r="I5864">
        <v>2026</v>
      </c>
      <c r="J5864">
        <v>8</v>
      </c>
      <c r="K5864" t="s">
        <v>282</v>
      </c>
      <c r="L5864" t="s">
        <v>433</v>
      </c>
      <c r="M5864" t="s">
        <v>6</v>
      </c>
      <c r="N5864" t="b">
        <v>0</v>
      </c>
      <c r="O5864">
        <v>0</v>
      </c>
      <c r="P5864">
        <v>1</v>
      </c>
      <c r="Q5864">
        <v>0</v>
      </c>
      <c r="R5864">
        <v>0</v>
      </c>
    </row>
    <row r="5865" spans="1:18" x14ac:dyDescent="0.25">
      <c r="A5865" t="s">
        <v>28</v>
      </c>
      <c r="B5865" t="s">
        <v>6</v>
      </c>
      <c r="C5865">
        <v>2</v>
      </c>
      <c r="D5865">
        <v>4</v>
      </c>
      <c r="E5865">
        <v>2</v>
      </c>
      <c r="F5865" s="15">
        <v>46258</v>
      </c>
      <c r="G5865" t="s">
        <v>702</v>
      </c>
      <c r="H5865">
        <v>6</v>
      </c>
      <c r="I5865">
        <v>2026</v>
      </c>
      <c r="J5865">
        <v>8</v>
      </c>
      <c r="K5865" t="s">
        <v>282</v>
      </c>
      <c r="L5865" t="s">
        <v>405</v>
      </c>
      <c r="M5865" t="s">
        <v>8</v>
      </c>
      <c r="N5865" t="b">
        <v>0</v>
      </c>
      <c r="O5865">
        <v>0</v>
      </c>
      <c r="P5865">
        <v>1</v>
      </c>
      <c r="Q5865">
        <v>0</v>
      </c>
      <c r="R5865">
        <v>1</v>
      </c>
    </row>
    <row r="5866" spans="1:18" x14ac:dyDescent="0.25">
      <c r="A5866" t="s">
        <v>28</v>
      </c>
      <c r="B5866" t="s">
        <v>6</v>
      </c>
      <c r="C5866">
        <v>2</v>
      </c>
      <c r="D5866">
        <v>4</v>
      </c>
      <c r="E5866">
        <v>2</v>
      </c>
      <c r="F5866" s="15">
        <v>46258</v>
      </c>
      <c r="G5866" t="s">
        <v>702</v>
      </c>
      <c r="H5866">
        <v>6</v>
      </c>
      <c r="I5866">
        <v>2026</v>
      </c>
      <c r="J5866">
        <v>8</v>
      </c>
      <c r="K5866" t="s">
        <v>282</v>
      </c>
      <c r="L5866" t="s">
        <v>609</v>
      </c>
      <c r="M5866" t="s">
        <v>6</v>
      </c>
      <c r="N5866" t="b">
        <v>0</v>
      </c>
      <c r="O5866">
        <v>0</v>
      </c>
      <c r="P5866">
        <v>1</v>
      </c>
      <c r="Q5866">
        <v>0</v>
      </c>
      <c r="R5866">
        <v>0</v>
      </c>
    </row>
    <row r="5867" spans="1:18" x14ac:dyDescent="0.25">
      <c r="A5867" t="s">
        <v>28</v>
      </c>
      <c r="B5867" t="s">
        <v>6</v>
      </c>
      <c r="C5867">
        <v>2</v>
      </c>
      <c r="D5867">
        <v>4</v>
      </c>
      <c r="E5867">
        <v>2</v>
      </c>
      <c r="F5867" s="15">
        <v>46258</v>
      </c>
      <c r="G5867" t="s">
        <v>702</v>
      </c>
      <c r="H5867">
        <v>6</v>
      </c>
      <c r="I5867">
        <v>2026</v>
      </c>
      <c r="J5867">
        <v>8</v>
      </c>
      <c r="K5867" t="s">
        <v>282</v>
      </c>
      <c r="L5867" t="s">
        <v>326</v>
      </c>
      <c r="M5867" t="s">
        <v>6</v>
      </c>
      <c r="N5867" t="b">
        <v>0</v>
      </c>
      <c r="O5867">
        <v>0</v>
      </c>
      <c r="P5867">
        <v>1</v>
      </c>
      <c r="Q5867">
        <v>0</v>
      </c>
      <c r="R5867">
        <v>0</v>
      </c>
    </row>
    <row r="5868" spans="1:18" x14ac:dyDescent="0.25">
      <c r="A5868" t="s">
        <v>433</v>
      </c>
      <c r="B5868" t="s">
        <v>6</v>
      </c>
      <c r="C5868">
        <v>3</v>
      </c>
      <c r="D5868">
        <v>4</v>
      </c>
      <c r="E5868">
        <v>2</v>
      </c>
      <c r="F5868" s="15">
        <v>46258</v>
      </c>
      <c r="G5868" t="s">
        <v>702</v>
      </c>
      <c r="H5868">
        <v>6</v>
      </c>
      <c r="I5868">
        <v>2026</v>
      </c>
      <c r="J5868">
        <v>8</v>
      </c>
      <c r="K5868" t="s">
        <v>282</v>
      </c>
      <c r="L5868" t="s">
        <v>351</v>
      </c>
      <c r="M5868" t="s">
        <v>6</v>
      </c>
      <c r="N5868" t="b">
        <v>0</v>
      </c>
      <c r="O5868">
        <v>0</v>
      </c>
      <c r="P5868">
        <v>1</v>
      </c>
      <c r="Q5868">
        <v>0</v>
      </c>
      <c r="R5868">
        <v>0</v>
      </c>
    </row>
    <row r="5869" spans="1:18" x14ac:dyDescent="0.25">
      <c r="A5869" t="s">
        <v>433</v>
      </c>
      <c r="B5869" t="s">
        <v>6</v>
      </c>
      <c r="C5869">
        <v>3</v>
      </c>
      <c r="D5869">
        <v>4</v>
      </c>
      <c r="E5869">
        <v>2</v>
      </c>
      <c r="F5869" s="15">
        <v>46258</v>
      </c>
      <c r="G5869" t="s">
        <v>702</v>
      </c>
      <c r="H5869">
        <v>6</v>
      </c>
      <c r="I5869">
        <v>2026</v>
      </c>
      <c r="J5869">
        <v>8</v>
      </c>
      <c r="K5869" t="s">
        <v>282</v>
      </c>
      <c r="L5869" t="s">
        <v>28</v>
      </c>
      <c r="M5869" t="s">
        <v>6</v>
      </c>
      <c r="N5869" t="b">
        <v>0</v>
      </c>
      <c r="O5869">
        <v>0</v>
      </c>
      <c r="P5869">
        <v>1</v>
      </c>
      <c r="Q5869">
        <v>0</v>
      </c>
      <c r="R5869">
        <v>0</v>
      </c>
    </row>
    <row r="5870" spans="1:18" x14ac:dyDescent="0.25">
      <c r="A5870" t="s">
        <v>433</v>
      </c>
      <c r="B5870" t="s">
        <v>6</v>
      </c>
      <c r="C5870">
        <v>3</v>
      </c>
      <c r="D5870">
        <v>4</v>
      </c>
      <c r="E5870">
        <v>2</v>
      </c>
      <c r="F5870" s="15">
        <v>46258</v>
      </c>
      <c r="G5870" t="s">
        <v>702</v>
      </c>
      <c r="H5870">
        <v>6</v>
      </c>
      <c r="I5870">
        <v>2026</v>
      </c>
      <c r="J5870">
        <v>8</v>
      </c>
      <c r="K5870" t="s">
        <v>282</v>
      </c>
      <c r="L5870" t="s">
        <v>405</v>
      </c>
      <c r="M5870" t="s">
        <v>8</v>
      </c>
      <c r="N5870" t="b">
        <v>0</v>
      </c>
      <c r="O5870">
        <v>0</v>
      </c>
      <c r="P5870">
        <v>1</v>
      </c>
      <c r="Q5870">
        <v>0</v>
      </c>
      <c r="R5870">
        <v>1</v>
      </c>
    </row>
    <row r="5871" spans="1:18" x14ac:dyDescent="0.25">
      <c r="A5871" t="s">
        <v>433</v>
      </c>
      <c r="B5871" t="s">
        <v>6</v>
      </c>
      <c r="C5871">
        <v>3</v>
      </c>
      <c r="D5871">
        <v>4</v>
      </c>
      <c r="E5871">
        <v>2</v>
      </c>
      <c r="F5871" s="15">
        <v>46258</v>
      </c>
      <c r="G5871" t="s">
        <v>702</v>
      </c>
      <c r="H5871">
        <v>6</v>
      </c>
      <c r="I5871">
        <v>2026</v>
      </c>
      <c r="J5871">
        <v>8</v>
      </c>
      <c r="K5871" t="s">
        <v>282</v>
      </c>
      <c r="L5871" t="s">
        <v>609</v>
      </c>
      <c r="M5871" t="s">
        <v>6</v>
      </c>
      <c r="N5871" t="b">
        <v>0</v>
      </c>
      <c r="O5871">
        <v>0</v>
      </c>
      <c r="P5871">
        <v>1</v>
      </c>
      <c r="Q5871">
        <v>0</v>
      </c>
      <c r="R5871">
        <v>0</v>
      </c>
    </row>
    <row r="5872" spans="1:18" x14ac:dyDescent="0.25">
      <c r="A5872" t="s">
        <v>433</v>
      </c>
      <c r="B5872" t="s">
        <v>6</v>
      </c>
      <c r="C5872">
        <v>3</v>
      </c>
      <c r="D5872">
        <v>4</v>
      </c>
      <c r="E5872">
        <v>2</v>
      </c>
      <c r="F5872" s="15">
        <v>46258</v>
      </c>
      <c r="G5872" t="s">
        <v>702</v>
      </c>
      <c r="H5872">
        <v>6</v>
      </c>
      <c r="I5872">
        <v>2026</v>
      </c>
      <c r="J5872">
        <v>8</v>
      </c>
      <c r="K5872" t="s">
        <v>282</v>
      </c>
      <c r="L5872" t="s">
        <v>326</v>
      </c>
      <c r="M5872" t="s">
        <v>6</v>
      </c>
      <c r="N5872" t="b">
        <v>0</v>
      </c>
      <c r="O5872">
        <v>0</v>
      </c>
      <c r="P5872">
        <v>1</v>
      </c>
      <c r="Q5872">
        <v>0</v>
      </c>
      <c r="R5872">
        <v>0</v>
      </c>
    </row>
    <row r="5873" spans="1:18" x14ac:dyDescent="0.25">
      <c r="A5873" t="s">
        <v>405</v>
      </c>
      <c r="B5873" t="s">
        <v>8</v>
      </c>
      <c r="C5873">
        <v>4</v>
      </c>
      <c r="D5873">
        <v>4</v>
      </c>
      <c r="E5873">
        <v>2</v>
      </c>
      <c r="F5873" s="15">
        <v>46258</v>
      </c>
      <c r="G5873" t="s">
        <v>702</v>
      </c>
      <c r="H5873">
        <v>6</v>
      </c>
      <c r="I5873">
        <v>2026</v>
      </c>
      <c r="J5873">
        <v>8</v>
      </c>
      <c r="K5873" t="s">
        <v>282</v>
      </c>
      <c r="L5873" t="s">
        <v>351</v>
      </c>
      <c r="M5873" t="s">
        <v>6</v>
      </c>
      <c r="N5873" t="b">
        <v>0</v>
      </c>
      <c r="O5873">
        <v>1</v>
      </c>
      <c r="P5873">
        <v>0</v>
      </c>
      <c r="Q5873">
        <v>0</v>
      </c>
      <c r="R5873">
        <v>0</v>
      </c>
    </row>
    <row r="5874" spans="1:18" x14ac:dyDescent="0.25">
      <c r="A5874" t="s">
        <v>405</v>
      </c>
      <c r="B5874" t="s">
        <v>8</v>
      </c>
      <c r="C5874">
        <v>4</v>
      </c>
      <c r="D5874">
        <v>4</v>
      </c>
      <c r="E5874">
        <v>2</v>
      </c>
      <c r="F5874" s="15">
        <v>46258</v>
      </c>
      <c r="G5874" t="s">
        <v>702</v>
      </c>
      <c r="H5874">
        <v>6</v>
      </c>
      <c r="I5874">
        <v>2026</v>
      </c>
      <c r="J5874">
        <v>8</v>
      </c>
      <c r="K5874" t="s">
        <v>282</v>
      </c>
      <c r="L5874" t="s">
        <v>28</v>
      </c>
      <c r="M5874" t="s">
        <v>6</v>
      </c>
      <c r="N5874" t="b">
        <v>0</v>
      </c>
      <c r="O5874">
        <v>1</v>
      </c>
      <c r="P5874">
        <v>0</v>
      </c>
      <c r="Q5874">
        <v>0</v>
      </c>
      <c r="R5874">
        <v>0</v>
      </c>
    </row>
    <row r="5875" spans="1:18" x14ac:dyDescent="0.25">
      <c r="A5875" t="s">
        <v>405</v>
      </c>
      <c r="B5875" t="s">
        <v>8</v>
      </c>
      <c r="C5875">
        <v>4</v>
      </c>
      <c r="D5875">
        <v>4</v>
      </c>
      <c r="E5875">
        <v>2</v>
      </c>
      <c r="F5875" s="15">
        <v>46258</v>
      </c>
      <c r="G5875" t="s">
        <v>702</v>
      </c>
      <c r="H5875">
        <v>6</v>
      </c>
      <c r="I5875">
        <v>2026</v>
      </c>
      <c r="J5875">
        <v>8</v>
      </c>
      <c r="K5875" t="s">
        <v>282</v>
      </c>
      <c r="L5875" t="s">
        <v>433</v>
      </c>
      <c r="M5875" t="s">
        <v>6</v>
      </c>
      <c r="N5875" t="b">
        <v>0</v>
      </c>
      <c r="O5875">
        <v>1</v>
      </c>
      <c r="P5875">
        <v>0</v>
      </c>
      <c r="Q5875">
        <v>0</v>
      </c>
      <c r="R5875">
        <v>0</v>
      </c>
    </row>
    <row r="5876" spans="1:18" x14ac:dyDescent="0.25">
      <c r="A5876" t="s">
        <v>405</v>
      </c>
      <c r="B5876" t="s">
        <v>8</v>
      </c>
      <c r="C5876">
        <v>4</v>
      </c>
      <c r="D5876">
        <v>4</v>
      </c>
      <c r="E5876">
        <v>2</v>
      </c>
      <c r="F5876" s="15">
        <v>46258</v>
      </c>
      <c r="G5876" t="s">
        <v>702</v>
      </c>
      <c r="H5876">
        <v>6</v>
      </c>
      <c r="I5876">
        <v>2026</v>
      </c>
      <c r="J5876">
        <v>8</v>
      </c>
      <c r="K5876" t="s">
        <v>282</v>
      </c>
      <c r="L5876" t="s">
        <v>609</v>
      </c>
      <c r="M5876" t="s">
        <v>6</v>
      </c>
      <c r="N5876" t="b">
        <v>0</v>
      </c>
      <c r="O5876">
        <v>1</v>
      </c>
      <c r="P5876">
        <v>0</v>
      </c>
      <c r="Q5876">
        <v>0</v>
      </c>
      <c r="R5876">
        <v>0</v>
      </c>
    </row>
    <row r="5877" spans="1:18" x14ac:dyDescent="0.25">
      <c r="A5877" t="s">
        <v>405</v>
      </c>
      <c r="B5877" t="s">
        <v>8</v>
      </c>
      <c r="C5877">
        <v>4</v>
      </c>
      <c r="D5877">
        <v>4</v>
      </c>
      <c r="E5877">
        <v>2</v>
      </c>
      <c r="F5877" s="15">
        <v>46258</v>
      </c>
      <c r="G5877" t="s">
        <v>702</v>
      </c>
      <c r="H5877">
        <v>6</v>
      </c>
      <c r="I5877">
        <v>2026</v>
      </c>
      <c r="J5877">
        <v>8</v>
      </c>
      <c r="K5877" t="s">
        <v>282</v>
      </c>
      <c r="L5877" t="s">
        <v>326</v>
      </c>
      <c r="M5877" t="s">
        <v>6</v>
      </c>
      <c r="N5877" t="b">
        <v>0</v>
      </c>
      <c r="O5877">
        <v>1</v>
      </c>
      <c r="P5877">
        <v>0</v>
      </c>
      <c r="Q5877">
        <v>0</v>
      </c>
      <c r="R5877">
        <v>0</v>
      </c>
    </row>
    <row r="5878" spans="1:18" x14ac:dyDescent="0.25">
      <c r="A5878" t="s">
        <v>609</v>
      </c>
      <c r="B5878" t="s">
        <v>6</v>
      </c>
      <c r="C5878">
        <v>5</v>
      </c>
      <c r="D5878">
        <v>4</v>
      </c>
      <c r="E5878">
        <v>2</v>
      </c>
      <c r="F5878" s="15">
        <v>46258</v>
      </c>
      <c r="G5878" t="s">
        <v>702</v>
      </c>
      <c r="H5878">
        <v>6</v>
      </c>
      <c r="I5878">
        <v>2026</v>
      </c>
      <c r="J5878">
        <v>8</v>
      </c>
      <c r="K5878" t="s">
        <v>282</v>
      </c>
      <c r="L5878" t="s">
        <v>351</v>
      </c>
      <c r="M5878" t="s">
        <v>6</v>
      </c>
      <c r="N5878" t="b">
        <v>0</v>
      </c>
      <c r="O5878">
        <v>0</v>
      </c>
      <c r="P5878">
        <v>1</v>
      </c>
      <c r="Q5878">
        <v>0</v>
      </c>
      <c r="R5878">
        <v>0</v>
      </c>
    </row>
    <row r="5879" spans="1:18" x14ac:dyDescent="0.25">
      <c r="A5879" t="s">
        <v>609</v>
      </c>
      <c r="B5879" t="s">
        <v>6</v>
      </c>
      <c r="C5879">
        <v>5</v>
      </c>
      <c r="D5879">
        <v>4</v>
      </c>
      <c r="E5879">
        <v>2</v>
      </c>
      <c r="F5879" s="15">
        <v>46258</v>
      </c>
      <c r="G5879" t="s">
        <v>702</v>
      </c>
      <c r="H5879">
        <v>6</v>
      </c>
      <c r="I5879">
        <v>2026</v>
      </c>
      <c r="J5879">
        <v>8</v>
      </c>
      <c r="K5879" t="s">
        <v>282</v>
      </c>
      <c r="L5879" t="s">
        <v>28</v>
      </c>
      <c r="M5879" t="s">
        <v>6</v>
      </c>
      <c r="N5879" t="b">
        <v>0</v>
      </c>
      <c r="O5879">
        <v>0</v>
      </c>
      <c r="P5879">
        <v>1</v>
      </c>
      <c r="Q5879">
        <v>0</v>
      </c>
      <c r="R5879">
        <v>0</v>
      </c>
    </row>
    <row r="5880" spans="1:18" x14ac:dyDescent="0.25">
      <c r="A5880" t="s">
        <v>609</v>
      </c>
      <c r="B5880" t="s">
        <v>6</v>
      </c>
      <c r="C5880">
        <v>5</v>
      </c>
      <c r="D5880">
        <v>4</v>
      </c>
      <c r="E5880">
        <v>2</v>
      </c>
      <c r="F5880" s="15">
        <v>46258</v>
      </c>
      <c r="G5880" t="s">
        <v>702</v>
      </c>
      <c r="H5880">
        <v>6</v>
      </c>
      <c r="I5880">
        <v>2026</v>
      </c>
      <c r="J5880">
        <v>8</v>
      </c>
      <c r="K5880" t="s">
        <v>282</v>
      </c>
      <c r="L5880" t="s">
        <v>433</v>
      </c>
      <c r="M5880" t="s">
        <v>6</v>
      </c>
      <c r="N5880" t="b">
        <v>0</v>
      </c>
      <c r="O5880">
        <v>0</v>
      </c>
      <c r="P5880">
        <v>1</v>
      </c>
      <c r="Q5880">
        <v>0</v>
      </c>
      <c r="R5880">
        <v>0</v>
      </c>
    </row>
    <row r="5881" spans="1:18" x14ac:dyDescent="0.25">
      <c r="A5881" t="s">
        <v>609</v>
      </c>
      <c r="B5881" t="s">
        <v>6</v>
      </c>
      <c r="C5881">
        <v>5</v>
      </c>
      <c r="D5881">
        <v>4</v>
      </c>
      <c r="E5881">
        <v>2</v>
      </c>
      <c r="F5881" s="15">
        <v>46258</v>
      </c>
      <c r="G5881" t="s">
        <v>702</v>
      </c>
      <c r="H5881">
        <v>6</v>
      </c>
      <c r="I5881">
        <v>2026</v>
      </c>
      <c r="J5881">
        <v>8</v>
      </c>
      <c r="K5881" t="s">
        <v>282</v>
      </c>
      <c r="L5881" t="s">
        <v>405</v>
      </c>
      <c r="M5881" t="s">
        <v>8</v>
      </c>
      <c r="N5881" t="b">
        <v>0</v>
      </c>
      <c r="O5881">
        <v>0</v>
      </c>
      <c r="P5881">
        <v>1</v>
      </c>
      <c r="Q5881">
        <v>0</v>
      </c>
      <c r="R5881">
        <v>1</v>
      </c>
    </row>
    <row r="5882" spans="1:18" x14ac:dyDescent="0.25">
      <c r="A5882" t="s">
        <v>609</v>
      </c>
      <c r="B5882" t="s">
        <v>6</v>
      </c>
      <c r="C5882">
        <v>5</v>
      </c>
      <c r="D5882">
        <v>4</v>
      </c>
      <c r="E5882">
        <v>2</v>
      </c>
      <c r="F5882" s="15">
        <v>46258</v>
      </c>
      <c r="G5882" t="s">
        <v>702</v>
      </c>
      <c r="H5882">
        <v>6</v>
      </c>
      <c r="I5882">
        <v>2026</v>
      </c>
      <c r="J5882">
        <v>8</v>
      </c>
      <c r="K5882" t="s">
        <v>282</v>
      </c>
      <c r="L5882" t="s">
        <v>326</v>
      </c>
      <c r="M5882" t="s">
        <v>6</v>
      </c>
      <c r="N5882" t="b">
        <v>0</v>
      </c>
      <c r="O5882">
        <v>0</v>
      </c>
      <c r="P5882">
        <v>1</v>
      </c>
      <c r="Q5882">
        <v>0</v>
      </c>
      <c r="R5882">
        <v>0</v>
      </c>
    </row>
    <row r="5883" spans="1:18" x14ac:dyDescent="0.25">
      <c r="A5883" t="s">
        <v>326</v>
      </c>
      <c r="B5883" t="s">
        <v>6</v>
      </c>
      <c r="C5883">
        <v>6</v>
      </c>
      <c r="D5883">
        <v>4</v>
      </c>
      <c r="E5883">
        <v>2</v>
      </c>
      <c r="F5883" s="15">
        <v>46258</v>
      </c>
      <c r="G5883" t="s">
        <v>702</v>
      </c>
      <c r="H5883">
        <v>6</v>
      </c>
      <c r="I5883">
        <v>2026</v>
      </c>
      <c r="J5883">
        <v>8</v>
      </c>
      <c r="K5883" t="s">
        <v>282</v>
      </c>
      <c r="L5883" t="s">
        <v>351</v>
      </c>
      <c r="M5883" t="s">
        <v>6</v>
      </c>
      <c r="N5883" t="b">
        <v>0</v>
      </c>
      <c r="O5883">
        <v>0</v>
      </c>
      <c r="P5883">
        <v>1</v>
      </c>
      <c r="Q5883">
        <v>0</v>
      </c>
      <c r="R5883">
        <v>0</v>
      </c>
    </row>
    <row r="5884" spans="1:18" x14ac:dyDescent="0.25">
      <c r="A5884" t="s">
        <v>326</v>
      </c>
      <c r="B5884" t="s">
        <v>6</v>
      </c>
      <c r="C5884">
        <v>6</v>
      </c>
      <c r="D5884">
        <v>4</v>
      </c>
      <c r="E5884">
        <v>2</v>
      </c>
      <c r="F5884" s="15">
        <v>46258</v>
      </c>
      <c r="G5884" t="s">
        <v>702</v>
      </c>
      <c r="H5884">
        <v>6</v>
      </c>
      <c r="I5884">
        <v>2026</v>
      </c>
      <c r="J5884">
        <v>8</v>
      </c>
      <c r="K5884" t="s">
        <v>282</v>
      </c>
      <c r="L5884" t="s">
        <v>28</v>
      </c>
      <c r="M5884" t="s">
        <v>6</v>
      </c>
      <c r="N5884" t="b">
        <v>0</v>
      </c>
      <c r="O5884">
        <v>0</v>
      </c>
      <c r="P5884">
        <v>1</v>
      </c>
      <c r="Q5884">
        <v>0</v>
      </c>
      <c r="R5884">
        <v>0</v>
      </c>
    </row>
    <row r="5885" spans="1:18" x14ac:dyDescent="0.25">
      <c r="A5885" t="s">
        <v>326</v>
      </c>
      <c r="B5885" t="s">
        <v>6</v>
      </c>
      <c r="C5885">
        <v>6</v>
      </c>
      <c r="D5885">
        <v>4</v>
      </c>
      <c r="E5885">
        <v>2</v>
      </c>
      <c r="F5885" s="15">
        <v>46258</v>
      </c>
      <c r="G5885" t="s">
        <v>702</v>
      </c>
      <c r="H5885">
        <v>6</v>
      </c>
      <c r="I5885">
        <v>2026</v>
      </c>
      <c r="J5885">
        <v>8</v>
      </c>
      <c r="K5885" t="s">
        <v>282</v>
      </c>
      <c r="L5885" t="s">
        <v>433</v>
      </c>
      <c r="M5885" t="s">
        <v>6</v>
      </c>
      <c r="N5885" t="b">
        <v>0</v>
      </c>
      <c r="O5885">
        <v>0</v>
      </c>
      <c r="P5885">
        <v>1</v>
      </c>
      <c r="Q5885">
        <v>0</v>
      </c>
      <c r="R5885">
        <v>0</v>
      </c>
    </row>
    <row r="5886" spans="1:18" x14ac:dyDescent="0.25">
      <c r="A5886" t="s">
        <v>326</v>
      </c>
      <c r="B5886" t="s">
        <v>6</v>
      </c>
      <c r="C5886">
        <v>6</v>
      </c>
      <c r="D5886">
        <v>4</v>
      </c>
      <c r="E5886">
        <v>2</v>
      </c>
      <c r="F5886" s="15">
        <v>46258</v>
      </c>
      <c r="G5886" t="s">
        <v>702</v>
      </c>
      <c r="H5886">
        <v>6</v>
      </c>
      <c r="I5886">
        <v>2026</v>
      </c>
      <c r="J5886">
        <v>8</v>
      </c>
      <c r="K5886" t="s">
        <v>282</v>
      </c>
      <c r="L5886" t="s">
        <v>405</v>
      </c>
      <c r="M5886" t="s">
        <v>8</v>
      </c>
      <c r="N5886" t="b">
        <v>0</v>
      </c>
      <c r="O5886">
        <v>0</v>
      </c>
      <c r="P5886">
        <v>1</v>
      </c>
      <c r="Q5886">
        <v>0</v>
      </c>
      <c r="R5886">
        <v>1</v>
      </c>
    </row>
    <row r="5887" spans="1:18" x14ac:dyDescent="0.25">
      <c r="A5887" t="s">
        <v>326</v>
      </c>
      <c r="B5887" t="s">
        <v>6</v>
      </c>
      <c r="C5887">
        <v>6</v>
      </c>
      <c r="D5887">
        <v>4</v>
      </c>
      <c r="E5887">
        <v>2</v>
      </c>
      <c r="F5887" s="15">
        <v>46258</v>
      </c>
      <c r="G5887" t="s">
        <v>702</v>
      </c>
      <c r="H5887">
        <v>6</v>
      </c>
      <c r="I5887">
        <v>2026</v>
      </c>
      <c r="J5887">
        <v>8</v>
      </c>
      <c r="K5887" t="s">
        <v>282</v>
      </c>
      <c r="L5887" t="s">
        <v>609</v>
      </c>
      <c r="M5887" t="s">
        <v>6</v>
      </c>
      <c r="N5887" t="b">
        <v>0</v>
      </c>
      <c r="O5887">
        <v>0</v>
      </c>
      <c r="P5887">
        <v>1</v>
      </c>
      <c r="Q5887">
        <v>0</v>
      </c>
      <c r="R5887">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2026-08-25T03:58:35Z</dcterms:modified>
</cp:coreProperties>
</file>